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ml.chartshapes+xml"/>
  <Override PartName="/xl/charts/chart3.xml" ContentType="application/vnd.openxmlformats-officedocument.drawingml.chart+xml"/>
  <Override PartName="/xl/drawings/drawing7.xml" ContentType="application/vnd.openxmlformats-officedocument.drawingml.chartshapes+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drawings/drawing8.xml" ContentType="application/vnd.openxmlformats-officedocument.drawingml.chartshapes+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xml"/>
  <Override PartName="/xl/comments4.xml" ContentType="application/vnd.openxmlformats-officedocument.spreadsheetml.comment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drawings/drawing1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https://d.docs.live.net/ef7a825b9bce984a/Documents/Claude/Projects/FISCO/fisco-site/src/assets/downloads/"/>
    </mc:Choice>
  </mc:AlternateContent>
  <xr:revisionPtr revIDLastSave="1086" documentId="8_{FEAD1FC0-B0B5-4F3F-8E99-B62FB95DF039}" xr6:coauthVersionLast="47" xr6:coauthVersionMax="47" xr10:uidLastSave="{98C73F8A-5DD3-426E-9947-A8611DB78967}"/>
  <bookViews>
    <workbookView xWindow="-67320" yWindow="-3945" windowWidth="29040" windowHeight="15720" tabRatio="624" activeTab="1" xr2:uid="{00000000-000D-0000-FFFF-FFFF00000000}"/>
  </bookViews>
  <sheets>
    <sheet name="Step 1 - Set global parameters" sheetId="15" r:id="rId1"/>
    <sheet name="Step 2 - Update outturn data" sheetId="17" r:id="rId2"/>
    <sheet name="Step 3 (IMPL) - Enter outlook" sheetId="74" r:id="rId3"/>
    <sheet name="Step 4 (IMPL) - View results" sheetId="76" r:id="rId4"/>
    <sheet name="Step 3 (MTP) - Plan and prior" sheetId="75" r:id="rId5"/>
    <sheet name="Step 4 (MTP) - IFI scrutiny" sheetId="69" r:id="rId6"/>
    <sheet name="Step 5 (MTP) - View results" sheetId="21" r:id="rId7"/>
    <sheet name="Custom scenario tool" sheetId="77" r:id="rId8"/>
    <sheet name="Assessment" sheetId="64" r:id="rId9"/>
    <sheet name="Chart data" sheetId="65" r:id="rId10"/>
    <sheet name="Validation" sheetId="47" r:id="rId11"/>
    <sheet name="About FISCO" sheetId="4" r:id="rId12"/>
  </sheets>
  <definedNames>
    <definedName name="_xleta.AND" hidden="1" xlm="1">#NAME?</definedName>
    <definedName name="_xleta.BASE" hidden="1" xlm="1">#NAME?</definedName>
    <definedName name="_xleta.EFFECT" hidden="1" xlm="1">#NAME?</definedName>
    <definedName name="_xleta.GROWTH" hidden="1" xlm="1">#NAME?</definedName>
    <definedName name="_xleta.IF" hidden="1" xlm="1">#NAME?</definedName>
    <definedName name="_xleta.MAX" hidden="1" xlm="1">#NAME?</definedName>
    <definedName name="_xleta.MIN" hidden="1" xlm="1">#NAME?</definedName>
    <definedName name="_xleta.N" hidden="1" xlm="1">#NAME?</definedName>
    <definedName name="_xleta.NOT" hidden="1" xlm="1">#NAME?</definedName>
    <definedName name="_xleta.OR" hidden="1" xlm="1">#NAME?</definedName>
    <definedName name="_xleta.RATE" hidden="1" xlm="1">#NAME?</definedName>
    <definedName name="_xleta.ROUND" hidden="1" xlm="1">#NAME?</definedName>
    <definedName name="_xleta.SEQUENCE" hidden="1" xlm="1">#NAME?</definedName>
    <definedName name="_xleta.T" hidden="1" xlm="1">#NAME?</definedName>
    <definedName name="_xleta.TIME" hidden="1" xlm="1">#NAME?</definedName>
    <definedName name="_xlpm.a" hidden="1" xlm="1">#NAME?</definedName>
    <definedName name="_xlpm.annOut" hidden="1" xlm="1">#NAME?</definedName>
    <definedName name="_xlpm.annPlan" hidden="1" xlm="1">#NAME?</definedName>
    <definedName name="_xlpm.anyCountry" hidden="1" xlm="1">#NAME?</definedName>
    <definedName name="_xlpm.anyDefence" hidden="1" xlm="1">#NAME?</definedName>
    <definedName name="_xlpm.anyExcess" hidden="1" xlm="1">#NAME?</definedName>
    <definedName name="_xlpm.anyGeneral" hidden="1" xlm="1">#NAME?</definedName>
    <definedName name="_xlpm.AvgChange" hidden="1" xlm="1">#NAME?</definedName>
    <definedName name="_xlpm.b" hidden="1" xlm="1">#NAME?</definedName>
    <definedName name="_xlpm.bal" hidden="1" xlm="1">#NAME?</definedName>
    <definedName name="_xlpm.balText" hidden="1" xlm="1">#NAME?</definedName>
    <definedName name="_xlpm.BaseDebt" hidden="1" xlm="1">#NAME?</definedName>
    <definedName name="_xlpm.c" hidden="1" xlm="1">#NAME?</definedName>
    <definedName name="_xlpm.caps" hidden="1" xlm="1">#NAME?</definedName>
    <definedName name="_xlpm.clean" hidden="1" xlm="1">#NAME?</definedName>
    <definedName name="_xlpm.col" hidden="1" xlm="1">#NAME?</definedName>
    <definedName name="_xlpm.cum" hidden="1" xlm="1">#NAME?</definedName>
    <definedName name="_xlpm.cumOut" hidden="1" xlm="1">#NAME?</definedName>
    <definedName name="_xlpm.cumPlan" hidden="1" xlm="1">#NAME?</definedName>
    <definedName name="_xlpm.curr" hidden="1" xlm="1">#NAME?</definedName>
    <definedName name="_xlpm.curr13" hidden="1" xlm="1">#NAME?</definedName>
    <definedName name="_xlpm.curr14" hidden="1" xlm="1">#NAME?</definedName>
    <definedName name="_xlpm.debt" hidden="1" xlm="1">#NAME?</definedName>
    <definedName name="_xlpm.defence" hidden="1" xlm="1">#NAME?</definedName>
    <definedName name="_xlpm.defenceClause" hidden="1" xlm="1">#NAME?</definedName>
    <definedName name="_xlpm.den" hidden="1" xlm="1">#NAME?</definedName>
    <definedName name="_xlpm.devs" hidden="1" xlm="1">#NAME?</definedName>
    <definedName name="_xlpm.elig" hidden="1" xlm="1">#NAME?</definedName>
    <definedName name="_xlpm.end_col" hidden="1" xlm="1">#NAME?</definedName>
    <definedName name="_xlpm.endc" hidden="1" xlm="1">#NAME?</definedName>
    <definedName name="_xlpm.EndDebt" hidden="1" xlm="1">#NAME?</definedName>
    <definedName name="_xlpm.endVal" hidden="1" xlm="1">#NAME?</definedName>
    <definedName name="_xlpm.endYear" hidden="1" xlm="1">#NAME?</definedName>
    <definedName name="_xlpm.esc" hidden="1" xlm="1">#NAME?</definedName>
    <definedName name="_xlpm.escapeSentence" hidden="1" xlm="1">#NAME?</definedName>
    <definedName name="_xlpm.escClause" hidden="1" xlm="1">#NAME?</definedName>
    <definedName name="_xlpm.escYears" hidden="1" xlm="1">#NAME?</definedName>
    <definedName name="_xlpm.flags" hidden="1" xlm="1">#NAME?</definedName>
    <definedName name="_xlpm.gdp" hidden="1" xlm="1">#NAME?</definedName>
    <definedName name="_xlpm.idx" hidden="1" xlm="1">#NAME?</definedName>
    <definedName name="_xlpm.lastYr" hidden="1" xlm="1">#NAME?</definedName>
    <definedName name="_xlpm.maxCols" hidden="1" xlm="1">#NAME?</definedName>
    <definedName name="_xlpm.MeetsAll" hidden="1" xlm="1">#NAME?</definedName>
    <definedName name="_xlpm.n" hidden="1" xlm="1">#NAME?</definedName>
    <definedName name="_xlpm.nomD" hidden="1" xlm="1">#NAME?</definedName>
    <definedName name="_xlpm.nomN" hidden="1" xlm="1">#NAME?</definedName>
    <definedName name="_xlpm.nos" hidden="1" xlm="1">#NAME?</definedName>
    <definedName name="_xlpm.num" hidden="1" xlm="1">#NAME?</definedName>
    <definedName name="_xlpm.outturn" hidden="1" xlm="1">#NAME?</definedName>
    <definedName name="_xlpm.outturn_cell" hidden="1" xlm="1">#NAME?</definedName>
    <definedName name="_xlpm.outturnEscapeText" hidden="1" xlm="1">#NAME?</definedName>
    <definedName name="_xlpm.outturnSentence" hidden="1" xlm="1">#NAME?</definedName>
    <definedName name="_xlpm.outturnStatus" hidden="1" xlm="1">#NAME?</definedName>
    <definedName name="_xlpm.pGDP" hidden="1" xlm="1">#NAME?</definedName>
    <definedName name="_xlpm.plannedEscapeText" hidden="1" xlm="1">#NAME?</definedName>
    <definedName name="_xlpm.plannedSentence" hidden="1" xlm="1">#NAME?</definedName>
    <definedName name="_xlpm.plannedStatus" hidden="1" xlm="1">#NAME?</definedName>
    <definedName name="_xlpm.pos" hidden="1" xlm="1">#NAME?</definedName>
    <definedName name="_xlpm.prev" hidden="1" xlm="1">#NAME?</definedName>
    <definedName name="_xlpm.prev13" hidden="1" xlm="1">#NAME?</definedName>
    <definedName name="_xlpm.r" hidden="1" xlm="1">#NAME?</definedName>
    <definedName name="_xlpm.realD" hidden="1" xlm="1">#NAME?</definedName>
    <definedName name="_xlpm.realN" hidden="1" xlm="1">#NAME?</definedName>
    <definedName name="_xlpm.Result" hidden="1" xlm="1">#NAME?</definedName>
    <definedName name="_xlpm.rGDP" hidden="1" xlm="1">#NAME?</definedName>
    <definedName name="_xlpm.rng" hidden="1" xlm="1">#NAME?</definedName>
    <definedName name="_xlpm.row5_range" hidden="1" xlm="1">#NAME?</definedName>
    <definedName name="_xlpm.row6_range" hidden="1" xlm="1">#NAME?</definedName>
    <definedName name="_xlpm.row9_range" hidden="1" xlm="1">#NAME?</definedName>
    <definedName name="_xlpm.scenario" hidden="1" xlm="1">#NAME?</definedName>
    <definedName name="_xlpm.scenario_cell" hidden="1" xlm="1">#NAME?</definedName>
    <definedName name="_xlpm.scenarioBlock" hidden="1" xlm="1">#NAME?</definedName>
    <definedName name="_xlpm.scenVal" hidden="1" xlm="1">#NAME?</definedName>
    <definedName name="_xlpm.seq" hidden="1" xlm="1">#NAME?</definedName>
    <definedName name="_xlpm.spb" hidden="1" xlm="1">#NAME?</definedName>
    <definedName name="_xlpm.start_col" hidden="1" xlm="1">#NAME?</definedName>
    <definedName name="_xlpm.startCol" hidden="1" xlm="1">#NAME?</definedName>
    <definedName name="_xlpm.StartDebt" hidden="1" xlm="1">#NAME?</definedName>
    <definedName name="_xlpm.startYear" hidden="1" xlm="1">#NAME?</definedName>
    <definedName name="_xlpm.startYr" hidden="1" xlm="1">#NAME?</definedName>
    <definedName name="_xlpm.tcol" hidden="1" xlm="1">#NAME?</definedName>
    <definedName name="_xlpm.th" hidden="1" xlm="1">#NAME?</definedName>
    <definedName name="_xlpm.thisYearCol" hidden="1" xlm="1">#NAME?</definedName>
    <definedName name="_xlpm.threshOut" hidden="1" xlm="1">#NAME?</definedName>
    <definedName name="_xlpm.threshPlan" hidden="1" xlm="1">#NAME?</definedName>
    <definedName name="_xlpm.threshSentence" hidden="1" xlm="1">#NAME?</definedName>
    <definedName name="_xlpm.type" hidden="1" xlm="1">#NAME?</definedName>
    <definedName name="_xlpm.v" hidden="1" xlm="1">#NAME?</definedName>
    <definedName name="_xlpm.vals" hidden="1" xlm="1">#NAME?</definedName>
    <definedName name="_xlpm.ws" hidden="1" xlm="1">#NAME?</definedName>
    <definedName name="_xlpm.y" hidden="1" xlm="1">#NAME?</definedName>
    <definedName name="_xlpm.years" hidden="1" xlm="1">#NAME?</definedName>
    <definedName name="_xlpm.years_range" hidden="1" xlm="1">#NAME?</definedName>
    <definedName name="_xlpm.yrs" hidden="1" xlm="1">#NAME?</definedName>
    <definedName name="AdjustmentPeriod">'Step 1 - Set global parameters'!$B$13</definedName>
    <definedName name="AdjustmentPeriodEnd">Validation!$Q$5</definedName>
    <definedName name="AssessmentEnd">'Step 3 (IMPL) - Enter outlook'!$G$3</definedName>
    <definedName name="AssessmentRound">'Step 1 - Set global parameters'!$B$6</definedName>
    <definedName name="ControlAccountChart_AnnualDeviationLimit">OFFSET('Chart data'!$F$22, 0, 0, 1, MATCH(MTP_EndYear, 'Chart data'!$F$2:$M$2, 0))</definedName>
    <definedName name="ControlAccountChart_CumulativeBalanceObserved">OFFSET('Chart data'!$F$15, 0, 0, 1, MATCH(MTP_EndYear, 'Chart data'!$F$2:$M$2, 0))</definedName>
    <definedName name="ControlAccountChart_CumulativeBalancePlanned">OFFSET('Chart data'!$F$16, 0, 0, 1, MATCH(MTP_EndYear, 'Chart data'!$F$2:$M$2, 0))</definedName>
    <definedName name="ControlAccountChart_CumulativeDeviationLimit">OFFSET('Chart data'!$F$23, 0, 0, 1, MATCH(MTP_EndYear, 'Chart data'!$F$2:$M$2, 0))</definedName>
    <definedName name="ControlAccountChart_Overspend">OFFSET('Chart data'!$F$19, 0, 0, 1, MATCH(MTP_EndYear, 'Chart data'!$F$2:$M$2, 0))</definedName>
    <definedName name="ControlAccountChart_Underspend">OFFSET('Chart data'!$F$18, 0, 0, 1, MATCH(MTP_EndYear, 'Chart data'!$F$2:$M$2, 0))</definedName>
    <definedName name="ControlAccountChart_UnrecordedAnnualDeviation">OFFSET('Chart data'!$F$21, 0, 0, 1, MATCH(AssessmentEnd, 'Chart data'!$F$2:$M$2, 0))</definedName>
    <definedName name="Country">'Step 1 - Set global parameters'!$B$2</definedName>
    <definedName name="Debt_Chart_60_Reference_Value">OFFSET('Chart data'!$F$93, 0, 0, 1, MATCH(AdjustmentPeriodEnd+10, 'Chart data'!$F$2:$Z$2, 0))</definedName>
    <definedName name="Debt_Chart_DSA">OFFSET('Chart data'!$F$89, 0, 0, 1, MATCH(AdjustmentPeriodEnd+10, 'Chart data'!$F$2:$Z$2, 0))</definedName>
    <definedName name="Debt_Chart_Observed_Breach">OFFSET('Chart data'!$F$92, 0, 0, 1, MATCH(AdjustmentPeriodEnd+10, 'Chart data'!$F$2:$Z$2, 0))</definedName>
    <definedName name="Debt_Chart_Observed_Compliant">OFFSET('Chart data'!$F$91, 0, 0, 1, MATCH(AdjustmentPeriodEnd+10, 'Chart data'!$F$2:$Z$2, 0))</definedName>
    <definedName name="Debt_Chart_Planned">OFFSET('Chart data'!$F$90, 0, 0, 1, MATCH(AdjustmentPeriodEnd+10, 'Chart data'!$F$2:$Z$2, 0))</definedName>
    <definedName name="Debt_Chart_Years">OFFSET('Chart data'!$F$2, 0, 0, 1, MATCH(AdjustmentPeriodEnd+10, 'Chart data'!$F$2:$Z$2, 0))</definedName>
    <definedName name="Debt_EDP_Deadline">'Step 1 - Set global parameters'!$B$33</definedName>
    <definedName name="DebtImplementationChart_60_Reference_Value">OFFSET('Chart data'!$F$34, 0, 0, 1, MATCH(MTP_EndYear, 'Chart data'!$F$2:$Z$2, 0))</definedName>
    <definedName name="DebtImplementationChart_MTP_Reference">OFFSET('Chart data'!$F$29, 0, 0, 1, MATCH(MTP_EndYear, 'Chart data'!$F$2:$Z$2, 0))</definedName>
    <definedName name="DebtImplementationChart_Observed_Breach">OFFSET('Chart data'!$F$33, 0, 0, 1, MATCH(MTP_EndYear, 'Chart data'!$F$2:$Z$2, 0))</definedName>
    <definedName name="DebtImplementationChart_Observed_Compliant">OFFSET('Chart data'!$F$32, 0, 0, 1, MATCH(MTP_EndYear, 'Chart data'!$F$2:$Z$2, 0))</definedName>
    <definedName name="DebtImplementationChart_Planned">OFFSET('Chart data'!$F$31, 0, 0, 1, MATCH(MTP_EndYear, 'Chart data'!$F$2:$Z$2, 0))</definedName>
    <definedName name="DebtImplementationChart_Years">OFFSET('Chart data'!$F$2, 0, 0, 1, MATCH(MTP_EndYear, 'Chart data'!$F$2:$Z$2, 0))</definedName>
    <definedName name="DebtSafeguardChart_Breach">OFFSET('Chart data'!$F$63, 0, 0, 1, MATCH(MTP_EndYear, 'Chart data'!$F$2:$Z$2, 0))</definedName>
    <definedName name="DebtSafeguardChart_Compliant">OFFSET('Chart data'!$F$62, 0, 0, 1, MATCH(MTP_EndYear, 'Chart data'!$F$2:$Z$2, 0))</definedName>
    <definedName name="DebtSafeguardChart_HelperSeries1">OFFSET('Chart data'!$F$60, 0, 0, 1, MATCH(MTP_EndYear, 'Chart data'!$F$2:$Z$2, 0))</definedName>
    <definedName name="DebtSafeguardChart_HelperSeries2">OFFSET('Chart data'!$F$61, 0, 0, 1, MATCH(MTP_EndYear, 'Chart data'!$F$2:$Z$2, 0))</definedName>
    <definedName name="DebtSafeGuardChart_MTP">OFFSET('Chart data'!$F$59, 0, 0, 1, MATCH(MTP_EndYear, 'Chart data'!$F$2:$Z$2, 0))</definedName>
    <definedName name="DebtSafeGuardChart_Planned">OFFSET('Chart data'!$F$64, 0, 0, 1, MATCH(MTP_EndYear, 'Chart data'!$F$2:$Z$2, 0))</definedName>
    <definedName name="DebtSafeguardChart_Required">OFFSET('Chart data'!$F$65, 0, 0, 1, MATCH(MTP_EndYear, 'Chart data'!$F$2:$Z$2, 0))</definedName>
    <definedName name="DebtSafeGuardChart_Years">OFFSET('Chart data'!$F$2, 0, 0, 1, MATCH(MTP_EndYear, 'Chart data'!$F$2:$Z$2, 0))</definedName>
    <definedName name="Deficit_Chart_EC_Reference">OFFSET('Chart data'!$F$79, 0, 0, 1, MATCH(AdjustmentPeriodEnd+10, 'Chart data'!$F$2:$Z$2, 0))</definedName>
    <definedName name="Deficit_Chart_Label_EC_Reference">OFFSET('Chart data'!$F$84, 0, 0, 1, MATCH(AdjustmentPeriodEnd+10, 'Chart data'!$F$2:$Z$2, 0))</definedName>
    <definedName name="Deficit_Chart_Label_Observed_Breach">OFFSET('Chart data'!$F$86, 0, 0, 1, MATCH(AdjustmentPeriodEnd+10, 'Chart data'!$F$2:$Z$2, 0))</definedName>
    <definedName name="Deficit_Chart_Label_Observed_Compliant">OFFSET('Chart data'!$F$85, 0, 0, 1, MATCH(AdjustmentPeriodEnd+10, 'Chart data'!$F$2:$Z$2, 0))</definedName>
    <definedName name="Deficit_Chart_Observed_Breach">OFFSET('Chart data'!$F$82, 0, 0, 1, MATCH(AdjustmentPeriodEnd+10, 'Chart data'!$F$2:$Z$2, 0))</definedName>
    <definedName name="Deficit_Chart_Observed_Compliant">OFFSET('Chart data'!$F$81, 0, 0, 1, MATCH(AdjustmentPeriodEnd+10, 'Chart data'!$F$2:$Z$2, 0))</definedName>
    <definedName name="Deficit_Chart_Planned">OFFSET('Chart data'!$F$80, 0, 0, 1, MATCH(AdjustmentPeriodEnd+10, 'Chart data'!$F$2:$Z$2, 0))</definedName>
    <definedName name="Deficit_Chart_Reference_Value">OFFSET('Chart data'!$F$83, 0, 0, 1, MATCH(AdjustmentPeriodEnd+10, 'Chart data'!$F$2:$Z$2, 0))</definedName>
    <definedName name="Deficit_Chart_Years">OFFSET('Chart data'!$F$2, 0, 0, 1, MATCH(AdjustmentPeriodEnd+10, 'Chart data'!$F$2:$Z$2, 0))</definedName>
    <definedName name="DeficitImplementationChart_MTP_Reference">OFFSET('Chart data'!$F$39, 0, 0, 1, MATCH(MTP_EndYear, 'Chart data'!$F$2:$Z$2, 0))</definedName>
    <definedName name="DeficitImplementationChart_Observed_Breach">OFFSET('Chart data'!$F$42, 0, 0, 1, MATCH(MTP_EndYear, 'Chart data'!$F$2:$Z$2, 0))</definedName>
    <definedName name="DeficitImplementationChart_Observed_Compliant">OFFSET('Chart data'!$F$41, 0, 0, 1, MATCH(MTP_EndYear, 'Chart data'!$F$2:$Z$2, 0))</definedName>
    <definedName name="DeficitImplementationChart_Planned">OFFSET('Chart data'!$F$40, 0, 0, 1, MATCH(MTP_EndYear, 'Chart data'!$F$2:$Z$2, 0))</definedName>
    <definedName name="DeficitImplementationChart_ReferenceValue">OFFSET('Chart data'!$F$43, 0, 0, 1, MATCH(MTP_EndYear, 'Chart data'!$F$2:$Z$2, 0))</definedName>
    <definedName name="DeficitImplementationChart_Years">OFFSET('Chart data'!$F$2, 0, 0, 1, MATCH(MTP_EndYear,'Chart data'!$F$2:$Z$2, 0))</definedName>
    <definedName name="EscapeClauseActivated">Validation!$Q$8</definedName>
    <definedName name="EurostatCountryCode">Validation!$Q$9</definedName>
    <definedName name="IFI_Name">'Step 1 - Set global parameters'!$B$3</definedName>
    <definedName name="MTP_BaseYear">'Step 1 - Set global parameters'!$B$10</definedName>
    <definedName name="MTP_BaseYearIsTminus2">Validation!$Q$12</definedName>
    <definedName name="MTP_Council_Endorsed">'Step 1 - Set global parameters'!$B$15</definedName>
    <definedName name="MTP_EndYear">Validation!$Q$2</definedName>
    <definedName name="MTP_PlanFirstYear">Validation!$Q$11</definedName>
    <definedName name="MTP_PlanningHorizon">'Step 1 - Set global parameters'!$B$12</definedName>
    <definedName name="MTP_Requirement">Assessment!$C$208</definedName>
    <definedName name="MTP_YearT">'Step 1 - Set global parameters'!$B$11</definedName>
    <definedName name="NE_Chart_Blank_Helper_1">OFFSET('Chart data'!$F$5, 0, 0, 1, MATCH(MTP_EndYear, 'Chart data'!$F$2:$M$2, 0))</definedName>
    <definedName name="NE_Chart_Blank_Helper_2">OFFSET('Chart data'!$F$7, 0, 0, 1, MATCH(MTP_EndYear, 'Chart data'!$F$2:$M$2, 0))</definedName>
    <definedName name="NE_Chart_EC_Reference">OFFSET('Chart data'!$F$4, 0, 0, 1, MATCH(MTP_EndYear, 'Chart data'!$F$2:$M$2, 0))</definedName>
    <definedName name="NE_Chart_Observed_Breach">OFFSET('Chart data'!$F$9, 0, 0, 1, MATCH(MTP_EndYear, 'Chart data'!$F$2:$M$2, 0))</definedName>
    <definedName name="NE_Chart_Observed_Compliant">OFFSET('Chart data'!$F$8, 0, 0, 1, MATCH(MTP_EndYear, 'Chart data'!$F$2:$M$2, 0))</definedName>
    <definedName name="NE_Chart_Planned">OFFSET('Chart data'!$F$6, 0, 0, 1, MATCH(MTP_EndYear, 'Chart data'!$F$2:$M$2, 0))</definedName>
    <definedName name="NE_Chart_Years">OFFSET('Chart data'!$F$2, 0, 0, 1, MATCH(MTP_EndYear, 'Chart data'!$F$2:$M$2, 0))</definedName>
    <definedName name="NE_EC_AdjustmentScenario_Chart_TechInfo">OFFSET('Chart data'!$F$124, 0, 0, 1, MATCH(AdjustmentPeriodEnd, 'Chart data'!$F$2:$M$2, 0))</definedName>
    <definedName name="NE_Original_Chart_EC">OFFSET('Chart data'!$F$114, 0, 0, 1, MATCH(AdjustmentPeriodEnd, 'Chart data'!$F$2:$M$2, 0))</definedName>
    <definedName name="NE_Original_Chart_ObservedBreach">OFFSET('Chart data'!$F$119, 0, 0, 1, MATCH(AdjustmentPeriodEnd, 'Chart data'!$F$2:$M$2, 0))</definedName>
    <definedName name="NE_Original_Chart_ObservedCompliant">OFFSET('Chart data'!$F$118, 0, 0, 1, MATCH(AdjustmentPeriodEnd, 'Chart data'!$F$2:$M$2, 0))</definedName>
    <definedName name="NE_Original_Chart_Planned">OFFSET('Chart data'!$F$116, 0, 0, 1, MATCH(AdjustmentPeriodEnd, 'Chart data'!$F$2:$M$2, 0))</definedName>
    <definedName name="OutturnThrough">'Step 2 - Update outturn data'!$E$2</definedName>
    <definedName name="PBChart_BlankHelper1">OFFSET('Chart data'!$F$147, 0, 0, 1, MATCH(AdjustmentPeriodEnd, 'Chart data'!$F$2:$M$2, 0))</definedName>
    <definedName name="PBChart_BlankHelper2">OFFSET('Chart data'!$F$148, 0, 0, 1, MATCH(AdjustmentPeriodEnd, 'Chart data'!$F$2:$M$2, 0))</definedName>
    <definedName name="PBChart_Breach">OFFSET('Chart data'!$F$150, 0, 0, 1, MATCH(AdjustmentPeriodEnd, 'Chart data'!$F$2:$M$2, 0))</definedName>
    <definedName name="PBChart_Compliant">OFFSET('Chart data'!$F$149, 0, 0, 1, MATCH(AdjustmentPeriodEnd, 'Chart data'!$F$2:$M$2, 0))</definedName>
    <definedName name="PBChart_MTP">OFFSET('Chart data'!$F$145, 0, 0, 1, MATCH(AdjustmentPeriodEnd, 'Chart data'!$F$2:$M$2, 0))</definedName>
    <definedName name="PBChart_Planned">OFFSET('Chart data'!$F$146, 0, 0, 1, MATCH(AdjustmentPeriodEnd, 'Chart data'!$F$2:$M$2, 0))</definedName>
    <definedName name="PBChart_Years">OFFSET('Chart data'!$F$2, 0, 0, 1, MATCH(AdjustmentPeriodEnd, 'Chart data'!$F$2:$Z$2, 0))</definedName>
    <definedName name="PriorGuidanceTransmissionDate">Validation!$Q$10</definedName>
    <definedName name="Receives_reference_trajectory">Validation!$Q$7</definedName>
    <definedName name="SBChart_BlankHelper1">OFFSET('Chart data'!$F$136, 0, 0, 1, MATCH(AdjustmentPeriodEnd, 'Chart data'!$F$2:$M$2, 0))</definedName>
    <definedName name="SBChart_BlankHelper2">OFFSET('Chart data'!$F$137, 0, 0, 1, MATCH(AdjustmentPeriodEnd, 'Chart data'!$F$2:$M$2, 0))</definedName>
    <definedName name="SBChart_Max">OFFSET('Chart data'!$F$140, 0, 0, 1, MATCH(AdjustmentPeriodEnd, 'Chart data'!$F$2:$M$2, 0))</definedName>
    <definedName name="SBChart_MTP">OFFSET('Chart data'!$F$134, 0, 0, 1, MATCH(AdjustmentPeriodEnd, 'Chart data'!$F$2:$M$2, 0))</definedName>
    <definedName name="SBChart_ObservedBreach">OFFSET('Chart data'!$F$139, 0, 0, 1, MATCH(AdjustmentPeriodEnd, 'Chart data'!$F$2:$M$2, 0))</definedName>
    <definedName name="SBChart_ObservedCompliant">OFFSET('Chart data'!$F$138, 0, 0, 1, MATCH(AdjustmentPeriodEnd, 'Chart data'!$F$2:$M$2, 0))</definedName>
    <definedName name="SBChart_Planned">OFFSET('Chart data'!$F$135, 0, 0, 1, MATCH(AdjustmentPeriodEnd, 'Chart data'!$F$2:$M$2, 0))</definedName>
    <definedName name="SBChart_Years">OFFSET('Chart data'!$F$2, 0, 0, 1, MATCH(AdjustmentPeriodEnd, 'Chart data'!$F$2:$Z$2, 0))</definedName>
    <definedName name="ScenarioName">'Step 1 - Set global parameters'!$B$7</definedName>
    <definedName name="SPB_Chart_Blank1">OFFSET('Chart data'!$F$125, 0, 0, 1, MATCH(AdjustmentPeriodEnd, 'Chart data'!$F$2:$M$2, 0))</definedName>
    <definedName name="SPB_Chart_Blank2">OFFSET('Chart data'!$F$127, 0, 0, 1, MATCH(AdjustmentPeriodEnd, 'Chart data'!$F$2:$M$2, 0))</definedName>
    <definedName name="SPB_Chart_EC">OFFSET('Chart data'!$F$124, 0, 0, 1, MATCH(AdjustmentPeriodEnd, 'Chart data'!$F$2:$M$2, 0))</definedName>
    <definedName name="SPB_Chart_ObservedBreach">OFFSET('Chart data'!$F$129, 0, 0, 1, MATCH(AdjustmentPeriodEnd, 'Chart data'!$F$2:$M$2, 0))</definedName>
    <definedName name="SPB_Chart_ObservedCompliant">OFFSET('Chart data'!$F$128, 0, 0, 1, MATCH(AdjustmentPeriodEnd, 'Chart data'!$F$2:$M$2, 0))</definedName>
    <definedName name="SPB_Chart_Planned">OFFSET('Chart data'!$F$126, 0, 0, 1, MATCH(AdjustmentPeriodEnd, 'Chart data'!$F$2:$M$2, 0))</definedName>
    <definedName name="SPB_MT_Chart_Council">OFFSET('Chart data'!$F$49, 0, 0, 1, MATCH(MTP_EndYear, 'Chart data'!$F$2:$M$2, 0))</definedName>
    <definedName name="SPB_MT_Chart_ObservedBreach">OFFSET('Chart data'!$F$54, 0, 0, 1, MATCH(MTP_EndYear, 'Chart data'!$F$2:$M$2, 0))</definedName>
    <definedName name="SPB_MT_Chart_ObservedCompliant">OFFSET('Chart data'!$F$53, 0, 0, 1, MATCH(MTP_EndYear, 'Chart data'!$F$2:$M$2, 0))</definedName>
    <definedName name="SPB_MT_Chart_Planned">OFFSET('Chart data'!$F$51, 0, 0, 1, MATCH(MTP_EndYear, 'Chart data'!$F$2:$M$2, 0))</definedName>
    <definedName name="SPB_TimeProfileChart_Endorsed">OFFSET('Chart data'!$F$70, 0, 0, 1, MATCH(MTP_EndYear, 'Chart data'!$F$2:$Z$2, 0))</definedName>
    <definedName name="SPB_TimeProfileChart_Observed">OFFSET('Chart data'!$F$74, 0, 0, 1, MATCH(MTP_EndYear, 'Chart data'!$F$2:$Z$2, 0))</definedName>
    <definedName name="SPB_TimeProfileChart_Planned">OFFSET('Chart data'!$F$72, 0, 0, 1, MATCH(MTP_EndYear, 'Chart data'!$F$2:$Z$2, 0))</definedName>
    <definedName name="SPB_TimeProfileChart_Years">OFFSET('Chart data'!$F$2, 0, 0, 1, MATCH(MTP_EndYear, 'Chart data'!$F$2:$Z$2, 0))</definedName>
    <definedName name="StochasticLastYear">Validation!$Q$4</definedName>
    <definedName name="TFEU_Debt">Validation!$T$3</definedName>
    <definedName name="TFEU_Deficit">Validation!$T$2</definedName>
    <definedName name="TransEDP_End">Validation!$T$5</definedName>
    <definedName name="TransEDP_Start">Validation!$T$4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92" i="64" l="1"/>
  <c r="D14" i="76"/>
  <c r="E63" i="77" a="1"/>
  <c r="E63" i="77" s="1"/>
  <c r="E5" i="77" a="1"/>
  <c r="E5" i="77" s="1"/>
  <c r="E34" i="74" a="1"/>
  <c r="E34" i="74" s="1"/>
  <c r="K51" i="77"/>
  <c r="L51" i="77"/>
  <c r="M51" i="77"/>
  <c r="K33" i="77"/>
  <c r="L33" i="77"/>
  <c r="M33" i="77"/>
  <c r="K30" i="77"/>
  <c r="K32" i="77" s="1"/>
  <c r="L30" i="77"/>
  <c r="L32" i="77" s="1"/>
  <c r="M30" i="77"/>
  <c r="M32" i="77" s="1"/>
  <c r="K13" i="77"/>
  <c r="L13" i="77"/>
  <c r="L40" i="77" s="1"/>
  <c r="L41" i="77" s="1"/>
  <c r="L49" i="77" s="1"/>
  <c r="L54" i="77" s="1"/>
  <c r="M13" i="77"/>
  <c r="M40" i="77" s="1"/>
  <c r="M41" i="77" s="1"/>
  <c r="M49" i="77" s="1"/>
  <c r="M54" i="77" s="1"/>
  <c r="E51" i="77"/>
  <c r="F51" i="77"/>
  <c r="G51" i="77"/>
  <c r="H51" i="77"/>
  <c r="I51" i="77"/>
  <c r="J51" i="77"/>
  <c r="D51" i="77"/>
  <c r="E33" i="77"/>
  <c r="F33" i="77"/>
  <c r="G33" i="77"/>
  <c r="H33" i="77"/>
  <c r="I33" i="77"/>
  <c r="J33" i="77"/>
  <c r="D33" i="77"/>
  <c r="E30" i="77"/>
  <c r="F30" i="77"/>
  <c r="F32" i="77" s="1"/>
  <c r="G30" i="77"/>
  <c r="G32" i="77" s="1"/>
  <c r="H30" i="77"/>
  <c r="H32" i="77" s="1"/>
  <c r="I30" i="77"/>
  <c r="I32" i="77" s="1"/>
  <c r="J30" i="77"/>
  <c r="J32" i="77" s="1"/>
  <c r="D30" i="77"/>
  <c r="E13" i="77"/>
  <c r="E15" i="77" s="1"/>
  <c r="F13" i="77"/>
  <c r="F15" i="77" s="1"/>
  <c r="G13" i="77"/>
  <c r="G15" i="77" s="1"/>
  <c r="H13" i="77"/>
  <c r="H15" i="77" s="1"/>
  <c r="I13" i="77"/>
  <c r="I15" i="77" s="1"/>
  <c r="J13" i="77"/>
  <c r="D63" i="77"/>
  <c r="D5" i="77"/>
  <c r="D13" i="77"/>
  <c r="D15" i="77" s="1"/>
  <c r="E12" i="21"/>
  <c r="Q12" i="47"/>
  <c r="D33" i="17" a="1"/>
  <c r="D33" i="17" s="1"/>
  <c r="K40" i="77" l="1"/>
  <c r="K41" i="77" s="1"/>
  <c r="K49" i="77" s="1"/>
  <c r="K54" i="77" s="1"/>
  <c r="M36" i="77"/>
  <c r="E35" i="74" a="1"/>
  <c r="E35" i="74" s="1"/>
  <c r="E40" i="77"/>
  <c r="E41" i="77" s="1"/>
  <c r="E49" i="77" s="1"/>
  <c r="E54" i="77" s="1"/>
  <c r="J40" i="77"/>
  <c r="J41" i="77" s="1"/>
  <c r="J49" i="77" s="1"/>
  <c r="J54" i="77" s="1"/>
  <c r="L36" i="77"/>
  <c r="K36" i="77"/>
  <c r="J15" i="77"/>
  <c r="M15" i="77"/>
  <c r="L15" i="77"/>
  <c r="K15" i="77"/>
  <c r="D40" i="77"/>
  <c r="D41" i="77" s="1"/>
  <c r="D49" i="77" s="1"/>
  <c r="D54" i="77" s="1"/>
  <c r="E32" i="77"/>
  <c r="E36" i="77" s="1"/>
  <c r="I40" i="77"/>
  <c r="I41" i="77" s="1"/>
  <c r="I49" i="77" s="1"/>
  <c r="I54" i="77" s="1"/>
  <c r="F40" i="77"/>
  <c r="F41" i="77" s="1"/>
  <c r="F49" i="77" s="1"/>
  <c r="F54" i="77" s="1"/>
  <c r="H40" i="77"/>
  <c r="H41" i="77" s="1"/>
  <c r="H49" i="77" s="1"/>
  <c r="H54" i="77" s="1"/>
  <c r="G40" i="77"/>
  <c r="G41" i="77" s="1"/>
  <c r="G49" i="77" s="1"/>
  <c r="G54" i="77" s="1"/>
  <c r="F36" i="77"/>
  <c r="J36" i="77"/>
  <c r="I36" i="77"/>
  <c r="H36" i="77"/>
  <c r="G36" i="77"/>
  <c r="D32" i="77"/>
  <c r="D36" i="77" s="1"/>
  <c r="B70" i="76" l="1"/>
  <c r="B72" i="76"/>
  <c r="B74" i="76"/>
  <c r="B75" i="76"/>
  <c r="B76" i="76"/>
  <c r="B77" i="76"/>
  <c r="C88" i="65" l="1"/>
  <c r="B133" i="64"/>
  <c r="B134" i="64"/>
  <c r="B43" i="76" s="1"/>
  <c r="H145" i="64"/>
  <c r="I145" i="64"/>
  <c r="J145" i="64"/>
  <c r="H146" i="64"/>
  <c r="I146" i="64"/>
  <c r="J146" i="64"/>
  <c r="H147" i="64"/>
  <c r="I147" i="64"/>
  <c r="J147" i="64"/>
  <c r="E147" i="64"/>
  <c r="D21" i="76" a="1"/>
  <c r="D21" i="76" s="1"/>
  <c r="D105" i="64" a="1"/>
  <c r="K6" i="64"/>
  <c r="K7" i="64"/>
  <c r="K8" i="64"/>
  <c r="K9" i="64"/>
  <c r="K10" i="64"/>
  <c r="K11" i="64"/>
  <c r="K12" i="64"/>
  <c r="K13" i="64"/>
  <c r="K14" i="64"/>
  <c r="K15" i="64"/>
  <c r="K16" i="64"/>
  <c r="K17" i="64"/>
  <c r="K18" i="64"/>
  <c r="K19" i="64"/>
  <c r="K20" i="64"/>
  <c r="K21" i="64"/>
  <c r="K22" i="64"/>
  <c r="K23" i="64"/>
  <c r="K24" i="64"/>
  <c r="K25" i="64"/>
  <c r="K26" i="64"/>
  <c r="K27" i="64"/>
  <c r="V4" i="17" a="1"/>
  <c r="E189" i="17"/>
  <c r="F189" i="17"/>
  <c r="G189" i="17"/>
  <c r="H189" i="17"/>
  <c r="I189" i="17"/>
  <c r="J189" i="17"/>
  <c r="K189" i="17"/>
  <c r="L189" i="17"/>
  <c r="M189" i="17"/>
  <c r="N189" i="17"/>
  <c r="O189" i="17"/>
  <c r="D189" i="17"/>
  <c r="B8" i="21"/>
  <c r="B7" i="21" a="1"/>
  <c r="B7" i="21" s="1"/>
  <c r="Q8" i="47"/>
  <c r="H120" i="64" l="1"/>
  <c r="H35" i="76" s="1"/>
  <c r="I120" i="64"/>
  <c r="I35" i="76" s="1"/>
  <c r="J120" i="64"/>
  <c r="J35" i="76" s="1"/>
  <c r="D105" i="64"/>
  <c r="D106" i="64" a="1"/>
  <c r="D106" i="64" s="1"/>
  <c r="V4" i="17"/>
  <c r="D33" i="75"/>
  <c r="C220" i="64"/>
  <c r="B1" i="21"/>
  <c r="B3" i="76"/>
  <c r="B4" i="21"/>
  <c r="E5" i="69"/>
  <c r="C213" i="64"/>
  <c r="C214" i="64" s="1"/>
  <c r="B196" i="64"/>
  <c r="C215" i="64" l="1"/>
  <c r="C217" i="64" s="1"/>
  <c r="F10" i="21" s="1"/>
  <c r="Q9" i="47"/>
  <c r="D29" i="75"/>
  <c r="B44" i="75"/>
  <c r="C216" i="64" l="1"/>
  <c r="E10" i="21" s="1"/>
  <c r="D10" i="21" s="1"/>
  <c r="E27" i="75"/>
  <c r="F27" i="75"/>
  <c r="G27" i="75"/>
  <c r="H27" i="75"/>
  <c r="I27" i="75"/>
  <c r="J27" i="75"/>
  <c r="K27" i="75"/>
  <c r="L27" i="75"/>
  <c r="M27" i="75"/>
  <c r="N27" i="75"/>
  <c r="O27" i="75"/>
  <c r="P27" i="75"/>
  <c r="Q27" i="75"/>
  <c r="R27" i="75"/>
  <c r="S27" i="75"/>
  <c r="D27" i="75"/>
  <c r="E25" i="75"/>
  <c r="F25" i="75"/>
  <c r="G25" i="75"/>
  <c r="H25" i="75"/>
  <c r="I25" i="75"/>
  <c r="J25" i="75"/>
  <c r="K25" i="75"/>
  <c r="L25" i="75"/>
  <c r="M25" i="75"/>
  <c r="N25" i="75"/>
  <c r="O25" i="75"/>
  <c r="P25" i="75"/>
  <c r="Q25" i="75"/>
  <c r="R25" i="75"/>
  <c r="S25" i="75"/>
  <c r="D25" i="75"/>
  <c r="E32" i="75" l="1"/>
  <c r="F32" i="75"/>
  <c r="G32" i="75"/>
  <c r="H32" i="75"/>
  <c r="I32" i="75"/>
  <c r="J32" i="75"/>
  <c r="K32" i="75"/>
  <c r="L32" i="75"/>
  <c r="M32" i="75"/>
  <c r="N32" i="75"/>
  <c r="O32" i="75"/>
  <c r="P32" i="75"/>
  <c r="Q32" i="75"/>
  <c r="R32" i="75"/>
  <c r="S32" i="75"/>
  <c r="D32" i="75"/>
  <c r="E31" i="75"/>
  <c r="F31" i="75"/>
  <c r="G31" i="75"/>
  <c r="H31" i="75"/>
  <c r="I31" i="75"/>
  <c r="J31" i="75"/>
  <c r="K31" i="75"/>
  <c r="L31" i="75"/>
  <c r="M31" i="75"/>
  <c r="N31" i="75"/>
  <c r="O31" i="75"/>
  <c r="P31" i="75"/>
  <c r="Q31" i="75"/>
  <c r="R31" i="75"/>
  <c r="S31" i="75"/>
  <c r="D31" i="75"/>
  <c r="E30" i="75"/>
  <c r="F30" i="75"/>
  <c r="G30" i="75"/>
  <c r="H30" i="75"/>
  <c r="I30" i="75"/>
  <c r="J30" i="75"/>
  <c r="K30" i="75"/>
  <c r="L30" i="75"/>
  <c r="M30" i="75"/>
  <c r="N30" i="75"/>
  <c r="O30" i="75"/>
  <c r="P30" i="75"/>
  <c r="Q30" i="75"/>
  <c r="R30" i="75"/>
  <c r="S30" i="75"/>
  <c r="D30" i="75"/>
  <c r="E29" i="75"/>
  <c r="F29" i="75"/>
  <c r="G29" i="75"/>
  <c r="H29" i="75"/>
  <c r="I29" i="75"/>
  <c r="J29" i="75"/>
  <c r="K29" i="75"/>
  <c r="L29" i="75"/>
  <c r="M29" i="75"/>
  <c r="N29" i="75"/>
  <c r="O29" i="75"/>
  <c r="P29" i="75"/>
  <c r="Q29" i="75"/>
  <c r="R29" i="75"/>
  <c r="S29" i="75"/>
  <c r="E16" i="75"/>
  <c r="F16" i="75"/>
  <c r="G16" i="75"/>
  <c r="H16" i="75"/>
  <c r="I16" i="75"/>
  <c r="D16" i="75"/>
  <c r="I15" i="75"/>
  <c r="H15" i="75"/>
  <c r="G15" i="75"/>
  <c r="F15" i="75"/>
  <c r="E15" i="75"/>
  <c r="D15" i="75"/>
  <c r="E14" i="75"/>
  <c r="F14" i="75"/>
  <c r="G14" i="75"/>
  <c r="H14" i="75"/>
  <c r="I14" i="75"/>
  <c r="D14" i="75"/>
  <c r="E13" i="75"/>
  <c r="F13" i="75"/>
  <c r="G13" i="75"/>
  <c r="H13" i="75"/>
  <c r="I13" i="75"/>
  <c r="D13" i="75"/>
  <c r="E12" i="75"/>
  <c r="F12" i="75"/>
  <c r="G12" i="75"/>
  <c r="H12" i="75"/>
  <c r="I12" i="75"/>
  <c r="D12" i="75"/>
  <c r="E11" i="75"/>
  <c r="F11" i="75"/>
  <c r="G11" i="75"/>
  <c r="H11" i="75"/>
  <c r="I11" i="75"/>
  <c r="D11" i="75"/>
  <c r="E10" i="75"/>
  <c r="F10" i="75"/>
  <c r="G10" i="75"/>
  <c r="H10" i="75"/>
  <c r="I10" i="75"/>
  <c r="D10" i="75"/>
  <c r="E9" i="75"/>
  <c r="F9" i="75"/>
  <c r="G9" i="75"/>
  <c r="H9" i="75"/>
  <c r="I9" i="75"/>
  <c r="D9" i="75"/>
  <c r="E8" i="75"/>
  <c r="F8" i="75"/>
  <c r="G8" i="75"/>
  <c r="H8" i="75"/>
  <c r="I8" i="75"/>
  <c r="D8" i="75"/>
  <c r="E7" i="75"/>
  <c r="F7" i="75"/>
  <c r="G7" i="75"/>
  <c r="H7" i="75"/>
  <c r="I7" i="75"/>
  <c r="D7" i="75"/>
  <c r="F6" i="75"/>
  <c r="G6" i="75"/>
  <c r="H6" i="75"/>
  <c r="I6" i="75"/>
  <c r="E6" i="75"/>
  <c r="D128" i="75" l="1"/>
  <c r="D70" i="75"/>
  <c r="S18" i="75"/>
  <c r="B2" i="64" l="1"/>
  <c r="B29" i="64"/>
  <c r="B30" i="17" l="1"/>
  <c r="L115" i="17" l="1"/>
  <c r="M115" i="17"/>
  <c r="N115" i="17"/>
  <c r="O115" i="17"/>
  <c r="P115" i="17"/>
  <c r="Q115" i="17"/>
  <c r="R116" i="17"/>
  <c r="S116" i="17"/>
  <c r="T116" i="17"/>
  <c r="U116" i="17"/>
  <c r="V116" i="17"/>
  <c r="W116" i="17"/>
  <c r="X116" i="17"/>
  <c r="Y116" i="17"/>
  <c r="Z116" i="17"/>
  <c r="L116" i="17"/>
  <c r="M116" i="17"/>
  <c r="N116" i="17"/>
  <c r="O116" i="17"/>
  <c r="P116" i="17"/>
  <c r="Q116" i="17"/>
  <c r="R117" i="17"/>
  <c r="S117" i="17"/>
  <c r="T117" i="17"/>
  <c r="U117" i="17"/>
  <c r="V117" i="17"/>
  <c r="W117" i="17"/>
  <c r="X117" i="17"/>
  <c r="Y117" i="17"/>
  <c r="Z117" i="17"/>
  <c r="L126" i="17"/>
  <c r="M126" i="17"/>
  <c r="N126" i="17"/>
  <c r="O126" i="17"/>
  <c r="P126" i="17"/>
  <c r="Q126" i="17"/>
  <c r="R127" i="17"/>
  <c r="S127" i="17"/>
  <c r="T127" i="17"/>
  <c r="U127" i="17"/>
  <c r="V127" i="17"/>
  <c r="W127" i="17"/>
  <c r="X127" i="17"/>
  <c r="Y127" i="17"/>
  <c r="Z127" i="17"/>
  <c r="L132" i="17"/>
  <c r="M132" i="17"/>
  <c r="N132" i="17"/>
  <c r="O132" i="17"/>
  <c r="P132" i="17"/>
  <c r="Q132" i="17"/>
  <c r="R133" i="17"/>
  <c r="S133" i="17"/>
  <c r="T133" i="17"/>
  <c r="U133" i="17"/>
  <c r="V133" i="17"/>
  <c r="W133" i="17"/>
  <c r="X133" i="17"/>
  <c r="Y133" i="17"/>
  <c r="Z133" i="17"/>
  <c r="L133" i="17"/>
  <c r="M133" i="17"/>
  <c r="N133" i="17"/>
  <c r="O133" i="17"/>
  <c r="P133" i="17"/>
  <c r="Q133" i="17"/>
  <c r="R134" i="17"/>
  <c r="S134" i="17"/>
  <c r="T134" i="17"/>
  <c r="U134" i="17"/>
  <c r="V134" i="17"/>
  <c r="W134" i="17"/>
  <c r="X134" i="17"/>
  <c r="Y134" i="17"/>
  <c r="Z134" i="17"/>
  <c r="L142" i="17"/>
  <c r="M142" i="17"/>
  <c r="N142" i="17"/>
  <c r="O142" i="17"/>
  <c r="P142" i="17"/>
  <c r="Q142" i="17"/>
  <c r="R143" i="17"/>
  <c r="S143" i="17"/>
  <c r="T143" i="17"/>
  <c r="U143" i="17"/>
  <c r="V143" i="17"/>
  <c r="W143" i="17"/>
  <c r="X143" i="17"/>
  <c r="Y143" i="17"/>
  <c r="Z143" i="17"/>
  <c r="L143" i="17"/>
  <c r="M143" i="17"/>
  <c r="N143" i="17"/>
  <c r="O143" i="17"/>
  <c r="P143" i="17"/>
  <c r="Q143" i="17"/>
  <c r="R144" i="17"/>
  <c r="S144" i="17"/>
  <c r="T144" i="17"/>
  <c r="U144" i="17"/>
  <c r="V144" i="17"/>
  <c r="W144" i="17"/>
  <c r="X144" i="17"/>
  <c r="Y144" i="17"/>
  <c r="Z144" i="17"/>
  <c r="L149" i="17"/>
  <c r="M149" i="17"/>
  <c r="N149" i="17"/>
  <c r="O149" i="17"/>
  <c r="P149" i="17"/>
  <c r="Q149" i="17"/>
  <c r="R150" i="17"/>
  <c r="S150" i="17"/>
  <c r="T150" i="17"/>
  <c r="U150" i="17"/>
  <c r="V150" i="17"/>
  <c r="W150" i="17"/>
  <c r="X150" i="17"/>
  <c r="Y150" i="17"/>
  <c r="Z150" i="17"/>
  <c r="L151" i="17"/>
  <c r="M151" i="17"/>
  <c r="N151" i="17"/>
  <c r="O151" i="17"/>
  <c r="P151" i="17"/>
  <c r="Q151" i="17"/>
  <c r="R152" i="17"/>
  <c r="S152" i="17"/>
  <c r="T152" i="17"/>
  <c r="U152" i="17"/>
  <c r="V152" i="17"/>
  <c r="W152" i="17"/>
  <c r="X152" i="17"/>
  <c r="Y152" i="17"/>
  <c r="Z152" i="17"/>
  <c r="L152" i="17"/>
  <c r="M152" i="17"/>
  <c r="N152" i="17"/>
  <c r="O152" i="17"/>
  <c r="P152" i="17"/>
  <c r="Q152" i="17"/>
  <c r="R153" i="17"/>
  <c r="S153" i="17"/>
  <c r="T153" i="17"/>
  <c r="U153" i="17"/>
  <c r="V153" i="17"/>
  <c r="W153" i="17"/>
  <c r="X153" i="17"/>
  <c r="Y153" i="17"/>
  <c r="Z153" i="17"/>
  <c r="L160" i="17"/>
  <c r="M160" i="17"/>
  <c r="N160" i="17"/>
  <c r="O160" i="17"/>
  <c r="P160" i="17"/>
  <c r="P106" i="17" s="1"/>
  <c r="Q160" i="17"/>
  <c r="Q106" i="17" s="1"/>
  <c r="R161" i="17"/>
  <c r="R107" i="17" s="1"/>
  <c r="S161" i="17"/>
  <c r="S107" i="17" s="1"/>
  <c r="T161" i="17"/>
  <c r="T107" i="17" s="1"/>
  <c r="U161" i="17"/>
  <c r="U107" i="17" s="1"/>
  <c r="V161" i="17"/>
  <c r="W161" i="17"/>
  <c r="W107" i="17" s="1"/>
  <c r="X161" i="17"/>
  <c r="X107" i="17" s="1"/>
  <c r="Y161" i="17"/>
  <c r="Y107" i="17" s="1"/>
  <c r="Z161" i="17"/>
  <c r="L161" i="17"/>
  <c r="L107" i="17" s="1"/>
  <c r="M161" i="17"/>
  <c r="M107" i="17" s="1"/>
  <c r="N161" i="17"/>
  <c r="N107" i="17" s="1"/>
  <c r="O161" i="17"/>
  <c r="O107" i="17" s="1"/>
  <c r="P161" i="17"/>
  <c r="P107" i="17" s="1"/>
  <c r="Q161" i="17"/>
  <c r="Q107" i="17" s="1"/>
  <c r="R162" i="17"/>
  <c r="R108" i="17" s="1"/>
  <c r="S162" i="17"/>
  <c r="S108" i="17" s="1"/>
  <c r="T162" i="17"/>
  <c r="T108" i="17" s="1"/>
  <c r="U162" i="17"/>
  <c r="U108" i="17" s="1"/>
  <c r="V162" i="17"/>
  <c r="V108" i="17" s="1"/>
  <c r="W162" i="17"/>
  <c r="X162" i="17"/>
  <c r="X108" i="17" s="1"/>
  <c r="Y162" i="17"/>
  <c r="Y108" i="17" s="1"/>
  <c r="Z162" i="17"/>
  <c r="Z108" i="17" s="1"/>
  <c r="L162" i="17"/>
  <c r="L108" i="17" s="1"/>
  <c r="M162" i="17"/>
  <c r="M108" i="17" s="1"/>
  <c r="N162" i="17"/>
  <c r="N108" i="17" s="1"/>
  <c r="O162" i="17"/>
  <c r="O108" i="17" s="1"/>
  <c r="P162" i="17"/>
  <c r="P108" i="17" s="1"/>
  <c r="Q162" i="17"/>
  <c r="Q108" i="17" s="1"/>
  <c r="R163" i="17"/>
  <c r="R109" i="17" s="1"/>
  <c r="S163" i="17"/>
  <c r="S109" i="17" s="1"/>
  <c r="T163" i="17"/>
  <c r="T109" i="17" s="1"/>
  <c r="U163" i="17"/>
  <c r="U109" i="17" s="1"/>
  <c r="V163" i="17"/>
  <c r="V109" i="17" s="1"/>
  <c r="W163" i="17"/>
  <c r="W109" i="17" s="1"/>
  <c r="X163" i="17"/>
  <c r="Y163" i="17"/>
  <c r="Y109" i="17" s="1"/>
  <c r="Z163" i="17"/>
  <c r="Z109" i="17" s="1"/>
  <c r="L163" i="17"/>
  <c r="L109" i="17" s="1"/>
  <c r="M163" i="17"/>
  <c r="M109" i="17" s="1"/>
  <c r="N163" i="17"/>
  <c r="N109" i="17" s="1"/>
  <c r="O163" i="17"/>
  <c r="O109" i="17" s="1"/>
  <c r="P163" i="17"/>
  <c r="P109" i="17" s="1"/>
  <c r="Q163" i="17"/>
  <c r="Q109" i="17" s="1"/>
  <c r="R164" i="17"/>
  <c r="R110" i="17" s="1"/>
  <c r="S164" i="17"/>
  <c r="S110" i="17" s="1"/>
  <c r="T164" i="17"/>
  <c r="T110" i="17" s="1"/>
  <c r="U164" i="17"/>
  <c r="U110" i="17" s="1"/>
  <c r="V164" i="17"/>
  <c r="V110" i="17" s="1"/>
  <c r="W164" i="17"/>
  <c r="W110" i="17" s="1"/>
  <c r="X164" i="17"/>
  <c r="X110" i="17" s="1"/>
  <c r="Y164" i="17"/>
  <c r="Z164" i="17"/>
  <c r="Z110" i="17" s="1"/>
  <c r="L164" i="17"/>
  <c r="L110" i="17" s="1"/>
  <c r="M164" i="17"/>
  <c r="M110" i="17" s="1"/>
  <c r="N164" i="17"/>
  <c r="N110" i="17" s="1"/>
  <c r="O164" i="17"/>
  <c r="O110" i="17" s="1"/>
  <c r="P164" i="17"/>
  <c r="P110" i="17" s="1"/>
  <c r="Q164" i="17"/>
  <c r="Q110" i="17" s="1"/>
  <c r="R165" i="17"/>
  <c r="R111" i="17" s="1"/>
  <c r="S165" i="17"/>
  <c r="S111" i="17" s="1"/>
  <c r="T165" i="17"/>
  <c r="T111" i="17" s="1"/>
  <c r="U165" i="17"/>
  <c r="U111" i="17" s="1"/>
  <c r="V165" i="17"/>
  <c r="V111" i="17" s="1"/>
  <c r="W165" i="17"/>
  <c r="W111" i="17" s="1"/>
  <c r="X165" i="17"/>
  <c r="X111" i="17" s="1"/>
  <c r="Y165" i="17"/>
  <c r="Y111" i="17" s="1"/>
  <c r="Z165" i="17"/>
  <c r="Z111" i="17" s="1"/>
  <c r="L165" i="17"/>
  <c r="L111" i="17" s="1"/>
  <c r="M165" i="17"/>
  <c r="M111" i="17" s="1"/>
  <c r="N165" i="17"/>
  <c r="N111" i="17" s="1"/>
  <c r="O165" i="17"/>
  <c r="O111" i="17" s="1"/>
  <c r="P165" i="17"/>
  <c r="P111" i="17" s="1"/>
  <c r="Q165" i="17"/>
  <c r="Q111" i="17" s="1"/>
  <c r="R166" i="17"/>
  <c r="R112" i="17" s="1"/>
  <c r="S166" i="17"/>
  <c r="S112" i="17" s="1"/>
  <c r="T166" i="17"/>
  <c r="T112" i="17" s="1"/>
  <c r="U166" i="17"/>
  <c r="U112" i="17" s="1"/>
  <c r="V166" i="17"/>
  <c r="V112" i="17" s="1"/>
  <c r="W166" i="17"/>
  <c r="W112" i="17" s="1"/>
  <c r="X166" i="17"/>
  <c r="X112" i="17" s="1"/>
  <c r="Y166" i="17"/>
  <c r="Y112" i="17" s="1"/>
  <c r="Z166" i="17"/>
  <c r="Z112" i="17" s="1"/>
  <c r="L167" i="17"/>
  <c r="L113" i="17" s="1"/>
  <c r="M167" i="17"/>
  <c r="M113" i="17" s="1"/>
  <c r="N167" i="17"/>
  <c r="N113" i="17" s="1"/>
  <c r="O167" i="17"/>
  <c r="O113" i="17" s="1"/>
  <c r="P167" i="17"/>
  <c r="P113" i="17" s="1"/>
  <c r="Q167" i="17"/>
  <c r="Q113" i="17" s="1"/>
  <c r="R168" i="17"/>
  <c r="R114" i="17" s="1"/>
  <c r="S168" i="17"/>
  <c r="S114" i="17" s="1"/>
  <c r="T168" i="17"/>
  <c r="T114" i="17" s="1"/>
  <c r="U168" i="17"/>
  <c r="U114" i="17" s="1"/>
  <c r="V168" i="17"/>
  <c r="V114" i="17" s="1"/>
  <c r="W168" i="17"/>
  <c r="W114" i="17" s="1"/>
  <c r="X168" i="17"/>
  <c r="X114" i="17" s="1"/>
  <c r="Y168" i="17"/>
  <c r="Y114" i="17" s="1"/>
  <c r="Z168" i="17"/>
  <c r="Z114" i="17" s="1"/>
  <c r="L173" i="17"/>
  <c r="M173" i="17"/>
  <c r="M118" i="17" s="1"/>
  <c r="N173" i="17"/>
  <c r="N118" i="17" s="1"/>
  <c r="O173" i="17"/>
  <c r="O118" i="17" s="1"/>
  <c r="P173" i="17"/>
  <c r="Q173" i="17"/>
  <c r="Q118" i="17" s="1"/>
  <c r="R174" i="17"/>
  <c r="R119" i="17" s="1"/>
  <c r="S174" i="17"/>
  <c r="S119" i="17" s="1"/>
  <c r="T174" i="17"/>
  <c r="T119" i="17" s="1"/>
  <c r="U174" i="17"/>
  <c r="U119" i="17" s="1"/>
  <c r="V174" i="17"/>
  <c r="V119" i="17" s="1"/>
  <c r="W174" i="17"/>
  <c r="X174" i="17"/>
  <c r="Y174" i="17"/>
  <c r="Z174" i="17"/>
  <c r="Z119" i="17" s="1"/>
  <c r="L174" i="17"/>
  <c r="L119" i="17" s="1"/>
  <c r="M174" i="17"/>
  <c r="M119" i="17" s="1"/>
  <c r="N174" i="17"/>
  <c r="N119" i="17" s="1"/>
  <c r="O174" i="17"/>
  <c r="O119" i="17" s="1"/>
  <c r="P174" i="17"/>
  <c r="P119" i="17" s="1"/>
  <c r="Q174" i="17"/>
  <c r="Q119" i="17" s="1"/>
  <c r="R175" i="17"/>
  <c r="R120" i="17" s="1"/>
  <c r="S175" i="17"/>
  <c r="S120" i="17" s="1"/>
  <c r="T175" i="17"/>
  <c r="T120" i="17" s="1"/>
  <c r="U175" i="17"/>
  <c r="V175" i="17"/>
  <c r="V120" i="17" s="1"/>
  <c r="W175" i="17"/>
  <c r="W120" i="17" s="1"/>
  <c r="X175" i="17"/>
  <c r="X120" i="17" s="1"/>
  <c r="Y175" i="17"/>
  <c r="Y120" i="17" s="1"/>
  <c r="Z175" i="17"/>
  <c r="Z120" i="17" s="1"/>
  <c r="L175" i="17"/>
  <c r="L120" i="17" s="1"/>
  <c r="M175" i="17"/>
  <c r="M120" i="17" s="1"/>
  <c r="N175" i="17"/>
  <c r="O175" i="17"/>
  <c r="O205" i="17" s="1"/>
  <c r="O150" i="17" s="1"/>
  <c r="P175" i="17"/>
  <c r="P205" i="17" s="1"/>
  <c r="P150" i="17" s="1"/>
  <c r="Q175" i="17"/>
  <c r="Q205" i="17" s="1"/>
  <c r="Q150" i="17" s="1"/>
  <c r="R176" i="17"/>
  <c r="R206" i="17" s="1"/>
  <c r="R151" i="17" s="1"/>
  <c r="S176" i="17"/>
  <c r="S206" i="17" s="1"/>
  <c r="S151" i="17" s="1"/>
  <c r="T176" i="17"/>
  <c r="T121" i="17" s="1"/>
  <c r="U176" i="17"/>
  <c r="U121" i="17" s="1"/>
  <c r="V176" i="17"/>
  <c r="V121" i="17" s="1"/>
  <c r="W176" i="17"/>
  <c r="W121" i="17" s="1"/>
  <c r="X176" i="17"/>
  <c r="X121" i="17" s="1"/>
  <c r="Y176" i="17"/>
  <c r="Y121" i="17" s="1"/>
  <c r="Z176" i="17"/>
  <c r="L176" i="17"/>
  <c r="L121" i="17" s="1"/>
  <c r="M176" i="17"/>
  <c r="M121" i="17" s="1"/>
  <c r="N176" i="17"/>
  <c r="N121" i="17" s="1"/>
  <c r="O176" i="17"/>
  <c r="P176" i="17"/>
  <c r="P121" i="17" s="1"/>
  <c r="Q176" i="17"/>
  <c r="Q121" i="17" s="1"/>
  <c r="R177" i="17"/>
  <c r="R122" i="17" s="1"/>
  <c r="S177" i="17"/>
  <c r="S122" i="17" s="1"/>
  <c r="T177" i="17"/>
  <c r="T122" i="17" s="1"/>
  <c r="U177" i="17"/>
  <c r="U122" i="17" s="1"/>
  <c r="V177" i="17"/>
  <c r="V122" i="17" s="1"/>
  <c r="W177" i="17"/>
  <c r="W122" i="17" s="1"/>
  <c r="X177" i="17"/>
  <c r="X122" i="17" s="1"/>
  <c r="Y177" i="17"/>
  <c r="Y122" i="17" s="1"/>
  <c r="Z177" i="17"/>
  <c r="Z122" i="17" s="1"/>
  <c r="L177" i="17"/>
  <c r="L122" i="17" s="1"/>
  <c r="M177" i="17"/>
  <c r="M122" i="17" s="1"/>
  <c r="N177" i="17"/>
  <c r="N122" i="17" s="1"/>
  <c r="O177" i="17"/>
  <c r="O122" i="17" s="1"/>
  <c r="P177" i="17"/>
  <c r="P122" i="17" s="1"/>
  <c r="Q177" i="17"/>
  <c r="Q122" i="17" s="1"/>
  <c r="R178" i="17"/>
  <c r="R123" i="17" s="1"/>
  <c r="S178" i="17"/>
  <c r="S123" i="17" s="1"/>
  <c r="T178" i="17"/>
  <c r="T123" i="17" s="1"/>
  <c r="U178" i="17"/>
  <c r="U123" i="17" s="1"/>
  <c r="V178" i="17"/>
  <c r="V123" i="17" s="1"/>
  <c r="W178" i="17"/>
  <c r="W123" i="17" s="1"/>
  <c r="X178" i="17"/>
  <c r="X123" i="17" s="1"/>
  <c r="Y178" i="17"/>
  <c r="Y123" i="17" s="1"/>
  <c r="Z178" i="17"/>
  <c r="Z123" i="17" s="1"/>
  <c r="L178" i="17"/>
  <c r="L123" i="17" s="1"/>
  <c r="M178" i="17"/>
  <c r="M123" i="17" s="1"/>
  <c r="N178" i="17"/>
  <c r="N123" i="17" s="1"/>
  <c r="O178" i="17"/>
  <c r="O123" i="17" s="1"/>
  <c r="P178" i="17"/>
  <c r="P123" i="17" s="1"/>
  <c r="Q178" i="17"/>
  <c r="Q123" i="17" s="1"/>
  <c r="R179" i="17"/>
  <c r="R124" i="17" s="1"/>
  <c r="S179" i="17"/>
  <c r="S124" i="17" s="1"/>
  <c r="T179" i="17"/>
  <c r="T124" i="17" s="1"/>
  <c r="U179" i="17"/>
  <c r="U124" i="17" s="1"/>
  <c r="V179" i="17"/>
  <c r="V124" i="17" s="1"/>
  <c r="W179" i="17"/>
  <c r="W124" i="17" s="1"/>
  <c r="X179" i="17"/>
  <c r="X124" i="17" s="1"/>
  <c r="Y179" i="17"/>
  <c r="Y124" i="17" s="1"/>
  <c r="Z179" i="17"/>
  <c r="Z124" i="17" s="1"/>
  <c r="L179" i="17"/>
  <c r="L124" i="17" s="1"/>
  <c r="M179" i="17"/>
  <c r="M124" i="17" s="1"/>
  <c r="N179" i="17"/>
  <c r="N124" i="17" s="1"/>
  <c r="O179" i="17"/>
  <c r="O124" i="17" s="1"/>
  <c r="P179" i="17"/>
  <c r="P124" i="17" s="1"/>
  <c r="Q179" i="17"/>
  <c r="Q124" i="17" s="1"/>
  <c r="R180" i="17"/>
  <c r="R125" i="17" s="1"/>
  <c r="S180" i="17"/>
  <c r="S125" i="17" s="1"/>
  <c r="T180" i="17"/>
  <c r="T125" i="17" s="1"/>
  <c r="U180" i="17"/>
  <c r="U125" i="17" s="1"/>
  <c r="V180" i="17"/>
  <c r="V125" i="17" s="1"/>
  <c r="W180" i="17"/>
  <c r="W125" i="17" s="1"/>
  <c r="X180" i="17"/>
  <c r="X125" i="17" s="1"/>
  <c r="Y180" i="17"/>
  <c r="Y125" i="17" s="1"/>
  <c r="Z180" i="17"/>
  <c r="Z125" i="17" s="1"/>
  <c r="L180" i="17"/>
  <c r="L125" i="17" s="1"/>
  <c r="M180" i="17"/>
  <c r="M125" i="17" s="1"/>
  <c r="N180" i="17"/>
  <c r="N125" i="17" s="1"/>
  <c r="O180" i="17"/>
  <c r="O125" i="17" s="1"/>
  <c r="P180" i="17"/>
  <c r="P125" i="17" s="1"/>
  <c r="Q180" i="17"/>
  <c r="Q125" i="17" s="1"/>
  <c r="R181" i="17"/>
  <c r="R126" i="17" s="1"/>
  <c r="S181" i="17"/>
  <c r="S126" i="17" s="1"/>
  <c r="T181" i="17"/>
  <c r="T126" i="17" s="1"/>
  <c r="U181" i="17"/>
  <c r="U126" i="17" s="1"/>
  <c r="V181" i="17"/>
  <c r="V126" i="17" s="1"/>
  <c r="W181" i="17"/>
  <c r="W126" i="17" s="1"/>
  <c r="X181" i="17"/>
  <c r="X126" i="17" s="1"/>
  <c r="Y181" i="17"/>
  <c r="Y126" i="17" s="1"/>
  <c r="Z181" i="17"/>
  <c r="Z126" i="17" s="1"/>
  <c r="L182" i="17"/>
  <c r="L127" i="17" s="1"/>
  <c r="M182" i="17"/>
  <c r="M127" i="17" s="1"/>
  <c r="N182" i="17"/>
  <c r="N127" i="17" s="1"/>
  <c r="O182" i="17"/>
  <c r="O127" i="17" s="1"/>
  <c r="P182" i="17"/>
  <c r="P127" i="17" s="1"/>
  <c r="Q182" i="17"/>
  <c r="Q127" i="17" s="1"/>
  <c r="R183" i="17"/>
  <c r="R128" i="17" s="1"/>
  <c r="S183" i="17"/>
  <c r="S128" i="17" s="1"/>
  <c r="T183" i="17"/>
  <c r="T128" i="17" s="1"/>
  <c r="U183" i="17"/>
  <c r="U128" i="17" s="1"/>
  <c r="V183" i="17"/>
  <c r="V128" i="17" s="1"/>
  <c r="W183" i="17"/>
  <c r="W128" i="17" s="1"/>
  <c r="X183" i="17"/>
  <c r="X128" i="17" s="1"/>
  <c r="Y183" i="17"/>
  <c r="Y128" i="17" s="1"/>
  <c r="Z183" i="17"/>
  <c r="Z128" i="17" s="1"/>
  <c r="L183" i="17"/>
  <c r="L128" i="17" s="1"/>
  <c r="M183" i="17"/>
  <c r="M128" i="17" s="1"/>
  <c r="N183" i="17"/>
  <c r="N128" i="17" s="1"/>
  <c r="O183" i="17"/>
  <c r="O128" i="17" s="1"/>
  <c r="P183" i="17"/>
  <c r="P128" i="17" s="1"/>
  <c r="Q183" i="17"/>
  <c r="Q128" i="17" s="1"/>
  <c r="R184" i="17"/>
  <c r="R129" i="17" s="1"/>
  <c r="S184" i="17"/>
  <c r="S129" i="17" s="1"/>
  <c r="T184" i="17"/>
  <c r="T129" i="17" s="1"/>
  <c r="U184" i="17"/>
  <c r="U129" i="17" s="1"/>
  <c r="V184" i="17"/>
  <c r="V129" i="17" s="1"/>
  <c r="W184" i="17"/>
  <c r="W129" i="17" s="1"/>
  <c r="X184" i="17"/>
  <c r="X129" i="17" s="1"/>
  <c r="Y184" i="17"/>
  <c r="Y129" i="17" s="1"/>
  <c r="Z184" i="17"/>
  <c r="Z129" i="17" s="1"/>
  <c r="L134" i="17"/>
  <c r="M134" i="17"/>
  <c r="N134" i="17"/>
  <c r="O134" i="17"/>
  <c r="P189" i="17"/>
  <c r="P134" i="17" s="1"/>
  <c r="Q189" i="17"/>
  <c r="Q134" i="17" s="1"/>
  <c r="R190" i="17"/>
  <c r="R135" i="17" s="1"/>
  <c r="S190" i="17"/>
  <c r="S135" i="17" s="1"/>
  <c r="T190" i="17"/>
  <c r="T135" i="17" s="1"/>
  <c r="U190" i="17"/>
  <c r="U135" i="17" s="1"/>
  <c r="V190" i="17"/>
  <c r="V135" i="17" s="1"/>
  <c r="W190" i="17"/>
  <c r="W135" i="17" s="1"/>
  <c r="X190" i="17"/>
  <c r="X135" i="17" s="1"/>
  <c r="Y190" i="17"/>
  <c r="Y135" i="17" s="1"/>
  <c r="Z190" i="17"/>
  <c r="Z135" i="17" s="1"/>
  <c r="L200" i="17"/>
  <c r="L145" i="17" s="1"/>
  <c r="M200" i="17"/>
  <c r="M145" i="17" s="1"/>
  <c r="N200" i="17"/>
  <c r="O200" i="17"/>
  <c r="P200" i="17"/>
  <c r="Q200" i="17"/>
  <c r="Q145" i="17" s="1"/>
  <c r="R201" i="17"/>
  <c r="S201" i="17"/>
  <c r="T201" i="17"/>
  <c r="U201" i="17"/>
  <c r="V201" i="17"/>
  <c r="W201" i="17"/>
  <c r="X201" i="17"/>
  <c r="Y201" i="17"/>
  <c r="Y146" i="17" s="1"/>
  <c r="Z201" i="17"/>
  <c r="Z146" i="17" s="1"/>
  <c r="E149" i="17"/>
  <c r="F149" i="17"/>
  <c r="G149" i="17"/>
  <c r="H149" i="17"/>
  <c r="I149" i="17"/>
  <c r="J149" i="17"/>
  <c r="K149" i="17"/>
  <c r="E151" i="17"/>
  <c r="F151" i="17"/>
  <c r="G151" i="17"/>
  <c r="H151" i="17"/>
  <c r="I151" i="17"/>
  <c r="J151" i="17"/>
  <c r="K151" i="17"/>
  <c r="E152" i="17"/>
  <c r="F152" i="17"/>
  <c r="G152" i="17"/>
  <c r="H152" i="17"/>
  <c r="I152" i="17"/>
  <c r="J152" i="17"/>
  <c r="K152" i="17"/>
  <c r="E142" i="17"/>
  <c r="F142" i="17"/>
  <c r="G142" i="17"/>
  <c r="H142" i="17"/>
  <c r="I142" i="17"/>
  <c r="J142" i="17"/>
  <c r="K142" i="17"/>
  <c r="E143" i="17"/>
  <c r="F143" i="17"/>
  <c r="G143" i="17"/>
  <c r="H143" i="17"/>
  <c r="I143" i="17"/>
  <c r="J143" i="17"/>
  <c r="K143" i="17"/>
  <c r="E126" i="17"/>
  <c r="F126" i="17"/>
  <c r="G126" i="17"/>
  <c r="H126" i="17"/>
  <c r="I126" i="17"/>
  <c r="J126" i="17"/>
  <c r="K126" i="17"/>
  <c r="K132" i="17"/>
  <c r="K133" i="17"/>
  <c r="G115" i="17"/>
  <c r="H115" i="17"/>
  <c r="I115" i="17"/>
  <c r="J115" i="17"/>
  <c r="K115" i="17"/>
  <c r="E116" i="17"/>
  <c r="F116" i="17"/>
  <c r="G116" i="17"/>
  <c r="H116" i="17"/>
  <c r="I116" i="17"/>
  <c r="J116" i="17"/>
  <c r="K116" i="17"/>
  <c r="D152" i="17"/>
  <c r="D151" i="17"/>
  <c r="D149" i="17"/>
  <c r="D146" i="17"/>
  <c r="D143" i="17"/>
  <c r="D142" i="17"/>
  <c r="D126" i="17"/>
  <c r="D116" i="17"/>
  <c r="P201" i="17" l="1"/>
  <c r="P146" i="17" s="1"/>
  <c r="W202" i="17"/>
  <c r="W147" i="17" s="1"/>
  <c r="X202" i="17"/>
  <c r="X147" i="17" s="1"/>
  <c r="V167" i="17"/>
  <c r="V169" i="17" s="1"/>
  <c r="V115" i="17" s="1"/>
  <c r="U202" i="17"/>
  <c r="U147" i="17" s="1"/>
  <c r="U167" i="17"/>
  <c r="U113" i="17" s="1"/>
  <c r="U185" i="17"/>
  <c r="U130" i="17" s="1"/>
  <c r="U132" i="17" s="1"/>
  <c r="U136" i="17" s="1"/>
  <c r="T185" i="17"/>
  <c r="T130" i="17" s="1"/>
  <c r="T132" i="17" s="1"/>
  <c r="T136" i="17" s="1"/>
  <c r="S185" i="17"/>
  <c r="S187" i="17" s="1"/>
  <c r="S191" i="17" s="1"/>
  <c r="Q201" i="17"/>
  <c r="Q146" i="17" s="1"/>
  <c r="R185" i="17"/>
  <c r="R130" i="17" s="1"/>
  <c r="R132" i="17" s="1"/>
  <c r="V202" i="17"/>
  <c r="V147" i="17" s="1"/>
  <c r="R202" i="17"/>
  <c r="R147" i="17" s="1"/>
  <c r="W167" i="17"/>
  <c r="W169" i="17" s="1"/>
  <c r="W115" i="17" s="1"/>
  <c r="U120" i="17"/>
  <c r="Y167" i="17"/>
  <c r="Y169" i="17" s="1"/>
  <c r="Y115" i="17" s="1"/>
  <c r="X167" i="17"/>
  <c r="X169" i="17" s="1"/>
  <c r="X115" i="17" s="1"/>
  <c r="N201" i="17"/>
  <c r="N146" i="17" s="1"/>
  <c r="M205" i="17"/>
  <c r="M150" i="17" s="1"/>
  <c r="L205" i="17"/>
  <c r="L150" i="17" s="1"/>
  <c r="N145" i="17"/>
  <c r="M201" i="17"/>
  <c r="M146" i="17" s="1"/>
  <c r="W108" i="17"/>
  <c r="Q184" i="17"/>
  <c r="Q186" i="17" s="1"/>
  <c r="Q190" i="17" s="1"/>
  <c r="Y110" i="17"/>
  <c r="Y206" i="17"/>
  <c r="Y151" i="17" s="1"/>
  <c r="S121" i="17"/>
  <c r="X206" i="17"/>
  <c r="X151" i="17" s="1"/>
  <c r="R121" i="17"/>
  <c r="W206" i="17"/>
  <c r="W151" i="17" s="1"/>
  <c r="Q120" i="17"/>
  <c r="V206" i="17"/>
  <c r="V151" i="17" s="1"/>
  <c r="X146" i="17"/>
  <c r="P120" i="17"/>
  <c r="U206" i="17"/>
  <c r="U151" i="17" s="1"/>
  <c r="O184" i="17"/>
  <c r="O186" i="17" s="1"/>
  <c r="O190" i="17" s="1"/>
  <c r="N184" i="17"/>
  <c r="N129" i="17" s="1"/>
  <c r="N131" i="17" s="1"/>
  <c r="M184" i="17"/>
  <c r="M186" i="17" s="1"/>
  <c r="M190" i="17" s="1"/>
  <c r="Z167" i="17"/>
  <c r="Z113" i="17" s="1"/>
  <c r="W146" i="17"/>
  <c r="O120" i="17"/>
  <c r="X109" i="17"/>
  <c r="V107" i="17"/>
  <c r="T206" i="17"/>
  <c r="T151" i="17" s="1"/>
  <c r="V146" i="17"/>
  <c r="N120" i="17"/>
  <c r="U146" i="17"/>
  <c r="O201" i="17"/>
  <c r="O146" i="17" s="1"/>
  <c r="O145" i="17"/>
  <c r="O106" i="17"/>
  <c r="O166" i="17"/>
  <c r="M106" i="17"/>
  <c r="M166" i="17"/>
  <c r="S202" i="17"/>
  <c r="S146" i="17"/>
  <c r="R167" i="17"/>
  <c r="Q166" i="17"/>
  <c r="Z107" i="17"/>
  <c r="Z202" i="17"/>
  <c r="P166" i="17"/>
  <c r="Y202" i="17"/>
  <c r="Y119" i="17"/>
  <c r="Y185" i="17"/>
  <c r="Z185" i="17"/>
  <c r="X119" i="17"/>
  <c r="X185" i="17"/>
  <c r="N106" i="17"/>
  <c r="N166" i="17"/>
  <c r="L106" i="17"/>
  <c r="L166" i="17"/>
  <c r="T167" i="17"/>
  <c r="T202" i="17"/>
  <c r="T146" i="17"/>
  <c r="P184" i="17"/>
  <c r="P118" i="17"/>
  <c r="S167" i="17"/>
  <c r="L118" i="17"/>
  <c r="L184" i="17"/>
  <c r="O121" i="17"/>
  <c r="Z121" i="17"/>
  <c r="Z206" i="17"/>
  <c r="Z151" i="17" s="1"/>
  <c r="N205" i="17"/>
  <c r="N150" i="17" s="1"/>
  <c r="V185" i="17"/>
  <c r="W119" i="17"/>
  <c r="W185" i="17"/>
  <c r="P145" i="17"/>
  <c r="R146" i="17"/>
  <c r="E167" i="17"/>
  <c r="F167" i="17"/>
  <c r="E169" i="17"/>
  <c r="E115" i="17" s="1"/>
  <c r="F169" i="17"/>
  <c r="D169" i="17"/>
  <c r="D115" i="17" s="1"/>
  <c r="E188" i="17"/>
  <c r="F188" i="17"/>
  <c r="F133" i="17" s="1"/>
  <c r="G188" i="17"/>
  <c r="G133" i="17" s="1"/>
  <c r="H188" i="17"/>
  <c r="H133" i="17" s="1"/>
  <c r="I188" i="17"/>
  <c r="I133" i="17" s="1"/>
  <c r="J188" i="17"/>
  <c r="J133" i="17" s="1"/>
  <c r="D188" i="17"/>
  <c r="D133" i="17" s="1"/>
  <c r="E187" i="17"/>
  <c r="E132" i="17" s="1"/>
  <c r="F187" i="17"/>
  <c r="F132" i="17" s="1"/>
  <c r="G187" i="17"/>
  <c r="G132" i="17" s="1"/>
  <c r="H187" i="17"/>
  <c r="H132" i="17" s="1"/>
  <c r="I187" i="17"/>
  <c r="I132" i="17" s="1"/>
  <c r="J187" i="17"/>
  <c r="J132" i="17" s="1"/>
  <c r="D187" i="17"/>
  <c r="D132" i="17" s="1"/>
  <c r="V195" i="17" l="1"/>
  <c r="F115" i="17"/>
  <c r="E133" i="17"/>
  <c r="U195" i="17"/>
  <c r="U196" i="17" s="1"/>
  <c r="U204" i="17" s="1"/>
  <c r="U169" i="17"/>
  <c r="U115" i="17" s="1"/>
  <c r="S130" i="17"/>
  <c r="S132" i="17" s="1"/>
  <c r="S136" i="17" s="1"/>
  <c r="R187" i="17"/>
  <c r="R191" i="17" s="1"/>
  <c r="V113" i="17"/>
  <c r="T187" i="17"/>
  <c r="T191" i="17" s="1"/>
  <c r="U187" i="17"/>
  <c r="U191" i="17" s="1"/>
  <c r="Y113" i="17"/>
  <c r="Q129" i="17"/>
  <c r="Q131" i="17" s="1"/>
  <c r="Q135" i="17" s="1"/>
  <c r="X113" i="17"/>
  <c r="W113" i="17"/>
  <c r="Y195" i="17"/>
  <c r="Y140" i="17" s="1"/>
  <c r="Z169" i="17"/>
  <c r="Z115" i="17" s="1"/>
  <c r="N186" i="17"/>
  <c r="N190" i="17" s="1"/>
  <c r="O129" i="17"/>
  <c r="O131" i="17" s="1"/>
  <c r="O135" i="17" s="1"/>
  <c r="F185" i="17"/>
  <c r="F113" i="17"/>
  <c r="E185" i="17"/>
  <c r="E113" i="17"/>
  <c r="N135" i="17"/>
  <c r="R136" i="17"/>
  <c r="M129" i="17"/>
  <c r="M131" i="17" s="1"/>
  <c r="M135" i="17" s="1"/>
  <c r="S147" i="17"/>
  <c r="L168" i="17"/>
  <c r="L114" i="17" s="1"/>
  <c r="L194" i="17"/>
  <c r="L112" i="17"/>
  <c r="Y147" i="17"/>
  <c r="L129" i="17"/>
  <c r="L131" i="17" s="1"/>
  <c r="L135" i="17" s="1"/>
  <c r="L186" i="17"/>
  <c r="L190" i="17" s="1"/>
  <c r="M168" i="17"/>
  <c r="M114" i="17" s="1"/>
  <c r="M194" i="17"/>
  <c r="M112" i="17"/>
  <c r="N168" i="17"/>
  <c r="N114" i="17" s="1"/>
  <c r="N112" i="17"/>
  <c r="N194" i="17"/>
  <c r="P168" i="17"/>
  <c r="P114" i="17" s="1"/>
  <c r="P194" i="17"/>
  <c r="P112" i="17"/>
  <c r="V140" i="17"/>
  <c r="V196" i="17"/>
  <c r="S113" i="17"/>
  <c r="S169" i="17"/>
  <c r="S115" i="17" s="1"/>
  <c r="S195" i="17"/>
  <c r="Z147" i="17"/>
  <c r="W130" i="17"/>
  <c r="W132" i="17" s="1"/>
  <c r="W136" i="17" s="1"/>
  <c r="W187" i="17"/>
  <c r="W191" i="17" s="1"/>
  <c r="O112" i="17"/>
  <c r="O168" i="17"/>
  <c r="O114" i="17" s="1"/>
  <c r="O194" i="17"/>
  <c r="P186" i="17"/>
  <c r="P190" i="17" s="1"/>
  <c r="P129" i="17"/>
  <c r="P131" i="17" s="1"/>
  <c r="P135" i="17" s="1"/>
  <c r="X187" i="17"/>
  <c r="X191" i="17" s="1"/>
  <c r="X130" i="17"/>
  <c r="X132" i="17" s="1"/>
  <c r="X136" i="17" s="1"/>
  <c r="V130" i="17"/>
  <c r="V132" i="17" s="1"/>
  <c r="V136" i="17" s="1"/>
  <c r="V187" i="17"/>
  <c r="V191" i="17" s="1"/>
  <c r="Q168" i="17"/>
  <c r="Q114" i="17" s="1"/>
  <c r="Q112" i="17"/>
  <c r="Q194" i="17"/>
  <c r="Z187" i="17"/>
  <c r="Z191" i="17" s="1"/>
  <c r="Z130" i="17"/>
  <c r="Z132" i="17" s="1"/>
  <c r="Z136" i="17" s="1"/>
  <c r="W195" i="17"/>
  <c r="T147" i="17"/>
  <c r="Y187" i="17"/>
  <c r="Y191" i="17" s="1"/>
  <c r="Y130" i="17"/>
  <c r="Y132" i="17" s="1"/>
  <c r="Y136" i="17" s="1"/>
  <c r="Z195" i="17"/>
  <c r="R113" i="17"/>
  <c r="R169" i="17"/>
  <c r="R115" i="17" s="1"/>
  <c r="R195" i="17"/>
  <c r="T113" i="17"/>
  <c r="T169" i="17"/>
  <c r="T115" i="17" s="1"/>
  <c r="T195" i="17"/>
  <c r="X195" i="17"/>
  <c r="F146" i="64"/>
  <c r="G146" i="64"/>
  <c r="E146" i="64"/>
  <c r="B6" i="75"/>
  <c r="U140" i="17" l="1"/>
  <c r="U141" i="17"/>
  <c r="Y196" i="17"/>
  <c r="Y141" i="17" s="1"/>
  <c r="O195" i="17"/>
  <c r="O139" i="17"/>
  <c r="N195" i="17"/>
  <c r="N139" i="17"/>
  <c r="W140" i="17"/>
  <c r="W196" i="17"/>
  <c r="U209" i="17"/>
  <c r="U154" i="17" s="1"/>
  <c r="U149" i="17"/>
  <c r="M195" i="17"/>
  <c r="M139" i="17"/>
  <c r="X140" i="17"/>
  <c r="X196" i="17"/>
  <c r="T140" i="17"/>
  <c r="T196" i="17"/>
  <c r="Q195" i="17"/>
  <c r="Q139" i="17"/>
  <c r="S140" i="17"/>
  <c r="S196" i="17"/>
  <c r="R196" i="17"/>
  <c r="R140" i="17"/>
  <c r="V204" i="17"/>
  <c r="V141" i="17"/>
  <c r="L195" i="17"/>
  <c r="L139" i="17"/>
  <c r="Z140" i="17"/>
  <c r="Z196" i="17"/>
  <c r="P195" i="17"/>
  <c r="P139" i="17"/>
  <c r="Q11" i="47"/>
  <c r="J129" i="64" l="1"/>
  <c r="J131" i="64" s="1"/>
  <c r="J132" i="64" s="1"/>
  <c r="J130" i="64"/>
  <c r="J134" i="64" s="1"/>
  <c r="J43" i="76" s="1"/>
  <c r="J115" i="64"/>
  <c r="Y204" i="17"/>
  <c r="Y209" i="17" s="1"/>
  <c r="Y154" i="17" s="1"/>
  <c r="Q203" i="17"/>
  <c r="Q140" i="17"/>
  <c r="T141" i="17"/>
  <c r="T204" i="17"/>
  <c r="P203" i="17"/>
  <c r="P140" i="17"/>
  <c r="Z141" i="17"/>
  <c r="Z204" i="17"/>
  <c r="X141" i="17"/>
  <c r="X204" i="17"/>
  <c r="L140" i="17"/>
  <c r="L203" i="17"/>
  <c r="M140" i="17"/>
  <c r="M203" i="17"/>
  <c r="V209" i="17"/>
  <c r="V154" i="17" s="1"/>
  <c r="V149" i="17"/>
  <c r="W204" i="17"/>
  <c r="W141" i="17"/>
  <c r="R204" i="17"/>
  <c r="R141" i="17"/>
  <c r="S141" i="17"/>
  <c r="S204" i="17"/>
  <c r="N140" i="17"/>
  <c r="N203" i="17"/>
  <c r="O203" i="17"/>
  <c r="O140" i="17"/>
  <c r="D92" i="74"/>
  <c r="D34" i="74"/>
  <c r="D6" i="74" a="1"/>
  <c r="P145" i="65"/>
  <c r="Q145" i="65"/>
  <c r="R145" i="65"/>
  <c r="S145" i="65"/>
  <c r="T145" i="65"/>
  <c r="U145" i="65"/>
  <c r="V145" i="65"/>
  <c r="W145" i="65"/>
  <c r="I25" i="74" l="1"/>
  <c r="J28" i="74"/>
  <c r="J11" i="74"/>
  <c r="J27" i="74"/>
  <c r="J10" i="74"/>
  <c r="J26" i="74"/>
  <c r="J9" i="74"/>
  <c r="J25" i="74"/>
  <c r="J8" i="74"/>
  <c r="J24" i="74"/>
  <c r="J23" i="74"/>
  <c r="J22" i="74"/>
  <c r="J21" i="74"/>
  <c r="J19" i="74"/>
  <c r="J17" i="74"/>
  <c r="J16" i="74"/>
  <c r="J15" i="74"/>
  <c r="J14" i="74"/>
  <c r="J13" i="74"/>
  <c r="J12" i="74"/>
  <c r="J20" i="74"/>
  <c r="J30" i="76"/>
  <c r="J117" i="64"/>
  <c r="Y149" i="17"/>
  <c r="M148" i="17"/>
  <c r="M208" i="17"/>
  <c r="M153" i="17" s="1"/>
  <c r="L148" i="17"/>
  <c r="O148" i="17"/>
  <c r="O208" i="17"/>
  <c r="O153" i="17" s="1"/>
  <c r="X149" i="17"/>
  <c r="X209" i="17"/>
  <c r="X154" i="17" s="1"/>
  <c r="N148" i="17"/>
  <c r="N208" i="17"/>
  <c r="N153" i="17" s="1"/>
  <c r="Z149" i="17"/>
  <c r="Z209" i="17"/>
  <c r="Z154" i="17" s="1"/>
  <c r="S149" i="17"/>
  <c r="S209" i="17"/>
  <c r="S154" i="17" s="1"/>
  <c r="P148" i="17"/>
  <c r="P208" i="17"/>
  <c r="P153" i="17" s="1"/>
  <c r="T149" i="17"/>
  <c r="T209" i="17"/>
  <c r="T154" i="17" s="1"/>
  <c r="R149" i="17"/>
  <c r="R209" i="17"/>
  <c r="R154" i="17" s="1"/>
  <c r="W149" i="17"/>
  <c r="W209" i="17"/>
  <c r="W154" i="17" s="1"/>
  <c r="Q148" i="17"/>
  <c r="Q208" i="17"/>
  <c r="Q153" i="17" s="1"/>
  <c r="D6" i="74"/>
  <c r="C302" i="64"/>
  <c r="C300" i="64"/>
  <c r="C301" i="64"/>
  <c r="C299" i="64"/>
  <c r="B23" i="75"/>
  <c r="B48" i="75"/>
  <c r="B73" i="64" s="1"/>
  <c r="B43" i="75"/>
  <c r="J32" i="76" l="1"/>
  <c r="J119" i="64"/>
  <c r="B68" i="64"/>
  <c r="B48" i="64"/>
  <c r="D18" i="74"/>
  <c r="B7" i="76" a="1"/>
  <c r="B7" i="76" s="1"/>
  <c r="K176" i="64"/>
  <c r="B6" i="76"/>
  <c r="B4" i="76"/>
  <c r="B1" i="76"/>
  <c r="Q10" i="47"/>
  <c r="Q6" i="47"/>
  <c r="Q5" i="47"/>
  <c r="Q3" i="47"/>
  <c r="Q2" i="47"/>
  <c r="B68" i="76"/>
  <c r="B66" i="76"/>
  <c r="B63" i="76"/>
  <c r="B61" i="76"/>
  <c r="B59" i="76"/>
  <c r="B57" i="76"/>
  <c r="B55" i="76"/>
  <c r="B53" i="76"/>
  <c r="C49" i="76" a="1"/>
  <c r="C49" i="76" s="1"/>
  <c r="E64" i="64"/>
  <c r="F64" i="64"/>
  <c r="G64" i="64"/>
  <c r="H64" i="64"/>
  <c r="I64" i="64"/>
  <c r="J64" i="64"/>
  <c r="K64" i="64"/>
  <c r="L64" i="64"/>
  <c r="M64" i="64"/>
  <c r="N64" i="64"/>
  <c r="O64" i="64"/>
  <c r="P64" i="64"/>
  <c r="Q64" i="64"/>
  <c r="R64" i="64"/>
  <c r="S64" i="64"/>
  <c r="T64" i="64"/>
  <c r="U64" i="64"/>
  <c r="V64" i="64"/>
  <c r="W64" i="64"/>
  <c r="X64" i="64"/>
  <c r="E65" i="64"/>
  <c r="F65" i="64"/>
  <c r="G65" i="64"/>
  <c r="H65" i="64"/>
  <c r="I65" i="64"/>
  <c r="J65" i="64"/>
  <c r="K65" i="64"/>
  <c r="L65" i="64"/>
  <c r="M65" i="64"/>
  <c r="N65" i="64"/>
  <c r="O65" i="64"/>
  <c r="P65" i="64"/>
  <c r="Q65" i="64"/>
  <c r="R65" i="64"/>
  <c r="S65" i="64"/>
  <c r="T65" i="64"/>
  <c r="U65" i="64"/>
  <c r="V65" i="64"/>
  <c r="W65" i="64"/>
  <c r="X65" i="64"/>
  <c r="E66" i="64"/>
  <c r="F66" i="64"/>
  <c r="G66" i="64"/>
  <c r="H66" i="64"/>
  <c r="I66" i="64"/>
  <c r="J66" i="64"/>
  <c r="K66" i="64"/>
  <c r="L66" i="64"/>
  <c r="M66" i="64"/>
  <c r="N66" i="64"/>
  <c r="O66" i="64"/>
  <c r="P66" i="64"/>
  <c r="Q66" i="64"/>
  <c r="R66" i="64"/>
  <c r="S66" i="64"/>
  <c r="T66" i="64"/>
  <c r="U66" i="64"/>
  <c r="V66" i="64"/>
  <c r="W66" i="64"/>
  <c r="X66" i="64"/>
  <c r="E67" i="64"/>
  <c r="F67" i="64"/>
  <c r="G67" i="64"/>
  <c r="H67" i="64"/>
  <c r="I67" i="64"/>
  <c r="J67" i="64"/>
  <c r="K67" i="64"/>
  <c r="L67" i="64"/>
  <c r="M67" i="64"/>
  <c r="N67" i="64"/>
  <c r="O67" i="64"/>
  <c r="P67" i="64"/>
  <c r="Q67" i="64"/>
  <c r="R67" i="64"/>
  <c r="S67" i="64"/>
  <c r="T67" i="64"/>
  <c r="U67" i="64"/>
  <c r="V67" i="64"/>
  <c r="W67" i="64"/>
  <c r="X67" i="64"/>
  <c r="E68" i="64"/>
  <c r="F68" i="64"/>
  <c r="G68" i="64"/>
  <c r="H68" i="64"/>
  <c r="I68" i="64"/>
  <c r="J68" i="64"/>
  <c r="K68" i="64"/>
  <c r="L68" i="64"/>
  <c r="M68" i="64"/>
  <c r="N68" i="64"/>
  <c r="O68" i="64"/>
  <c r="P68" i="64"/>
  <c r="Q68" i="64"/>
  <c r="R68" i="64"/>
  <c r="S68" i="64"/>
  <c r="T68" i="64"/>
  <c r="U68" i="64"/>
  <c r="V68" i="64"/>
  <c r="W68" i="64"/>
  <c r="X68" i="64"/>
  <c r="E69" i="64"/>
  <c r="F69" i="64"/>
  <c r="G69" i="64"/>
  <c r="H69" i="64"/>
  <c r="I69" i="64"/>
  <c r="J69" i="64"/>
  <c r="K69" i="64"/>
  <c r="L69" i="64"/>
  <c r="M69" i="64"/>
  <c r="N69" i="64"/>
  <c r="O69" i="64"/>
  <c r="P69" i="64"/>
  <c r="Q69" i="64"/>
  <c r="R69" i="64"/>
  <c r="S69" i="64"/>
  <c r="T69" i="64"/>
  <c r="U69" i="64"/>
  <c r="V69" i="64"/>
  <c r="W69" i="64"/>
  <c r="X69" i="64"/>
  <c r="E70" i="64"/>
  <c r="F70" i="64"/>
  <c r="G70" i="64"/>
  <c r="H70" i="64"/>
  <c r="I70" i="64"/>
  <c r="J70" i="64"/>
  <c r="K70" i="64"/>
  <c r="L70" i="64"/>
  <c r="M70" i="64"/>
  <c r="N70" i="64"/>
  <c r="O70" i="64"/>
  <c r="P70" i="64"/>
  <c r="Q70" i="64"/>
  <c r="R70" i="64"/>
  <c r="S70" i="64"/>
  <c r="T70" i="64"/>
  <c r="U70" i="64"/>
  <c r="V70" i="64"/>
  <c r="W70" i="64"/>
  <c r="X70" i="64"/>
  <c r="E71" i="64"/>
  <c r="F71" i="64"/>
  <c r="G71" i="64"/>
  <c r="H71" i="64"/>
  <c r="I71" i="64"/>
  <c r="J71" i="64"/>
  <c r="K71" i="64"/>
  <c r="L71" i="64"/>
  <c r="M71" i="64"/>
  <c r="N71" i="64"/>
  <c r="O71" i="64"/>
  <c r="P71" i="64"/>
  <c r="Q71" i="64"/>
  <c r="R71" i="64"/>
  <c r="S71" i="64"/>
  <c r="T71" i="64"/>
  <c r="U71" i="64"/>
  <c r="V71" i="64"/>
  <c r="W71" i="64"/>
  <c r="X71" i="64"/>
  <c r="E72" i="64"/>
  <c r="F72" i="64"/>
  <c r="G72" i="64"/>
  <c r="H72" i="64"/>
  <c r="I72" i="64"/>
  <c r="J72" i="64"/>
  <c r="K72" i="64"/>
  <c r="L72" i="64"/>
  <c r="M72" i="64"/>
  <c r="N72" i="64"/>
  <c r="O72" i="64"/>
  <c r="P72" i="64"/>
  <c r="Q72" i="64"/>
  <c r="R72" i="64"/>
  <c r="S72" i="64"/>
  <c r="T72" i="64"/>
  <c r="U72" i="64"/>
  <c r="V72" i="64"/>
  <c r="W72" i="64"/>
  <c r="X72" i="64"/>
  <c r="E73" i="64"/>
  <c r="F73" i="64"/>
  <c r="G73" i="64"/>
  <c r="H73" i="64"/>
  <c r="I73" i="64"/>
  <c r="J73" i="64"/>
  <c r="K73" i="64"/>
  <c r="L73" i="64"/>
  <c r="M73" i="64"/>
  <c r="N73" i="64"/>
  <c r="O73" i="64"/>
  <c r="P73" i="64"/>
  <c r="Q73" i="64"/>
  <c r="R73" i="64"/>
  <c r="S73" i="64"/>
  <c r="T73" i="64"/>
  <c r="U73" i="64"/>
  <c r="V73" i="64"/>
  <c r="W73" i="64"/>
  <c r="X73" i="64"/>
  <c r="E74" i="64"/>
  <c r="F74" i="64"/>
  <c r="G74" i="64"/>
  <c r="H74" i="64"/>
  <c r="I74" i="64"/>
  <c r="J74" i="64"/>
  <c r="K74" i="64"/>
  <c r="L74" i="64"/>
  <c r="M74" i="64"/>
  <c r="N74" i="64"/>
  <c r="O74" i="64"/>
  <c r="P74" i="64"/>
  <c r="Q74" i="64"/>
  <c r="R74" i="64"/>
  <c r="S74" i="64"/>
  <c r="T74" i="64"/>
  <c r="U74" i="64"/>
  <c r="V74" i="64"/>
  <c r="W74" i="64"/>
  <c r="X74" i="64"/>
  <c r="E75" i="64"/>
  <c r="F75" i="64"/>
  <c r="G75" i="64"/>
  <c r="H75" i="64"/>
  <c r="I75" i="64"/>
  <c r="J75" i="64"/>
  <c r="K75" i="64"/>
  <c r="L75" i="64"/>
  <c r="M75" i="64"/>
  <c r="N75" i="64"/>
  <c r="O75" i="64"/>
  <c r="P75" i="64"/>
  <c r="Q75" i="64"/>
  <c r="R75" i="64"/>
  <c r="S75" i="64"/>
  <c r="T75" i="64"/>
  <c r="U75" i="64"/>
  <c r="V75" i="64"/>
  <c r="W75" i="64"/>
  <c r="X75" i="64"/>
  <c r="E76" i="64"/>
  <c r="F76" i="64"/>
  <c r="G76" i="64"/>
  <c r="H76" i="64"/>
  <c r="I76" i="64"/>
  <c r="J76" i="64"/>
  <c r="K76" i="64"/>
  <c r="L76" i="64"/>
  <c r="M76" i="64"/>
  <c r="N76" i="64"/>
  <c r="O76" i="64"/>
  <c r="P76" i="64"/>
  <c r="Q76" i="64"/>
  <c r="R76" i="64"/>
  <c r="S76" i="64"/>
  <c r="T76" i="64"/>
  <c r="U76" i="64"/>
  <c r="V76" i="64"/>
  <c r="W76" i="64"/>
  <c r="X76" i="64"/>
  <c r="E77" i="64"/>
  <c r="F77" i="64"/>
  <c r="G77" i="64"/>
  <c r="H77" i="64"/>
  <c r="I77" i="64"/>
  <c r="J77" i="64"/>
  <c r="K77" i="64"/>
  <c r="L77" i="64"/>
  <c r="M77" i="64"/>
  <c r="N77" i="64"/>
  <c r="O77" i="64"/>
  <c r="P77" i="64"/>
  <c r="Q77" i="64"/>
  <c r="R77" i="64"/>
  <c r="S77" i="64"/>
  <c r="T77" i="64"/>
  <c r="U77" i="64"/>
  <c r="V77" i="64"/>
  <c r="W77" i="64"/>
  <c r="X77" i="64"/>
  <c r="E78" i="64"/>
  <c r="F78" i="64"/>
  <c r="G78" i="64"/>
  <c r="H78" i="64"/>
  <c r="I78" i="64"/>
  <c r="J78" i="64"/>
  <c r="K78" i="64"/>
  <c r="L78" i="64"/>
  <c r="M78" i="64"/>
  <c r="N78" i="64"/>
  <c r="O78" i="64"/>
  <c r="P78" i="64"/>
  <c r="Q78" i="64"/>
  <c r="R78" i="64"/>
  <c r="S78" i="64"/>
  <c r="T78" i="64"/>
  <c r="U78" i="64"/>
  <c r="V78" i="64"/>
  <c r="W78" i="64"/>
  <c r="X78" i="64"/>
  <c r="E79" i="64"/>
  <c r="F79" i="64"/>
  <c r="G79" i="64"/>
  <c r="H79" i="64"/>
  <c r="I79" i="64"/>
  <c r="J79" i="64"/>
  <c r="K79" i="64"/>
  <c r="L79" i="64"/>
  <c r="M79" i="64"/>
  <c r="N79" i="64"/>
  <c r="O79" i="64"/>
  <c r="P79" i="64"/>
  <c r="Q79" i="64"/>
  <c r="R79" i="64"/>
  <c r="S79" i="64"/>
  <c r="T79" i="64"/>
  <c r="U79" i="64"/>
  <c r="V79" i="64"/>
  <c r="W79" i="64"/>
  <c r="X79" i="64"/>
  <c r="E80" i="64"/>
  <c r="F102" i="65" s="1"/>
  <c r="F80" i="64"/>
  <c r="G102" i="65" s="1"/>
  <c r="G80" i="64"/>
  <c r="H102" i="65" s="1"/>
  <c r="H80" i="64"/>
  <c r="I102" i="65" s="1"/>
  <c r="I80" i="64"/>
  <c r="J102" i="65" s="1"/>
  <c r="J80" i="64"/>
  <c r="K102" i="65" s="1"/>
  <c r="K80" i="64"/>
  <c r="L102" i="65" s="1"/>
  <c r="L80" i="64"/>
  <c r="M102" i="65" s="1"/>
  <c r="M80" i="64"/>
  <c r="N102" i="65" s="1"/>
  <c r="N80" i="64"/>
  <c r="O102" i="65" s="1"/>
  <c r="O80" i="64"/>
  <c r="P102" i="65" s="1"/>
  <c r="P80" i="64"/>
  <c r="Q102" i="65" s="1"/>
  <c r="Q80" i="64"/>
  <c r="R102" i="65" s="1"/>
  <c r="R80" i="64"/>
  <c r="S102" i="65" s="1"/>
  <c r="S80" i="64"/>
  <c r="T102" i="65" s="1"/>
  <c r="T80" i="64"/>
  <c r="U102" i="65" s="1"/>
  <c r="U80" i="64"/>
  <c r="V102" i="65" s="1"/>
  <c r="V80" i="64"/>
  <c r="W102" i="65" s="1"/>
  <c r="W80" i="64"/>
  <c r="X80" i="64"/>
  <c r="E81" i="64"/>
  <c r="F103" i="65" s="1"/>
  <c r="F81" i="64"/>
  <c r="G103" i="65" s="1"/>
  <c r="G81" i="64"/>
  <c r="H103" i="65" s="1"/>
  <c r="H81" i="64"/>
  <c r="I103" i="65" s="1"/>
  <c r="I81" i="64"/>
  <c r="J103" i="65" s="1"/>
  <c r="J81" i="64"/>
  <c r="K103" i="65" s="1"/>
  <c r="K81" i="64"/>
  <c r="L103" i="65" s="1"/>
  <c r="L81" i="64"/>
  <c r="M103" i="65" s="1"/>
  <c r="M81" i="64"/>
  <c r="N103" i="65" s="1"/>
  <c r="N81" i="64"/>
  <c r="O103" i="65" s="1"/>
  <c r="O81" i="64"/>
  <c r="P103" i="65" s="1"/>
  <c r="P81" i="64"/>
  <c r="Q103" i="65" s="1"/>
  <c r="Q81" i="64"/>
  <c r="R103" i="65" s="1"/>
  <c r="R81" i="64"/>
  <c r="S103" i="65" s="1"/>
  <c r="S81" i="64"/>
  <c r="T103" i="65" s="1"/>
  <c r="T81" i="64"/>
  <c r="U103" i="65" s="1"/>
  <c r="U81" i="64"/>
  <c r="V103" i="65" s="1"/>
  <c r="V81" i="64"/>
  <c r="W103" i="65" s="1"/>
  <c r="W81" i="64"/>
  <c r="X81" i="64"/>
  <c r="E82" i="64"/>
  <c r="F104" i="65" s="1"/>
  <c r="F82" i="64"/>
  <c r="G104" i="65" s="1"/>
  <c r="G82" i="64"/>
  <c r="H104" i="65" s="1"/>
  <c r="H82" i="64"/>
  <c r="I104" i="65" s="1"/>
  <c r="I82" i="64"/>
  <c r="J104" i="65" s="1"/>
  <c r="J82" i="64"/>
  <c r="K104" i="65" s="1"/>
  <c r="K82" i="64"/>
  <c r="L104" i="65" s="1"/>
  <c r="L82" i="64"/>
  <c r="M104" i="65" s="1"/>
  <c r="M82" i="64"/>
  <c r="N104" i="65" s="1"/>
  <c r="N82" i="64"/>
  <c r="O104" i="65" s="1"/>
  <c r="O82" i="64"/>
  <c r="P104" i="65" s="1"/>
  <c r="P82" i="64"/>
  <c r="Q104" i="65" s="1"/>
  <c r="Q82" i="64"/>
  <c r="R104" i="65" s="1"/>
  <c r="R82" i="64"/>
  <c r="S104" i="65" s="1"/>
  <c r="S82" i="64"/>
  <c r="T104" i="65" s="1"/>
  <c r="T82" i="64"/>
  <c r="U104" i="65" s="1"/>
  <c r="U82" i="64"/>
  <c r="V104" i="65" s="1"/>
  <c r="V82" i="64"/>
  <c r="W104" i="65" s="1"/>
  <c r="W82" i="64"/>
  <c r="X82" i="64"/>
  <c r="E83" i="64"/>
  <c r="F105" i="65" s="1"/>
  <c r="F83" i="64"/>
  <c r="G105" i="65" s="1"/>
  <c r="G83" i="64"/>
  <c r="H105" i="65" s="1"/>
  <c r="H83" i="64"/>
  <c r="I105" i="65" s="1"/>
  <c r="I83" i="64"/>
  <c r="J105" i="65" s="1"/>
  <c r="J83" i="64"/>
  <c r="K105" i="65" s="1"/>
  <c r="K83" i="64"/>
  <c r="L105" i="65" s="1"/>
  <c r="L83" i="64"/>
  <c r="M105" i="65" s="1"/>
  <c r="M83" i="64"/>
  <c r="N105" i="65" s="1"/>
  <c r="N83" i="64"/>
  <c r="O105" i="65" s="1"/>
  <c r="O83" i="64"/>
  <c r="P105" i="65" s="1"/>
  <c r="P83" i="64"/>
  <c r="Q105" i="65" s="1"/>
  <c r="Q83" i="64"/>
  <c r="R105" i="65" s="1"/>
  <c r="R83" i="64"/>
  <c r="S105" i="65" s="1"/>
  <c r="S83" i="64"/>
  <c r="T105" i="65" s="1"/>
  <c r="T83" i="64"/>
  <c r="U105" i="65" s="1"/>
  <c r="U83" i="64"/>
  <c r="V105" i="65" s="1"/>
  <c r="V83" i="64"/>
  <c r="W105" i="65" s="1"/>
  <c r="W83" i="64"/>
  <c r="X83" i="64"/>
  <c r="E84" i="64"/>
  <c r="F84" i="64"/>
  <c r="G84" i="64"/>
  <c r="H84" i="64"/>
  <c r="I84" i="64"/>
  <c r="J84" i="64"/>
  <c r="K84" i="64"/>
  <c r="L84" i="64"/>
  <c r="M84" i="64"/>
  <c r="N84" i="64"/>
  <c r="O84" i="64"/>
  <c r="P84" i="64"/>
  <c r="Q84" i="64"/>
  <c r="R84" i="64"/>
  <c r="S84" i="64"/>
  <c r="T84" i="64"/>
  <c r="U84" i="64"/>
  <c r="V84" i="64"/>
  <c r="W84" i="64"/>
  <c r="X84" i="64"/>
  <c r="E85" i="64"/>
  <c r="F85" i="64"/>
  <c r="G85" i="64"/>
  <c r="H85" i="64"/>
  <c r="I85" i="64"/>
  <c r="J85" i="64"/>
  <c r="K85" i="64"/>
  <c r="L85" i="64"/>
  <c r="M85" i="64"/>
  <c r="N85" i="64"/>
  <c r="O85" i="64"/>
  <c r="P85" i="64"/>
  <c r="Q85" i="64"/>
  <c r="R85" i="64"/>
  <c r="S85" i="64"/>
  <c r="T85" i="64"/>
  <c r="U85" i="64"/>
  <c r="V85" i="64"/>
  <c r="W85" i="64"/>
  <c r="X85" i="64"/>
  <c r="E86" i="64"/>
  <c r="F86" i="64"/>
  <c r="G86" i="64"/>
  <c r="H86" i="64"/>
  <c r="I86" i="64"/>
  <c r="J86" i="64"/>
  <c r="K86" i="64"/>
  <c r="L86" i="64"/>
  <c r="M86" i="64"/>
  <c r="N86" i="64"/>
  <c r="O86" i="64"/>
  <c r="P86" i="64"/>
  <c r="Q86" i="64"/>
  <c r="R86" i="64"/>
  <c r="S86" i="64"/>
  <c r="T86" i="64"/>
  <c r="U86" i="64"/>
  <c r="V86" i="64"/>
  <c r="W86" i="64"/>
  <c r="X86" i="64"/>
  <c r="E87" i="64"/>
  <c r="F87" i="64"/>
  <c r="G87" i="64"/>
  <c r="H109" i="65" s="1"/>
  <c r="H87" i="64"/>
  <c r="I87" i="64"/>
  <c r="J87" i="64"/>
  <c r="K87" i="64"/>
  <c r="L87" i="64"/>
  <c r="M87" i="64"/>
  <c r="N87" i="64"/>
  <c r="O87" i="64"/>
  <c r="P87" i="64"/>
  <c r="Q87" i="64"/>
  <c r="R87" i="64"/>
  <c r="S87" i="64"/>
  <c r="T87" i="64"/>
  <c r="U87" i="64"/>
  <c r="V87" i="64"/>
  <c r="W87" i="64"/>
  <c r="X87" i="64"/>
  <c r="E88" i="64"/>
  <c r="F88" i="64"/>
  <c r="G88" i="64"/>
  <c r="H88" i="64"/>
  <c r="I88" i="64"/>
  <c r="J88" i="64"/>
  <c r="K88" i="64"/>
  <c r="L88" i="64"/>
  <c r="M88" i="64"/>
  <c r="N88" i="64"/>
  <c r="O88" i="64"/>
  <c r="P88" i="64"/>
  <c r="Q88" i="64"/>
  <c r="R88" i="64"/>
  <c r="S88" i="64"/>
  <c r="T88" i="64"/>
  <c r="U88" i="64"/>
  <c r="V88" i="64"/>
  <c r="W88" i="64"/>
  <c r="X88" i="64"/>
  <c r="D65" i="64"/>
  <c r="D66" i="64"/>
  <c r="D67" i="64"/>
  <c r="D68" i="64"/>
  <c r="D69" i="64"/>
  <c r="D70" i="64"/>
  <c r="D71" i="64"/>
  <c r="D72" i="64"/>
  <c r="D73" i="64"/>
  <c r="D74" i="64"/>
  <c r="D75" i="64"/>
  <c r="D76" i="64"/>
  <c r="D77" i="64"/>
  <c r="D78" i="64"/>
  <c r="D79" i="64"/>
  <c r="D80" i="64"/>
  <c r="E102" i="65" s="1"/>
  <c r="D81" i="64"/>
  <c r="E103" i="65" s="1"/>
  <c r="D82" i="64"/>
  <c r="E104" i="65" s="1"/>
  <c r="D83" i="64"/>
  <c r="E105" i="65" s="1"/>
  <c r="D84" i="64"/>
  <c r="D85" i="64"/>
  <c r="D86" i="64"/>
  <c r="D87" i="64"/>
  <c r="D88" i="64"/>
  <c r="D64" i="64"/>
  <c r="E49" i="64"/>
  <c r="F49" i="64"/>
  <c r="G49" i="64"/>
  <c r="H49" i="64"/>
  <c r="I49" i="64"/>
  <c r="J49" i="64"/>
  <c r="K49" i="64"/>
  <c r="L49" i="64"/>
  <c r="M49" i="64"/>
  <c r="N49" i="64"/>
  <c r="O49" i="64"/>
  <c r="P49" i="64"/>
  <c r="Q49" i="64"/>
  <c r="R49" i="64"/>
  <c r="S49" i="64"/>
  <c r="T49" i="64"/>
  <c r="U49" i="64"/>
  <c r="V49" i="64"/>
  <c r="W49" i="64"/>
  <c r="E50" i="64"/>
  <c r="F50" i="64"/>
  <c r="G50" i="64"/>
  <c r="H50" i="64"/>
  <c r="I50" i="64"/>
  <c r="J50" i="64"/>
  <c r="K50" i="64"/>
  <c r="L50" i="64"/>
  <c r="M50" i="64"/>
  <c r="N50" i="64"/>
  <c r="O50" i="64"/>
  <c r="P50" i="64"/>
  <c r="Q50" i="64"/>
  <c r="R50" i="64"/>
  <c r="S50" i="64"/>
  <c r="T50" i="64"/>
  <c r="U50" i="64"/>
  <c r="V50" i="64"/>
  <c r="W50" i="64"/>
  <c r="E51" i="64"/>
  <c r="F51" i="64"/>
  <c r="G51" i="64"/>
  <c r="H51" i="64"/>
  <c r="I51" i="64"/>
  <c r="J51" i="64"/>
  <c r="K51" i="64"/>
  <c r="L51" i="64"/>
  <c r="M51" i="64"/>
  <c r="N51" i="64"/>
  <c r="O51" i="64"/>
  <c r="P51" i="64"/>
  <c r="Q51" i="64"/>
  <c r="R51" i="64"/>
  <c r="S51" i="64"/>
  <c r="T51" i="64"/>
  <c r="U51" i="64"/>
  <c r="V51" i="64"/>
  <c r="W51" i="64"/>
  <c r="E52" i="64"/>
  <c r="F52" i="64"/>
  <c r="G52" i="64"/>
  <c r="H52" i="64"/>
  <c r="I52" i="64"/>
  <c r="J52" i="64"/>
  <c r="K52" i="64"/>
  <c r="L52" i="64"/>
  <c r="M52" i="64"/>
  <c r="N52" i="64"/>
  <c r="O52" i="64"/>
  <c r="P52" i="64"/>
  <c r="Q52" i="64"/>
  <c r="R52" i="64"/>
  <c r="S52" i="64"/>
  <c r="T52" i="64"/>
  <c r="U52" i="64"/>
  <c r="V52" i="64"/>
  <c r="W52" i="64"/>
  <c r="E54" i="64"/>
  <c r="F54" i="64"/>
  <c r="G54" i="64"/>
  <c r="H54" i="64"/>
  <c r="I54" i="64"/>
  <c r="J54" i="64"/>
  <c r="K54" i="64"/>
  <c r="L54" i="64"/>
  <c r="M54" i="64"/>
  <c r="N54" i="64"/>
  <c r="O54" i="64"/>
  <c r="P54" i="64"/>
  <c r="Q54" i="64"/>
  <c r="R54" i="64"/>
  <c r="S54" i="64"/>
  <c r="T54" i="64"/>
  <c r="U54" i="64"/>
  <c r="V54" i="64"/>
  <c r="W54" i="64"/>
  <c r="E55" i="64"/>
  <c r="F55" i="64"/>
  <c r="G55" i="64"/>
  <c r="H55" i="64"/>
  <c r="I55" i="64"/>
  <c r="J55" i="64"/>
  <c r="K55" i="64"/>
  <c r="L55" i="64"/>
  <c r="M55" i="64"/>
  <c r="N55" i="64"/>
  <c r="O55" i="64"/>
  <c r="P55" i="64"/>
  <c r="Q55" i="64"/>
  <c r="R55" i="64"/>
  <c r="S55" i="64"/>
  <c r="T55" i="64"/>
  <c r="U55" i="64"/>
  <c r="V55" i="64"/>
  <c r="W55" i="64"/>
  <c r="E56" i="64"/>
  <c r="F56" i="64"/>
  <c r="G56" i="64"/>
  <c r="H56" i="64"/>
  <c r="I56" i="64"/>
  <c r="J56" i="64"/>
  <c r="K56" i="64"/>
  <c r="L56" i="64"/>
  <c r="M56" i="64"/>
  <c r="N56" i="64"/>
  <c r="O56" i="64"/>
  <c r="P56" i="64"/>
  <c r="Q56" i="64"/>
  <c r="R56" i="64"/>
  <c r="S56" i="64"/>
  <c r="T56" i="64"/>
  <c r="U56" i="64"/>
  <c r="V56" i="64"/>
  <c r="W56" i="64"/>
  <c r="E57" i="64"/>
  <c r="F57" i="64"/>
  <c r="G57" i="64"/>
  <c r="H57" i="64"/>
  <c r="I57" i="64"/>
  <c r="J57" i="64"/>
  <c r="K57" i="64"/>
  <c r="L57" i="64"/>
  <c r="M57" i="64"/>
  <c r="N57" i="64"/>
  <c r="O57" i="64"/>
  <c r="P57" i="64"/>
  <c r="Q57" i="64"/>
  <c r="R57" i="64"/>
  <c r="S57" i="64"/>
  <c r="T57" i="64"/>
  <c r="U57" i="64"/>
  <c r="V57" i="64"/>
  <c r="W57" i="64"/>
  <c r="E58" i="64"/>
  <c r="F58" i="64"/>
  <c r="G58" i="64"/>
  <c r="H58" i="64"/>
  <c r="I58" i="64"/>
  <c r="J58" i="64"/>
  <c r="K58" i="64"/>
  <c r="L58" i="64"/>
  <c r="M58" i="64"/>
  <c r="N58" i="64"/>
  <c r="O58" i="64"/>
  <c r="P58" i="64"/>
  <c r="Q58" i="64"/>
  <c r="R58" i="64"/>
  <c r="S58" i="64"/>
  <c r="T58" i="64"/>
  <c r="U58" i="64"/>
  <c r="V58" i="64"/>
  <c r="W58" i="64"/>
  <c r="D49" i="64"/>
  <c r="D50" i="64"/>
  <c r="D51" i="64"/>
  <c r="D52" i="64"/>
  <c r="D54" i="64"/>
  <c r="D55" i="64"/>
  <c r="D56" i="64"/>
  <c r="D57" i="64"/>
  <c r="D58" i="64"/>
  <c r="D44" i="64"/>
  <c r="E44" i="64"/>
  <c r="F44" i="64"/>
  <c r="G44" i="64"/>
  <c r="H44" i="64"/>
  <c r="I44" i="64"/>
  <c r="J44" i="64"/>
  <c r="K44" i="64"/>
  <c r="L44" i="64"/>
  <c r="M44" i="64"/>
  <c r="N44" i="64"/>
  <c r="D35" i="64"/>
  <c r="E35" i="64"/>
  <c r="F145" i="65" s="1"/>
  <c r="F35" i="64"/>
  <c r="G145" i="65" s="1"/>
  <c r="G35" i="64"/>
  <c r="H145" i="65" s="1"/>
  <c r="H35" i="64"/>
  <c r="I145" i="65" s="1"/>
  <c r="I35" i="64"/>
  <c r="J145" i="65" s="1"/>
  <c r="J35" i="64"/>
  <c r="K145" i="65" s="1"/>
  <c r="K35" i="64"/>
  <c r="L145" i="65" s="1"/>
  <c r="L35" i="64"/>
  <c r="M145" i="65" s="1"/>
  <c r="M35" i="64"/>
  <c r="N145" i="65" s="1"/>
  <c r="N35" i="64"/>
  <c r="O145" i="65" s="1"/>
  <c r="D36" i="64"/>
  <c r="E36" i="64"/>
  <c r="F36" i="64"/>
  <c r="G36" i="64"/>
  <c r="H36" i="64"/>
  <c r="I36" i="64"/>
  <c r="J36" i="64"/>
  <c r="K36" i="64"/>
  <c r="L36" i="64"/>
  <c r="M36" i="64"/>
  <c r="N36" i="64"/>
  <c r="D37" i="64"/>
  <c r="E37" i="64"/>
  <c r="F37" i="64"/>
  <c r="G37" i="64"/>
  <c r="H37" i="64"/>
  <c r="I37" i="64"/>
  <c r="J37" i="64"/>
  <c r="K37" i="64"/>
  <c r="L37" i="64"/>
  <c r="M37" i="64"/>
  <c r="N37" i="64"/>
  <c r="D38" i="64"/>
  <c r="E59" i="65" s="1"/>
  <c r="E38" i="64"/>
  <c r="F38" i="64"/>
  <c r="G38" i="64"/>
  <c r="H38" i="64"/>
  <c r="I38" i="64"/>
  <c r="J38" i="64"/>
  <c r="K38" i="64"/>
  <c r="L38" i="64"/>
  <c r="M38" i="64"/>
  <c r="N38" i="64"/>
  <c r="D39" i="64"/>
  <c r="E39" i="64"/>
  <c r="F39" i="64"/>
  <c r="G39" i="64"/>
  <c r="H39" i="64"/>
  <c r="I39" i="64"/>
  <c r="J39" i="64"/>
  <c r="K39" i="64"/>
  <c r="L39" i="64"/>
  <c r="M39" i="64"/>
  <c r="N39" i="64"/>
  <c r="D40" i="64"/>
  <c r="E40" i="64"/>
  <c r="F40" i="64"/>
  <c r="G40" i="64"/>
  <c r="H40" i="64"/>
  <c r="I40" i="64"/>
  <c r="J40" i="64"/>
  <c r="K40" i="64"/>
  <c r="L40" i="64"/>
  <c r="M40" i="64"/>
  <c r="N40" i="64"/>
  <c r="D41" i="64"/>
  <c r="E41" i="64"/>
  <c r="F41" i="64"/>
  <c r="G41" i="64"/>
  <c r="H41" i="64"/>
  <c r="I41" i="64"/>
  <c r="J41" i="64"/>
  <c r="K41" i="64"/>
  <c r="L41" i="64"/>
  <c r="M41" i="64"/>
  <c r="N41" i="64"/>
  <c r="D42" i="64"/>
  <c r="E42" i="64"/>
  <c r="F42" i="64"/>
  <c r="G42" i="64"/>
  <c r="H42" i="64"/>
  <c r="I42" i="64"/>
  <c r="J42" i="64"/>
  <c r="K42" i="64"/>
  <c r="L42" i="64"/>
  <c r="M42" i="64"/>
  <c r="N42" i="64"/>
  <c r="D43" i="64"/>
  <c r="E43" i="64"/>
  <c r="F43" i="64"/>
  <c r="G43" i="64"/>
  <c r="H43" i="64"/>
  <c r="I43" i="64"/>
  <c r="J43" i="64"/>
  <c r="K43" i="64"/>
  <c r="L43" i="64"/>
  <c r="M43" i="64"/>
  <c r="N43" i="64"/>
  <c r="E34" i="64"/>
  <c r="F34" i="64"/>
  <c r="G34" i="64"/>
  <c r="H34" i="64"/>
  <c r="I34" i="64"/>
  <c r="J34" i="64"/>
  <c r="K34" i="64"/>
  <c r="L34" i="64"/>
  <c r="M34" i="64"/>
  <c r="N34" i="64"/>
  <c r="D34" i="64"/>
  <c r="M111" i="65"/>
  <c r="N111" i="65"/>
  <c r="O111" i="65"/>
  <c r="P111" i="65"/>
  <c r="Q111" i="65"/>
  <c r="R111" i="65"/>
  <c r="S111" i="65"/>
  <c r="T111" i="65"/>
  <c r="D4" i="64" a="1"/>
  <c r="B5" i="74"/>
  <c r="J27" i="64" l="1"/>
  <c r="J123" i="64" s="1"/>
  <c r="J38" i="76" s="1"/>
  <c r="J16" i="64"/>
  <c r="I23" i="64"/>
  <c r="J20" i="64"/>
  <c r="J15" i="64"/>
  <c r="J18" i="64"/>
  <c r="J24" i="64"/>
  <c r="J10" i="64"/>
  <c r="J112" i="64" s="1"/>
  <c r="J27" i="76" s="1"/>
  <c r="J23" i="64"/>
  <c r="J11" i="64"/>
  <c r="J113" i="64" s="1"/>
  <c r="J28" i="76" s="1"/>
  <c r="J9" i="64"/>
  <c r="J111" i="64" s="1"/>
  <c r="J26" i="76" s="1"/>
  <c r="J6" i="64"/>
  <c r="J108" i="64" s="1"/>
  <c r="J23" i="76" s="1"/>
  <c r="J26" i="64"/>
  <c r="J17" i="64"/>
  <c r="J8" i="64"/>
  <c r="J110" i="64" s="1"/>
  <c r="J25" i="76" s="1"/>
  <c r="J22" i="64"/>
  <c r="J13" i="64"/>
  <c r="J116" i="64" s="1"/>
  <c r="J31" i="76" s="1"/>
  <c r="J7" i="64"/>
  <c r="J109" i="64" s="1"/>
  <c r="J24" i="76" s="1"/>
  <c r="J25" i="64"/>
  <c r="J21" i="64"/>
  <c r="J14" i="64"/>
  <c r="J19" i="64"/>
  <c r="J12" i="64"/>
  <c r="J114" i="64" s="1"/>
  <c r="J29" i="76" s="1"/>
  <c r="J34" i="76"/>
  <c r="J121" i="64"/>
  <c r="E205" i="75" a="1"/>
  <c r="E205" i="75" s="1"/>
  <c r="E195" i="75" a="1"/>
  <c r="E195" i="75" s="1"/>
  <c r="E188" i="75" a="1"/>
  <c r="E188" i="75" s="1"/>
  <c r="D21" i="75" a="1"/>
  <c r="D21" i="75" s="1"/>
  <c r="D37" i="75" a="1"/>
  <c r="D37" i="75" s="1"/>
  <c r="E221" i="75" a="1"/>
  <c r="E221" i="75" s="1"/>
  <c r="E171" i="75" a="1"/>
  <c r="E171" i="75" s="1"/>
  <c r="E192" i="75" a="1"/>
  <c r="E192" i="75" s="1"/>
  <c r="V5" i="17" a="1"/>
  <c r="V5" i="17" s="1"/>
  <c r="B6" i="21"/>
  <c r="D20" i="76" a="1"/>
  <c r="D20" i="76" s="1"/>
  <c r="D18" i="76" a="1"/>
  <c r="D18" i="76" s="1"/>
  <c r="B247" i="64"/>
  <c r="B248" i="64"/>
  <c r="E11" i="21"/>
  <c r="D11" i="21" s="1"/>
  <c r="E70" i="75" a="1"/>
  <c r="E128" i="75" a="1"/>
  <c r="E128" i="75" s="1"/>
  <c r="D7" i="74" a="1"/>
  <c r="D7" i="74" s="1"/>
  <c r="Q4" i="47"/>
  <c r="E92" i="74" a="1"/>
  <c r="E92" i="74" s="1"/>
  <c r="D4" i="75" a="1"/>
  <c r="D4" i="75" s="1"/>
  <c r="D38" i="75" a="1"/>
  <c r="D38" i="75" s="1"/>
  <c r="D5" i="75" a="1"/>
  <c r="D5" i="75" s="1"/>
  <c r="D22" i="75" a="1"/>
  <c r="D22" i="75" s="1"/>
  <c r="B19" i="15" a="1"/>
  <c r="D4" i="64"/>
  <c r="F59" i="65"/>
  <c r="U111" i="65"/>
  <c r="V111" i="65"/>
  <c r="W111" i="65"/>
  <c r="J36" i="76" l="1"/>
  <c r="J128" i="64"/>
  <c r="J135" i="64" s="1"/>
  <c r="J136" i="64"/>
  <c r="J125" i="64"/>
  <c r="J40" i="76" s="1"/>
  <c r="E6" i="77" a="1"/>
  <c r="E6" i="77" s="1"/>
  <c r="E18" i="77" a="1"/>
  <c r="E18" i="77" s="1"/>
  <c r="E37" i="77" a="1"/>
  <c r="E37" i="77" s="1"/>
  <c r="E201" i="75"/>
  <c r="B53" i="75"/>
  <c r="B78" i="64" s="1"/>
  <c r="E70" i="75"/>
  <c r="E166" i="75" s="1" a="1"/>
  <c r="E166" i="75" s="1"/>
  <c r="H25" i="74"/>
  <c r="H23" i="64" s="1"/>
  <c r="I24" i="74"/>
  <c r="I22" i="64" s="1"/>
  <c r="I27" i="74"/>
  <c r="I25" i="64" s="1"/>
  <c r="I28" i="74"/>
  <c r="I26" i="64" s="1"/>
  <c r="H24" i="74"/>
  <c r="H22" i="64" s="1"/>
  <c r="H27" i="74"/>
  <c r="H25" i="64" s="1"/>
  <c r="I26" i="74"/>
  <c r="I24" i="64" s="1"/>
  <c r="H28" i="74"/>
  <c r="H26" i="64" s="1"/>
  <c r="H26" i="74"/>
  <c r="H24" i="64" s="1"/>
  <c r="B19" i="15"/>
  <c r="B20" i="15" s="1" a="1"/>
  <c r="B20" i="15" s="1"/>
  <c r="E4" i="17" a="1"/>
  <c r="D157" i="17" a="1"/>
  <c r="D157" i="17" s="1"/>
  <c r="D103" i="17" a="1"/>
  <c r="J137" i="64" l="1"/>
  <c r="J139" i="64"/>
  <c r="E133" i="75" a="1"/>
  <c r="E133" i="75" s="1"/>
  <c r="E158" i="75" a="1"/>
  <c r="E158" i="75" s="1"/>
  <c r="E71" i="75" a="1"/>
  <c r="E71" i="75" s="1"/>
  <c r="E144" i="75" a="1"/>
  <c r="E144" i="75" s="1"/>
  <c r="E83" i="75" a="1"/>
  <c r="E83" i="75" s="1"/>
  <c r="E102" i="75" a="1"/>
  <c r="E102" i="75" s="1"/>
  <c r="E107" i="75" a="1"/>
  <c r="E107" i="75" s="1"/>
  <c r="E160" i="75" a="1"/>
  <c r="E160" i="75" s="1"/>
  <c r="E104" i="75" a="1"/>
  <c r="E104" i="75" s="1"/>
  <c r="E151" i="75" a="1"/>
  <c r="E151" i="75" s="1"/>
  <c r="E120" i="75" a="1"/>
  <c r="E120" i="75" s="1"/>
  <c r="E129" i="75" a="1"/>
  <c r="E129" i="75" s="1"/>
  <c r="E130" i="74" a="1"/>
  <c r="E130" i="74" s="1"/>
  <c r="G17" i="74"/>
  <c r="E115" i="74" a="1"/>
  <c r="E115" i="74" s="1"/>
  <c r="E108" i="74" a="1"/>
  <c r="E108" i="74" s="1"/>
  <c r="E124" i="74" a="1"/>
  <c r="E124" i="74" s="1"/>
  <c r="E84" i="74" a="1"/>
  <c r="E84" i="74" s="1"/>
  <c r="E66" i="74" a="1"/>
  <c r="E66" i="74" s="1"/>
  <c r="D103" i="17"/>
  <c r="D158" i="17" s="1" a="1"/>
  <c r="D158" i="17" s="1"/>
  <c r="H19" i="74"/>
  <c r="H17" i="64" s="1"/>
  <c r="I22" i="74"/>
  <c r="I20" i="64" s="1"/>
  <c r="I23" i="74"/>
  <c r="I21" i="64" s="1"/>
  <c r="I20" i="74"/>
  <c r="I18" i="64" s="1"/>
  <c r="H21" i="74"/>
  <c r="H19" i="64" s="1"/>
  <c r="I19" i="74"/>
  <c r="I17" i="64" s="1"/>
  <c r="H20" i="74"/>
  <c r="H18" i="64" s="1"/>
  <c r="H22" i="74"/>
  <c r="H20" i="64" s="1"/>
  <c r="H23" i="74"/>
  <c r="H21" i="64" s="1"/>
  <c r="H17" i="74"/>
  <c r="H15" i="64" s="1"/>
  <c r="I17" i="74"/>
  <c r="I15" i="64" s="1"/>
  <c r="I21" i="74"/>
  <c r="I19" i="64" s="1"/>
  <c r="E122" i="74" a="1"/>
  <c r="E122" i="74" s="1"/>
  <c r="G23" i="74"/>
  <c r="E93" i="74" a="1"/>
  <c r="E93" i="74" s="1"/>
  <c r="E97" i="74" a="1"/>
  <c r="E97" i="74" s="1"/>
  <c r="E47" i="74" a="1"/>
  <c r="E47" i="74" s="1"/>
  <c r="E4" i="17"/>
  <c r="E5" i="17" s="1" a="1"/>
  <c r="E5" i="17" s="1"/>
  <c r="F160" i="17"/>
  <c r="F106" i="17" s="1"/>
  <c r="G160" i="17"/>
  <c r="G106" i="17" s="1"/>
  <c r="H160" i="17"/>
  <c r="H106" i="17" s="1"/>
  <c r="I160" i="17"/>
  <c r="I106" i="17" s="1"/>
  <c r="J160" i="17"/>
  <c r="J106" i="17" s="1"/>
  <c r="K160" i="17"/>
  <c r="K106" i="17" s="1"/>
  <c r="F161" i="17"/>
  <c r="F107" i="17" s="1"/>
  <c r="G161" i="17"/>
  <c r="G107" i="17" s="1"/>
  <c r="H161" i="17"/>
  <c r="H107" i="17" s="1"/>
  <c r="I161" i="17"/>
  <c r="I107" i="17" s="1"/>
  <c r="J161" i="17"/>
  <c r="J107" i="17" s="1"/>
  <c r="K161" i="17"/>
  <c r="K107" i="17" s="1"/>
  <c r="F162" i="17"/>
  <c r="F108" i="17" s="1"/>
  <c r="G162" i="17"/>
  <c r="G108" i="17" s="1"/>
  <c r="H162" i="17"/>
  <c r="H108" i="17" s="1"/>
  <c r="I162" i="17"/>
  <c r="I108" i="17" s="1"/>
  <c r="J162" i="17"/>
  <c r="J108" i="17" s="1"/>
  <c r="K162" i="17"/>
  <c r="K108" i="17" s="1"/>
  <c r="F163" i="17"/>
  <c r="F109" i="17" s="1"/>
  <c r="G163" i="17"/>
  <c r="G109" i="17" s="1"/>
  <c r="H163" i="17"/>
  <c r="H109" i="17" s="1"/>
  <c r="I163" i="17"/>
  <c r="I109" i="17" s="1"/>
  <c r="J163" i="17"/>
  <c r="J109" i="17" s="1"/>
  <c r="K163" i="17"/>
  <c r="K109" i="17" s="1"/>
  <c r="F164" i="17"/>
  <c r="F110" i="17" s="1"/>
  <c r="G164" i="17"/>
  <c r="G110" i="17" s="1"/>
  <c r="H164" i="17"/>
  <c r="H110" i="17" s="1"/>
  <c r="I164" i="17"/>
  <c r="I110" i="17" s="1"/>
  <c r="J164" i="17"/>
  <c r="J110" i="17" s="1"/>
  <c r="K164" i="17"/>
  <c r="K110" i="17" s="1"/>
  <c r="F165" i="17"/>
  <c r="F111" i="17" s="1"/>
  <c r="G165" i="17"/>
  <c r="G111" i="17" s="1"/>
  <c r="H165" i="17"/>
  <c r="H111" i="17" s="1"/>
  <c r="I165" i="17"/>
  <c r="I111" i="17" s="1"/>
  <c r="J165" i="17"/>
  <c r="J111" i="17" s="1"/>
  <c r="K165" i="17"/>
  <c r="K111" i="17" s="1"/>
  <c r="G167" i="17"/>
  <c r="G113" i="17" s="1"/>
  <c r="H167" i="17"/>
  <c r="H113" i="17" s="1"/>
  <c r="I167" i="17"/>
  <c r="I113" i="17" s="1"/>
  <c r="J167" i="17"/>
  <c r="J113" i="17" s="1"/>
  <c r="K167" i="17"/>
  <c r="K113" i="17" s="1"/>
  <c r="F173" i="17"/>
  <c r="F118" i="17" s="1"/>
  <c r="G173" i="17"/>
  <c r="G118" i="17" s="1"/>
  <c r="H173" i="17"/>
  <c r="H118" i="17" s="1"/>
  <c r="I173" i="17"/>
  <c r="I118" i="17" s="1"/>
  <c r="J173" i="17"/>
  <c r="J118" i="17" s="1"/>
  <c r="K173" i="17"/>
  <c r="K118" i="17" s="1"/>
  <c r="F174" i="17"/>
  <c r="F119" i="17" s="1"/>
  <c r="G174" i="17"/>
  <c r="G119" i="17" s="1"/>
  <c r="H174" i="17"/>
  <c r="H119" i="17" s="1"/>
  <c r="I174" i="17"/>
  <c r="I119" i="17" s="1"/>
  <c r="J174" i="17"/>
  <c r="J119" i="17" s="1"/>
  <c r="K174" i="17"/>
  <c r="K119" i="17" s="1"/>
  <c r="F175" i="17"/>
  <c r="F120" i="17" s="1"/>
  <c r="G175" i="17"/>
  <c r="G120" i="17" s="1"/>
  <c r="H175" i="17"/>
  <c r="H120" i="17" s="1"/>
  <c r="I175" i="17"/>
  <c r="I120" i="17" s="1"/>
  <c r="J175" i="17"/>
  <c r="K175" i="17"/>
  <c r="K120" i="17" s="1"/>
  <c r="F176" i="17"/>
  <c r="F121" i="17" s="1"/>
  <c r="G176" i="17"/>
  <c r="G121" i="17" s="1"/>
  <c r="H176" i="17"/>
  <c r="H121" i="17" s="1"/>
  <c r="I176" i="17"/>
  <c r="I121" i="17" s="1"/>
  <c r="J176" i="17"/>
  <c r="J121" i="17" s="1"/>
  <c r="K176" i="17"/>
  <c r="K121" i="17" s="1"/>
  <c r="F177" i="17"/>
  <c r="F122" i="17" s="1"/>
  <c r="G177" i="17"/>
  <c r="G122" i="17" s="1"/>
  <c r="H177" i="17"/>
  <c r="H122" i="17" s="1"/>
  <c r="I177" i="17"/>
  <c r="I122" i="17" s="1"/>
  <c r="J177" i="17"/>
  <c r="J122" i="17" s="1"/>
  <c r="K177" i="17"/>
  <c r="K122" i="17" s="1"/>
  <c r="F178" i="17"/>
  <c r="F123" i="17" s="1"/>
  <c r="G178" i="17"/>
  <c r="G123" i="17" s="1"/>
  <c r="H178" i="17"/>
  <c r="H123" i="17" s="1"/>
  <c r="I178" i="17"/>
  <c r="I123" i="17" s="1"/>
  <c r="J178" i="17"/>
  <c r="J123" i="17" s="1"/>
  <c r="K178" i="17"/>
  <c r="K123" i="17" s="1"/>
  <c r="F179" i="17"/>
  <c r="F124" i="17" s="1"/>
  <c r="G179" i="17"/>
  <c r="G124" i="17" s="1"/>
  <c r="H179" i="17"/>
  <c r="H124" i="17" s="1"/>
  <c r="I179" i="17"/>
  <c r="I124" i="17" s="1"/>
  <c r="J179" i="17"/>
  <c r="J124" i="17" s="1"/>
  <c r="K179" i="17"/>
  <c r="K124" i="17" s="1"/>
  <c r="F180" i="17"/>
  <c r="F125" i="17" s="1"/>
  <c r="G180" i="17"/>
  <c r="G125" i="17" s="1"/>
  <c r="H180" i="17"/>
  <c r="H125" i="17" s="1"/>
  <c r="I180" i="17"/>
  <c r="I125" i="17" s="1"/>
  <c r="J180" i="17"/>
  <c r="J125" i="17" s="1"/>
  <c r="K180" i="17"/>
  <c r="K125" i="17" s="1"/>
  <c r="F182" i="17"/>
  <c r="F127" i="17" s="1"/>
  <c r="G182" i="17"/>
  <c r="G127" i="17" s="1"/>
  <c r="H182" i="17"/>
  <c r="H127" i="17" s="1"/>
  <c r="I182" i="17"/>
  <c r="I127" i="17" s="1"/>
  <c r="J182" i="17"/>
  <c r="J127" i="17" s="1"/>
  <c r="K182" i="17"/>
  <c r="K127" i="17" s="1"/>
  <c r="F183" i="17"/>
  <c r="F128" i="17" s="1"/>
  <c r="G183" i="17"/>
  <c r="G128" i="17" s="1"/>
  <c r="H183" i="17"/>
  <c r="H128" i="17" s="1"/>
  <c r="I183" i="17"/>
  <c r="I128" i="17" s="1"/>
  <c r="J183" i="17"/>
  <c r="J128" i="17" s="1"/>
  <c r="K183" i="17"/>
  <c r="K128" i="17" s="1"/>
  <c r="F134" i="17"/>
  <c r="G134" i="17"/>
  <c r="H134" i="17"/>
  <c r="I134" i="17"/>
  <c r="J134" i="17"/>
  <c r="K134" i="17"/>
  <c r="F200" i="17"/>
  <c r="F145" i="17" s="1"/>
  <c r="G200" i="17"/>
  <c r="G145" i="17" s="1"/>
  <c r="H200" i="17"/>
  <c r="H145" i="17" s="1"/>
  <c r="I200" i="17"/>
  <c r="I145" i="17" s="1"/>
  <c r="J200" i="17"/>
  <c r="J145" i="17" s="1"/>
  <c r="K200" i="17"/>
  <c r="J138" i="64" l="1"/>
  <c r="J140" i="64"/>
  <c r="J142" i="64" s="1"/>
  <c r="J148" i="64" s="1"/>
  <c r="E13" i="17" a="1"/>
  <c r="E13" i="17" s="1"/>
  <c r="E8" i="17" a="1"/>
  <c r="E8" i="17" s="1"/>
  <c r="E11" i="17" a="1"/>
  <c r="E11" i="17" s="1"/>
  <c r="E14" i="17" a="1"/>
  <c r="E14" i="17" s="1"/>
  <c r="D104" i="17" a="1"/>
  <c r="D104" i="17" s="1"/>
  <c r="K145" i="17"/>
  <c r="L201" i="17"/>
  <c r="J205" i="17"/>
  <c r="J150" i="17" s="1"/>
  <c r="J120" i="17"/>
  <c r="E25" i="17" a="1"/>
  <c r="E22" i="17" a="1"/>
  <c r="E24" i="17" a="1"/>
  <c r="E23" i="17" a="1"/>
  <c r="E26" i="17" a="1"/>
  <c r="J185" i="17"/>
  <c r="H185" i="17"/>
  <c r="I185" i="17"/>
  <c r="G185" i="17"/>
  <c r="E9" i="17" s="1" a="1"/>
  <c r="E9" i="17" s="1"/>
  <c r="K201" i="17"/>
  <c r="K146" i="17" s="1"/>
  <c r="K205" i="17"/>
  <c r="K150" i="17" s="1"/>
  <c r="I205" i="17"/>
  <c r="I150" i="17" s="1"/>
  <c r="H205" i="17"/>
  <c r="H150" i="17" s="1"/>
  <c r="E19" i="17" a="1"/>
  <c r="E18" i="17" a="1"/>
  <c r="E27" i="17" a="1"/>
  <c r="E10" i="17" a="1"/>
  <c r="J166" i="17"/>
  <c r="J112" i="17" s="1"/>
  <c r="I166" i="17"/>
  <c r="H166" i="17"/>
  <c r="H112" i="17" s="1"/>
  <c r="G201" i="17"/>
  <c r="G146" i="17" s="1"/>
  <c r="H201" i="17"/>
  <c r="H146" i="17" s="1"/>
  <c r="I201" i="17"/>
  <c r="I146" i="17" s="1"/>
  <c r="J201" i="17"/>
  <c r="J146" i="17" s="1"/>
  <c r="K166" i="17"/>
  <c r="K112" i="17" s="1"/>
  <c r="K184" i="17"/>
  <c r="K129" i="17" s="1"/>
  <c r="K131" i="17" s="1"/>
  <c r="K135" i="17" s="1"/>
  <c r="G166" i="17"/>
  <c r="G112" i="17" s="1"/>
  <c r="F166" i="17"/>
  <c r="F112" i="17" s="1"/>
  <c r="J184" i="17"/>
  <c r="J129" i="17" s="1"/>
  <c r="J131" i="17" s="1"/>
  <c r="G184" i="17"/>
  <c r="G129" i="17" s="1"/>
  <c r="G131" i="17" s="1"/>
  <c r="G135" i="17" s="1"/>
  <c r="I184" i="17"/>
  <c r="I129" i="17" s="1"/>
  <c r="I131" i="17" s="1"/>
  <c r="I135" i="17" s="1"/>
  <c r="F184" i="17"/>
  <c r="F129" i="17" s="1"/>
  <c r="F131" i="17" s="1"/>
  <c r="F135" i="17" s="1"/>
  <c r="H184" i="17"/>
  <c r="H129" i="17" s="1"/>
  <c r="H131" i="17" s="1"/>
  <c r="H135" i="17" s="1"/>
  <c r="G205" i="17"/>
  <c r="G150" i="17" s="1"/>
  <c r="F205" i="17"/>
  <c r="F150" i="17" s="1"/>
  <c r="J135" i="17" l="1"/>
  <c r="L146" i="17"/>
  <c r="L208" i="17"/>
  <c r="L153" i="17" s="1"/>
  <c r="I168" i="17"/>
  <c r="I114" i="17" s="1"/>
  <c r="I112" i="17"/>
  <c r="E24" i="17"/>
  <c r="D26" i="74" s="1"/>
  <c r="G26" i="74"/>
  <c r="G24" i="64" s="1"/>
  <c r="D11" i="74"/>
  <c r="G20" i="74"/>
  <c r="G18" i="64" s="1"/>
  <c r="G21" i="74"/>
  <c r="G19" i="64" s="1"/>
  <c r="F28" i="74"/>
  <c r="F26" i="64" s="1"/>
  <c r="G28" i="74"/>
  <c r="G26" i="64" s="1"/>
  <c r="E23" i="17"/>
  <c r="D25" i="74" s="1"/>
  <c r="G25" i="74"/>
  <c r="G23" i="64" s="1"/>
  <c r="E22" i="17"/>
  <c r="D24" i="74" s="1"/>
  <c r="G24" i="74"/>
  <c r="G22" i="64" s="1"/>
  <c r="E25" i="17"/>
  <c r="D27" i="74" s="1"/>
  <c r="G27" i="74"/>
  <c r="G25" i="64" s="1"/>
  <c r="E27" i="74"/>
  <c r="E25" i="64" s="1"/>
  <c r="F27" i="74"/>
  <c r="F25" i="64" s="1"/>
  <c r="E26" i="17"/>
  <c r="E28" i="74"/>
  <c r="E26" i="64"/>
  <c r="E25" i="74"/>
  <c r="E23" i="64" s="1"/>
  <c r="F25" i="74"/>
  <c r="F23" i="64" s="1"/>
  <c r="E21" i="74"/>
  <c r="F21" i="74"/>
  <c r="F19" i="64" s="1"/>
  <c r="E24" i="74"/>
  <c r="F24" i="74"/>
  <c r="F22" i="64" s="1"/>
  <c r="E26" i="74"/>
  <c r="E24" i="64" s="1"/>
  <c r="F26" i="74"/>
  <c r="F24" i="64" s="1"/>
  <c r="E20" i="74"/>
  <c r="F20" i="74"/>
  <c r="F18" i="64" s="1"/>
  <c r="E27" i="17"/>
  <c r="D16" i="74"/>
  <c r="E10" i="17"/>
  <c r="D12" i="74" s="1"/>
  <c r="E19" i="17"/>
  <c r="D21" i="74" s="1"/>
  <c r="D10" i="74"/>
  <c r="D15" i="74"/>
  <c r="E18" i="17"/>
  <c r="D20" i="74" s="1"/>
  <c r="J168" i="17"/>
  <c r="J114" i="17" s="1"/>
  <c r="H168" i="17"/>
  <c r="H114" i="17" s="1"/>
  <c r="J194" i="17"/>
  <c r="J139" i="17" s="1"/>
  <c r="E22" i="64"/>
  <c r="H194" i="17"/>
  <c r="H139" i="17" s="1"/>
  <c r="H186" i="17"/>
  <c r="H190" i="17" s="1"/>
  <c r="K186" i="17"/>
  <c r="K190" i="17" s="1"/>
  <c r="G186" i="17"/>
  <c r="G190" i="17" s="1"/>
  <c r="J186" i="17"/>
  <c r="J190" i="17" s="1"/>
  <c r="K168" i="17"/>
  <c r="K114" i="17" s="1"/>
  <c r="K194" i="17"/>
  <c r="K139" i="17" s="1"/>
  <c r="F186" i="17"/>
  <c r="F190" i="17" s="1"/>
  <c r="F194" i="17"/>
  <c r="F139" i="17" s="1"/>
  <c r="F168" i="17"/>
  <c r="F114" i="17" s="1"/>
  <c r="I186" i="17"/>
  <c r="I190" i="17" s="1"/>
  <c r="I194" i="17"/>
  <c r="I139" i="17" s="1"/>
  <c r="G194" i="17"/>
  <c r="G139" i="17" s="1"/>
  <c r="G168" i="17"/>
  <c r="G114" i="17" s="1"/>
  <c r="F147" i="64"/>
  <c r="G147" i="64"/>
  <c r="D29" i="74" l="1"/>
  <c r="E29" i="74" s="1"/>
  <c r="D25" i="64"/>
  <c r="D28" i="74"/>
  <c r="D26" i="64"/>
  <c r="F29" i="74"/>
  <c r="G29" i="74" s="1"/>
  <c r="E12" i="74"/>
  <c r="E11" i="74"/>
  <c r="E15" i="74"/>
  <c r="E16" i="74"/>
  <c r="E10" i="74"/>
  <c r="D23" i="64"/>
  <c r="D22" i="64"/>
  <c r="D24" i="64"/>
  <c r="J195" i="17"/>
  <c r="H195" i="17"/>
  <c r="K195" i="17"/>
  <c r="K140" i="17" s="1"/>
  <c r="F195" i="17"/>
  <c r="F140" i="17" s="1"/>
  <c r="I195" i="17"/>
  <c r="I140" i="17" s="1"/>
  <c r="G195" i="17"/>
  <c r="G140" i="17" s="1"/>
  <c r="G145" i="64"/>
  <c r="F145" i="64"/>
  <c r="E145" i="64"/>
  <c r="H29" i="74" l="1"/>
  <c r="H15" i="74" s="1"/>
  <c r="H13" i="64" s="1"/>
  <c r="H116" i="64" s="1"/>
  <c r="H31" i="76" s="1"/>
  <c r="G16" i="74"/>
  <c r="G14" i="64" s="1"/>
  <c r="J46" i="76"/>
  <c r="J203" i="17"/>
  <c r="J148" i="17" s="1"/>
  <c r="J140" i="17"/>
  <c r="H203" i="17"/>
  <c r="H148" i="17" s="1"/>
  <c r="H140" i="17"/>
  <c r="F15" i="74"/>
  <c r="F13" i="64" s="1"/>
  <c r="F12" i="74"/>
  <c r="F10" i="64" s="1"/>
  <c r="F16" i="74"/>
  <c r="F14" i="64" s="1"/>
  <c r="F10" i="74"/>
  <c r="F8" i="64" s="1"/>
  <c r="F11" i="74"/>
  <c r="F9" i="64" s="1"/>
  <c r="G11" i="74"/>
  <c r="G9" i="64" s="1"/>
  <c r="G15" i="74"/>
  <c r="G13" i="64" s="1"/>
  <c r="G12" i="74"/>
  <c r="G10" i="64" s="1"/>
  <c r="G10" i="74"/>
  <c r="G8" i="64" s="1"/>
  <c r="I203" i="17"/>
  <c r="I148" i="17" s="1"/>
  <c r="F203" i="17"/>
  <c r="F148" i="17" s="1"/>
  <c r="K203" i="17"/>
  <c r="K148" i="17" s="1"/>
  <c r="G203" i="17"/>
  <c r="G148" i="17" s="1"/>
  <c r="H14" i="74" l="1"/>
  <c r="H12" i="64" s="1"/>
  <c r="H114" i="64" s="1"/>
  <c r="H29" i="76" s="1"/>
  <c r="H10" i="74"/>
  <c r="H8" i="64" s="1"/>
  <c r="H110" i="64" s="1"/>
  <c r="H25" i="76" s="1"/>
  <c r="H11" i="74"/>
  <c r="H9" i="64" s="1"/>
  <c r="H111" i="64" s="1"/>
  <c r="H26" i="76" s="1"/>
  <c r="H12" i="74"/>
  <c r="H10" i="64" s="1"/>
  <c r="H112" i="64" s="1"/>
  <c r="H27" i="76" s="1"/>
  <c r="H9" i="74"/>
  <c r="H7" i="64" s="1"/>
  <c r="H109" i="64" s="1"/>
  <c r="H24" i="76" s="1"/>
  <c r="I29" i="74"/>
  <c r="H27" i="64"/>
  <c r="H123" i="64" s="1"/>
  <c r="H38" i="76" s="1"/>
  <c r="H16" i="74"/>
  <c r="H14" i="64" s="1"/>
  <c r="H13" i="74"/>
  <c r="H11" i="64" s="1"/>
  <c r="H113" i="64" s="1"/>
  <c r="H28" i="76" s="1"/>
  <c r="H8" i="74"/>
  <c r="H6" i="64" s="1"/>
  <c r="H108" i="64" s="1"/>
  <c r="H23" i="76" s="1"/>
  <c r="J47" i="76"/>
  <c r="H208" i="17"/>
  <c r="H153" i="17" s="1"/>
  <c r="J208" i="17"/>
  <c r="J153" i="17" s="1"/>
  <c r="G208" i="17"/>
  <c r="G153" i="17" s="1"/>
  <c r="K208" i="17"/>
  <c r="K153" i="17" s="1"/>
  <c r="I208" i="17"/>
  <c r="I153" i="17" s="1"/>
  <c r="H129" i="64" l="1"/>
  <c r="H130" i="64"/>
  <c r="H134" i="64" s="1"/>
  <c r="H43" i="76" s="1"/>
  <c r="I12" i="74"/>
  <c r="I10" i="64" s="1"/>
  <c r="I112" i="64" s="1"/>
  <c r="I27" i="76" s="1"/>
  <c r="I27" i="64"/>
  <c r="I123" i="64" s="1"/>
  <c r="I38" i="76" s="1"/>
  <c r="I8" i="74"/>
  <c r="I6" i="64" s="1"/>
  <c r="I108" i="64" s="1"/>
  <c r="I23" i="76" s="1"/>
  <c r="I14" i="74"/>
  <c r="I12" i="64" s="1"/>
  <c r="I114" i="64" s="1"/>
  <c r="I10" i="74"/>
  <c r="I8" i="64" s="1"/>
  <c r="I110" i="64" s="1"/>
  <c r="I25" i="76" s="1"/>
  <c r="I9" i="74"/>
  <c r="I7" i="64" s="1"/>
  <c r="I109" i="64" s="1"/>
  <c r="I24" i="76" s="1"/>
  <c r="I15" i="74"/>
  <c r="I13" i="64" s="1"/>
  <c r="I116" i="64" s="1"/>
  <c r="I31" i="76" s="1"/>
  <c r="I11" i="74"/>
  <c r="I9" i="64" s="1"/>
  <c r="I111" i="64" s="1"/>
  <c r="I26" i="76" s="1"/>
  <c r="I16" i="74"/>
  <c r="I14" i="64" s="1"/>
  <c r="I13" i="74"/>
  <c r="I11" i="64" s="1"/>
  <c r="I113" i="64" s="1"/>
  <c r="I28" i="76" s="1"/>
  <c r="E165" i="17"/>
  <c r="E111" i="17" s="1"/>
  <c r="D165" i="17"/>
  <c r="D111" i="17" s="1"/>
  <c r="D167" i="17"/>
  <c r="I129" i="64" l="1"/>
  <c r="I131" i="64" s="1"/>
  <c r="I132" i="64" s="1"/>
  <c r="I130" i="64"/>
  <c r="I134" i="64" s="1"/>
  <c r="I43" i="76" s="1"/>
  <c r="I29" i="76"/>
  <c r="I115" i="64"/>
  <c r="D185" i="17"/>
  <c r="D113" i="17"/>
  <c r="D33" i="64" a="1"/>
  <c r="D33" i="64" s="1"/>
  <c r="I47" i="76" l="1"/>
  <c r="I30" i="76"/>
  <c r="I117" i="64"/>
  <c r="L19" i="65"/>
  <c r="M19" i="65"/>
  <c r="N19" i="65"/>
  <c r="O19" i="65"/>
  <c r="P19" i="65"/>
  <c r="Q19" i="65"/>
  <c r="R19" i="65"/>
  <c r="S19" i="65"/>
  <c r="T19" i="65"/>
  <c r="U19" i="65"/>
  <c r="V19" i="65"/>
  <c r="W19" i="65"/>
  <c r="L18" i="65"/>
  <c r="M18" i="65"/>
  <c r="N18" i="65"/>
  <c r="O18" i="65"/>
  <c r="P18" i="65"/>
  <c r="Q18" i="65"/>
  <c r="R18" i="65"/>
  <c r="S18" i="65"/>
  <c r="T18" i="65"/>
  <c r="U18" i="65"/>
  <c r="V18" i="65"/>
  <c r="W18" i="65"/>
  <c r="U21" i="65"/>
  <c r="V21" i="65"/>
  <c r="W21" i="65"/>
  <c r="L21" i="65"/>
  <c r="M21" i="65"/>
  <c r="N21" i="65"/>
  <c r="O21" i="65"/>
  <c r="P21" i="65"/>
  <c r="Q21" i="65"/>
  <c r="R21" i="65"/>
  <c r="S21" i="65"/>
  <c r="T21" i="65"/>
  <c r="D19" i="76" a="1"/>
  <c r="D19" i="76" s="1"/>
  <c r="B145" i="64"/>
  <c r="I32" i="76" l="1"/>
  <c r="I119" i="64"/>
  <c r="K21" i="65"/>
  <c r="I34" i="76" l="1"/>
  <c r="I121" i="64"/>
  <c r="D163" i="17"/>
  <c r="D109" i="17" s="1"/>
  <c r="E200" i="17"/>
  <c r="E145" i="17" s="1"/>
  <c r="E20" i="17" s="1" a="1"/>
  <c r="E20" i="17" s="1"/>
  <c r="D200" i="17"/>
  <c r="D145" i="17" s="1"/>
  <c r="E183" i="17"/>
  <c r="E128" i="17" s="1"/>
  <c r="D183" i="17"/>
  <c r="D128" i="17" s="1"/>
  <c r="E182" i="17"/>
  <c r="E127" i="17" s="1"/>
  <c r="D182" i="17"/>
  <c r="D127" i="17" s="1"/>
  <c r="E180" i="17"/>
  <c r="E125" i="17" s="1"/>
  <c r="D180" i="17"/>
  <c r="D125" i="17" s="1"/>
  <c r="E179" i="17"/>
  <c r="E124" i="17" s="1"/>
  <c r="D179" i="17"/>
  <c r="D124" i="17" s="1"/>
  <c r="E178" i="17"/>
  <c r="E123" i="17" s="1"/>
  <c r="D178" i="17"/>
  <c r="D123" i="17" s="1"/>
  <c r="E177" i="17"/>
  <c r="E122" i="17" s="1"/>
  <c r="D177" i="17"/>
  <c r="D122" i="17" s="1"/>
  <c r="E176" i="17"/>
  <c r="E121" i="17" s="1"/>
  <c r="D176" i="17"/>
  <c r="D121" i="17" s="1"/>
  <c r="E175" i="17"/>
  <c r="E120" i="17" s="1"/>
  <c r="D175" i="17"/>
  <c r="D120" i="17" s="1"/>
  <c r="E174" i="17"/>
  <c r="E119" i="17" s="1"/>
  <c r="D174" i="17"/>
  <c r="D119" i="17" s="1"/>
  <c r="E173" i="17"/>
  <c r="D173" i="17"/>
  <c r="D118" i="17" s="1"/>
  <c r="E164" i="17"/>
  <c r="E110" i="17" s="1"/>
  <c r="D164" i="17"/>
  <c r="D110" i="17" s="1"/>
  <c r="E162" i="17"/>
  <c r="E108" i="17" s="1"/>
  <c r="D162" i="17"/>
  <c r="D108" i="17" s="1"/>
  <c r="E161" i="17"/>
  <c r="E107" i="17" s="1"/>
  <c r="D161" i="17"/>
  <c r="D107" i="17" s="1"/>
  <c r="E160" i="17"/>
  <c r="E106" i="17" s="1"/>
  <c r="D160" i="17"/>
  <c r="D106" i="17" s="1"/>
  <c r="E163" i="17"/>
  <c r="E109" i="17" s="1"/>
  <c r="D134" i="17"/>
  <c r="E134" i="17"/>
  <c r="I36" i="76" l="1"/>
  <c r="I125" i="64"/>
  <c r="I128" i="64"/>
  <c r="I135" i="64" s="1"/>
  <c r="I136" i="64"/>
  <c r="E118" i="17"/>
  <c r="E184" i="17"/>
  <c r="E129" i="17" s="1"/>
  <c r="E131" i="17" s="1"/>
  <c r="E135" i="17" s="1"/>
  <c r="E201" i="17"/>
  <c r="E146" i="17" s="1"/>
  <c r="E205" i="17"/>
  <c r="E150" i="17" s="1"/>
  <c r="E7" i="17" a="1"/>
  <c r="F201" i="17"/>
  <c r="F146" i="17" s="1"/>
  <c r="D184" i="17"/>
  <c r="D129" i="17" s="1"/>
  <c r="D131" i="17" s="1"/>
  <c r="D135" i="17" s="1"/>
  <c r="D166" i="17"/>
  <c r="D112" i="17" s="1"/>
  <c r="E166" i="17"/>
  <c r="E112" i="17" s="1"/>
  <c r="D205" i="17"/>
  <c r="D150" i="17" s="1"/>
  <c r="I40" i="76" l="1"/>
  <c r="J19" i="65"/>
  <c r="J18" i="65"/>
  <c r="I137" i="64"/>
  <c r="I138" i="64" s="1"/>
  <c r="I139" i="64"/>
  <c r="E21" i="17" a="1"/>
  <c r="E6" i="17" a="1"/>
  <c r="E6" i="17" s="1"/>
  <c r="D8" i="74" s="1"/>
  <c r="G8" i="74"/>
  <c r="K111" i="65"/>
  <c r="L111" i="65"/>
  <c r="G22" i="74"/>
  <c r="G9" i="74"/>
  <c r="G7" i="64" s="1"/>
  <c r="G13" i="74"/>
  <c r="G11" i="64" s="1"/>
  <c r="F13" i="74"/>
  <c r="F11" i="64" s="1"/>
  <c r="E13" i="74"/>
  <c r="E11" i="64" s="1"/>
  <c r="D13" i="74"/>
  <c r="E22" i="74"/>
  <c r="F22" i="74"/>
  <c r="E9" i="74"/>
  <c r="E7" i="64" s="1"/>
  <c r="F9" i="74"/>
  <c r="F7" i="64" s="1"/>
  <c r="D22" i="74"/>
  <c r="E7" i="17"/>
  <c r="D9" i="74" s="1"/>
  <c r="F208" i="17"/>
  <c r="F153" i="17" s="1"/>
  <c r="E13" i="64"/>
  <c r="E14" i="64"/>
  <c r="E9" i="64"/>
  <c r="E19" i="64"/>
  <c r="E18" i="64"/>
  <c r="E10" i="64"/>
  <c r="E8" i="64"/>
  <c r="D186" i="17"/>
  <c r="D190" i="17" s="1"/>
  <c r="E186" i="17"/>
  <c r="E190" i="17" s="1"/>
  <c r="E12" i="17" s="1" a="1"/>
  <c r="E194" i="17"/>
  <c r="E168" i="17"/>
  <c r="E114" i="17" s="1"/>
  <c r="D194" i="17"/>
  <c r="D139" i="17" s="1"/>
  <c r="D168" i="17"/>
  <c r="D114" i="17" s="1"/>
  <c r="I140" i="64" l="1"/>
  <c r="I142" i="64" s="1"/>
  <c r="I148" i="64" s="1"/>
  <c r="E21" i="17"/>
  <c r="G21" i="64"/>
  <c r="E23" i="74"/>
  <c r="E21" i="64"/>
  <c r="F23" i="74"/>
  <c r="F21" i="64" s="1"/>
  <c r="F8" i="74"/>
  <c r="F6" i="64" s="1"/>
  <c r="E8" i="74"/>
  <c r="D23" i="74"/>
  <c r="D21" i="64"/>
  <c r="E139" i="17"/>
  <c r="E17" i="17" s="1" a="1"/>
  <c r="E19" i="74" s="1"/>
  <c r="G14" i="74"/>
  <c r="E14" i="74"/>
  <c r="F14" i="74"/>
  <c r="E12" i="17"/>
  <c r="D14" i="74" s="1"/>
  <c r="D6" i="64"/>
  <c r="E27" i="64"/>
  <c r="F27" i="64"/>
  <c r="G27" i="64"/>
  <c r="E6" i="64"/>
  <c r="G6" i="64"/>
  <c r="E20" i="64"/>
  <c r="G20" i="64"/>
  <c r="H111" i="65" s="1"/>
  <c r="I111" i="65"/>
  <c r="J111" i="65"/>
  <c r="F20" i="64"/>
  <c r="G111" i="65" s="1"/>
  <c r="D13" i="64"/>
  <c r="D14" i="64"/>
  <c r="D9" i="64"/>
  <c r="D18" i="64"/>
  <c r="D7" i="64"/>
  <c r="D19" i="64"/>
  <c r="D27" i="64"/>
  <c r="D20" i="64"/>
  <c r="C199" i="64" s="1"/>
  <c r="D8" i="64"/>
  <c r="D11" i="64"/>
  <c r="D10" i="64"/>
  <c r="D195" i="17"/>
  <c r="D140" i="17" s="1"/>
  <c r="E195" i="17"/>
  <c r="E140" i="17" s="1"/>
  <c r="C200" i="64" l="1"/>
  <c r="G19" i="74"/>
  <c r="E17" i="17"/>
  <c r="D19" i="74" s="1"/>
  <c r="F19" i="74"/>
  <c r="E15" i="17" a="1"/>
  <c r="C164" i="64"/>
  <c r="F111" i="65"/>
  <c r="F65" i="65"/>
  <c r="E111" i="65"/>
  <c r="E65" i="65"/>
  <c r="D203" i="17"/>
  <c r="D148" i="17" s="1"/>
  <c r="E203" i="17"/>
  <c r="E148" i="17" s="1"/>
  <c r="I46" i="76" l="1"/>
  <c r="E17" i="74"/>
  <c r="E18" i="74" s="1"/>
  <c r="F17" i="74"/>
  <c r="F15" i="64" s="1"/>
  <c r="G15" i="64"/>
  <c r="E15" i="17"/>
  <c r="D17" i="74" s="1"/>
  <c r="E17" i="64"/>
  <c r="G17" i="64"/>
  <c r="F17" i="64"/>
  <c r="E12" i="64"/>
  <c r="G12" i="64"/>
  <c r="F12" i="64"/>
  <c r="D12" i="64"/>
  <c r="D17" i="64"/>
  <c r="E208" i="17"/>
  <c r="E153" i="17" s="1"/>
  <c r="D208" i="17"/>
  <c r="D153" i="17" s="1"/>
  <c r="E15" i="64" l="1"/>
  <c r="F18" i="74"/>
  <c r="G18" i="74" s="1"/>
  <c r="H18" i="74" s="1"/>
  <c r="C204" i="64"/>
  <c r="C203" i="64"/>
  <c r="Q7" i="47" s="1"/>
  <c r="E16" i="17" a="1"/>
  <c r="F16" i="64" s="1"/>
  <c r="C224" i="64"/>
  <c r="C225" i="64" s="1" a="1"/>
  <c r="C225" i="64" s="1"/>
  <c r="C226" i="64"/>
  <c r="I18" i="74" l="1"/>
  <c r="I16" i="64" s="1"/>
  <c r="H16" i="64"/>
  <c r="B3" i="21"/>
  <c r="E16" i="17"/>
  <c r="D15" i="64"/>
  <c r="C78" i="65"/>
  <c r="V39" i="65"/>
  <c r="W39" i="65"/>
  <c r="U43" i="65"/>
  <c r="V43" i="65"/>
  <c r="W43" i="65"/>
  <c r="U49" i="65"/>
  <c r="V49" i="65"/>
  <c r="W49" i="65"/>
  <c r="U83" i="65"/>
  <c r="V83" i="65"/>
  <c r="W83" i="65"/>
  <c r="U93" i="65"/>
  <c r="V93" i="65"/>
  <c r="W93" i="65"/>
  <c r="C96" i="64" l="1" a="1"/>
  <c r="C96" i="64" s="1"/>
  <c r="C97" i="64" a="1"/>
  <c r="C97" i="64" s="1"/>
  <c r="C95" i="64" a="1"/>
  <c r="C95" i="64" s="1"/>
  <c r="C101" i="64" s="1" a="1"/>
  <c r="C101" i="64" s="1"/>
  <c r="C98" i="64" a="1"/>
  <c r="C98" i="64" s="1"/>
  <c r="C94" i="64" a="1"/>
  <c r="C94" i="64" s="1"/>
  <c r="B40" i="75"/>
  <c r="W79" i="65"/>
  <c r="W84" i="65" s="1"/>
  <c r="V79" i="65"/>
  <c r="V84" i="65" s="1"/>
  <c r="K18" i="65" l="1"/>
  <c r="K19" i="65"/>
  <c r="E16" i="64"/>
  <c r="G16" i="64"/>
  <c r="D16" i="64"/>
  <c r="W44" i="65"/>
  <c r="V44" i="65"/>
  <c r="U96" i="65"/>
  <c r="V96" i="65"/>
  <c r="W96" i="65"/>
  <c r="U97" i="65"/>
  <c r="V97" i="65"/>
  <c r="W97" i="65"/>
  <c r="U98" i="65"/>
  <c r="V98" i="65"/>
  <c r="W98" i="65"/>
  <c r="U99" i="65"/>
  <c r="V99" i="65"/>
  <c r="W99" i="65"/>
  <c r="F96" i="65"/>
  <c r="G96" i="65"/>
  <c r="H96" i="65"/>
  <c r="I96" i="65"/>
  <c r="J96" i="65"/>
  <c r="K96" i="65"/>
  <c r="L96" i="65"/>
  <c r="M96" i="65"/>
  <c r="N96" i="65"/>
  <c r="O96" i="65"/>
  <c r="P96" i="65"/>
  <c r="Q96" i="65"/>
  <c r="R96" i="65"/>
  <c r="S96" i="65"/>
  <c r="T96" i="65"/>
  <c r="F97" i="65"/>
  <c r="G97" i="65"/>
  <c r="H97" i="65"/>
  <c r="I97" i="65"/>
  <c r="J97" i="65"/>
  <c r="K97" i="65"/>
  <c r="L97" i="65"/>
  <c r="M97" i="65"/>
  <c r="N97" i="65"/>
  <c r="O97" i="65"/>
  <c r="P97" i="65"/>
  <c r="Q97" i="65"/>
  <c r="R97" i="65"/>
  <c r="S97" i="65"/>
  <c r="T97" i="65"/>
  <c r="F98" i="65"/>
  <c r="G98" i="65"/>
  <c r="H98" i="65"/>
  <c r="I98" i="65"/>
  <c r="J98" i="65"/>
  <c r="K98" i="65"/>
  <c r="L98" i="65"/>
  <c r="M98" i="65"/>
  <c r="N98" i="65"/>
  <c r="O98" i="65"/>
  <c r="P98" i="65"/>
  <c r="Q98" i="65"/>
  <c r="R98" i="65"/>
  <c r="S98" i="65"/>
  <c r="T98" i="65"/>
  <c r="F99" i="65"/>
  <c r="G99" i="65"/>
  <c r="H99" i="65"/>
  <c r="I99" i="65"/>
  <c r="J99" i="65"/>
  <c r="K99" i="65"/>
  <c r="L99" i="65"/>
  <c r="M99" i="65"/>
  <c r="N99" i="65"/>
  <c r="O99" i="65"/>
  <c r="P99" i="65"/>
  <c r="Q99" i="65"/>
  <c r="R99" i="65"/>
  <c r="S99" i="65"/>
  <c r="T99" i="65"/>
  <c r="E97" i="65"/>
  <c r="E98" i="65"/>
  <c r="E99" i="65"/>
  <c r="E96" i="65"/>
  <c r="W134" i="65" l="1"/>
  <c r="V134" i="65"/>
  <c r="U134" i="65"/>
  <c r="T134" i="65"/>
  <c r="S134" i="65"/>
  <c r="R134" i="65"/>
  <c r="Q134" i="65"/>
  <c r="P134" i="65"/>
  <c r="O134" i="65"/>
  <c r="U34" i="65"/>
  <c r="V34" i="65"/>
  <c r="W34" i="65"/>
  <c r="P59" i="65"/>
  <c r="Q59" i="65"/>
  <c r="R59" i="65"/>
  <c r="S59" i="65"/>
  <c r="T59" i="65"/>
  <c r="U59" i="65"/>
  <c r="V59" i="65"/>
  <c r="W59" i="65"/>
  <c r="E43" i="69"/>
  <c r="E42" i="69"/>
  <c r="E41" i="69"/>
  <c r="E40" i="69"/>
  <c r="E39" i="69"/>
  <c r="E38" i="69"/>
  <c r="E37" i="69"/>
  <c r="E36" i="69"/>
  <c r="E35" i="69"/>
  <c r="E34" i="69"/>
  <c r="E33" i="69"/>
  <c r="E32" i="69"/>
  <c r="E31" i="69"/>
  <c r="E18" i="69"/>
  <c r="F12" i="21"/>
  <c r="D12" i="21"/>
  <c r="C312" i="64"/>
  <c r="C50" i="76" l="1" a="1"/>
  <c r="D32" i="64" a="1"/>
  <c r="D32" i="64" s="1"/>
  <c r="C232" i="64" s="1"/>
  <c r="P70" i="65"/>
  <c r="Q70" i="65"/>
  <c r="R70" i="65"/>
  <c r="S70" i="65"/>
  <c r="T70" i="65"/>
  <c r="U70" i="65"/>
  <c r="V70" i="65"/>
  <c r="W70" i="65"/>
  <c r="T49" i="65"/>
  <c r="S49" i="65"/>
  <c r="R49" i="65"/>
  <c r="Q49" i="65"/>
  <c r="P49" i="65"/>
  <c r="O49" i="65"/>
  <c r="K134" i="65"/>
  <c r="L134" i="65"/>
  <c r="M134" i="65"/>
  <c r="N134" i="65"/>
  <c r="L49" i="65"/>
  <c r="M49" i="65"/>
  <c r="N49" i="65"/>
  <c r="O59" i="65"/>
  <c r="F43" i="65"/>
  <c r="E46" i="69"/>
  <c r="T93" i="65"/>
  <c r="S93" i="65"/>
  <c r="R93" i="65"/>
  <c r="Q93" i="65"/>
  <c r="P93" i="65"/>
  <c r="O93" i="65"/>
  <c r="N93" i="65"/>
  <c r="M93" i="65"/>
  <c r="L93" i="65"/>
  <c r="K93" i="65"/>
  <c r="J93" i="65"/>
  <c r="I93" i="65"/>
  <c r="H93" i="65"/>
  <c r="G93" i="65"/>
  <c r="F93" i="65"/>
  <c r="T83" i="65"/>
  <c r="S83" i="65"/>
  <c r="R83" i="65"/>
  <c r="Q83" i="65"/>
  <c r="P83" i="65"/>
  <c r="O83" i="65"/>
  <c r="N83" i="65"/>
  <c r="M83" i="65"/>
  <c r="L83" i="65"/>
  <c r="K83" i="65"/>
  <c r="J83" i="65"/>
  <c r="I83" i="65"/>
  <c r="H83" i="65"/>
  <c r="G83" i="65"/>
  <c r="F83" i="65"/>
  <c r="T34" i="65"/>
  <c r="S34" i="65"/>
  <c r="R34" i="65"/>
  <c r="Q34" i="65"/>
  <c r="P34" i="65"/>
  <c r="O34" i="65"/>
  <c r="N34" i="65"/>
  <c r="M34" i="65"/>
  <c r="L34" i="65"/>
  <c r="K34" i="65"/>
  <c r="J34" i="65"/>
  <c r="I34" i="65"/>
  <c r="H34" i="65"/>
  <c r="G34" i="65"/>
  <c r="F34" i="65"/>
  <c r="T43" i="65"/>
  <c r="S43" i="65"/>
  <c r="R43" i="65"/>
  <c r="Q43" i="65"/>
  <c r="P43" i="65"/>
  <c r="O43" i="65"/>
  <c r="N43" i="65"/>
  <c r="M43" i="65"/>
  <c r="L43" i="65"/>
  <c r="K43" i="65"/>
  <c r="J43" i="65"/>
  <c r="I43" i="65"/>
  <c r="H43" i="65"/>
  <c r="G43" i="65"/>
  <c r="I51" i="76" l="1"/>
  <c r="C69" i="76" a="1"/>
  <c r="C69" i="76" s="1"/>
  <c r="C70" i="76" a="1"/>
  <c r="C70" i="76" s="1"/>
  <c r="C71" i="76" a="1"/>
  <c r="C71" i="76" s="1"/>
  <c r="C73" i="76" a="1"/>
  <c r="C73" i="76" s="1"/>
  <c r="C74" i="76" a="1"/>
  <c r="C74" i="76" s="1"/>
  <c r="C72" i="76" a="1"/>
  <c r="C72" i="76" s="1"/>
  <c r="C67" i="76" a="1"/>
  <c r="C67" i="76" s="1"/>
  <c r="C56" i="76" a="1"/>
  <c r="C56" i="76" s="1"/>
  <c r="C62" i="76" a="1"/>
  <c r="C62" i="76" s="1"/>
  <c r="C52" i="76" a="1"/>
  <c r="C52" i="76" s="1"/>
  <c r="C58" i="76" a="1"/>
  <c r="C58" i="76" s="1"/>
  <c r="C65" i="76" a="1"/>
  <c r="C65" i="76" s="1"/>
  <c r="C54" i="76" a="1"/>
  <c r="C54" i="76" s="1"/>
  <c r="C60" i="76" a="1"/>
  <c r="C60" i="76" s="1"/>
  <c r="E51" i="76"/>
  <c r="D51" i="76"/>
  <c r="C50" i="76"/>
  <c r="C51" i="76" s="1"/>
  <c r="H51" i="76"/>
  <c r="G51" i="76"/>
  <c r="F51" i="76"/>
  <c r="C55" i="76" a="1"/>
  <c r="C55" i="76" s="1"/>
  <c r="C61" i="76" a="1"/>
  <c r="C61" i="76" s="1"/>
  <c r="C63" i="76" a="1"/>
  <c r="C63" i="76" s="1"/>
  <c r="C66" i="76" a="1"/>
  <c r="C66" i="76" s="1"/>
  <c r="C57" i="76" a="1"/>
  <c r="C57" i="76" s="1"/>
  <c r="C59" i="76" a="1"/>
  <c r="C59" i="76" s="1"/>
  <c r="C53" i="76" a="1"/>
  <c r="C53" i="76" s="1"/>
  <c r="C68" i="76" a="1"/>
  <c r="C68" i="76" s="1"/>
  <c r="N59" i="65"/>
  <c r="M59" i="65"/>
  <c r="L59" i="65"/>
  <c r="L70" i="65"/>
  <c r="O70" i="65"/>
  <c r="N70" i="65"/>
  <c r="M70" i="65"/>
  <c r="K49" i="65"/>
  <c r="D172" i="64" a="1"/>
  <c r="D172" i="64" s="1"/>
  <c r="M326" i="64" l="1"/>
  <c r="I65" i="65" l="1"/>
  <c r="J65" i="65"/>
  <c r="K65" i="65"/>
  <c r="L65" i="65"/>
  <c r="M65" i="65"/>
  <c r="N65" i="65"/>
  <c r="O65" i="65"/>
  <c r="P65" i="65"/>
  <c r="Q65" i="65"/>
  <c r="R65" i="65"/>
  <c r="S65" i="65"/>
  <c r="T65" i="65"/>
  <c r="N4" i="65"/>
  <c r="O4" i="65"/>
  <c r="P4" i="65"/>
  <c r="Q4" i="65"/>
  <c r="R4" i="65"/>
  <c r="S4" i="65"/>
  <c r="T4" i="65"/>
  <c r="U4" i="65"/>
  <c r="V4" i="65"/>
  <c r="W4" i="65"/>
  <c r="K29" i="65"/>
  <c r="L29" i="65"/>
  <c r="M29" i="65"/>
  <c r="N29" i="65"/>
  <c r="O29" i="65"/>
  <c r="P29" i="65"/>
  <c r="Q29" i="65"/>
  <c r="R29" i="65"/>
  <c r="S29" i="65"/>
  <c r="T29" i="65"/>
  <c r="U29" i="65"/>
  <c r="V29" i="65"/>
  <c r="W29" i="65"/>
  <c r="U114" i="65"/>
  <c r="V114" i="65"/>
  <c r="W114" i="65"/>
  <c r="F124" i="65"/>
  <c r="G124" i="65"/>
  <c r="H124" i="65"/>
  <c r="I124" i="65"/>
  <c r="J124" i="65"/>
  <c r="K124" i="65"/>
  <c r="L124" i="65"/>
  <c r="M124" i="65"/>
  <c r="N124" i="65"/>
  <c r="O124" i="65"/>
  <c r="P124" i="65"/>
  <c r="Q124" i="65"/>
  <c r="R124" i="65"/>
  <c r="S124" i="65"/>
  <c r="T124" i="65"/>
  <c r="U124" i="65"/>
  <c r="V124" i="65"/>
  <c r="W124" i="65"/>
  <c r="E89" i="65"/>
  <c r="F89" i="65"/>
  <c r="G89" i="65"/>
  <c r="H89" i="65"/>
  <c r="I89" i="65"/>
  <c r="J89" i="65"/>
  <c r="K89" i="65"/>
  <c r="L89" i="65"/>
  <c r="M89" i="65"/>
  <c r="N89" i="65"/>
  <c r="O89" i="65"/>
  <c r="P89" i="65"/>
  <c r="Q89" i="65"/>
  <c r="R89" i="65"/>
  <c r="S89" i="65"/>
  <c r="T89" i="65"/>
  <c r="U89" i="65"/>
  <c r="V89" i="65"/>
  <c r="W89" i="65"/>
  <c r="E101" i="65"/>
  <c r="U101" i="65"/>
  <c r="V101" i="65"/>
  <c r="W101" i="65"/>
  <c r="U106" i="65"/>
  <c r="V106" i="65"/>
  <c r="W106" i="65"/>
  <c r="U107" i="65"/>
  <c r="V107" i="65"/>
  <c r="W107" i="65"/>
  <c r="U108" i="65"/>
  <c r="V108" i="65"/>
  <c r="W108" i="65"/>
  <c r="U109" i="65"/>
  <c r="V109" i="65"/>
  <c r="W109" i="65"/>
  <c r="U110" i="65"/>
  <c r="V110" i="65"/>
  <c r="W110" i="65"/>
  <c r="G109" i="64" l="1"/>
  <c r="G24" i="76" s="1"/>
  <c r="F109" i="64"/>
  <c r="F24" i="76" s="1"/>
  <c r="G116" i="64"/>
  <c r="G31" i="76" s="1"/>
  <c r="G108" i="64"/>
  <c r="G23" i="76" s="1"/>
  <c r="F108" i="64"/>
  <c r="F23" i="76" s="1"/>
  <c r="G114" i="64"/>
  <c r="H115" i="64" s="1"/>
  <c r="F114" i="64"/>
  <c r="F29" i="76" s="1"/>
  <c r="G113" i="64"/>
  <c r="G28" i="76" s="1"/>
  <c r="G110" i="64"/>
  <c r="G25" i="76" s="1"/>
  <c r="F116" i="64"/>
  <c r="F31" i="76" s="1"/>
  <c r="F113" i="64"/>
  <c r="F28" i="76" s="1"/>
  <c r="H65" i="65"/>
  <c r="F112" i="64"/>
  <c r="F27" i="76" s="1"/>
  <c r="G123" i="64"/>
  <c r="G38" i="76" s="1"/>
  <c r="G111" i="64"/>
  <c r="G26" i="76" s="1"/>
  <c r="F123" i="64"/>
  <c r="F38" i="76" s="1"/>
  <c r="E113" i="64"/>
  <c r="E28" i="76" s="1"/>
  <c r="E111" i="64"/>
  <c r="E26" i="76" s="1"/>
  <c r="E108" i="64"/>
  <c r="E23" i="76" s="1"/>
  <c r="E110" i="64"/>
  <c r="E25" i="76" s="1"/>
  <c r="E112" i="64"/>
  <c r="E27" i="76" s="1"/>
  <c r="E116" i="64"/>
  <c r="E31" i="76" s="1"/>
  <c r="E109" i="64"/>
  <c r="E24" i="76" s="1"/>
  <c r="E123" i="64"/>
  <c r="E38" i="76" s="1"/>
  <c r="E114" i="64"/>
  <c r="E29" i="76" s="1"/>
  <c r="F110" i="64"/>
  <c r="F25" i="76" s="1"/>
  <c r="G65" i="65"/>
  <c r="F111" i="64"/>
  <c r="F26" i="76" s="1"/>
  <c r="G112" i="64"/>
  <c r="G27" i="76" s="1"/>
  <c r="U65" i="65"/>
  <c r="W65" i="65"/>
  <c r="V65" i="65"/>
  <c r="C221" i="64"/>
  <c r="M4" i="65"/>
  <c r="L4" i="65"/>
  <c r="K4" i="65"/>
  <c r="C306" i="64"/>
  <c r="A32" i="47"/>
  <c r="F39" i="65"/>
  <c r="G79" i="65"/>
  <c r="H39" i="65"/>
  <c r="I79" i="65"/>
  <c r="J39" i="65"/>
  <c r="K39" i="65"/>
  <c r="L79" i="65"/>
  <c r="M39" i="65"/>
  <c r="N39" i="65"/>
  <c r="O79" i="65"/>
  <c r="P39" i="65"/>
  <c r="Q79" i="65"/>
  <c r="R39" i="65"/>
  <c r="S39" i="65"/>
  <c r="T39" i="65"/>
  <c r="H30" i="76" l="1"/>
  <c r="H117" i="64"/>
  <c r="G29" i="76"/>
  <c r="C308" i="64"/>
  <c r="C303" i="64" a="1"/>
  <c r="C303" i="64" s="1"/>
  <c r="C304" i="64" s="1" a="1"/>
  <c r="C304" i="64" s="1"/>
  <c r="F11" i="21"/>
  <c r="D123" i="64"/>
  <c r="D38" i="76" s="1"/>
  <c r="D108" i="64"/>
  <c r="D23" i="76" s="1"/>
  <c r="D109" i="64"/>
  <c r="D24" i="76" s="1"/>
  <c r="D112" i="64"/>
  <c r="D27" i="76" s="1"/>
  <c r="D113" i="64"/>
  <c r="D28" i="76" s="1"/>
  <c r="D110" i="64"/>
  <c r="D25" i="76" s="1"/>
  <c r="D111" i="64"/>
  <c r="D26" i="76" s="1"/>
  <c r="D114" i="64"/>
  <c r="G115" i="64"/>
  <c r="E130" i="64"/>
  <c r="E134" i="64" s="1"/>
  <c r="E133" i="64" s="1"/>
  <c r="E129" i="64"/>
  <c r="G130" i="64"/>
  <c r="G134" i="64" s="1"/>
  <c r="G129" i="64"/>
  <c r="H131" i="64" s="1"/>
  <c r="H132" i="64" s="1"/>
  <c r="F130" i="64"/>
  <c r="F134" i="64" s="1"/>
  <c r="F129" i="64"/>
  <c r="F115" i="64"/>
  <c r="D5" i="64" a="1"/>
  <c r="D5" i="64" s="1"/>
  <c r="C189" i="64" a="1"/>
  <c r="C189" i="64" s="1"/>
  <c r="C188" i="64" a="1"/>
  <c r="C188" i="64" s="1"/>
  <c r="U39" i="65"/>
  <c r="U79" i="65"/>
  <c r="J79" i="65"/>
  <c r="J44" i="65" s="1"/>
  <c r="H79" i="65"/>
  <c r="H44" i="65" s="1"/>
  <c r="F79" i="65"/>
  <c r="I39" i="65"/>
  <c r="T79" i="65"/>
  <c r="T84" i="65" s="1"/>
  <c r="M79" i="65"/>
  <c r="M84" i="65" s="1"/>
  <c r="S79" i="65"/>
  <c r="S84" i="65" s="1"/>
  <c r="K79" i="65"/>
  <c r="K84" i="65" s="1"/>
  <c r="O39" i="65"/>
  <c r="P79" i="65"/>
  <c r="P44" i="65" s="1"/>
  <c r="N79" i="65"/>
  <c r="N84" i="65" s="1"/>
  <c r="G39" i="65"/>
  <c r="L39" i="65"/>
  <c r="R79" i="65"/>
  <c r="R84" i="65" s="1"/>
  <c r="Q39" i="65"/>
  <c r="I84" i="65"/>
  <c r="I44" i="65"/>
  <c r="O44" i="65"/>
  <c r="O84" i="65"/>
  <c r="L44" i="65"/>
  <c r="L84" i="65"/>
  <c r="G44" i="65"/>
  <c r="G84" i="65"/>
  <c r="Q44" i="65"/>
  <c r="Q84" i="65"/>
  <c r="C305" i="64"/>
  <c r="H32" i="76" l="1"/>
  <c r="H119" i="64"/>
  <c r="F44" i="65"/>
  <c r="G43" i="76"/>
  <c r="G133" i="64"/>
  <c r="F43" i="76"/>
  <c r="F133" i="64"/>
  <c r="F131" i="64"/>
  <c r="F132" i="64" s="1"/>
  <c r="G131" i="64"/>
  <c r="G117" i="64"/>
  <c r="G30" i="76"/>
  <c r="E115" i="64"/>
  <c r="D29" i="76"/>
  <c r="F117" i="64"/>
  <c r="F30" i="76"/>
  <c r="F19" i="21"/>
  <c r="D130" i="64"/>
  <c r="D129" i="64"/>
  <c r="E131" i="64" s="1"/>
  <c r="E132" i="64" s="1"/>
  <c r="U44" i="65"/>
  <c r="U84" i="65"/>
  <c r="F84" i="65"/>
  <c r="P84" i="65"/>
  <c r="H84" i="65"/>
  <c r="J84" i="65"/>
  <c r="N44" i="65"/>
  <c r="M44" i="65"/>
  <c r="R44" i="65"/>
  <c r="T44" i="65"/>
  <c r="K44" i="65"/>
  <c r="S44" i="65"/>
  <c r="C307" i="64"/>
  <c r="E120" i="64"/>
  <c r="M288" i="64"/>
  <c r="F120" i="64"/>
  <c r="G120" i="64"/>
  <c r="H34" i="76" l="1"/>
  <c r="H121" i="64"/>
  <c r="E117" i="64"/>
  <c r="E30" i="76"/>
  <c r="G132" i="64"/>
  <c r="G35" i="76"/>
  <c r="G119" i="64"/>
  <c r="G34" i="76" s="1"/>
  <c r="G32" i="76"/>
  <c r="E35" i="76"/>
  <c r="F119" i="64"/>
  <c r="F34" i="76" s="1"/>
  <c r="F32" i="76"/>
  <c r="F35" i="76"/>
  <c r="B35" i="75"/>
  <c r="B42" i="75"/>
  <c r="B39" i="75"/>
  <c r="B64" i="64" s="1"/>
  <c r="B41" i="75"/>
  <c r="B66" i="64" s="1"/>
  <c r="B65" i="64"/>
  <c r="E19" i="21"/>
  <c r="D19" i="21" s="1"/>
  <c r="G49" i="65"/>
  <c r="H70" i="65"/>
  <c r="J134" i="65"/>
  <c r="I134" i="65"/>
  <c r="H134" i="65"/>
  <c r="G134" i="65"/>
  <c r="F134" i="65"/>
  <c r="I4" i="65"/>
  <c r="F4" i="65"/>
  <c r="H4" i="65"/>
  <c r="J4" i="65"/>
  <c r="G4" i="65"/>
  <c r="H36" i="76" l="1"/>
  <c r="H125" i="64"/>
  <c r="H40" i="76" s="1"/>
  <c r="H128" i="64"/>
  <c r="H135" i="64" s="1"/>
  <c r="H136" i="64"/>
  <c r="F121" i="64"/>
  <c r="F136" i="64" s="1"/>
  <c r="F137" i="64" s="1"/>
  <c r="F138" i="64" s="1"/>
  <c r="G121" i="64"/>
  <c r="E119" i="64"/>
  <c r="E32" i="76"/>
  <c r="C93" i="64" a="1"/>
  <c r="C93" i="64" s="1"/>
  <c r="I19" i="65"/>
  <c r="I18" i="65"/>
  <c r="H29" i="65"/>
  <c r="I59" i="65"/>
  <c r="I29" i="65"/>
  <c r="J59" i="65"/>
  <c r="F29" i="65"/>
  <c r="G59" i="65"/>
  <c r="J29" i="65"/>
  <c r="K59" i="65"/>
  <c r="G29" i="65"/>
  <c r="H59" i="65"/>
  <c r="E29" i="65"/>
  <c r="I70" i="65"/>
  <c r="J70" i="65"/>
  <c r="K70" i="65"/>
  <c r="G70" i="65"/>
  <c r="J49" i="65"/>
  <c r="F49" i="65"/>
  <c r="I49" i="65"/>
  <c r="H49" i="65"/>
  <c r="H137" i="64" l="1"/>
  <c r="H138" i="64" s="1"/>
  <c r="H139" i="64"/>
  <c r="F36" i="76"/>
  <c r="F125" i="64"/>
  <c r="F40" i="76" s="1"/>
  <c r="F128" i="64"/>
  <c r="F135" i="64" s="1"/>
  <c r="E34" i="76"/>
  <c r="E121" i="64"/>
  <c r="F139" i="64"/>
  <c r="G125" i="64"/>
  <c r="G40" i="76" s="1"/>
  <c r="G36" i="76"/>
  <c r="G128" i="64"/>
  <c r="G135" i="64" s="1"/>
  <c r="G136" i="64"/>
  <c r="F101" i="65"/>
  <c r="G101" i="65"/>
  <c r="H101" i="65"/>
  <c r="I101" i="65"/>
  <c r="J101" i="65"/>
  <c r="K101" i="65"/>
  <c r="L101" i="65"/>
  <c r="M101" i="65"/>
  <c r="N101" i="65"/>
  <c r="O101" i="65"/>
  <c r="P101" i="65"/>
  <c r="Q101" i="65"/>
  <c r="R101" i="65"/>
  <c r="S101" i="65"/>
  <c r="T101" i="65"/>
  <c r="E106" i="65"/>
  <c r="F106" i="65"/>
  <c r="G106" i="65"/>
  <c r="H106" i="65"/>
  <c r="I106" i="65"/>
  <c r="J106" i="65"/>
  <c r="K106" i="65"/>
  <c r="L106" i="65"/>
  <c r="M106" i="65"/>
  <c r="N106" i="65"/>
  <c r="O106" i="65"/>
  <c r="P106" i="65"/>
  <c r="Q106" i="65"/>
  <c r="R106" i="65"/>
  <c r="S106" i="65"/>
  <c r="T106" i="65"/>
  <c r="E107" i="65"/>
  <c r="F107" i="65"/>
  <c r="G107" i="65"/>
  <c r="H107" i="65"/>
  <c r="I107" i="65"/>
  <c r="J107" i="65"/>
  <c r="K107" i="65"/>
  <c r="L107" i="65"/>
  <c r="M107" i="65"/>
  <c r="N107" i="65"/>
  <c r="O107" i="65"/>
  <c r="P107" i="65"/>
  <c r="Q107" i="65"/>
  <c r="R107" i="65"/>
  <c r="S107" i="65"/>
  <c r="T107" i="65"/>
  <c r="E108" i="65"/>
  <c r="F108" i="65"/>
  <c r="G108" i="65"/>
  <c r="H108" i="65"/>
  <c r="I108" i="65"/>
  <c r="J108" i="65"/>
  <c r="K108" i="65"/>
  <c r="L108" i="65"/>
  <c r="M108" i="65"/>
  <c r="N108" i="65"/>
  <c r="O108" i="65"/>
  <c r="P108" i="65"/>
  <c r="Q108" i="65"/>
  <c r="R108" i="65"/>
  <c r="S108" i="65"/>
  <c r="T108" i="65"/>
  <c r="E110" i="65"/>
  <c r="F110" i="65"/>
  <c r="G110" i="65"/>
  <c r="H110" i="65"/>
  <c r="I110" i="65"/>
  <c r="J110" i="65"/>
  <c r="K110" i="65"/>
  <c r="L110" i="65"/>
  <c r="M110" i="65"/>
  <c r="N110" i="65"/>
  <c r="O110" i="65"/>
  <c r="P110" i="65"/>
  <c r="Q110" i="65"/>
  <c r="R110" i="65"/>
  <c r="S110" i="65"/>
  <c r="T110" i="65"/>
  <c r="H140" i="64" l="1"/>
  <c r="H142" i="64" s="1"/>
  <c r="H148" i="64" s="1"/>
  <c r="J122" i="64"/>
  <c r="F140" i="64"/>
  <c r="G137" i="64"/>
  <c r="G138" i="64" s="1"/>
  <c r="G139" i="64"/>
  <c r="E36" i="76"/>
  <c r="E136" i="64"/>
  <c r="E122" i="64"/>
  <c r="E125" i="64"/>
  <c r="E128" i="64"/>
  <c r="E135" i="64" s="1"/>
  <c r="D174" i="64" a="1"/>
  <c r="D173" i="64" a="1"/>
  <c r="J176" i="64" s="1"/>
  <c r="R109" i="65"/>
  <c r="P109" i="65"/>
  <c r="G109" i="65"/>
  <c r="Q109" i="65"/>
  <c r="O109" i="65"/>
  <c r="E109" i="65"/>
  <c r="T109" i="65"/>
  <c r="N109" i="65"/>
  <c r="I109" i="65"/>
  <c r="M109" i="65"/>
  <c r="J109" i="65"/>
  <c r="F109" i="65"/>
  <c r="S109" i="65"/>
  <c r="L109" i="65"/>
  <c r="K109" i="65"/>
  <c r="J37" i="76" l="1"/>
  <c r="J126" i="64"/>
  <c r="F142" i="64"/>
  <c r="E40" i="76"/>
  <c r="C156" i="64" a="1"/>
  <c r="C156" i="64" s="1"/>
  <c r="E126" i="64"/>
  <c r="E37" i="76"/>
  <c r="F122" i="64"/>
  <c r="E139" i="64"/>
  <c r="E137" i="64"/>
  <c r="E138" i="64" s="1"/>
  <c r="F21" i="65"/>
  <c r="I21" i="65"/>
  <c r="J21" i="65"/>
  <c r="H176" i="64"/>
  <c r="I176" i="64"/>
  <c r="D173" i="64"/>
  <c r="D176" i="64" s="1"/>
  <c r="G176" i="64"/>
  <c r="E176" i="64"/>
  <c r="F176" i="64"/>
  <c r="D174" i="64"/>
  <c r="E175" i="64" s="1" a="1"/>
  <c r="E175" i="64" s="1"/>
  <c r="J41" i="76" l="1"/>
  <c r="J144" i="64"/>
  <c r="J45" i="76" s="1"/>
  <c r="J141" i="64"/>
  <c r="J143" i="64" s="1"/>
  <c r="J149" i="64" s="1"/>
  <c r="F44" i="76"/>
  <c r="G18" i="65"/>
  <c r="G19" i="65"/>
  <c r="F148" i="64"/>
  <c r="E41" i="76"/>
  <c r="E144" i="64"/>
  <c r="E140" i="64"/>
  <c r="G140" i="64"/>
  <c r="G122" i="64"/>
  <c r="H122" i="64" s="1"/>
  <c r="F37" i="76"/>
  <c r="F126" i="64"/>
  <c r="F114" i="65"/>
  <c r="G114" i="65"/>
  <c r="H114" i="65"/>
  <c r="I114" i="65"/>
  <c r="J114" i="65"/>
  <c r="K114" i="65"/>
  <c r="L114" i="65"/>
  <c r="M114" i="65"/>
  <c r="N114" i="65"/>
  <c r="O114" i="65"/>
  <c r="P114" i="65"/>
  <c r="Q114" i="65"/>
  <c r="R114" i="65"/>
  <c r="S114" i="65"/>
  <c r="T114" i="65"/>
  <c r="H37" i="76" l="1"/>
  <c r="H126" i="64"/>
  <c r="I122" i="64"/>
  <c r="F41" i="76"/>
  <c r="F144" i="64"/>
  <c r="G142" i="64"/>
  <c r="E142" i="64"/>
  <c r="E44" i="76" s="1"/>
  <c r="E141" i="64"/>
  <c r="E143" i="64" s="1"/>
  <c r="G37" i="76"/>
  <c r="G126" i="64"/>
  <c r="I37" i="76" l="1"/>
  <c r="I126" i="64"/>
  <c r="H41" i="76"/>
  <c r="H144" i="64"/>
  <c r="H45" i="76" s="1"/>
  <c r="G44" i="76"/>
  <c r="H19" i="65"/>
  <c r="H18" i="65"/>
  <c r="F45" i="76"/>
  <c r="G41" i="76"/>
  <c r="G144" i="64"/>
  <c r="F141" i="64"/>
  <c r="C153" i="64"/>
  <c r="C151" i="64"/>
  <c r="G148" i="64"/>
  <c r="E4" i="69"/>
  <c r="I41" i="76" l="1"/>
  <c r="I144" i="64"/>
  <c r="I45" i="76" s="1"/>
  <c r="G45" i="76"/>
  <c r="F143" i="64"/>
  <c r="G141" i="64"/>
  <c r="H141" i="64" s="1"/>
  <c r="E3" i="69"/>
  <c r="E28" i="69"/>
  <c r="E27" i="69"/>
  <c r="E26" i="69"/>
  <c r="E25" i="69"/>
  <c r="E24" i="69"/>
  <c r="E23" i="69"/>
  <c r="E22" i="69"/>
  <c r="E21" i="69"/>
  <c r="E20" i="69"/>
  <c r="E19" i="69"/>
  <c r="E17" i="69"/>
  <c r="E16" i="69"/>
  <c r="E15" i="69"/>
  <c r="E14" i="69"/>
  <c r="E13" i="69"/>
  <c r="E12" i="69"/>
  <c r="E11" i="69"/>
  <c r="E10" i="69"/>
  <c r="E9" i="69"/>
  <c r="C154" i="64" l="1"/>
  <c r="H143" i="64"/>
  <c r="H149" i="64" s="1"/>
  <c r="I141" i="64"/>
  <c r="I143" i="64" s="1"/>
  <c r="I149" i="64" s="1"/>
  <c r="G143" i="64"/>
  <c r="F149" i="64"/>
  <c r="C186" i="64" a="1"/>
  <c r="C186" i="64" s="1"/>
  <c r="C187" i="64" a="1"/>
  <c r="C187" i="64" s="1"/>
  <c r="C190" i="64" s="1"/>
  <c r="W47" i="64"/>
  <c r="W63" i="64"/>
  <c r="D62" i="64" a="1"/>
  <c r="B246" i="64"/>
  <c r="C233" i="64"/>
  <c r="C234" i="64" s="1"/>
  <c r="D322" i="64" a="1"/>
  <c r="D46" i="64" a="1"/>
  <c r="B346" i="64"/>
  <c r="B345" i="64"/>
  <c r="D286" i="64" a="1"/>
  <c r="D287" i="64" s="1" a="1"/>
  <c r="E2" i="65" a="1"/>
  <c r="T47" i="64" l="1"/>
  <c r="V47" i="64"/>
  <c r="U47" i="64"/>
  <c r="W54" i="65" a="1"/>
  <c r="W54" i="65" s="1"/>
  <c r="U54" i="65" a="1"/>
  <c r="U54" i="65" s="1"/>
  <c r="V54" i="65" a="1"/>
  <c r="V54" i="65" s="1"/>
  <c r="W62" i="65" a="1"/>
  <c r="W62" i="65" s="1"/>
  <c r="W64" i="65" s="1"/>
  <c r="V63" i="65" a="1"/>
  <c r="V63" i="65" s="1"/>
  <c r="W15" i="65" a="1"/>
  <c r="W15" i="65" s="1"/>
  <c r="W16" i="65" s="1"/>
  <c r="U62" i="65" a="1"/>
  <c r="U62" i="65" s="1"/>
  <c r="U64" i="65" s="1"/>
  <c r="V62" i="65" a="1"/>
  <c r="V62" i="65" s="1"/>
  <c r="V64" i="65" s="1"/>
  <c r="U63" i="65" a="1"/>
  <c r="U63" i="65" s="1"/>
  <c r="W63" i="65" a="1"/>
  <c r="W63" i="65" s="1"/>
  <c r="V15" i="65" a="1"/>
  <c r="V15" i="65" s="1"/>
  <c r="V16" i="65" s="1"/>
  <c r="U15" i="65" a="1"/>
  <c r="U15" i="65" s="1"/>
  <c r="U16" i="65" s="1"/>
  <c r="H54" i="65" a="1"/>
  <c r="H54" i="65" s="1"/>
  <c r="N54" i="65" a="1"/>
  <c r="N54" i="65" s="1"/>
  <c r="Q54" i="65" a="1"/>
  <c r="Q54" i="65" s="1"/>
  <c r="T54" i="65" a="1"/>
  <c r="T54" i="65" s="1"/>
  <c r="I54" i="65" a="1"/>
  <c r="I54" i="65" s="1"/>
  <c r="P54" i="65" a="1"/>
  <c r="P54" i="65" s="1"/>
  <c r="J54" i="65" a="1"/>
  <c r="J54" i="65" s="1"/>
  <c r="K54" i="65" a="1"/>
  <c r="K54" i="65" s="1"/>
  <c r="L54" i="65" a="1"/>
  <c r="L54" i="65" s="1"/>
  <c r="O54" i="65" a="1"/>
  <c r="O54" i="65" s="1"/>
  <c r="R54" i="65" a="1"/>
  <c r="R54" i="65" s="1"/>
  <c r="S54" i="65" a="1"/>
  <c r="S54" i="65" s="1"/>
  <c r="M54" i="65" a="1"/>
  <c r="M54" i="65" s="1"/>
  <c r="G54" i="65" a="1"/>
  <c r="G54" i="65" s="1"/>
  <c r="F54" i="65" a="1"/>
  <c r="F54" i="65" s="1"/>
  <c r="C14" i="76"/>
  <c r="H62" i="65" a="1"/>
  <c r="H62" i="65" s="1"/>
  <c r="S63" i="65" a="1"/>
  <c r="S63" i="65" s="1"/>
  <c r="P15" i="65" a="1"/>
  <c r="P15" i="65" s="1"/>
  <c r="P16" i="65" s="1"/>
  <c r="I62" i="65" a="1"/>
  <c r="I62" i="65" s="1"/>
  <c r="T63" i="65" a="1"/>
  <c r="T63" i="65" s="1"/>
  <c r="Q15" i="65" a="1"/>
  <c r="Q15" i="65" s="1"/>
  <c r="Q16" i="65" s="1"/>
  <c r="M62" i="65" a="1"/>
  <c r="M62" i="65" s="1"/>
  <c r="J15" i="65" a="1"/>
  <c r="J15" i="65" s="1"/>
  <c r="J16" i="65" s="1"/>
  <c r="O63" i="65" a="1"/>
  <c r="O63" i="65" s="1"/>
  <c r="R63" i="65" a="1"/>
  <c r="R63" i="65" s="1"/>
  <c r="O15" i="65" a="1"/>
  <c r="O15" i="65" s="1"/>
  <c r="O16" i="65" s="1"/>
  <c r="K63" i="65" a="1"/>
  <c r="K63" i="65" s="1"/>
  <c r="N62" i="65" a="1"/>
  <c r="N62" i="65" s="1"/>
  <c r="M63" i="65" a="1"/>
  <c r="M63" i="65" s="1"/>
  <c r="N63" i="65" a="1"/>
  <c r="N63" i="65" s="1"/>
  <c r="Q62" i="65" a="1"/>
  <c r="Q62" i="65" s="1"/>
  <c r="P63" i="65" a="1"/>
  <c r="P63" i="65" s="1"/>
  <c r="S62" i="65" a="1"/>
  <c r="S62" i="65" s="1"/>
  <c r="T62" i="65" a="1"/>
  <c r="T62" i="65" s="1"/>
  <c r="J62" i="65" a="1"/>
  <c r="J62" i="65" s="1"/>
  <c r="H63" i="65" a="1"/>
  <c r="H63" i="65" s="1"/>
  <c r="R15" i="65" a="1"/>
  <c r="R15" i="65" s="1"/>
  <c r="R16" i="65" s="1"/>
  <c r="T15" i="65" a="1"/>
  <c r="T15" i="65" s="1"/>
  <c r="T16" i="65" s="1"/>
  <c r="L63" i="65" a="1"/>
  <c r="L63" i="65" s="1"/>
  <c r="O62" i="65" a="1"/>
  <c r="O62" i="65" s="1"/>
  <c r="P62" i="65" a="1"/>
  <c r="P62" i="65" s="1"/>
  <c r="K15" i="65" a="1"/>
  <c r="K15" i="65" s="1"/>
  <c r="K16" i="65" s="1"/>
  <c r="R62" i="65" a="1"/>
  <c r="R62" i="65" s="1"/>
  <c r="M15" i="65" a="1"/>
  <c r="M15" i="65" s="1"/>
  <c r="M16" i="65" s="1"/>
  <c r="K62" i="65" a="1"/>
  <c r="K62" i="65" s="1"/>
  <c r="I63" i="65" a="1"/>
  <c r="I63" i="65" s="1"/>
  <c r="S15" i="65" a="1"/>
  <c r="S15" i="65" s="1"/>
  <c r="S16" i="65" s="1"/>
  <c r="L62" i="65" a="1"/>
  <c r="L62" i="65" s="1"/>
  <c r="J63" i="65" a="1"/>
  <c r="J63" i="65" s="1"/>
  <c r="H15" i="65" a="1"/>
  <c r="H15" i="65" s="1"/>
  <c r="H16" i="65" s="1"/>
  <c r="I15" i="65" a="1"/>
  <c r="I15" i="65" s="1"/>
  <c r="I16" i="65" s="1"/>
  <c r="L15" i="65" a="1"/>
  <c r="L15" i="65" s="1"/>
  <c r="L16" i="65" s="1"/>
  <c r="Q63" i="65" a="1"/>
  <c r="Q63" i="65" s="1"/>
  <c r="N15" i="65" a="1"/>
  <c r="N15" i="65" s="1"/>
  <c r="N16" i="65" s="1"/>
  <c r="F62" i="65" a="1"/>
  <c r="F62" i="65" s="1"/>
  <c r="F63" i="65" a="1"/>
  <c r="F63" i="65" s="1"/>
  <c r="G42" i="65" a="1"/>
  <c r="G42" i="65" s="1"/>
  <c r="G62" i="65" a="1"/>
  <c r="G62" i="65" s="1"/>
  <c r="F41" i="65" a="1"/>
  <c r="F41" i="65" s="1"/>
  <c r="G63" i="65" a="1"/>
  <c r="G63" i="65" s="1"/>
  <c r="F42" i="65" a="1"/>
  <c r="F42" i="65" s="1"/>
  <c r="F15" i="65" a="1"/>
  <c r="F15" i="65" s="1"/>
  <c r="F16" i="65" s="1"/>
  <c r="G15" i="65" a="1"/>
  <c r="G15" i="65" s="1"/>
  <c r="G16" i="65" s="1"/>
  <c r="C155" i="64" a="1"/>
  <c r="C155" i="64" s="1"/>
  <c r="G149" i="64"/>
  <c r="C152" i="64"/>
  <c r="C158" i="64" a="1"/>
  <c r="C158" i="64" s="1"/>
  <c r="C157" i="64" a="1"/>
  <c r="C157" i="64" s="1"/>
  <c r="R47" i="64"/>
  <c r="E47" i="64"/>
  <c r="F47" i="64"/>
  <c r="I47" i="64"/>
  <c r="J47" i="64"/>
  <c r="K47" i="64"/>
  <c r="Q47" i="64"/>
  <c r="S47" i="64"/>
  <c r="H47" i="64"/>
  <c r="L47" i="64"/>
  <c r="O47" i="64"/>
  <c r="G47" i="64"/>
  <c r="M47" i="64"/>
  <c r="N47" i="64"/>
  <c r="P47" i="64"/>
  <c r="M149" i="65" a="1"/>
  <c r="M149" i="65" s="1"/>
  <c r="N149" i="65" a="1"/>
  <c r="N149" i="65" s="1"/>
  <c r="R149" i="65" a="1"/>
  <c r="R149" i="65" s="1"/>
  <c r="S149" i="65" a="1"/>
  <c r="S149" i="65" s="1"/>
  <c r="T149" i="65" a="1"/>
  <c r="T149" i="65" s="1"/>
  <c r="K149" i="65" a="1"/>
  <c r="K149" i="65" s="1"/>
  <c r="O149" i="65" a="1"/>
  <c r="O149" i="65" s="1"/>
  <c r="P149" i="65" a="1"/>
  <c r="P149" i="65" s="1"/>
  <c r="Q149" i="65" a="1"/>
  <c r="Q149" i="65" s="1"/>
  <c r="F150" i="65" a="1"/>
  <c r="F150" i="65" s="1"/>
  <c r="F149" i="65" a="1"/>
  <c r="F149" i="65" s="1"/>
  <c r="G149" i="65" a="1"/>
  <c r="G149" i="65" s="1"/>
  <c r="H149" i="65" a="1"/>
  <c r="H149" i="65" s="1"/>
  <c r="I149" i="65" a="1"/>
  <c r="I149" i="65" s="1"/>
  <c r="J149" i="65" a="1"/>
  <c r="J149" i="65" s="1"/>
  <c r="L149" i="65" a="1"/>
  <c r="L149" i="65" s="1"/>
  <c r="M150" i="65" a="1"/>
  <c r="M150" i="65" s="1"/>
  <c r="I150" i="65" a="1"/>
  <c r="I150" i="65" s="1"/>
  <c r="T150" i="65" a="1"/>
  <c r="T150" i="65" s="1"/>
  <c r="L150" i="65" a="1"/>
  <c r="L150" i="65" s="1"/>
  <c r="N150" i="65" a="1"/>
  <c r="N150" i="65" s="1"/>
  <c r="P150" i="65" a="1"/>
  <c r="P150" i="65" s="1"/>
  <c r="Q150" i="65" a="1"/>
  <c r="Q150" i="65" s="1"/>
  <c r="R150" i="65" a="1"/>
  <c r="R150" i="65" s="1"/>
  <c r="O150" i="65" a="1"/>
  <c r="O150" i="65" s="1"/>
  <c r="S150" i="65" a="1"/>
  <c r="S150" i="65" s="1"/>
  <c r="G150" i="65" a="1"/>
  <c r="G150" i="65" s="1"/>
  <c r="H150" i="65" a="1"/>
  <c r="H150" i="65" s="1"/>
  <c r="J150" i="65" a="1"/>
  <c r="J150" i="65" s="1"/>
  <c r="K150" i="65" a="1"/>
  <c r="K150" i="65" s="1"/>
  <c r="D287" i="64"/>
  <c r="E288" i="64" s="1"/>
  <c r="J288" i="64"/>
  <c r="L288" i="64"/>
  <c r="K288" i="64"/>
  <c r="F138" i="65" a="1"/>
  <c r="F138" i="65" s="1"/>
  <c r="V129" i="65" a="1"/>
  <c r="V129" i="65" s="1"/>
  <c r="V82" i="65" a="1"/>
  <c r="V82" i="65" s="1"/>
  <c r="W129" i="65" a="1"/>
  <c r="W129" i="65" s="1"/>
  <c r="W82" i="65" a="1"/>
  <c r="W82" i="65" s="1"/>
  <c r="U91" i="65" a="1"/>
  <c r="U91" i="65" s="1"/>
  <c r="W118" i="65" a="1"/>
  <c r="W118" i="65" s="1"/>
  <c r="U119" i="65" a="1"/>
  <c r="U119" i="65" s="1"/>
  <c r="U92" i="65" a="1"/>
  <c r="U92" i="65" s="1"/>
  <c r="W42" i="65" a="1"/>
  <c r="W42" i="65" s="1"/>
  <c r="W119" i="65" a="1"/>
  <c r="W119" i="65" s="1"/>
  <c r="U128" i="65" a="1"/>
  <c r="U128" i="65" s="1"/>
  <c r="V81" i="65" a="1"/>
  <c r="V81" i="65" s="1"/>
  <c r="W81" i="65" a="1"/>
  <c r="W81" i="65" s="1"/>
  <c r="U82" i="65" a="1"/>
  <c r="U82" i="65" s="1"/>
  <c r="U53" i="65" a="1"/>
  <c r="U53" i="65" s="1"/>
  <c r="U41" i="65" a="1"/>
  <c r="U41" i="65" s="1"/>
  <c r="U118" i="65" a="1"/>
  <c r="U118" i="65" s="1"/>
  <c r="V41" i="65" a="1"/>
  <c r="V41" i="65" s="1"/>
  <c r="W53" i="65" a="1"/>
  <c r="W53" i="65" s="1"/>
  <c r="V118" i="65" a="1"/>
  <c r="V118" i="65" s="1"/>
  <c r="W41" i="65" a="1"/>
  <c r="W41" i="65" s="1"/>
  <c r="V91" i="65" a="1"/>
  <c r="V91" i="65" s="1"/>
  <c r="U42" i="65" a="1"/>
  <c r="U42" i="65" s="1"/>
  <c r="W91" i="65" a="1"/>
  <c r="W91" i="65" s="1"/>
  <c r="V42" i="65" a="1"/>
  <c r="V42" i="65" s="1"/>
  <c r="V119" i="65" a="1"/>
  <c r="V119" i="65" s="1"/>
  <c r="V92" i="65" a="1"/>
  <c r="V92" i="65" s="1"/>
  <c r="W92" i="65" a="1"/>
  <c r="W92" i="65" s="1"/>
  <c r="U81" i="65" a="1"/>
  <c r="U81" i="65" s="1"/>
  <c r="V128" i="65" a="1"/>
  <c r="V128" i="65" s="1"/>
  <c r="W128" i="65" a="1"/>
  <c r="W128" i="65" s="1"/>
  <c r="U129" i="65" a="1"/>
  <c r="U129" i="65" s="1"/>
  <c r="V53" i="65" a="1"/>
  <c r="V53" i="65" s="1"/>
  <c r="W139" i="65" a="1"/>
  <c r="W139" i="65" s="1"/>
  <c r="U150" i="65" a="1"/>
  <c r="U150" i="65" s="1"/>
  <c r="V149" i="65" a="1"/>
  <c r="V149" i="65" s="1"/>
  <c r="V139" i="65" a="1"/>
  <c r="V139" i="65" s="1"/>
  <c r="V138" i="65" a="1"/>
  <c r="V138" i="65" s="1"/>
  <c r="V150" i="65" a="1"/>
  <c r="V150" i="65" s="1"/>
  <c r="U139" i="65" a="1"/>
  <c r="U139" i="65" s="1"/>
  <c r="U138" i="65" a="1"/>
  <c r="U138" i="65" s="1"/>
  <c r="W138" i="65" a="1"/>
  <c r="W138" i="65" s="1"/>
  <c r="W149" i="65" a="1"/>
  <c r="W149" i="65" s="1"/>
  <c r="W150" i="65" a="1"/>
  <c r="W150" i="65" s="1"/>
  <c r="U149" i="65" a="1"/>
  <c r="U149" i="65" s="1"/>
  <c r="V74" i="65" a="1"/>
  <c r="V74" i="65" s="1"/>
  <c r="V72" i="65" s="1"/>
  <c r="U32" i="65" a="1"/>
  <c r="U32" i="65" s="1"/>
  <c r="V33" i="65" a="1"/>
  <c r="V33" i="65" s="1"/>
  <c r="W74" i="65" a="1"/>
  <c r="W74" i="65" s="1"/>
  <c r="W72" i="65" s="1"/>
  <c r="U9" i="65" a="1"/>
  <c r="U9" i="65" s="1"/>
  <c r="V9" i="65" a="1"/>
  <c r="V9" i="65" s="1"/>
  <c r="W8" i="65" a="1"/>
  <c r="W8" i="65" s="1"/>
  <c r="U33" i="65" a="1"/>
  <c r="U33" i="65" s="1"/>
  <c r="W33" i="65" a="1"/>
  <c r="W33" i="65" s="1"/>
  <c r="W32" i="65" a="1"/>
  <c r="W32" i="65" s="1"/>
  <c r="W9" i="65" a="1"/>
  <c r="W9" i="65" s="1"/>
  <c r="U8" i="65" a="1"/>
  <c r="U8" i="65" s="1"/>
  <c r="V8" i="65" a="1"/>
  <c r="V8" i="65" s="1"/>
  <c r="V32" i="65" a="1"/>
  <c r="V32" i="65" s="1"/>
  <c r="U74" i="65" a="1"/>
  <c r="U74" i="65" s="1"/>
  <c r="U72" i="65" s="1"/>
  <c r="J326" i="64"/>
  <c r="K326" i="64"/>
  <c r="L326" i="64"/>
  <c r="D62" i="64"/>
  <c r="D63" i="64" s="1"/>
  <c r="T63" i="64"/>
  <c r="U63" i="64"/>
  <c r="V63" i="64"/>
  <c r="I139" i="65" a="1"/>
  <c r="I139" i="65" s="1"/>
  <c r="P139" i="65" a="1"/>
  <c r="P139" i="65" s="1"/>
  <c r="H139" i="65" a="1"/>
  <c r="H139" i="65" s="1"/>
  <c r="R138" i="65" a="1"/>
  <c r="R138" i="65" s="1"/>
  <c r="N139" i="65" a="1"/>
  <c r="N139" i="65" s="1"/>
  <c r="G138" i="65" a="1"/>
  <c r="G138" i="65" s="1"/>
  <c r="Q138" i="65" a="1"/>
  <c r="Q138" i="65" s="1"/>
  <c r="L139" i="65" a="1"/>
  <c r="L139" i="65" s="1"/>
  <c r="T139" i="65" a="1"/>
  <c r="T139" i="65" s="1"/>
  <c r="K139" i="65" a="1"/>
  <c r="K139" i="65" s="1"/>
  <c r="S139" i="65" a="1"/>
  <c r="S139" i="65" s="1"/>
  <c r="T138" i="65" a="1"/>
  <c r="T138" i="65" s="1"/>
  <c r="J139" i="65" a="1"/>
  <c r="J139" i="65" s="1"/>
  <c r="K138" i="65" a="1"/>
  <c r="K138" i="65" s="1"/>
  <c r="M138" i="65" a="1"/>
  <c r="M138" i="65" s="1"/>
  <c r="J138" i="65" a="1"/>
  <c r="J138" i="65" s="1"/>
  <c r="G139" i="65" a="1"/>
  <c r="G139" i="65" s="1"/>
  <c r="Q139" i="65" a="1"/>
  <c r="Q139" i="65" s="1"/>
  <c r="I138" i="65" a="1"/>
  <c r="I138" i="65" s="1"/>
  <c r="S138" i="65" a="1"/>
  <c r="S138" i="65" s="1"/>
  <c r="P138" i="65" a="1"/>
  <c r="P138" i="65" s="1"/>
  <c r="H138" i="65" a="1"/>
  <c r="H138" i="65" s="1"/>
  <c r="M139" i="65" a="1"/>
  <c r="M139" i="65" s="1"/>
  <c r="O139" i="65" a="1"/>
  <c r="O139" i="65" s="1"/>
  <c r="R139" i="65" a="1"/>
  <c r="R139" i="65" s="1"/>
  <c r="N138" i="65" a="1"/>
  <c r="N138" i="65" s="1"/>
  <c r="O138" i="65" a="1"/>
  <c r="O138" i="65" s="1"/>
  <c r="L138" i="65" a="1"/>
  <c r="L138" i="65" s="1"/>
  <c r="F139" i="65" a="1"/>
  <c r="F139" i="65" s="1"/>
  <c r="F119" i="65" a="1"/>
  <c r="F119" i="65" s="1"/>
  <c r="F118" i="65" a="1"/>
  <c r="F118" i="65" s="1"/>
  <c r="G74" i="65" a="1"/>
  <c r="G74" i="65" s="1"/>
  <c r="G72" i="65" s="1"/>
  <c r="H74" i="65" a="1"/>
  <c r="H74" i="65" s="1"/>
  <c r="H72" i="65" s="1"/>
  <c r="I74" i="65" a="1"/>
  <c r="I74" i="65" s="1"/>
  <c r="I72" i="65" s="1"/>
  <c r="J74" i="65" a="1"/>
  <c r="J74" i="65" s="1"/>
  <c r="J72" i="65" s="1"/>
  <c r="K74" i="65" a="1"/>
  <c r="K74" i="65" s="1"/>
  <c r="K72" i="65" s="1"/>
  <c r="L74" i="65" a="1"/>
  <c r="L74" i="65" s="1"/>
  <c r="L72" i="65" s="1"/>
  <c r="M74" i="65" a="1"/>
  <c r="M74" i="65" s="1"/>
  <c r="M72" i="65" s="1"/>
  <c r="N74" i="65" a="1"/>
  <c r="N74" i="65" s="1"/>
  <c r="N72" i="65" s="1"/>
  <c r="O74" i="65" a="1"/>
  <c r="O74" i="65" s="1"/>
  <c r="O72" i="65" s="1"/>
  <c r="P74" i="65" a="1"/>
  <c r="P74" i="65" s="1"/>
  <c r="P72" i="65" s="1"/>
  <c r="Q74" i="65" a="1"/>
  <c r="Q74" i="65" s="1"/>
  <c r="Q72" i="65" s="1"/>
  <c r="R74" i="65" a="1"/>
  <c r="R74" i="65" s="1"/>
  <c r="R72" i="65" s="1"/>
  <c r="S74" i="65" a="1"/>
  <c r="S74" i="65" s="1"/>
  <c r="S72" i="65" s="1"/>
  <c r="T74" i="65" a="1"/>
  <c r="T74" i="65" s="1"/>
  <c r="T72" i="65" s="1"/>
  <c r="F74" i="65" a="1"/>
  <c r="F74" i="65" s="1"/>
  <c r="F72" i="65" s="1"/>
  <c r="D324" i="64" a="1"/>
  <c r="D323" i="64" a="1"/>
  <c r="D323" i="64" s="1"/>
  <c r="E63" i="64"/>
  <c r="S63" i="64"/>
  <c r="R63" i="64"/>
  <c r="N63" i="64"/>
  <c r="Q63" i="64"/>
  <c r="P63" i="64"/>
  <c r="O63" i="64"/>
  <c r="M63" i="64"/>
  <c r="J63" i="64"/>
  <c r="L63" i="64"/>
  <c r="K63" i="64"/>
  <c r="I63" i="64"/>
  <c r="H63" i="64"/>
  <c r="G63" i="64"/>
  <c r="F63" i="64"/>
  <c r="Q53" i="65" a="1"/>
  <c r="Q53" i="65" s="1"/>
  <c r="I53" i="65" a="1"/>
  <c r="I53" i="65" s="1"/>
  <c r="L53" i="65" a="1"/>
  <c r="L53" i="65" s="1"/>
  <c r="K53" i="65" a="1"/>
  <c r="K53" i="65" s="1"/>
  <c r="P53" i="65" a="1"/>
  <c r="P53" i="65" s="1"/>
  <c r="H53" i="65" a="1"/>
  <c r="H53" i="65" s="1"/>
  <c r="M53" i="65" a="1"/>
  <c r="M53" i="65" s="1"/>
  <c r="R53" i="65" a="1"/>
  <c r="R53" i="65" s="1"/>
  <c r="O53" i="65" a="1"/>
  <c r="O53" i="65" s="1"/>
  <c r="G53" i="65" a="1"/>
  <c r="G53" i="65" s="1"/>
  <c r="N53" i="65" a="1"/>
  <c r="N53" i="65" s="1"/>
  <c r="T53" i="65" a="1"/>
  <c r="T53" i="65" s="1"/>
  <c r="S53" i="65" a="1"/>
  <c r="S53" i="65" s="1"/>
  <c r="J53" i="65" a="1"/>
  <c r="J53" i="65" s="1"/>
  <c r="F53" i="65" a="1"/>
  <c r="F53" i="65" s="1"/>
  <c r="F8" i="65" a="1"/>
  <c r="F8" i="65" s="1"/>
  <c r="S9" i="65" a="1"/>
  <c r="S9" i="65" s="1"/>
  <c r="T9" i="65" a="1"/>
  <c r="T9" i="65" s="1"/>
  <c r="I9" i="65" a="1"/>
  <c r="I9" i="65" s="1"/>
  <c r="G9" i="65" a="1"/>
  <c r="G9" i="65" s="1"/>
  <c r="M9" i="65" a="1"/>
  <c r="M9" i="65" s="1"/>
  <c r="P9" i="65" a="1"/>
  <c r="P9" i="65" s="1"/>
  <c r="H9" i="65" a="1"/>
  <c r="H9" i="65" s="1"/>
  <c r="R9" i="65" a="1"/>
  <c r="R9" i="65" s="1"/>
  <c r="J9" i="65" a="1"/>
  <c r="J9" i="65" s="1"/>
  <c r="O9" i="65" a="1"/>
  <c r="O9" i="65" s="1"/>
  <c r="K9" i="65" a="1"/>
  <c r="K9" i="65" s="1"/>
  <c r="L9" i="65" a="1"/>
  <c r="L9" i="65" s="1"/>
  <c r="N9" i="65" a="1"/>
  <c r="N9" i="65" s="1"/>
  <c r="Q9" i="65" a="1"/>
  <c r="Q9" i="65" s="1"/>
  <c r="F9" i="65" a="1"/>
  <c r="F9" i="65" s="1"/>
  <c r="D46" i="64"/>
  <c r="D47" i="64" s="1"/>
  <c r="C313" i="64"/>
  <c r="C314" i="64" a="1"/>
  <c r="C314" i="64" s="1"/>
  <c r="C316" i="64" s="1" a="1"/>
  <c r="C316" i="64" s="1"/>
  <c r="D322" i="64"/>
  <c r="G32" i="65" a="1"/>
  <c r="G32" i="65" s="1"/>
  <c r="O33" i="65" a="1"/>
  <c r="O33" i="65" s="1"/>
  <c r="N41" i="65" a="1"/>
  <c r="N41" i="65" s="1"/>
  <c r="S92" i="65" a="1"/>
  <c r="S92" i="65" s="1"/>
  <c r="P82" i="65" a="1"/>
  <c r="P82" i="65" s="1"/>
  <c r="O81" i="65" a="1"/>
  <c r="O81" i="65" s="1"/>
  <c r="K42" i="65" a="1"/>
  <c r="K42" i="65" s="1"/>
  <c r="Q32" i="65" a="1"/>
  <c r="Q32" i="65" s="1"/>
  <c r="O41" i="65" a="1"/>
  <c r="O41" i="65" s="1"/>
  <c r="Q92" i="65" a="1"/>
  <c r="Q92" i="65" s="1"/>
  <c r="M81" i="65" a="1"/>
  <c r="M81" i="65" s="1"/>
  <c r="J42" i="65" a="1"/>
  <c r="J42" i="65" s="1"/>
  <c r="Q91" i="65" a="1"/>
  <c r="Q91" i="65" s="1"/>
  <c r="L81" i="65" a="1"/>
  <c r="L81" i="65" s="1"/>
  <c r="I42" i="65" a="1"/>
  <c r="I42" i="65" s="1"/>
  <c r="R32" i="65" a="1"/>
  <c r="R32" i="65" s="1"/>
  <c r="H42" i="65" a="1"/>
  <c r="H42" i="65" s="1"/>
  <c r="J81" i="65" a="1"/>
  <c r="J81" i="65" s="1"/>
  <c r="S42" i="65" a="1"/>
  <c r="S42" i="65" s="1"/>
  <c r="S32" i="65" a="1"/>
  <c r="S32" i="65" s="1"/>
  <c r="J82" i="65" a="1"/>
  <c r="J82" i="65" s="1"/>
  <c r="H41" i="65" a="1"/>
  <c r="H41" i="65" s="1"/>
  <c r="S41" i="65" a="1"/>
  <c r="S41" i="65" s="1"/>
  <c r="M91" i="65" a="1"/>
  <c r="M91" i="65" s="1"/>
  <c r="I82" i="65" a="1"/>
  <c r="I82" i="65" s="1"/>
  <c r="H81" i="65" a="1"/>
  <c r="H81" i="65" s="1"/>
  <c r="R42" i="65" a="1"/>
  <c r="R42" i="65" s="1"/>
  <c r="T32" i="65" a="1"/>
  <c r="T32" i="65" s="1"/>
  <c r="P32" i="65" a="1"/>
  <c r="P32" i="65" s="1"/>
  <c r="G33" i="65" a="1"/>
  <c r="G33" i="65" s="1"/>
  <c r="R92" i="65" a="1"/>
  <c r="R92" i="65" s="1"/>
  <c r="S91" i="65" a="1"/>
  <c r="S91" i="65" s="1"/>
  <c r="O82" i="65" a="1"/>
  <c r="O82" i="65" s="1"/>
  <c r="N81" i="65" a="1"/>
  <c r="N81" i="65" s="1"/>
  <c r="H32" i="65" a="1"/>
  <c r="H32" i="65" s="1"/>
  <c r="P33" i="65" a="1"/>
  <c r="P33" i="65" s="1"/>
  <c r="R91" i="65" a="1"/>
  <c r="R91" i="65" s="1"/>
  <c r="N82" i="65" a="1"/>
  <c r="N82" i="65" s="1"/>
  <c r="I32" i="65" a="1"/>
  <c r="I32" i="65" s="1"/>
  <c r="H33" i="65" a="1"/>
  <c r="H33" i="65" s="1"/>
  <c r="P41" i="65" a="1"/>
  <c r="P41" i="65" s="1"/>
  <c r="P92" i="65" a="1"/>
  <c r="P92" i="65" s="1"/>
  <c r="M82" i="65" a="1"/>
  <c r="M82" i="65" s="1"/>
  <c r="Q33" i="65" a="1"/>
  <c r="Q33" i="65" s="1"/>
  <c r="Q41" i="65" a="1"/>
  <c r="Q41" i="65" s="1"/>
  <c r="O92" i="65" a="1"/>
  <c r="O92" i="65" s="1"/>
  <c r="P91" i="65" a="1"/>
  <c r="P91" i="65" s="1"/>
  <c r="L82" i="65" a="1"/>
  <c r="L82" i="65" s="1"/>
  <c r="K81" i="65" a="1"/>
  <c r="K81" i="65" s="1"/>
  <c r="T42" i="65" a="1"/>
  <c r="T42" i="65" s="1"/>
  <c r="J32" i="65" a="1"/>
  <c r="J32" i="65" s="1"/>
  <c r="I33" i="65" a="1"/>
  <c r="I33" i="65" s="1"/>
  <c r="R33" i="65" a="1"/>
  <c r="R33" i="65" s="1"/>
  <c r="N92" i="65" a="1"/>
  <c r="N92" i="65" s="1"/>
  <c r="O91" i="65" a="1"/>
  <c r="O91" i="65" s="1"/>
  <c r="K82" i="65" a="1"/>
  <c r="K82" i="65" s="1"/>
  <c r="J33" i="65" a="1"/>
  <c r="J33" i="65" s="1"/>
  <c r="G41" i="65" a="1"/>
  <c r="G41" i="65" s="1"/>
  <c r="R41" i="65" a="1"/>
  <c r="R41" i="65" s="1"/>
  <c r="M92" i="65" a="1"/>
  <c r="M92" i="65" s="1"/>
  <c r="N91" i="65" a="1"/>
  <c r="N91" i="65" s="1"/>
  <c r="I81" i="65" a="1"/>
  <c r="I81" i="65" s="1"/>
  <c r="K32" i="65" a="1"/>
  <c r="K32" i="65" s="1"/>
  <c r="S33" i="65" a="1"/>
  <c r="S33" i="65" s="1"/>
  <c r="K33" i="65" a="1"/>
  <c r="K33" i="65" s="1"/>
  <c r="I41" i="65" a="1"/>
  <c r="I41" i="65" s="1"/>
  <c r="L92" i="65" a="1"/>
  <c r="L92" i="65" s="1"/>
  <c r="L91" i="65" a="1"/>
  <c r="L91" i="65" s="1"/>
  <c r="H82" i="65" a="1"/>
  <c r="H82" i="65" s="1"/>
  <c r="G81" i="65" a="1"/>
  <c r="G81" i="65" s="1"/>
  <c r="L32" i="65" a="1"/>
  <c r="L32" i="65" s="1"/>
  <c r="T33" i="65" a="1"/>
  <c r="T33" i="65" s="1"/>
  <c r="T41" i="65" a="1"/>
  <c r="T41" i="65" s="1"/>
  <c r="K92" i="65" a="1"/>
  <c r="K92" i="65" s="1"/>
  <c r="G82" i="65" a="1"/>
  <c r="G82" i="65" s="1"/>
  <c r="Q42" i="65" a="1"/>
  <c r="Q42" i="65" s="1"/>
  <c r="L33" i="65" a="1"/>
  <c r="L33" i="65" s="1"/>
  <c r="J41" i="65" a="1"/>
  <c r="J41" i="65" s="1"/>
  <c r="M32" i="65" a="1"/>
  <c r="M32" i="65" s="1"/>
  <c r="O42" i="65" a="1"/>
  <c r="O42" i="65" s="1"/>
  <c r="T92" i="65" a="1"/>
  <c r="T92" i="65" s="1"/>
  <c r="T82" i="65" a="1"/>
  <c r="T82" i="65" s="1"/>
  <c r="N42" i="65" a="1"/>
  <c r="N42" i="65" s="1"/>
  <c r="N32" i="65" a="1"/>
  <c r="N32" i="65" s="1"/>
  <c r="J92" i="65" a="1"/>
  <c r="J92" i="65" s="1"/>
  <c r="S82" i="65" a="1"/>
  <c r="S82" i="65" s="1"/>
  <c r="M42" i="65" a="1"/>
  <c r="M42" i="65" s="1"/>
  <c r="I92" i="65" a="1"/>
  <c r="I92" i="65" s="1"/>
  <c r="R82" i="65" a="1"/>
  <c r="R82" i="65" s="1"/>
  <c r="L42" i="65" a="1"/>
  <c r="L42" i="65" s="1"/>
  <c r="O32" i="65" a="1"/>
  <c r="O32" i="65" s="1"/>
  <c r="H92" i="65" a="1"/>
  <c r="H92" i="65" s="1"/>
  <c r="Q82" i="65" a="1"/>
  <c r="Q82" i="65" s="1"/>
  <c r="G92" i="65" a="1"/>
  <c r="G92" i="65" s="1"/>
  <c r="T81" i="65" a="1"/>
  <c r="T81" i="65" s="1"/>
  <c r="S81" i="65" a="1"/>
  <c r="S81" i="65" s="1"/>
  <c r="R81" i="65" a="1"/>
  <c r="R81" i="65" s="1"/>
  <c r="L41" i="65" a="1"/>
  <c r="L41" i="65" s="1"/>
  <c r="T91" i="65" a="1"/>
  <c r="T91" i="65" s="1"/>
  <c r="K41" i="65" a="1"/>
  <c r="K41" i="65" s="1"/>
  <c r="K91" i="65" a="1"/>
  <c r="K91" i="65" s="1"/>
  <c r="J91" i="65" a="1"/>
  <c r="J91" i="65" s="1"/>
  <c r="Q81" i="65" a="1"/>
  <c r="Q81" i="65" s="1"/>
  <c r="I91" i="65" a="1"/>
  <c r="I91" i="65" s="1"/>
  <c r="P81" i="65" a="1"/>
  <c r="P81" i="65" s="1"/>
  <c r="M41" i="65" a="1"/>
  <c r="M41" i="65" s="1"/>
  <c r="H91" i="65" a="1"/>
  <c r="H91" i="65" s="1"/>
  <c r="M33" i="65" a="1"/>
  <c r="M33" i="65" s="1"/>
  <c r="G91" i="65" a="1"/>
  <c r="G91" i="65" s="1"/>
  <c r="N33" i="65" a="1"/>
  <c r="N33" i="65" s="1"/>
  <c r="P42" i="65" a="1"/>
  <c r="P42" i="65" s="1"/>
  <c r="J8" i="65" a="1"/>
  <c r="J8" i="65" s="1"/>
  <c r="S8" i="65" a="1"/>
  <c r="S8" i="65" s="1"/>
  <c r="L8" i="65" a="1"/>
  <c r="L8" i="65" s="1"/>
  <c r="M8" i="65" a="1"/>
  <c r="M8" i="65" s="1"/>
  <c r="P8" i="65" a="1"/>
  <c r="P8" i="65" s="1"/>
  <c r="H8" i="65" a="1"/>
  <c r="H8" i="65" s="1"/>
  <c r="Q8" i="65" a="1"/>
  <c r="Q8" i="65" s="1"/>
  <c r="O8" i="65" a="1"/>
  <c r="O8" i="65" s="1"/>
  <c r="G8" i="65" a="1"/>
  <c r="G8" i="65" s="1"/>
  <c r="R8" i="65" a="1"/>
  <c r="R8" i="65" s="1"/>
  <c r="K8" i="65" a="1"/>
  <c r="K8" i="65" s="1"/>
  <c r="T8" i="65" a="1"/>
  <c r="T8" i="65" s="1"/>
  <c r="N8" i="65" a="1"/>
  <c r="N8" i="65" s="1"/>
  <c r="I8" i="65" a="1"/>
  <c r="I8" i="65" s="1"/>
  <c r="D286" i="64"/>
  <c r="S119" i="65" a="1"/>
  <c r="S119" i="65" s="1"/>
  <c r="Q118" i="65" a="1"/>
  <c r="Q118" i="65" s="1"/>
  <c r="R119" i="65" a="1"/>
  <c r="R119" i="65" s="1"/>
  <c r="H119" i="65" a="1"/>
  <c r="H119" i="65" s="1"/>
  <c r="R118" i="65" a="1"/>
  <c r="R118" i="65" s="1"/>
  <c r="Q119" i="65" a="1"/>
  <c r="Q119" i="65" s="1"/>
  <c r="M119" i="65" a="1"/>
  <c r="M119" i="65" s="1"/>
  <c r="O118" i="65" a="1"/>
  <c r="O118" i="65" s="1"/>
  <c r="T119" i="65" a="1"/>
  <c r="T119" i="65" s="1"/>
  <c r="S118" i="65" a="1"/>
  <c r="S118" i="65" s="1"/>
  <c r="K118" i="65" a="1"/>
  <c r="K118" i="65" s="1"/>
  <c r="L118" i="65" a="1"/>
  <c r="L118" i="65" s="1"/>
  <c r="G119" i="65" a="1"/>
  <c r="G119" i="65" s="1"/>
  <c r="P119" i="65" a="1"/>
  <c r="P119" i="65" s="1"/>
  <c r="T118" i="65" a="1"/>
  <c r="T118" i="65" s="1"/>
  <c r="L119" i="65" a="1"/>
  <c r="L119" i="65" s="1"/>
  <c r="K119" i="65" a="1"/>
  <c r="K119" i="65" s="1"/>
  <c r="N118" i="65" a="1"/>
  <c r="N118" i="65" s="1"/>
  <c r="P118" i="65" a="1"/>
  <c r="P118" i="65" s="1"/>
  <c r="G118" i="65" a="1"/>
  <c r="G118" i="65" s="1"/>
  <c r="O119" i="65" a="1"/>
  <c r="O119" i="65" s="1"/>
  <c r="H118" i="65" a="1"/>
  <c r="H118" i="65" s="1"/>
  <c r="N119" i="65" a="1"/>
  <c r="N119" i="65" s="1"/>
  <c r="I118" i="65" a="1"/>
  <c r="I118" i="65" s="1"/>
  <c r="J118" i="65" a="1"/>
  <c r="J118" i="65" s="1"/>
  <c r="M118" i="65" a="1"/>
  <c r="M118" i="65" s="1"/>
  <c r="J119" i="65" a="1"/>
  <c r="J119" i="65" s="1"/>
  <c r="I119" i="65" a="1"/>
  <c r="I119" i="65" s="1"/>
  <c r="G128" i="65" a="1"/>
  <c r="G128" i="65" s="1"/>
  <c r="I129" i="65" a="1"/>
  <c r="I129" i="65" s="1"/>
  <c r="H128" i="65" a="1"/>
  <c r="H128" i="65" s="1"/>
  <c r="J129" i="65" a="1"/>
  <c r="J129" i="65" s="1"/>
  <c r="I128" i="65" a="1"/>
  <c r="I128" i="65" s="1"/>
  <c r="K129" i="65" a="1"/>
  <c r="K129" i="65" s="1"/>
  <c r="J128" i="65" a="1"/>
  <c r="J128" i="65" s="1"/>
  <c r="L129" i="65" a="1"/>
  <c r="L129" i="65" s="1"/>
  <c r="K128" i="65" a="1"/>
  <c r="K128" i="65" s="1"/>
  <c r="M129" i="65" a="1"/>
  <c r="M129" i="65" s="1"/>
  <c r="L128" i="65" a="1"/>
  <c r="L128" i="65" s="1"/>
  <c r="N129" i="65" a="1"/>
  <c r="N129" i="65" s="1"/>
  <c r="M128" i="65" a="1"/>
  <c r="M128" i="65" s="1"/>
  <c r="O129" i="65" a="1"/>
  <c r="O129" i="65" s="1"/>
  <c r="H129" i="65" a="1"/>
  <c r="H129" i="65" s="1"/>
  <c r="T128" i="65" a="1"/>
  <c r="T128" i="65" s="1"/>
  <c r="G129" i="65" a="1"/>
  <c r="G129" i="65" s="1"/>
  <c r="N128" i="65" a="1"/>
  <c r="N128" i="65" s="1"/>
  <c r="P129" i="65" a="1"/>
  <c r="P129" i="65" s="1"/>
  <c r="O128" i="65" a="1"/>
  <c r="O128" i="65" s="1"/>
  <c r="Q129" i="65" a="1"/>
  <c r="Q129" i="65" s="1"/>
  <c r="P128" i="65" a="1"/>
  <c r="P128" i="65" s="1"/>
  <c r="R129" i="65" a="1"/>
  <c r="R129" i="65" s="1"/>
  <c r="Q128" i="65" a="1"/>
  <c r="Q128" i="65" s="1"/>
  <c r="S129" i="65" a="1"/>
  <c r="S129" i="65" s="1"/>
  <c r="R128" i="65" a="1"/>
  <c r="R128" i="65" s="1"/>
  <c r="T129" i="65" a="1"/>
  <c r="T129" i="65" s="1"/>
  <c r="S128" i="65" a="1"/>
  <c r="S128" i="65" s="1"/>
  <c r="H288" i="64"/>
  <c r="G288" i="64"/>
  <c r="I288" i="64"/>
  <c r="F288" i="64"/>
  <c r="E2" i="65"/>
  <c r="C159" i="64" l="1"/>
  <c r="E62" i="65" a="1"/>
  <c r="E62" i="65" s="1"/>
  <c r="E63" i="65" a="1"/>
  <c r="E63" i="65" s="1"/>
  <c r="C161" i="64"/>
  <c r="E11" i="76" s="1"/>
  <c r="C291" i="64" a="1"/>
  <c r="C291" i="64" s="1"/>
  <c r="C290" i="64" a="1"/>
  <c r="C290" i="64" s="1"/>
  <c r="F64" i="65"/>
  <c r="I64" i="65"/>
  <c r="M64" i="65"/>
  <c r="N64" i="65"/>
  <c r="S64" i="65"/>
  <c r="L64" i="65"/>
  <c r="J64" i="65"/>
  <c r="R64" i="65"/>
  <c r="Q64" i="65"/>
  <c r="K64" i="65"/>
  <c r="O64" i="65"/>
  <c r="G64" i="65"/>
  <c r="P64" i="65"/>
  <c r="T64" i="65"/>
  <c r="H64" i="65"/>
  <c r="N146" i="65"/>
  <c r="V146" i="65"/>
  <c r="G146" i="65"/>
  <c r="F146" i="65"/>
  <c r="L146" i="65"/>
  <c r="U146" i="65"/>
  <c r="H146" i="65"/>
  <c r="S146" i="65"/>
  <c r="J146" i="65"/>
  <c r="I146" i="65"/>
  <c r="Q146" i="65"/>
  <c r="M146" i="65"/>
  <c r="P146" i="65"/>
  <c r="O146" i="65"/>
  <c r="K146" i="65"/>
  <c r="W146" i="65"/>
  <c r="T146" i="65"/>
  <c r="R146" i="65"/>
  <c r="V90" i="65"/>
  <c r="V40" i="65"/>
  <c r="D75" i="65"/>
  <c r="D76" i="65"/>
  <c r="W6" i="65"/>
  <c r="W90" i="65"/>
  <c r="V135" i="65"/>
  <c r="L325" i="64"/>
  <c r="K325" i="64"/>
  <c r="W40" i="65"/>
  <c r="W51" i="65"/>
  <c r="U90" i="65"/>
  <c r="V51" i="65"/>
  <c r="W46" i="65"/>
  <c r="W86" i="65"/>
  <c r="V6" i="65"/>
  <c r="W116" i="65"/>
  <c r="W126" i="65"/>
  <c r="U40" i="65"/>
  <c r="V86" i="65"/>
  <c r="V46" i="65"/>
  <c r="U6" i="65"/>
  <c r="V126" i="65"/>
  <c r="V116" i="65"/>
  <c r="U51" i="65"/>
  <c r="U85" i="65"/>
  <c r="U80" i="65"/>
  <c r="U45" i="65"/>
  <c r="U46" i="65"/>
  <c r="U86" i="65"/>
  <c r="W45" i="65"/>
  <c r="W80" i="65"/>
  <c r="W85" i="65"/>
  <c r="V45" i="65"/>
  <c r="V85" i="65"/>
  <c r="V80" i="65"/>
  <c r="W135" i="65"/>
  <c r="U126" i="65"/>
  <c r="U116" i="65"/>
  <c r="U135" i="65"/>
  <c r="G135" i="65"/>
  <c r="M135" i="65"/>
  <c r="O135" i="65"/>
  <c r="Q135" i="65"/>
  <c r="I135" i="65"/>
  <c r="F135" i="65"/>
  <c r="J135" i="65"/>
  <c r="L135" i="65"/>
  <c r="T135" i="65"/>
  <c r="S135" i="65"/>
  <c r="H135" i="65"/>
  <c r="K135" i="65"/>
  <c r="P135" i="65"/>
  <c r="N135" i="65"/>
  <c r="R135" i="65"/>
  <c r="D326" i="64"/>
  <c r="I326" i="64"/>
  <c r="G326" i="64"/>
  <c r="H326" i="64"/>
  <c r="F51" i="65"/>
  <c r="E326" i="64"/>
  <c r="C315" i="64" a="1"/>
  <c r="C315" i="64" s="1"/>
  <c r="D324" i="64"/>
  <c r="G325" i="64"/>
  <c r="H325" i="64"/>
  <c r="F325" i="64"/>
  <c r="I325" i="64"/>
  <c r="J325" i="64"/>
  <c r="F326" i="64"/>
  <c r="T6" i="65"/>
  <c r="H51" i="65"/>
  <c r="S51" i="65"/>
  <c r="G51" i="65"/>
  <c r="L51" i="65"/>
  <c r="T51" i="65"/>
  <c r="K51" i="65"/>
  <c r="P51" i="65"/>
  <c r="O51" i="65"/>
  <c r="M51" i="65"/>
  <c r="Q51" i="65"/>
  <c r="I51" i="65"/>
  <c r="J51" i="65"/>
  <c r="N51" i="65"/>
  <c r="R51" i="65"/>
  <c r="I6" i="65"/>
  <c r="F6" i="65"/>
  <c r="G6" i="65"/>
  <c r="N6" i="65"/>
  <c r="Q6" i="65"/>
  <c r="O6" i="65"/>
  <c r="K6" i="65"/>
  <c r="L6" i="65"/>
  <c r="R6" i="65"/>
  <c r="M6" i="65"/>
  <c r="H6" i="65"/>
  <c r="S6" i="65"/>
  <c r="P6" i="65"/>
  <c r="J6" i="65"/>
  <c r="P40" i="65"/>
  <c r="O40" i="65"/>
  <c r="F92" i="65" a="1"/>
  <c r="F92" i="65" s="1"/>
  <c r="F91" i="65" a="1"/>
  <c r="F91" i="65" s="1"/>
  <c r="F32" i="65" a="1"/>
  <c r="F32" i="65" s="1"/>
  <c r="F33" i="65" a="1"/>
  <c r="F33" i="65" s="1"/>
  <c r="R40" i="65"/>
  <c r="Q40" i="65"/>
  <c r="T40" i="65"/>
  <c r="G40" i="65"/>
  <c r="E31" i="65"/>
  <c r="E90" i="65"/>
  <c r="C165" i="64" a="1"/>
  <c r="C165" i="64" s="1"/>
  <c r="S40" i="65"/>
  <c r="H40" i="65"/>
  <c r="K40" i="65"/>
  <c r="P80" i="65"/>
  <c r="P45" i="65"/>
  <c r="P85" i="65"/>
  <c r="I90" i="65"/>
  <c r="I31" i="65"/>
  <c r="R46" i="65"/>
  <c r="R86" i="65"/>
  <c r="L45" i="65"/>
  <c r="L80" i="65"/>
  <c r="L85" i="65"/>
  <c r="Q85" i="65"/>
  <c r="Q80" i="65"/>
  <c r="Q45" i="65"/>
  <c r="M86" i="65"/>
  <c r="M46" i="65"/>
  <c r="Q31" i="65"/>
  <c r="Q90" i="65"/>
  <c r="K31" i="65"/>
  <c r="K90" i="65"/>
  <c r="G85" i="65"/>
  <c r="G80" i="65"/>
  <c r="G45" i="65"/>
  <c r="K86" i="65"/>
  <c r="K46" i="65"/>
  <c r="O90" i="65"/>
  <c r="O31" i="65"/>
  <c r="L40" i="65"/>
  <c r="N86" i="65"/>
  <c r="N46" i="65"/>
  <c r="M90" i="65"/>
  <c r="M31" i="65"/>
  <c r="I40" i="65"/>
  <c r="O85" i="65"/>
  <c r="O80" i="65"/>
  <c r="O45" i="65"/>
  <c r="T45" i="65"/>
  <c r="T85" i="65"/>
  <c r="T80" i="65"/>
  <c r="J86" i="65"/>
  <c r="J46" i="65"/>
  <c r="N85" i="65"/>
  <c r="N45" i="65"/>
  <c r="N80" i="65"/>
  <c r="G90" i="65"/>
  <c r="G31" i="65"/>
  <c r="J40" i="65"/>
  <c r="L46" i="65"/>
  <c r="L86" i="65"/>
  <c r="J85" i="65"/>
  <c r="J80" i="65"/>
  <c r="J45" i="65"/>
  <c r="H90" i="65"/>
  <c r="H31" i="65"/>
  <c r="N90" i="65"/>
  <c r="N31" i="65"/>
  <c r="P31" i="65"/>
  <c r="P90" i="65"/>
  <c r="J31" i="65"/>
  <c r="J90" i="65"/>
  <c r="S46" i="65"/>
  <c r="S86" i="65"/>
  <c r="M45" i="65"/>
  <c r="M80" i="65"/>
  <c r="M85" i="65"/>
  <c r="H86" i="65"/>
  <c r="H46" i="65"/>
  <c r="H80" i="65"/>
  <c r="H85" i="65"/>
  <c r="H45" i="65"/>
  <c r="T90" i="65"/>
  <c r="T31" i="65"/>
  <c r="L90" i="65"/>
  <c r="L31" i="65"/>
  <c r="I46" i="65"/>
  <c r="I86" i="65"/>
  <c r="R85" i="65"/>
  <c r="R45" i="65"/>
  <c r="R80" i="65"/>
  <c r="T86" i="65"/>
  <c r="T46" i="65"/>
  <c r="R31" i="65"/>
  <c r="R90" i="65"/>
  <c r="S45" i="65"/>
  <c r="S85" i="65"/>
  <c r="S80" i="65"/>
  <c r="P86" i="65"/>
  <c r="P46" i="65"/>
  <c r="K85" i="65"/>
  <c r="K45" i="65"/>
  <c r="K80" i="65"/>
  <c r="O46" i="65"/>
  <c r="O86" i="65"/>
  <c r="N40" i="65"/>
  <c r="Q46" i="65"/>
  <c r="Q86" i="65"/>
  <c r="I85" i="65"/>
  <c r="I80" i="65"/>
  <c r="I45" i="65"/>
  <c r="S90" i="65"/>
  <c r="S31" i="65"/>
  <c r="M40" i="65"/>
  <c r="G46" i="65"/>
  <c r="G86" i="65"/>
  <c r="I116" i="65"/>
  <c r="P116" i="65"/>
  <c r="M116" i="65"/>
  <c r="S116" i="65"/>
  <c r="H116" i="65"/>
  <c r="L116" i="65"/>
  <c r="R116" i="65"/>
  <c r="O116" i="65"/>
  <c r="G116" i="65"/>
  <c r="Q116" i="65"/>
  <c r="N116" i="65"/>
  <c r="T116" i="65"/>
  <c r="K116" i="65"/>
  <c r="J116" i="65"/>
  <c r="F128" i="65" a="1"/>
  <c r="F128" i="65" s="1"/>
  <c r="F129" i="65" a="1"/>
  <c r="F129" i="65" s="1"/>
  <c r="H126" i="65"/>
  <c r="S126" i="65"/>
  <c r="T126" i="65"/>
  <c r="O126" i="65"/>
  <c r="L126" i="65"/>
  <c r="P126" i="65"/>
  <c r="I126" i="65"/>
  <c r="K126" i="65"/>
  <c r="J126" i="65"/>
  <c r="M126" i="65"/>
  <c r="Q126" i="65"/>
  <c r="R126" i="65"/>
  <c r="N126" i="65"/>
  <c r="G126" i="65"/>
  <c r="D11" i="76" l="1"/>
  <c r="C11" i="76" s="1"/>
  <c r="E10" i="76"/>
  <c r="C99" i="64"/>
  <c r="D10" i="76" s="1"/>
  <c r="E64" i="65"/>
  <c r="C167" i="64" a="1"/>
  <c r="C167" i="64" s="1"/>
  <c r="D66" i="65"/>
  <c r="D141" i="65"/>
  <c r="D55" i="65"/>
  <c r="D56" i="65"/>
  <c r="C166" i="64" a="1"/>
  <c r="C166" i="64" s="1"/>
  <c r="D67" i="65"/>
  <c r="D142" i="65"/>
  <c r="D12" i="65"/>
  <c r="D11" i="65"/>
  <c r="C207" i="64"/>
  <c r="C208" i="64" s="1"/>
  <c r="B5" i="21" s="1"/>
  <c r="F31" i="65"/>
  <c r="F90" i="65"/>
  <c r="F126" i="65"/>
  <c r="D130" i="65" s="1"/>
  <c r="C10" i="76" l="1"/>
  <c r="D15" i="76"/>
  <c r="D12" i="76"/>
  <c r="C12" i="76" s="1"/>
  <c r="D131" i="65"/>
  <c r="D35" i="65"/>
  <c r="D36" i="65"/>
  <c r="F81" i="65" a="1"/>
  <c r="F81" i="65" s="1"/>
  <c r="F82" i="65" a="1"/>
  <c r="F82" i="65" s="1"/>
  <c r="E15" i="76" l="1"/>
  <c r="C15" i="76"/>
  <c r="B5" i="76"/>
  <c r="D151" i="65"/>
  <c r="F40" i="65"/>
  <c r="F86" i="65"/>
  <c r="F46" i="65"/>
  <c r="F45" i="65"/>
  <c r="F80" i="65"/>
  <c r="F85" i="65"/>
  <c r="F116" i="65"/>
  <c r="D121" i="65" l="1"/>
  <c r="D120" i="65"/>
  <c r="D152" i="65"/>
  <c r="E8" i="69" l="1"/>
  <c r="C169" i="64" l="1"/>
  <c r="E12" i="76" s="1"/>
  <c r="C240" i="64" a="1"/>
  <c r="C240" i="64" s="1"/>
  <c r="C235" i="64"/>
  <c r="C281" i="64" a="1"/>
  <c r="C281" i="64" s="1"/>
  <c r="C279" i="64" a="1"/>
  <c r="C279" i="64" s="1"/>
  <c r="C275" i="64" a="1"/>
  <c r="C275" i="64" s="1"/>
  <c r="C280" i="64" a="1"/>
  <c r="C280" i="64" s="1"/>
  <c r="C274" i="64" a="1"/>
  <c r="C274" i="64" s="1"/>
  <c r="C177" i="64" a="1"/>
  <c r="C177" i="64" s="1"/>
  <c r="C329" i="64"/>
  <c r="C319" i="64"/>
  <c r="C338" i="64" a="1"/>
  <c r="C338" i="64" s="1"/>
  <c r="C328" i="64" a="1"/>
  <c r="C328" i="64" s="1"/>
  <c r="C339" i="64" a="1"/>
  <c r="C339" i="64" s="1"/>
  <c r="E21" i="21"/>
  <c r="D21" i="21" s="1"/>
  <c r="C248" i="64"/>
  <c r="C317" i="64"/>
  <c r="C293" i="64" a="1"/>
  <c r="C293" i="64" s="1"/>
  <c r="C292" i="64" s="1" a="1"/>
  <c r="C292" i="64" s="1"/>
  <c r="C258" i="64"/>
  <c r="C269" i="64" a="1"/>
  <c r="C269" i="64" s="1"/>
  <c r="C270" i="64" s="1"/>
  <c r="C340" i="64" a="1"/>
  <c r="C340" i="64" s="1"/>
  <c r="C178" i="64"/>
  <c r="C347" i="64"/>
  <c r="B60" i="64"/>
  <c r="C113" i="65"/>
  <c r="C236" i="64" l="1"/>
  <c r="E14" i="21"/>
  <c r="D14" i="21" s="1"/>
  <c r="C260" i="64" a="1"/>
  <c r="C260" i="64" s="1"/>
  <c r="C262" i="64" a="1"/>
  <c r="C262" i="64" s="1"/>
  <c r="F21" i="21"/>
  <c r="C342" i="64"/>
  <c r="C179" i="64" a="1"/>
  <c r="C179" i="64" s="1"/>
  <c r="C276" i="64"/>
  <c r="C296" i="64"/>
  <c r="C330" i="64" a="1"/>
  <c r="C330" i="64" s="1"/>
  <c r="E22" i="21" s="1"/>
  <c r="D22" i="21" s="1"/>
  <c r="E17" i="21"/>
  <c r="D17" i="21" s="1"/>
  <c r="C345" i="64"/>
  <c r="C348" i="64" s="1"/>
  <c r="E23" i="21" s="1"/>
  <c r="C346" i="64"/>
  <c r="C349" i="64" s="1"/>
  <c r="C247" i="64"/>
  <c r="C246" i="64"/>
  <c r="C250" i="64" s="1"/>
  <c r="C294" i="64"/>
  <c r="E18" i="21" s="1"/>
  <c r="D18" i="21" s="1"/>
  <c r="C283" i="64"/>
  <c r="C261" i="64" a="1"/>
  <c r="C261" i="64" s="1"/>
  <c r="C265" i="64" a="1"/>
  <c r="C265" i="64" s="1"/>
  <c r="E16" i="21" s="1"/>
  <c r="D16" i="21" s="1"/>
  <c r="C264" i="64" a="1"/>
  <c r="C264" i="64" s="1"/>
  <c r="C263" i="64" a="1"/>
  <c r="C263" i="64" s="1"/>
  <c r="D13" i="76" l="1"/>
  <c r="C13" i="76" s="1"/>
  <c r="D25" i="21"/>
  <c r="D23" i="21"/>
  <c r="F18" i="21"/>
  <c r="C181" i="64"/>
  <c r="E13" i="76" s="1"/>
  <c r="C241" i="64"/>
  <c r="C242" i="64" s="1"/>
  <c r="F17" i="21"/>
  <c r="C266" i="64"/>
  <c r="F16" i="21" s="1"/>
  <c r="C332" i="64"/>
  <c r="C351" i="64"/>
  <c r="F23" i="21" s="1"/>
  <c r="C251" i="64"/>
  <c r="C252" i="64" s="1"/>
  <c r="C360" i="64"/>
  <c r="C253" i="64" l="1"/>
  <c r="C359" i="64"/>
  <c r="C243" i="64"/>
  <c r="C355" i="64"/>
  <c r="C356" i="64" s="1"/>
  <c r="F25" i="21" s="1"/>
  <c r="E15" i="21"/>
  <c r="F14" i="21"/>
  <c r="F22" i="21"/>
  <c r="E25" i="21" l="1"/>
  <c r="D15" i="21"/>
  <c r="F15" i="21"/>
  <c r="H21" i="65" l="1"/>
  <c r="F19" i="65"/>
  <c r="F18" i="65"/>
  <c r="G21" i="65"/>
  <c r="D26" i="65" l="1"/>
  <c r="D25" i="65" l="1"/>
  <c r="E14" i="76"/>
  <c r="E86" i="77" a="1"/>
  <c r="E86" i="77" s="1"/>
  <c r="E68" i="77" a="1"/>
  <c r="E68" i="77" s="1"/>
  <c r="E79" i="77" a="1"/>
  <c r="E79" i="77" s="1"/>
  <c r="E64" i="77" a="1"/>
  <c r="E64" i="77" s="1"/>
  <c r="E95" i="77" a="1"/>
  <c r="E95" i="77" s="1"/>
  <c r="E93" i="77" a="1"/>
  <c r="E93" i="77" s="1"/>
  <c r="E55" i="77" a="1"/>
  <c r="E55" i="77" s="1"/>
  <c r="E101" i="77" a="1"/>
  <c r="E101" i="7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A6" authorId="0" shapeId="0" xr:uid="{80AF2D0C-9E6D-47E6-8BBD-03BC4A87AF8B}">
      <text>
        <r>
          <rPr>
            <sz val="9"/>
            <color indexed="81"/>
            <rFont val="Tahoma"/>
            <family val="2"/>
          </rPr>
          <t xml:space="preserve">Set to indicates whether FISCO is being used to assess the implementation of an endorsed plan (as monitored through the Annual Progress Report under Article 21) or to assess a new or revised Medium-Term Fiscal-Structural Plan under Article 15. The variable is used for labelling the dashboard and to suppress the implementation indicators (P ladder) and control account in the case of a revised MTP, as they are not applicable. </t>
        </r>
      </text>
    </comment>
    <comment ref="A10" authorId="0" shapeId="0" xr:uid="{33FB079D-8B5C-4937-B49F-FF47F4F7AE61}">
      <text>
        <r>
          <rPr>
            <sz val="9"/>
            <color indexed="81"/>
            <rFont val="Tahoma"/>
            <family val="2"/>
          </rPr>
          <t xml:space="preserve">The level from which cumulative growth rates are anchored in the medium-term plan. When the plan is submitted, the last year for which there is outturn data published by the national statistical institutes and Eurostat. Normally T-1 but can be T-2 if submitted at the beginning of year before outturn data has been published. 
Not the same as "Outturn data through" which will change each year as the performance against the MTP is assessed. MTP base year only changes when a new MTP is submitted. </t>
        </r>
      </text>
    </comment>
    <comment ref="A12" authorId="0" shapeId="0" xr:uid="{3CDE0600-B429-4981-91C8-52BB0C3E0E2C}">
      <text>
        <r>
          <rPr>
            <sz val="9"/>
            <color indexed="81"/>
            <rFont val="Tahoma"/>
            <family val="2"/>
          </rPr>
          <t xml:space="preserve">Guidance C/2024/3975:
"While the standard planning horizon of a plan is four years, Member States should submit plans covering five years if that leads to a better alignment with their legislative cycle (Article 2(6)). A plan with an extended (and therefore more gradual) adjustment path of up to seven years, underpinned by reform and investment commitments, also has a four- or five-year planning horizon."
IF MTP base  year is T-2, and the Country takes the option of shifting the four-year commitment horizon to T+3, set this to 3. </t>
        </r>
      </text>
    </comment>
    <comment ref="A13" authorId="0" shapeId="0" xr:uid="{CF2431DD-5D76-4973-9FF2-D46307EE1684}">
      <text>
        <r>
          <rPr>
            <sz val="9"/>
            <color indexed="81"/>
            <rFont val="Tahoma"/>
            <family val="2"/>
          </rPr>
          <t xml:space="preserve">Either a 4- or 7-year adjustment period, as requested.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D2" authorId="0" shapeId="0" xr:uid="{BB6BDA02-9B6B-456C-A930-FD66AF73802E}">
      <text>
        <r>
          <rPr>
            <sz val="9"/>
            <color indexed="81"/>
            <rFont val="Tahoma"/>
            <family val="2"/>
          </rPr>
          <t xml:space="preserve">Set to the latest year for which complete outturn data has been validated and published by Eurostat and the DG ECFIN. Data for years up to and including this year will be drawn from the "Outturn data" worksheet; data for subsequent years will be drawn from the "Input-Plan under assessment" worksheet. If you wish to assess a government's own fiscal tables or an alternative data source for the most recent year (for example, if the government has a different view of how recent data should be accounted, or has revised its estimates and these have not yet been reflected in Eurostat) set this variable to an earlier year. </t>
        </r>
      </text>
    </comment>
    <comment ref="B91" authorId="0" shapeId="0" xr:uid="{67C792D1-0755-497C-A08F-F16987B250E1}">
      <text>
        <r>
          <rPr>
            <sz val="9"/>
            <color indexed="81"/>
            <rFont val="Tahoma"/>
            <family val="2"/>
          </rPr>
          <t>Of which (subset of total general government expenditure on defence</t>
        </r>
      </text>
    </comment>
    <comment ref="B95" authorId="0" shapeId="0" xr:uid="{03AA6D88-28FE-4542-9CCD-9DC370EF2F84}">
      <text>
        <r>
          <rPr>
            <sz val="9"/>
            <color indexed="81"/>
            <rFont val="Tahoma"/>
            <family val="2"/>
          </rPr>
          <t xml:space="preserve">Should match official input from EUROSTAT (D7rec_S1212+D9rec_S121). Provided for check only.  
</t>
        </r>
      </text>
    </comment>
    <comment ref="A98" authorId="0" shapeId="0" xr:uid="{0C4A892C-C728-426B-8131-245D0B57832C}">
      <text>
        <r>
          <rPr>
            <sz val="9"/>
            <color indexed="81"/>
            <rFont val="Tahoma"/>
            <family val="2"/>
          </rPr>
          <t>Percentage of potential GDP at current prices</t>
        </r>
      </text>
    </comment>
    <comment ref="A99" authorId="0" shapeId="0" xr:uid="{6963EDE6-0DB0-4D3D-BE35-D148A81E19B8}">
      <text>
        <r>
          <rPr>
            <sz val="9"/>
            <color indexed="81"/>
            <rFont val="Tahoma"/>
            <family val="2"/>
          </rPr>
          <t>Percentage of potential GDP at current prices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G3" authorId="0" shapeId="0" xr:uid="{9AF1567B-C01E-4ACD-A179-09DF36B17860}">
      <text>
        <r>
          <rPr>
            <sz val="9"/>
            <color indexed="81"/>
            <rFont val="Tahoma"/>
            <family val="2"/>
          </rPr>
          <t xml:space="preserve">Set to the final year of the desired assessment window. For a full assessment of a Draft Budgetary Plan, Annual Progress Report or Revised Medium-Term Fiscal-Structural Plan, this should be set to the last year of the planning horizon, including all forecast years.
Where the assessment is intended to cover only the period for which observed or estimated data are available, set this to the last year for which outturn data or in-year estimates exist (the latter may be appropriate where the current year is sufficiently advanced that a reliable estimate of the full-year fiscal position is available, but Eurostat validation is not yet complete).
Note: In discussions, some have suggested that APRs are strictly backward-looking. The guidance in C/2024/3975 (Section 4.4) is explicit that APRs should include budgetary projections for a year or optionally two years ahead of the latest outturn data. Whether an IFI wishes to assess the forecast years as an early warning system is, of course, optional, as rules breaches are strictly based on outturn data.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B53" authorId="0" shapeId="0" xr:uid="{DBE7AB18-4456-4907-B326-F8F494F6C276}">
      <text>
        <r>
          <rPr>
            <b/>
            <sz val="9"/>
            <color indexed="81"/>
            <rFont val="Tahoma"/>
            <family val="2"/>
          </rPr>
          <t xml:space="preserve">Only requires p70 for MTP assessment; however, the others are used for fan-chart figures.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C93" authorId="0" shapeId="0" xr:uid="{A3D7BFE2-4CAF-4092-9D66-D0430A8A5089}">
      <text>
        <r>
          <rPr>
            <b/>
            <sz val="9"/>
            <color indexed="81"/>
            <rFont val="Tahoma"/>
            <family val="2"/>
          </rPr>
          <t>Scott Cameron:</t>
        </r>
        <r>
          <rPr>
            <sz val="9"/>
            <color indexed="81"/>
            <rFont val="Tahoma"/>
            <family val="2"/>
          </rPr>
          <t xml:space="preserve">
Checks whether any values in row 26 (MTP net expenditure) for years in the assessment window have values in that are less than row 6 (outturn and planned net expenditure). </t>
        </r>
      </text>
    </comment>
    <comment ref="C94" authorId="0" shapeId="0" xr:uid="{DE5714ED-B10E-4AFF-8B77-3AE84ADB7CBF}">
      <text>
        <r>
          <rPr>
            <b/>
            <sz val="9"/>
            <color indexed="81"/>
            <rFont val="Tahoma"/>
            <family val="2"/>
          </rPr>
          <t>Scott Cameron:</t>
        </r>
        <r>
          <rPr>
            <sz val="9"/>
            <color indexed="81"/>
            <rFont val="Tahoma"/>
            <family val="2"/>
          </rPr>
          <t xml:space="preserve">
Checks whether any values in row 26 (MTP net expenditure) for years in the assessment window have values in that are less than row 6 (outturn and planned net expenditure). </t>
        </r>
      </text>
    </comment>
    <comment ref="B127" authorId="0" shapeId="0" xr:uid="{3DE2EB73-1B25-4846-B978-9895AE552983}">
      <text>
        <r>
          <rPr>
            <sz val="9"/>
            <color indexed="81"/>
            <rFont val="Tahoma"/>
            <family val="2"/>
          </rPr>
          <t>During the activation of the national escape clause for defence, deviations other than those resulting from an increase in defence expenditure continue to be recorded in the control account.
In practice, the Commission calculates first the ‘regular’ control account including defence expenditure, and based on this it calculates an ‘augmented’ control account which contains only a cumulative balance to record upward deviations from the recommended expenditure path which are not covered under the provisions of the clause</t>
        </r>
      </text>
    </comment>
    <comment ref="B137" authorId="0" shapeId="0" xr:uid="{0546BCA7-344C-4E66-BAD1-D186FC12447D}">
      <text>
        <r>
          <rPr>
            <sz val="9"/>
            <color indexed="81"/>
            <rFont val="Tahoma"/>
            <family val="2"/>
          </rPr>
          <t xml:space="preserve">Officially, positive value (debit) means that net expenditure growth exceeds the recommended net expenditure growth
</t>
        </r>
      </text>
    </comment>
    <comment ref="B178" authorId="0" shapeId="0" xr:uid="{9B0DE09D-2E42-4C47-8CE0-CD1127E99786}">
      <text>
        <r>
          <rPr>
            <b/>
            <sz val="9"/>
            <color indexed="81"/>
            <rFont val="Tahoma"/>
            <family val="2"/>
          </rPr>
          <t>Scott Cameron:</t>
        </r>
        <r>
          <rPr>
            <sz val="9"/>
            <color indexed="81"/>
            <rFont val="Tahoma"/>
            <family val="2"/>
          </rPr>
          <t xml:space="preserve">
Article 8 prescribes that the annual improvement in the structural primary balance is 0.4 percentage points of GDP if the adjustment period is 4 years and 0.25 percentage points of GDP if the adjustment period is 7 years under Article 14.  </t>
        </r>
      </text>
    </comment>
    <comment ref="C179" authorId="0" shapeId="0" xr:uid="{EAF2FF30-E37F-42A1-B3FE-975EBF21B0CB}">
      <text>
        <r>
          <rPr>
            <b/>
            <sz val="9"/>
            <color indexed="81"/>
            <rFont val="Tahoma"/>
            <family val="2"/>
          </rPr>
          <t>Scott Cameron:</t>
        </r>
        <r>
          <rPr>
            <sz val="9"/>
            <color indexed="81"/>
            <rFont val="Tahoma"/>
            <family val="2"/>
          </rPr>
          <t xml:space="preserve">
Returns NA() if the safeguard doesn’t apply (C125 is FALSE).
Otherwise, it checks each year after one where the structural balance was worse than –1.5%.
If all those following years show an improvement in the structural primary balance above 0.4 (or 0.25) pp, it returns TRUE. If any fall short, it’s FALSE.</t>
        </r>
      </text>
    </comment>
    <comment ref="B195" authorId="0" shapeId="0" xr:uid="{A1B968C2-FBCE-42D0-B13A-C7293EBA0437}">
      <text>
        <r>
          <rPr>
            <sz val="9"/>
            <color indexed="81"/>
            <rFont val="Tahoma"/>
            <family val="2"/>
          </rPr>
          <t>Article 5
Reference trajectory
Where the general government debt exceeds 60 % of GDP or the general government deficit exceeds 3 % of GDP, the Commission shall transmit to the Member State concerned and to the Economic and Financial Committee a reference trajectory for the net expenditure covering an adjustment period of four years and its possible extension by up to three years pursuant to Article 14.
Article 9(3)
Technical information
For Member States that have a general government deficit not exceeding 3 % of GDP and general government debt not exceeding 60 % of GDP, the Commission shall provide, at the request of the Member State, technical information regarding the structural primary balance necessary to ensure that the headline deficit is maintained below 3 % of GDP assuming that there are no additional policy measures over the medium and long-term and indicating whether that implies fiscal adjustment needs. Such technical information shall also be consistent with the deficit resilience safeguard referred to in Article 8.</t>
        </r>
      </text>
    </comment>
    <comment ref="B198" authorId="0" shapeId="0" xr:uid="{6F19269D-7702-42AF-88FB-803A9B72DCB8}">
      <text>
        <r>
          <rPr>
            <sz val="9"/>
            <color indexed="81"/>
            <rFont val="Tahoma"/>
            <family val="2"/>
          </rPr>
          <t xml:space="preserve">Art. 2 , Art. 6 &amp; 16 of the Regulation building on Art. 126(2) TFEU and Protocol 12
Article 2 gross debt and deficit reference values are checked "when drawing up their national medium-term fiscal-structural plans" meaning the last year for which there is outturn data published by the national statistics institutes and Eurostat, which will usually be year T-1 but can be T-2 if submitted between January and March of year T before outturn data for year T-1 have been published. </t>
        </r>
      </text>
    </comment>
    <comment ref="B199" authorId="0" shapeId="0" xr:uid="{5B2DF90B-D63D-4702-862E-184EC652A743}">
      <text>
        <r>
          <rPr>
            <sz val="9"/>
            <color indexed="81"/>
            <rFont val="Tahoma"/>
            <family val="2"/>
          </rPr>
          <t xml:space="preserve">TFEU Article 126(2) and Protocol No 12 Article 1. </t>
        </r>
      </text>
    </comment>
    <comment ref="B200" authorId="0" shapeId="0" xr:uid="{49857D28-97F5-4EBB-BD15-66A37495F6B6}">
      <text>
        <r>
          <rPr>
            <b/>
            <sz val="9"/>
            <color indexed="81"/>
            <rFont val="Tahoma"/>
            <family val="2"/>
          </rPr>
          <t xml:space="preserve">Possible outcomes: 
</t>
        </r>
        <r>
          <rPr>
            <sz val="9"/>
            <color indexed="81"/>
            <rFont val="Tahoma"/>
            <family val="2"/>
          </rPr>
          <t xml:space="preserve">
</t>
        </r>
        <r>
          <rPr>
            <b/>
            <sz val="9"/>
            <color indexed="81"/>
            <rFont val="Tahoma"/>
            <family val="2"/>
          </rPr>
          <t xml:space="preserve">TRUE:
</t>
        </r>
        <r>
          <rPr>
            <sz val="9"/>
            <color indexed="81"/>
            <rFont val="Tahoma"/>
            <family val="2"/>
          </rPr>
          <t xml:space="preserve">Country’s gross general government debt in [MTP base year] was [X.X]% of GDP, which does not exceed the 60% TFEU reference value.
</t>
        </r>
        <r>
          <rPr>
            <b/>
            <sz val="9"/>
            <color indexed="81"/>
            <rFont val="Tahoma"/>
            <family val="2"/>
          </rPr>
          <t xml:space="preserve">
FALSE:</t>
        </r>
        <r>
          <rPr>
            <sz val="9"/>
            <color indexed="81"/>
            <rFont val="Tahoma"/>
            <family val="2"/>
          </rPr>
          <t xml:space="preserve">
Country’s gross general government debt in [MTP base year] was [X.X]% of GDP, higher than the 60% TFEU reference level.</t>
        </r>
      </text>
    </comment>
    <comment ref="B202" authorId="0" shapeId="0" xr:uid="{2B6DEA4F-F6AB-4E32-A19B-A2550D8308BF}">
      <text>
        <r>
          <rPr>
            <b/>
            <sz val="9"/>
            <color indexed="81"/>
            <rFont val="Tahoma"/>
            <family val="2"/>
          </rPr>
          <t>Scott Cameron:</t>
        </r>
        <r>
          <rPr>
            <sz val="9"/>
            <color indexed="81"/>
            <rFont val="Tahoma"/>
            <family val="2"/>
          </rPr>
          <t xml:space="preserve">
Art. 2 , Art. 6 &amp; 16 of the Regulation building on.Art. 126(2) TFEU and Protocol 12</t>
        </r>
      </text>
    </comment>
    <comment ref="B203" authorId="0" shapeId="0" xr:uid="{EB4F87C0-6365-451A-9B4A-CB9EE6BB1048}">
      <text>
        <r>
          <rPr>
            <b/>
            <sz val="9"/>
            <color indexed="81"/>
            <rFont val="Tahoma"/>
            <family val="2"/>
          </rPr>
          <t>Scott Cameron:</t>
        </r>
        <r>
          <rPr>
            <sz val="9"/>
            <color indexed="81"/>
            <rFont val="Tahoma"/>
            <family val="2"/>
          </rPr>
          <t xml:space="preserve">
TFEU Article 126(2) and Protocol No 12 Article 1. </t>
        </r>
      </text>
    </comment>
    <comment ref="B204" authorId="0" shapeId="0" xr:uid="{8C7D12BB-A0D4-4546-97AB-A5721972F6C4}">
      <text>
        <r>
          <rPr>
            <b/>
            <sz val="9"/>
            <color indexed="81"/>
            <rFont val="Tahoma"/>
            <family val="2"/>
          </rPr>
          <t>Possible outcomes:
FALSE:</t>
        </r>
        <r>
          <rPr>
            <sz val="9"/>
            <color indexed="81"/>
            <rFont val="Tahoma"/>
            <family val="2"/>
          </rPr>
          <t xml:space="preserve">
Country’s net lending in [MTP base year] was [X.X]% of GDP, exceeding the 3% TFEU reference value.
</t>
        </r>
        <r>
          <rPr>
            <b/>
            <sz val="9"/>
            <color indexed="81"/>
            <rFont val="Tahoma"/>
            <family val="2"/>
          </rPr>
          <t>TRUE:</t>
        </r>
        <r>
          <rPr>
            <sz val="9"/>
            <color indexed="81"/>
            <rFont val="Tahoma"/>
            <family val="2"/>
          </rPr>
          <t xml:space="preserve">
Country’s net lending in [MTP base year] was [X.X]% of GDP, which does not exceed the 3% TFEU reference level.</t>
        </r>
      </text>
    </comment>
    <comment ref="B208" authorId="0" shapeId="0" xr:uid="{E1DCE166-8076-4BC1-8B67-4D044FBCA999}">
      <text>
        <r>
          <rPr>
            <sz val="9"/>
            <color indexed="81"/>
            <rFont val="Tahoma"/>
            <family val="2"/>
          </rPr>
          <t xml:space="preserve">
Possible outcomes:
1. Reference trajectory applies [Article 5]
2. Reference trajectory does not apply but net expenditure path must comply with TFEU deficit and debt rules [Article 16(2)]
</t>
        </r>
        <r>
          <rPr>
            <b/>
            <sz val="9"/>
            <color indexed="81"/>
            <rFont val="Tahoma"/>
            <family val="2"/>
          </rPr>
          <t>Reference trajectory required – debt trigger only</t>
        </r>
        <r>
          <rPr>
            <sz val="9"/>
            <color indexed="81"/>
            <rFont val="Tahoma"/>
            <family val="2"/>
          </rPr>
          <t xml:space="preserve">
Country’s gross debt was above 60% of GDP in the MTP base year, therefore it must adhere to an MTP with a planned net expenditure path that does not exceed the Commission's reference trajectory (or an alternative path that meets all criteria). If the planned net expenditure path is higher, Country must provide sound and data-driven economic arguments explaining the difference.
</t>
        </r>
        <r>
          <rPr>
            <b/>
            <sz val="9"/>
            <color indexed="81"/>
            <rFont val="Tahoma"/>
            <family val="2"/>
          </rPr>
          <t>Reference trajectory required – deficit trigger only</t>
        </r>
        <r>
          <rPr>
            <sz val="9"/>
            <color indexed="81"/>
            <rFont val="Tahoma"/>
            <family val="2"/>
          </rPr>
          <t xml:space="preserve">
Country’s general government deficit was above 3% of GDP in the MTP base year, therefore it must adhere to an MTP with a planned net expenditure path that does not exceed the Commission's reference trajectory (or an alternative path that meets all criteria). If the planned net expenditure path is higher, Country must provide sound and data-driven economic arguments explaining the difference.
</t>
        </r>
        <r>
          <rPr>
            <b/>
            <sz val="9"/>
            <color indexed="81"/>
            <rFont val="Tahoma"/>
            <family val="2"/>
          </rPr>
          <t xml:space="preserve">
Reference trajectory required – both debt and deficit triggers</t>
        </r>
        <r>
          <rPr>
            <sz val="9"/>
            <color indexed="81"/>
            <rFont val="Tahoma"/>
            <family val="2"/>
          </rPr>
          <t xml:space="preserve">
Country’s gross debt was above 60% of GDP and its general government deficit was above 3% of GDP in the MTP base year, therefore it must adhere to an MTP with a planned net expenditure path that does not exceed the Commission's reference trajectory (or an alternative path that meets all criteria). If the planned net expenditure path is higher, Country must provide sound and data-driven economic arguments explaining the difference.
</t>
        </r>
        <r>
          <rPr>
            <b/>
            <sz val="9"/>
            <color indexed="81"/>
            <rFont val="Tahoma"/>
            <family val="2"/>
          </rPr>
          <t>Reference trajectory NOT required</t>
        </r>
        <r>
          <rPr>
            <sz val="9"/>
            <color indexed="81"/>
            <rFont val="Tahoma"/>
            <family val="2"/>
          </rPr>
          <t xml:space="preserve">
Country does not receive a reference trajectory but its MTP must contain a net expenditure path that complies with TFEU general government debt and deficit sustainability requirements.
</t>
        </r>
      </text>
    </comment>
    <comment ref="B210" authorId="0" shapeId="0" xr:uid="{E2AA63F9-A75C-46B1-9D08-CF0E1267A4AA}">
      <text>
        <r>
          <rPr>
            <b/>
            <sz val="9"/>
            <color indexed="81"/>
            <rFont val="Tahoma"/>
            <family val="2"/>
          </rPr>
          <t>Scott Cameron:</t>
        </r>
        <r>
          <rPr>
            <sz val="9"/>
            <color indexed="81"/>
            <rFont val="Tahoma"/>
            <family val="2"/>
          </rPr>
          <t xml:space="preserve">
Article 5
Reference trajectory
Where the general government debt exceeds 60 % of GDP or the general government deficit exceeds 3 % of GDP, the Commission shall transmit to the Member State concerned and to the Economic and Financial Committee a reference trajectory for the net expenditure covering an adjustment period of four years and its possible extension by up to three years pursuant to Article 14.</t>
        </r>
      </text>
    </comment>
    <comment ref="B212" authorId="0" shapeId="0" xr:uid="{00501D52-8E39-4A32-B67C-E748FE246C23}">
      <text>
        <r>
          <rPr>
            <sz val="9"/>
            <color indexed="81"/>
            <rFont val="Tahoma"/>
            <family val="2"/>
          </rPr>
          <t>Commission Guidance (C/2024/3975, Section 2.5) and the Regulation (Article 13(a))</t>
        </r>
      </text>
    </comment>
    <comment ref="B213" authorId="0" shapeId="0" xr:uid="{FAEFFE42-5A6E-439C-907A-96E809874462}">
      <text>
        <r>
          <rPr>
            <sz val="9"/>
            <color indexed="81"/>
            <rFont val="Tahoma"/>
            <family val="2"/>
          </rPr>
          <t xml:space="preserve">Section 2.5 of C/2024/3975
If the plan presents higher net expenditure growth rates than in the reference trajectory, or the technical information, or if the underlying assumptions are more favourable than the common assumptions (19), Member States should provide a more detailed description of the underlying macroeconomic assumptions. This additional reporting is necessary for the Commission to verify whether sound and data-driven economic arguments can explain the difference with the reference trajectory (Article 13) or from the medium-term government debt projection framework more in general (Recital 25), and for the Commission to be able to properly examine whether the requirements are fulfilled (Article 16).
</t>
        </r>
      </text>
    </comment>
    <comment ref="B214" authorId="0" shapeId="0" xr:uid="{4F0D3E50-3547-41F2-A3AB-23A1DE5B9FBB}">
      <text>
        <r>
          <rPr>
            <sz val="9"/>
            <color indexed="81"/>
            <rFont val="Tahoma"/>
            <family val="2"/>
          </rPr>
          <t xml:space="preserve">Section 2.5 of C/2024/3975
If the plan presents higher net expenditure growth rates than in the reference trajectory, or the technical information, or if the underlying assumptions are more favourable than the common assumptions (19), Member States should provide a more detailed description of the underlying macroeconomic assumptions. This additional reporting is necessary for the Commission to verify whether sound and data-driven economic arguments can explain the difference with the reference trajectory (Article 13) or from the medium-term government debt projection framework more in general (Recital 25), and for the Commission to be able to properly examine whether the requirements are fulfilled (Article 16).
</t>
        </r>
      </text>
    </comment>
    <comment ref="B229" authorId="0" shapeId="0" xr:uid="{CF5C31BB-E89A-4F18-B28A-056111251D5D}">
      <text>
        <r>
          <rPr>
            <sz val="9"/>
            <color indexed="81"/>
            <rFont val="Tahoma"/>
            <family val="2"/>
          </rPr>
          <t xml:space="preserve">Specifically, the requirements of Article 16(2) and (3) of Regulation (EU) 2024/1263
16(2) whether the net expenditure path complies with the requirements to put or keep general government debt on a plausibly downward path by the end of the adjustment period or it remains at prudent levels below 60% of GDP, and it brings and maintains the government deficit below 3% of GDP over the medium term.
16(3) whether their net expenditure paths comply with the requirements set out in Articles 6, 7 and 8.
Article 6: Risk-based requirements ((a) DSA plausibility assessments, (b) deficit brought below 3% of GDP over the adjustment period and maintained below 3% over the medium-term, (c) linear and proportional (no backloading condition), (d) consistency with the EDP corrective path in Article 3(4) of Regulation (EC) No 1467/97.
Article 7: Debt sustainability safeguard
Article 8: Deficit resilience safeguard
</t>
        </r>
      </text>
    </comment>
    <comment ref="B231" authorId="0" shapeId="0" xr:uid="{0733AC9A-FBA7-4DD7-B7F4-C2C114AE0532}">
      <text>
        <r>
          <rPr>
            <sz val="9"/>
            <color indexed="81"/>
            <rFont val="Tahoma"/>
            <family val="2"/>
          </rPr>
          <t xml:space="preserve">Art. 6(1), although not explicit. However, all of the Commission assessments (Recommendation for a Council Recommendation endorsing the national medium-term fsical-structural plan of County) assess how the average net expenditure growth over the adjustment period compares to the prior guidance as their measure of whether the net expenditure path in the MTP exceeds the reference trajectory. </t>
        </r>
      </text>
    </comment>
    <comment ref="B238" authorId="0" shapeId="0" xr:uid="{4585096F-2206-4D14-99A5-316EE86AFC63}">
      <text>
        <r>
          <rPr>
            <sz val="9"/>
            <color indexed="81"/>
            <rFont val="Tahoma"/>
            <family val="2"/>
          </rPr>
          <t xml:space="preserve">Art. 6: prior guidance net expenditure trajectory is the benchmark; and Art. 16(3): 
For countries that received a reference trajectory, the path must be checked against Arts. 6–8.
Article 6 = risk-based debt (M6), deficit (M7), no back-loading (M8), and consistency with corrective path of EDP (M9). </t>
        </r>
      </text>
    </comment>
    <comment ref="C240" authorId="0" shapeId="0" xr:uid="{FED4CB80-1CC0-492B-9AF6-A3328341F2DC}">
      <text>
        <r>
          <rPr>
            <sz val="9"/>
            <color indexed="81"/>
            <rFont val="Tahoma"/>
            <family val="2"/>
          </rPr>
          <t xml:space="preserve">Testing whether the reference trajectory net expenditure path is greater than or equal to the planned net expenditure path in the MTP in every year of the adjustment period.
Returns TRUE only when there are zero columns in the date window where the reference trajectory is less than the MTP path. 
Gated for being subject to a reference trajectory. 
</t>
        </r>
      </text>
    </comment>
    <comment ref="B243" authorId="0" shapeId="0" xr:uid="{760246F6-0D13-45A6-97CD-AF4321A928CC}">
      <text>
        <r>
          <rPr>
            <b/>
            <sz val="9"/>
            <color indexed="81"/>
            <rFont val="Tahoma"/>
            <family val="2"/>
          </rPr>
          <t>Scott Cameron:</t>
        </r>
        <r>
          <rPr>
            <sz val="9"/>
            <color indexed="81"/>
            <rFont val="Tahoma"/>
            <family val="2"/>
          </rPr>
          <t xml:space="preserve">
Possible outcomes:  
1. Country X's planned expenditure adheres to the reference trajectory. 
2. Country X's planned net expenditure does not adhere to the reference trajectory, and the IFI does not deem the explanation to be satisfactory.  
3. Country X's planned net expenditure does not adhere to the reference trajectory, and the IFI does not deem the explanation to be satisfactory.  
4. Not applicable (Country X is not required to adhere to a reference trajectory). 
</t>
        </r>
      </text>
    </comment>
    <comment ref="B245" authorId="0" shapeId="0" xr:uid="{19FC617B-DF3C-4523-AE45-4E00AE68E93D}">
      <text>
        <r>
          <rPr>
            <sz val="9"/>
            <color indexed="81"/>
            <rFont val="Tahoma"/>
            <family val="2"/>
          </rPr>
          <t xml:space="preserve">Member States with a government deficit below 3% of GDP and 
public debt below 60% of GDP will have to ensure in their plans that the 
deficit is maintained below 3% of GDP over the medium term and that debt 
remains below 60% of GDP.  - Debt Sustainabilty Monitor 2023
</t>
        </r>
      </text>
    </comment>
    <comment ref="B256" authorId="0" shapeId="0" xr:uid="{DAA9F302-BD9F-4C9F-A452-20584BDFA778}">
      <text>
        <r>
          <rPr>
            <b/>
            <sz val="9"/>
            <color indexed="81"/>
            <rFont val="Tahoma"/>
            <family val="2"/>
          </rPr>
          <t>Scott Cameron:</t>
        </r>
        <r>
          <rPr>
            <sz val="9"/>
            <color indexed="81"/>
            <rFont val="Tahoma"/>
            <family val="2"/>
          </rPr>
          <t xml:space="preserve">
Art. 16(2) first clause: the plan’s net expenditure path must “put or keep general government debt on a plausibly downward path by the end of the adjustment period or [ensure it] remains at prudent levels below 60% of GDP”. 
Regulation (EU) 2024-1263
</t>
        </r>
      </text>
    </comment>
    <comment ref="C265" authorId="0" shapeId="0" xr:uid="{99D17956-7F1B-4F70-ABD3-54266D928149}">
      <text>
        <r>
          <rPr>
            <b/>
            <sz val="9"/>
            <color indexed="81"/>
            <rFont val="Tahoma"/>
            <family val="2"/>
          </rPr>
          <t>Scott Cameron:</t>
        </r>
        <r>
          <rPr>
            <sz val="9"/>
            <color indexed="81"/>
            <rFont val="Tahoma"/>
            <family val="2"/>
          </rPr>
          <t xml:space="preserve">
Just a repeat of the detailed DSA declining checks and remain at prudent level check in one formula</t>
        </r>
      </text>
    </comment>
    <comment ref="B268" authorId="0" shapeId="0" xr:uid="{CB5B314F-8DA8-4794-93B2-D3959559E3AA}">
      <text>
        <r>
          <rPr>
            <b/>
            <sz val="9"/>
            <color indexed="81"/>
            <rFont val="Tahoma"/>
            <family val="2"/>
          </rPr>
          <t>Scott Cameron:</t>
        </r>
        <r>
          <rPr>
            <sz val="9"/>
            <color indexed="81"/>
            <rFont val="Tahoma"/>
            <family val="2"/>
          </rPr>
          <t xml:space="preserve">
 Member States with a government deficit below 3% of GDP and 
public debt below 60% of GDP will have to ensure in their plans that the 
deficit is maintained below 3% of GDP over the medium term and that debt 
remains below 60% of GDP.  - Debt Sustainabilty Monitor 2023
</t>
        </r>
      </text>
    </comment>
    <comment ref="B269" authorId="0" shapeId="0" xr:uid="{745C4974-C162-4EEA-A98A-8DF783863CE4}">
      <text>
        <r>
          <rPr>
            <b/>
            <sz val="9"/>
            <color indexed="81"/>
            <rFont val="Tahoma"/>
            <family val="2"/>
          </rPr>
          <t>Scott Cameron:</t>
        </r>
        <r>
          <rPr>
            <sz val="9"/>
            <color indexed="81"/>
            <rFont val="Tahoma"/>
            <family val="2"/>
          </rPr>
          <t xml:space="preserve">
Article 16(2) requires that debt “remains at prudent levels below 60% of GDP”. The wording “remains” clearly implies a continuous requirement, not a spot check at the end of the medium term. 
Guidance C/2024/3975 explicitly requires debt projections up to T+14 (or T+17 if extended). This implies that compliance assessment uses the entire series, not only the end year.
Debt Sustainabilty Monitor 2023 states "Member States with a government deficit below 3% of GDP and public debt below 60% of GDP will have to ensure in their plans that the 
deficit is maintained below 3% of GDP over the medium term and that debt 
remains below 60% of GDP."
The Commision assessments define the medium term as the ten years following the adjustment period. I would conclude that the deficit and debt can exceed the reference values during the adjustment period but must not afterward. However, the Commission assessments seem to assess whether debt is higher than the reference value after the adjustment period, BUT whether the deficit is below the reference value in the last year of the adjustment period and beyond. </t>
        </r>
      </text>
    </comment>
    <comment ref="C269" authorId="0" shapeId="0" xr:uid="{E391310E-EB56-4241-9B26-B0E2616C1B04}">
      <text>
        <r>
          <rPr>
            <b/>
            <sz val="9"/>
            <color indexed="81"/>
            <rFont val="Tahoma"/>
            <family val="2"/>
          </rPr>
          <t>Scott Cameron:
Article 9(3)</t>
        </r>
        <r>
          <rPr>
            <sz val="9"/>
            <color indexed="81"/>
            <rFont val="Tahoma"/>
            <family val="2"/>
          </rPr>
          <t xml:space="preserve">
3.   For Member States that have a general government deficit not exceeding 3 % of GDP and general government debt not exceeding 60 % of GDP, the Commission shall provide, at the request of the Member State, technical information regarding the structural primary balance necessary to ensure that the headline deficit is maintained below 3 % of GDP assuming that there are no additional policy measures over the medium and long-term and indicating whether that implies fiscal adjustment needs. Such technical information shall also be consistent with the deficit resilience safeguard referred to in Article. (NB: A Member State receiving technical information is not required to adhere to the deficit resilience safeguard.) </t>
        </r>
      </text>
    </comment>
    <comment ref="B272" authorId="0" shapeId="0" xr:uid="{6BB56F4A-3BA7-495A-BFAF-DBCB405F6ADD}">
      <text>
        <r>
          <rPr>
            <b/>
            <sz val="9"/>
            <color indexed="81"/>
            <rFont val="Tahoma"/>
            <family val="2"/>
          </rPr>
          <t>Scott Cameron:</t>
        </r>
        <r>
          <rPr>
            <sz val="9"/>
            <color indexed="81"/>
            <rFont val="Tahoma"/>
            <family val="2"/>
          </rPr>
          <t xml:space="preserve">
Art. 16(2) second clause: the plan must “bring and maintain the government deficit below 3% of GDP over the medium term.”
Regulation (EU) 2024-1263</t>
        </r>
      </text>
    </comment>
    <comment ref="C275" authorId="0" shapeId="0" xr:uid="{D16C9631-BA56-4C0E-B2F0-BD2093C29D08}">
      <text>
        <r>
          <rPr>
            <b/>
            <sz val="9"/>
            <color indexed="81"/>
            <rFont val="Tahoma"/>
            <family val="2"/>
          </rPr>
          <t>Scott Cameron:</t>
        </r>
        <r>
          <rPr>
            <sz val="9"/>
            <color indexed="81"/>
            <rFont val="Tahoma"/>
            <family val="2"/>
          </rPr>
          <t xml:space="preserve">
It's not well-defined, but it seems that under Article 6 the deficit must reach strictly below 3% by the last year of the adjustment period (will assume 3% rounded or less) but under 16(2) it only needs to reach 3% by the first year after the adjustment period ("medium-term" but not defined and not used consistently). I've used the stricter condition (must reach 3% rounded by last year of the adjustment period, as most Commission analysts have done in the prior guidance calculation sheets. 
Commission assessments are clear that it must not exceed 3% of GDP at the end of the adjustment period and must not exceed 3% over the ten years following the adjustment period. </t>
        </r>
      </text>
    </comment>
    <comment ref="B278" authorId="0" shapeId="0" xr:uid="{519E59A4-1B78-40E3-85AA-ED869B393726}">
      <text>
        <r>
          <rPr>
            <b/>
            <sz val="9"/>
            <color indexed="81"/>
            <rFont val="Tahoma"/>
            <family val="2"/>
          </rPr>
          <t>Scott Cameron:</t>
        </r>
        <r>
          <rPr>
            <sz val="9"/>
            <color indexed="81"/>
            <rFont val="Tahoma"/>
            <family val="2"/>
          </rPr>
          <t xml:space="preserve">
 Member States with a government deficit below 3% of GDP and 
public debt below 60% of GDP will have to ensure in their plans that the 
deficit is maintained below 3% of GDP over the medium term and that debt 
remains below 60% of GDP.  - Debt Sustainabilty Monitor 2023
</t>
        </r>
      </text>
    </comment>
    <comment ref="B285" authorId="0" shapeId="0" xr:uid="{A268AE8F-AC1D-4581-AFCE-231C6ACE5A4B}">
      <text>
        <r>
          <rPr>
            <sz val="9"/>
            <color indexed="81"/>
            <rFont val="Tahoma"/>
            <family val="2"/>
          </rPr>
          <t xml:space="preserve">Art. 6(c) and Art. 15(5): net expenditure path (and associated SPB) “shall not backload the fiscal adjustment effort” and the new reference trajectory shall not lower effort or backload it.
That is, is the time profile of the fiscal adjustment linear and proportional to total effort over the adjustment period as required by Article 6, point (c), of Regulation (EU) 2024/1263?
Regulation (EU) 2024/1263, Article 6(c) the fiscal adjustment effort over the period of the national medium-term fiscal-structural plan is linear as a rule and at least proportional to the total effort over the entire adjustment period.
Having all three tests below is redundant, but stepping through the legislated logic of the condition helps with the intuition. </t>
        </r>
      </text>
    </comment>
    <comment ref="C290" authorId="0" shapeId="0" xr:uid="{9A26E4AC-DBCE-4AF6-81F4-BA98E56C0D77}">
      <text>
        <r>
          <rPr>
            <sz val="9"/>
            <color indexed="81"/>
            <rFont val="Tahoma"/>
            <family val="2"/>
          </rPr>
          <t>Looks across all columns in row 242,
Keeps only columns where the year is a number and between MTP_YearT+1 and AdjustmentPeriodEnd,
Pulls the corresponding SPB-change cells from row 244,
Rounds to 1 d.p., then checks whether they’re all the same (MAX=MIN).</t>
        </r>
      </text>
    </comment>
    <comment ref="C291" authorId="0" shapeId="0" xr:uid="{16557285-5BBF-4D94-B87E-CB098F69A8F2}">
      <text>
        <r>
          <rPr>
            <sz val="9"/>
            <color indexed="81"/>
            <rFont val="Tahoma"/>
            <family val="2"/>
          </rPr>
          <t>Takes the SPB-change values for years T+1 … AdjustmentPeriodEnd, rounds to 0.1, computes each year-to-year change, and returns TRUE if none of those changes are positive (i.e., the sequence does not step up).</t>
        </r>
      </text>
    </comment>
    <comment ref="B292" authorId="0" shapeId="0" xr:uid="{1C38568D-661F-40E5-9152-D4020F4DD7CD}">
      <text>
        <r>
          <rPr>
            <sz val="9"/>
            <color indexed="81"/>
            <rFont val="Tahoma"/>
            <family val="2"/>
          </rPr>
          <t>Is any one value greater than the average?</t>
        </r>
      </text>
    </comment>
    <comment ref="C292" authorId="0" shapeId="0" xr:uid="{A77ACAA5-1945-4E35-B456-19C070037EE1}">
      <text>
        <r>
          <rPr>
            <sz val="9"/>
            <color indexed="81"/>
            <rFont val="Tahoma"/>
            <family val="2"/>
          </rPr>
          <t>This returns TRUE only if every rounded SPB-change value in years T+1 … AdjustmentPeriodEnd equals the rounded value in C249 (because both the max and min match it</t>
        </r>
      </text>
    </comment>
    <comment ref="C293" authorId="0" shapeId="0" xr:uid="{86E4562A-A0FF-4990-A76D-FAC7E1066084}">
      <text>
        <r>
          <rPr>
            <sz val="9"/>
            <color indexed="81"/>
            <rFont val="Tahoma"/>
            <family val="2"/>
          </rPr>
          <t>Takes the SPB levels for T+1 to AdjustmentPeriodEnd, computes the year-to-year changes (current minus previous), and returns the average annual change over that window</t>
        </r>
      </text>
    </comment>
    <comment ref="B298" authorId="0" shapeId="0" xr:uid="{3A113EFD-4B5E-4A23-9330-05FD1A5225D6}">
      <text>
        <r>
          <rPr>
            <sz val="9"/>
            <color indexed="81"/>
            <rFont val="Tahoma"/>
            <family val="2"/>
          </rPr>
          <t>Art. 6(d): for a country in EDP, the net expenditure path must be consistent with the corrective path under Regulation 1467/97. - Regulation (EU) 2024-1263</t>
        </r>
      </text>
    </comment>
    <comment ref="B304" authorId="0" shapeId="0" xr:uid="{AD5526F3-6E4C-4845-97A7-D83546D1A241}">
      <text>
        <r>
          <rPr>
            <b/>
            <sz val="9"/>
            <color indexed="81"/>
            <rFont val="Tahoma"/>
            <family val="2"/>
          </rPr>
          <t>Scott Cameron:</t>
        </r>
        <r>
          <rPr>
            <sz val="9"/>
            <color indexed="81"/>
            <rFont val="Tahoma"/>
            <family val="2"/>
          </rPr>
          <t xml:space="preserve">
For example, Belgium has been permitted to offset smaller adjustments in one year with greater adjustments in another</t>
        </r>
      </text>
    </comment>
    <comment ref="B305" authorId="0" shapeId="0" xr:uid="{B5484799-05B4-42CB-A274-63C969FAE13D}">
      <text>
        <r>
          <rPr>
            <b/>
            <sz val="9"/>
            <color indexed="81"/>
            <rFont val="Tahoma"/>
            <family val="2"/>
          </rPr>
          <t>Scott Cameron:</t>
        </r>
        <r>
          <rPr>
            <sz val="9"/>
            <color indexed="81"/>
            <rFont val="Tahoma"/>
            <family val="2"/>
          </rPr>
          <t xml:space="preserve">
The debt-based EDP enforces the net expenditure path. Triggered if deviation in the control account exceeds 0.3 percent of GDP annually or 0.6 percent of GDP cumulatively (but not automatic so still needs to be entered in the control sheet). </t>
        </r>
      </text>
    </comment>
    <comment ref="B311" authorId="0" shapeId="0" xr:uid="{322B17D1-8B4B-40A5-A771-441C6119157E}">
      <text>
        <r>
          <rPr>
            <sz val="9"/>
            <color indexed="81"/>
            <rFont val="Tahoma"/>
            <family val="2"/>
          </rPr>
          <t>Art. 7 safeguard – minimum average annual reduction of debt and risk-based conditions.</t>
        </r>
      </text>
    </comment>
    <comment ref="B312" authorId="0" shapeId="0" xr:uid="{187DAC46-BAB1-4308-9B83-87F5527D2046}">
      <text>
        <r>
          <rPr>
            <sz val="9"/>
            <color indexed="81"/>
            <rFont val="Tahoma"/>
            <family val="2"/>
          </rPr>
          <t xml:space="preserve">"Due to the specific composition of the outstanding government debt of Greece, a significant amount of deferred interest paymets is set to become due in 2033. The related exceptional increase in the general government debt-to-GDP ratio of Greece should therefore not be taken into account in the application of the debt sustainability safeguard. </t>
        </r>
      </text>
    </comment>
    <comment ref="B321" authorId="0" shapeId="0" xr:uid="{BC15C067-63C2-468F-A3BC-5CCAA83C4225}">
      <text>
        <r>
          <rPr>
            <sz val="9"/>
            <color indexed="81"/>
            <rFont val="Tahoma"/>
            <family val="2"/>
          </rPr>
          <t>Art. 8: structural deficit must converge towards or be below 1.5% of GDP by the end of the adjustment period and over the medium term; (resilience margin of 1.5%). - Regulation (EU) 2024-1263</t>
        </r>
      </text>
    </comment>
    <comment ref="B329" authorId="0" shapeId="0" xr:uid="{0B894FDD-8534-41A0-84A8-FCD64D1352C5}">
      <text>
        <r>
          <rPr>
            <sz val="9"/>
            <color indexed="81"/>
            <rFont val="Tahoma"/>
            <family val="2"/>
          </rPr>
          <t xml:space="preserve">Article 8 prescribes that the annual improvement in the structural primary balance is 0.4 percentage points of GDP if the adjustment period is 4 years and 0.25 percentage points of GDP if the adjustment period is 7 years under Article 14.  </t>
        </r>
      </text>
    </comment>
    <comment ref="C330" authorId="0" shapeId="0" xr:uid="{03F8D2B2-89B3-42AF-9A03-E60D9937C349}">
      <text>
        <r>
          <rPr>
            <sz val="9"/>
            <color indexed="81"/>
            <rFont val="Tahoma"/>
            <family val="2"/>
          </rPr>
          <t>Returns NA() if the safeguard doesn’t apply (C125 is FALSE).
Otherwise, it checks each year after one where the structural balance was worse than –1.5%.
If all those following years show an improvement in the structural primary balance above 0.4 (or 0.25) pp, it returns TRUE. If any fall short, it’s FALSE.</t>
        </r>
      </text>
    </comment>
    <comment ref="B334" authorId="0" shapeId="0" xr:uid="{49745CBC-C7AF-416B-97EC-35DDB960D957}">
      <text>
        <r>
          <rPr>
            <sz val="9"/>
            <color indexed="81"/>
            <rFont val="Tahoma"/>
            <family val="2"/>
          </rPr>
          <t>Not strictly a legal requirement, but the SPB is the operational measure in the Debt Sustainability Monitor and the Commission assessments and recommendations for Council endorsement report this prominently.</t>
        </r>
      </text>
    </comment>
    <comment ref="B335" authorId="0" shapeId="0" xr:uid="{8015DA12-51B3-453C-A42F-A581415316AB}">
      <text>
        <r>
          <rPr>
            <sz val="9"/>
            <color indexed="81"/>
            <rFont val="Tahoma"/>
            <family val="2"/>
          </rPr>
          <t>A supportive (not strictly binding) check that asks whether the planned SPB at the end of the adjustment period reaches the minimum level needed to satisfy all fiscal criteria.  A forward-looking cross-check on the SPB level at the end of the adjustment period, complementing the stricter annual path assessments.
Without safeguard</t>
        </r>
        <r>
          <rPr>
            <b/>
            <sz val="9"/>
            <color indexed="81"/>
            <rFont val="Tahoma"/>
            <family val="2"/>
          </rPr>
          <t>:</t>
        </r>
        <r>
          <rPr>
            <sz val="9"/>
            <color indexed="81"/>
            <rFont val="Tahoma"/>
            <family val="2"/>
          </rPr>
          <t xml:space="preserve"> the baseline SPB condition for both reference trajectory and technical information tracks. Does the planned path reach the minimum structural primary balance level needed to keep the deficit below 3% of GDP over the medium term, assuming no further policy measures?
With safeguard: The more demanding threshold for reference trajectory track. Does it also satisfy the deficit resilience safeguard, i.e. does it reach the 1.5% structural margin below the 3% deficit reference value?
Below both thresholds (debt ≤60%, deficit ≤3%) &gt; technical information track &gt;  SPB condition applies, but no safeguard
Above either threshold &gt; reference trajectory track &gt; SPB condition applies with the deficit resilience safeguard, and the debt sustainability safeguard also kicks in if debt exceeds 60%</t>
        </r>
      </text>
    </comment>
    <comment ref="B351" authorId="0" shapeId="0" xr:uid="{E15769AE-C427-4D98-A636-D1B3DD0A4F12}">
      <text>
        <r>
          <rPr>
            <sz val="9"/>
            <color indexed="81"/>
            <rFont val="Tahoma"/>
            <family val="2"/>
          </rPr>
          <t xml:space="preserve">Possible outcomes: 
Country X's planned net expenditure keeps general government debt below 60% and maintains the deficit below 3%. 
Country X's planned net expenditure does not keep general government debt below 60% but meets sustainability criteria after the adjustment period. 
Country X's planned net expenditure does not maintain the deficit below 3% but meets sustainability criteria after the adjustment period. 
Country X's planned net expenditure does not keep general government debt below 60% or maintain the deficit below 3% but meets sustainability criteria after the adjustment period. 
Country X's planned net expenditure does not keep general government debt below 60% or maintain the deficit below 3% and does not meet sustainability criteria after the adjustment period. </t>
        </r>
      </text>
    </comment>
    <comment ref="B354" authorId="0" shapeId="0" xr:uid="{83ED372C-B648-402E-9288-EA2DEC923EEA}">
      <text>
        <r>
          <rPr>
            <b/>
            <sz val="9"/>
            <color indexed="81"/>
            <rFont val="Tahoma"/>
            <family val="2"/>
          </rPr>
          <t>Scott Cameron:</t>
        </r>
        <r>
          <rPr>
            <sz val="9"/>
            <color indexed="81"/>
            <rFont val="Tahoma"/>
            <family val="2"/>
          </rPr>
          <t xml:space="preserve">
Article 16(2) , 16(3), 16(4), 16(5)</t>
        </r>
      </text>
    </comment>
    <comment ref="B356" authorId="0" shapeId="0" xr:uid="{4120AD5E-5045-45D4-B39E-F5250AE3F278}">
      <text>
        <r>
          <rPr>
            <sz val="9"/>
            <color indexed="81"/>
            <rFont val="Tahoma"/>
            <family val="2"/>
          </rPr>
          <t>Possible outcomes:  
1. Country X's planned expenditure adheres to the reference trajectory. 
2. Country X's planned net expenditure does not adhere to the reference trajectory, and the IFI does not deem the explanation to be satisfactory.  
3. Country X's planned net expenditure does not adhere to the reference trajectory, and the IFI does not deem the explanation to be satisfactory.  
4. Not applicable (Country X is not required to adhere to a reference trajectory). 
C182 confirms that all elements required by Article 13 are in the MTP. 
C187 confirms that the reform and investment commitments filfil the criteria for an extension fo the adjustment period (only if AdjustmentPeriod = 7, otherwise na()). 
C228 answers Is the net expenditure path in the latest MTP consistent with the requirement for debt as set out in Article 6(a), and 16(2) of Regulation (EU) 2024/1263? 
C236 answers Is the net expenditure path in the latest MTP consistent with the requirements for the general government balance as set out in Articles 6(b), and 16(2) of Regulation (EU) 2024/1263? (Deficit less than 3% from end of adjustment period + 10 following years) 
C255 answers if the adjustment is linear and at least proporational to total effort over the adjustment period (no backloading) C268 checks whether the MTP is consistent with the EDP corrective path (article 6(d)) and can be na() 
C278 checks whether the fiscal path complies with the debt sustsainability safeguard, where applicable (can be na()). 
C291 reports if the MTP is consistent with the deficit resilience safeguard (if it applies)--can be na()</t>
        </r>
      </text>
    </comment>
    <comment ref="B358" authorId="0" shapeId="0" xr:uid="{43A80EF8-D60A-44AA-8898-BB905E3A271E}">
      <text>
        <r>
          <rPr>
            <sz val="9"/>
            <color indexed="81"/>
            <rFont val="Tahoma"/>
            <family val="2"/>
          </rPr>
          <t xml:space="preserve">Article 16(2)
Debt Sustainabilty Monitor 2023:
Member States with a government deficit below 3% of GDP and 
public debt below 60% of GDP will have to ensure in their plans that the 
deficit is maintained below 3% of GDP over the medium term and that debt 
remains below 60% of GDP.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T2" authorId="0" shapeId="0" xr:uid="{0280BB06-1D0A-4456-8C45-F6AA66745D04}">
      <text>
        <r>
          <rPr>
            <sz val="9"/>
            <color indexed="81"/>
            <rFont val="Tahoma"/>
            <family val="2"/>
          </rPr>
          <t xml:space="preserve">Article 126(2) and 126(3) TFEU in conjunction with Protocol (No 12), but with EC practice of providing rounding margin (or to avoid false positives from floating-point rounding) = 3.05.
According to ECFIN there is no official tolerance margin, but the deficit that triggers a Commission Report under Art. 126(3) is rounded. It seems this is operationalised in some but not all Commission spreadsheets as a cut-off of 3.05%. </t>
        </r>
      </text>
    </comment>
    <comment ref="T3" authorId="0" shapeId="0" xr:uid="{42603F87-A8F8-4A04-9D48-A5E6C03D75F4}">
      <text>
        <r>
          <rPr>
            <sz val="9"/>
            <color indexed="81"/>
            <rFont val="Tahoma"/>
            <family val="2"/>
          </rPr>
          <t>Article 126(2) and 126(3) TFEU in conjunction with Protocol (No 12) but with EC practice of providing rounding margin (or to avoid false positives from floating-point rounding) = 60.05
Again, no official tolerance margin but operationalised in some Commission workbooks as rounded by comparing to a threshold of 60.05</t>
        </r>
      </text>
    </comment>
    <comment ref="T4" authorId="0" shapeId="0" xr:uid="{178319AF-C493-4AAA-A59E-E001FEE5594C}">
      <text>
        <r>
          <rPr>
            <sz val="9"/>
            <color indexed="81"/>
            <rFont val="Tahoma"/>
            <family val="2"/>
          </rPr>
          <t xml:space="preserve">Should not need adjusting. </t>
        </r>
      </text>
    </comment>
    <comment ref="T5" authorId="0" shapeId="0" xr:uid="{52118444-096A-41CC-A567-BD8227303664}">
      <text>
        <r>
          <rPr>
            <sz val="9"/>
            <color indexed="81"/>
            <rFont val="Tahoma"/>
            <family val="2"/>
          </rPr>
          <t xml:space="preserve">Should not need adjusting unless there is an extension agreed. </t>
        </r>
      </text>
    </comment>
    <comment ref="P12" authorId="0" shapeId="0" xr:uid="{44B3B308-7D75-4237-80B4-67BBDCA02850}">
      <text>
        <r>
          <rPr>
            <sz val="9"/>
            <color indexed="81"/>
            <rFont val="Tahoma"/>
            <family val="2"/>
          </rPr>
          <t>Footnote 5 of C/2024/3975: "If a plan is submitted at the beginning of a year, say between January and March of year T, before outturn data for year T-1 have been published by Eurostat and the national statistical institutes, it is appropriate to anchor the cumulative growth rates on the levels of year T-2. In such cases, the base year of the tables mentioned in this guidance should be T-2 (instead of T-1)."</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<sst xmlns="http://schemas.openxmlformats.org/spreadsheetml/2006/main" count="2101" uniqueCount="967">
  <si>
    <t>Structural balance</t>
  </si>
  <si>
    <t>Gross debt</t>
  </si>
  <si>
    <t>Change in gross debt</t>
  </si>
  <si>
    <t>Structural primary balance</t>
  </si>
  <si>
    <t>P.51</t>
  </si>
  <si>
    <t>D.1</t>
  </si>
  <si>
    <t>bn NAC</t>
  </si>
  <si>
    <t>Real GDP</t>
  </si>
  <si>
    <t>GDP deflator</t>
  </si>
  <si>
    <t>Nominal GDP</t>
  </si>
  <si>
    <t>Gross fixed capital formation</t>
  </si>
  <si>
    <t>Calculated parameters</t>
  </si>
  <si>
    <t>Assessment period</t>
  </si>
  <si>
    <t>AdjustmentPeriod</t>
  </si>
  <si>
    <t>Validation lists</t>
  </si>
  <si>
    <t xml:space="preserve">Country: </t>
  </si>
  <si>
    <t>Indicator</t>
  </si>
  <si>
    <t>Status</t>
  </si>
  <si>
    <t>Rule</t>
  </si>
  <si>
    <t>Latvia</t>
  </si>
  <si>
    <t>Debt</t>
  </si>
  <si>
    <t>Yes/No</t>
  </si>
  <si>
    <t>No</t>
  </si>
  <si>
    <t>Yes</t>
  </si>
  <si>
    <t>User parameters</t>
  </si>
  <si>
    <t>Interest expenditure</t>
  </si>
  <si>
    <t>ESA code</t>
  </si>
  <si>
    <t>B.9</t>
  </si>
  <si>
    <t>D.41</t>
  </si>
  <si>
    <t>Expenditure</t>
  </si>
  <si>
    <t>Revenue</t>
  </si>
  <si>
    <t>ESA Code</t>
  </si>
  <si>
    <t>Taxes on production and imports</t>
  </si>
  <si>
    <t xml:space="preserve">Current taxes on income, wealth, etc. </t>
  </si>
  <si>
    <t xml:space="preserve">Social contributions </t>
  </si>
  <si>
    <t xml:space="preserve">Net nationally financed primary expenditure </t>
  </si>
  <si>
    <t>Other current revenue</t>
  </si>
  <si>
    <t xml:space="preserve">Capital taxes </t>
  </si>
  <si>
    <t>Other capital revenue</t>
  </si>
  <si>
    <t>Total revenue (=1+2+3+4+5+6)</t>
  </si>
  <si>
    <t>Of which: Transfers from the EU (accrued revenue, not cash)</t>
  </si>
  <si>
    <t>Total revenue other than transfers from the EU (=7-8)</t>
  </si>
  <si>
    <t>p.m. Revenue measures (increments, excluding EU funded measures)</t>
  </si>
  <si>
    <t>p.m. One-off measures included in the projections (levels, excluding EU funded measures)</t>
  </si>
  <si>
    <t xml:space="preserve">Compensation of employees </t>
  </si>
  <si>
    <t xml:space="preserve">Intermediate consumption </t>
  </si>
  <si>
    <t xml:space="preserve">Interest expenditure </t>
  </si>
  <si>
    <t>Social benefits other than social transfers in kind</t>
  </si>
  <si>
    <t>Social transfers in kind via market producers</t>
  </si>
  <si>
    <t>Subsidies</t>
  </si>
  <si>
    <t>Other current expenditure</t>
  </si>
  <si>
    <t>Of which: nationally financed public investment</t>
  </si>
  <si>
    <t>Capital transfers</t>
  </si>
  <si>
    <t>Other capital expenditure</t>
  </si>
  <si>
    <t>Total expenditure (=12+13+14+15+16+17+18+19+21+22)</t>
  </si>
  <si>
    <t>Of which: expenditure funded by transfers from the EU (=8)</t>
  </si>
  <si>
    <t>Nationally financed expenditure (=23-24)</t>
  </si>
  <si>
    <t>p.m. Cyclical component of unemployment benefits</t>
  </si>
  <si>
    <t>p.m. One-off expenditure included in the projections (levels, excluding EU funded measures)</t>
  </si>
  <si>
    <t>Net nationally financed primary expenditure (before revenue measures) (=25-26-27-28-14)</t>
  </si>
  <si>
    <t>Balances</t>
  </si>
  <si>
    <t>Net lending/borrowing (=7-23)</t>
  </si>
  <si>
    <t>Primary balance (=31-14)</t>
  </si>
  <si>
    <t>Cyclical adjustment</t>
  </si>
  <si>
    <t>Contributions to change in gross debt</t>
  </si>
  <si>
    <t xml:space="preserve">   Primary balance (=-32)</t>
  </si>
  <si>
    <t xml:space="preserve">   Snowball effect</t>
  </si>
  <si>
    <t xml:space="preserve">      Interest expenditure (=14)</t>
  </si>
  <si>
    <t xml:space="preserve">      Growth</t>
  </si>
  <si>
    <t xml:space="preserve">      Inflation</t>
  </si>
  <si>
    <t xml:space="preserve">   Stock-flow adjustment (=36-38-39)</t>
  </si>
  <si>
    <t>p.m. Implicit interest rate on debt (=14/debt(t-1))</t>
  </si>
  <si>
    <t>D.2</t>
  </si>
  <si>
    <t>D.5</t>
  </si>
  <si>
    <t>D.61</t>
  </si>
  <si>
    <t>(P.11+P.12+P.131)+D.39+D.4+D.7</t>
  </si>
  <si>
    <t>D.91</t>
  </si>
  <si>
    <t>D.92+D.99</t>
  </si>
  <si>
    <t>TR</t>
  </si>
  <si>
    <t>D.7EU+D.9EU</t>
  </si>
  <si>
    <t>P.2</t>
  </si>
  <si>
    <t>D.62</t>
  </si>
  <si>
    <t>D.632</t>
  </si>
  <si>
    <t>D.3</t>
  </si>
  <si>
    <t>D.29+(D.4-D.41)+D.5+D.7+D.8</t>
  </si>
  <si>
    <t>D.9</t>
  </si>
  <si>
    <t>P.52+P.53+NP</t>
  </si>
  <si>
    <t>TE</t>
  </si>
  <si>
    <t>B.9-D.41p</t>
  </si>
  <si>
    <t>Output gap</t>
  </si>
  <si>
    <t>Gross domestic product at market prices [B1GQ]</t>
  </si>
  <si>
    <t>Net lending (+)/net borrowing (-) [B9]</t>
  </si>
  <si>
    <t>B9</t>
  </si>
  <si>
    <t>Compensation of employees, expenditure [D1PAY]</t>
  </si>
  <si>
    <t>D1PAY</t>
  </si>
  <si>
    <t>Property income, expenditure [D4PAY]</t>
  </si>
  <si>
    <t>D4PAY</t>
  </si>
  <si>
    <t>Property income, revenue [D4REC]</t>
  </si>
  <si>
    <t>D4REC</t>
  </si>
  <si>
    <t>Current taxes on income, wealth, etc., expenditure [D5PAY]</t>
  </si>
  <si>
    <t>D5PAY</t>
  </si>
  <si>
    <t>D5REC</t>
  </si>
  <si>
    <t>Other current transfers, expenditure [D7PAY]</t>
  </si>
  <si>
    <t>D7PAY</t>
  </si>
  <si>
    <t>Other current transfers, revenue [D7REC]</t>
  </si>
  <si>
    <t>D7REC</t>
  </si>
  <si>
    <t>Adjustment for the change in pension entitlements [D8]</t>
  </si>
  <si>
    <t>D8</t>
  </si>
  <si>
    <t>Capital transfers, expenditure [D9PAY]</t>
  </si>
  <si>
    <t>Wages and salaries [D11]</t>
  </si>
  <si>
    <t>Other taxes on production, expenditure [D29PAY]</t>
  </si>
  <si>
    <t>D29PAY</t>
  </si>
  <si>
    <t>Other taxes on production, revenue [D29REC]</t>
  </si>
  <si>
    <t>D29REC</t>
  </si>
  <si>
    <t>Other subsidies on production, expenditure [D39PAY]</t>
  </si>
  <si>
    <t>D39PAY</t>
  </si>
  <si>
    <t>Interest, expenditure [D41PAY]</t>
  </si>
  <si>
    <t>D41PAY</t>
  </si>
  <si>
    <t>Interest, revenue [D41REC]</t>
  </si>
  <si>
    <t>D41REC</t>
  </si>
  <si>
    <t>Net social contributions, revenue [D61REC]</t>
  </si>
  <si>
    <t>D61</t>
  </si>
  <si>
    <t>Social benefits other than social transfers in kind, expenditure [D62PAY]</t>
  </si>
  <si>
    <t>D62</t>
  </si>
  <si>
    <t>Social transfers in kind, purchased market production, expenditure [D632PAY]</t>
  </si>
  <si>
    <t>D632</t>
  </si>
  <si>
    <t>Capital taxes, revenue [D91REC]</t>
  </si>
  <si>
    <t>D91</t>
  </si>
  <si>
    <t>Investment grants and other capital transfers, revenue [D92_D99REC]</t>
  </si>
  <si>
    <t>D92+D99</t>
  </si>
  <si>
    <t>Other capital transfers, expenditure [D99PAY]</t>
  </si>
  <si>
    <t>D99PAY</t>
  </si>
  <si>
    <t>Other capital transfers, revenue [D99REC]</t>
  </si>
  <si>
    <t>D99REC</t>
  </si>
  <si>
    <t>Acquisitions less disposals of non-financial non-produced assets [NP]</t>
  </si>
  <si>
    <t>NP</t>
  </si>
  <si>
    <t>Final consumption expenditure [P3]</t>
  </si>
  <si>
    <t>P3</t>
  </si>
  <si>
    <t>Final consumption expenditure of general government [P3_S13]</t>
  </si>
  <si>
    <t>Exports of goods and services [P6]</t>
  </si>
  <si>
    <t>P6</t>
  </si>
  <si>
    <t>Imports of goods and services [P7]</t>
  </si>
  <si>
    <t>P7</t>
  </si>
  <si>
    <t>Market output [P11]</t>
  </si>
  <si>
    <t>P11</t>
  </si>
  <si>
    <t>Output for own final use [P12]</t>
  </si>
  <si>
    <t>P12</t>
  </si>
  <si>
    <t>Payments for non-market output [P131]</t>
  </si>
  <si>
    <t>P131</t>
  </si>
  <si>
    <t>Gross fixed capital formation [P51G]</t>
  </si>
  <si>
    <t>P51</t>
  </si>
  <si>
    <t>Changes in inventories [P52]</t>
  </si>
  <si>
    <t>P52</t>
  </si>
  <si>
    <t>Acquisitions less disposals of valuables [P53]</t>
  </si>
  <si>
    <t>P53</t>
  </si>
  <si>
    <t>Changes in inventories and acquisitions less disposals of valuables [P52_P53]</t>
  </si>
  <si>
    <t>D39REC</t>
  </si>
  <si>
    <t>Other subsidies on production, revenue [D39REC]</t>
  </si>
  <si>
    <t>Investment grants, revenue [D92REC]</t>
  </si>
  <si>
    <t>D92</t>
  </si>
  <si>
    <t>D9PAY</t>
  </si>
  <si>
    <t>D9REC</t>
  </si>
  <si>
    <t>Capital transfers, revenue [D9REC]</t>
  </si>
  <si>
    <t>Current taxes on income, wealth, etc., revenue [D5REC]</t>
  </si>
  <si>
    <t>GD</t>
  </si>
  <si>
    <t>Government consolidated gross debt [GD]</t>
  </si>
  <si>
    <t>P31_S14_S15</t>
  </si>
  <si>
    <t>P31_S14</t>
  </si>
  <si>
    <t>P31_S15</t>
  </si>
  <si>
    <t>Individual consumption expenditure of general government [P31_S13]</t>
  </si>
  <si>
    <t>Collective consumption expenditure of general government [P32_S13]</t>
  </si>
  <si>
    <t>Household and NPISH final consumption expenditure [P31_S14_S15]</t>
  </si>
  <si>
    <t>Final consumption expenditure of households [P31_S14]</t>
  </si>
  <si>
    <t>Final consumption expenditure of NPISH [P31_S15]</t>
  </si>
  <si>
    <t>P41</t>
  </si>
  <si>
    <t>Actual individual consumption [P41]</t>
  </si>
  <si>
    <t>B1G [CP_MEUR]</t>
  </si>
  <si>
    <t>B1G [CLV10_MEUR]</t>
  </si>
  <si>
    <t>A multi-annual net expenditure path (including respect of the deficit resilience and debt sustainability safeguards), as well as …</t>
  </si>
  <si>
    <t>Articles 7; 8; 13(a)</t>
  </si>
  <si>
    <t>… the underlying macroeconomic assumptions and …</t>
  </si>
  <si>
    <t>Article 13(a)</t>
  </si>
  <si>
    <t>… the planned fiscal-structural measures.</t>
  </si>
  <si>
    <t>The reference trajectory or technical information transmitted by the Commission.</t>
  </si>
  <si>
    <t>Article 13(b)</t>
  </si>
  <si>
    <t>Where the national medium-term fiscal-structural plan includes a higher net expenditure path than in the reference trajectory issued by the Commission, sound and data-driven economic arguments explaining the difference.</t>
  </si>
  <si>
    <t>Investments and reforms responding to the main challenges identified under the European semester – in particular the CSRs – and addressing the common priorities of the Union.</t>
  </si>
  <si>
    <t>Article 13(c)</t>
  </si>
  <si>
    <t>Actions to address CSRs relevant for the MIP and warnings by the Commission / recommendations by the Council.</t>
  </si>
  <si>
    <t>Article 13(d)</t>
  </si>
  <si>
    <t>The impact of investments and reforms already implemented.</t>
  </si>
  <si>
    <t>Article 13(f)</t>
  </si>
  <si>
    <t>Information related to the main macroeconomic and budgetary assumptions, …</t>
  </si>
  <si>
    <t>… implicit and contingent liabilities, …</t>
  </si>
  <si>
    <t>The impact of the set of reforms and investment commitments underpinning an extension on growth and resilience potential, fiscal sustainability, and nationally financed public investment.</t>
  </si>
  <si>
    <t>Articles 14.2; 13(g)</t>
  </si>
  <si>
    <t>Information on how the reforms and investment commitments underpinning an extension address the common priorities of the Union and relevant CSRs (including those issued under the MIP), and, …</t>
  </si>
  <si>
    <t>Article 14.2</t>
  </si>
  <si>
    <t>… for each of these reforms and investments, a clear description, timeline, and, where relevant, indicators.</t>
  </si>
  <si>
    <t>Consistency of the set of reforms and investments for an extension with commitments included in the approved RRP and the agreed Partnership Agreement in the Multiannual Financial Framework.</t>
  </si>
  <si>
    <t>Article 14.4</t>
  </si>
  <si>
    <t>If the plan serves as a corrective action plan under the EIP/MIP, the specific policy action (to be) implemented and a timetable for those actions.</t>
  </si>
  <si>
    <t>Article 31</t>
  </si>
  <si>
    <t>Transitory arrangements: RRP commitments to be taken into account</t>
  </si>
  <si>
    <t>Article 36</t>
  </si>
  <si>
    <t>Article 14.3; 13(e)</t>
  </si>
  <si>
    <t>Net lending/borrowing</t>
  </si>
  <si>
    <t>Financial stress scenario</t>
  </si>
  <si>
    <t>Lower SPB scenario</t>
  </si>
  <si>
    <t>Adverse 'r-g' scenario</t>
  </si>
  <si>
    <t>Stochastic simulations</t>
  </si>
  <si>
    <t>Exp / Rev</t>
  </si>
  <si>
    <t>% of GDP</t>
  </si>
  <si>
    <t>Net expenditure growth</t>
  </si>
  <si>
    <t>Structural primary balance (% of GDP)</t>
  </si>
  <si>
    <t xml:space="preserve">Country </t>
  </si>
  <si>
    <t>Austria</t>
  </si>
  <si>
    <t>Belgium</t>
  </si>
  <si>
    <t>Bulgaria</t>
  </si>
  <si>
    <t>Croatia</t>
  </si>
  <si>
    <t>Cyprus</t>
  </si>
  <si>
    <t>Czechia</t>
  </si>
  <si>
    <t>Denmark</t>
  </si>
  <si>
    <t>Estonia</t>
  </si>
  <si>
    <t>Finland</t>
  </si>
  <si>
    <t>France</t>
  </si>
  <si>
    <t>Germany</t>
  </si>
  <si>
    <t>Greece</t>
  </si>
  <si>
    <t>Hungary</t>
  </si>
  <si>
    <t>Ireland</t>
  </si>
  <si>
    <t>Italy</t>
  </si>
  <si>
    <t>Lithuania</t>
  </si>
  <si>
    <t>Luxembourg</t>
  </si>
  <si>
    <t>Malta</t>
  </si>
  <si>
    <t>Netherlands</t>
  </si>
  <si>
    <t>Poland</t>
  </si>
  <si>
    <t>Portugal</t>
  </si>
  <si>
    <t>Romania</t>
  </si>
  <si>
    <t>Slovakia</t>
  </si>
  <si>
    <t>Slovenia</t>
  </si>
  <si>
    <t>Spain</t>
  </si>
  <si>
    <t>Sweden</t>
  </si>
  <si>
    <t>EU Countries</t>
  </si>
  <si>
    <t>Planned</t>
  </si>
  <si>
    <t>General government balance (% of GDP)</t>
  </si>
  <si>
    <t>General government gross debt (% of GDP)</t>
  </si>
  <si>
    <t>3% reference value</t>
  </si>
  <si>
    <t>60% reference value</t>
  </si>
  <si>
    <t>Last year of stochastic projections</t>
  </si>
  <si>
    <t>Debit</t>
  </si>
  <si>
    <t>Credit</t>
  </si>
  <si>
    <t>Calendar year</t>
  </si>
  <si>
    <t>MTP end year</t>
  </si>
  <si>
    <t>Assessment round</t>
  </si>
  <si>
    <t>MTP adjustment period (Years)</t>
  </si>
  <si>
    <t>MTP year</t>
  </si>
  <si>
    <t>Article 7: Debt sustainability safeguard</t>
  </si>
  <si>
    <t>Total expenditure</t>
  </si>
  <si>
    <t>Natural-language output string</t>
  </si>
  <si>
    <t>NNFPE_t^observed/planned​&lt;NNFPE_t^Commission​, ∀t ∈{T,T+1,…,T+N}</t>
  </si>
  <si>
    <t>MTP submission year (T)</t>
  </si>
  <si>
    <t>MTP base year (T-X)</t>
  </si>
  <si>
    <t>MTP planning horizon</t>
  </si>
  <si>
    <t>Planning horizon</t>
  </si>
  <si>
    <t>IFI assessment = TRUE</t>
  </si>
  <si>
    <t>End of adjustment period</t>
  </si>
  <si>
    <t>Natural-language output string:</t>
  </si>
  <si>
    <t>Does the projected general government debt-to-GDP ratio decrease by a minimum annual average of 1 percentage point of GDP while the ratio is above 90%?</t>
  </si>
  <si>
    <t>Does the projected general government debt-to-GDP ratio decrease by a minimum annual average of 0.5 percentage points of GDP while the ratio is above 60%?</t>
  </si>
  <si>
    <t>NNFPE_Sustainability_Adherence</t>
  </si>
  <si>
    <t>If not, does the IFI deems the explanation to be satisfactory and based on sound and data-driven economic arguments explaining the difference?</t>
  </si>
  <si>
    <t>NA</t>
  </si>
  <si>
    <t>Output gap (% pot. GDP)</t>
  </si>
  <si>
    <t>p.m. One-off revenue included in projections (levels, excluding EU funded measures)</t>
  </si>
  <si>
    <t>MTP reference year</t>
  </si>
  <si>
    <t>Potential growth</t>
  </si>
  <si>
    <t>Cyclical unemployment expenditure</t>
  </si>
  <si>
    <t>Expenditure funded by transfers from the EU</t>
  </si>
  <si>
    <t>National co-financing of EU programmes</t>
  </si>
  <si>
    <t>One-off expenditure (levels, excl. EU funded)</t>
  </si>
  <si>
    <t>Real GDP (rate of change, %)</t>
  </si>
  <si>
    <t>GDP deflator (rate of change, %)</t>
  </si>
  <si>
    <t>Nominal GDP (rate of change, %)</t>
  </si>
  <si>
    <t>Potential growth (rate of change, %)</t>
  </si>
  <si>
    <t>Outturn data</t>
  </si>
  <si>
    <t>Gross debt, no policy change scenario</t>
  </si>
  <si>
    <t>Gross debt, financial stress scenario</t>
  </si>
  <si>
    <t>Gross debt, lower structural primary balance scenario</t>
  </si>
  <si>
    <t>Gross debt, adverse r-g scenario</t>
  </si>
  <si>
    <t>Nominal GDP (level)</t>
  </si>
  <si>
    <t>Consistency with EDP corrective path</t>
  </si>
  <si>
    <t>YearRange</t>
  </si>
  <si>
    <t>Downward debt plausibility</t>
  </si>
  <si>
    <t>Observed and planned gross debt</t>
  </si>
  <si>
    <t>Potential GDP (real) level</t>
  </si>
  <si>
    <t>Real GDP AMECO</t>
  </si>
  <si>
    <t>Blank helper series 1</t>
  </si>
  <si>
    <t>Blank helper series 2</t>
  </si>
  <si>
    <t>Observed (Compliant)</t>
  </si>
  <si>
    <t>Observed (Breach)</t>
  </si>
  <si>
    <t>Label sign switched - General government balance (% of GDP)</t>
  </si>
  <si>
    <t>Label sign switched - Observed (Compliant)</t>
  </si>
  <si>
    <t>Label sign switched - Observed (Breach)</t>
  </si>
  <si>
    <t>EC parameters</t>
  </si>
  <si>
    <t>MTP uses different assumptions than EC's DSA framework in prior guidance</t>
  </si>
  <si>
    <t>IFI name</t>
  </si>
  <si>
    <t>Is the required annual improvement in the structural primary balance 0.4 percentage points of GDP or 0.25?</t>
  </si>
  <si>
    <t>Net nationally financed primary expenditure (before DRM)</t>
  </si>
  <si>
    <t>Net expenditure growth (cumulative)</t>
  </si>
  <si>
    <t>Net expenditure growth (annual)</t>
  </si>
  <si>
    <t>% of GDP unless noted</t>
  </si>
  <si>
    <t xml:space="preserve">Net expenditure growth </t>
  </si>
  <si>
    <t>Medium-term fiscal-structural plan</t>
  </si>
  <si>
    <t>TFEU deficit reference value (% of GDP)</t>
  </si>
  <si>
    <t>TFEU debt reference value (% of GDP)</t>
  </si>
  <si>
    <t>Debt sustainability assessments</t>
  </si>
  <si>
    <t>p.m.  Revenue reductions funded by transfers from the EU (levels)</t>
  </si>
  <si>
    <t>p10</t>
  </si>
  <si>
    <t>p30_p10</t>
  </si>
  <si>
    <t>p50_p30</t>
  </si>
  <si>
    <t>p70_p50</t>
  </si>
  <si>
    <t>p90_p70</t>
  </si>
  <si>
    <t>p30</t>
  </si>
  <si>
    <t>p50</t>
  </si>
  <si>
    <t>p70</t>
  </si>
  <si>
    <t>p90</t>
  </si>
  <si>
    <t>Net expenditure growth in a plan without extention</t>
  </si>
  <si>
    <t>MTP endorsed by Council</t>
  </si>
  <si>
    <t xml:space="preserve">If required to adhere to a reference trajectory and the latest MTP does not, is the explanation satisfactory and based on sound and data-driven economic arguments explaining the difference? </t>
  </si>
  <si>
    <t xml:space="preserve"> Article 13(b) of Regulation(EU) 2024/1263</t>
  </si>
  <si>
    <t>Hellenic Fiscal Council</t>
  </si>
  <si>
    <t>Requirements as outlined in https://eur-lex.europa.eu/eli/C/2024/3975/oj/eng</t>
  </si>
  <si>
    <t>P6X7</t>
  </si>
  <si>
    <t>External balance of goods and services [P6X7]</t>
  </si>
  <si>
    <t>… the consultation of national parliaments and the consultation process referred to in Article 11</t>
  </si>
  <si>
    <t>Article 13(g)(vi)); Article 11</t>
  </si>
  <si>
    <t>… the expected impact of reforms and investments underpinning the extension of the adjustment period</t>
  </si>
  <si>
    <t>… the forecasted level of nationally-financed public investment throughout the period covered by the national mediumn-term fiscal-structural plan</t>
  </si>
  <si>
    <t>… public investment needs including those related to the common priorities of the Union referred to in point (c) of this Article</t>
  </si>
  <si>
    <t>…the consistency and, where appropriate, complementarity with the cohesion policy funds as well as the recovery and resilience plan of the Member State concerned during the period of operation of the Recovery and Resilience Facility pursuant to Regulation (EU) 2021/241</t>
  </si>
  <si>
    <t>Article 13(g)(vii)</t>
  </si>
  <si>
    <t>Article 13(g)(i)</t>
  </si>
  <si>
    <t>Article 13(g)(ii)</t>
  </si>
  <si>
    <t>Article 13(g)(iii)</t>
  </si>
  <si>
    <t>Article 13(g)(iv)</t>
  </si>
  <si>
    <t>Article 13(g)(v)</t>
  </si>
  <si>
    <t>Change in structural primary balance (pps.)</t>
  </si>
  <si>
    <t>Total effort</t>
  </si>
  <si>
    <t xml:space="preserve">All conditions met? </t>
  </si>
  <si>
    <t>D3PAY</t>
  </si>
  <si>
    <t>Subsidies [D3PAY]</t>
  </si>
  <si>
    <t>D2REC</t>
  </si>
  <si>
    <t>Taxes on production and imports [D2REC]</t>
  </si>
  <si>
    <t xml:space="preserve">Does the adjustment effort remain stable or decline over time? </t>
  </si>
  <si>
    <t xml:space="preserve">Is the annual adjustment effort proportional to the total effort? </t>
  </si>
  <si>
    <t>Stochastic debt projections (probability of lower debt at end of projection than at end of adjustment period)</t>
  </si>
  <si>
    <t>Gross debt declining under the planned fiscal path</t>
  </si>
  <si>
    <t>Gross debt declining under the financial stress scenario</t>
  </si>
  <si>
    <t>Gross debt declining under the lower structural primary balance scenario</t>
  </si>
  <si>
    <t>Gross debt declining under the adverse r-g scenario</t>
  </si>
  <si>
    <t>Stochastic scenario (gross debt five years after the adjustment period is less than at the end of the adjustment period in at least 70% of simulations)</t>
  </si>
  <si>
    <t xml:space="preserve">Is the net expenditure path in the latest MTP consistent with the requirement for debt as set out in Article 6(a), and 16(2) of Regulation (EU) 2024/1263? </t>
  </si>
  <si>
    <t>If not, detailed DSA compliance check</t>
  </si>
  <si>
    <t xml:space="preserve">Deficit-based EDP opened? </t>
  </si>
  <si>
    <t xml:space="preserve">Debt-based EDP opened? </t>
  </si>
  <si>
    <t>If not, is the average annual structural adjustment at least 0.5%?</t>
  </si>
  <si>
    <t>Excessive debt procedure opened</t>
  </si>
  <si>
    <t>Excessive deficit procedure opened</t>
  </si>
  <si>
    <t>Deadline year for the correction of the excessive deficit</t>
  </si>
  <si>
    <t>Deadline year to correct excessive debt</t>
  </si>
  <si>
    <t>Deadline year to correct excessive deficit</t>
  </si>
  <si>
    <t>If a deficit-based EDP is opened, is the net expenditure path consistent with a minimum annual structural adjustment of at least 0.5% of GDP (measured in terms of the structural primary balance from 2025-2027 and the overall structural balance from 2028 on) ?</t>
  </si>
  <si>
    <t>If a debt-based EDP is open, is the corrective net expenditure path at least as demanding as the net expenditure path set by the Council in accordance with Article 17 of Regulation (EU) 2024/1263?</t>
  </si>
  <si>
    <t>That is, whether the net expenditure path in the latest MTP exceeds the Commission’s prior guidance (either a reference trajectory or technical information), and, if it does, whether the accompanying explanation and underlying assumptions are satisfactory and the path nevertheless complies with the requirements of Regulation (EU) 2024/1263</t>
  </si>
  <si>
    <t>If a debt-based EDP is open, does the corrective net expenditure path correct as a rule the cumulative deviations of the control account by the deadline set by the Council?</t>
  </si>
  <si>
    <t xml:space="preserve">Is the adjustment effort linear? </t>
  </si>
  <si>
    <t xml:space="preserve">Does the level for the structural primary balance in the last year of the planned fiscal path exceed the minimum level, with no safeguard? </t>
  </si>
  <si>
    <t xml:space="preserve">Does the level for the structural primary balance in the last year of the planned fiscal path exceed the minimum level, with the safeguard? </t>
  </si>
  <si>
    <t>Structural primary balance in in the last year of adjustment in planned fiscal path</t>
  </si>
  <si>
    <t xml:space="preserve">Overall consistency with the EDP corrective path </t>
  </si>
  <si>
    <t>Year excessive deficit procedure abrogated</t>
  </si>
  <si>
    <t>Are any years of the general government debt-to-GDP ratio greater than 90%?</t>
  </si>
  <si>
    <t>Are any years of the general government debt-to-GDP ratio between 60% and 90%</t>
  </si>
  <si>
    <t>Structural  balance (% of GDP)</t>
  </si>
  <si>
    <t>Change in structural primary balance</t>
  </si>
  <si>
    <t xml:space="preserve">Does the deficit resilience safeguard apply? </t>
  </si>
  <si>
    <t>One-off expenditure ( excl. EU funded)</t>
  </si>
  <si>
    <t>Gross debt under planned fiscal path</t>
  </si>
  <si>
    <t>EC's scenario</t>
  </si>
  <si>
    <t>Performance of structural primary balance compared to the European Commission's scenario meeting all requirements</t>
  </si>
  <si>
    <t>Council-endorsed path</t>
  </si>
  <si>
    <t>Ensuring primary axis always equals secondar’s range and updates dynamically.</t>
  </si>
  <si>
    <t>P1</t>
  </si>
  <si>
    <t>P2</t>
  </si>
  <si>
    <t>M1</t>
  </si>
  <si>
    <t>M2</t>
  </si>
  <si>
    <t>M3</t>
  </si>
  <si>
    <t>M4</t>
  </si>
  <si>
    <t>M5</t>
  </si>
  <si>
    <t>M6</t>
  </si>
  <si>
    <t>M7</t>
  </si>
  <si>
    <t>M8</t>
  </si>
  <si>
    <t>M9</t>
  </si>
  <si>
    <t>M10</t>
  </si>
  <si>
    <t>M11</t>
  </si>
  <si>
    <t>Fiskalrat</t>
  </si>
  <si>
    <t>Fiscal Advisory Council</t>
  </si>
  <si>
    <t>Budgetdienstes</t>
  </si>
  <si>
    <t xml:space="preserve">Parliamentary Budget Office </t>
  </si>
  <si>
    <t xml:space="preserve">Bureau fédéral du Plan - Federaal Planbureau </t>
  </si>
  <si>
    <t>Federal Planning Bureau of Belgium</t>
  </si>
  <si>
    <t>Afdeling Financieringsbehoeften van de overheid van de Hoge Raad van Financiën</t>
  </si>
  <si>
    <t>Public Sector Borrowing Requirement (PSBR) Section of the High Council of Finance</t>
  </si>
  <si>
    <t>Národní rozpočtová rada</t>
  </si>
  <si>
    <t>Czech Fiscal Council</t>
  </si>
  <si>
    <t>Økonomiske Råd</t>
  </si>
  <si>
    <t>Danish Economic Council</t>
  </si>
  <si>
    <t>Eelarvenõukogu</t>
  </si>
  <si>
    <t>Fiscal Council of Estonia</t>
  </si>
  <si>
    <t>Le Haut Conseil des finances publiques</t>
  </si>
  <si>
    <t>High Council of Public Finance</t>
  </si>
  <si>
    <t>Unabhängiger Beirat des Stabilitätsrats</t>
  </si>
  <si>
    <t>Independent Advisory Board to the Stability Council</t>
  </si>
  <si>
    <t>Γραφείο Προϋπολογισμού του Κράτους στη Βουλή (Graphío Proïpoloyismoú tou Krátous sti Voulí)</t>
  </si>
  <si>
    <t>Parliamentary Budget Office</t>
  </si>
  <si>
    <t>Ελληνικο ΔΗΜΟΣΙΟΝΟΜΙΚΟ ΣΥΜΒΟΥΛΙΟ</t>
  </si>
  <si>
    <t>Költségvetési Tanács</t>
  </si>
  <si>
    <t>Fiscal Council of Hungary</t>
  </si>
  <si>
    <t>Irish Fiscal Advisory Council / Comhairle Chomhairleach Bhuiséadach na hÉireann</t>
  </si>
  <si>
    <t>Irish Fiscal Advisory Council</t>
  </si>
  <si>
    <t>Parliamentary Budget Office / An Oifig Buiséid Pharlaiminteach</t>
  </si>
  <si>
    <t>Ufficio parlamentare di bilancio</t>
  </si>
  <si>
    <t xml:space="preserve">Fiskālās disciplīnas padome </t>
  </si>
  <si>
    <t>Fiscal Discipline Council</t>
  </si>
  <si>
    <t>Biudžeto politikos stebėsenos departamentas - Valstybės kontrolė</t>
  </si>
  <si>
    <t xml:space="preserve">Budget Policy Monitoring Department – National Audit Office of Lithuania </t>
  </si>
  <si>
    <t>Conseil national des finances publiques</t>
  </si>
  <si>
    <t>National Council of Public Finances</t>
  </si>
  <si>
    <t>Centraal Planbureau</t>
  </si>
  <si>
    <t xml:space="preserve">Netherlands Bureau for Economic Policy Analysis </t>
  </si>
  <si>
    <t>Conselho das Finanças Públicas (CFP)</t>
  </si>
  <si>
    <t xml:space="preserve">Portuguese Public Finance Council </t>
  </si>
  <si>
    <t>Unidade Técnica de Apoio Orçamental (UTAO)</t>
  </si>
  <si>
    <t>Parliamentary Budget Office of Portugal</t>
  </si>
  <si>
    <t>Rada pre Rozpočtovú zodpovednosť (RRZ)</t>
  </si>
  <si>
    <t>Council for Budget Responsibility</t>
  </si>
  <si>
    <t>Fiskalni svet</t>
  </si>
  <si>
    <t>Slovenian Fiscal Council</t>
  </si>
  <si>
    <t>La Autoridad Independiente de Responsabilidad Fiscal</t>
  </si>
  <si>
    <t xml:space="preserve">Independent Authority of Fiscal Responsibility </t>
  </si>
  <si>
    <t>EU IFIs</t>
  </si>
  <si>
    <t>Is the country required to submit an MTP that adheres to a reference trajectory (or alternative path meeting all criteria)</t>
  </si>
  <si>
    <t>Assessing the MTP’s net expenditure path against the Commission’s prior guidance</t>
  </si>
  <si>
    <t>Is gross government debt below 60% over the medium-term</t>
  </si>
  <si>
    <t xml:space="preserve">For Member States receiving technical information (maintenance check): </t>
  </si>
  <si>
    <t xml:space="preserve">Net expenditure growth trajectories are derived using a structural primary balance target at the end of the four or seven year adjustment period. This assessment compares observed and planned SPBs to the average annual fiscal adjustment needed to reach that target. </t>
  </si>
  <si>
    <t>Average annual consolidation planned</t>
  </si>
  <si>
    <t>P2. Recording performance of net expenditure growth in the control account against the Council-endorsed planned fiscal path</t>
  </si>
  <si>
    <t xml:space="preserve">Assessment of the implementation of the Medium-Term Plan </t>
  </si>
  <si>
    <t>Debt sustainability safeguard ex ante</t>
  </si>
  <si>
    <t>Were milestones/metrices implemented as set out in Table 8 of the plan? (Guidance, Section 2.6; Art. 14)</t>
  </si>
  <si>
    <t>M12</t>
  </si>
  <si>
    <t xml:space="preserve">Has the IFI scrutinised and confirmed that all elements are present? </t>
  </si>
  <si>
    <t>P4</t>
  </si>
  <si>
    <t>Narrative</t>
  </si>
  <si>
    <t xml:space="preserve">For both Member States receiving a reference trajectory and technical information: </t>
  </si>
  <si>
    <t xml:space="preserve">Does updated forward-looking net expenditure adhere to the MTP path endorsed by the Council? </t>
  </si>
  <si>
    <t>Observed adherence (outturn compliance with the MTP path)</t>
  </si>
  <si>
    <t>Planned adherence (forward-looking compliance)</t>
  </si>
  <si>
    <t xml:space="preserve">Does observed net expenditure adhere to the MTP path endorsed by the Council? </t>
  </si>
  <si>
    <t xml:space="preserve">P1. Checking whether net expenditure outcomes and plans adhere to the Council-recommended path in the latest MTP </t>
  </si>
  <si>
    <t>Annual threshold breached? &gt;0.3 pp</t>
  </si>
  <si>
    <t>Cumulative threshold breached? &gt;0.6pp</t>
  </si>
  <si>
    <t>Do the annual improvements in the structural primary balance exceed the minimum (that is, if the helper row is TRUE in the previous year, is the change in the structural primary balance greater than 0.4 (or 0.25) percentage points of GDP?</t>
  </si>
  <si>
    <t>P3. Verifying compliance of the implementation of the MTP with the debt sustainability safeguard  [Article 7]</t>
  </si>
  <si>
    <t>P4. Verifying compliance of the implementation of the MTP with the deficit resilience safeguard [Article 8]</t>
  </si>
  <si>
    <t>Compliance with agreed net expenditure path (single operational anchor)</t>
  </si>
  <si>
    <t>Overall implementation</t>
  </si>
  <si>
    <t>Ensuring primary axis always equals secondary’s range and updates dynamically.</t>
  </si>
  <si>
    <t>Figure 1</t>
  </si>
  <si>
    <t>Figure 2</t>
  </si>
  <si>
    <t>Figure 3</t>
  </si>
  <si>
    <t>Control account within limits</t>
  </si>
  <si>
    <t>Cumulative balance (planned)</t>
  </si>
  <si>
    <t>Cumulative balance (observed)</t>
  </si>
  <si>
    <t>Annual deviation limit</t>
  </si>
  <si>
    <t>Cumulative deviation limit</t>
  </si>
  <si>
    <t>Main fiscal variables, implementation compared to MTP</t>
  </si>
  <si>
    <t>Assessment of the latest Medium-Term Plan</t>
  </si>
  <si>
    <t>This requires the IFI to scrutinise the plan and determine whether it meets the requirements of Article 13 and NOTICE C/2024/3975 (Guidance to Member States on the Information Requirements for the Medium-Term Fiscal-Structural Plans and for the Annual Progress Reports)</t>
  </si>
  <si>
    <t>Boolean</t>
  </si>
  <si>
    <t>Average net expenditure growth, prior guidance</t>
  </si>
  <si>
    <t>Average net expenditure growth, MTP</t>
  </si>
  <si>
    <t>Does planned average net expenditure growth exceed prior guidance over the adjustment period?</t>
  </si>
  <si>
    <t>If so, does the IFI deems the explanation to be satisfactory and based on sound and data-driven economic arguments explaining the difference?</t>
  </si>
  <si>
    <t>Escape clause activated?</t>
  </si>
  <si>
    <t>Figure 4</t>
  </si>
  <si>
    <t>Council-endorsed path (% of GDP)</t>
  </si>
  <si>
    <t>Is the net expenditure path consistent with holding the deficit below 3% over the entire adjustment period (for phrasing the output string only)</t>
  </si>
  <si>
    <t>Is the net expenditure path in the latest MTP consistent with the requirements for the general government balance as set out in Articles 6(b), and 16(2) of Regulation (EU) 2024/1263? (Deficit less than 3% from end of adjustment period + 10 following years)</t>
  </si>
  <si>
    <t>Time profile of the fiscal adjustment (no back-loading condition)</t>
  </si>
  <si>
    <t>Figure 5</t>
  </si>
  <si>
    <t>Figure 6</t>
  </si>
  <si>
    <t>P5</t>
  </si>
  <si>
    <t xml:space="preserve">P5. Checking progress of the structural primary balance toward the target that satisfies all criteria </t>
  </si>
  <si>
    <t xml:space="preserve">Net expenditure growth trajectories are derived using a structural primary balance target at the end of the four or seven year adjustment period. This assessment compares the MTP to the average annual fiscal adjustment needed to reach that target. </t>
  </si>
  <si>
    <t>Total SPB adjustment required over the adjustment period</t>
  </si>
  <si>
    <t>Average annual consolidation required over adjustment period</t>
  </si>
  <si>
    <t xml:space="preserve">Member States receiving technical information: </t>
  </si>
  <si>
    <t>Overall MTP net expenditure path compliance</t>
  </si>
  <si>
    <t>Does the net expenditure path in the latest MTP remain at or below the EC's reference trajectory?</t>
  </si>
  <si>
    <t xml:space="preserve">For Member States receiving a reference trajectory: </t>
  </si>
  <si>
    <t xml:space="preserve">Does the primary structural balance at the end of the adjustment period adhere to the minimum level of the primary structural balance in the technical information? </t>
  </si>
  <si>
    <t xml:space="preserve">Under the planned fiscal path, is debt below the TFEU debt reference level in each of the 10 years after the adjustment period? </t>
  </si>
  <si>
    <t xml:space="preserve">Is the deficit below the TFEU reference level in the last year of the adjustment period and the following ten years? </t>
  </si>
  <si>
    <t>The net expenditure plan in the MTP complies with all requirements</t>
  </si>
  <si>
    <t>MTP adheres to reference trajectory, or it exceeds but with a satisfactory explanation</t>
  </si>
  <si>
    <t>Compliance of MTP average net expenditure growth with prior guidance</t>
  </si>
  <si>
    <t>Completeness of information under Article 13 (Qualitative IFI assessment)</t>
  </si>
  <si>
    <t>If not, does the IFI deem the explanation to be satisfactory and based on sound and data-driven economic arguments explaining the difference?</t>
  </si>
  <si>
    <t>Observed</t>
  </si>
  <si>
    <t xml:space="preserve">Endorsed linear annual change in SPB </t>
  </si>
  <si>
    <t>Assessing whether the MTP adheres to the safeguards (Articles 7 and 8)</t>
  </si>
  <si>
    <t>Assessing whether the MTP adheres to the risk-based requirements [Articles 16(2) and 6(a)]</t>
  </si>
  <si>
    <t>In last year of adjustment (for output string)</t>
  </si>
  <si>
    <t>In subsequent 10 years (for output string)</t>
  </si>
  <si>
    <t>Member states receiving a reference trajectory</t>
  </si>
  <si>
    <t>Overall, does the planned fiscal path comply with the debt sustainability safeguard, where applicable?</t>
  </si>
  <si>
    <t>Natural-language output string capturing all tests</t>
  </si>
  <si>
    <t>Assessing whether the submitted MTP meets information requirements and criteria for an extension of the adjustment period, if requesting one (Articles 13 and 14)</t>
  </si>
  <si>
    <t>Fulfilment of criteria for an extension of the adjustment period</t>
  </si>
  <si>
    <t>Has the Member State requested an extension of the adjustment period beyond four years (i.e. to seven years) in its medium-term fiscal-structural plan?</t>
  </si>
  <si>
    <t>Art. 14(1)</t>
  </si>
  <si>
    <t>Taken together, do the proposed reforms and investments credibly improve the Member State’s growth and economic resilience in a sustainable manner?</t>
  </si>
  <si>
    <t>Art. 14(2)(a)</t>
  </si>
  <si>
    <t>Taken together, do the proposed reforms and investments support fiscal sustainability, including a structural improvement in government finances over the medium term?</t>
  </si>
  <si>
    <t>Art. 14(2)(b)</t>
  </si>
  <si>
    <t>Do the proposed reforms and investments address the Union’s common priorities referred to in Article 13(c) of Regulation (EU) 2024/1263?</t>
  </si>
  <si>
    <t>Art. 14(2)(c)</t>
  </si>
  <si>
    <t>Do the proposed reforms and investments address the relevant country-specific recommendations, including any issued under the Macroeconomic Imbalances Procedure, where applicable?</t>
  </si>
  <si>
    <t>Art. 14(2)(d)</t>
  </si>
  <si>
    <t>Is the overall level of nationally financed public investment over the MTP period at least as high as the medium-term level prior to the plan, taking into account country-specific challenges?</t>
  </si>
  <si>
    <t>Art. 14(2)(e)</t>
  </si>
  <si>
    <t>Are the reform and investment commitments described clearly and in sufficient detail to allow assessment against the Article 14 criteria?</t>
  </si>
  <si>
    <t>Art. 14(3)(a)</t>
  </si>
  <si>
    <t>Are the reform commitments time-bound and planned to be implemented within the period covered by the medium-term fiscal-structural plan?</t>
  </si>
  <si>
    <t>Art. 14(3)(b)</t>
  </si>
  <si>
    <t>Is significant progress in the implementation of the investment commitments expected to be achieved by the end of the adjustment period?</t>
  </si>
  <si>
    <t>Art. 14(3)(c)</t>
  </si>
  <si>
    <t>Do the descriptions of the reforms and investments include appropriate indicators or milestones to allow monitoring of their implementation?</t>
  </si>
  <si>
    <t>Art. 14(3)(d)</t>
  </si>
  <si>
    <t>Are the reform and investment commitments consistent with the approved Recovery and Resilience Plan, where applicable?</t>
  </si>
  <si>
    <t>Art. 14(4)</t>
  </si>
  <si>
    <t>Are the reform and investment commitments consistent with the Partnership Agreement under the Multiannual Financial Framework?</t>
  </si>
  <si>
    <t>Overall, does the IFI judge that the reform and investment commitments fulfil the criteria in Article 14 for an extension of the adjustment period?</t>
  </si>
  <si>
    <t>Art. 14(1)–(4) (overall judgement)</t>
  </si>
  <si>
    <t>TROUBLESHOOTING</t>
  </si>
  <si>
    <t>===============</t>
  </si>
  <si>
    <t xml:space="preserve">                         → File &gt; Options &gt; Trust Center &gt; Trust Center Settings</t>
  </si>
  <si>
    <t>SUPPORT</t>
  </si>
  <si>
    <t>=======</t>
  </si>
  <si>
    <t>Technical questions: cameronscottd@gmail.com</t>
  </si>
  <si>
    <t>Change in gross debt (planned)</t>
  </si>
  <si>
    <t xml:space="preserve">Required change in gross debt </t>
  </si>
  <si>
    <t>AxisMin</t>
  </si>
  <si>
    <t>AxisMax</t>
  </si>
  <si>
    <t>Structural balance (planned)</t>
  </si>
  <si>
    <t>Structural balance (MTP)</t>
  </si>
  <si>
    <t>Primary balance (MTP)</t>
  </si>
  <si>
    <t>Primary balance (planned)</t>
  </si>
  <si>
    <t>Recorded annual deviation (underspend)</t>
  </si>
  <si>
    <t>Recorded annual deviation (overspend)</t>
  </si>
  <si>
    <t>Figure 7</t>
  </si>
  <si>
    <t>Figure 8</t>
  </si>
  <si>
    <t>Figure 9</t>
  </si>
  <si>
    <t>Figures 10-13</t>
  </si>
  <si>
    <t>National Figure 1</t>
  </si>
  <si>
    <t xml:space="preserve">National structural balance rule </t>
  </si>
  <si>
    <t xml:space="preserve">National primary balance rule </t>
  </si>
  <si>
    <t>National Figure 2</t>
  </si>
  <si>
    <t>Funded by EU Technical Support Instrument, REFORM/2023/OP/0010EC</t>
  </si>
  <si>
    <t>Macros disabled</t>
  </si>
  <si>
    <t>MTP adheres to minimum primary structural balance at end of the adjustment period, or it exceeds but with a satisfactory explanation</t>
  </si>
  <si>
    <t>Net expenditure growth path meets general debt requirements</t>
  </si>
  <si>
    <t>Net expenditure growth path meets deficit requirements</t>
  </si>
  <si>
    <t xml:space="preserve">Is the country Greece (that is, does Greece's 2033 exclusion rule apply)? </t>
  </si>
  <si>
    <t>Report format</t>
  </si>
  <si>
    <t>PDF</t>
  </si>
  <si>
    <t>Word</t>
  </si>
  <si>
    <t>Alt Figure 1</t>
  </si>
  <si>
    <t>Alt Figure 2</t>
  </si>
  <si>
    <t>Has the country requested an extension of the adjustment period</t>
  </si>
  <si>
    <t>Deficit resilience safeguard ex ante</t>
  </si>
  <si>
    <t>Debt sustainability safeguard respected (diagnostic only)</t>
  </si>
  <si>
    <t>Deficit resilience safeguard respected (diagnostic only)</t>
  </si>
  <si>
    <t>Nominal GDP (level, millions of national currency)</t>
  </si>
  <si>
    <t>Discretionary revenue measures (excl. one-off revenue, incremental impact)</t>
  </si>
  <si>
    <t>Structural primary balance progress and timing (diagnostic only)</t>
  </si>
  <si>
    <t>Defence expenditure</t>
  </si>
  <si>
    <t>% pot. GDP</t>
  </si>
  <si>
    <t>Net nationally financed primary expenditure growth</t>
  </si>
  <si>
    <t>% change</t>
  </si>
  <si>
    <t>Annual balance (13/15)</t>
  </si>
  <si>
    <t>% GDP</t>
  </si>
  <si>
    <t>Expenditure on defence - GFCF</t>
  </si>
  <si>
    <t>Expenditure on defence - Total general government expenditure</t>
  </si>
  <si>
    <t>Expenditure on national cofinancing of programmes funded by the EU - Total general government expenditure</t>
  </si>
  <si>
    <t>Defence</t>
  </si>
  <si>
    <t>Expenditure funded by transfers from the EU: general government</t>
  </si>
  <si>
    <t>One-off measures (expenditure) - excl. EU financed: general government</t>
  </si>
  <si>
    <t>Cyclical unemployment expenditure: general government</t>
  </si>
  <si>
    <t xml:space="preserve">p.m. National co-financing of programmes funded by transfers from the EU </t>
  </si>
  <si>
    <t>p.m. National co-financing of programmes funded by transfers from the EU</t>
  </si>
  <si>
    <t>AMECO17: UBLGAPS</t>
  </si>
  <si>
    <t>AMECO17: UBLGBPS</t>
  </si>
  <si>
    <t>Intermediate consumption of general government [P2_S13]</t>
  </si>
  <si>
    <t>P52_P53</t>
  </si>
  <si>
    <t>Changes in inventories and acquisitions less disposals of valuables of general government [P52_P53_S13]</t>
  </si>
  <si>
    <t>Intermediary calculation tables</t>
  </si>
  <si>
    <t>millions national currency</t>
  </si>
  <si>
    <t xml:space="preserve">D7rec_S212 </t>
  </si>
  <si>
    <t xml:space="preserve">D9rec_S212 </t>
  </si>
  <si>
    <t>Other current transfers, revenue, from the institutions and bodies of the European Union</t>
  </si>
  <si>
    <t>Capital transfers, revenue from the institutions and bodies of the EU</t>
  </si>
  <si>
    <t>Observed net expenditure</t>
  </si>
  <si>
    <t>EU funded expenditure</t>
  </si>
  <si>
    <t>One-offs expenditure (levels, excl. EU funded)</t>
  </si>
  <si>
    <t>Net expenditure before DRMs (1-2-3-4-5-6)</t>
  </si>
  <si>
    <t>Change in net expenditure before DRMs (∆7)</t>
  </si>
  <si>
    <t>DRM (annual incremental impact, excl. one-offs)</t>
  </si>
  <si>
    <t>Annual change in net expenditure after DRMs (8-9)</t>
  </si>
  <si>
    <t>AMECO17: UOOMSR</t>
  </si>
  <si>
    <t>Observed net expenditure growth (10(t)/7(t-1))*100</t>
  </si>
  <si>
    <t>rate of change, %</t>
  </si>
  <si>
    <t>growth rate (%)</t>
  </si>
  <si>
    <t>level, bn NAC</t>
  </si>
  <si>
    <t>Escape clause reason</t>
  </si>
  <si>
    <t>Other</t>
  </si>
  <si>
    <t>Whether escape clause was activated for defence (for augmented control account)</t>
  </si>
  <si>
    <t>Discretionary measures (revenue) - excl. EU financed and one-off revenue (DRM): general government</t>
  </si>
  <si>
    <t>Methodology from "Specifications on the Implementation of the Stability and Growth Pact (Code of Conduct)" ECOFIN 16230/25, 5 December 2025 and technical discussions with ECOFIN</t>
  </si>
  <si>
    <t>"Regular" control account</t>
  </si>
  <si>
    <t>If activated, what was the reason?</t>
  </si>
  <si>
    <t>1. Net expenditure path assumptions</t>
  </si>
  <si>
    <t xml:space="preserve">2. Regulation (EU) 2024/1263 compulsory elements checklist for MTP </t>
  </si>
  <si>
    <t>3. Assessment of investment &amp; reform package for extension requests (Article 14)</t>
  </si>
  <si>
    <t>4. Adherence to investment &amp; reform commitments (if an extension was granted)</t>
  </si>
  <si>
    <t>Increase in defence expenditure</t>
  </si>
  <si>
    <t>16a</t>
  </si>
  <si>
    <t>Debit excluding increase in defence expenditure</t>
  </si>
  <si>
    <t>Upward deviations from the recommended expenditure path other than those resulting from defence expenditure</t>
  </si>
  <si>
    <t>bnNAC</t>
  </si>
  <si>
    <t>Annual deviation</t>
  </si>
  <si>
    <t xml:space="preserve">Recorded annual balance </t>
  </si>
  <si>
    <t xml:space="preserve">Do deviations exceed 0.3 percentage points of GDP annually over the assessment period? </t>
  </si>
  <si>
    <t xml:space="preserve">Do deviations exceed 0.3 percentage points of GDP annually over the outturn period? </t>
  </si>
  <si>
    <t>Unrecorded or defence-adjusted annual deviation</t>
  </si>
  <si>
    <t xml:space="preserve">Do deviations exceed a capped amount over the assessment period? </t>
  </si>
  <si>
    <t xml:space="preserve">Do deviations exceed a capped amount over the outturn period period? </t>
  </si>
  <si>
    <t xml:space="preserve">Have the criteria for an extension of the adustment period been fulfilled </t>
  </si>
  <si>
    <t>Does structural deficit exceed 1.5% of GDP</t>
  </si>
  <si>
    <t xml:space="preserve">Do deviations exceed 0.6 percentage points of GDP cumulatively over the assessment period? </t>
  </si>
  <si>
    <t xml:space="preserve">Do deviations exceed 0.6 percentage points of GDP cumulatively over the outturn period? </t>
  </si>
  <si>
    <t>Average annual consolidation planned  (since latest outturn to end of assessment period)</t>
  </si>
  <si>
    <t>Average annual consolidation required (or expansion permitted if negative) over remaining adjustment period (since latest outturn to end of MTP)</t>
  </si>
  <si>
    <t>Total SPB adjustment required (or expansion permitted if negative) over the remaining horizon (since latest outturn to end of MTP)</t>
  </si>
  <si>
    <t>Average annual consolidation from MTP year T to end of assessment period (speed of adjustment in MTP)</t>
  </si>
  <si>
    <t xml:space="preserve">Is the updated outturn/plan consistent with no backloading? </t>
  </si>
  <si>
    <t>D11_S13</t>
  </si>
  <si>
    <t>nama_10_gdp</t>
  </si>
  <si>
    <t>AMECO 16</t>
  </si>
  <si>
    <t>AMECO 17</t>
  </si>
  <si>
    <t>AMECO 6</t>
  </si>
  <si>
    <t>Source</t>
  </si>
  <si>
    <t>gov_10a_main S13</t>
  </si>
  <si>
    <t>gov_10dd_edpt1 S13</t>
  </si>
  <si>
    <t>P31</t>
  </si>
  <si>
    <t>P32</t>
  </si>
  <si>
    <t>P51G</t>
  </si>
  <si>
    <t>UBLGAPS</t>
  </si>
  <si>
    <t>OVGD</t>
  </si>
  <si>
    <t>OVGDP</t>
  </si>
  <si>
    <t>UIGG02H</t>
  </si>
  <si>
    <t>UUTG02H</t>
  </si>
  <si>
    <t>UUTGCF</t>
  </si>
  <si>
    <t>UDMGR</t>
  </si>
  <si>
    <t>URTGEU (D.7EU+D9EU)</t>
  </si>
  <si>
    <t>UUTZ105</t>
  </si>
  <si>
    <t>UOOMSE</t>
  </si>
  <si>
    <t>UBLGBPS</t>
  </si>
  <si>
    <t>Structural balance of general government :- Adjustment based on potential GDP Excessive deficit procedure (Percentage of potential GDP at current prices)</t>
  </si>
  <si>
    <t>Structural balance of general government excluding interest :- Adjustment based on potential GDP Excessive deficit procedure (Percentage of potential GDP at current prices)</t>
  </si>
  <si>
    <t xml:space="preserve">Units: </t>
  </si>
  <si>
    <t>millions NAC unless noted</t>
  </si>
  <si>
    <t>Is an escape clause active in any year where there's an annual or cumulative excess?</t>
  </si>
  <si>
    <t>Is there a defence-related escape clause active in any year where there's an annual or cumulative excess?</t>
  </si>
  <si>
    <t>Maximum structural deficit</t>
  </si>
  <si>
    <t>Recorded cumulative balance</t>
  </si>
  <si>
    <t/>
  </si>
  <si>
    <t>EC technical information - Path to meet all requirements and safeguard.</t>
  </si>
  <si>
    <t>Prior guidance transmittion date</t>
  </si>
  <si>
    <t>General or country-specific?</t>
  </si>
  <si>
    <t>Escape clause type</t>
  </si>
  <si>
    <t>General</t>
  </si>
  <si>
    <t>Primary structural balance adjustment over adjustment period (supportive)</t>
  </si>
  <si>
    <t>Escape clause activated in at least one year of horizon</t>
  </si>
  <si>
    <t>Medium-term fiscal-structural plan  (endorsed by Council), EC reference trajectory and DSA (Adjustment period currently set to 4 years)</t>
  </si>
  <si>
    <t>Eurostat country codes</t>
  </si>
  <si>
    <t>AT</t>
  </si>
  <si>
    <t>BE</t>
  </si>
  <si>
    <t>BG</t>
  </si>
  <si>
    <t>HR</t>
  </si>
  <si>
    <t>CY</t>
  </si>
  <si>
    <t>CZ</t>
  </si>
  <si>
    <t>DK</t>
  </si>
  <si>
    <t>EE</t>
  </si>
  <si>
    <t>FI</t>
  </si>
  <si>
    <t>FR</t>
  </si>
  <si>
    <t>DE</t>
  </si>
  <si>
    <t>EL</t>
  </si>
  <si>
    <t>HU</t>
  </si>
  <si>
    <t>IE</t>
  </si>
  <si>
    <t>IT</t>
  </si>
  <si>
    <t>LV</t>
  </si>
  <si>
    <t>LT</t>
  </si>
  <si>
    <t>LU</t>
  </si>
  <si>
    <t>MT</t>
  </si>
  <si>
    <t>NL</t>
  </si>
  <si>
    <t>PL</t>
  </si>
  <si>
    <t>PT</t>
  </si>
  <si>
    <t>RO</t>
  </si>
  <si>
    <t>SK</t>
  </si>
  <si>
    <t>SI</t>
  </si>
  <si>
    <t>ES</t>
  </si>
  <si>
    <t>SE</t>
  </si>
  <si>
    <t>Eurostat country code</t>
  </si>
  <si>
    <t>Prior guidance transmittion date:</t>
  </si>
  <si>
    <t>MTP parameters</t>
  </si>
  <si>
    <t xml:space="preserve">Excessive debt/deficit procedure parameters </t>
  </si>
  <si>
    <t>Country</t>
  </si>
  <si>
    <t>Escape clause parameters</t>
  </si>
  <si>
    <t>New or revised MTP</t>
  </si>
  <si>
    <t>Implementation of an endorsed MTP</t>
  </si>
  <si>
    <t>What are you assessing?</t>
  </si>
  <si>
    <t>Scenario parameters</t>
  </si>
  <si>
    <t>Enter a name for your scenario (free text):</t>
  </si>
  <si>
    <t>Transitional regime start point</t>
  </si>
  <si>
    <t>Transitional regime end point</t>
  </si>
  <si>
    <t>Both</t>
  </si>
  <si>
    <t>Deadline year for the correction of the excessive debt</t>
  </si>
  <si>
    <t>For countries with a domestic primary balance rule (optional):</t>
  </si>
  <si>
    <t>p.m. National co-financing of programmes funded by transfers from the EU (=8)</t>
  </si>
  <si>
    <t>MTP Table 1a, line 1</t>
  </si>
  <si>
    <t>Primary balance (=-32)</t>
  </si>
  <si>
    <t>Snowball effect</t>
  </si>
  <si>
    <t>Interest expenditure (=14)</t>
  </si>
  <si>
    <t>Growth</t>
  </si>
  <si>
    <t>Inflation</t>
  </si>
  <si>
    <t>Stock-flow adjustment (=36-38-39)</t>
  </si>
  <si>
    <t>Total defence expenditure</t>
  </si>
  <si>
    <t>COFOG 2</t>
  </si>
  <si>
    <t xml:space="preserve">Of which: Defence investment </t>
  </si>
  <si>
    <t>COFOG 2, P.51g</t>
  </si>
  <si>
    <t>B1*g</t>
  </si>
  <si>
    <t>Components of Real GDP</t>
  </si>
  <si>
    <t>Private consumption expenditure</t>
  </si>
  <si>
    <t>P.3</t>
  </si>
  <si>
    <t>Government consumption expenditure</t>
  </si>
  <si>
    <t>Changes in inventories and net acquisition of valuables (% of GDP)</t>
  </si>
  <si>
    <t>P.52 + P.53</t>
  </si>
  <si>
    <t>Exports of goods and services</t>
  </si>
  <si>
    <t>P.6</t>
  </si>
  <si>
    <t>Imports of goods and services</t>
  </si>
  <si>
    <t>P.7</t>
  </si>
  <si>
    <t>Contribution to real GDP growth</t>
  </si>
  <si>
    <t xml:space="preserve">   Final domestic demand</t>
  </si>
  <si>
    <t xml:space="preserve">   Changes in inventories and net acquisition of value</t>
  </si>
  <si>
    <t xml:space="preserve">   External balance of goods and services</t>
  </si>
  <si>
    <t>B.11</t>
  </si>
  <si>
    <t>Deflators and HICP</t>
  </si>
  <si>
    <t>Private consumption deflator</t>
  </si>
  <si>
    <t>p.m. HICP</t>
  </si>
  <si>
    <t>Government consumption deflator</t>
  </si>
  <si>
    <t>Investment deflator</t>
  </si>
  <si>
    <t>Export price deflator (goods and services)</t>
  </si>
  <si>
    <t>Import price deflator (goods and services)</t>
  </si>
  <si>
    <t>Labour market</t>
  </si>
  <si>
    <t>level</t>
  </si>
  <si>
    <t>Domestic employment (1000 persons, national accounts)</t>
  </si>
  <si>
    <t>Average annual hours worked per person employed</t>
  </si>
  <si>
    <t>Real GDP per person employed</t>
  </si>
  <si>
    <t>Real GDP per hour worked</t>
  </si>
  <si>
    <t>Compensation of employees (bn NAC)</t>
  </si>
  <si>
    <t>Compensation per employee (=23/19)</t>
  </si>
  <si>
    <t>Unemployment rate (%)</t>
  </si>
  <si>
    <t>Potential GDP and components</t>
  </si>
  <si>
    <t xml:space="preserve">Potential GDP </t>
  </si>
  <si>
    <t>Contributions to potential growth</t>
  </si>
  <si>
    <t>Labour</t>
  </si>
  <si>
    <t>Capital</t>
  </si>
  <si>
    <t>Total factor productivity</t>
  </si>
  <si>
    <t>Last year of bn Nac</t>
  </si>
  <si>
    <t>Budgetary developments</t>
  </si>
  <si>
    <t>Macroeconomic developments</t>
  </si>
  <si>
    <t>Column with line reference numbers</t>
  </si>
  <si>
    <t>Column containing last year of bn Nac</t>
  </si>
  <si>
    <t>D</t>
  </si>
  <si>
    <t>A</t>
  </si>
  <si>
    <t>Row containing years label of macroeconomic developments table</t>
  </si>
  <si>
    <t>Row containing years labels of budgetary developments table</t>
  </si>
  <si>
    <t>Worksheet name containing budgetary developments</t>
  </si>
  <si>
    <t>Worksheet name containing macroeconomic developments</t>
  </si>
  <si>
    <t>Sheet1</t>
  </si>
  <si>
    <t>Report/Plan import tool:</t>
  </si>
  <si>
    <t>Last year of outturn data</t>
  </si>
  <si>
    <t>MTP base year is T-2 (Plan submitted Jan-Mar when T-1 outturn unavailable)</t>
  </si>
  <si>
    <t>MTP plan first reported year</t>
  </si>
  <si>
    <t>Is gross debt under 60% of GDP in T-1 (or T-2 for plans submitted Jan-Mar)?</t>
  </si>
  <si>
    <t>Is the general government deficit less than 3% of GDP in T-1 (or T-2 for plans submitted Jan-Mar)?</t>
  </si>
  <si>
    <t>AMECO16: UUTZ105</t>
  </si>
  <si>
    <t>AMECO16:UUTGCF</t>
  </si>
  <si>
    <t>AMECO16:UOOMSE</t>
  </si>
  <si>
    <t>AMECO16: UDMGR</t>
  </si>
  <si>
    <t>Years for which an escape clause has been activated</t>
  </si>
  <si>
    <t>Note: Total defence spending should be number 45, "defence, of which investment" should be 46. Macro automatically detects in last year of imported plan.</t>
  </si>
  <si>
    <t xml:space="preserve">Enter final year to be assessed </t>
  </si>
  <si>
    <t xml:space="preserve">Net nationally financed primary expenditure growth </t>
  </si>
  <si>
    <t>Full historical data inputs (Eurostat and AMECO)</t>
  </si>
  <si>
    <t xml:space="preserve">                         → Click "Enable Content" when opening the workbook</t>
  </si>
  <si>
    <t xml:space="preserve">                         → Add the folder to Trusted Locations</t>
  </si>
  <si>
    <t xml:space="preserve">Last updated (Eurostat): </t>
  </si>
  <si>
    <t>Assessment outlook</t>
  </si>
  <si>
    <t>Receives reference trajectory</t>
  </si>
  <si>
    <t>MTP Table 7a: Debt and headline balance projections and key underlying assumptions (under the planned fiscal path)</t>
  </si>
  <si>
    <t>line</t>
  </si>
  <si>
    <t>MTP Table 4, line 35</t>
  </si>
  <si>
    <t>General government balance</t>
  </si>
  <si>
    <t>MTP Table 4, line 31</t>
  </si>
  <si>
    <t>MTP Table 4, line 34</t>
  </si>
  <si>
    <t>Cyclical component</t>
  </si>
  <si>
    <t>One-off measures</t>
  </si>
  <si>
    <t>MTP Table 4, line 14</t>
  </si>
  <si>
    <t>Long-term interest rate</t>
  </si>
  <si>
    <t xml:space="preserve">MTP Table 3, line 1 </t>
  </si>
  <si>
    <t>Short-term interest rate</t>
  </si>
  <si>
    <t>MTP Table 3, line 2</t>
  </si>
  <si>
    <t>Implicit average interest rate</t>
  </si>
  <si>
    <t>MTP Table 4, line 44</t>
  </si>
  <si>
    <t>Stock-flow adjustment</t>
  </si>
  <si>
    <t>MTP Table 4, line 43</t>
  </si>
  <si>
    <t>Potential GDP</t>
  </si>
  <si>
    <t>MTP Table 2, line 26</t>
  </si>
  <si>
    <t>MTP Table 2, line 1</t>
  </si>
  <si>
    <t>MTP Table 2, line 2</t>
  </si>
  <si>
    <t>MTP Table 2, line 3</t>
  </si>
  <si>
    <t>Table 7b: Debt projections and key stressed variables, deterministic scenarios and stochastic simulations</t>
  </si>
  <si>
    <t>Probability of debt being below its value in T+4/7</t>
  </si>
  <si>
    <t>Table 7c: Debt and headline balance projections and underlying assumptions (under 'no-fiscal-policy-change' baseline)</t>
  </si>
  <si>
    <t>Fiscal multiplier</t>
  </si>
  <si>
    <t>Table 7d: Debt projections and additional assumptions (under the planned fiscal path)</t>
  </si>
  <si>
    <t>Rolled over long-term debt</t>
  </si>
  <si>
    <t>Tolled over short-term debt</t>
  </si>
  <si>
    <t>New long-term debt</t>
  </si>
  <si>
    <t>New short-term debt</t>
  </si>
  <si>
    <t>Worksheet name containing Table 7 a,b,c,d</t>
  </si>
  <si>
    <t>Row containing years label of Table 7a</t>
  </si>
  <si>
    <t>Row containing years label of Table 7d</t>
  </si>
  <si>
    <t>Row containing years label of Table 7c</t>
  </si>
  <si>
    <t>Column with MTP base year (bn NAC)</t>
  </si>
  <si>
    <t>MTP import tool:</t>
  </si>
  <si>
    <t xml:space="preserve">Prior guidance import tool: </t>
  </si>
  <si>
    <t>Adjustment scenario</t>
  </si>
  <si>
    <t>Worksheet name containing FASTOP Table 7s</t>
  </si>
  <si>
    <t>FASTOP reporting</t>
  </si>
  <si>
    <t>Column containing line numbers</t>
  </si>
  <si>
    <t>B</t>
  </si>
  <si>
    <t>Row containing Table 7a years</t>
  </si>
  <si>
    <t>Row containing Table 7c years</t>
  </si>
  <si>
    <t>Worksheet name containing full net expenditure growth path (adjustment path)</t>
  </si>
  <si>
    <t>Row containing full net expenditure growth path years</t>
  </si>
  <si>
    <t>Worksheet name containing full stochastic debt projections</t>
  </si>
  <si>
    <t>Stochastic</t>
  </si>
  <si>
    <t>Row containing stochastic debt projection years</t>
  </si>
  <si>
    <t xml:space="preserve">Row containing full net expenditure growth rates </t>
  </si>
  <si>
    <t>Sheet2</t>
  </si>
  <si>
    <t>Row containing Table 7b years (first sub-table header)</t>
  </si>
  <si>
    <t>Row containing years label of Table 7b (first sub-table header)</t>
  </si>
  <si>
    <t>Macroeconomic assumption plausibility (IFI assessment)</t>
  </si>
  <si>
    <t>Debt and deficit sustainability  (Articles 6(a), 6(b), 6(c), 6(d), 7, 8)</t>
  </si>
  <si>
    <t xml:space="preserve">If using different assumptions to the EU's prior guidance, is the explanation satisfactory and based on sound and data-driven economic arguments? </t>
  </si>
  <si>
    <t xml:space="preserve">R1: Checking whether the general government debt exceeds 60% of GDP </t>
  </si>
  <si>
    <t>R2: Checking whether the general government deficit exceeds 3% of GDP</t>
  </si>
  <si>
    <t>R3: Checking whether the country is required to submit an MTP that adheres to a reference trajectory (or an alternative path meeting all criteria)</t>
  </si>
  <si>
    <t>Assessing whether a reference trajectory applies (Article 5 and 9), a prerequisite for the remaining indicators (routing criteria to determine assessment track, or "R" indicators)</t>
  </si>
  <si>
    <t>M3: Determining whether reform and investment commitments fulfil the criteria for an extension of the adjustment period (Article 14)</t>
  </si>
  <si>
    <t>Was the MTP prepared using different assumptions than the EC's DSA framework in prior guidance?</t>
  </si>
  <si>
    <t xml:space="preserve">If the IFI has been asked to issue an opinion on the macroeconomic forecast and the macroeconomic assumptions underpinning the net expenditure path, does it deem the forecast and assumptions to be plausible? </t>
  </si>
  <si>
    <t xml:space="preserve">Overall MTP compliance </t>
  </si>
  <si>
    <t xml:space="preserve">If so, is the explanation for using different assumptions satisfactory and based on sound and data-driven economic arguments? </t>
  </si>
  <si>
    <t xml:space="preserve">Are the alternative macroeconomic forecasts and assumptions plausible? </t>
  </si>
  <si>
    <t xml:space="preserve">Are the MTP's macroeconomic assumptions either taken from the DSA framework or otherwise plausible? </t>
  </si>
  <si>
    <t>Article 13</t>
  </si>
  <si>
    <t>Article 14</t>
  </si>
  <si>
    <t>Article 11(2)</t>
  </si>
  <si>
    <t>M1: Determining whether the MTP's macroeconomic assumption are plausible</t>
  </si>
  <si>
    <t xml:space="preserve">M2: Determining whether the MTP contains  all information required by Article 13 of Regulation (EU) 2024/1263 </t>
  </si>
  <si>
    <t>Plan plausibility and completeness (Articles 11, 13 and 14)</t>
  </si>
  <si>
    <t xml:space="preserve">M4: Checking whether the average net expenditure growth of the MTP over the adjustment period is higher than the prior guidance transmitted by the Commission </t>
  </si>
  <si>
    <t>M6: Checking whether gross government debt is at prudent levels below 60% over the medium-term or is put or remains on a plausibly downward path according to a DSA assessment [Article 16(2) and Article 6(a)]</t>
  </si>
  <si>
    <t>M7: Checking whether the projected general government deficit is brought below 3% of GDP over the adjustment period and is maintained below that reference value over the medium-term [Article 16(2) and Article 6(b)]</t>
  </si>
  <si>
    <t>M8: Checking whether the adjustment is linear and at least proportional to total effort over the entire adjustment period (the "no backloading" safegard) [Article 6(c)]</t>
  </si>
  <si>
    <t>M9: Checking consistency with the EDP corrective path in Article 3(4) of Regulation (EC) No 1467/97 [Article 6(d)]</t>
  </si>
  <si>
    <t>M10: Determining whether the debt sustainability safeguard applies and, if so, verifying compliance of the planned fiscal path  [Article 7]</t>
  </si>
  <si>
    <t>M11: Determining whether the deficit resilience safeguard applies and, if so, verifying compliance [Article 8]</t>
  </si>
  <si>
    <t>M12. Checking planned structural primary balance adjustment against the target that satisfies all criteria (supportive)</t>
  </si>
  <si>
    <t xml:space="preserve">M5: Checking whether the MTP's annual net expenditure path remains at or below the EC's prior guidance (for Member States receiving a reference trajectory) or exceeds the minimum level for the structural primary balance in the last year of the adjustment period (for Members States receiving technical information) </t>
  </si>
  <si>
    <t>Compliance of MTP annual net expenditure growth path with prior guidance</t>
  </si>
  <si>
    <t>Article 16(2)</t>
  </si>
  <si>
    <t xml:space="preserve">Article 6(d) </t>
  </si>
  <si>
    <t>Article 7</t>
  </si>
  <si>
    <t>Article 8</t>
  </si>
  <si>
    <t>Net expenditure path (Articles 6, 16)</t>
  </si>
  <si>
    <t>Articles 6,  16(3)</t>
  </si>
  <si>
    <t>Article 6(c), 15(5)</t>
  </si>
  <si>
    <t>EC practice</t>
  </si>
  <si>
    <t>P1: Compliance with agreed net expenditure path (single operational anchor)</t>
  </si>
  <si>
    <t>Control account</t>
  </si>
  <si>
    <t>Flag</t>
  </si>
  <si>
    <t>Annual and cumulated deviations</t>
  </si>
  <si>
    <t>Annual deviation ((11-12) x 7(t-1))</t>
  </si>
  <si>
    <t>Cumulated deviation (cumulative from 13)</t>
  </si>
  <si>
    <t>"Augmented" control account (while escape clauses are active)</t>
  </si>
  <si>
    <t>Augmented cumulated balance</t>
  </si>
  <si>
    <t>Base year for max increase in defence expenditures, if applicable</t>
  </si>
  <si>
    <t>Absolute deviation cap</t>
  </si>
  <si>
    <t>General government defence expenditure in base year (% GDP)</t>
  </si>
  <si>
    <t>Recorded cumulated balance</t>
  </si>
  <si>
    <t>Cumulated balance (2026 APR majority presentation)</t>
  </si>
  <si>
    <t>Augmented annual balance</t>
  </si>
  <si>
    <t>P5b: Time profile of the fiscal adjustment (change in the structural primary balance) compared to the endorsed plan</t>
  </si>
  <si>
    <t>P3b: Performance of general government debt compared to the endorsed plan</t>
  </si>
  <si>
    <t xml:space="preserve">P4: Deficit resilience safeguard respected </t>
  </si>
  <si>
    <t xml:space="preserve">P5a: Structural primary balance progress and timing </t>
  </si>
  <si>
    <t>P3a: Change in general government gross debt compared to endorsed plan and safeguard</t>
  </si>
  <si>
    <t>P2: Control account deviations and balance</t>
  </si>
  <si>
    <t>Cumulated balance (14/15)</t>
  </si>
  <si>
    <t>Recommended net expenditure growth</t>
  </si>
  <si>
    <t>Select country</t>
  </si>
  <si>
    <t>Select IFI</t>
  </si>
  <si>
    <t>Enter date</t>
  </si>
  <si>
    <t>Enter scenario name</t>
  </si>
  <si>
    <t>Cap on deviation from max growth rates of net expenditure, if applicable (% GDP)</t>
  </si>
  <si>
    <t>Intermediary MTP tables that are populated by macro</t>
  </si>
  <si>
    <t>Enter year</t>
  </si>
  <si>
    <t>Enter implementation report or outlook (APR, DBP, alternative scenario, etc.) to be assessed</t>
  </si>
  <si>
    <t>Scenario base year</t>
  </si>
  <si>
    <t>Was/is an escape clause in place for all outturn years where net expenditure does not adhere to the planned path for net expenditure growth endorsed by the Council?</t>
  </si>
  <si>
    <t>Was/is an escape clause in place for all planned years where net expenditure does not adhere to the planned path for net expenditure growth endorsed by the Council?</t>
  </si>
  <si>
    <t>Were/are those outturn escape clauses country-specific escape clauses related to defence spending?</t>
  </si>
  <si>
    <t>Were/are those planned escape clauses country-specific escape clauses related to defence spending?</t>
  </si>
  <si>
    <t>Compliance status</t>
  </si>
  <si>
    <t>Do the annual improvements in the structural primary balance exceed the minimum?</t>
  </si>
  <si>
    <t xml:space="preserve">Is the control account within limits? </t>
  </si>
  <si>
    <t>FISCO Version 1.1.4 - 21 June 2026</t>
  </si>
  <si>
    <t>FISCO v1.1.4 | 21 June 2026</t>
  </si>
  <si>
    <t>Enter alternative scenario to override outturn net expenditure growth components (bn NAC)</t>
  </si>
  <si>
    <t>Polish Fiscal Council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</si>
</sst>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 #,##0.00_-;_-* &quot;-&quot;??_-;_-@_-"/>
    <numFmt numFmtId="164" formatCode="0.0"/>
    <numFmt numFmtId="165" formatCode="#,##0.0"/>
    <numFmt numFmtId="166" formatCode="[$-F800]dddd\,\ mmmm\ dd\,\ yyyy"/>
    <numFmt numFmtId="167" formatCode="yyyy\-mm\-dd\ hh:mm"/>
  </numFmts>
  <fonts count="52" x14ac:knownFonts="1">
    <font>
      <sz val="10"/>
      <color theme="1"/>
      <name val="Aptos Narrow"/>
      <family val="2"/>
    </font>
    <font>
      <sz val="11"/>
      <color theme="1"/>
      <name val="Calibri"/>
      <family val="2"/>
      <scheme val="minor"/>
    </font>
    <font>
      <sz val="11"/>
      <color theme="1"/>
      <name val="Calibri"/>
      <family val="2"/>
      <scheme val="minor"/>
    </font>
    <font>
      <sz val="11"/>
      <color theme="0"/>
      <name val="Calibri"/>
      <family val="2"/>
      <scheme val="minor"/>
    </font>
    <font>
      <sz val="11"/>
      <color theme="1"/>
      <name val="Calibri"/>
      <family val="2"/>
      <scheme val="minor"/>
    </font>
    <font>
      <sz val="8"/>
      <name val="Calibri"/>
      <family val="2"/>
      <scheme val="minor"/>
    </font>
    <font>
      <u/>
      <sz val="10"/>
      <color theme="10"/>
      <name val="Calibri"/>
      <family val="2"/>
      <scheme val="minor"/>
    </font>
    <font>
      <sz val="8"/>
      <color theme="2" tint="-0.499984740745262"/>
      <name val="Wingdings 3"/>
      <family val="1"/>
      <charset val="2"/>
    </font>
    <font>
      <b/>
      <sz val="11"/>
      <color theme="1"/>
      <name val="Segoe UI"/>
      <family val="2"/>
    </font>
    <font>
      <sz val="8"/>
      <name val="Segoe UI"/>
      <family val="2"/>
    </font>
    <font>
      <sz val="10"/>
      <color theme="1"/>
      <name val="Aptos Narrow"/>
      <family val="2"/>
    </font>
    <font>
      <sz val="10"/>
      <name val="Aptos Narrow"/>
      <family val="2"/>
    </font>
    <font>
      <sz val="10"/>
      <color theme="0"/>
      <name val="Aptos Narrow"/>
      <family val="2"/>
    </font>
    <font>
      <sz val="10"/>
      <color theme="3"/>
      <name val="Aptos Narrow"/>
      <family val="2"/>
    </font>
    <font>
      <sz val="10"/>
      <color rgb="FFFF0000"/>
      <name val="Aptos Narrow"/>
      <family val="2"/>
    </font>
    <font>
      <sz val="11"/>
      <name val="Aptos Narrow"/>
      <family val="2"/>
    </font>
    <font>
      <sz val="11"/>
      <color theme="1"/>
      <name val="Aptos Narrow"/>
      <family val="2"/>
    </font>
    <font>
      <sz val="48"/>
      <name val="Aptos Narrow"/>
      <family val="2"/>
    </font>
    <font>
      <sz val="14"/>
      <color theme="1"/>
      <name val="Aptos Narrow"/>
      <family val="2"/>
    </font>
    <font>
      <sz val="11"/>
      <color theme="0"/>
      <name val="Aptos Narrow"/>
      <family val="2"/>
    </font>
    <font>
      <u/>
      <sz val="11"/>
      <color theme="1"/>
      <name val="Aptos Narrow"/>
      <family val="2"/>
    </font>
    <font>
      <sz val="9"/>
      <color indexed="81"/>
      <name val="Tahoma"/>
      <family val="2"/>
    </font>
    <font>
      <b/>
      <sz val="9"/>
      <color indexed="81"/>
      <name val="Tahoma"/>
      <family val="2"/>
    </font>
    <font>
      <sz val="10"/>
      <color rgb="FFC00000"/>
      <name val="Aptos Narrow"/>
      <family val="2"/>
    </font>
    <font>
      <sz val="10"/>
      <color theme="0" tint="-0.499984740745262"/>
      <name val="Aptos Narrow"/>
      <family val="2"/>
    </font>
    <font>
      <sz val="10"/>
      <color rgb="FF7030A0"/>
      <name val="Aptos Narrow"/>
      <family val="2"/>
    </font>
    <font>
      <sz val="8"/>
      <color theme="1"/>
      <name val="Arial"/>
      <family val="2"/>
    </font>
    <font>
      <sz val="18"/>
      <name val="Aptos Narrow"/>
      <family val="2"/>
    </font>
    <font>
      <sz val="11"/>
      <color rgb="FFFF0000"/>
      <name val="Calibri"/>
      <family val="2"/>
      <scheme val="minor"/>
    </font>
    <font>
      <b/>
      <sz val="10"/>
      <color theme="0" tint="-0.499984740745262"/>
      <name val="Aptos Narrow"/>
      <family val="2"/>
    </font>
    <font>
      <b/>
      <sz val="11"/>
      <color theme="3"/>
      <name val="Aptos Narrow"/>
      <family val="2"/>
    </font>
    <font>
      <sz val="9"/>
      <color theme="0" tint="-0.249977111117893"/>
      <name val="Aptos Light"/>
      <family val="2"/>
    </font>
    <font>
      <b/>
      <sz val="12"/>
      <color theme="1"/>
      <name val="Aptos Narrow"/>
      <family val="2"/>
    </font>
    <font>
      <sz val="10"/>
      <color theme="7" tint="-0.249977111117893"/>
      <name val="Aptos Narrow"/>
      <family val="2"/>
    </font>
    <font>
      <b/>
      <sz val="24"/>
      <color theme="3"/>
      <name val="Aptos Narrow"/>
      <family val="2"/>
    </font>
    <font>
      <b/>
      <sz val="18"/>
      <color theme="3" tint="-0.24994659260841701"/>
      <name val="Aptos Narrow"/>
      <family val="2"/>
    </font>
    <font>
      <b/>
      <sz val="12"/>
      <color theme="2" tint="-0.749961851863155"/>
      <name val="Aptos Narrow"/>
      <family val="2"/>
    </font>
    <font>
      <sz val="11"/>
      <color rgb="FF7F7F7F"/>
      <name val="Calibri"/>
      <family val="2"/>
      <scheme val="minor"/>
    </font>
    <font>
      <b/>
      <sz val="14"/>
      <color theme="5" tint="-0.24994659260841701"/>
      <name val="Aptos SemiBold"/>
      <family val="2"/>
    </font>
    <font>
      <u/>
      <sz val="10"/>
      <color theme="1"/>
      <name val="Aptos Narrow"/>
      <family val="2"/>
    </font>
    <font>
      <sz val="9"/>
      <name val="Arial"/>
      <family val="2"/>
    </font>
    <font>
      <sz val="11"/>
      <color indexed="8"/>
      <name val="Calibri"/>
      <family val="2"/>
      <scheme val="minor"/>
    </font>
    <font>
      <sz val="10"/>
      <color theme="0" tint="-0.34998626667073579"/>
      <name val="Aptos Narrow"/>
      <family val="2"/>
    </font>
    <font>
      <sz val="8"/>
      <name val="Aptos Narrow"/>
      <family val="2"/>
    </font>
    <font>
      <sz val="10"/>
      <color rgb="FF007635"/>
      <name val="Aptos Narrow"/>
      <family val="2"/>
    </font>
    <font>
      <sz val="10"/>
      <color theme="0" tint="-0.249977111117893"/>
      <name val="Aptos Narrow"/>
      <family val="2"/>
    </font>
    <font>
      <sz val="11"/>
      <name val="Segoe UI"/>
      <family val="2"/>
    </font>
    <font>
      <sz val="10"/>
      <color theme="4" tint="-0.249977111117893"/>
      <name val="Aptos Narrow"/>
      <family val="2"/>
    </font>
    <font>
      <sz val="10"/>
      <color theme="4" tint="-0.249977111117893"/>
      <name val="Arial"/>
      <family val="2"/>
    </font>
    <font>
      <sz val="10"/>
      <name val="Arial"/>
      <family val="2"/>
    </font>
    <font>
      <sz val="10"/>
      <color theme="0" tint="-0.14999847407452621"/>
      <name val="Aptos Narrow"/>
      <family val="2"/>
    </font>
    <font>
      <b/>
      <u/>
      <sz val="10"/>
      <color theme="1"/>
      <name val="Aptos Narrow"/>
      <family val="2"/>
    </font>
  </fonts>
  <fills count="9">
    <fill>
      <patternFill patternType="none"/>
    </fill>
    <fill>
      <patternFill patternType="gray125"/>
    </fill>
    <fill>
      <patternFill patternType="solid">
        <fgColor theme="8"/>
      </patternFill>
    </fill>
    <fill>
      <patternFill patternType="solid">
        <fgColor theme="0"/>
        <bgColor indexed="64"/>
      </patternFill>
    </fill>
    <fill>
      <gradientFill degree="90">
        <stop position="0">
          <color theme="0"/>
        </stop>
        <stop position="1">
          <color rgb="FFCFD3DB"/>
        </stop>
      </gradientFill>
    </fill>
    <fill>
      <patternFill patternType="solid">
        <fgColor theme="8" tint="-0.499984740745262"/>
        <bgColor indexed="64"/>
      </patternFill>
    </fill>
    <fill>
      <patternFill patternType="solid">
        <fgColor theme="4" tint="0.79998168889431442"/>
        <bgColor indexed="65"/>
      </patternFill>
    </fill>
    <fill>
      <patternFill patternType="solid">
        <fgColor theme="6" tint="0.79998168889431442"/>
        <bgColor indexed="65"/>
      </patternFill>
    </fill>
    <fill>
      <patternFill patternType="solid">
        <fgColor theme="9" tint="0.79998168889431442"/>
        <bgColor indexed="64"/>
      </patternFill>
    </fill>
  </fills>
  <borders count="16">
    <border>
      <left/>
      <right/>
      <top/>
      <bottom/>
      <diagonal/>
    </border>
    <border>
      <left/>
      <right/>
      <top/>
      <bottom style="thin">
        <color indexed="64"/>
      </bottom>
      <diagonal/>
    </border>
    <border>
      <left style="thin">
        <color theme="2" tint="-0.24994659260841701"/>
      </left>
      <right style="thin">
        <color theme="2" tint="-0.24994659260841701"/>
      </right>
      <top style="thin">
        <color theme="2" tint="-0.24994659260841701"/>
      </top>
      <bottom style="thin">
        <color theme="2" tint="-0.24994659260841701"/>
      </bottom>
      <diagonal/>
    </border>
    <border>
      <left/>
      <right/>
      <top style="thin">
        <color auto="1"/>
      </top>
      <bottom style="thin">
        <color auto="1"/>
      </bottom>
      <diagonal/>
    </border>
    <border>
      <left/>
      <right/>
      <top style="thin">
        <color auto="1"/>
      </top>
      <bottom/>
      <diagonal/>
    </border>
    <border>
      <left/>
      <right/>
      <top/>
      <bottom style="double">
        <color indexed="64"/>
      </bottom>
      <diagonal/>
    </border>
    <border>
      <left/>
      <right/>
      <top style="thin">
        <color theme="0" tint="-0.499984740745262"/>
      </top>
      <bottom/>
      <diagonal/>
    </border>
    <border>
      <left/>
      <right/>
      <top/>
      <bottom style="thin">
        <color theme="0" tint="-0.499984740745262"/>
      </bottom>
      <diagonal/>
    </border>
    <border>
      <left style="thin">
        <color indexed="64"/>
      </left>
      <right style="thin">
        <color indexed="64"/>
      </right>
      <top style="thin">
        <color indexed="64"/>
      </top>
      <bottom style="thin">
        <color indexed="64"/>
      </bottom>
      <diagonal/>
    </border>
    <border>
      <left/>
      <right/>
      <top style="thin">
        <color theme="0" tint="-0.14996795556505021"/>
      </top>
      <bottom/>
      <diagonal/>
    </border>
    <border>
      <left/>
      <right/>
      <top/>
      <bottom style="thin">
        <color theme="0" tint="-0.14996795556505021"/>
      </bottom>
      <diagonal/>
    </border>
    <border>
      <left style="thin">
        <color theme="0" tint="-0.14996795556505021"/>
      </left>
      <right/>
      <top style="thin">
        <color theme="0" tint="-0.14996795556505021"/>
      </top>
      <bottom/>
      <diagonal/>
    </border>
    <border>
      <left style="thin">
        <color theme="0" tint="-0.14996795556505021"/>
      </left>
      <right/>
      <top/>
      <bottom/>
      <diagonal/>
    </border>
    <border>
      <left style="thin">
        <color theme="0" tint="-0.14996795556505021"/>
      </left>
      <right/>
      <top/>
      <bottom style="thin">
        <color theme="0" tint="-0.14996795556505021"/>
      </bottom>
      <diagonal/>
    </border>
    <border>
      <left style="thin">
        <color theme="6" tint="0.59996337778862885"/>
      </left>
      <right style="thin">
        <color theme="6" tint="0.59996337778862885"/>
      </right>
      <top style="thin">
        <color theme="6" tint="0.59996337778862885"/>
      </top>
      <bottom/>
      <diagonal/>
    </border>
    <border>
      <left/>
      <right/>
      <top/>
      <bottom style="thin">
        <color theme="1" tint="0.34998626667073579"/>
      </bottom>
      <diagonal/>
    </border>
  </borders>
  <cellStyleXfs count="19">
    <xf numFmtId="0" fontId="0" fillId="0" borderId="0"/>
    <xf numFmtId="0" fontId="12" fillId="5" borderId="0" applyNumberFormat="0" applyBorder="0" applyAlignment="0" applyProtection="0"/>
    <xf numFmtId="9" fontId="4" fillId="0" borderId="0" applyFont="0" applyFill="0" applyBorder="0" applyAlignment="0" applyProtection="0"/>
    <xf numFmtId="0" fontId="3" fillId="2" borderId="0" applyNumberFormat="0" applyBorder="0" applyAlignment="0" applyProtection="0"/>
    <xf numFmtId="43" fontId="4" fillId="0" borderId="0" applyFont="0" applyFill="0" applyBorder="0" applyAlignment="0" applyProtection="0"/>
    <xf numFmtId="0" fontId="6" fillId="0" borderId="0" applyNumberFormat="0" applyFill="0" applyBorder="0" applyAlignment="0" applyProtection="0"/>
    <xf numFmtId="0" fontId="35" fillId="0" borderId="0" applyNumberFormat="0" applyAlignment="0" applyProtection="0"/>
    <xf numFmtId="0" fontId="10" fillId="6" borderId="0" applyNumberFormat="0" applyBorder="0" applyAlignment="0" applyProtection="0"/>
    <xf numFmtId="0" fontId="38" fillId="0" borderId="0" applyNumberFormat="0" applyFill="0" applyAlignment="0" applyProtection="0"/>
    <xf numFmtId="0" fontId="30" fillId="0" borderId="0" applyNumberFormat="0" applyFill="0" applyBorder="0" applyAlignment="0" applyProtection="0"/>
    <xf numFmtId="0" fontId="34" fillId="0" borderId="0" applyNumberFormat="0" applyFill="0" applyBorder="0" applyAlignment="0" applyProtection="0"/>
    <xf numFmtId="0" fontId="36" fillId="0" borderId="0" applyNumberFormat="0" applyFill="0" applyAlignment="0" applyProtection="0"/>
    <xf numFmtId="0" fontId="28" fillId="0" borderId="0" applyNumberFormat="0" applyFill="0" applyBorder="0" applyAlignment="0" applyProtection="0"/>
    <xf numFmtId="0" fontId="37" fillId="0" borderId="0" applyNumberFormat="0" applyFill="0" applyBorder="0" applyAlignment="0" applyProtection="0"/>
    <xf numFmtId="0" fontId="41" fillId="0" borderId="0"/>
    <xf numFmtId="0" fontId="2" fillId="7" borderId="0" applyNumberFormat="0" applyBorder="0" applyAlignment="0" applyProtection="0"/>
    <xf numFmtId="9" fontId="1" fillId="0" borderId="0" applyFont="0" applyFill="0" applyBorder="0" applyAlignment="0" applyProtection="0"/>
    <xf numFmtId="43" fontId="1" fillId="0" borderId="0" applyFont="0" applyFill="0" applyBorder="0" applyAlignment="0" applyProtection="0"/>
    <xf numFmtId="0" fontId="1" fillId="7" borderId="0" applyNumberFormat="0" applyBorder="0" applyAlignment="0" applyProtection="0"/>
  </cellStyleXfs>
  <cellXfs count="288">
    <xf numFmtId="0" fontId="0" fillId="0" borderId="0" xfId="0"/>
    <xf numFmtId="0" fontId="12" fillId="5" borderId="0" xfId="1"/>
    <xf numFmtId="0" fontId="0" fillId="0" borderId="0" xfId="0" applyAlignment="1">
      <alignment horizontal="left" indent="1"/>
    </xf>
    <xf numFmtId="0" fontId="0" fillId="0" borderId="0" xfId="0" applyAlignment="1">
      <alignment horizontal="right"/>
    </xf>
    <xf numFmtId="164" fontId="0" fillId="0" borderId="0" xfId="0" applyNumberFormat="1"/>
    <xf numFmtId="0" fontId="0" fillId="0" borderId="0" xfId="0" applyAlignment="1">
      <alignment horizontal="left"/>
    </xf>
    <xf numFmtId="1" fontId="0" fillId="0" borderId="0" xfId="0" applyNumberFormat="1"/>
    <xf numFmtId="0" fontId="0" fillId="0" borderId="1" xfId="0" applyBorder="1"/>
    <xf numFmtId="14" fontId="0" fillId="0" borderId="0" xfId="0" applyNumberFormat="1" applyAlignment="1">
      <alignment horizontal="left"/>
    </xf>
    <xf numFmtId="3" fontId="0" fillId="0" borderId="0" xfId="0" applyNumberFormat="1"/>
    <xf numFmtId="0" fontId="7" fillId="4" borderId="2" xfId="5" applyFont="1" applyFill="1" applyBorder="1" applyAlignment="1">
      <alignment horizontal="center" vertical="center"/>
    </xf>
    <xf numFmtId="0" fontId="8" fillId="0" borderId="0" xfId="0" applyFont="1"/>
    <xf numFmtId="0" fontId="0" fillId="0" borderId="0" xfId="0" applyAlignment="1">
      <alignment horizontal="left" indent="2"/>
    </xf>
    <xf numFmtId="0" fontId="35" fillId="0" borderId="0" xfId="6"/>
    <xf numFmtId="0" fontId="10" fillId="0" borderId="0" xfId="0" applyFont="1"/>
    <xf numFmtId="0" fontId="10" fillId="0" borderId="0" xfId="0" applyFont="1" applyAlignment="1">
      <alignment horizontal="left" indent="1"/>
    </xf>
    <xf numFmtId="0" fontId="14" fillId="0" borderId="0" xfId="0" applyFont="1"/>
    <xf numFmtId="0" fontId="10" fillId="0" borderId="0" xfId="0" applyFont="1" applyAlignment="1">
      <alignment horizontal="right"/>
    </xf>
    <xf numFmtId="0" fontId="10" fillId="0" borderId="0" xfId="0" applyFont="1" applyAlignment="1">
      <alignment horizontal="left"/>
    </xf>
    <xf numFmtId="0" fontId="10" fillId="0" borderId="1" xfId="0" applyFont="1" applyBorder="1"/>
    <xf numFmtId="0" fontId="15" fillId="3" borderId="0" xfId="0" applyFont="1" applyFill="1"/>
    <xf numFmtId="0" fontId="16" fillId="3" borderId="0" xfId="0" applyFont="1" applyFill="1"/>
    <xf numFmtId="0" fontId="16" fillId="0" borderId="0" xfId="0" applyFont="1"/>
    <xf numFmtId="0" fontId="18" fillId="3" borderId="0" xfId="0" applyFont="1" applyFill="1" applyAlignment="1">
      <alignment horizontal="left"/>
    </xf>
    <xf numFmtId="0" fontId="16" fillId="0" borderId="0" xfId="0" applyFont="1" applyAlignment="1">
      <alignment horizontal="left"/>
    </xf>
    <xf numFmtId="0" fontId="15" fillId="3" borderId="0" xfId="0" applyFont="1" applyFill="1" applyAlignment="1">
      <alignment horizontal="left"/>
    </xf>
    <xf numFmtId="0" fontId="19" fillId="3" borderId="0" xfId="0" applyFont="1" applyFill="1"/>
    <xf numFmtId="0" fontId="15" fillId="0" borderId="0" xfId="0" applyFont="1"/>
    <xf numFmtId="0" fontId="19" fillId="0" borderId="0" xfId="0" applyFont="1"/>
    <xf numFmtId="0" fontId="19" fillId="0" borderId="0" xfId="3" applyFont="1" applyFill="1" applyBorder="1" applyAlignment="1"/>
    <xf numFmtId="0" fontId="19" fillId="0" borderId="0" xfId="3" applyFont="1" applyFill="1" applyBorder="1" applyAlignment="1">
      <alignment horizontal="right"/>
    </xf>
    <xf numFmtId="0" fontId="16" fillId="0" borderId="0" xfId="0" applyFont="1" applyAlignment="1">
      <alignment horizontal="left" indent="1"/>
    </xf>
    <xf numFmtId="0" fontId="20" fillId="0" borderId="0" xfId="0" applyFont="1"/>
    <xf numFmtId="0" fontId="0" fillId="0" borderId="3" xfId="0" applyBorder="1"/>
    <xf numFmtId="0" fontId="0" fillId="0" borderId="0" xfId="0" applyAlignment="1">
      <alignment horizontal="centerContinuous"/>
    </xf>
    <xf numFmtId="2" fontId="0" fillId="0" borderId="0" xfId="0" applyNumberFormat="1" applyAlignment="1">
      <alignment horizontal="right"/>
    </xf>
    <xf numFmtId="0" fontId="6" fillId="0" borderId="0" xfId="5"/>
    <xf numFmtId="0" fontId="11" fillId="0" borderId="0" xfId="0" applyFont="1"/>
    <xf numFmtId="0" fontId="23" fillId="0" borderId="0" xfId="0" applyFont="1"/>
    <xf numFmtId="0" fontId="24" fillId="0" borderId="4" xfId="3" applyFont="1" applyFill="1" applyBorder="1"/>
    <xf numFmtId="0" fontId="24" fillId="0" borderId="4" xfId="0" applyFont="1" applyBorder="1"/>
    <xf numFmtId="0" fontId="24" fillId="0" borderId="1" xfId="3" applyFont="1" applyFill="1" applyBorder="1" applyAlignment="1">
      <alignment horizontal="left"/>
    </xf>
    <xf numFmtId="0" fontId="24" fillId="0" borderId="1" xfId="0" applyFont="1" applyBorder="1"/>
    <xf numFmtId="0" fontId="24" fillId="0" borderId="1" xfId="0" applyFont="1" applyBorder="1" applyAlignment="1">
      <alignment horizontal="right"/>
    </xf>
    <xf numFmtId="0" fontId="24" fillId="0" borderId="0" xfId="0" applyFont="1"/>
    <xf numFmtId="164" fontId="24" fillId="0" borderId="0" xfId="0" applyNumberFormat="1" applyFont="1" applyAlignment="1">
      <alignment horizontal="right"/>
    </xf>
    <xf numFmtId="0" fontId="24" fillId="0" borderId="0" xfId="0" applyFont="1" applyAlignment="1">
      <alignment horizontal="left" indent="1"/>
    </xf>
    <xf numFmtId="0" fontId="24" fillId="0" borderId="0" xfId="0" applyFont="1" applyAlignment="1">
      <alignment horizontal="right"/>
    </xf>
    <xf numFmtId="164" fontId="24" fillId="0" borderId="0" xfId="0" applyNumberFormat="1" applyFont="1"/>
    <xf numFmtId="3" fontId="24" fillId="0" borderId="0" xfId="0" applyNumberFormat="1" applyFont="1"/>
    <xf numFmtId="0" fontId="38" fillId="0" borderId="0" xfId="8"/>
    <xf numFmtId="0" fontId="13" fillId="0" borderId="0" xfId="6" applyFont="1" applyAlignment="1">
      <alignment wrapText="1"/>
    </xf>
    <xf numFmtId="0" fontId="0" fillId="0" borderId="2" xfId="0" applyBorder="1" applyAlignment="1">
      <alignment horizontal="center"/>
    </xf>
    <xf numFmtId="0" fontId="0" fillId="0" borderId="0" xfId="0" applyAlignment="1">
      <alignment horizontal="center"/>
    </xf>
    <xf numFmtId="0" fontId="30" fillId="0" borderId="0" xfId="9"/>
    <xf numFmtId="0" fontId="24" fillId="0" borderId="0" xfId="0" applyFont="1" applyAlignment="1">
      <alignment horizontal="left"/>
    </xf>
    <xf numFmtId="0" fontId="25" fillId="0" borderId="0" xfId="0" applyFont="1"/>
    <xf numFmtId="0" fontId="35" fillId="0" borderId="0" xfId="6" applyAlignment="1">
      <alignment vertical="center"/>
    </xf>
    <xf numFmtId="165" fontId="24" fillId="0" borderId="0" xfId="0" applyNumberFormat="1" applyFont="1"/>
    <xf numFmtId="0" fontId="24" fillId="0" borderId="0" xfId="3" applyFont="1" applyFill="1" applyBorder="1" applyAlignment="1">
      <alignment horizontal="left"/>
    </xf>
    <xf numFmtId="0" fontId="24" fillId="0" borderId="0" xfId="3" applyFont="1" applyFill="1" applyBorder="1" applyAlignment="1">
      <alignment horizontal="right"/>
    </xf>
    <xf numFmtId="0" fontId="24" fillId="0" borderId="1" xfId="0" applyFont="1" applyBorder="1" applyAlignment="1">
      <alignment horizontal="left"/>
    </xf>
    <xf numFmtId="164" fontId="24" fillId="0" borderId="0" xfId="3" applyNumberFormat="1" applyFont="1" applyFill="1" applyBorder="1" applyAlignment="1">
      <alignment horizontal="right"/>
    </xf>
    <xf numFmtId="0" fontId="12" fillId="5" borderId="0" xfId="1" applyAlignment="1">
      <alignment horizontal="right"/>
    </xf>
    <xf numFmtId="164" fontId="0" fillId="0" borderId="0" xfId="0" applyNumberFormat="1" applyAlignment="1">
      <alignment horizontal="right"/>
    </xf>
    <xf numFmtId="0" fontId="16" fillId="0" borderId="3" xfId="0" applyFont="1" applyBorder="1"/>
    <xf numFmtId="0" fontId="19" fillId="5" borderId="0" xfId="1" applyFont="1" applyBorder="1" applyAlignment="1">
      <alignment horizontal="left"/>
    </xf>
    <xf numFmtId="0" fontId="19" fillId="5" borderId="0" xfId="1" applyFont="1" applyBorder="1"/>
    <xf numFmtId="165" fontId="24" fillId="0" borderId="0" xfId="0" applyNumberFormat="1" applyFont="1" applyAlignment="1">
      <alignment horizontal="right"/>
    </xf>
    <xf numFmtId="165" fontId="24" fillId="0" borderId="0" xfId="3" applyNumberFormat="1" applyFont="1" applyFill="1" applyBorder="1" applyAlignment="1">
      <alignment horizontal="right"/>
    </xf>
    <xf numFmtId="0" fontId="26" fillId="3" borderId="0" xfId="0" applyFont="1" applyFill="1"/>
    <xf numFmtId="0" fontId="12" fillId="0" borderId="0" xfId="0" applyFont="1"/>
    <xf numFmtId="0" fontId="16" fillId="0" borderId="0" xfId="0" applyFont="1" applyAlignment="1">
      <alignment horizontal="right"/>
    </xf>
    <xf numFmtId="0" fontId="15" fillId="0" borderId="5" xfId="0" applyFont="1" applyBorder="1"/>
    <xf numFmtId="0" fontId="27" fillId="0" borderId="5" xfId="0" applyFont="1" applyBorder="1" applyAlignment="1">
      <alignment horizontal="center"/>
    </xf>
    <xf numFmtId="0" fontId="27" fillId="0" borderId="0" xfId="0" applyFont="1" applyAlignment="1">
      <alignment horizontal="center"/>
    </xf>
    <xf numFmtId="0" fontId="11" fillId="0" borderId="0" xfId="0" applyFont="1" applyAlignment="1">
      <alignment horizontal="right"/>
    </xf>
    <xf numFmtId="0" fontId="34" fillId="0" borderId="0" xfId="10"/>
    <xf numFmtId="0" fontId="15" fillId="0" borderId="0" xfId="0" applyFont="1" applyAlignment="1">
      <alignment horizontal="left"/>
    </xf>
    <xf numFmtId="0" fontId="36" fillId="0" borderId="0" xfId="11"/>
    <xf numFmtId="0" fontId="24" fillId="0" borderId="0" xfId="3" applyFont="1" applyFill="1" applyBorder="1" applyAlignment="1" applyProtection="1">
      <alignment horizontal="left"/>
    </xf>
    <xf numFmtId="0" fontId="29" fillId="0" borderId="0" xfId="0" applyFont="1"/>
    <xf numFmtId="0" fontId="24" fillId="0" borderId="0" xfId="0" applyFont="1" applyAlignment="1">
      <alignment horizontal="left" indent="2"/>
    </xf>
    <xf numFmtId="0" fontId="24" fillId="0" borderId="1" xfId="0" applyFont="1" applyBorder="1" applyAlignment="1">
      <alignment horizontal="left" indent="2"/>
    </xf>
    <xf numFmtId="165" fontId="24" fillId="0" borderId="0" xfId="0" applyNumberFormat="1" applyFont="1" applyAlignment="1">
      <alignment wrapText="1"/>
    </xf>
    <xf numFmtId="0" fontId="0" fillId="0" borderId="6" xfId="0" applyBorder="1"/>
    <xf numFmtId="0" fontId="0" fillId="0" borderId="7" xfId="0" applyBorder="1"/>
    <xf numFmtId="0" fontId="12" fillId="0" borderId="0" xfId="0" applyFont="1" applyAlignment="1">
      <alignment horizontal="right"/>
    </xf>
    <xf numFmtId="1" fontId="0" fillId="0" borderId="0" xfId="0" applyNumberFormat="1" applyAlignment="1">
      <alignment horizontal="right"/>
    </xf>
    <xf numFmtId="0" fontId="0" fillId="0" borderId="4" xfId="0" applyBorder="1"/>
    <xf numFmtId="0" fontId="24" fillId="0" borderId="0" xfId="0" applyFont="1" applyAlignment="1">
      <alignment horizontal="left" indent="3"/>
    </xf>
    <xf numFmtId="165" fontId="10" fillId="0" borderId="0" xfId="0" applyNumberFormat="1" applyFont="1"/>
    <xf numFmtId="0" fontId="11" fillId="0" borderId="0" xfId="0" applyFont="1" applyAlignment="1">
      <alignment horizontal="left"/>
    </xf>
    <xf numFmtId="0" fontId="11" fillId="0" borderId="1" xfId="0" applyFont="1" applyBorder="1"/>
    <xf numFmtId="0" fontId="10" fillId="0" borderId="4" xfId="0" applyFont="1" applyBorder="1"/>
    <xf numFmtId="165" fontId="24" fillId="0" borderId="0" xfId="2" applyNumberFormat="1" applyFont="1" applyAlignment="1">
      <alignment horizontal="right"/>
    </xf>
    <xf numFmtId="0" fontId="15" fillId="0" borderId="0" xfId="3" applyFont="1" applyFill="1" applyBorder="1" applyAlignment="1">
      <alignment horizontal="right"/>
    </xf>
    <xf numFmtId="0" fontId="11" fillId="0" borderId="0" xfId="0" applyFont="1" applyAlignment="1">
      <alignment horizontal="left" indent="1"/>
    </xf>
    <xf numFmtId="0" fontId="34" fillId="0" borderId="0" xfId="10" applyAlignment="1">
      <alignment vertical="center"/>
    </xf>
    <xf numFmtId="3" fontId="24" fillId="0" borderId="0" xfId="4" applyNumberFormat="1" applyFont="1" applyFill="1" applyBorder="1" applyAlignment="1">
      <alignment horizontal="right"/>
    </xf>
    <xf numFmtId="165" fontId="10" fillId="0" borderId="0" xfId="0" applyNumberFormat="1" applyFont="1" applyAlignment="1">
      <alignment horizontal="right"/>
    </xf>
    <xf numFmtId="0" fontId="11" fillId="0" borderId="0" xfId="0" applyFont="1" applyAlignment="1">
      <alignment horizontal="center"/>
    </xf>
    <xf numFmtId="0" fontId="25" fillId="0" borderId="0" xfId="0" applyFont="1" applyAlignment="1">
      <alignment horizontal="left" indent="1"/>
    </xf>
    <xf numFmtId="0" fontId="35" fillId="0" borderId="3" xfId="6" applyBorder="1"/>
    <xf numFmtId="0" fontId="11" fillId="0" borderId="3" xfId="0" applyFont="1" applyBorder="1"/>
    <xf numFmtId="0" fontId="37" fillId="0" borderId="0" xfId="13"/>
    <xf numFmtId="164" fontId="0" fillId="0" borderId="0" xfId="0" applyNumberFormat="1" applyAlignment="1">
      <alignment horizontal="right" wrapText="1"/>
    </xf>
    <xf numFmtId="165" fontId="24" fillId="0" borderId="0" xfId="0" applyNumberFormat="1" applyFont="1" applyAlignment="1">
      <alignment horizontal="right" vertical="center"/>
    </xf>
    <xf numFmtId="164" fontId="0" fillId="0" borderId="0" xfId="0" applyNumberFormat="1" applyAlignment="1">
      <alignment horizontal="right" vertical="center"/>
    </xf>
    <xf numFmtId="164" fontId="0" fillId="0" borderId="1" xfId="0" applyNumberFormat="1" applyBorder="1" applyAlignment="1">
      <alignment horizontal="right" vertical="center"/>
    </xf>
    <xf numFmtId="0" fontId="0" fillId="0" borderId="0" xfId="0" applyAlignment="1">
      <alignment horizontal="right" indent="1"/>
    </xf>
    <xf numFmtId="0" fontId="31" fillId="3" borderId="0" xfId="0" applyFont="1" applyFill="1"/>
    <xf numFmtId="0" fontId="31" fillId="3" borderId="0" xfId="0" applyFont="1" applyFill="1" applyAlignment="1">
      <alignment horizontal="right"/>
    </xf>
    <xf numFmtId="0" fontId="17" fillId="3" borderId="0" xfId="0" applyFont="1" applyFill="1" applyAlignment="1">
      <alignment horizontal="centerContinuous" vertical="center"/>
    </xf>
    <xf numFmtId="0" fontId="32" fillId="0" borderId="3" xfId="0" applyFont="1" applyBorder="1"/>
    <xf numFmtId="0" fontId="32" fillId="0" borderId="3" xfId="0" applyFont="1" applyBorder="1" applyAlignment="1">
      <alignment horizontal="left"/>
    </xf>
    <xf numFmtId="0" fontId="10" fillId="0" borderId="3" xfId="0" applyFont="1" applyBorder="1"/>
    <xf numFmtId="164" fontId="10" fillId="0" borderId="0" xfId="0" applyNumberFormat="1" applyFont="1"/>
    <xf numFmtId="0" fontId="35" fillId="0" borderId="0" xfId="6" applyAlignment="1">
      <alignment horizontal="left"/>
    </xf>
    <xf numFmtId="164" fontId="11" fillId="0" borderId="0" xfId="0" applyNumberFormat="1" applyFont="1" applyAlignment="1">
      <alignment horizontal="right"/>
    </xf>
    <xf numFmtId="0" fontId="11" fillId="0" borderId="1" xfId="0" applyFont="1" applyBorder="1" applyAlignment="1">
      <alignment horizontal="right"/>
    </xf>
    <xf numFmtId="0" fontId="10" fillId="0" borderId="0" xfId="0" applyFont="1" applyAlignment="1">
      <alignment horizontal="left" wrapText="1" indent="1"/>
    </xf>
    <xf numFmtId="0" fontId="25" fillId="0" borderId="0" xfId="0" applyFont="1" applyAlignment="1">
      <alignment horizontal="left"/>
    </xf>
    <xf numFmtId="0" fontId="0" fillId="0" borderId="0" xfId="0" applyAlignment="1">
      <alignment horizontal="right" wrapText="1"/>
    </xf>
    <xf numFmtId="0" fontId="39" fillId="0" borderId="0" xfId="0" applyFont="1"/>
    <xf numFmtId="0" fontId="10" fillId="0" borderId="0" xfId="0" applyFont="1" applyAlignment="1">
      <alignment horizontal="center"/>
    </xf>
    <xf numFmtId="164" fontId="0" fillId="0" borderId="0" xfId="0" applyNumberFormat="1" applyAlignment="1">
      <alignment horizontal="left" indent="1"/>
    </xf>
    <xf numFmtId="164" fontId="25" fillId="0" borderId="0" xfId="0" applyNumberFormat="1" applyFont="1" applyAlignment="1">
      <alignment horizontal="left" indent="1"/>
    </xf>
    <xf numFmtId="0" fontId="38" fillId="0" borderId="0" xfId="8" applyFill="1"/>
    <xf numFmtId="0" fontId="37" fillId="0" borderId="0" xfId="13" applyFill="1"/>
    <xf numFmtId="164" fontId="10" fillId="0" borderId="0" xfId="0" applyNumberFormat="1" applyFont="1" applyAlignment="1">
      <alignment horizontal="left" wrapText="1" indent="1"/>
    </xf>
    <xf numFmtId="0" fontId="0" fillId="0" borderId="0" xfId="0" applyAlignment="1">
      <alignment horizontal="left" wrapText="1" indent="1"/>
    </xf>
    <xf numFmtId="0" fontId="36" fillId="0" borderId="0" xfId="11" applyFill="1"/>
    <xf numFmtId="0" fontId="0" fillId="0" borderId="0" xfId="0" applyAlignment="1">
      <alignment vertical="center"/>
    </xf>
    <xf numFmtId="0" fontId="37" fillId="0" borderId="0" xfId="13" applyAlignment="1">
      <alignment horizontal="left" indent="1"/>
    </xf>
    <xf numFmtId="0" fontId="0" fillId="0" borderId="0" xfId="0" applyAlignment="1">
      <alignment horizontal="left" indent="3"/>
    </xf>
    <xf numFmtId="0" fontId="11" fillId="0" borderId="0" xfId="0" applyFont="1" applyAlignment="1">
      <alignment horizontal="right" indent="1"/>
    </xf>
    <xf numFmtId="0" fontId="0" fillId="0" borderId="0" xfId="0" applyAlignment="1">
      <alignment horizontal="left" vertical="center"/>
    </xf>
    <xf numFmtId="164" fontId="11" fillId="0" borderId="0" xfId="0" applyNumberFormat="1" applyFont="1" applyAlignment="1">
      <alignment horizontal="left" indent="1"/>
    </xf>
    <xf numFmtId="0" fontId="15" fillId="0" borderId="5" xfId="0" applyFont="1" applyBorder="1" applyAlignment="1">
      <alignment horizontal="left"/>
    </xf>
    <xf numFmtId="165" fontId="24" fillId="0" borderId="0" xfId="4" applyNumberFormat="1" applyFont="1" applyFill="1" applyBorder="1" applyAlignment="1"/>
    <xf numFmtId="165" fontId="24" fillId="0" borderId="0" xfId="4" applyNumberFormat="1" applyFont="1" applyFill="1" applyBorder="1" applyAlignment="1" applyProtection="1"/>
    <xf numFmtId="165" fontId="24" fillId="0" borderId="0" xfId="4" applyNumberFormat="1" applyFont="1" applyAlignment="1"/>
    <xf numFmtId="0" fontId="0" fillId="0" borderId="1" xfId="0" applyBorder="1" applyAlignment="1">
      <alignment horizontal="left"/>
    </xf>
    <xf numFmtId="165" fontId="0" fillId="0" borderId="0" xfId="0" applyNumberFormat="1"/>
    <xf numFmtId="3" fontId="0" fillId="0" borderId="0" xfId="0" applyNumberFormat="1" applyAlignment="1">
      <alignment horizontal="right"/>
    </xf>
    <xf numFmtId="3" fontId="40" fillId="0" borderId="0" xfId="14" applyNumberFormat="1" applyFont="1" applyAlignment="1">
      <alignment horizontal="right" vertical="center" shrinkToFit="1"/>
    </xf>
    <xf numFmtId="3" fontId="24" fillId="0" borderId="1" xfId="6" applyNumberFormat="1" applyFont="1" applyBorder="1"/>
    <xf numFmtId="165" fontId="24" fillId="0" borderId="0" xfId="2" applyNumberFormat="1" applyFont="1" applyBorder="1" applyAlignment="1">
      <alignment horizontal="right"/>
    </xf>
    <xf numFmtId="166" fontId="36" fillId="0" borderId="0" xfId="11" applyNumberFormat="1" applyAlignment="1">
      <alignment horizontal="left"/>
    </xf>
    <xf numFmtId="0" fontId="42" fillId="0" borderId="0" xfId="0" applyFont="1"/>
    <xf numFmtId="0" fontId="42" fillId="0" borderId="0" xfId="0" applyFont="1" applyAlignment="1">
      <alignment horizontal="left"/>
    </xf>
    <xf numFmtId="0" fontId="23" fillId="0" borderId="0" xfId="0" applyFont="1" applyAlignment="1">
      <alignment horizontal="left" vertical="center" indent="2"/>
    </xf>
    <xf numFmtId="0" fontId="44" fillId="0" borderId="0" xfId="0" applyFont="1" applyAlignment="1">
      <alignment horizontal="left" vertical="center" indent="2"/>
    </xf>
    <xf numFmtId="0" fontId="33" fillId="0" borderId="0" xfId="0" applyFont="1" applyAlignment="1">
      <alignment horizontal="left" vertical="center" indent="2"/>
    </xf>
    <xf numFmtId="165" fontId="12" fillId="0" borderId="0" xfId="3" applyNumberFormat="1" applyFont="1" applyFill="1" applyBorder="1" applyAlignment="1">
      <alignment horizontal="right"/>
    </xf>
    <xf numFmtId="165" fontId="12" fillId="0" borderId="0" xfId="4" applyNumberFormat="1" applyFont="1" applyFill="1" applyBorder="1" applyAlignment="1">
      <alignment horizontal="right"/>
    </xf>
    <xf numFmtId="0" fontId="0" fillId="0" borderId="0" xfId="0" applyAlignment="1">
      <alignment vertical="top"/>
    </xf>
    <xf numFmtId="0" fontId="0" fillId="0" borderId="0" xfId="0" applyAlignment="1">
      <alignment horizontal="right" vertical="top"/>
    </xf>
    <xf numFmtId="0" fontId="11" fillId="0" borderId="0" xfId="0" applyFont="1" applyAlignment="1">
      <alignment vertical="top"/>
    </xf>
    <xf numFmtId="0" fontId="45" fillId="0" borderId="0" xfId="0" applyFont="1"/>
    <xf numFmtId="0" fontId="45" fillId="0" borderId="0" xfId="0" applyFont="1" applyAlignment="1">
      <alignment vertical="top"/>
    </xf>
    <xf numFmtId="0" fontId="45" fillId="0" borderId="0" xfId="0" applyFont="1" applyAlignment="1">
      <alignment horizontal="right" vertical="top"/>
    </xf>
    <xf numFmtId="0" fontId="16" fillId="0" borderId="4" xfId="0" applyFont="1" applyBorder="1"/>
    <xf numFmtId="164" fontId="11" fillId="0" borderId="0" xfId="0" applyNumberFormat="1" applyFont="1"/>
    <xf numFmtId="165" fontId="11" fillId="0" borderId="0" xfId="0" applyNumberFormat="1" applyFont="1"/>
    <xf numFmtId="166" fontId="45" fillId="0" borderId="0" xfId="0" applyNumberFormat="1" applyFont="1" applyAlignment="1">
      <alignment horizontal="right" vertical="top"/>
    </xf>
    <xf numFmtId="165" fontId="11" fillId="0" borderId="0" xfId="3" applyNumberFormat="1" applyFont="1" applyFill="1" applyBorder="1" applyAlignment="1">
      <alignment horizontal="right"/>
    </xf>
    <xf numFmtId="0" fontId="0" fillId="0" borderId="8" xfId="0" applyBorder="1" applyAlignment="1">
      <alignment vertical="top"/>
    </xf>
    <xf numFmtId="0" fontId="23" fillId="0" borderId="0" xfId="0" applyFont="1" applyAlignment="1">
      <alignment vertical="top"/>
    </xf>
    <xf numFmtId="0" fontId="24" fillId="0" borderId="0" xfId="0" applyFont="1" applyAlignment="1">
      <alignment horizontal="left" vertical="center" indent="1"/>
    </xf>
    <xf numFmtId="0" fontId="0" fillId="0" borderId="0" xfId="0" applyAlignment="1">
      <alignment horizontal="left" vertical="center" indent="3"/>
    </xf>
    <xf numFmtId="0" fontId="0" fillId="0" borderId="1" xfId="0" applyBorder="1" applyAlignment="1">
      <alignment horizontal="left" vertical="center" indent="3"/>
    </xf>
    <xf numFmtId="0" fontId="15" fillId="3" borderId="0" xfId="0" applyFont="1" applyFill="1" applyAlignment="1">
      <alignment horizontal="right"/>
    </xf>
    <xf numFmtId="0" fontId="37" fillId="0" borderId="0" xfId="13" applyAlignment="1">
      <alignment horizontal="left" vertical="top" indent="1"/>
    </xf>
    <xf numFmtId="0" fontId="37" fillId="0" borderId="0" xfId="13" applyAlignment="1">
      <alignment horizontal="left" wrapText="1" indent="1"/>
    </xf>
    <xf numFmtId="0" fontId="11" fillId="0" borderId="0" xfId="3" applyFont="1" applyFill="1" applyBorder="1" applyAlignment="1">
      <alignment horizontal="right"/>
    </xf>
    <xf numFmtId="0" fontId="24" fillId="0" borderId="0" xfId="3" applyFont="1" applyFill="1" applyBorder="1" applyAlignment="1">
      <alignment horizontal="left" indent="1"/>
    </xf>
    <xf numFmtId="0" fontId="24" fillId="0" borderId="1" xfId="0" applyFont="1" applyBorder="1" applyAlignment="1">
      <alignment horizontal="left" indent="1"/>
    </xf>
    <xf numFmtId="0" fontId="0" fillId="0" borderId="8" xfId="0" applyBorder="1" applyAlignment="1">
      <alignment horizontal="right"/>
    </xf>
    <xf numFmtId="165" fontId="24" fillId="0" borderId="0" xfId="4" applyNumberFormat="1" applyFont="1" applyFill="1" applyBorder="1" applyAlignment="1">
      <alignment horizontal="right"/>
    </xf>
    <xf numFmtId="165" fontId="24" fillId="0" borderId="0" xfId="4" applyNumberFormat="1" applyFont="1" applyFill="1" applyBorder="1" applyAlignment="1" applyProtection="1">
      <alignment horizontal="right"/>
    </xf>
    <xf numFmtId="165" fontId="24" fillId="0" borderId="0" xfId="4" applyNumberFormat="1" applyFont="1" applyAlignment="1">
      <alignment horizontal="right"/>
    </xf>
    <xf numFmtId="0" fontId="0" fillId="0" borderId="8" xfId="0" applyBorder="1"/>
    <xf numFmtId="0" fontId="11" fillId="0" borderId="0" xfId="0" applyFont="1" applyAlignment="1">
      <alignment horizontal="right" vertical="top"/>
    </xf>
    <xf numFmtId="0" fontId="11" fillId="0" borderId="2" xfId="0" applyFont="1" applyBorder="1" applyAlignment="1">
      <alignment vertical="top"/>
    </xf>
    <xf numFmtId="0" fontId="11" fillId="0" borderId="2" xfId="0" applyFont="1" applyBorder="1" applyAlignment="1">
      <alignment horizontal="right" vertical="top"/>
    </xf>
    <xf numFmtId="0" fontId="35" fillId="0" borderId="0" xfId="6" applyAlignment="1">
      <alignment horizontal="left" vertical="center"/>
    </xf>
    <xf numFmtId="0" fontId="46" fillId="0" borderId="0" xfId="0" applyFont="1" applyAlignment="1">
      <alignment vertical="top"/>
    </xf>
    <xf numFmtId="0" fontId="46" fillId="0" borderId="0" xfId="0" applyFont="1"/>
    <xf numFmtId="0" fontId="12" fillId="5" borderId="11" xfId="1" applyBorder="1" applyAlignment="1">
      <alignment horizontal="center" vertical="top"/>
    </xf>
    <xf numFmtId="0" fontId="12" fillId="5" borderId="9" xfId="1" applyBorder="1" applyAlignment="1">
      <alignment horizontal="left" vertical="center"/>
    </xf>
    <xf numFmtId="0" fontId="12" fillId="5" borderId="9" xfId="1" applyBorder="1" applyAlignment="1">
      <alignment horizontal="center"/>
    </xf>
    <xf numFmtId="0" fontId="12" fillId="5" borderId="9" xfId="1" applyBorder="1" applyAlignment="1">
      <alignment horizontal="center" vertical="center" wrapText="1"/>
    </xf>
    <xf numFmtId="0" fontId="12" fillId="5" borderId="12" xfId="1" applyBorder="1" applyAlignment="1">
      <alignment horizontal="center" vertical="top"/>
    </xf>
    <xf numFmtId="0" fontId="10" fillId="6" borderId="0" xfId="7" applyBorder="1" applyAlignment="1">
      <alignment horizontal="left" vertical="top" wrapText="1"/>
    </xf>
    <xf numFmtId="0" fontId="10" fillId="6" borderId="0" xfId="7" applyBorder="1" applyAlignment="1">
      <alignment horizontal="left"/>
    </xf>
    <xf numFmtId="164" fontId="47" fillId="3" borderId="0" xfId="0" applyNumberFormat="1" applyFont="1" applyFill="1" applyAlignment="1">
      <alignment horizontal="center" vertical="center"/>
    </xf>
    <xf numFmtId="164" fontId="0" fillId="3" borderId="0" xfId="0" applyNumberFormat="1" applyFill="1" applyAlignment="1">
      <alignment horizontal="center" vertical="center"/>
    </xf>
    <xf numFmtId="0" fontId="10" fillId="6" borderId="0" xfId="7" applyBorder="1" applyAlignment="1">
      <alignment horizontal="left" vertical="top" wrapText="1" indent="1"/>
    </xf>
    <xf numFmtId="0" fontId="10" fillId="6" borderId="0" xfId="7" applyBorder="1" applyAlignment="1">
      <alignment vertical="top"/>
    </xf>
    <xf numFmtId="0" fontId="10" fillId="6" borderId="0" xfId="7" applyBorder="1" applyAlignment="1">
      <alignment horizontal="left" wrapText="1"/>
    </xf>
    <xf numFmtId="0" fontId="12" fillId="5" borderId="13" xfId="1" applyBorder="1" applyAlignment="1">
      <alignment horizontal="center" vertical="top"/>
    </xf>
    <xf numFmtId="0" fontId="10" fillId="6" borderId="10" xfId="7" applyBorder="1" applyAlignment="1">
      <alignment vertical="top"/>
    </xf>
    <xf numFmtId="0" fontId="10" fillId="6" borderId="10" xfId="7" applyBorder="1" applyAlignment="1">
      <alignment horizontal="left"/>
    </xf>
    <xf numFmtId="164" fontId="47" fillId="3" borderId="10" xfId="0" applyNumberFormat="1" applyFont="1" applyFill="1" applyBorder="1" applyAlignment="1">
      <alignment horizontal="center" vertical="center"/>
    </xf>
    <xf numFmtId="0" fontId="0" fillId="3" borderId="0" xfId="0" applyFill="1" applyAlignment="1">
      <alignment vertical="top"/>
    </xf>
    <xf numFmtId="0" fontId="0" fillId="3" borderId="0" xfId="0" applyFill="1"/>
    <xf numFmtId="164" fontId="48" fillId="3" borderId="0" xfId="0" applyNumberFormat="1" applyFont="1" applyFill="1" applyAlignment="1">
      <alignment horizontal="center" vertical="center"/>
    </xf>
    <xf numFmtId="0" fontId="12" fillId="5" borderId="0" xfId="1" applyBorder="1" applyAlignment="1">
      <alignment horizontal="left" vertical="center"/>
    </xf>
    <xf numFmtId="0" fontId="12" fillId="5" borderId="0" xfId="1" applyBorder="1" applyAlignment="1">
      <alignment horizontal="center" vertical="center" wrapText="1"/>
    </xf>
    <xf numFmtId="1" fontId="12" fillId="5" borderId="0" xfId="1" applyNumberFormat="1" applyBorder="1" applyAlignment="1">
      <alignment horizontal="center" vertical="center" wrapText="1"/>
    </xf>
    <xf numFmtId="0" fontId="12" fillId="5" borderId="0" xfId="1" applyBorder="1"/>
    <xf numFmtId="0" fontId="10" fillId="6" borderId="10" xfId="7" applyBorder="1" applyAlignment="1">
      <alignment horizontal="left" vertical="top" wrapText="1"/>
    </xf>
    <xf numFmtId="164" fontId="48" fillId="3" borderId="10" xfId="0" applyNumberFormat="1" applyFont="1" applyFill="1" applyBorder="1" applyAlignment="1">
      <alignment horizontal="center" vertical="center"/>
    </xf>
    <xf numFmtId="0" fontId="48" fillId="3" borderId="10" xfId="0" applyFont="1" applyFill="1" applyBorder="1"/>
    <xf numFmtId="0" fontId="48" fillId="3" borderId="10" xfId="0" applyFont="1" applyFill="1" applyBorder="1" applyAlignment="1">
      <alignment horizontal="center" vertical="center"/>
    </xf>
    <xf numFmtId="164" fontId="48" fillId="0" borderId="10" xfId="0" applyNumberFormat="1" applyFont="1" applyBorder="1" applyAlignment="1">
      <alignment horizontal="center" vertical="center"/>
    </xf>
    <xf numFmtId="0" fontId="48" fillId="3" borderId="10" xfId="0" applyFont="1" applyFill="1" applyBorder="1" applyAlignment="1">
      <alignment horizontal="center"/>
    </xf>
    <xf numFmtId="164" fontId="48" fillId="3" borderId="10" xfId="0" applyNumberFormat="1" applyFont="1" applyFill="1" applyBorder="1" applyAlignment="1">
      <alignment horizontal="center"/>
    </xf>
    <xf numFmtId="0" fontId="0" fillId="3" borderId="0" xfId="0" applyFill="1" applyAlignment="1">
      <alignment horizontal="center" vertical="top"/>
    </xf>
    <xf numFmtId="0" fontId="49" fillId="3" borderId="0" xfId="0" applyFont="1" applyFill="1"/>
    <xf numFmtId="0" fontId="12" fillId="5" borderId="11" xfId="1" applyBorder="1"/>
    <xf numFmtId="0" fontId="12" fillId="5" borderId="9" xfId="1" applyBorder="1"/>
    <xf numFmtId="0" fontId="12" fillId="5" borderId="12" xfId="1" applyBorder="1"/>
    <xf numFmtId="0" fontId="10" fillId="6" borderId="0" xfId="7" applyBorder="1"/>
    <xf numFmtId="0" fontId="12" fillId="5" borderId="13" xfId="1" applyBorder="1"/>
    <xf numFmtId="0" fontId="10" fillId="6" borderId="10" xfId="7" applyBorder="1"/>
    <xf numFmtId="0" fontId="0" fillId="0" borderId="10" xfId="0" applyBorder="1"/>
    <xf numFmtId="0" fontId="10" fillId="6" borderId="0" xfId="7" applyBorder="1" applyAlignment="1">
      <alignment horizontal="left" vertical="top" wrapText="1" indent="2"/>
    </xf>
    <xf numFmtId="0" fontId="10" fillId="6" borderId="0" xfId="7" applyBorder="1" applyAlignment="1">
      <alignment horizontal="center"/>
    </xf>
    <xf numFmtId="0" fontId="10" fillId="6" borderId="10" xfId="7" applyBorder="1" applyAlignment="1">
      <alignment horizontal="left" vertical="top" wrapText="1" indent="2"/>
    </xf>
    <xf numFmtId="0" fontId="10" fillId="6" borderId="10" xfId="7" applyBorder="1" applyAlignment="1">
      <alignment horizontal="center"/>
    </xf>
    <xf numFmtId="164" fontId="0" fillId="3" borderId="10" xfId="0" applyNumberFormat="1" applyFill="1" applyBorder="1" applyAlignment="1">
      <alignment horizontal="center" vertical="center"/>
    </xf>
    <xf numFmtId="0" fontId="12" fillId="5" borderId="9" xfId="1" applyBorder="1" applyAlignment="1">
      <alignment horizontal="right"/>
    </xf>
    <xf numFmtId="0" fontId="12" fillId="5" borderId="0" xfId="1" applyBorder="1" applyAlignment="1">
      <alignment horizontal="right"/>
    </xf>
    <xf numFmtId="164" fontId="12" fillId="5" borderId="0" xfId="1" applyNumberFormat="1" applyBorder="1" applyAlignment="1">
      <alignment horizontal="right"/>
    </xf>
    <xf numFmtId="164" fontId="12" fillId="5" borderId="0" xfId="1" applyNumberFormat="1" applyBorder="1"/>
    <xf numFmtId="164" fontId="10" fillId="6" borderId="0" xfId="7" applyNumberFormat="1"/>
    <xf numFmtId="0" fontId="10" fillId="6" borderId="0" xfId="7"/>
    <xf numFmtId="0" fontId="10" fillId="6" borderId="0" xfId="7" applyBorder="1" applyAlignment="1">
      <alignment horizontal="left" indent="2"/>
    </xf>
    <xf numFmtId="0" fontId="10" fillId="6" borderId="0" xfId="7" applyBorder="1" applyAlignment="1">
      <alignment horizontal="left" indent="4"/>
    </xf>
    <xf numFmtId="164" fontId="10" fillId="6" borderId="0" xfId="7" applyNumberFormat="1" applyBorder="1"/>
    <xf numFmtId="0" fontId="10" fillId="6" borderId="0" xfId="7" applyBorder="1" applyAlignment="1">
      <alignment horizontal="left" indent="1"/>
    </xf>
    <xf numFmtId="164" fontId="2" fillId="7" borderId="0" xfId="15" applyNumberFormat="1" applyBorder="1"/>
    <xf numFmtId="164" fontId="2" fillId="7" borderId="10" xfId="15" applyNumberFormat="1" applyBorder="1"/>
    <xf numFmtId="0" fontId="2" fillId="7" borderId="0" xfId="15" applyBorder="1"/>
    <xf numFmtId="0" fontId="2" fillId="7" borderId="0" xfId="15"/>
    <xf numFmtId="164" fontId="2" fillId="7" borderId="0" xfId="15" applyNumberFormat="1"/>
    <xf numFmtId="0" fontId="0" fillId="8" borderId="14" xfId="0" applyFill="1" applyBorder="1"/>
    <xf numFmtId="0" fontId="38" fillId="0" borderId="0" xfId="8" applyAlignment="1">
      <alignment horizontal="left"/>
    </xf>
    <xf numFmtId="0" fontId="32" fillId="0" borderId="3" xfId="0" applyFont="1" applyBorder="1" applyAlignment="1">
      <alignment horizontal="center"/>
    </xf>
    <xf numFmtId="165" fontId="11" fillId="0" borderId="0" xfId="0" applyNumberFormat="1" applyFont="1" applyAlignment="1">
      <alignment wrapText="1"/>
    </xf>
    <xf numFmtId="165" fontId="11" fillId="0" borderId="0" xfId="0" applyNumberFormat="1" applyFont="1" applyAlignment="1">
      <alignment horizontal="right"/>
    </xf>
    <xf numFmtId="167" fontId="42" fillId="0" borderId="0" xfId="0" applyNumberFormat="1" applyFont="1" applyAlignment="1">
      <alignment horizontal="left"/>
    </xf>
    <xf numFmtId="165" fontId="24" fillId="0" borderId="0" xfId="4" applyNumberFormat="1" applyFont="1" applyFill="1" applyBorder="1" applyAlignment="1">
      <alignment horizontal="left"/>
    </xf>
    <xf numFmtId="165" fontId="24" fillId="0" borderId="0" xfId="4" applyNumberFormat="1" applyFont="1" applyFill="1" applyBorder="1" applyAlignment="1" applyProtection="1">
      <alignment horizontal="left"/>
    </xf>
    <xf numFmtId="165" fontId="11" fillId="0" borderId="0" xfId="4" applyNumberFormat="1" applyFont="1" applyFill="1" applyBorder="1" applyAlignment="1">
      <alignment horizontal="left"/>
    </xf>
    <xf numFmtId="164" fontId="50" fillId="0" borderId="0" xfId="0" applyNumberFormat="1" applyFont="1"/>
    <xf numFmtId="165" fontId="50" fillId="0" borderId="0" xfId="0" applyNumberFormat="1" applyFont="1"/>
    <xf numFmtId="0" fontId="51" fillId="0" borderId="0" xfId="0" applyFont="1"/>
    <xf numFmtId="0" fontId="0" fillId="0" borderId="15" xfId="0" applyBorder="1"/>
    <xf numFmtId="165" fontId="11" fillId="0" borderId="1" xfId="4" applyNumberFormat="1" applyFont="1" applyFill="1" applyBorder="1" applyAlignment="1">
      <alignment horizontal="left"/>
    </xf>
    <xf numFmtId="165" fontId="24" fillId="0" borderId="1" xfId="4" applyNumberFormat="1" applyFont="1" applyFill="1" applyBorder="1" applyAlignment="1" applyProtection="1">
      <alignment horizontal="left"/>
    </xf>
    <xf numFmtId="165" fontId="24" fillId="0" borderId="1" xfId="4" applyNumberFormat="1" applyFont="1" applyFill="1" applyBorder="1" applyAlignment="1" applyProtection="1">
      <alignment horizontal="right"/>
    </xf>
    <xf numFmtId="166" fontId="0" fillId="0" borderId="2" xfId="0" applyNumberFormat="1" applyBorder="1" applyAlignment="1">
      <alignment horizontal="right"/>
    </xf>
    <xf numFmtId="0" fontId="11" fillId="0" borderId="2" xfId="0" applyFont="1" applyBorder="1" applyAlignment="1">
      <alignment horizontal="center"/>
    </xf>
    <xf numFmtId="0" fontId="45" fillId="0" borderId="0" xfId="0" applyFont="1" applyAlignment="1">
      <alignment horizontal="right"/>
    </xf>
    <xf numFmtId="164" fontId="2" fillId="7" borderId="0" xfId="15" applyNumberFormat="1" applyBorder="1" applyProtection="1">
      <protection locked="0"/>
    </xf>
    <xf numFmtId="164" fontId="2" fillId="7" borderId="10" xfId="15" applyNumberFormat="1" applyBorder="1" applyProtection="1">
      <protection locked="0"/>
    </xf>
    <xf numFmtId="0" fontId="2" fillId="7" borderId="0" xfId="15" applyBorder="1" applyProtection="1">
      <protection locked="0"/>
    </xf>
    <xf numFmtId="164" fontId="44" fillId="0" borderId="0" xfId="0" applyNumberFormat="1" applyFont="1" applyProtection="1">
      <protection locked="0"/>
    </xf>
    <xf numFmtId="0" fontId="12" fillId="0" borderId="0" xfId="1" applyFill="1" applyBorder="1" applyAlignment="1">
      <alignment horizontal="right"/>
    </xf>
    <xf numFmtId="0" fontId="10" fillId="0" borderId="0" xfId="7" applyFill="1" applyBorder="1" applyProtection="1">
      <protection locked="0"/>
    </xf>
    <xf numFmtId="164" fontId="10" fillId="0" borderId="0" xfId="7" applyNumberFormat="1" applyFill="1" applyBorder="1" applyProtection="1">
      <protection locked="0"/>
    </xf>
    <xf numFmtId="164" fontId="10" fillId="0" borderId="0" xfId="7" applyNumberFormat="1" applyFill="1"/>
    <xf numFmtId="0" fontId="2" fillId="0" borderId="0" xfId="15" applyFill="1" applyProtection="1">
      <protection locked="0"/>
    </xf>
    <xf numFmtId="164" fontId="2" fillId="0" borderId="0" xfId="15" applyNumberFormat="1" applyFill="1" applyProtection="1">
      <protection locked="0"/>
    </xf>
    <xf numFmtId="165" fontId="11" fillId="0" borderId="0" xfId="4" applyNumberFormat="1" applyFont="1" applyFill="1" applyBorder="1" applyAlignment="1">
      <alignment horizontal="right"/>
    </xf>
    <xf numFmtId="3" fontId="44" fillId="0" borderId="0" xfId="4" applyNumberFormat="1" applyFont="1" applyBorder="1" applyProtection="1">
      <protection locked="0"/>
    </xf>
    <xf numFmtId="2" fontId="0" fillId="0" borderId="0" xfId="0" applyNumberFormat="1"/>
    <xf numFmtId="164" fontId="10" fillId="0" borderId="0" xfId="7" applyNumberFormat="1" applyFill="1" applyBorder="1"/>
    <xf numFmtId="0" fontId="2" fillId="0" borderId="0" xfId="15" applyFill="1" applyBorder="1"/>
    <xf numFmtId="164" fontId="2" fillId="0" borderId="0" xfId="15" applyNumberFormat="1" applyFill="1" applyBorder="1"/>
    <xf numFmtId="0" fontId="0" fillId="0" borderId="2" xfId="0" applyBorder="1" applyAlignment="1">
      <alignment horizontal="right"/>
    </xf>
    <xf numFmtId="0" fontId="11" fillId="0" borderId="2" xfId="0" applyFont="1" applyBorder="1" applyAlignment="1">
      <alignment horizontal="right"/>
    </xf>
    <xf numFmtId="17" fontId="0" fillId="0" borderId="2" xfId="0" applyNumberFormat="1" applyBorder="1" applyAlignment="1">
      <alignment horizontal="right"/>
    </xf>
    <xf numFmtId="0" fontId="0" fillId="0" borderId="0" xfId="0" applyFont="1" applyAlignment="1">
      <alignment horizontal="left"/>
    </xf>
  </cellXfs>
  <cellStyles count="19">
    <cellStyle name="20% - Accent1" xfId="7" builtinId="30" customBuiltin="1"/>
    <cellStyle name="20% - Accent3" xfId="15" builtinId="38"/>
    <cellStyle name="20% - Accent3 2" xfId="18" xr:uid="{E61EEE68-7558-43CC-A154-9FFDE52FDDA5}"/>
    <cellStyle name="Accent1" xfId="1" builtinId="29" customBuiltin="1"/>
    <cellStyle name="Accent5" xfId="3" builtinId="45"/>
    <cellStyle name="Comma" xfId="4" builtinId="3"/>
    <cellStyle name="Comma 2" xfId="17" xr:uid="{9FC5B58F-AAED-4640-84BE-5F1C3919C838}"/>
    <cellStyle name="Explanatory Text" xfId="13" builtinId="53" customBuiltin="1"/>
    <cellStyle name="Heading 1" xfId="6" builtinId="16" customBuiltin="1"/>
    <cellStyle name="Heading 2" xfId="8" builtinId="17" customBuiltin="1"/>
    <cellStyle name="Heading 3" xfId="11" builtinId="18" customBuiltin="1"/>
    <cellStyle name="Heading 4" xfId="9" builtinId="19" customBuiltin="1"/>
    <cellStyle name="Hyperlink" xfId="5" builtinId="8"/>
    <cellStyle name="Normal" xfId="0" builtinId="0" customBuiltin="1"/>
    <cellStyle name="Normal 2" xfId="14" xr:uid="{B1C55207-B713-483F-A199-D6B53B263BF0}"/>
    <cellStyle name="Per cent" xfId="2" builtinId="5"/>
    <cellStyle name="Per cent 2" xfId="16" xr:uid="{356D689F-ADAB-465D-9BE5-4799A332BB79}"/>
    <cellStyle name="Title" xfId="10" builtinId="15" customBuiltin="1"/>
    <cellStyle name="Warning Text" xfId="12" builtinId="11" hidden="1"/>
  </cellStyles>
  <dxfs count="217">
    <dxf>
      <font>
        <color theme="0"/>
      </font>
    </dxf>
    <dxf>
      <font>
        <color theme="0"/>
      </font>
    </dxf>
    <dxf>
      <font>
        <color theme="0"/>
      </font>
    </dxf>
    <dxf>
      <border>
        <top style="thin">
          <color auto="1"/>
        </top>
        <bottom style="thin">
          <color auto="1"/>
        </bottom>
        <vertical/>
        <horizontal/>
      </border>
    </dxf>
    <dxf>
      <font>
        <color theme="0"/>
      </font>
    </dxf>
    <dxf>
      <font>
        <strike val="0"/>
        <u val="none"/>
        <color theme="0" tint="-0.499984740745262"/>
      </font>
      <border>
        <left/>
        <right/>
        <top/>
        <bottom/>
        <vertical/>
        <horizontal/>
      </border>
    </dxf>
    <dxf>
      <font>
        <color theme="0"/>
      </font>
    </dxf>
    <dxf>
      <border>
        <bottom style="thin">
          <color auto="1"/>
        </bottom>
        <vertical/>
        <horizontal/>
      </border>
    </dxf>
    <dxf>
      <border>
        <bottom style="thin">
          <color auto="1"/>
        </bottom>
        <vertical/>
        <horizontal/>
      </border>
    </dxf>
    <dxf>
      <font>
        <color theme="0"/>
      </font>
    </dxf>
    <dxf>
      <font>
        <color theme="0"/>
      </font>
    </dxf>
    <dxf>
      <border>
        <bottom style="thin">
          <color auto="1"/>
        </bottom>
        <vertical/>
        <horizontal/>
      </border>
    </dxf>
    <dxf>
      <border>
        <bottom style="thin">
          <color auto="1"/>
        </bottom>
        <vertical/>
        <horizontal/>
      </border>
    </dxf>
    <dxf>
      <border>
        <bottom style="thin">
          <color auto="1"/>
        </bottom>
        <vertical/>
        <horizontal/>
      </border>
    </dxf>
    <dxf>
      <border>
        <bottom style="thin">
          <color auto="1"/>
        </bottom>
        <vertical/>
        <horizontal/>
      </border>
    </dxf>
    <dxf>
      <border>
        <top style="thin">
          <color auto="1"/>
        </top>
        <bottom/>
        <vertical/>
        <horizontal/>
      </border>
    </dxf>
    <dxf>
      <border>
        <bottom style="thin">
          <color auto="1"/>
        </bottom>
        <vertical/>
        <horizontal/>
      </border>
    </dxf>
    <dxf>
      <border>
        <top style="thin">
          <color auto="1"/>
        </top>
        <bottom style="thin">
          <color auto="1"/>
        </bottom>
        <vertical/>
        <horizontal/>
      </border>
    </dxf>
    <dxf>
      <font>
        <color theme="0"/>
      </font>
    </dxf>
    <dxf>
      <border>
        <left/>
        <right/>
        <top style="thin">
          <color auto="1"/>
        </top>
        <bottom/>
        <vertical/>
        <horizontal/>
      </border>
    </dxf>
    <dxf>
      <border>
        <left/>
        <right/>
        <top/>
        <bottom style="thin">
          <color auto="1"/>
        </bottom>
        <vertical/>
        <horizontal/>
      </border>
    </dxf>
    <dxf>
      <border>
        <left/>
        <right/>
        <top style="thin">
          <color auto="1"/>
        </top>
        <bottom/>
        <vertical/>
        <horizontal/>
      </border>
    </dxf>
    <dxf>
      <border>
        <left/>
        <right/>
        <top/>
        <bottom style="thin">
          <color auto="1"/>
        </bottom>
        <vertical/>
        <horizontal/>
      </border>
    </dxf>
    <dxf>
      <border>
        <bottom style="thin">
          <color auto="1"/>
        </bottom>
        <vertical/>
        <horizontal/>
      </border>
    </dxf>
    <dxf>
      <border>
        <top style="thin">
          <color auto="1"/>
        </top>
        <bottom/>
        <vertical/>
        <horizontal/>
      </border>
    </dxf>
    <dxf>
      <font>
        <strike val="0"/>
        <u val="none"/>
        <color theme="0" tint="-0.499984740745262"/>
      </font>
      <border>
        <left/>
        <right/>
        <top/>
        <bottom style="thin">
          <color auto="1"/>
        </bottom>
        <vertical/>
        <horizontal/>
      </border>
    </dxf>
    <dxf>
      <border>
        <bottom style="thin">
          <color auto="1"/>
        </bottom>
      </border>
    </dxf>
    <dxf>
      <border>
        <top style="thin">
          <color auto="1"/>
        </top>
        <bottom/>
        <vertical/>
        <horizontal/>
      </border>
    </dxf>
    <dxf>
      <border>
        <bottom style="thin">
          <color auto="1"/>
        </bottom>
        <vertical/>
        <horizontal/>
      </border>
    </dxf>
    <dxf>
      <border>
        <top style="thin">
          <color auto="1"/>
        </top>
        <bottom style="thin">
          <color auto="1"/>
        </bottom>
        <vertical/>
        <horizontal/>
      </border>
    </dxf>
    <dxf>
      <border>
        <bottom style="thin">
          <color auto="1"/>
        </bottom>
        <vertical/>
        <horizontal/>
      </border>
    </dxf>
    <dxf>
      <border>
        <bottom style="thin">
          <color auto="1"/>
        </bottom>
      </border>
    </dxf>
    <dxf>
      <border>
        <bottom style="thin">
          <color auto="1"/>
        </bottom>
        <vertical/>
        <horizontal/>
      </border>
    </dxf>
    <dxf>
      <border>
        <bottom style="thin">
          <color auto="1"/>
        </bottom>
      </border>
    </dxf>
    <dxf>
      <border>
        <bottom style="thin">
          <color auto="1"/>
        </bottom>
        <vertical/>
        <horizontal/>
      </border>
    </dxf>
    <dxf>
      <border>
        <bottom style="thin">
          <color auto="1"/>
        </bottom>
      </border>
    </dxf>
    <dxf>
      <border>
        <bottom style="thin">
          <color auto="1"/>
        </bottom>
        <vertical/>
        <horizontal/>
      </border>
    </dxf>
    <dxf>
      <border>
        <bottom style="thin">
          <color auto="1"/>
        </bottom>
        <vertical/>
        <horizontal/>
      </border>
    </dxf>
    <dxf>
      <border>
        <top style="thin">
          <color auto="1"/>
        </top>
        <bottom style="thin">
          <color auto="1"/>
        </bottom>
        <vertical/>
        <horizontal/>
      </border>
    </dxf>
    <dxf>
      <border>
        <bottom style="thin">
          <color auto="1"/>
        </bottom>
        <vertical/>
        <horizontal/>
      </border>
    </dxf>
    <dxf>
      <border>
        <bottom style="thin">
          <color auto="1"/>
        </bottom>
      </border>
    </dxf>
    <dxf>
      <font>
        <color theme="0"/>
      </font>
    </dxf>
    <dxf>
      <font>
        <color theme="0"/>
      </font>
    </dxf>
    <dxf>
      <font>
        <color theme="0"/>
      </font>
    </dxf>
    <dxf>
      <font>
        <color theme="0"/>
      </font>
    </dxf>
    <dxf>
      <font>
        <color theme="0"/>
      </font>
    </dxf>
    <dxf>
      <fill>
        <patternFill>
          <bgColor rgb="FFDDEBF7"/>
        </patternFill>
      </fill>
    </dxf>
    <dxf>
      <font>
        <color theme="0"/>
      </font>
    </dxf>
    <dxf>
      <fill>
        <patternFill>
          <bgColor rgb="FFDDEBF7"/>
        </patternFill>
      </fill>
    </dxf>
    <dxf>
      <font>
        <color theme="0"/>
      </font>
    </dxf>
    <dxf>
      <fill>
        <patternFill>
          <bgColor rgb="FFDDEBF7"/>
        </patternFill>
      </fill>
    </dxf>
    <dxf>
      <font>
        <color theme="0"/>
      </font>
    </dxf>
    <dxf>
      <fill>
        <patternFill>
          <bgColor rgb="FFDDEBF7"/>
        </patternFill>
      </fill>
    </dxf>
    <dxf>
      <font>
        <color theme="0"/>
      </font>
    </dxf>
    <dxf>
      <fill>
        <patternFill>
          <bgColor rgb="FFEDEDED"/>
        </patternFill>
      </fill>
    </dxf>
    <dxf>
      <font>
        <color theme="0"/>
      </font>
      <fill>
        <patternFill>
          <bgColor theme="8" tint="-0.499984740745262"/>
        </patternFill>
      </fill>
    </dxf>
    <dxf>
      <font>
        <color theme="0"/>
      </font>
      <fill>
        <patternFill>
          <bgColor theme="8" tint="-0.499984740745262"/>
        </patternFill>
      </fill>
    </dxf>
    <dxf>
      <fill>
        <patternFill>
          <bgColor rgb="FFDDEBF7"/>
        </patternFill>
      </fill>
    </dxf>
    <dxf>
      <font>
        <color theme="0"/>
      </font>
    </dxf>
    <dxf>
      <fill>
        <patternFill>
          <bgColor rgb="FFDDEBF7"/>
        </patternFill>
      </fill>
    </dxf>
    <dxf>
      <fill>
        <patternFill>
          <bgColor rgb="FFDDEBF7"/>
        </patternFill>
      </fill>
    </dxf>
    <dxf>
      <fill>
        <patternFill>
          <bgColor rgb="FFDDEBF7"/>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font>
        <color theme="7" tint="-0.24994659260841701"/>
      </font>
    </dxf>
    <dxf>
      <font>
        <color rgb="FF007635"/>
      </font>
    </dxf>
    <dxf>
      <font>
        <color rgb="FF800000"/>
      </font>
      <fill>
        <patternFill>
          <bgColor rgb="FFFFCCCC"/>
        </patternFill>
      </fill>
    </dxf>
    <dxf>
      <font>
        <color theme="7" tint="-0.499984740745262"/>
      </font>
      <fill>
        <patternFill>
          <bgColor theme="7" tint="0.79998168889431442"/>
        </patternFill>
      </fill>
    </dxf>
    <dxf>
      <font>
        <color rgb="FF007635"/>
      </font>
      <fill>
        <patternFill>
          <bgColor rgb="FFDDFFEC"/>
        </patternFill>
      </fill>
    </dxf>
    <dxf>
      <font>
        <color theme="0" tint="-0.499984740745262"/>
      </font>
      <fill>
        <patternFill patternType="none">
          <bgColor auto="1"/>
        </patternFill>
      </fill>
    </dxf>
    <dxf>
      <font>
        <color rgb="FF007635"/>
      </font>
      <fill>
        <patternFill patternType="none">
          <bgColor auto="1"/>
        </patternFill>
      </fill>
    </dxf>
    <dxf>
      <font>
        <color rgb="FFC00000"/>
      </font>
    </dxf>
    <dxf>
      <font>
        <color theme="7" tint="-0.499984740745262"/>
      </font>
    </dxf>
    <dxf>
      <font>
        <color theme="0"/>
      </font>
    </dxf>
    <dxf>
      <font>
        <color theme="0"/>
      </font>
    </dxf>
    <dxf>
      <border>
        <bottom style="thin">
          <color auto="1"/>
        </bottom>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auto="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theme="2" tint="-0.2499465926084170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theme="2" tint="-0.2499465926084170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theme="2" tint="-0.2499465926084170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theme="2" tint="-0.2499465926084170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auto="1"/>
        </bottom>
        <vertical/>
        <horizontal/>
      </border>
    </dxf>
    <dxf>
      <fill>
        <patternFill>
          <bgColor theme="9" tint="0.7999816888943144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border>
        <bottom style="thin">
          <color auto="1"/>
        </bottom>
        <vertical/>
        <horizontal/>
      </border>
    </dxf>
    <dxf>
      <border>
        <left/>
        <right/>
        <top style="thin">
          <color auto="1"/>
        </top>
        <bottom/>
        <vertical/>
        <horizontal/>
      </border>
    </dxf>
    <dxf>
      <border>
        <left/>
        <right/>
        <top/>
        <bottom style="thin">
          <color auto="1"/>
        </bottom>
        <vertical/>
        <horizontal/>
      </border>
    </dxf>
    <dxf>
      <border>
        <left/>
        <right/>
        <top style="thin">
          <color auto="1"/>
        </top>
        <bottom/>
        <vertical/>
        <horizontal/>
      </border>
    </dxf>
    <dxf>
      <border>
        <left/>
        <right/>
        <top/>
        <bottom style="thin">
          <color auto="1"/>
        </bottom>
        <vertical/>
        <horizontal/>
      </border>
    </dxf>
    <dxf>
      <border>
        <bottom style="thin">
          <color auto="1"/>
        </bottom>
        <vertical/>
        <horizontal/>
      </border>
    </dxf>
    <dxf>
      <border>
        <top style="thin">
          <color auto="1"/>
        </top>
        <bottom/>
        <vertical/>
        <horizontal/>
      </border>
    </dxf>
    <dxf>
      <border>
        <bottom style="thin">
          <color auto="1"/>
        </bottom>
      </border>
    </dxf>
    <dxf>
      <font>
        <color theme="7" tint="-0.24994659260841701"/>
      </font>
    </dxf>
    <dxf>
      <font>
        <color rgb="FFC00000"/>
      </font>
    </dxf>
    <dxf>
      <font>
        <strike val="0"/>
        <color rgb="FFC00000"/>
      </font>
    </dxf>
    <dxf>
      <font>
        <strike val="0"/>
        <color theme="7" tint="-0.24994659260841701"/>
      </font>
    </dxf>
    <dxf>
      <font>
        <strike val="0"/>
        <color rgb="FFC00000"/>
      </font>
    </dxf>
    <dxf>
      <font>
        <strike val="0"/>
        <color theme="7" tint="-0.24994659260841701"/>
      </font>
    </dxf>
    <dxf>
      <border>
        <bottom style="thin">
          <color auto="1"/>
        </bottom>
        <vertical/>
        <horizontal/>
      </border>
    </dxf>
    <dxf>
      <border>
        <left/>
        <right/>
        <top/>
        <bottom style="thin">
          <color theme="1" tint="0.34998626667073579"/>
        </bottom>
        <vertical/>
        <horizontal/>
      </border>
    </dxf>
    <dxf>
      <font>
        <color theme="0"/>
      </font>
      <fill>
        <patternFill>
          <bgColor theme="8" tint="-0.499984740745262"/>
        </patternFill>
      </fill>
    </dxf>
    <dxf>
      <font>
        <color rgb="FFC00000"/>
      </font>
    </dxf>
    <dxf>
      <font>
        <color rgb="FF00B050"/>
      </font>
    </dxf>
    <dxf>
      <font>
        <color theme="0" tint="-0.499984740745262"/>
      </font>
      <fill>
        <patternFill patternType="none">
          <bgColor auto="1"/>
        </patternFill>
      </fill>
    </dxf>
    <dxf>
      <font>
        <color rgb="FF800000"/>
      </font>
      <fill>
        <patternFill>
          <bgColor rgb="FFFFCCCC"/>
        </patternFill>
      </fill>
    </dxf>
    <dxf>
      <font>
        <color theme="7" tint="-0.499984740745262"/>
      </font>
      <fill>
        <patternFill>
          <bgColor theme="7" tint="0.79998168889431442"/>
        </patternFill>
      </fill>
    </dxf>
    <dxf>
      <font>
        <color rgb="FF007635"/>
      </font>
      <fill>
        <patternFill>
          <bgColor rgb="FFDDFFEC"/>
        </patternFill>
      </fill>
    </dxf>
    <dxf>
      <font>
        <color rgb="FF007635"/>
      </font>
    </dxf>
    <dxf>
      <font>
        <strike val="0"/>
        <color rgb="FF007635"/>
      </font>
    </dxf>
    <dxf>
      <font>
        <strike val="0"/>
        <color rgb="FF007635"/>
      </font>
    </dxf>
    <dxf>
      <font>
        <color theme="0"/>
      </font>
      <fill>
        <patternFill>
          <bgColor theme="8" tint="-0.499984740745262"/>
        </patternFill>
      </fill>
    </dxf>
    <dxf>
      <font>
        <color theme="0" tint="-0.499984740745262"/>
      </font>
      <fill>
        <patternFill patternType="none">
          <bgColor auto="1"/>
        </patternFill>
      </fill>
    </dxf>
    <dxf>
      <font>
        <color rgb="FF007635"/>
      </font>
      <fill>
        <patternFill patternType="none">
          <bgColor auto="1"/>
        </patternFill>
      </fill>
    </dxf>
    <dxf>
      <font>
        <color rgb="FFC00000"/>
      </font>
    </dxf>
    <dxf>
      <font>
        <color theme="7" tint="-0.24994659260841701"/>
      </font>
    </dxf>
    <dxf>
      <font>
        <color rgb="FF00B050"/>
      </font>
    </dxf>
    <dxf>
      <font>
        <color rgb="FFC00000"/>
      </font>
    </dxf>
    <dxf>
      <font>
        <color theme="0"/>
      </font>
      <fill>
        <patternFill>
          <bgColor theme="8" tint="-0.499984740745262"/>
        </patternFill>
      </fill>
    </dxf>
    <dxf>
      <font>
        <color rgb="FF007635"/>
      </font>
    </dxf>
    <dxf>
      <font>
        <color rgb="FFC00000"/>
      </font>
    </dxf>
    <dxf>
      <font>
        <color theme="0"/>
      </font>
    </dxf>
    <dxf>
      <fill>
        <patternFill>
          <bgColor rgb="FFEDEDED"/>
        </patternFill>
      </fill>
    </dxf>
    <dxf>
      <font>
        <color theme="0"/>
      </font>
    </dxf>
    <dxf>
      <font>
        <color theme="0"/>
      </font>
    </dxf>
    <dxf>
      <font>
        <color theme="0"/>
      </font>
    </dxf>
    <dxf>
      <font>
        <color theme="0"/>
      </font>
    </dxf>
    <dxf>
      <font>
        <color theme="0"/>
      </font>
    </dxf>
    <dxf>
      <fill>
        <patternFill>
          <bgColor rgb="FFDDEBF7"/>
        </patternFill>
      </fill>
    </dxf>
    <dxf>
      <font>
        <color theme="0"/>
      </font>
      <fill>
        <patternFill patternType="none">
          <bgColor auto="1"/>
        </patternFill>
      </fill>
    </dxf>
    <dxf>
      <fill>
        <patternFill>
          <bgColor rgb="FFDDEBF7"/>
        </patternFill>
      </fill>
    </dxf>
    <dxf>
      <font>
        <color theme="0"/>
      </font>
      <fill>
        <patternFill patternType="none">
          <bgColor auto="1"/>
        </patternFill>
      </fill>
    </dxf>
    <dxf>
      <fill>
        <patternFill>
          <bgColor rgb="FFDDEBF7"/>
        </patternFill>
      </fill>
    </dxf>
    <dxf>
      <font>
        <color theme="0"/>
      </font>
      <fill>
        <patternFill patternType="none">
          <bgColor auto="1"/>
        </patternFill>
      </fill>
    </dxf>
    <dxf>
      <fill>
        <patternFill>
          <bgColor rgb="FFDDEBF7"/>
        </patternFill>
      </fill>
    </dxf>
    <dxf>
      <font>
        <color theme="0"/>
      </font>
      <fill>
        <patternFill patternType="none">
          <bgColor auto="1"/>
        </patternFill>
      </fill>
    </dxf>
    <dxf>
      <fill>
        <patternFill>
          <bgColor rgb="FFDDEBF7"/>
        </patternFill>
      </fill>
    </dxf>
    <dxf>
      <font>
        <color theme="0"/>
      </font>
      <fill>
        <patternFill patternType="none">
          <bgColor auto="1"/>
        </patternFill>
      </fill>
    </dxf>
    <dxf>
      <fill>
        <patternFill>
          <bgColor rgb="FFDDEBF7"/>
        </patternFill>
      </fill>
    </dxf>
    <dxf>
      <font>
        <color theme="0"/>
      </font>
      <fill>
        <patternFill patternType="none">
          <bgColor auto="1"/>
        </patternFill>
      </fill>
    </dxf>
    <dxf>
      <fill>
        <patternFill>
          <bgColor rgb="FFDDEBF7"/>
        </patternFill>
      </fill>
    </dxf>
    <dxf>
      <font>
        <color theme="0"/>
      </font>
      <fill>
        <patternFill patternType="none">
          <bgColor auto="1"/>
        </patternFill>
      </fill>
    </dxf>
    <dxf>
      <fill>
        <patternFill>
          <bgColor rgb="FFDDEBF7"/>
        </patternFill>
      </fill>
    </dxf>
    <dxf>
      <font>
        <color theme="0"/>
      </font>
      <fill>
        <patternFill patternType="none">
          <bgColor auto="1"/>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border>
        <bottom style="thin">
          <color auto="1"/>
        </bottom>
        <vertical/>
        <horizontal/>
      </border>
    </dxf>
    <dxf>
      <border>
        <top style="thin">
          <color auto="1"/>
        </top>
        <bottom/>
        <vertical/>
        <horizontal/>
      </border>
    </dxf>
    <dxf>
      <border>
        <bottom style="thin">
          <color auto="1"/>
        </bottom>
        <vertical/>
        <horizontal/>
      </border>
    </dxf>
    <dxf>
      <border>
        <left style="thin">
          <color theme="0" tint="-0.24994659260841701"/>
        </left>
        <right style="thin">
          <color theme="0" tint="-0.24994659260841701"/>
        </right>
        <top style="thin">
          <color theme="0" tint="-0.24994659260841701"/>
        </top>
        <bottom style="thin">
          <color auto="1"/>
        </bottom>
        <vertical/>
        <horizontal/>
      </border>
    </dxf>
    <dxf>
      <font>
        <color theme="0" tint="-0.499984740745262"/>
      </font>
      <fill>
        <patternFill patternType="none">
          <bgColor auto="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theme="0"/>
      </font>
      <fill>
        <patternFill>
          <bgColor theme="0"/>
        </patternFill>
      </fill>
      <border>
        <top style="thin">
          <color theme="0"/>
        </top>
        <bottom style="thin">
          <color theme="0"/>
        </bottom>
        <vertical/>
        <horizontal/>
      </border>
    </dxf>
    <dxf>
      <border>
        <bottom style="thin">
          <color auto="1"/>
        </bottom>
        <vertical/>
        <horizontal/>
      </border>
    </dxf>
    <dxf>
      <font>
        <color theme="0" tint="-0.34998626667073579"/>
      </font>
      <border>
        <left style="thin">
          <color theme="0" tint="-0.24994659260841701"/>
        </left>
        <right style="thin">
          <color theme="0" tint="-0.24994659260841701"/>
        </right>
        <top style="thin">
          <color theme="0" tint="-0.24994659260841701"/>
        </top>
        <bottom style="thin">
          <color theme="0" tint="-0.24994659260841701"/>
        </bottom>
        <vertical/>
        <horizontal/>
      </border>
    </dxf>
    <dxf>
      <border>
        <bottom style="thin">
          <color auto="1"/>
        </bottom>
        <vertical/>
        <horizontal/>
      </border>
    </dxf>
    <dxf>
      <border>
        <bottom style="thin">
          <color auto="1"/>
        </bottom>
        <vertical/>
        <horizontal/>
      </border>
    </dxf>
    <dxf>
      <font>
        <color theme="0"/>
      </font>
      <fill>
        <patternFill>
          <bgColor theme="0"/>
        </patternFill>
      </fill>
      <border>
        <top style="thin">
          <color theme="0"/>
        </top>
        <bottom style="thin">
          <color theme="0"/>
        </bottom>
        <vertical/>
        <horizontal/>
      </border>
    </dxf>
    <dxf>
      <font>
        <color theme="0" tint="-0.34998626667073579"/>
      </font>
      <border>
        <left style="thin">
          <color theme="0" tint="-0.24994659260841701"/>
        </left>
        <right style="thin">
          <color theme="0" tint="-0.24994659260841701"/>
        </right>
        <top style="thin">
          <color theme="0" tint="-0.24994659260841701"/>
        </top>
        <bottom style="thin">
          <color theme="0" tint="-0.24994659260841701"/>
        </bottom>
        <vertical/>
        <horizontal/>
      </border>
    </dxf>
    <dxf>
      <border>
        <bottom style="thin">
          <color auto="1"/>
        </bottom>
        <vertical/>
        <horizontal/>
      </border>
    </dxf>
    <dxf>
      <border>
        <bottom style="thin">
          <color auto="1"/>
        </bottom>
      </border>
    </dxf>
    <dxf>
      <border>
        <top style="thin">
          <color auto="1"/>
        </top>
        <bottom/>
        <vertical/>
        <horizontal/>
      </border>
    </dxf>
    <dxf>
      <font>
        <color theme="0" tint="-0.34998626667073579"/>
      </font>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auto="1"/>
      </font>
      <border>
        <bottom style="thin">
          <color theme="2" tint="-0.24994659260841701"/>
        </bottom>
      </border>
    </dxf>
    <dxf>
      <font>
        <color auto="1"/>
      </font>
      <border>
        <bottom/>
      </border>
    </dxf>
    <dxf>
      <font>
        <color theme="0" tint="-0.499984740745262"/>
      </font>
      <border>
        <bottom style="thin">
          <color theme="0" tint="-0.499984740745262"/>
        </bottom>
      </border>
    </dxf>
    <dxf>
      <font>
        <color theme="0" tint="-0.499984740745262"/>
      </font>
      <border>
        <top style="thin">
          <color theme="0" tint="-0.499984740745262"/>
        </top>
        <vertical/>
        <horizontal/>
      </border>
    </dxf>
  </dxfs>
  <tableStyles count="0" defaultTableStyle="TableStyleMedium2" defaultPivotStyle="PivotStyleLight16"/>
  <colors>
    <mruColors>
      <color rgb="FFEDEDED"/>
      <color rgb="FFDDEBF7"/>
      <color rgb="FF007635"/>
      <color rgb="FF800000"/>
      <color rgb="FF0033CC"/>
      <color rgb="FFFFCCCC"/>
      <color rgb="FF008000"/>
      <color rgb="FFD4EFC9"/>
      <color rgb="FFFF9999"/>
      <color rgb="FF33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data'!$C$28</c:f>
          <c:strCache>
            <c:ptCount val="1"/>
            <c:pt idx="0">
              <c:v>P3b: Performance of general government debt compared to the endorsed plan</c:v>
            </c:pt>
          </c:strCache>
        </c:strRef>
      </c:tx>
      <c:layout>
        <c:manualLayout>
          <c:xMode val="edge"/>
          <c:yMode val="edge"/>
          <c:x val="0.12927974099292328"/>
          <c:y val="6.8534740159422131E-4"/>
        </c:manualLayout>
      </c:layout>
      <c:overlay val="0"/>
      <c:spPr>
        <a:noFill/>
        <a:ln>
          <a:noFill/>
        </a:ln>
        <a:effectLst/>
      </c:spPr>
      <c:txPr>
        <a:bodyPr rot="0" spcFirstLastPara="1" vertOverflow="ellipsis" vert="horz" wrap="square" anchor="ctr" anchorCtr="1"/>
        <a:lstStyle/>
        <a:p>
          <a:pPr algn="ctr" rtl="0">
            <a:defRPr lang="en-US" sz="1200" b="0" i="0" u="none" strike="noStrike" kern="1200" spc="0" baseline="0">
              <a:solidFill>
                <a:sysClr val="windowText" lastClr="000000">
                  <a:lumMod val="65000"/>
                  <a:lumOff val="35000"/>
                </a:sys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0"/>
          <c:y val="0.31151376426783856"/>
          <c:w val="0.9289503985287596"/>
          <c:h val="0.54876163168884917"/>
        </c:manualLayout>
      </c:layout>
      <c:barChart>
        <c:barDir val="col"/>
        <c:grouping val="clustered"/>
        <c:varyColors val="0"/>
        <c:ser>
          <c:idx val="0"/>
          <c:order val="0"/>
          <c:tx>
            <c:strRef>
              <c:f>'Chart data'!$C$29</c:f>
              <c:strCache>
                <c:ptCount val="1"/>
                <c:pt idx="0">
                  <c:v>Council-endorsed path (% of GDP)</c:v>
                </c:pt>
              </c:strCache>
            </c:strRef>
          </c:tx>
          <c:spPr>
            <a:solidFill>
              <a:schemeClr val="accent5">
                <a:lumMod val="40000"/>
                <a:lumOff val="60000"/>
              </a:schemeClr>
            </a:solid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[0]!DebtImplementationChart_MTP_Reference</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4-6FAA-43F6-8712-278F319E83B4}"/>
            </c:ext>
          </c:extLst>
        </c:ser>
        <c:ser>
          <c:idx val="4"/>
          <c:order val="4"/>
          <c:tx>
            <c:v>Blank helper series 1</c:v>
          </c:tx>
          <c:spPr>
            <a:solidFill>
              <a:schemeClr val="accent5"/>
            </a:solidFill>
            <a:ln>
              <a:noFill/>
            </a:ln>
            <a:effectLst/>
          </c:spPr>
          <c:invertIfNegative val="0"/>
          <c:cat>
            <c:numRef>
              <c:f>[0]!DebtImplementationChart_Years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0-6FAA-43F6-8712-278F319E83B4}"/>
            </c:ext>
          </c:extLst>
        </c:ser>
        <c:dLbls>
          <c:showLegendKey val="0"/>
          <c:showVal val="0"/>
          <c:showCatName val="0"/>
          <c:showSerName val="0"/>
          <c:showPercent val="0"/>
          <c:showBubbleSize val="0"/>
        </c:dLbls>
        <c:gapWidth val="0"/>
        <c:overlap val="60"/>
        <c:axId val="775231272"/>
        <c:axId val="775231632"/>
      </c:barChart>
      <c:barChart>
        <c:barDir val="col"/>
        <c:grouping val="clustered"/>
        <c:varyColors val="0"/>
        <c:ser>
          <c:idx val="2"/>
          <c:order val="2"/>
          <c:tx>
            <c:strRef>
              <c:f>'Chart data'!$C$32</c:f>
              <c:strCache>
                <c:ptCount val="1"/>
                <c:pt idx="0">
                  <c:v>Observed (Compliant)</c:v>
                </c:pt>
              </c:strCache>
            </c:strRef>
          </c:tx>
          <c:spPr>
            <a:solidFill>
              <a:srgbClr val="007635">
                <a:alpha val="75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[0]!DebtImplementationChart_Observed_Compliant</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1-6FAA-43F6-8712-278F319E83B4}"/>
            </c:ext>
          </c:extLst>
        </c:ser>
        <c:ser>
          <c:idx val="3"/>
          <c:order val="3"/>
          <c:tx>
            <c:strRef>
              <c:f>'Chart data'!$C$33</c:f>
              <c:strCache>
                <c:ptCount val="1"/>
                <c:pt idx="0">
                  <c:v>Observed (Breach)</c:v>
                </c:pt>
              </c:strCache>
            </c:strRef>
          </c:tx>
          <c:spPr>
            <a:solidFill>
              <a:srgbClr val="C00000">
                <a:alpha val="75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[0]!DebtImplementationChart_Observed_Breach</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2-6FAA-43F6-8712-278F319E83B4}"/>
            </c:ext>
          </c:extLst>
        </c:ser>
        <c:ser>
          <c:idx val="5"/>
          <c:order val="5"/>
          <c:tx>
            <c:strRef>
              <c:f>'Chart data'!$C$31</c:f>
              <c:strCache>
                <c:ptCount val="1"/>
                <c:pt idx="0">
                  <c:v>Planned</c:v>
                </c:pt>
              </c:strCache>
            </c:strRef>
          </c:tx>
          <c:spPr>
            <a:solidFill>
              <a:schemeClr val="bg1">
                <a:lumMod val="75000"/>
                <a:alpha val="70000"/>
              </a:schemeClr>
            </a:solid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[0]!DebtImplementationChart_Planned</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3-6FAA-43F6-8712-278F319E83B4}"/>
            </c:ext>
          </c:extLst>
        </c:ser>
        <c:dLbls>
          <c:showLegendKey val="0"/>
          <c:showVal val="0"/>
          <c:showCatName val="0"/>
          <c:showSerName val="0"/>
          <c:showPercent val="0"/>
          <c:showBubbleSize val="0"/>
        </c:dLbls>
        <c:gapWidth val="64"/>
        <c:overlap val="100"/>
        <c:axId val="494849055"/>
        <c:axId val="494850495"/>
      </c:barChart>
      <c:lineChart>
        <c:grouping val="standard"/>
        <c:varyColors val="0"/>
        <c:ser>
          <c:idx val="1"/>
          <c:order val="1"/>
          <c:tx>
            <c:strRef>
              <c:f>'Chart data'!$C$34</c:f>
              <c:strCache>
                <c:ptCount val="1"/>
                <c:pt idx="0">
                  <c:v>60% reference value</c:v>
                </c:pt>
              </c:strCache>
            </c:strRef>
          </c:tx>
          <c:spPr>
            <a:ln w="22225" cap="rnd">
              <a:solidFill>
                <a:srgbClr val="C00000"/>
              </a:solidFill>
              <a:prstDash val="dash"/>
              <a:round/>
            </a:ln>
            <a:effectLst/>
          </c:spPr>
          <c:marker>
            <c:symbol val="none"/>
          </c:marker>
          <c:cat>
            <c:numRef>
              <c:f>[0]!DebtImplementationChart_Years</c:f>
              <c:numCache>
                <c:formatCode>General</c:formatCode>
                <c:ptCount val="5"/>
                <c:pt idx="0">
                  <c:v>2024</c:v>
                </c:pt>
                <c:pt idx="1">
                  <c:v>2025</c:v>
                </c:pt>
                <c:pt idx="2">
                  <c:v>2026</c:v>
                </c:pt>
                <c:pt idx="3">
                  <c:v>2027</c:v>
                </c:pt>
                <c:pt idx="4">
                  <c:v>2028</c:v>
                </c:pt>
              </c:numCache>
            </c:numRef>
          </c:cat>
          <c:val>
            <c:numRef>
              <c:f>[0]!DebtImplementationChart_60_Reference_Value</c:f>
              <c:numCache>
                <c:formatCode>0</c:formatCode>
                <c:ptCount val="5"/>
                <c:pt idx="0">
                  <c:v>60.05</c:v>
                </c:pt>
                <c:pt idx="1">
                  <c:v>60.05</c:v>
                </c:pt>
                <c:pt idx="2">
                  <c:v>60.05</c:v>
                </c:pt>
                <c:pt idx="3">
                  <c:v>60.05</c:v>
                </c:pt>
                <c:pt idx="4">
                  <c:v>60.05</c:v>
                </c:pt>
              </c:numCache>
            </c:numRef>
          </c:val>
          <c:smooth val="0"/>
          <c:extLst>
            <c:ext xmlns:c16="http://schemas.microsoft.com/office/drawing/2014/chart" uri="{C3380CC4-5D6E-409C-BE32-E72D297353CC}">
              <c16:uniqueId val="{00000005-6FAA-43F6-8712-278F319E83B4}"/>
            </c:ext>
          </c:extLst>
        </c:ser>
        <c:ser>
          <c:idx val="6"/>
          <c:order val="6"/>
          <c:tx>
            <c:v>LeftAxisMin</c:v>
          </c:tx>
          <c:spPr>
            <a:ln w="25400" cap="rnd">
              <a:noFill/>
              <a:round/>
            </a:ln>
            <a:effectLst/>
          </c:spPr>
          <c:marker>
            <c:symbol val="none"/>
          </c:marker>
          <c:val>
            <c:numRef>
              <c:f>'Chart data'!$D$35</c:f>
              <c:numCache>
                <c:formatCode>0.0</c:formatCode>
                <c:ptCount val="1"/>
                <c:pt idx="0">
                  <c:v>0</c:v>
                </c:pt>
              </c:numCache>
            </c:numRef>
          </c:val>
          <c:smooth val="0"/>
          <c:extLst>
            <c:ext xmlns:c16="http://schemas.microsoft.com/office/drawing/2014/chart" uri="{C3380CC4-5D6E-409C-BE32-E72D297353CC}">
              <c16:uniqueId val="{00000006-6FAA-43F6-8712-278F319E83B4}"/>
            </c:ext>
          </c:extLst>
        </c:ser>
        <c:ser>
          <c:idx val="7"/>
          <c:order val="7"/>
          <c:tx>
            <c:v>LeftAxisMax</c:v>
          </c:tx>
          <c:spPr>
            <a:ln w="25400" cap="rnd">
              <a:noFill/>
              <a:round/>
            </a:ln>
            <a:effectLst/>
          </c:spPr>
          <c:marker>
            <c:symbol val="none"/>
          </c:marker>
          <c:val>
            <c:numRef>
              <c:f>'Chart data'!$D$36</c:f>
              <c:numCache>
                <c:formatCode>0.0</c:formatCode>
                <c:ptCount val="1"/>
                <c:pt idx="0">
                  <c:v>60.05</c:v>
                </c:pt>
              </c:numCache>
            </c:numRef>
          </c:val>
          <c:smooth val="0"/>
          <c:extLst>
            <c:ext xmlns:c16="http://schemas.microsoft.com/office/drawing/2014/chart" uri="{C3380CC4-5D6E-409C-BE32-E72D297353CC}">
              <c16:uniqueId val="{00000007-6FAA-43F6-8712-278F319E83B4}"/>
            </c:ext>
          </c:extLst>
        </c:ser>
        <c:dLbls>
          <c:showLegendKey val="0"/>
          <c:showVal val="0"/>
          <c:showCatName val="0"/>
          <c:showSerName val="0"/>
          <c:showPercent val="0"/>
          <c:showBubbleSize val="0"/>
        </c:dLbls>
        <c:marker val="1"/>
        <c:smooth val="0"/>
        <c:axId val="775231272"/>
        <c:axId val="775231632"/>
      </c:lineChart>
      <c:lineChart>
        <c:grouping val="standard"/>
        <c:varyColors val="0"/>
        <c:ser>
          <c:idx val="8"/>
          <c:order val="8"/>
          <c:tx>
            <c:v>RightAxisMin</c:v>
          </c:tx>
          <c:spPr>
            <a:ln w="25400" cap="rnd">
              <a:noFill/>
              <a:round/>
            </a:ln>
            <a:effectLst/>
          </c:spPr>
          <c:marker>
            <c:symbol val="none"/>
          </c:marker>
          <c:val>
            <c:numRef>
              <c:f>'Chart data'!$D$35</c:f>
              <c:numCache>
                <c:formatCode>0.0</c:formatCode>
                <c:ptCount val="1"/>
                <c:pt idx="0">
                  <c:v>0</c:v>
                </c:pt>
              </c:numCache>
            </c:numRef>
          </c:val>
          <c:smooth val="0"/>
          <c:extLst>
            <c:ext xmlns:c16="http://schemas.microsoft.com/office/drawing/2014/chart" uri="{C3380CC4-5D6E-409C-BE32-E72D297353CC}">
              <c16:uniqueId val="{00000008-6FAA-43F6-8712-278F319E83B4}"/>
            </c:ext>
          </c:extLst>
        </c:ser>
        <c:ser>
          <c:idx val="9"/>
          <c:order val="9"/>
          <c:tx>
            <c:v>RightAxisMax</c:v>
          </c:tx>
          <c:spPr>
            <a:ln w="25400" cap="rnd">
              <a:noFill/>
              <a:round/>
            </a:ln>
            <a:effectLst/>
          </c:spPr>
          <c:marker>
            <c:symbol val="none"/>
          </c:marker>
          <c:val>
            <c:numRef>
              <c:f>'Chart data'!$D$36</c:f>
              <c:numCache>
                <c:formatCode>0.0</c:formatCode>
                <c:ptCount val="1"/>
                <c:pt idx="0">
                  <c:v>60.05</c:v>
                </c:pt>
              </c:numCache>
            </c:numRef>
          </c:val>
          <c:smooth val="0"/>
          <c:extLst>
            <c:ext xmlns:c16="http://schemas.microsoft.com/office/drawing/2014/chart" uri="{C3380CC4-5D6E-409C-BE32-E72D297353CC}">
              <c16:uniqueId val="{00000009-6FAA-43F6-8712-278F319E83B4}"/>
            </c:ext>
          </c:extLst>
        </c:ser>
        <c:dLbls>
          <c:showLegendKey val="0"/>
          <c:showVal val="0"/>
          <c:showCatName val="0"/>
          <c:showSerName val="0"/>
          <c:showPercent val="0"/>
          <c:showBubbleSize val="0"/>
        </c:dLbls>
        <c:marker val="1"/>
        <c:smooth val="0"/>
        <c:axId val="494849055"/>
        <c:axId val="494850495"/>
      </c:lineChart>
      <c:catAx>
        <c:axId val="7752312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75231632"/>
        <c:crosses val="autoZero"/>
        <c:auto val="1"/>
        <c:lblAlgn val="ctr"/>
        <c:lblOffset val="100"/>
        <c:noMultiLvlLbl val="0"/>
      </c:catAx>
      <c:valAx>
        <c:axId val="775231632"/>
        <c:scaling>
          <c:orientation val="minMax"/>
        </c:scaling>
        <c:delete val="0"/>
        <c:axPos val="l"/>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775231272"/>
        <c:crosses val="autoZero"/>
        <c:crossBetween val="between"/>
      </c:valAx>
      <c:valAx>
        <c:axId val="494850495"/>
        <c:scaling>
          <c:orientation val="minMax"/>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494849055"/>
        <c:crosses val="max"/>
        <c:crossBetween val="between"/>
      </c:valAx>
      <c:catAx>
        <c:axId val="494849055"/>
        <c:scaling>
          <c:orientation val="minMax"/>
        </c:scaling>
        <c:delete val="1"/>
        <c:axPos val="b"/>
        <c:numFmt formatCode="General" sourceLinked="1"/>
        <c:majorTickMark val="out"/>
        <c:minorTickMark val="none"/>
        <c:tickLblPos val="nextTo"/>
        <c:crossAx val="494850495"/>
        <c:crosses val="autoZero"/>
        <c:auto val="1"/>
        <c:lblAlgn val="ctr"/>
        <c:lblOffset val="100"/>
        <c:noMultiLvlLbl val="0"/>
      </c:catAx>
      <c:spPr>
        <a:noFill/>
        <a:ln>
          <a:noFill/>
        </a:ln>
        <a:effectLst/>
      </c:spPr>
    </c:plotArea>
    <c:legend>
      <c:legendPos val="r"/>
      <c:legendEntry>
        <c:idx val="0"/>
        <c:delete val="1"/>
      </c:legendEntry>
      <c:legendEntry>
        <c:idx val="1"/>
        <c:delete val="1"/>
      </c:legendEntry>
      <c:legendEntry>
        <c:idx val="5"/>
        <c:delete val="1"/>
      </c:legendEntry>
      <c:legendEntry>
        <c:idx val="6"/>
        <c:delete val="1"/>
      </c:legendEntry>
      <c:legendEntry>
        <c:idx val="7"/>
        <c:delete val="1"/>
      </c:legendEntry>
      <c:legendEntry>
        <c:idx val="8"/>
        <c:delete val="1"/>
      </c:legendEntry>
      <c:legendEntry>
        <c:idx val="9"/>
        <c:delete val="1"/>
      </c:legendEntry>
      <c:layout>
        <c:manualLayout>
          <c:xMode val="edge"/>
          <c:yMode val="edge"/>
          <c:x val="0.47334821202208693"/>
          <c:y val="0.14896081093311611"/>
          <c:w val="0.48742599799907288"/>
          <c:h val="0.17012399312154944"/>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data'!$C$14</c:f>
          <c:strCache>
            <c:ptCount val="1"/>
            <c:pt idx="0">
              <c:v>P2: Control account deviations and balance</c:v>
            </c:pt>
          </c:strCache>
        </c:strRef>
      </c:tx>
      <c:layout>
        <c:manualLayout>
          <c:xMode val="edge"/>
          <c:yMode val="edge"/>
          <c:x val="0.17224946172508579"/>
          <c:y val="8.6324077911313721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7.6273263429579463E-2"/>
          <c:y val="0.34214048901782018"/>
          <c:w val="0.85331519737394768"/>
          <c:h val="0.48298314684348664"/>
        </c:manualLayout>
      </c:layout>
      <c:barChart>
        <c:barDir val="col"/>
        <c:grouping val="clustered"/>
        <c:varyColors val="0"/>
        <c:ser>
          <c:idx val="0"/>
          <c:order val="0"/>
          <c:tx>
            <c:strRef>
              <c:f>'Chart data'!$C$15</c:f>
              <c:strCache>
                <c:ptCount val="1"/>
                <c:pt idx="0">
                  <c:v>Cumulative balance (observed)</c:v>
                </c:pt>
              </c:strCache>
            </c:strRef>
          </c:tx>
          <c:spPr>
            <a:solidFill>
              <a:schemeClr val="accent5">
                <a:lumMod val="50000"/>
              </a:schemeClr>
            </a:solidFill>
            <a:ln>
              <a:solidFill>
                <a:schemeClr val="bg1"/>
              </a:solidFill>
            </a:ln>
            <a:effectLst/>
          </c:spPr>
          <c:invertIfNegative val="0"/>
          <c:dPt>
            <c:idx val="0"/>
            <c:invertIfNegative val="0"/>
            <c:bubble3D val="0"/>
            <c:spPr>
              <a:noFill/>
              <a:ln>
                <a:solidFill>
                  <a:schemeClr val="bg1"/>
                </a:solidFill>
              </a:ln>
              <a:effectLst/>
            </c:spPr>
            <c:extLst>
              <c:ext xmlns:c16="http://schemas.microsoft.com/office/drawing/2014/chart" uri="{C3380CC4-5D6E-409C-BE32-E72D297353CC}">
                <c16:uniqueId val="{00000001-35CE-4FF6-AF03-1A6CEB4AD592}"/>
              </c:ext>
            </c:extLst>
          </c:dPt>
          <c:dPt>
            <c:idx val="1"/>
            <c:invertIfNegative val="0"/>
            <c:bubble3D val="0"/>
            <c:spPr>
              <a:solidFill>
                <a:schemeClr val="accent5">
                  <a:lumMod val="50000"/>
                  <a:alpha val="75000"/>
                </a:schemeClr>
              </a:solidFill>
              <a:ln>
                <a:solidFill>
                  <a:schemeClr val="bg1"/>
                </a:solidFill>
              </a:ln>
              <a:effectLst/>
            </c:spPr>
            <c:extLst>
              <c:ext xmlns:c16="http://schemas.microsoft.com/office/drawing/2014/chart" uri="{C3380CC4-5D6E-409C-BE32-E72D297353CC}">
                <c16:uniqueId val="{00000002-52A0-4D5F-8AE2-5B8389769567}"/>
              </c:ext>
            </c:extLst>
          </c:dPt>
          <c:dLbls>
            <c:dLbl>
              <c:idx val="0"/>
              <c:delete val="1"/>
              <c:extLst>
                <c:ext xmlns:c15="http://schemas.microsoft.com/office/drawing/2012/chart" uri="{CE6537A1-D6FC-4f65-9D91-7224C49458BB}"/>
                <c:ext xmlns:c16="http://schemas.microsoft.com/office/drawing/2014/chart" uri="{C3380CC4-5D6E-409C-BE32-E72D297353CC}">
                  <c16:uniqueId val="{00000001-35CE-4FF6-AF03-1A6CEB4AD59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[0]!ControlAccountChart_CumulativeBalanceObserved</c:f>
              <c:numCache>
                <c:formatCode>0.0</c:formatCode>
                <c:ptCount val="5"/>
                <c:pt idx="0">
                  <c:v>0</c:v>
                </c:pt>
                <c:pt idx="1">
                  <c:v>0</c:v>
                </c:pt>
                <c:pt idx="2">
                  <c:v>#N/A</c:v>
                </c:pt>
                <c:pt idx="3">
                  <c:v>#N/A</c:v>
                </c:pt>
                <c:pt idx="4">
                  <c:v>#N/A</c:v>
                </c:pt>
              </c:numCache>
            </c:numRef>
          </c:val>
          <c:extLst>
            <c:ext xmlns:c16="http://schemas.microsoft.com/office/drawing/2014/chart" uri="{C3380CC4-5D6E-409C-BE32-E72D297353CC}">
              <c16:uniqueId val="{00000002-35CE-4FF6-AF03-1A6CEB4AD592}"/>
            </c:ext>
          </c:extLst>
        </c:ser>
        <c:ser>
          <c:idx val="4"/>
          <c:order val="1"/>
          <c:tx>
            <c:strRef>
              <c:f>'Chart data'!$C$16</c:f>
              <c:strCache>
                <c:ptCount val="1"/>
                <c:pt idx="0">
                  <c:v>Cumulative balance (planned)</c:v>
                </c:pt>
              </c:strCache>
            </c:strRef>
          </c:tx>
          <c:spPr>
            <a:pattFill prst="ltUpDiag">
              <a:fgClr>
                <a:schemeClr val="accent5">
                  <a:lumMod val="50000"/>
                </a:schemeClr>
              </a:fgClr>
              <a:bgClr>
                <a:schemeClr val="bg1"/>
              </a:bgClr>
            </a:patt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[0]!ControlAccountChart_CumulativeBalancePlanned</c:f>
              <c:numCache>
                <c:formatCode>0.0</c:formatCode>
                <c:ptCount val="5"/>
                <c:pt idx="0">
                  <c:v>0</c:v>
                </c:pt>
                <c:pt idx="1">
                  <c:v>0</c:v>
                </c:pt>
                <c:pt idx="2">
                  <c:v>#N/A</c:v>
                </c:pt>
                <c:pt idx="3">
                  <c:v>#N/A</c:v>
                </c:pt>
                <c:pt idx="4">
                  <c:v>#N/A</c:v>
                </c:pt>
              </c:numCache>
            </c:numRef>
          </c:val>
          <c:extLst>
            <c:ext xmlns:c16="http://schemas.microsoft.com/office/drawing/2014/chart" uri="{C3380CC4-5D6E-409C-BE32-E72D297353CC}">
              <c16:uniqueId val="{00000003-35CE-4FF6-AF03-1A6CEB4AD592}"/>
            </c:ext>
          </c:extLst>
        </c:ser>
        <c:dLbls>
          <c:showLegendKey val="0"/>
          <c:showVal val="0"/>
          <c:showCatName val="0"/>
          <c:showSerName val="0"/>
          <c:showPercent val="0"/>
          <c:showBubbleSize val="0"/>
        </c:dLbls>
        <c:gapWidth val="57"/>
        <c:overlap val="65"/>
        <c:axId val="734561744"/>
        <c:axId val="1583801647"/>
      </c:barChart>
      <c:barChart>
        <c:barDir val="col"/>
        <c:grouping val="clustered"/>
        <c:varyColors val="0"/>
        <c:ser>
          <c:idx val="3"/>
          <c:order val="2"/>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4-35CE-4FF6-AF03-1A6CEB4AD592}"/>
            </c:ext>
          </c:extLst>
        </c:ser>
        <c:ser>
          <c:idx val="1"/>
          <c:order val="3"/>
          <c:tx>
            <c:strRef>
              <c:f>'Chart data'!$C$21</c:f>
              <c:strCache>
                <c:ptCount val="1"/>
                <c:pt idx="0">
                  <c:v>Unrecorded or defence-adjusted annual deviation</c:v>
                </c:pt>
              </c:strCache>
            </c:strRef>
          </c:tx>
          <c:spPr>
            <a:pattFill prst="pct25">
              <a:fgClr>
                <a:schemeClr val="accent4">
                  <a:lumMod val="75000"/>
                </a:schemeClr>
              </a:fgClr>
              <a:bgClr>
                <a:schemeClr val="bg1"/>
              </a:bgClr>
            </a:patt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lumMod val="75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[0]!ControlAccountChart_UnrecordedAnnualDeviation</c:f>
              <c:numCache>
                <c:formatCode>0.0</c:formatCode>
                <c:ptCount val="2"/>
                <c:pt idx="0">
                  <c:v>#N/A</c:v>
                </c:pt>
                <c:pt idx="1">
                  <c:v>#N/A</c:v>
                </c:pt>
              </c:numCache>
            </c:numRef>
          </c:val>
          <c:extLst>
            <c:ext xmlns:c16="http://schemas.microsoft.com/office/drawing/2014/chart" uri="{C3380CC4-5D6E-409C-BE32-E72D297353CC}">
              <c16:uniqueId val="{00000005-35CE-4FF6-AF03-1A6CEB4AD592}"/>
            </c:ext>
          </c:extLst>
        </c:ser>
        <c:ser>
          <c:idx val="2"/>
          <c:order val="4"/>
          <c:tx>
            <c:strRef>
              <c:f>'Chart data'!$C$18</c:f>
              <c:strCache>
                <c:ptCount val="1"/>
                <c:pt idx="0">
                  <c:v>Recorded annual deviation (underspend)</c:v>
                </c:pt>
              </c:strCache>
            </c:strRef>
          </c:tx>
          <c:spPr>
            <a:solidFill>
              <a:srgbClr val="007635">
                <a:alpha val="75000"/>
              </a:srgbClr>
            </a:solidFill>
            <a:ln w="3175">
              <a:solidFill>
                <a:schemeClr val="bg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[0]!ControlAccountChart_Underspend</c:f>
              <c:numCache>
                <c:formatCode>0.0</c:formatCode>
                <c:ptCount val="5"/>
                <c:pt idx="0">
                  <c:v>0</c:v>
                </c:pt>
                <c:pt idx="1">
                  <c:v>0</c:v>
                </c:pt>
                <c:pt idx="2">
                  <c:v>#N/A</c:v>
                </c:pt>
                <c:pt idx="3">
                  <c:v>#N/A</c:v>
                </c:pt>
                <c:pt idx="4">
                  <c:v>#N/A</c:v>
                </c:pt>
              </c:numCache>
            </c:numRef>
          </c:val>
          <c:extLst>
            <c:ext xmlns:c16="http://schemas.microsoft.com/office/drawing/2014/chart" uri="{C3380CC4-5D6E-409C-BE32-E72D297353CC}">
              <c16:uniqueId val="{00000006-35CE-4FF6-AF03-1A6CEB4AD592}"/>
            </c:ext>
          </c:extLst>
        </c:ser>
        <c:ser>
          <c:idx val="5"/>
          <c:order val="5"/>
          <c:tx>
            <c:strRef>
              <c:f>'Chart data'!$C$19</c:f>
              <c:strCache>
                <c:ptCount val="1"/>
                <c:pt idx="0">
                  <c:v>Recorded annual deviation (overspend)</c:v>
                </c:pt>
              </c:strCache>
            </c:strRef>
          </c:tx>
          <c:spPr>
            <a:solidFill>
              <a:srgbClr val="C00000"/>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Ref>
              <c:f>[0]!ControlAccountChart_Overspend</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7-35CE-4FF6-AF03-1A6CEB4AD592}"/>
            </c:ext>
          </c:extLst>
        </c:ser>
        <c:dLbls>
          <c:showLegendKey val="0"/>
          <c:showVal val="0"/>
          <c:showCatName val="0"/>
          <c:showSerName val="0"/>
          <c:showPercent val="0"/>
          <c:showBubbleSize val="0"/>
        </c:dLbls>
        <c:gapWidth val="50"/>
        <c:overlap val="75"/>
        <c:axId val="1227260992"/>
        <c:axId val="1227264352"/>
      </c:barChart>
      <c:lineChart>
        <c:grouping val="standard"/>
        <c:varyColors val="0"/>
        <c:ser>
          <c:idx val="6"/>
          <c:order val="6"/>
          <c:tx>
            <c:v>LeftAxisMin</c:v>
          </c:tx>
          <c:spPr>
            <a:ln w="25400" cap="rnd">
              <a:noFill/>
              <a:round/>
            </a:ln>
            <a:effectLst/>
          </c:spPr>
          <c:marker>
            <c:symbol val="none"/>
          </c:marker>
          <c:val>
            <c:numRef>
              <c:f>'Chart data'!$D$25</c:f>
              <c:numCache>
                <c:formatCode>0.0</c:formatCode>
                <c:ptCount val="1"/>
                <c:pt idx="0">
                  <c:v>0</c:v>
                </c:pt>
              </c:numCache>
            </c:numRef>
          </c:val>
          <c:smooth val="0"/>
          <c:extLst>
            <c:ext xmlns:c16="http://schemas.microsoft.com/office/drawing/2014/chart" uri="{C3380CC4-5D6E-409C-BE32-E72D297353CC}">
              <c16:uniqueId val="{00000008-35CE-4FF6-AF03-1A6CEB4AD592}"/>
            </c:ext>
          </c:extLst>
        </c:ser>
        <c:ser>
          <c:idx val="7"/>
          <c:order val="7"/>
          <c:tx>
            <c:v>LeftAxisMax</c:v>
          </c:tx>
          <c:spPr>
            <a:ln w="25400" cap="rnd">
              <a:noFill/>
              <a:round/>
            </a:ln>
            <a:effectLst/>
          </c:spPr>
          <c:marker>
            <c:symbol val="none"/>
          </c:marker>
          <c:val>
            <c:numRef>
              <c:f>'Chart data'!$D$26</c:f>
              <c:numCache>
                <c:formatCode>0.0</c:formatCode>
                <c:ptCount val="1"/>
                <c:pt idx="0">
                  <c:v>0.6</c:v>
                </c:pt>
              </c:numCache>
            </c:numRef>
          </c:val>
          <c:smooth val="0"/>
          <c:extLst>
            <c:ext xmlns:c16="http://schemas.microsoft.com/office/drawing/2014/chart" uri="{C3380CC4-5D6E-409C-BE32-E72D297353CC}">
              <c16:uniqueId val="{00000009-35CE-4FF6-AF03-1A6CEB4AD592}"/>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8"/>
          <c:order val="8"/>
          <c:tx>
            <c:v>RightAxisMin</c:v>
          </c:tx>
          <c:spPr>
            <a:ln w="25400" cap="rnd">
              <a:noFill/>
              <a:round/>
            </a:ln>
            <a:effectLst/>
          </c:spPr>
          <c:marker>
            <c:symbol val="none"/>
          </c:marker>
          <c:val>
            <c:numRef>
              <c:f>'Chart data'!$D$25</c:f>
              <c:numCache>
                <c:formatCode>0.0</c:formatCode>
                <c:ptCount val="1"/>
                <c:pt idx="0">
                  <c:v>0</c:v>
                </c:pt>
              </c:numCache>
            </c:numRef>
          </c:val>
          <c:smooth val="0"/>
          <c:extLst>
            <c:ext xmlns:c16="http://schemas.microsoft.com/office/drawing/2014/chart" uri="{C3380CC4-5D6E-409C-BE32-E72D297353CC}">
              <c16:uniqueId val="{0000000A-35CE-4FF6-AF03-1A6CEB4AD592}"/>
            </c:ext>
          </c:extLst>
        </c:ser>
        <c:ser>
          <c:idx val="9"/>
          <c:order val="9"/>
          <c:tx>
            <c:v>RightAxisMax</c:v>
          </c:tx>
          <c:spPr>
            <a:ln w="25400" cap="rnd">
              <a:noFill/>
              <a:round/>
            </a:ln>
            <a:effectLst/>
          </c:spPr>
          <c:marker>
            <c:symbol val="none"/>
          </c:marker>
          <c:val>
            <c:numRef>
              <c:f>'Chart data'!$D$26</c:f>
              <c:numCache>
                <c:formatCode>0.0</c:formatCode>
                <c:ptCount val="1"/>
                <c:pt idx="0">
                  <c:v>0.6</c:v>
                </c:pt>
              </c:numCache>
            </c:numRef>
          </c:val>
          <c:smooth val="0"/>
          <c:extLst>
            <c:ext xmlns:c16="http://schemas.microsoft.com/office/drawing/2014/chart" uri="{C3380CC4-5D6E-409C-BE32-E72D297353CC}">
              <c16:uniqueId val="{0000000B-35CE-4FF6-AF03-1A6CEB4AD592}"/>
            </c:ext>
          </c:extLst>
        </c:ser>
        <c:ser>
          <c:idx val="11"/>
          <c:order val="10"/>
          <c:tx>
            <c:strRef>
              <c:f>'Chart data'!$C$22</c:f>
              <c:strCache>
                <c:ptCount val="1"/>
                <c:pt idx="0">
                  <c:v>Annual deviation limit</c:v>
                </c:pt>
              </c:strCache>
            </c:strRef>
          </c:tx>
          <c:spPr>
            <a:ln w="9525" cap="rnd">
              <a:solidFill>
                <a:schemeClr val="bg1">
                  <a:lumMod val="75000"/>
                </a:schemeClr>
              </a:solidFill>
              <a:prstDash val="sysDash"/>
              <a:round/>
            </a:ln>
            <a:effectLst/>
          </c:spPr>
          <c:marker>
            <c:symbol val="none"/>
          </c:marker>
          <c:val>
            <c:numRef>
              <c:f>[0]!ControlAccountChart_AnnualDeviationLimit</c:f>
              <c:numCache>
                <c:formatCode>0.0</c:formatCode>
                <c:ptCount val="5"/>
                <c:pt idx="0">
                  <c:v>0.3</c:v>
                </c:pt>
                <c:pt idx="1">
                  <c:v>0.3</c:v>
                </c:pt>
                <c:pt idx="2">
                  <c:v>0.3</c:v>
                </c:pt>
                <c:pt idx="3">
                  <c:v>0.3</c:v>
                </c:pt>
                <c:pt idx="4">
                  <c:v>0.3</c:v>
                </c:pt>
              </c:numCache>
            </c:numRef>
          </c:val>
          <c:smooth val="0"/>
          <c:extLst>
            <c:ext xmlns:c16="http://schemas.microsoft.com/office/drawing/2014/chart" uri="{C3380CC4-5D6E-409C-BE32-E72D297353CC}">
              <c16:uniqueId val="{0000000C-35CE-4FF6-AF03-1A6CEB4AD592}"/>
            </c:ext>
          </c:extLst>
        </c:ser>
        <c:ser>
          <c:idx val="12"/>
          <c:order val="11"/>
          <c:tx>
            <c:strRef>
              <c:f>'Chart data'!$C$23</c:f>
              <c:strCache>
                <c:ptCount val="1"/>
                <c:pt idx="0">
                  <c:v>Cumulative deviation limit</c:v>
                </c:pt>
              </c:strCache>
            </c:strRef>
          </c:tx>
          <c:spPr>
            <a:ln w="9525" cap="rnd">
              <a:solidFill>
                <a:schemeClr val="accent1"/>
              </a:solidFill>
              <a:prstDash val="sysDash"/>
              <a:round/>
            </a:ln>
            <a:effectLst/>
          </c:spPr>
          <c:marker>
            <c:symbol val="none"/>
          </c:marker>
          <c:val>
            <c:numRef>
              <c:f>[0]!ControlAccountChart_CumulativeDeviationLimit</c:f>
              <c:numCache>
                <c:formatCode>0.0</c:formatCode>
                <c:ptCount val="5"/>
                <c:pt idx="0">
                  <c:v>0.6</c:v>
                </c:pt>
                <c:pt idx="1">
                  <c:v>0.6</c:v>
                </c:pt>
                <c:pt idx="2">
                  <c:v>0.6</c:v>
                </c:pt>
                <c:pt idx="3">
                  <c:v>0.6</c:v>
                </c:pt>
                <c:pt idx="4">
                  <c:v>0.6</c:v>
                </c:pt>
              </c:numCache>
            </c:numRef>
          </c:val>
          <c:smooth val="0"/>
          <c:extLst>
            <c:ext xmlns:c16="http://schemas.microsoft.com/office/drawing/2014/chart" uri="{C3380CC4-5D6E-409C-BE32-E72D297353CC}">
              <c16:uniqueId val="{0000000D-35CE-4FF6-AF03-1A6CEB4AD592}"/>
            </c:ext>
          </c:extLst>
        </c:ser>
        <c:ser>
          <c:idx val="10"/>
          <c:order val="12"/>
          <c:tx>
            <c:v>Blank Helper 2</c:v>
          </c:tx>
          <c:spPr>
            <a:ln w="25400" cap="rnd">
              <a:noFill/>
              <a:round/>
            </a:ln>
            <a:effectLst/>
          </c:spPr>
          <c:marker>
            <c:symbol val="none"/>
          </c:marker>
          <c:val>
            <c:numLit>
              <c:formatCode>General</c:formatCode>
              <c:ptCount val="1"/>
              <c:pt idx="0">
                <c:v>0</c:v>
              </c:pt>
            </c:numLit>
          </c:val>
          <c:smooth val="0"/>
          <c:extLst>
            <c:ext xmlns:c16="http://schemas.microsoft.com/office/drawing/2014/chart" uri="{C3380CC4-5D6E-409C-BE32-E72D297353CC}">
              <c16:uniqueId val="{0000000E-35CE-4FF6-AF03-1A6CEB4AD592}"/>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222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34561744"/>
        <c:crosses val="autoZero"/>
        <c:crossBetween val="between"/>
        <c:majorUnit val="1"/>
      </c:valAx>
      <c:valAx>
        <c:axId val="1227264352"/>
        <c:scaling>
          <c:orientation val="minMax"/>
        </c:scaling>
        <c:delete val="0"/>
        <c:axPos val="r"/>
        <c:numFmt formatCode="#,##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227260992"/>
        <c:crosses val="max"/>
        <c:crossBetween val="between"/>
        <c:majorUnit val="1"/>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2"/>
        <c:delete val="1"/>
      </c:legendEntry>
      <c:legendEntry>
        <c:idx val="6"/>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7"/>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8"/>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9"/>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10"/>
        <c:delete val="1"/>
      </c:legendEntry>
      <c:legendEntry>
        <c:idx val="11"/>
        <c:delete val="1"/>
      </c:legendEntry>
      <c:layout>
        <c:manualLayout>
          <c:xMode val="edge"/>
          <c:yMode val="edge"/>
          <c:x val="0.39401103230890466"/>
          <c:y val="9.3239397706865595E-2"/>
          <c:w val="0.59022852639873913"/>
          <c:h val="0.23167253764332091"/>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data'!$C$38</c:f>
          <c:strCache>
            <c:ptCount val="1"/>
            <c:pt idx="0">
              <c:v>P4: Deficit resilience safeguard respected </c:v>
            </c:pt>
          </c:strCache>
        </c:strRef>
      </c:tx>
      <c:layout>
        <c:manualLayout>
          <c:xMode val="edge"/>
          <c:yMode val="edge"/>
          <c:x val="0.19968458280325471"/>
          <c:y val="4.1051102157445519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9.8571673830760514E-2"/>
          <c:y val="0.2682268112712326"/>
          <c:w val="0.86379423674188027"/>
          <c:h val="0.64061209329965829"/>
        </c:manualLayout>
      </c:layout>
      <c:barChart>
        <c:barDir val="col"/>
        <c:grouping val="clustered"/>
        <c:varyColors val="0"/>
        <c:ser>
          <c:idx val="0"/>
          <c:order val="0"/>
          <c:tx>
            <c:strRef>
              <c:f>'Chart data'!$C$79</c:f>
              <c:strCache>
                <c:ptCount val="1"/>
                <c:pt idx="0">
                  <c:v>General government balance (% of GDP)</c:v>
                </c:pt>
              </c:strCache>
            </c:strRef>
          </c:tx>
          <c:spPr>
            <a:solidFill>
              <a:schemeClr val="accent5">
                <a:lumMod val="40000"/>
                <a:lumOff val="60000"/>
              </a:schemeClr>
            </a:solidFill>
            <a:ln w="28575" cap="rnd">
              <a:no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[0]!DeficitImplementationChart_MTP_Reference</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379D-4B76-BB17-AAA97E18E3C3}"/>
            </c:ext>
          </c:extLst>
        </c:ser>
        <c:ser>
          <c:idx val="3"/>
          <c:order val="2"/>
          <c:tx>
            <c:strRef>
              <c:f>'Chart data'!$C$81</c:f>
              <c:strCache>
                <c:ptCount val="1"/>
                <c:pt idx="0">
                  <c:v>Observed (Compliant)</c:v>
                </c:pt>
              </c:strCache>
            </c:strRef>
          </c:tx>
          <c:spPr>
            <a:solidFill>
              <a:srgbClr val="007635">
                <a:alpha val="75000"/>
              </a:srgbClr>
            </a:solidFill>
            <a:ln>
              <a:noFill/>
            </a:ln>
            <a:effectLst/>
          </c:spPr>
          <c:invertIfNegative val="0"/>
          <c:dLbls>
            <c:spPr>
              <a:noFill/>
              <a:ln>
                <a:noFill/>
              </a:ln>
              <a:effectLst/>
            </c:spPr>
            <c:txPr>
              <a:bodyPr rot="0" spcFirstLastPara="1" vertOverflow="ellipsis" vert="horz" wrap="square" lIns="38100" tIns="0" rIns="38100" bIns="0" anchor="ctr" anchorCtr="1">
                <a:spAutoFit/>
              </a:bodyPr>
              <a:lstStyle/>
              <a:p>
                <a:pPr>
                  <a:defRPr sz="900" b="0" i="0" u="none" strike="noStrike" kern="1200" baseline="0">
                    <a:solidFill>
                      <a:srgbClr val="007635"/>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[0]!DeficitImplementationChart_Observed_Compliant</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0-379D-4B76-BB17-AAA97E18E3C3}"/>
            </c:ext>
          </c:extLst>
        </c:ser>
        <c:ser>
          <c:idx val="2"/>
          <c:order val="3"/>
          <c:tx>
            <c:strRef>
              <c:f>'Chart data'!$C$82</c:f>
              <c:strCache>
                <c:ptCount val="1"/>
                <c:pt idx="0">
                  <c:v>Observed (Breach)</c:v>
                </c:pt>
              </c:strCache>
            </c:strRef>
          </c:tx>
          <c:spPr>
            <a:solidFill>
              <a:srgbClr val="C00000"/>
            </a:solidFill>
            <a:ln>
              <a:noFill/>
            </a:ln>
            <a:effectLst/>
          </c:spPr>
          <c:invertIfNegative val="0"/>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[0]!DeficitImplementationChart_Observed_Breach</c:f>
              <c:numCache>
                <c:formatCode>General</c:formatCode>
                <c:ptCount val="5"/>
                <c:pt idx="0" formatCode="0.0">
                  <c:v>#N/A</c:v>
                </c:pt>
                <c:pt idx="1">
                  <c:v>#N/A</c:v>
                </c:pt>
                <c:pt idx="2">
                  <c:v>#N/A</c:v>
                </c:pt>
                <c:pt idx="3">
                  <c:v>#N/A</c:v>
                </c:pt>
                <c:pt idx="4">
                  <c:v>#N/A</c:v>
                </c:pt>
              </c:numCache>
            </c:numRef>
          </c:val>
          <c:extLst>
            <c:ext xmlns:c16="http://schemas.microsoft.com/office/drawing/2014/chart" uri="{C3380CC4-5D6E-409C-BE32-E72D297353CC}">
              <c16:uniqueId val="{00000001-379D-4B76-BB17-AAA97E18E3C3}"/>
            </c:ext>
          </c:extLst>
        </c:ser>
        <c:ser>
          <c:idx val="4"/>
          <c:order val="4"/>
          <c:tx>
            <c:strRef>
              <c:f>'Chart data'!$C$80</c:f>
              <c:strCache>
                <c:ptCount val="1"/>
                <c:pt idx="0">
                  <c:v>Planned</c:v>
                </c:pt>
              </c:strCache>
            </c:strRef>
          </c:tx>
          <c:spPr>
            <a:solidFill>
              <a:schemeClr val="bg1">
                <a:lumMod val="75000"/>
                <a:alpha val="75000"/>
              </a:schemeClr>
            </a:solidFill>
            <a:ln>
              <a:noFill/>
            </a:ln>
            <a:effectLst/>
          </c:spPr>
          <c:invertIfNegative val="0"/>
          <c:dLbls>
            <c:spPr>
              <a:noFill/>
              <a:ln>
                <a:noFill/>
              </a:ln>
              <a:effectLst/>
            </c:spPr>
            <c:txPr>
              <a:bodyPr rot="0" spcFirstLastPara="1" vertOverflow="ellipsis" vert="horz" wrap="square" lIns="38100" tIns="0" rIns="38100" bIns="0" anchor="ctr" anchorCtr="1">
                <a:spAutoFit/>
              </a:bodyPr>
              <a:lstStyle/>
              <a:p>
                <a:pPr>
                  <a:defRPr sz="900" b="0" i="0" u="none" strike="noStrike" kern="1200" baseline="0">
                    <a:solidFill>
                      <a:schemeClr val="tx1">
                        <a:lumMod val="75000"/>
                        <a:lumOff val="25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[0]!DeficitImplementationChart_Planned</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2-379D-4B76-BB17-AAA97E18E3C3}"/>
            </c:ext>
          </c:extLst>
        </c:ser>
        <c:dLbls>
          <c:showLegendKey val="0"/>
          <c:showVal val="0"/>
          <c:showCatName val="0"/>
          <c:showSerName val="0"/>
          <c:showPercent val="0"/>
          <c:showBubbleSize val="0"/>
        </c:dLbls>
        <c:gapWidth val="20"/>
        <c:overlap val="88"/>
        <c:axId val="775248192"/>
        <c:axId val="775246032"/>
      </c:barChart>
      <c:lineChart>
        <c:grouping val="standard"/>
        <c:varyColors val="0"/>
        <c:ser>
          <c:idx val="1"/>
          <c:order val="1"/>
          <c:tx>
            <c:strRef>
              <c:f>'Chart data'!$C$83</c:f>
              <c:strCache>
                <c:ptCount val="1"/>
                <c:pt idx="0">
                  <c:v>3% reference value</c:v>
                </c:pt>
              </c:strCache>
            </c:strRef>
          </c:tx>
          <c:spPr>
            <a:ln w="22225" cap="rnd">
              <a:solidFill>
                <a:srgbClr val="C00000"/>
              </a:solidFill>
              <a:prstDash val="dash"/>
              <a:round/>
            </a:ln>
            <a:effectLst/>
          </c:spPr>
          <c:marker>
            <c:symbol val="none"/>
          </c:marker>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[0]!DeficitImplementationChart_ReferenceValue</c:f>
              <c:numCache>
                <c:formatCode>0</c:formatCode>
                <c:ptCount val="5"/>
                <c:pt idx="0">
                  <c:v>-3.05</c:v>
                </c:pt>
                <c:pt idx="1">
                  <c:v>-3.05</c:v>
                </c:pt>
                <c:pt idx="2">
                  <c:v>-3.05</c:v>
                </c:pt>
                <c:pt idx="3">
                  <c:v>-3.05</c:v>
                </c:pt>
                <c:pt idx="4">
                  <c:v>-3.05</c:v>
                </c:pt>
              </c:numCache>
            </c:numRef>
          </c:val>
          <c:smooth val="0"/>
          <c:extLst>
            <c:ext xmlns:c16="http://schemas.microsoft.com/office/drawing/2014/chart" uri="{C3380CC4-5D6E-409C-BE32-E72D297353CC}">
              <c16:uniqueId val="{00000004-379D-4B76-BB17-AAA97E18E3C3}"/>
            </c:ext>
          </c:extLst>
        </c:ser>
        <c:dLbls>
          <c:showLegendKey val="0"/>
          <c:showVal val="0"/>
          <c:showCatName val="0"/>
          <c:showSerName val="0"/>
          <c:showPercent val="0"/>
          <c:showBubbleSize val="0"/>
        </c:dLbls>
        <c:marker val="1"/>
        <c:smooth val="0"/>
        <c:axId val="775248192"/>
        <c:axId val="775246032"/>
      </c:lineChart>
      <c:catAx>
        <c:axId val="775248192"/>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0" spcFirstLastPara="1" vertOverflow="ellipsis" vert="horz" wrap="square" anchor="ctr" anchorCtr="0"/>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75246032"/>
        <c:crosses val="autoZero"/>
        <c:auto val="1"/>
        <c:lblAlgn val="ctr"/>
        <c:lblOffset val="100"/>
        <c:tickLblSkip val="1"/>
        <c:noMultiLvlLbl val="0"/>
      </c:catAx>
      <c:valAx>
        <c:axId val="775246032"/>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75248192"/>
        <c:crosses val="autoZero"/>
        <c:crossBetween val="between"/>
      </c:valAx>
      <c:spPr>
        <a:noFill/>
        <a:ln>
          <a:noFill/>
        </a:ln>
        <a:effectLst/>
      </c:spPr>
    </c:plotArea>
    <c:legend>
      <c:legendPos val="r"/>
      <c:legendEntry>
        <c:idx val="0"/>
        <c:delete val="1"/>
      </c:legendEntry>
      <c:legendEntry>
        <c:idx val="4"/>
        <c:delete val="1"/>
      </c:legendEntry>
      <c:layout>
        <c:manualLayout>
          <c:xMode val="edge"/>
          <c:yMode val="edge"/>
          <c:x val="0.62907077261690458"/>
          <c:y val="0.17070843737238839"/>
          <c:w val="0.28510208488676497"/>
          <c:h val="0.14410159575739478"/>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data'!$C$69</c:f>
          <c:strCache>
            <c:ptCount val="1"/>
            <c:pt idx="0">
              <c:v>P5b: Time profile of the fiscal adjustment (change in the structural primary balance) compared to the endorsed plan</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panose="020B0004020202020204" pitchFamily="34" charset="0"/>
              <a:ea typeface="+mn-ea"/>
              <a:cs typeface="+mn-cs"/>
            </a:defRPr>
          </a:pPr>
          <a:endParaRPr lang="en-US"/>
        </a:p>
      </c:txPr>
    </c:title>
    <c:autoTitleDeleted val="0"/>
    <c:plotArea>
      <c:layout>
        <c:manualLayout>
          <c:layoutTarget val="inner"/>
          <c:xMode val="edge"/>
          <c:yMode val="edge"/>
          <c:x val="8.5553149606299214E-2"/>
          <c:y val="0.28580516790497179"/>
          <c:w val="0.88389129483814521"/>
          <c:h val="0.5480993869709897"/>
        </c:manualLayout>
      </c:layout>
      <c:barChart>
        <c:barDir val="col"/>
        <c:grouping val="clustered"/>
        <c:varyColors val="0"/>
        <c:ser>
          <c:idx val="0"/>
          <c:order val="0"/>
          <c:tx>
            <c:strRef>
              <c:f>'Chart data'!$C$70</c:f>
              <c:strCache>
                <c:ptCount val="1"/>
                <c:pt idx="0">
                  <c:v>Endorsed linear annual change in SPB </c:v>
                </c:pt>
              </c:strCache>
            </c:strRef>
          </c:tx>
          <c:spPr>
            <a:solidFill>
              <a:schemeClr val="accent5">
                <a:lumMod val="40000"/>
                <a:lumOff val="60000"/>
              </a:schemeClr>
            </a:solidFill>
            <a:ln>
              <a:noFill/>
              <a:prstDash val="sysDash"/>
            </a:ln>
            <a:effectLst/>
          </c:spPr>
          <c:invertIfNegative val="0"/>
          <c:dLbls>
            <c:dLbl>
              <c:idx val="0"/>
              <c:delete val="1"/>
              <c:extLst>
                <c:ext xmlns:c15="http://schemas.microsoft.com/office/drawing/2012/chart" uri="{CE6537A1-D6FC-4f65-9D91-7224C49458BB}"/>
                <c:ext xmlns:c16="http://schemas.microsoft.com/office/drawing/2014/chart" uri="{C3380CC4-5D6E-409C-BE32-E72D297353CC}">
                  <c16:uniqueId val="{00000004-F8E0-4AA4-9D9C-157F1285309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Aptos Narrow" panose="020B0004020202020204" pitchFamily="34" charset="0"/>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[0]!SPB_TimeProfileChart_Years</c:f>
              <c:numCache>
                <c:formatCode>General</c:formatCode>
                <c:ptCount val="5"/>
                <c:pt idx="0">
                  <c:v>2024</c:v>
                </c:pt>
                <c:pt idx="1">
                  <c:v>2025</c:v>
                </c:pt>
                <c:pt idx="2">
                  <c:v>2026</c:v>
                </c:pt>
                <c:pt idx="3">
                  <c:v>2027</c:v>
                </c:pt>
                <c:pt idx="4">
                  <c:v>2028</c:v>
                </c:pt>
              </c:numCache>
            </c:numRef>
          </c:cat>
          <c:val>
            <c:numRef>
              <c:f>[0]!SPB_TimeProfileChart_Endorsed</c:f>
              <c:numCache>
                <c:formatCode>0.0</c:formatCode>
                <c:ptCount val="5"/>
                <c:pt idx="1">
                  <c:v>0</c:v>
                </c:pt>
                <c:pt idx="2">
                  <c:v>0</c:v>
                </c:pt>
                <c:pt idx="3">
                  <c:v>0</c:v>
                </c:pt>
                <c:pt idx="4">
                  <c:v>0</c:v>
                </c:pt>
              </c:numCache>
            </c:numRef>
          </c:val>
          <c:extLst>
            <c:ext xmlns:c16="http://schemas.microsoft.com/office/drawing/2014/chart" uri="{C3380CC4-5D6E-409C-BE32-E72D297353CC}">
              <c16:uniqueId val="{00000005-F8E0-4AA4-9D9C-157F12853097}"/>
            </c:ext>
          </c:extLst>
        </c:ser>
        <c:ser>
          <c:idx val="3"/>
          <c:order val="1"/>
          <c:tx>
            <c:v>Blank Helper 1</c:v>
          </c:tx>
          <c:spPr>
            <a:solidFill>
              <a:schemeClr val="accent4"/>
            </a:solidFill>
            <a:ln>
              <a:noFill/>
            </a:ln>
            <a:effectLst/>
          </c:spPr>
          <c:invertIfNegative val="0"/>
          <c:cat>
            <c:numRef>
              <c:f>[0]!SPB_TimeProfileChart_Years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0-F8E0-4AA4-9D9C-157F12853097}"/>
            </c:ext>
          </c:extLst>
        </c:ser>
        <c:ser>
          <c:idx val="4"/>
          <c:order val="2"/>
          <c:tx>
            <c:v>Blank helper 2</c:v>
          </c:tx>
          <c:spPr>
            <a:solidFill>
              <a:schemeClr val="accent5"/>
            </a:solidFill>
            <a:ln>
              <a:noFill/>
            </a:ln>
            <a:effectLst/>
          </c:spPr>
          <c:invertIfNegative val="0"/>
          <c:cat>
            <c:numRef>
              <c:f>[0]!SPB_TimeProfileChart_Years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1-F8E0-4AA4-9D9C-157F12853097}"/>
            </c:ext>
          </c:extLst>
        </c:ser>
        <c:dLbls>
          <c:showLegendKey val="0"/>
          <c:showVal val="0"/>
          <c:showCatName val="0"/>
          <c:showSerName val="0"/>
          <c:showPercent val="0"/>
          <c:showBubbleSize val="0"/>
        </c:dLbls>
        <c:gapWidth val="42"/>
        <c:overlap val="98"/>
        <c:axId val="734561744"/>
        <c:axId val="1583801647"/>
      </c:barChart>
      <c:barChart>
        <c:barDir val="col"/>
        <c:grouping val="clustered"/>
        <c:varyColors val="0"/>
        <c:ser>
          <c:idx val="2"/>
          <c:order val="3"/>
          <c:tx>
            <c:strRef>
              <c:f>'Chart data'!$C$74</c:f>
              <c:strCache>
                <c:ptCount val="1"/>
                <c:pt idx="0">
                  <c:v>Observed</c:v>
                </c:pt>
              </c:strCache>
            </c:strRef>
          </c:tx>
          <c:spPr>
            <a:solidFill>
              <a:schemeClr val="accent5">
                <a:lumMod val="50000"/>
                <a:alpha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lumMod val="50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[0]!SPB_TimeProfileChart_Years</c:f>
              <c:numCache>
                <c:formatCode>General</c:formatCode>
                <c:ptCount val="5"/>
                <c:pt idx="0">
                  <c:v>2024</c:v>
                </c:pt>
                <c:pt idx="1">
                  <c:v>2025</c:v>
                </c:pt>
                <c:pt idx="2">
                  <c:v>2026</c:v>
                </c:pt>
                <c:pt idx="3">
                  <c:v>2027</c:v>
                </c:pt>
                <c:pt idx="4">
                  <c:v>2028</c:v>
                </c:pt>
              </c:numCache>
            </c:numRef>
          </c:cat>
          <c:val>
            <c:numRef>
              <c:f>[0]!SPB_TimeProfileChart_Observed</c:f>
              <c:numCache>
                <c:formatCode>0.0</c:formatCode>
                <c:ptCount val="5"/>
                <c:pt idx="0">
                  <c:v>0</c:v>
                </c:pt>
                <c:pt idx="1">
                  <c:v>0</c:v>
                </c:pt>
                <c:pt idx="2">
                  <c:v>#N/A</c:v>
                </c:pt>
                <c:pt idx="3">
                  <c:v>#N/A</c:v>
                </c:pt>
                <c:pt idx="4">
                  <c:v>#N/A</c:v>
                </c:pt>
              </c:numCache>
            </c:numRef>
          </c:val>
          <c:extLst>
            <c:ext xmlns:c16="http://schemas.microsoft.com/office/drawing/2014/chart" uri="{C3380CC4-5D6E-409C-BE32-E72D297353CC}">
              <c16:uniqueId val="{00000002-F8E0-4AA4-9D9C-157F12853097}"/>
            </c:ext>
          </c:extLst>
        </c:ser>
        <c:ser>
          <c:idx val="1"/>
          <c:order val="4"/>
          <c:tx>
            <c:strRef>
              <c:f>'Chart data'!$C$72</c:f>
              <c:strCache>
                <c:ptCount val="1"/>
                <c:pt idx="0">
                  <c:v>Planned</c:v>
                </c:pt>
              </c:strCache>
            </c:strRef>
          </c:tx>
          <c:spPr>
            <a:solidFill>
              <a:schemeClr val="bg1">
                <a:lumMod val="75000"/>
                <a:alpha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[0]!SPB_TimeProfileChart_Years</c:f>
              <c:numCache>
                <c:formatCode>General</c:formatCode>
                <c:ptCount val="5"/>
                <c:pt idx="0">
                  <c:v>2024</c:v>
                </c:pt>
                <c:pt idx="1">
                  <c:v>2025</c:v>
                </c:pt>
                <c:pt idx="2">
                  <c:v>2026</c:v>
                </c:pt>
                <c:pt idx="3">
                  <c:v>2027</c:v>
                </c:pt>
                <c:pt idx="4">
                  <c:v>2028</c:v>
                </c:pt>
              </c:numCache>
            </c:numRef>
          </c:cat>
          <c:val>
            <c:numRef>
              <c:f>[0]!SPB_TimeProfileChart_Planned</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3-F8E0-4AA4-9D9C-157F12853097}"/>
            </c:ext>
          </c:extLst>
        </c:ser>
        <c:dLbls>
          <c:showLegendKey val="0"/>
          <c:showVal val="0"/>
          <c:showCatName val="0"/>
          <c:showSerName val="0"/>
          <c:showPercent val="0"/>
          <c:showBubbleSize val="0"/>
        </c:dLbls>
        <c:gapWidth val="11"/>
        <c:overlap val="47"/>
        <c:axId val="1227260992"/>
        <c:axId val="1227264352"/>
      </c:barChart>
      <c:lineChart>
        <c:grouping val="standard"/>
        <c:varyColors val="0"/>
        <c:ser>
          <c:idx val="5"/>
          <c:order val="5"/>
          <c:tx>
            <c:v>LeftAxisMin</c:v>
          </c:tx>
          <c:spPr>
            <a:ln w="28575" cap="rnd">
              <a:solidFill>
                <a:schemeClr val="accent6"/>
              </a:solidFill>
              <a:round/>
            </a:ln>
            <a:effectLst/>
          </c:spPr>
          <c:marker>
            <c:symbol val="none"/>
          </c:marker>
          <c:val>
            <c:numRef>
              <c:f>'Chart data'!$D$75</c:f>
              <c:numCache>
                <c:formatCode>0.0</c:formatCode>
                <c:ptCount val="1"/>
                <c:pt idx="0">
                  <c:v>0</c:v>
                </c:pt>
              </c:numCache>
            </c:numRef>
          </c:val>
          <c:smooth val="0"/>
          <c:extLst>
            <c:ext xmlns:c16="http://schemas.microsoft.com/office/drawing/2014/chart" uri="{C3380CC4-5D6E-409C-BE32-E72D297353CC}">
              <c16:uniqueId val="{00000006-F8E0-4AA4-9D9C-157F12853097}"/>
            </c:ext>
          </c:extLst>
        </c:ser>
        <c:ser>
          <c:idx val="7"/>
          <c:order val="7"/>
          <c:tx>
            <c:v>LeftAxisMax</c:v>
          </c:tx>
          <c:spPr>
            <a:ln w="28575" cap="rnd">
              <a:solidFill>
                <a:schemeClr val="accent2">
                  <a:lumMod val="60000"/>
                </a:schemeClr>
              </a:solidFill>
              <a:round/>
            </a:ln>
            <a:effectLst/>
          </c:spPr>
          <c:marker>
            <c:symbol val="none"/>
          </c:marker>
          <c:val>
            <c:numRef>
              <c:f>'Chart data'!$D$76</c:f>
              <c:numCache>
                <c:formatCode>0.0</c:formatCode>
                <c:ptCount val="1"/>
                <c:pt idx="0">
                  <c:v>0</c:v>
                </c:pt>
              </c:numCache>
            </c:numRef>
          </c:val>
          <c:smooth val="0"/>
          <c:extLst>
            <c:ext xmlns:c16="http://schemas.microsoft.com/office/drawing/2014/chart" uri="{C3380CC4-5D6E-409C-BE32-E72D297353CC}">
              <c16:uniqueId val="{00000007-F8E0-4AA4-9D9C-157F12853097}"/>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6"/>
          <c:order val="6"/>
          <c:tx>
            <c:v>RightAxisMin</c:v>
          </c:tx>
          <c:spPr>
            <a:ln w="28575" cap="rnd">
              <a:solidFill>
                <a:schemeClr val="accent1">
                  <a:lumMod val="60000"/>
                </a:schemeClr>
              </a:solidFill>
              <a:round/>
            </a:ln>
            <a:effectLst/>
          </c:spPr>
          <c:marker>
            <c:symbol val="none"/>
          </c:marker>
          <c:dPt>
            <c:idx val="0"/>
            <c:marker>
              <c:symbol val="none"/>
            </c:marker>
            <c:bubble3D val="0"/>
            <c:extLst>
              <c:ext xmlns:c16="http://schemas.microsoft.com/office/drawing/2014/chart" uri="{C3380CC4-5D6E-409C-BE32-E72D297353CC}">
                <c16:uniqueId val="{00000008-F8E0-4AA4-9D9C-157F12853097}"/>
              </c:ext>
            </c:extLst>
          </c:dPt>
          <c:val>
            <c:numRef>
              <c:f>'Chart data'!$D$75</c:f>
              <c:numCache>
                <c:formatCode>0.0</c:formatCode>
                <c:ptCount val="1"/>
                <c:pt idx="0">
                  <c:v>0</c:v>
                </c:pt>
              </c:numCache>
            </c:numRef>
          </c:val>
          <c:smooth val="0"/>
          <c:extLst>
            <c:ext xmlns:c16="http://schemas.microsoft.com/office/drawing/2014/chart" uri="{C3380CC4-5D6E-409C-BE32-E72D297353CC}">
              <c16:uniqueId val="{00000009-F8E0-4AA4-9D9C-157F12853097}"/>
            </c:ext>
          </c:extLst>
        </c:ser>
        <c:ser>
          <c:idx val="8"/>
          <c:order val="8"/>
          <c:tx>
            <c:v>RightAxisMax</c:v>
          </c:tx>
          <c:spPr>
            <a:ln w="28575" cap="rnd">
              <a:solidFill>
                <a:schemeClr val="accent3">
                  <a:lumMod val="60000"/>
                </a:schemeClr>
              </a:solidFill>
              <a:round/>
            </a:ln>
            <a:effectLst/>
          </c:spPr>
          <c:marker>
            <c:symbol val="none"/>
          </c:marker>
          <c:dPt>
            <c:idx val="0"/>
            <c:marker>
              <c:symbol val="none"/>
            </c:marker>
            <c:bubble3D val="0"/>
            <c:extLst>
              <c:ext xmlns:c16="http://schemas.microsoft.com/office/drawing/2014/chart" uri="{C3380CC4-5D6E-409C-BE32-E72D297353CC}">
                <c16:uniqueId val="{0000000A-F8E0-4AA4-9D9C-157F12853097}"/>
              </c:ext>
            </c:extLst>
          </c:dPt>
          <c:val>
            <c:numRef>
              <c:f>'Chart data'!$D$76</c:f>
              <c:numCache>
                <c:formatCode>0.0</c:formatCode>
                <c:ptCount val="1"/>
                <c:pt idx="0">
                  <c:v>0</c:v>
                </c:pt>
              </c:numCache>
            </c:numRef>
          </c:val>
          <c:smooth val="0"/>
          <c:extLst>
            <c:ext xmlns:c16="http://schemas.microsoft.com/office/drawing/2014/chart" uri="{C3380CC4-5D6E-409C-BE32-E72D297353CC}">
              <c16:uniqueId val="{0000000B-F8E0-4AA4-9D9C-157F12853097}"/>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r"/>
      <c:legendEntry>
        <c:idx val="1"/>
        <c:delete val="1"/>
      </c:legendEntry>
      <c:legendEntry>
        <c:idx val="2"/>
        <c:delete val="1"/>
      </c:legendEntry>
      <c:legendEntry>
        <c:idx val="5"/>
        <c:delete val="1"/>
      </c:legendEntry>
      <c:legendEntry>
        <c:idx val="6"/>
        <c:delete val="1"/>
      </c:legendEntry>
      <c:legendEntry>
        <c:idx val="7"/>
        <c:delete val="1"/>
      </c:legendEntry>
      <c:legendEntry>
        <c:idx val="8"/>
        <c:delete val="1"/>
      </c:legendEntry>
      <c:layout>
        <c:manualLayout>
          <c:xMode val="edge"/>
          <c:yMode val="edge"/>
          <c:x val="0.41289223342325715"/>
          <c:y val="0.23805284789562073"/>
          <c:w val="0.47245849540914997"/>
          <c:h val="0.1453049138088508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data'!$C$58</c:f>
          <c:strCache>
            <c:ptCount val="1"/>
            <c:pt idx="0">
              <c:v>P3a: Change in general government gross debt compared to endorsed plan and safeguard</c:v>
            </c:pt>
          </c:strCache>
        </c:strRef>
      </c:tx>
      <c:layout>
        <c:manualLayout>
          <c:xMode val="edge"/>
          <c:yMode val="edge"/>
          <c:x val="0.11130832451794592"/>
          <c:y val="4.3713641744199628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0706846542043204E-2"/>
          <c:y val="0.4417826630770364"/>
          <c:w val="0.87858630691591355"/>
          <c:h val="0.47866976250479282"/>
        </c:manualLayout>
      </c:layout>
      <c:barChart>
        <c:barDir val="col"/>
        <c:grouping val="clustered"/>
        <c:varyColors val="0"/>
        <c:ser>
          <c:idx val="0"/>
          <c:order val="0"/>
          <c:tx>
            <c:strRef>
              <c:f>'Chart data'!$C$59</c:f>
              <c:strCache>
                <c:ptCount val="1"/>
                <c:pt idx="0">
                  <c:v>Council-endorsed path</c:v>
                </c:pt>
              </c:strCache>
            </c:strRef>
          </c:tx>
          <c:spPr>
            <a:solidFill>
              <a:schemeClr val="accent5">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[0]!DebtSafeGuardChart_Years</c:f>
              <c:numCache>
                <c:formatCode>General</c:formatCode>
                <c:ptCount val="5"/>
                <c:pt idx="0">
                  <c:v>2024</c:v>
                </c:pt>
                <c:pt idx="1">
                  <c:v>2025</c:v>
                </c:pt>
                <c:pt idx="2">
                  <c:v>2026</c:v>
                </c:pt>
                <c:pt idx="3">
                  <c:v>2027</c:v>
                </c:pt>
                <c:pt idx="4">
                  <c:v>2028</c:v>
                </c:pt>
              </c:numCache>
            </c:numRef>
          </c:cat>
          <c:val>
            <c:numRef>
              <c:f>[0]!DebtSafeGuardChart_MTP</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5-45DD-4978-98CC-F65C5B7D9263}"/>
            </c:ext>
          </c:extLst>
        </c:ser>
        <c:ser>
          <c:idx val="8"/>
          <c:order val="9"/>
          <c:tx>
            <c:strRef>
              <c:f>'Chart data'!$C$60</c:f>
              <c:strCache>
                <c:ptCount val="1"/>
                <c:pt idx="0">
                  <c:v>Blank helper series 1</c:v>
                </c:pt>
              </c:strCache>
            </c:strRef>
          </c:tx>
          <c:spPr>
            <a:solidFill>
              <a:schemeClr val="accent3">
                <a:lumMod val="60000"/>
              </a:schemeClr>
            </a:solidFill>
            <a:ln>
              <a:noFill/>
            </a:ln>
            <a:effectLst/>
          </c:spPr>
          <c:invertIfNegative val="0"/>
          <c:cat>
            <c:numRef>
              <c:f>[0]!DebtSafeGuardChart_Years</c:f>
              <c:numCache>
                <c:formatCode>General</c:formatCode>
                <c:ptCount val="5"/>
                <c:pt idx="0">
                  <c:v>2024</c:v>
                </c:pt>
                <c:pt idx="1">
                  <c:v>2025</c:v>
                </c:pt>
                <c:pt idx="2">
                  <c:v>2026</c:v>
                </c:pt>
                <c:pt idx="3">
                  <c:v>2027</c:v>
                </c:pt>
                <c:pt idx="4">
                  <c:v>2028</c:v>
                </c:pt>
              </c:numCache>
            </c:numRef>
          </c:cat>
          <c:val>
            <c:numRef>
              <c:f>[0]!DebtSafeguardChart_HelperSeries1</c:f>
              <c:numCache>
                <c:formatCode>0.0</c:formatCode>
                <c:ptCount val="5"/>
              </c:numCache>
            </c:numRef>
          </c:val>
          <c:extLst>
            <c:ext xmlns:c16="http://schemas.microsoft.com/office/drawing/2014/chart" uri="{C3380CC4-5D6E-409C-BE32-E72D297353CC}">
              <c16:uniqueId val="{00000000-45DD-4978-98CC-F65C5B7D9263}"/>
            </c:ext>
          </c:extLst>
        </c:ser>
        <c:ser>
          <c:idx val="9"/>
          <c:order val="10"/>
          <c:tx>
            <c:strRef>
              <c:f>'Chart data'!$C$61</c:f>
              <c:strCache>
                <c:ptCount val="1"/>
                <c:pt idx="0">
                  <c:v>Blank helper series 2</c:v>
                </c:pt>
              </c:strCache>
            </c:strRef>
          </c:tx>
          <c:spPr>
            <a:solidFill>
              <a:schemeClr val="accent4">
                <a:lumMod val="60000"/>
              </a:schemeClr>
            </a:solidFill>
            <a:ln>
              <a:noFill/>
            </a:ln>
            <a:effectLst/>
          </c:spPr>
          <c:invertIfNegative val="0"/>
          <c:val>
            <c:numRef>
              <c:f>[0]!DebtSafeguardChart_HelperSeries2</c:f>
              <c:numCache>
                <c:formatCode>0.0</c:formatCode>
                <c:ptCount val="5"/>
              </c:numCache>
            </c:numRef>
          </c:val>
          <c:extLst>
            <c:ext xmlns:c16="http://schemas.microsoft.com/office/drawing/2014/chart" uri="{C3380CC4-5D6E-409C-BE32-E72D297353CC}">
              <c16:uniqueId val="{00000001-45DD-4978-98CC-F65C5B7D9263}"/>
            </c:ext>
          </c:extLst>
        </c:ser>
        <c:dLbls>
          <c:showLegendKey val="0"/>
          <c:showVal val="0"/>
          <c:showCatName val="0"/>
          <c:showSerName val="0"/>
          <c:showPercent val="0"/>
          <c:showBubbleSize val="0"/>
        </c:dLbls>
        <c:gapWidth val="0"/>
        <c:overlap val="60"/>
        <c:axId val="472213263"/>
        <c:axId val="472211343"/>
      </c:barChart>
      <c:barChart>
        <c:barDir val="col"/>
        <c:grouping val="clustered"/>
        <c:varyColors val="0"/>
        <c:ser>
          <c:idx val="1"/>
          <c:order val="1"/>
          <c:tx>
            <c:strRef>
              <c:f>'Chart data'!$C$62</c:f>
              <c:strCache>
                <c:ptCount val="1"/>
                <c:pt idx="0">
                  <c:v>Observed (Compliant)</c:v>
                </c:pt>
              </c:strCache>
            </c:strRef>
          </c:tx>
          <c:spPr>
            <a:solidFill>
              <a:srgbClr val="007635">
                <a:alpha val="75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[0]!DebtSafeGuardChart_Years</c:f>
              <c:numCache>
                <c:formatCode>General</c:formatCode>
                <c:ptCount val="5"/>
                <c:pt idx="0">
                  <c:v>2024</c:v>
                </c:pt>
                <c:pt idx="1">
                  <c:v>2025</c:v>
                </c:pt>
                <c:pt idx="2">
                  <c:v>2026</c:v>
                </c:pt>
                <c:pt idx="3">
                  <c:v>2027</c:v>
                </c:pt>
                <c:pt idx="4">
                  <c:v>2028</c:v>
                </c:pt>
              </c:numCache>
            </c:numRef>
          </c:cat>
          <c:val>
            <c:numRef>
              <c:f>[0]!DebtSafeguardChart_Compliant</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2-45DD-4978-98CC-F65C5B7D9263}"/>
            </c:ext>
          </c:extLst>
        </c:ser>
        <c:ser>
          <c:idx val="10"/>
          <c:order val="2"/>
          <c:tx>
            <c:strRef>
              <c:f>'Chart data'!$C$63</c:f>
              <c:strCache>
                <c:ptCount val="1"/>
                <c:pt idx="0">
                  <c:v>Observed (Breach)</c:v>
                </c:pt>
              </c:strCache>
            </c:strRef>
          </c:tx>
          <c:spPr>
            <a:solidFill>
              <a:srgbClr val="C00000">
                <a:alpha val="75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[0]!DebtSafeGuardChart_Years</c:f>
              <c:numCache>
                <c:formatCode>General</c:formatCode>
                <c:ptCount val="5"/>
                <c:pt idx="0">
                  <c:v>2024</c:v>
                </c:pt>
                <c:pt idx="1">
                  <c:v>2025</c:v>
                </c:pt>
                <c:pt idx="2">
                  <c:v>2026</c:v>
                </c:pt>
                <c:pt idx="3">
                  <c:v>2027</c:v>
                </c:pt>
                <c:pt idx="4">
                  <c:v>2028</c:v>
                </c:pt>
              </c:numCache>
            </c:numRef>
          </c:cat>
          <c:val>
            <c:numRef>
              <c:f>[0]!DebtSafeguardChart_Breach</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3-45DD-4978-98CC-F65C5B7D9263}"/>
            </c:ext>
          </c:extLst>
        </c:ser>
        <c:ser>
          <c:idx val="2"/>
          <c:order val="3"/>
          <c:tx>
            <c:strRef>
              <c:f>'Chart data'!$C$64</c:f>
              <c:strCache>
                <c:ptCount val="1"/>
                <c:pt idx="0">
                  <c:v>Change in gross debt (planned)</c:v>
                </c:pt>
              </c:strCache>
            </c:strRef>
          </c:tx>
          <c:spPr>
            <a:solidFill>
              <a:schemeClr val="bg1">
                <a:lumMod val="75000"/>
                <a:alpha val="70000"/>
              </a:schemeClr>
            </a:solidFill>
            <a:ln>
              <a:solidFill>
                <a:schemeClr val="tx1">
                  <a:lumMod val="15000"/>
                  <a:lumOff val="85000"/>
                  <a:alpha val="70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[0]!DebtSafeGuardChart_Years</c:f>
              <c:numCache>
                <c:formatCode>General</c:formatCode>
                <c:ptCount val="5"/>
                <c:pt idx="0">
                  <c:v>2024</c:v>
                </c:pt>
                <c:pt idx="1">
                  <c:v>2025</c:v>
                </c:pt>
                <c:pt idx="2">
                  <c:v>2026</c:v>
                </c:pt>
                <c:pt idx="3">
                  <c:v>2027</c:v>
                </c:pt>
                <c:pt idx="4">
                  <c:v>2028</c:v>
                </c:pt>
              </c:numCache>
            </c:numRef>
          </c:cat>
          <c:val>
            <c:numRef>
              <c:f>[0]!DebtSafeGuardChart_Planned</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4-45DD-4978-98CC-F65C5B7D9263}"/>
            </c:ext>
          </c:extLst>
        </c:ser>
        <c:dLbls>
          <c:showLegendKey val="0"/>
          <c:showVal val="0"/>
          <c:showCatName val="0"/>
          <c:showSerName val="0"/>
          <c:showPercent val="0"/>
          <c:showBubbleSize val="0"/>
        </c:dLbls>
        <c:gapWidth val="100"/>
        <c:overlap val="100"/>
        <c:axId val="968280543"/>
        <c:axId val="968283423"/>
      </c:barChart>
      <c:lineChart>
        <c:grouping val="standard"/>
        <c:varyColors val="0"/>
        <c:ser>
          <c:idx val="3"/>
          <c:order val="4"/>
          <c:tx>
            <c:strRef>
              <c:f>'Chart data'!$C$65</c:f>
              <c:strCache>
                <c:ptCount val="1"/>
                <c:pt idx="0">
                  <c:v>Required change in gross debt </c:v>
                </c:pt>
              </c:strCache>
            </c:strRef>
          </c:tx>
          <c:spPr>
            <a:ln w="28575" cap="rnd">
              <a:solidFill>
                <a:srgbClr val="C00000"/>
              </a:solidFill>
              <a:prstDash val="sysDash"/>
              <a:round/>
            </a:ln>
            <a:effectLst/>
          </c:spPr>
          <c:marker>
            <c:symbol val="none"/>
          </c:marker>
          <c:cat>
            <c:numRef>
              <c:f>[0]!DebtSafeGuardChart_Years</c:f>
              <c:numCache>
                <c:formatCode>General</c:formatCode>
                <c:ptCount val="5"/>
                <c:pt idx="0">
                  <c:v>2024</c:v>
                </c:pt>
                <c:pt idx="1">
                  <c:v>2025</c:v>
                </c:pt>
                <c:pt idx="2">
                  <c:v>2026</c:v>
                </c:pt>
                <c:pt idx="3">
                  <c:v>2027</c:v>
                </c:pt>
                <c:pt idx="4">
                  <c:v>2028</c:v>
                </c:pt>
              </c:numCache>
            </c:numRef>
          </c:cat>
          <c:val>
            <c:numRef>
              <c:f>[0]!DebtSafeguardChart_Required</c:f>
              <c:numCache>
                <c:formatCode>0.0</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6-45DD-4978-98CC-F65C5B7D9263}"/>
            </c:ext>
          </c:extLst>
        </c:ser>
        <c:ser>
          <c:idx val="4"/>
          <c:order val="5"/>
          <c:tx>
            <c:v>LeftAxisMin</c:v>
          </c:tx>
          <c:spPr>
            <a:ln w="25400" cap="rnd">
              <a:noFill/>
              <a:round/>
            </a:ln>
            <a:effectLst/>
          </c:spPr>
          <c:marker>
            <c:symbol val="none"/>
          </c:marker>
          <c:val>
            <c:numRef>
              <c:f>'Chart data'!$D$66</c:f>
              <c:numCache>
                <c:formatCode>0.0</c:formatCode>
                <c:ptCount val="1"/>
                <c:pt idx="0">
                  <c:v>0</c:v>
                </c:pt>
              </c:numCache>
            </c:numRef>
          </c:val>
          <c:smooth val="0"/>
          <c:extLst>
            <c:ext xmlns:c16="http://schemas.microsoft.com/office/drawing/2014/chart" uri="{C3380CC4-5D6E-409C-BE32-E72D297353CC}">
              <c16:uniqueId val="{00000007-45DD-4978-98CC-F65C5B7D9263}"/>
            </c:ext>
          </c:extLst>
        </c:ser>
        <c:ser>
          <c:idx val="6"/>
          <c:order val="7"/>
          <c:tx>
            <c:v>LeftAxisMax</c:v>
          </c:tx>
          <c:spPr>
            <a:ln w="25400" cap="rnd">
              <a:noFill/>
              <a:round/>
            </a:ln>
            <a:effectLst/>
          </c:spPr>
          <c:marker>
            <c:symbol val="none"/>
          </c:marker>
          <c:val>
            <c:numRef>
              <c:f>'Chart data'!$D$67</c:f>
              <c:numCache>
                <c:formatCode>0.0</c:formatCode>
                <c:ptCount val="1"/>
                <c:pt idx="0">
                  <c:v>0</c:v>
                </c:pt>
              </c:numCache>
            </c:numRef>
          </c:val>
          <c:smooth val="0"/>
          <c:extLst>
            <c:ext xmlns:c16="http://schemas.microsoft.com/office/drawing/2014/chart" uri="{C3380CC4-5D6E-409C-BE32-E72D297353CC}">
              <c16:uniqueId val="{00000008-45DD-4978-98CC-F65C5B7D9263}"/>
            </c:ext>
          </c:extLst>
        </c:ser>
        <c:dLbls>
          <c:showLegendKey val="0"/>
          <c:showVal val="0"/>
          <c:showCatName val="0"/>
          <c:showSerName val="0"/>
          <c:showPercent val="0"/>
          <c:showBubbleSize val="0"/>
        </c:dLbls>
        <c:marker val="1"/>
        <c:smooth val="0"/>
        <c:axId val="472213263"/>
        <c:axId val="472211343"/>
      </c:lineChart>
      <c:lineChart>
        <c:grouping val="standard"/>
        <c:varyColors val="0"/>
        <c:ser>
          <c:idx val="5"/>
          <c:order val="6"/>
          <c:tx>
            <c:v>RightAxisMin</c:v>
          </c:tx>
          <c:spPr>
            <a:ln w="28575" cap="rnd">
              <a:solidFill>
                <a:schemeClr val="accent6"/>
              </a:solidFill>
              <a:round/>
            </a:ln>
            <a:effectLst/>
          </c:spPr>
          <c:marker>
            <c:symbol val="none"/>
          </c:marker>
          <c:cat>
            <c:numRef>
              <c:f>[0]!DebtSafeGuardChart_Years</c:f>
              <c:numCache>
                <c:formatCode>General</c:formatCode>
                <c:ptCount val="5"/>
                <c:pt idx="0">
                  <c:v>2024</c:v>
                </c:pt>
                <c:pt idx="1">
                  <c:v>2025</c:v>
                </c:pt>
                <c:pt idx="2">
                  <c:v>2026</c:v>
                </c:pt>
                <c:pt idx="3">
                  <c:v>2027</c:v>
                </c:pt>
                <c:pt idx="4">
                  <c:v>2028</c:v>
                </c:pt>
              </c:numCache>
            </c:numRef>
          </c:cat>
          <c:val>
            <c:numRef>
              <c:f>'Chart data'!$D$66</c:f>
              <c:numCache>
                <c:formatCode>0.0</c:formatCode>
                <c:ptCount val="1"/>
                <c:pt idx="0">
                  <c:v>0</c:v>
                </c:pt>
              </c:numCache>
            </c:numRef>
          </c:val>
          <c:smooth val="0"/>
          <c:extLst>
            <c:ext xmlns:c16="http://schemas.microsoft.com/office/drawing/2014/chart" uri="{C3380CC4-5D6E-409C-BE32-E72D297353CC}">
              <c16:uniqueId val="{00000009-45DD-4978-98CC-F65C5B7D9263}"/>
            </c:ext>
          </c:extLst>
        </c:ser>
        <c:ser>
          <c:idx val="7"/>
          <c:order val="8"/>
          <c:tx>
            <c:v>RightAxisMax</c:v>
          </c:tx>
          <c:spPr>
            <a:ln w="28575" cap="rnd">
              <a:solidFill>
                <a:schemeClr val="accent2">
                  <a:lumMod val="60000"/>
                </a:schemeClr>
              </a:solidFill>
              <a:round/>
            </a:ln>
            <a:effectLst/>
          </c:spPr>
          <c:marker>
            <c:symbol val="none"/>
          </c:marker>
          <c:cat>
            <c:numRef>
              <c:f>[0]!DebtSafeGuardChart_Years</c:f>
              <c:numCache>
                <c:formatCode>General</c:formatCode>
                <c:ptCount val="5"/>
                <c:pt idx="0">
                  <c:v>2024</c:v>
                </c:pt>
                <c:pt idx="1">
                  <c:v>2025</c:v>
                </c:pt>
                <c:pt idx="2">
                  <c:v>2026</c:v>
                </c:pt>
                <c:pt idx="3">
                  <c:v>2027</c:v>
                </c:pt>
                <c:pt idx="4">
                  <c:v>2028</c:v>
                </c:pt>
              </c:numCache>
            </c:numRef>
          </c:cat>
          <c:val>
            <c:numRef>
              <c:f>'Chart data'!$D$67</c:f>
              <c:numCache>
                <c:formatCode>0.0</c:formatCode>
                <c:ptCount val="1"/>
                <c:pt idx="0">
                  <c:v>0</c:v>
                </c:pt>
              </c:numCache>
            </c:numRef>
          </c:val>
          <c:smooth val="0"/>
          <c:extLst>
            <c:ext xmlns:c16="http://schemas.microsoft.com/office/drawing/2014/chart" uri="{C3380CC4-5D6E-409C-BE32-E72D297353CC}">
              <c16:uniqueId val="{0000000A-45DD-4978-98CC-F65C5B7D9263}"/>
            </c:ext>
          </c:extLst>
        </c:ser>
        <c:dLbls>
          <c:showLegendKey val="0"/>
          <c:showVal val="0"/>
          <c:showCatName val="0"/>
          <c:showSerName val="0"/>
          <c:showPercent val="0"/>
          <c:showBubbleSize val="0"/>
        </c:dLbls>
        <c:marker val="1"/>
        <c:smooth val="0"/>
        <c:axId val="968280543"/>
        <c:axId val="968283423"/>
      </c:lineChart>
      <c:catAx>
        <c:axId val="472213263"/>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472211343"/>
        <c:crosses val="autoZero"/>
        <c:auto val="1"/>
        <c:lblAlgn val="ctr"/>
        <c:lblOffset val="100"/>
        <c:noMultiLvlLbl val="0"/>
      </c:catAx>
      <c:valAx>
        <c:axId val="472211343"/>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472213263"/>
        <c:crosses val="autoZero"/>
        <c:crossBetween val="between"/>
      </c:valAx>
      <c:valAx>
        <c:axId val="968283423"/>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968280543"/>
        <c:crosses val="max"/>
        <c:crossBetween val="between"/>
      </c:valAx>
      <c:catAx>
        <c:axId val="968280543"/>
        <c:scaling>
          <c:orientation val="minMax"/>
        </c:scaling>
        <c:delete val="1"/>
        <c:axPos val="b"/>
        <c:numFmt formatCode="General" sourceLinked="1"/>
        <c:majorTickMark val="out"/>
        <c:minorTickMark val="none"/>
        <c:tickLblPos val="nextTo"/>
        <c:crossAx val="968283423"/>
        <c:crosses val="autoZero"/>
        <c:auto val="1"/>
        <c:lblAlgn val="ctr"/>
        <c:lblOffset val="100"/>
        <c:noMultiLvlLbl val="0"/>
      </c:catAx>
      <c:spPr>
        <a:noFill/>
        <a:ln>
          <a:noFill/>
        </a:ln>
        <a:effectLst/>
      </c:spPr>
    </c:plotArea>
    <c:legend>
      <c:legendPos val="r"/>
      <c:legendEntry>
        <c:idx val="1"/>
        <c:delete val="1"/>
      </c:legendEntry>
      <c:legendEntry>
        <c:idx val="2"/>
        <c:delete val="1"/>
      </c:legendEntry>
      <c:legendEntry>
        <c:idx val="7"/>
        <c:delete val="1"/>
      </c:legendEntry>
      <c:legendEntry>
        <c:idx val="8"/>
        <c:delete val="1"/>
      </c:legendEntry>
      <c:legendEntry>
        <c:idx val="9"/>
        <c:delete val="1"/>
      </c:legendEntry>
      <c:legendEntry>
        <c:idx val="10"/>
        <c:delete val="1"/>
      </c:legendEntry>
      <c:layout>
        <c:manualLayout>
          <c:xMode val="edge"/>
          <c:yMode val="edge"/>
          <c:x val="7.7109981024116772E-2"/>
          <c:y val="0.16683154930589991"/>
          <c:w val="0.89983472283203059"/>
          <c:h val="0.18545824983681927"/>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data'!$C$48</c:f>
          <c:strCache>
            <c:ptCount val="1"/>
            <c:pt idx="0">
              <c:v>P5a: Structural primary balance progress and timing </c:v>
            </c:pt>
          </c:strCache>
        </c:strRef>
      </c:tx>
      <c:layout>
        <c:manualLayout>
          <c:xMode val="edge"/>
          <c:yMode val="edge"/>
          <c:x val="0.14590824194795557"/>
          <c:y val="8.4975741668655066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panose="020B0004020202020204" pitchFamily="34" charset="0"/>
              <a:ea typeface="+mn-ea"/>
              <a:cs typeface="+mn-cs"/>
            </a:defRPr>
          </a:pPr>
          <a:endParaRPr lang="en-US"/>
        </a:p>
      </c:txPr>
    </c:title>
    <c:autoTitleDeleted val="0"/>
    <c:plotArea>
      <c:layout>
        <c:manualLayout>
          <c:layoutTarget val="inner"/>
          <c:xMode val="edge"/>
          <c:yMode val="edge"/>
          <c:x val="5.6842954510925657E-2"/>
          <c:y val="0.26825215269143987"/>
          <c:w val="0.88389129483814521"/>
          <c:h val="0.64698402173412539"/>
        </c:manualLayout>
      </c:layout>
      <c:barChart>
        <c:barDir val="col"/>
        <c:grouping val="clustered"/>
        <c:varyColors val="0"/>
        <c:ser>
          <c:idx val="0"/>
          <c:order val="0"/>
          <c:tx>
            <c:strRef>
              <c:f>'Chart data'!$C$49</c:f>
              <c:strCache>
                <c:ptCount val="1"/>
                <c:pt idx="0">
                  <c:v>Council-endorsed path</c:v>
                </c:pt>
              </c:strCache>
            </c:strRef>
          </c:tx>
          <c:spPr>
            <a:solidFill>
              <a:schemeClr val="accent5">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[0]!SPB_MT_Chart_Council</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F021-4FF8-9069-EA28DC5B52FD}"/>
            </c:ext>
          </c:extLst>
        </c:ser>
        <c:ser>
          <c:idx val="3"/>
          <c:order val="1"/>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1-F021-4FF8-9069-EA28DC5B52FD}"/>
            </c:ext>
          </c:extLst>
        </c:ser>
        <c:ser>
          <c:idx val="4"/>
          <c:order val="2"/>
          <c:tx>
            <c:v>Blank helper 2</c:v>
          </c:tx>
          <c:spPr>
            <a:solidFill>
              <a:schemeClr val="accent5"/>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2-F021-4FF8-9069-EA28DC5B52FD}"/>
            </c:ext>
          </c:extLst>
        </c:ser>
        <c:dLbls>
          <c:showLegendKey val="0"/>
          <c:showVal val="0"/>
          <c:showCatName val="0"/>
          <c:showSerName val="0"/>
          <c:showPercent val="0"/>
          <c:showBubbleSize val="0"/>
        </c:dLbls>
        <c:gapWidth val="0"/>
        <c:overlap val="39"/>
        <c:axId val="734561744"/>
        <c:axId val="1583801647"/>
      </c:barChart>
      <c:barChart>
        <c:barDir val="col"/>
        <c:grouping val="clustered"/>
        <c:varyColors val="0"/>
        <c:ser>
          <c:idx val="2"/>
          <c:order val="3"/>
          <c:tx>
            <c:strRef>
              <c:f>'Chart data'!$C$53</c:f>
              <c:strCache>
                <c:ptCount val="1"/>
                <c:pt idx="0">
                  <c:v>Observed (Compliant)</c:v>
                </c:pt>
              </c:strCache>
            </c:strRef>
          </c:tx>
          <c:spPr>
            <a:solidFill>
              <a:srgbClr val="007635">
                <a:alpha val="8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[0]!SPB_MT_Chart_ObservedCompliant</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3-F021-4FF8-9069-EA28DC5B52FD}"/>
            </c:ext>
          </c:extLst>
        </c:ser>
        <c:ser>
          <c:idx val="5"/>
          <c:order val="4"/>
          <c:tx>
            <c:strRef>
              <c:f>'Chart data'!$C$54</c:f>
              <c:strCache>
                <c:ptCount val="1"/>
                <c:pt idx="0">
                  <c:v>Observed (Breach)</c:v>
                </c:pt>
              </c:strCache>
            </c:strRef>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00000"/>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[0]!SPB_MT_Chart_ObservedBreach</c:f>
              <c:numCache>
                <c:formatCode>0.0</c:formatCode>
                <c:ptCount val="5"/>
                <c:pt idx="0">
                  <c:v>0</c:v>
                </c:pt>
                <c:pt idx="1">
                  <c:v>0</c:v>
                </c:pt>
                <c:pt idx="2">
                  <c:v>#N/A</c:v>
                </c:pt>
                <c:pt idx="3">
                  <c:v>#N/A</c:v>
                </c:pt>
                <c:pt idx="4">
                  <c:v>#N/A</c:v>
                </c:pt>
              </c:numCache>
            </c:numRef>
          </c:val>
          <c:extLst>
            <c:ext xmlns:c16="http://schemas.microsoft.com/office/drawing/2014/chart" uri="{C3380CC4-5D6E-409C-BE32-E72D297353CC}">
              <c16:uniqueId val="{00000004-F021-4FF8-9069-EA28DC5B52FD}"/>
            </c:ext>
          </c:extLst>
        </c:ser>
        <c:ser>
          <c:idx val="1"/>
          <c:order val="5"/>
          <c:tx>
            <c:strRef>
              <c:f>'Chart data'!$C$51</c:f>
              <c:strCache>
                <c:ptCount val="1"/>
                <c:pt idx="0">
                  <c:v>Planned</c:v>
                </c:pt>
              </c:strCache>
            </c:strRef>
          </c:tx>
          <c:spPr>
            <a:solidFill>
              <a:schemeClr val="bg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[0]!SPB_MT_Chart_Planned</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5-F021-4FF8-9069-EA28DC5B52FD}"/>
            </c:ext>
          </c:extLst>
        </c:ser>
        <c:dLbls>
          <c:showLegendKey val="0"/>
          <c:showVal val="0"/>
          <c:showCatName val="0"/>
          <c:showSerName val="0"/>
          <c:showPercent val="0"/>
          <c:showBubbleSize val="0"/>
        </c:dLbls>
        <c:gapWidth val="105"/>
        <c:overlap val="100"/>
        <c:axId val="1227260992"/>
        <c:axId val="1227264352"/>
      </c:barChart>
      <c:lineChart>
        <c:grouping val="standard"/>
        <c:varyColors val="0"/>
        <c:ser>
          <c:idx val="6"/>
          <c:order val="6"/>
          <c:tx>
            <c:v>LeftAxisMin</c:v>
          </c:tx>
          <c:spPr>
            <a:ln w="28575" cap="rnd">
              <a:solidFill>
                <a:schemeClr val="accent1">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data'!$D$55</c:f>
              <c:numCache>
                <c:formatCode>0.0</c:formatCode>
                <c:ptCount val="1"/>
                <c:pt idx="0">
                  <c:v>0</c:v>
                </c:pt>
              </c:numCache>
            </c:numRef>
          </c:val>
          <c:smooth val="0"/>
          <c:extLst>
            <c:ext xmlns:c16="http://schemas.microsoft.com/office/drawing/2014/chart" uri="{C3380CC4-5D6E-409C-BE32-E72D297353CC}">
              <c16:uniqueId val="{00000006-F021-4FF8-9069-EA28DC5B52FD}"/>
            </c:ext>
          </c:extLst>
        </c:ser>
        <c:ser>
          <c:idx val="8"/>
          <c:order val="8"/>
          <c:tx>
            <c:v>LeftAxisMax</c:v>
          </c:tx>
          <c:spPr>
            <a:ln w="28575" cap="rnd">
              <a:solidFill>
                <a:schemeClr val="accent3">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data'!$D$56</c:f>
              <c:numCache>
                <c:formatCode>0.0</c:formatCode>
                <c:ptCount val="1"/>
                <c:pt idx="0">
                  <c:v>0</c:v>
                </c:pt>
              </c:numCache>
            </c:numRef>
          </c:val>
          <c:smooth val="0"/>
          <c:extLst>
            <c:ext xmlns:c16="http://schemas.microsoft.com/office/drawing/2014/chart" uri="{C3380CC4-5D6E-409C-BE32-E72D297353CC}">
              <c16:uniqueId val="{00000007-F021-4FF8-9069-EA28DC5B52FD}"/>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7"/>
          <c:order val="7"/>
          <c:tx>
            <c:v>RightAxisMin</c:v>
          </c:tx>
          <c:spPr>
            <a:ln w="28575" cap="rnd">
              <a:solidFill>
                <a:schemeClr val="accent2">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data'!$D$55</c:f>
              <c:numCache>
                <c:formatCode>0.0</c:formatCode>
                <c:ptCount val="1"/>
                <c:pt idx="0">
                  <c:v>0</c:v>
                </c:pt>
              </c:numCache>
            </c:numRef>
          </c:val>
          <c:smooth val="0"/>
          <c:extLst>
            <c:ext xmlns:c16="http://schemas.microsoft.com/office/drawing/2014/chart" uri="{C3380CC4-5D6E-409C-BE32-E72D297353CC}">
              <c16:uniqueId val="{00000008-F021-4FF8-9069-EA28DC5B52FD}"/>
            </c:ext>
          </c:extLst>
        </c:ser>
        <c:ser>
          <c:idx val="9"/>
          <c:order val="9"/>
          <c:tx>
            <c:v>RightAxisMax</c:v>
          </c:tx>
          <c:spPr>
            <a:ln w="28575" cap="rnd">
              <a:solidFill>
                <a:schemeClr val="accent4">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data'!$D$56</c:f>
              <c:numCache>
                <c:formatCode>0.0</c:formatCode>
                <c:ptCount val="1"/>
                <c:pt idx="0">
                  <c:v>0</c:v>
                </c:pt>
              </c:numCache>
            </c:numRef>
          </c:val>
          <c:smooth val="0"/>
          <c:extLst>
            <c:ext xmlns:c16="http://schemas.microsoft.com/office/drawing/2014/chart" uri="{C3380CC4-5D6E-409C-BE32-E72D297353CC}">
              <c16:uniqueId val="{00000009-F021-4FF8-9069-EA28DC5B52FD}"/>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1"/>
        <c:delete val="1"/>
      </c:legendEntry>
      <c:legendEntry>
        <c:idx val="2"/>
        <c:delete val="1"/>
      </c:legendEntry>
      <c:legendEntry>
        <c:idx val="6"/>
        <c:delete val="1"/>
      </c:legendEntry>
      <c:legendEntry>
        <c:idx val="7"/>
        <c:delete val="1"/>
      </c:legendEntry>
      <c:legendEntry>
        <c:idx val="8"/>
        <c:delete val="1"/>
      </c:legendEntry>
      <c:legendEntry>
        <c:idx val="9"/>
        <c:delete val="1"/>
      </c:legendEntry>
      <c:layout>
        <c:manualLayout>
          <c:xMode val="edge"/>
          <c:yMode val="edge"/>
          <c:x val="0.23289546890471027"/>
          <c:y val="0.10842823594419121"/>
          <c:w val="0.62854280939433471"/>
          <c:h val="0.1119292719988948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data'!$C$3</c:f>
          <c:strCache>
            <c:ptCount val="1"/>
            <c:pt idx="0">
              <c:v>P1: Compliance with agreed net expenditure path (single operational anchor)</c:v>
            </c:pt>
          </c:strCache>
        </c:strRef>
      </c:tx>
      <c:layout>
        <c:manualLayout>
          <c:xMode val="edge"/>
          <c:yMode val="edge"/>
          <c:x val="9.7555051381289212E-2"/>
          <c:y val="1.7191866582879693E-2"/>
        </c:manualLayout>
      </c:layout>
      <c:overlay val="0"/>
      <c:spPr>
        <a:noFill/>
        <a:ln>
          <a:noFill/>
        </a:ln>
        <a:effectLst/>
      </c:spPr>
      <c:txPr>
        <a:bodyPr rot="0" spcFirstLastPara="1" vertOverflow="ellipsis" vert="horz" wrap="square" anchor="ctr" anchorCtr="1"/>
        <a:lstStyle/>
        <a:p>
          <a:pPr algn="ctr">
            <a:defRPr sz="1200" b="0" i="0" u="none" strike="noStrike" kern="1200" spc="0" baseline="0">
              <a:solidFill>
                <a:schemeClr val="tx1">
                  <a:lumMod val="65000"/>
                  <a:lumOff val="35000"/>
                </a:scheme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6.6823757590151037E-2"/>
          <c:y val="0.32338388569595999"/>
          <c:w val="0.88389129483814521"/>
          <c:h val="0.58444236271109196"/>
        </c:manualLayout>
      </c:layout>
      <c:barChart>
        <c:barDir val="col"/>
        <c:grouping val="clustered"/>
        <c:varyColors val="0"/>
        <c:ser>
          <c:idx val="0"/>
          <c:order val="0"/>
          <c:tx>
            <c:strRef>
              <c:f>'Chart data'!$C$4</c:f>
              <c:strCache>
                <c:ptCount val="1"/>
                <c:pt idx="0">
                  <c:v>Council-endorsed path</c:v>
                </c:pt>
              </c:strCache>
            </c:strRef>
          </c:tx>
          <c:spPr>
            <a:solidFill>
              <a:schemeClr val="accent5">
                <a:lumMod val="40000"/>
                <a:lumOff val="60000"/>
              </a:schemeClr>
            </a:solidFill>
            <a:ln>
              <a:noFill/>
            </a:ln>
            <a:effectLst/>
          </c:spPr>
          <c:invertIfNegative val="0"/>
          <c:dLbls>
            <c:dLbl>
              <c:idx val="1"/>
              <c:layout>
                <c:manualLayout>
                  <c:x val="-2.4589219660146034E-2"/>
                  <c:y val="8.7543541538256706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162C-4E3C-B520-B45D23A5C43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[0]!NE_Chart_EC_Reference</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162C-4E3C-B520-B45D23A5C43C}"/>
            </c:ext>
          </c:extLst>
        </c:ser>
        <c:ser>
          <c:idx val="3"/>
          <c:order val="1"/>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2-162C-4E3C-B520-B45D23A5C43C}"/>
            </c:ext>
          </c:extLst>
        </c:ser>
        <c:ser>
          <c:idx val="4"/>
          <c:order val="2"/>
          <c:tx>
            <c:v>Blank helper 2</c:v>
          </c:tx>
          <c:spPr>
            <a:solidFill>
              <a:schemeClr val="accent5"/>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3-162C-4E3C-B520-B45D23A5C43C}"/>
            </c:ext>
          </c:extLst>
        </c:ser>
        <c:dLbls>
          <c:showLegendKey val="0"/>
          <c:showVal val="0"/>
          <c:showCatName val="0"/>
          <c:showSerName val="0"/>
          <c:showPercent val="0"/>
          <c:showBubbleSize val="0"/>
        </c:dLbls>
        <c:gapWidth val="0"/>
        <c:overlap val="59"/>
        <c:axId val="734561744"/>
        <c:axId val="1583801647"/>
      </c:barChart>
      <c:barChart>
        <c:barDir val="col"/>
        <c:grouping val="clustered"/>
        <c:varyColors val="0"/>
        <c:ser>
          <c:idx val="1"/>
          <c:order val="3"/>
          <c:tx>
            <c:strRef>
              <c:f>'Chart data'!$C$6</c:f>
              <c:strCache>
                <c:ptCount val="1"/>
                <c:pt idx="0">
                  <c:v>Planned</c:v>
                </c:pt>
              </c:strCache>
            </c:strRef>
          </c:tx>
          <c:spPr>
            <a:solidFill>
              <a:schemeClr val="bg1">
                <a:lumMod val="75000"/>
                <a:alpha val="70000"/>
              </a:schemeClr>
            </a:solidFill>
            <a:ln>
              <a:noFill/>
            </a:ln>
            <a:effectLst/>
          </c:spPr>
          <c:invertIfNegative val="0"/>
          <c:dPt>
            <c:idx val="1"/>
            <c:invertIfNegative val="0"/>
            <c:bubble3D val="0"/>
            <c:spPr>
              <a:solidFill>
                <a:schemeClr val="bg1">
                  <a:lumMod val="75000"/>
                  <a:alpha val="70000"/>
                </a:schemeClr>
              </a:solidFill>
              <a:ln>
                <a:noFill/>
              </a:ln>
              <a:effectLst/>
            </c:spPr>
            <c:extLst>
              <c:ext xmlns:c16="http://schemas.microsoft.com/office/drawing/2014/chart" uri="{C3380CC4-5D6E-409C-BE32-E72D297353CC}">
                <c16:uniqueId val="{00000005-162C-4E3C-B520-B45D23A5C43C}"/>
              </c:ext>
            </c:extLst>
          </c:dPt>
          <c:dPt>
            <c:idx val="2"/>
            <c:invertIfNegative val="0"/>
            <c:bubble3D val="0"/>
            <c:spPr>
              <a:solidFill>
                <a:schemeClr val="bg1">
                  <a:lumMod val="75000"/>
                  <a:alpha val="70000"/>
                </a:schemeClr>
              </a:solidFill>
              <a:ln>
                <a:noFill/>
              </a:ln>
              <a:effectLst/>
            </c:spPr>
            <c:extLst>
              <c:ext xmlns:c16="http://schemas.microsoft.com/office/drawing/2014/chart" uri="{C3380CC4-5D6E-409C-BE32-E72D297353CC}">
                <c16:uniqueId val="{00000007-162C-4E3C-B520-B45D23A5C43C}"/>
              </c:ext>
            </c:extLst>
          </c:dPt>
          <c:dPt>
            <c:idx val="3"/>
            <c:invertIfNegative val="0"/>
            <c:bubble3D val="0"/>
            <c:spPr>
              <a:solidFill>
                <a:schemeClr val="bg1">
                  <a:lumMod val="75000"/>
                  <a:alpha val="70000"/>
                </a:schemeClr>
              </a:solidFill>
              <a:ln>
                <a:noFill/>
              </a:ln>
              <a:effectLst/>
            </c:spPr>
            <c:extLst>
              <c:ext xmlns:c16="http://schemas.microsoft.com/office/drawing/2014/chart" uri="{C3380CC4-5D6E-409C-BE32-E72D297353CC}">
                <c16:uniqueId val="{00000009-162C-4E3C-B520-B45D23A5C43C}"/>
              </c:ext>
            </c:extLst>
          </c:dPt>
          <c:dPt>
            <c:idx val="4"/>
            <c:invertIfNegative val="0"/>
            <c:bubble3D val="0"/>
            <c:spPr>
              <a:solidFill>
                <a:schemeClr val="bg1">
                  <a:lumMod val="75000"/>
                  <a:alpha val="70000"/>
                </a:schemeClr>
              </a:solidFill>
              <a:ln>
                <a:noFill/>
              </a:ln>
              <a:effectLst/>
            </c:spPr>
            <c:extLst>
              <c:ext xmlns:c16="http://schemas.microsoft.com/office/drawing/2014/chart" uri="{C3380CC4-5D6E-409C-BE32-E72D297353CC}">
                <c16:uniqueId val="{0000000B-162C-4E3C-B520-B45D23A5C43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[0]!NE_Chart_Planned</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C-162C-4E3C-B520-B45D23A5C43C}"/>
            </c:ext>
          </c:extLst>
        </c:ser>
        <c:ser>
          <c:idx val="2"/>
          <c:order val="4"/>
          <c:tx>
            <c:strRef>
              <c:f>'Chart data'!$C$8</c:f>
              <c:strCache>
                <c:ptCount val="1"/>
                <c:pt idx="0">
                  <c:v>Observed (Compliant)</c:v>
                </c:pt>
              </c:strCache>
            </c:strRef>
          </c:tx>
          <c:spPr>
            <a:solidFill>
              <a:srgbClr val="007635">
                <a:alpha val="8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Aptos Narrow" panose="020B0004020202020204" pitchFamily="34"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[0]!NE_Chart_Observed_Compliant</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E-162C-4E3C-B520-B45D23A5C43C}"/>
            </c:ext>
          </c:extLst>
        </c:ser>
        <c:ser>
          <c:idx val="5"/>
          <c:order val="5"/>
          <c:tx>
            <c:v>Observed (Breach)</c:v>
          </c:tx>
          <c:spPr>
            <a:solidFill>
              <a:srgbClr val="C00000">
                <a:alpha val="7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[0]!NE_Chart_Observed_Breach</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F-162C-4E3C-B520-B45D23A5C43C}"/>
            </c:ext>
          </c:extLst>
        </c:ser>
        <c:dLbls>
          <c:showLegendKey val="0"/>
          <c:showVal val="0"/>
          <c:showCatName val="0"/>
          <c:showSerName val="0"/>
          <c:showPercent val="0"/>
          <c:showBubbleSize val="0"/>
        </c:dLbls>
        <c:gapWidth val="98"/>
        <c:overlap val="100"/>
        <c:axId val="1227260992"/>
        <c:axId val="1227264352"/>
      </c:barChart>
      <c:lineChart>
        <c:grouping val="standard"/>
        <c:varyColors val="0"/>
        <c:ser>
          <c:idx val="6"/>
          <c:order val="6"/>
          <c:tx>
            <c:v>LeftAxisMin</c:v>
          </c:tx>
          <c:spPr>
            <a:ln w="28575" cap="rnd">
              <a:noFill/>
              <a:round/>
            </a:ln>
            <a:effectLst/>
          </c:spPr>
          <c:marker>
            <c:symbol val="none"/>
          </c:marker>
          <c:val>
            <c:numRef>
              <c:f>'Chart data'!$D$11</c:f>
              <c:numCache>
                <c:formatCode>General</c:formatCode>
                <c:ptCount val="1"/>
                <c:pt idx="0">
                  <c:v>0</c:v>
                </c:pt>
              </c:numCache>
            </c:numRef>
          </c:val>
          <c:smooth val="0"/>
          <c:extLst>
            <c:ext xmlns:c16="http://schemas.microsoft.com/office/drawing/2014/chart" uri="{C3380CC4-5D6E-409C-BE32-E72D297353CC}">
              <c16:uniqueId val="{00000010-162C-4E3C-B520-B45D23A5C43C}"/>
            </c:ext>
          </c:extLst>
        </c:ser>
        <c:ser>
          <c:idx val="7"/>
          <c:order val="7"/>
          <c:tx>
            <c:v>LeftAxisMax</c:v>
          </c:tx>
          <c:spPr>
            <a:ln w="25400" cap="rnd">
              <a:noFill/>
              <a:round/>
            </a:ln>
            <a:effectLst/>
          </c:spPr>
          <c:marker>
            <c:symbol val="none"/>
          </c:marker>
          <c:val>
            <c:numRef>
              <c:f>'Chart data'!$D$12</c:f>
              <c:numCache>
                <c:formatCode>General</c:formatCode>
                <c:ptCount val="1"/>
                <c:pt idx="0">
                  <c:v>0</c:v>
                </c:pt>
              </c:numCache>
            </c:numRef>
          </c:val>
          <c:smooth val="0"/>
          <c:extLst>
            <c:ext xmlns:c16="http://schemas.microsoft.com/office/drawing/2014/chart" uri="{C3380CC4-5D6E-409C-BE32-E72D297353CC}">
              <c16:uniqueId val="{00000011-162C-4E3C-B520-B45D23A5C43C}"/>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8"/>
          <c:order val="8"/>
          <c:tx>
            <c:v>RightAxisMin</c:v>
          </c:tx>
          <c:spPr>
            <a:ln w="25400" cap="rnd">
              <a:noFill/>
              <a:round/>
            </a:ln>
            <a:effectLst/>
          </c:spPr>
          <c:marker>
            <c:symbol val="none"/>
          </c:marker>
          <c:val>
            <c:numRef>
              <c:f>'Chart data'!$D$11</c:f>
              <c:numCache>
                <c:formatCode>General</c:formatCode>
                <c:ptCount val="1"/>
                <c:pt idx="0">
                  <c:v>0</c:v>
                </c:pt>
              </c:numCache>
            </c:numRef>
          </c:val>
          <c:smooth val="0"/>
          <c:extLst>
            <c:ext xmlns:c16="http://schemas.microsoft.com/office/drawing/2014/chart" uri="{C3380CC4-5D6E-409C-BE32-E72D297353CC}">
              <c16:uniqueId val="{00000012-162C-4E3C-B520-B45D23A5C43C}"/>
            </c:ext>
          </c:extLst>
        </c:ser>
        <c:ser>
          <c:idx val="9"/>
          <c:order val="9"/>
          <c:tx>
            <c:v>RightAxisMax</c:v>
          </c:tx>
          <c:spPr>
            <a:ln w="25400" cap="rnd">
              <a:noFill/>
              <a:round/>
            </a:ln>
            <a:effectLst/>
          </c:spPr>
          <c:marker>
            <c:symbol val="none"/>
          </c:marker>
          <c:val>
            <c:numRef>
              <c:f>'Chart data'!$D$12</c:f>
              <c:numCache>
                <c:formatCode>General</c:formatCode>
                <c:ptCount val="1"/>
                <c:pt idx="0">
                  <c:v>0</c:v>
                </c:pt>
              </c:numCache>
            </c:numRef>
          </c:val>
          <c:smooth val="0"/>
          <c:extLst>
            <c:ext xmlns:c16="http://schemas.microsoft.com/office/drawing/2014/chart" uri="{C3380CC4-5D6E-409C-BE32-E72D297353CC}">
              <c16:uniqueId val="{00000013-162C-4E3C-B520-B45D23A5C43C}"/>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1"/>
        <c:delete val="1"/>
      </c:legendEntry>
      <c:legendEntry>
        <c:idx val="2"/>
        <c:delete val="1"/>
      </c:legendEntry>
      <c:legendEntry>
        <c:idx val="6"/>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7"/>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8"/>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9"/>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ayout>
        <c:manualLayout>
          <c:xMode val="edge"/>
          <c:yMode val="edge"/>
          <c:x val="0.21657366599666844"/>
          <c:y val="0.176931243723152"/>
          <c:w val="0.62992125984251968"/>
          <c:h val="0.12190765043258479"/>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9</xdr:col>
      <xdr:colOff>142874</xdr:colOff>
      <xdr:row>0</xdr:row>
      <xdr:rowOff>238124</xdr:rowOff>
    </xdr:from>
    <xdr:to>
      <xdr:col>20</xdr:col>
      <xdr:colOff>323850</xdr:colOff>
      <xdr:row>31</xdr:row>
      <xdr:rowOff>85725</xdr:rowOff>
    </xdr:to>
    <xdr:sp macro="" textlink="">
      <xdr:nvSpPr>
        <xdr:cNvPr id="2" name="TextBox 1">
          <a:extLst>
            <a:ext uri="{FF2B5EF4-FFF2-40B4-BE49-F238E27FC236}">
              <a16:creationId xmlns:a16="http://schemas.microsoft.com/office/drawing/2014/main" id="{F6B6C020-075C-0DA3-8022-E2B06E3D788D}"/>
            </a:ext>
          </a:extLst>
        </xdr:cNvPr>
        <xdr:cNvSpPr txBox="1"/>
      </xdr:nvSpPr>
      <xdr:spPr>
        <a:xfrm>
          <a:off x="9058274" y="238124"/>
          <a:ext cx="7229476" cy="5476876"/>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1200"/>
            </a:spcAft>
          </a:pPr>
          <a:r>
            <a:rPr lang="en-GB" sz="1400" b="0">
              <a:latin typeface="Aptos" panose="020B0004020202020204" pitchFamily="34" charset="0"/>
            </a:rPr>
            <a:t>Instructions</a:t>
          </a:r>
          <a:endParaRPr lang="en-GB" b="0">
            <a:latin typeface="Aptos" panose="020B0004020202020204" pitchFamily="34" charset="0"/>
          </a:endParaRPr>
        </a:p>
        <a:p>
          <a:pPr>
            <a:spcAft>
              <a:spcPts val="600"/>
            </a:spcAft>
          </a:pPr>
          <a:r>
            <a:rPr lang="en-GB"/>
            <a:t>In this step, you'll</a:t>
          </a:r>
          <a:r>
            <a:rPr lang="en-GB" baseline="0"/>
            <a:t> </a:t>
          </a:r>
          <a:r>
            <a:rPr lang="en-GB"/>
            <a:t>set the parameters (Excel's named ranges) that are used</a:t>
          </a:r>
          <a:r>
            <a:rPr lang="en-GB" baseline="0"/>
            <a:t> </a:t>
          </a:r>
          <a:r>
            <a:rPr lang="en-GB"/>
            <a:t>throughout the workbook.</a:t>
          </a:r>
          <a:endParaRPr lang="en-GB">
            <a:latin typeface="Aptos" panose="020B0004020202020204" pitchFamily="34" charset="0"/>
          </a:endParaRPr>
        </a:p>
        <a:p>
          <a:pPr>
            <a:spcAft>
              <a:spcPts val="600"/>
            </a:spcAft>
          </a:pPr>
          <a:r>
            <a:rPr lang="en-GB">
              <a:latin typeface="Aptos" panose="020B0004020202020204" pitchFamily="34" charset="0"/>
            </a:rPr>
            <a:t>(a) Under </a:t>
          </a:r>
          <a:r>
            <a:rPr lang="en-GB" i="1">
              <a:solidFill>
                <a:schemeClr val="accent2">
                  <a:lumMod val="75000"/>
                </a:schemeClr>
              </a:solidFill>
              <a:latin typeface="Aptos" panose="020B0004020202020204" pitchFamily="34" charset="0"/>
            </a:rPr>
            <a:t>User parameters</a:t>
          </a:r>
          <a:r>
            <a:rPr lang="en-GB">
              <a:latin typeface="Aptos" panose="020B0004020202020204" pitchFamily="34" charset="0"/>
            </a:rPr>
            <a:t>, enter the country under assessment and the name of the IFI scrutinising the plan. The country variable determines which outturn data is</a:t>
          </a:r>
          <a:r>
            <a:rPr lang="en-GB" baseline="0">
              <a:latin typeface="Aptos" panose="020B0004020202020204" pitchFamily="34" charset="0"/>
            </a:rPr>
            <a:t> retrieved </a:t>
          </a:r>
          <a:r>
            <a:rPr lang="en-GB">
              <a:latin typeface="Aptos" panose="020B0004020202020204" pitchFamily="34" charset="0"/>
            </a:rPr>
            <a:t>from the Eurostat and AMECO APIs and appears in narrative text; the IFI name is used in narrative text only.</a:t>
          </a:r>
        </a:p>
        <a:p>
          <a:pPr>
            <a:spcAft>
              <a:spcPts val="600"/>
            </a:spcAft>
          </a:pPr>
          <a:r>
            <a:rPr lang="en-GB">
              <a:latin typeface="Aptos" panose="020B0004020202020204" pitchFamily="34" charset="0"/>
            </a:rPr>
            <a:t>(b) Under </a:t>
          </a:r>
          <a:r>
            <a:rPr lang="en-GB" i="1">
              <a:solidFill>
                <a:schemeClr val="accent2">
                  <a:lumMod val="75000"/>
                </a:schemeClr>
              </a:solidFill>
              <a:latin typeface="Aptos" panose="020B0004020202020204" pitchFamily="34" charset="0"/>
            </a:rPr>
            <a:t>Scenario parameters</a:t>
          </a:r>
          <a:r>
            <a:rPr lang="en-GB">
              <a:latin typeface="Aptos" panose="020B0004020202020204" pitchFamily="34" charset="0"/>
            </a:rPr>
            <a:t>, select whether you are assessing the implementation of a</a:t>
          </a:r>
          <a:r>
            <a:rPr lang="en-GB" baseline="0">
              <a:latin typeface="Aptos" panose="020B0004020202020204" pitchFamily="34" charset="0"/>
            </a:rPr>
            <a:t> previously</a:t>
          </a:r>
          <a:r>
            <a:rPr lang="en-GB">
              <a:latin typeface="Aptos" panose="020B0004020202020204" pitchFamily="34" charset="0"/>
            </a:rPr>
            <a:t> endorsed MTP or a new/revised MTP, and give the scenario a name (free text) which will be used to</a:t>
          </a:r>
          <a:r>
            <a:rPr lang="en-GB" baseline="0">
              <a:latin typeface="Aptos" panose="020B0004020202020204" pitchFamily="34" charset="0"/>
            </a:rPr>
            <a:t> label </a:t>
          </a:r>
          <a:r>
            <a:rPr lang="en-GB">
              <a:latin typeface="Aptos" panose="020B0004020202020204" pitchFamily="34" charset="0"/>
            </a:rPr>
            <a:t>headers and summary reports.</a:t>
          </a:r>
        </a:p>
        <a:p>
          <a:pPr>
            <a:spcAft>
              <a:spcPts val="600"/>
            </a:spcAft>
          </a:pPr>
          <a:r>
            <a:rPr lang="en-GB">
              <a:latin typeface="Aptos" panose="020B0004020202020204" pitchFamily="34" charset="0"/>
            </a:rPr>
            <a:t>(c) Under </a:t>
          </a:r>
          <a:r>
            <a:rPr lang="en-GB" sz="1100" i="1">
              <a:solidFill>
                <a:schemeClr val="accent2">
                  <a:lumMod val="75000"/>
                </a:schemeClr>
              </a:solidFill>
              <a:latin typeface="Aptos" panose="020B0004020202020204" pitchFamily="34" charset="0"/>
              <a:ea typeface="+mn-ea"/>
              <a:cs typeface="+mn-cs"/>
            </a:rPr>
            <a:t>MTP parameters</a:t>
          </a:r>
          <a:r>
            <a:rPr lang="en-GB">
              <a:latin typeface="Aptos" panose="020B0004020202020204" pitchFamily="34" charset="0"/>
            </a:rPr>
            <a:t>, select the variables as</a:t>
          </a:r>
          <a:r>
            <a:rPr lang="en-GB" baseline="0">
              <a:latin typeface="Aptos" panose="020B0004020202020204" pitchFamily="34" charset="0"/>
            </a:rPr>
            <a:t> prescribed and notated by </a:t>
          </a:r>
          <a:r>
            <a:rPr lang="en-GB">
              <a:latin typeface="Aptos" panose="020B0004020202020204" pitchFamily="34" charset="0"/>
            </a:rPr>
            <a:t>Commission Notice C/2024/3975;</a:t>
          </a:r>
          <a:r>
            <a:rPr lang="en-GB" baseline="0">
              <a:latin typeface="Aptos" panose="020B0004020202020204" pitchFamily="34" charset="0"/>
            </a:rPr>
            <a:t> that is, the b</a:t>
          </a:r>
          <a:r>
            <a:rPr lang="en-GB">
              <a:latin typeface="Aptos" panose="020B0004020202020204" pitchFamily="34" charset="0"/>
            </a:rPr>
            <a:t>ase year T-X (most recent year of outturn data before plan), submission year T , the MTP planning horizon (4 or 5 years), the requested adjustment period (4 or 7 years), whether the plan uses</a:t>
          </a:r>
          <a:r>
            <a:rPr lang="en-GB" baseline="0">
              <a:latin typeface="Aptos" panose="020B0004020202020204" pitchFamily="34" charset="0"/>
            </a:rPr>
            <a:t> different assumptions than the EC's DSA framework, whether the MTP has already been endorsed by the Council, </a:t>
          </a:r>
          <a:r>
            <a:rPr lang="en-GB">
              <a:latin typeface="Aptos" panose="020B0004020202020204" pitchFamily="34" charset="0"/>
            </a:rPr>
            <a:t>and the date of transmission of the Commission's prior guidance. </a:t>
          </a:r>
        </a:p>
        <a:p>
          <a:pPr>
            <a:spcAft>
              <a:spcPts val="600"/>
            </a:spcAft>
          </a:pPr>
          <a:r>
            <a:rPr lang="en-GB">
              <a:latin typeface="Aptos" panose="020B0004020202020204" pitchFamily="34" charset="0"/>
            </a:rPr>
            <a:t>(d) Under </a:t>
          </a:r>
          <a:r>
            <a:rPr lang="en-GB" i="1">
              <a:solidFill>
                <a:schemeClr val="accent2">
                  <a:lumMod val="75000"/>
                </a:schemeClr>
              </a:solidFill>
              <a:latin typeface="Aptos" panose="020B0004020202020204" pitchFamily="34" charset="0"/>
            </a:rPr>
            <a:t>Escape clause parameters</a:t>
          </a:r>
          <a:r>
            <a:rPr lang="en-GB">
              <a:latin typeface="Aptos" panose="020B0004020202020204" pitchFamily="34" charset="0"/>
            </a:rPr>
            <a:t>, for each year in which an escape clause has been activated, mark the activation flag and use the drop-downs to set the scope (general or country-specific), whether it is for defence spending, the cap on deviation</a:t>
          </a:r>
          <a:r>
            <a:rPr lang="en-GB" baseline="0">
              <a:latin typeface="Aptos" panose="020B0004020202020204" pitchFamily="34" charset="0"/>
            </a:rPr>
            <a:t> from max net expenditure growth </a:t>
          </a:r>
          <a:r>
            <a:rPr lang="en-GB">
              <a:latin typeface="Aptos" panose="020B0004020202020204" pitchFamily="34" charset="0"/>
            </a:rPr>
            <a:t>(% of GDP) if applicable, that base year from which the maximum increases in defence expenditures have been granted, and the base year amound ot defence expenditure as a % of GDP (as this</a:t>
          </a:r>
          <a:r>
            <a:rPr lang="en-GB" baseline="0">
              <a:latin typeface="Aptos" panose="020B0004020202020204" pitchFamily="34" charset="0"/>
            </a:rPr>
            <a:t> can be outside the assessment window for some countries)</a:t>
          </a:r>
          <a:r>
            <a:rPr lang="en-GB">
              <a:latin typeface="Aptos" panose="020B0004020202020204" pitchFamily="34" charset="0"/>
            </a:rPr>
            <a:t>. The year range depends on the the MTP planning</a:t>
          </a:r>
          <a:r>
            <a:rPr lang="en-GB" baseline="0">
              <a:latin typeface="Aptos" panose="020B0004020202020204" pitchFamily="34" charset="0"/>
            </a:rPr>
            <a:t> horizon, which is set in Step 3 (MTP) when a new or revised MTP has been set up</a:t>
          </a:r>
          <a:r>
            <a:rPr lang="en-GB">
              <a:latin typeface="Aptos" panose="020B0004020202020204" pitchFamily="34" charset="0"/>
            </a:rPr>
            <a:t>. Escape clause parameters guide the control account calculations,</a:t>
          </a:r>
          <a:r>
            <a:rPr lang="en-GB" baseline="0">
              <a:latin typeface="Aptos" panose="020B0004020202020204" pitchFamily="34" charset="0"/>
            </a:rPr>
            <a:t> rules checks, and figures </a:t>
          </a:r>
          <a:r>
            <a:rPr lang="en-GB">
              <a:latin typeface="Aptos" panose="020B0004020202020204" pitchFamily="34" charset="0"/>
            </a:rPr>
            <a:t>in </a:t>
          </a:r>
          <a:r>
            <a:rPr lang="en-GB" i="1">
              <a:latin typeface="Aptos" panose="020B0004020202020204" pitchFamily="34" charset="0"/>
            </a:rPr>
            <a:t>Step 4 -</a:t>
          </a:r>
          <a:r>
            <a:rPr lang="en-GB" i="1" baseline="0">
              <a:latin typeface="Aptos" panose="020B0004020202020204" pitchFamily="34" charset="0"/>
            </a:rPr>
            <a:t> View results</a:t>
          </a:r>
          <a:r>
            <a:rPr lang="en-GB">
              <a:latin typeface="Aptos" panose="020B0004020202020204" pitchFamily="34" charset="0"/>
            </a:rPr>
            <a:t>.</a:t>
          </a:r>
        </a:p>
        <a:p>
          <a:pPr>
            <a:spcAft>
              <a:spcPts val="600"/>
            </a:spcAft>
          </a:pPr>
          <a:r>
            <a:rPr lang="en-GB">
              <a:latin typeface="Aptos" panose="020B0004020202020204" pitchFamily="34" charset="0"/>
            </a:rPr>
            <a:t>(e) Under </a:t>
          </a:r>
          <a:r>
            <a:rPr lang="en-GB" i="1">
              <a:solidFill>
                <a:schemeClr val="accent2">
                  <a:lumMod val="75000"/>
                </a:schemeClr>
              </a:solidFill>
              <a:latin typeface="Aptos" panose="020B0004020202020204" pitchFamily="34" charset="0"/>
            </a:rPr>
            <a:t>Excessive debt/deficit procedure parameters</a:t>
          </a:r>
          <a:r>
            <a:rPr lang="en-GB">
              <a:latin typeface="Aptos" panose="020B0004020202020204" pitchFamily="34" charset="0"/>
            </a:rPr>
            <a:t>, mark the procedure as opened where applicable and enter the deadline year. Set deadline</a:t>
          </a:r>
          <a:r>
            <a:rPr lang="en-GB" baseline="0">
              <a:latin typeface="Aptos" panose="020B0004020202020204" pitchFamily="34" charset="0"/>
            </a:rPr>
            <a:t> to N/A</a:t>
          </a:r>
          <a:r>
            <a:rPr lang="en-GB">
              <a:latin typeface="Aptos" panose="020B0004020202020204" pitchFamily="34" charset="0"/>
            </a:rPr>
            <a:t> if no procedure is open.</a:t>
          </a:r>
        </a:p>
        <a:p>
          <a:pPr>
            <a:spcAft>
              <a:spcPts val="600"/>
            </a:spcAft>
          </a:pPr>
          <a:r>
            <a:rPr lang="en-GB">
              <a:latin typeface="Aptos" panose="020B0004020202020204" pitchFamily="34" charset="0"/>
            </a:rPr>
            <a:t>Tutorial: </a:t>
          </a:r>
          <a:r>
            <a:rPr lang="en-GB">
              <a:solidFill>
                <a:srgbClr val="0033CC"/>
              </a:solidFill>
              <a:latin typeface="Aptos" panose="020B0004020202020204" pitchFamily="34" charset="0"/>
            </a:rPr>
            <a:t>https://youtu.be/xFtRbp9mPsE </a:t>
          </a:r>
        </a:p>
      </xdr:txBody>
    </xdr:sp>
    <xdr:clientData/>
  </xdr:twoCellAnchor>
  <xdr:twoCellAnchor>
    <xdr:from>
      <xdr:col>0</xdr:col>
      <xdr:colOff>323850</xdr:colOff>
      <xdr:row>40</xdr:row>
      <xdr:rowOff>38100</xdr:rowOff>
    </xdr:from>
    <xdr:to>
      <xdr:col>1</xdr:col>
      <xdr:colOff>123825</xdr:colOff>
      <xdr:row>44</xdr:row>
      <xdr:rowOff>104775</xdr:rowOff>
    </xdr:to>
    <xdr:sp macro="[0]!ResetGlobalParameters" textlink="">
      <xdr:nvSpPr>
        <xdr:cNvPr id="3" name="Rectangle: Rounded Corners 2">
          <a:extLst>
            <a:ext uri="{FF2B5EF4-FFF2-40B4-BE49-F238E27FC236}">
              <a16:creationId xmlns:a16="http://schemas.microsoft.com/office/drawing/2014/main" id="{FDFF818F-524D-44CC-910F-23CEFD418BE8}"/>
            </a:ext>
          </a:extLst>
        </xdr:cNvPr>
        <xdr:cNvSpPr/>
      </xdr:nvSpPr>
      <xdr:spPr>
        <a:xfrm>
          <a:off x="323850" y="7439025"/>
          <a:ext cx="3019425" cy="752475"/>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Reset user, scenario,</a:t>
          </a:r>
          <a:r>
            <a:rPr lang="en-GB" sz="1100" baseline="0">
              <a:solidFill>
                <a:schemeClr val="tx1">
                  <a:lumMod val="65000"/>
                  <a:lumOff val="35000"/>
                </a:schemeClr>
              </a:solidFill>
              <a:latin typeface="Aptos" panose="020B0004020202020204" pitchFamily="34" charset="0"/>
              <a:cs typeface="Segoe UI" panose="020B0502040204020203" pitchFamily="34" charset="0"/>
            </a:rPr>
            <a:t>  parameters</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0</xdr:col>
      <xdr:colOff>304800</xdr:colOff>
      <xdr:row>35</xdr:row>
      <xdr:rowOff>57150</xdr:rowOff>
    </xdr:from>
    <xdr:to>
      <xdr:col>1</xdr:col>
      <xdr:colOff>104775</xdr:colOff>
      <xdr:row>39</xdr:row>
      <xdr:rowOff>66675</xdr:rowOff>
    </xdr:to>
    <xdr:sp macro="[0]!ClearAllData" textlink="">
      <xdr:nvSpPr>
        <xdr:cNvPr id="4" name="Rectangle: Rounded Corners 3">
          <a:extLst>
            <a:ext uri="{FF2B5EF4-FFF2-40B4-BE49-F238E27FC236}">
              <a16:creationId xmlns:a16="http://schemas.microsoft.com/office/drawing/2014/main" id="{34BD585D-270D-49D5-8F8D-64CDF25D89F2}"/>
            </a:ext>
          </a:extLst>
        </xdr:cNvPr>
        <xdr:cNvSpPr/>
      </xdr:nvSpPr>
      <xdr:spPr>
        <a:xfrm>
          <a:off x="304800" y="6543675"/>
          <a:ext cx="3019425" cy="752475"/>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Clear all input data (outturn,</a:t>
          </a:r>
          <a:r>
            <a:rPr lang="en-GB" sz="1100" baseline="0">
              <a:solidFill>
                <a:schemeClr val="tx1">
                  <a:lumMod val="65000"/>
                  <a:lumOff val="35000"/>
                </a:schemeClr>
              </a:solidFill>
              <a:latin typeface="Aptos" panose="020B0004020202020204" pitchFamily="34" charset="0"/>
              <a:cs typeface="Segoe UI" panose="020B0502040204020203" pitchFamily="34" charset="0"/>
            </a:rPr>
            <a:t> outlook, and MTP/prior guidance, custom scenario tool)</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0</xdr:colOff>
      <xdr:row>3</xdr:row>
      <xdr:rowOff>35559</xdr:rowOff>
    </xdr:from>
    <xdr:to>
      <xdr:col>15</xdr:col>
      <xdr:colOff>210082</xdr:colOff>
      <xdr:row>4</xdr:row>
      <xdr:rowOff>164297</xdr:rowOff>
    </xdr:to>
    <xdr:sp macro="[0]!EurostatUpdateVBA.EurostatUpdateVBA" textlink="">
      <xdr:nvSpPr>
        <xdr:cNvPr id="3" name="Rectangle: Rounded Corners 2">
          <a:extLst>
            <a:ext uri="{FF2B5EF4-FFF2-40B4-BE49-F238E27FC236}">
              <a16:creationId xmlns:a16="http://schemas.microsoft.com/office/drawing/2014/main" id="{6C0FA3A3-836D-4040-AECF-982549FD0895}"/>
            </a:ext>
          </a:extLst>
        </xdr:cNvPr>
        <xdr:cNvSpPr/>
      </xdr:nvSpPr>
      <xdr:spPr>
        <a:xfrm>
          <a:off x="8908676" y="696706"/>
          <a:ext cx="3235671" cy="319238"/>
        </a:xfrm>
        <a:prstGeom prst="roundRect">
          <a:avLst/>
        </a:prstGeom>
        <a:solidFill>
          <a:schemeClr val="accent6">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Eurostat data (Windows)</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5</xdr:row>
      <xdr:rowOff>97062</xdr:rowOff>
    </xdr:from>
    <xdr:to>
      <xdr:col>15</xdr:col>
      <xdr:colOff>219173</xdr:colOff>
      <xdr:row>7</xdr:row>
      <xdr:rowOff>40062</xdr:rowOff>
    </xdr:to>
    <xdr:sp macro="[0]!AmecoUpdateVBA.AmecoUpdateVBA" textlink="">
      <xdr:nvSpPr>
        <xdr:cNvPr id="6" name="Rectangle: Rounded Corners 5">
          <a:extLst>
            <a:ext uri="{FF2B5EF4-FFF2-40B4-BE49-F238E27FC236}">
              <a16:creationId xmlns:a16="http://schemas.microsoft.com/office/drawing/2014/main" id="{E9244BB2-49CF-4C78-9482-85B4CF980DB0}"/>
            </a:ext>
          </a:extLst>
        </xdr:cNvPr>
        <xdr:cNvSpPr/>
      </xdr:nvSpPr>
      <xdr:spPr>
        <a:xfrm>
          <a:off x="8908676" y="1139209"/>
          <a:ext cx="3244762" cy="324000"/>
        </a:xfrm>
        <a:prstGeom prst="roundRect">
          <a:avLst/>
        </a:prstGeom>
        <a:solidFill>
          <a:schemeClr val="accent6">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AMECO data (Windows)</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16</xdr:col>
      <xdr:colOff>133350</xdr:colOff>
      <xdr:row>11</xdr:row>
      <xdr:rowOff>142873</xdr:rowOff>
    </xdr:from>
    <xdr:to>
      <xdr:col>26</xdr:col>
      <xdr:colOff>28575</xdr:colOff>
      <xdr:row>53</xdr:row>
      <xdr:rowOff>28575</xdr:rowOff>
    </xdr:to>
    <xdr:sp macro="" textlink="">
      <xdr:nvSpPr>
        <xdr:cNvPr id="4" name="TextBox 3">
          <a:extLst>
            <a:ext uri="{FF2B5EF4-FFF2-40B4-BE49-F238E27FC236}">
              <a16:creationId xmlns:a16="http://schemas.microsoft.com/office/drawing/2014/main" id="{4CBECA64-3271-4D80-B340-43F4F5744A9A}"/>
            </a:ext>
          </a:extLst>
        </xdr:cNvPr>
        <xdr:cNvSpPr txBox="1"/>
      </xdr:nvSpPr>
      <xdr:spPr>
        <a:xfrm>
          <a:off x="12049125" y="2333623"/>
          <a:ext cx="5895975" cy="7696202"/>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1200"/>
            </a:spcAft>
          </a:pPr>
          <a:r>
            <a:rPr lang="en-GB" sz="1400" b="0">
              <a:solidFill>
                <a:schemeClr val="dk1"/>
              </a:solidFill>
              <a:effectLst/>
              <a:latin typeface="Aptos" panose="020B0004020202020204" pitchFamily="34" charset="0"/>
              <a:ea typeface="+mn-ea"/>
              <a:cs typeface="+mn-cs"/>
            </a:rPr>
            <a:t>Instructions</a:t>
          </a:r>
          <a:endParaRPr lang="en-GB" sz="1100" b="1">
            <a:latin typeface="Aptos" panose="020B0004020202020204" pitchFamily="34" charset="0"/>
          </a:endParaRPr>
        </a:p>
        <a:p>
          <a:pPr>
            <a:spcAft>
              <a:spcPts val="600"/>
            </a:spcAft>
          </a:pPr>
          <a:r>
            <a:rPr lang="en-GB" sz="1100">
              <a:latin typeface="Aptos" panose="020B0004020202020204" pitchFamily="34" charset="0"/>
            </a:rPr>
            <a:t>In this step,</a:t>
          </a:r>
          <a:r>
            <a:rPr lang="en-GB" sz="1100" baseline="0">
              <a:latin typeface="Aptos" panose="020B0004020202020204" pitchFamily="34" charset="0"/>
            </a:rPr>
            <a:t> you'll pull the historical outturn data against which rules will be tested and future plans will be rebased. The data is from two sources: Eurostat (ESA 2010 national accounts and government finance series), and AMECO (potential output, structural balance and the other Commission-derived aggregates). The summary table at the top contains the core compliance variables that feed into the assessment in Step 4. The variables are calculated using the detailed Eurostat and AMECO blocks below, which the VBA macro populates from external sources.</a:t>
          </a:r>
        </a:p>
        <a:p>
          <a:pPr>
            <a:spcAft>
              <a:spcPts val="600"/>
            </a:spcAft>
          </a:pPr>
          <a:r>
            <a:rPr lang="en-GB" sz="1100">
              <a:latin typeface="Aptos" panose="020B0004020202020204" pitchFamily="34" charset="0"/>
            </a:rPr>
            <a:t>(a) In </a:t>
          </a:r>
          <a:r>
            <a:rPr lang="en-GB" sz="1100">
              <a:solidFill>
                <a:schemeClr val="accent2">
                  <a:lumMod val="75000"/>
                </a:schemeClr>
              </a:solidFill>
              <a:latin typeface="Aptos" panose="020B0004020202020204" pitchFamily="34" charset="0"/>
            </a:rPr>
            <a:t>E2</a:t>
          </a:r>
          <a:r>
            <a:rPr lang="en-GB" sz="1100">
              <a:latin typeface="Aptos" panose="020B0004020202020204" pitchFamily="34" charset="0"/>
            </a:rPr>
            <a:t>, enter the last year for which outturn data is available. The Eurostat and AMECO blocks below extend automatically up to this year, and the summary table at the top recalculates accordingly. </a:t>
          </a:r>
        </a:p>
        <a:p>
          <a:pPr>
            <a:spcAft>
              <a:spcPts val="600"/>
            </a:spcAft>
          </a:pPr>
          <a:r>
            <a:rPr lang="en-GB" sz="1100" i="1">
              <a:latin typeface="Aptos" panose="020B0004020202020204" pitchFamily="34" charset="0"/>
            </a:rPr>
            <a:t>Note: the fetched range runs from MTP_BaseYear - 1 (one lag year</a:t>
          </a:r>
          <a:r>
            <a:rPr lang="en-GB" sz="1100" i="1" baseline="0">
              <a:latin typeface="Aptos" panose="020B0004020202020204" pitchFamily="34" charset="0"/>
            </a:rPr>
            <a:t> is</a:t>
          </a:r>
          <a:r>
            <a:rPr lang="en-GB" sz="1100" i="1">
              <a:latin typeface="Aptos" panose="020B0004020202020204" pitchFamily="34" charset="0"/>
            </a:rPr>
            <a:t> needed for growth-rate calculations and context).</a:t>
          </a:r>
        </a:p>
        <a:p>
          <a:pPr>
            <a:spcAft>
              <a:spcPts val="600"/>
            </a:spcAft>
          </a:pPr>
          <a:r>
            <a:rPr lang="en-GB" sz="1100">
              <a:latin typeface="Aptos" panose="020B0004020202020204" pitchFamily="34" charset="0"/>
            </a:rPr>
            <a:t>(b) Click the </a:t>
          </a:r>
          <a:r>
            <a:rPr lang="en-GB" sz="1100">
              <a:solidFill>
                <a:schemeClr val="accent2">
                  <a:lumMod val="75000"/>
                </a:schemeClr>
              </a:solidFill>
              <a:latin typeface="Aptos" panose="020B0004020202020204" pitchFamily="34" charset="0"/>
            </a:rPr>
            <a:t>Update Eurostat data </a:t>
          </a:r>
          <a:r>
            <a:rPr lang="en-GB" sz="1100">
              <a:latin typeface="Aptos" panose="020B0004020202020204" pitchFamily="34" charset="0"/>
            </a:rPr>
            <a:t>button to pull the 55 Eurostat national accounts and government-finance series into rows 34 to 88. Three buttons are provided: one for Windows, one for macOS, and one that generates a Python</a:t>
          </a:r>
          <a:r>
            <a:rPr lang="en-GB" sz="1100" baseline="0">
              <a:latin typeface="Aptos" panose="020B0004020202020204" pitchFamily="34" charset="0"/>
            </a:rPr>
            <a:t> script that can be run from the command line</a:t>
          </a:r>
          <a:r>
            <a:rPr lang="en-GB" sz="1100">
              <a:latin typeface="Aptos" panose="020B0004020202020204" pitchFamily="34" charset="0"/>
            </a:rPr>
            <a:t>. On the first Mac run, accept system prompts asking Excel to control System Events.</a:t>
          </a:r>
        </a:p>
        <a:p>
          <a:pPr>
            <a:spcAft>
              <a:spcPts val="600"/>
            </a:spcAft>
          </a:pPr>
          <a:r>
            <a:rPr lang="en-GB" sz="1100">
              <a:latin typeface="Aptos" panose="020B0004020202020204" pitchFamily="34" charset="0"/>
            </a:rPr>
            <a:t>(c) Click the </a:t>
          </a:r>
          <a:r>
            <a:rPr lang="en-GB" sz="1100">
              <a:solidFill>
                <a:schemeClr val="accent2">
                  <a:lumMod val="75000"/>
                </a:schemeClr>
              </a:solidFill>
              <a:latin typeface="Aptos" panose="020B0004020202020204" pitchFamily="34" charset="0"/>
            </a:rPr>
            <a:t>Update AMECO data </a:t>
          </a:r>
          <a:r>
            <a:rPr lang="en-GB" sz="1100">
              <a:latin typeface="Aptos" panose="020B0004020202020204" pitchFamily="34" charset="0"/>
            </a:rPr>
            <a:t>button to pull the 11 AMECO series into rows 89 to 99. Because DG ECFIN does not publish AMECO via an official REST API, the macro uses DBnomics, a third-party re-host. The macro is kept separate so that, should DBnomics become unavailable, the AMECO variables can be entered manually from the Commission's published AMECO database without affecting the Eurostat fetch. </a:t>
          </a:r>
        </a:p>
        <a:p>
          <a:pPr marL="0" marR="0" lvl="0" indent="0" defTabSz="914400" eaLnBrk="1" fontAlgn="auto" latinLnBrk="0" hangingPunct="1">
            <a:lnSpc>
              <a:spcPct val="100000"/>
            </a:lnSpc>
            <a:spcBef>
              <a:spcPts val="0"/>
            </a:spcBef>
            <a:spcAft>
              <a:spcPts val="600"/>
            </a:spcAft>
            <a:buClrTx/>
            <a:buSzTx/>
            <a:buFontTx/>
            <a:buNone/>
            <a:tabLst/>
            <a:defRPr/>
          </a:pPr>
          <a:r>
            <a:rPr lang="en-GB" sz="1100" i="1">
              <a:solidFill>
                <a:srgbClr val="C00000"/>
              </a:solidFill>
              <a:latin typeface="Aptos" panose="020B0004020202020204" pitchFamily="34" charset="0"/>
            </a:rPr>
            <a:t>Caution</a:t>
          </a:r>
          <a:r>
            <a:rPr lang="en-GB" sz="1100" i="1">
              <a:latin typeface="Aptos" panose="020B0004020202020204" pitchFamily="34" charset="0"/>
            </a:rPr>
            <a:t>: The AMECO database also includes forecast years, so verify that outturn</a:t>
          </a:r>
          <a:r>
            <a:rPr lang="en-GB" sz="1100" i="1" baseline="0">
              <a:latin typeface="Aptos" panose="020B0004020202020204" pitchFamily="34" charset="0"/>
            </a:rPr>
            <a:t> </a:t>
          </a:r>
          <a:r>
            <a:rPr lang="en-GB" sz="1100" i="1">
              <a:latin typeface="Aptos" panose="020B0004020202020204" pitchFamily="34" charset="0"/>
            </a:rPr>
            <a:t>has truly been published before</a:t>
          </a:r>
          <a:r>
            <a:rPr lang="en-GB" sz="1100" i="1" baseline="0">
              <a:latin typeface="Aptos" panose="020B0004020202020204" pitchFamily="34" charset="0"/>
            </a:rPr>
            <a:t> updating.</a:t>
          </a:r>
        </a:p>
        <a:p>
          <a:pPr marL="0" marR="0" lvl="0" indent="0" defTabSz="914400" eaLnBrk="1" fontAlgn="auto" latinLnBrk="0" hangingPunct="1">
            <a:lnSpc>
              <a:spcPct val="100000"/>
            </a:lnSpc>
            <a:spcBef>
              <a:spcPts val="0"/>
            </a:spcBef>
            <a:spcAft>
              <a:spcPts val="600"/>
            </a:spcAft>
            <a:buClrTx/>
            <a:buSzTx/>
            <a:buFontTx/>
            <a:buNone/>
            <a:tabLst/>
            <a:defRPr/>
          </a:pPr>
          <a:r>
            <a:rPr lang="en-GB" sz="1100">
              <a:solidFill>
                <a:schemeClr val="dk1"/>
              </a:solidFill>
              <a:effectLst/>
              <a:latin typeface="+mn-lt"/>
              <a:ea typeface="+mn-ea"/>
              <a:cs typeface="+mn-cs"/>
            </a:rPr>
            <a:t>The AMECO components of net expenditure often do not align with Annual</a:t>
          </a:r>
          <a:r>
            <a:rPr lang="en-GB" sz="1100" baseline="0">
              <a:solidFill>
                <a:schemeClr val="dk1"/>
              </a:solidFill>
              <a:effectLst/>
              <a:latin typeface="+mn-lt"/>
              <a:ea typeface="+mn-ea"/>
              <a:cs typeface="+mn-cs"/>
            </a:rPr>
            <a:t> Progress Reports and Draft Budgetary Plans, owing to both the timing of vintages, minor rounding discrepencies and more major differences of analysis on areas such as cycle unemployment expenditure and discretionary revenue measures. If you wish to overwrite AMECO variables do so in the table beginning in R3, setting the flag of such variables to "TRUE". </a:t>
          </a:r>
          <a:endParaRPr lang="en-GB"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600"/>
            </a:spcAft>
            <a:buClrTx/>
            <a:buSzTx/>
            <a:buFontTx/>
            <a:buNone/>
            <a:tabLst/>
            <a:defRPr/>
          </a:pPr>
          <a:r>
            <a:rPr lang="en-GB" sz="1100">
              <a:solidFill>
                <a:schemeClr val="dk1"/>
              </a:solidFill>
              <a:effectLst/>
              <a:latin typeface="+mn-lt"/>
              <a:ea typeface="+mn-ea"/>
              <a:cs typeface="+mn-cs"/>
            </a:rPr>
            <a:t>Tutorial: </a:t>
          </a:r>
          <a:r>
            <a:rPr lang="en-GB" sz="1100">
              <a:solidFill>
                <a:srgbClr val="0033CC"/>
              </a:solidFill>
              <a:latin typeface="Aptos" panose="020B0004020202020204" pitchFamily="34" charset="0"/>
              <a:ea typeface="+mn-ea"/>
              <a:cs typeface="+mn-cs"/>
            </a:rPr>
            <a:t>https://youtu.be/PTS-xMeD0Sw </a:t>
          </a:r>
        </a:p>
        <a:p>
          <a:pPr>
            <a:spcAft>
              <a:spcPts val="600"/>
            </a:spcAft>
          </a:pPr>
          <a:r>
            <a:rPr lang="en-GB" sz="1100" baseline="0">
              <a:latin typeface="Aptos" panose="020B0004020202020204" pitchFamily="34" charset="0"/>
            </a:rPr>
            <a:t> </a:t>
          </a:r>
          <a:endParaRPr lang="en-GB" sz="1100">
            <a:latin typeface="Aptos" panose="020B0004020202020204" pitchFamily="34" charset="0"/>
          </a:endParaRPr>
        </a:p>
      </xdr:txBody>
    </xdr:sp>
    <xdr:clientData/>
  </xdr:twoCellAnchor>
  <xdr:twoCellAnchor>
    <xdr:from>
      <xdr:col>10</xdr:col>
      <xdr:colOff>0</xdr:colOff>
      <xdr:row>9</xdr:row>
      <xdr:rowOff>97062</xdr:rowOff>
    </xdr:from>
    <xdr:to>
      <xdr:col>15</xdr:col>
      <xdr:colOff>219173</xdr:colOff>
      <xdr:row>11</xdr:row>
      <xdr:rowOff>40062</xdr:rowOff>
    </xdr:to>
    <xdr:sp macro="[0]!EurostatUpdateMac" textlink="">
      <xdr:nvSpPr>
        <xdr:cNvPr id="7" name="Rectangle: Rounded Corners 6">
          <a:extLst>
            <a:ext uri="{FF2B5EF4-FFF2-40B4-BE49-F238E27FC236}">
              <a16:creationId xmlns:a16="http://schemas.microsoft.com/office/drawing/2014/main" id="{2F1C3750-6BDD-4174-90D5-ECFFA3A5C8CA}"/>
            </a:ext>
          </a:extLst>
        </xdr:cNvPr>
        <xdr:cNvSpPr/>
      </xdr:nvSpPr>
      <xdr:spPr>
        <a:xfrm>
          <a:off x="8908676" y="1901209"/>
          <a:ext cx="3244762" cy="324000"/>
        </a:xfrm>
        <a:prstGeom prst="roundRect">
          <a:avLst/>
        </a:prstGeom>
        <a:solidFill>
          <a:schemeClr val="accent4">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Eurostat data (macOS - Beta)</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11</xdr:row>
      <xdr:rowOff>154062</xdr:rowOff>
    </xdr:from>
    <xdr:to>
      <xdr:col>15</xdr:col>
      <xdr:colOff>219173</xdr:colOff>
      <xdr:row>13</xdr:row>
      <xdr:rowOff>97062</xdr:rowOff>
    </xdr:to>
    <xdr:sp macro="[0]!AmecoUpdateMac" textlink="">
      <xdr:nvSpPr>
        <xdr:cNvPr id="8" name="Rectangle: Rounded Corners 7">
          <a:extLst>
            <a:ext uri="{FF2B5EF4-FFF2-40B4-BE49-F238E27FC236}">
              <a16:creationId xmlns:a16="http://schemas.microsoft.com/office/drawing/2014/main" id="{2B301FA4-4C9D-4E28-A223-75117EDDF4DF}"/>
            </a:ext>
          </a:extLst>
        </xdr:cNvPr>
        <xdr:cNvSpPr/>
      </xdr:nvSpPr>
      <xdr:spPr>
        <a:xfrm>
          <a:off x="8908676" y="2339209"/>
          <a:ext cx="3244762" cy="324000"/>
        </a:xfrm>
        <a:prstGeom prst="roundRect">
          <a:avLst/>
        </a:prstGeom>
        <a:solidFill>
          <a:schemeClr val="accent4">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AMECO data (macOS - Beta)</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14</xdr:row>
      <xdr:rowOff>247500</xdr:rowOff>
    </xdr:from>
    <xdr:to>
      <xdr:col>15</xdr:col>
      <xdr:colOff>219173</xdr:colOff>
      <xdr:row>16</xdr:row>
      <xdr:rowOff>123265</xdr:rowOff>
    </xdr:to>
    <xdr:sp macro="[0]!EurostatUpdatePython.EurostatUpdatePython" textlink="">
      <xdr:nvSpPr>
        <xdr:cNvPr id="9" name="Rectangle: Rounded Corners 8">
          <a:extLst>
            <a:ext uri="{FF2B5EF4-FFF2-40B4-BE49-F238E27FC236}">
              <a16:creationId xmlns:a16="http://schemas.microsoft.com/office/drawing/2014/main" id="{8FE9D03F-2B99-8D1A-39FC-594FE7355AC8}"/>
            </a:ext>
          </a:extLst>
        </xdr:cNvPr>
        <xdr:cNvSpPr/>
      </xdr:nvSpPr>
      <xdr:spPr>
        <a:xfrm>
          <a:off x="8908676" y="3004147"/>
          <a:ext cx="3244762" cy="324000"/>
        </a:xfrm>
        <a:prstGeom prst="roundRect">
          <a:avLst/>
        </a:prstGeom>
        <a:solidFill>
          <a:schemeClr val="bg1">
            <a:lumMod val="85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Eurostat data (Python - External)</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16</xdr:row>
      <xdr:rowOff>247500</xdr:rowOff>
    </xdr:from>
    <xdr:to>
      <xdr:col>15</xdr:col>
      <xdr:colOff>219173</xdr:colOff>
      <xdr:row>18</xdr:row>
      <xdr:rowOff>123264</xdr:rowOff>
    </xdr:to>
    <xdr:sp macro="[0]!AmecoUpdatePython.AmecoUpdatePython" textlink="">
      <xdr:nvSpPr>
        <xdr:cNvPr id="10" name="Rectangle: Rounded Corners 9">
          <a:extLst>
            <a:ext uri="{FF2B5EF4-FFF2-40B4-BE49-F238E27FC236}">
              <a16:creationId xmlns:a16="http://schemas.microsoft.com/office/drawing/2014/main" id="{C8D7D2C2-0DD8-EEEB-9DD1-BEE1054AAF1F}"/>
            </a:ext>
          </a:extLst>
        </xdr:cNvPr>
        <xdr:cNvSpPr/>
      </xdr:nvSpPr>
      <xdr:spPr>
        <a:xfrm>
          <a:off x="8908676" y="3452382"/>
          <a:ext cx="3244762" cy="324000"/>
        </a:xfrm>
        <a:prstGeom prst="roundRect">
          <a:avLst/>
        </a:prstGeom>
        <a:solidFill>
          <a:schemeClr val="bg1">
            <a:lumMod val="85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AMECO data (Python - External)</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22</xdr:row>
      <xdr:rowOff>0</xdr:rowOff>
    </xdr:from>
    <xdr:to>
      <xdr:col>15</xdr:col>
      <xdr:colOff>219173</xdr:colOff>
      <xdr:row>23</xdr:row>
      <xdr:rowOff>132939</xdr:rowOff>
    </xdr:to>
    <xdr:sp macro="[0]!ClearOutturnData" textlink="">
      <xdr:nvSpPr>
        <xdr:cNvPr id="2" name="Rectangle: Rounded Corners 1">
          <a:extLst>
            <a:ext uri="{FF2B5EF4-FFF2-40B4-BE49-F238E27FC236}">
              <a16:creationId xmlns:a16="http://schemas.microsoft.com/office/drawing/2014/main" id="{ADD6CD5B-919B-406E-B4BA-6EB42BED9E16}"/>
            </a:ext>
          </a:extLst>
        </xdr:cNvPr>
        <xdr:cNvSpPr/>
      </xdr:nvSpPr>
      <xdr:spPr>
        <a:xfrm>
          <a:off x="8315325" y="4486275"/>
          <a:ext cx="3219548" cy="323439"/>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Clear outturn data</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14</xdr:col>
      <xdr:colOff>19051</xdr:colOff>
      <xdr:row>15</xdr:row>
      <xdr:rowOff>104775</xdr:rowOff>
    </xdr:from>
    <xdr:to>
      <xdr:col>14</xdr:col>
      <xdr:colOff>3514725</xdr:colOff>
      <xdr:row>17</xdr:row>
      <xdr:rowOff>95249</xdr:rowOff>
    </xdr:to>
    <xdr:sp macro="[0]!ImportPlanData" textlink="">
      <xdr:nvSpPr>
        <xdr:cNvPr id="3" name="Rectangle: Rounded Corners 2">
          <a:extLst>
            <a:ext uri="{FF2B5EF4-FFF2-40B4-BE49-F238E27FC236}">
              <a16:creationId xmlns:a16="http://schemas.microsoft.com/office/drawing/2014/main" id="{A49A2009-EC30-4ED2-BBB6-AA279EDE63E5}"/>
            </a:ext>
          </a:extLst>
        </xdr:cNvPr>
        <xdr:cNvSpPr/>
      </xdr:nvSpPr>
      <xdr:spPr>
        <a:xfrm>
          <a:off x="12687301" y="3000375"/>
          <a:ext cx="3495674" cy="333374"/>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Import plan from file</a:t>
          </a:r>
        </a:p>
      </xdr:txBody>
    </xdr:sp>
    <xdr:clientData/>
  </xdr:twoCellAnchor>
  <xdr:twoCellAnchor>
    <xdr:from>
      <xdr:col>13</xdr:col>
      <xdr:colOff>361949</xdr:colOff>
      <xdr:row>23</xdr:row>
      <xdr:rowOff>123824</xdr:rowOff>
    </xdr:from>
    <xdr:to>
      <xdr:col>19</xdr:col>
      <xdr:colOff>409575</xdr:colOff>
      <xdr:row>58</xdr:row>
      <xdr:rowOff>19050</xdr:rowOff>
    </xdr:to>
    <xdr:sp macro="" textlink="">
      <xdr:nvSpPr>
        <xdr:cNvPr id="2" name="TextBox 1">
          <a:extLst>
            <a:ext uri="{FF2B5EF4-FFF2-40B4-BE49-F238E27FC236}">
              <a16:creationId xmlns:a16="http://schemas.microsoft.com/office/drawing/2014/main" id="{ECE96528-EDCC-43DC-87A7-3B9050F85FC8}"/>
            </a:ext>
          </a:extLst>
        </xdr:cNvPr>
        <xdr:cNvSpPr txBox="1"/>
      </xdr:nvSpPr>
      <xdr:spPr>
        <a:xfrm>
          <a:off x="12420599" y="4391024"/>
          <a:ext cx="6696076" cy="6019801"/>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600"/>
            </a:spcAft>
          </a:pPr>
          <a:r>
            <a:rPr lang="en-GB" sz="1400" b="0">
              <a:latin typeface="Aptos" panose="020B0004020202020204" pitchFamily="34" charset="0"/>
            </a:rPr>
            <a:t>Instructions</a:t>
          </a:r>
        </a:p>
        <a:p>
          <a:pPr>
            <a:spcAft>
              <a:spcPts val="600"/>
            </a:spcAft>
          </a:pPr>
          <a:r>
            <a:rPr lang="en-GB" sz="1100">
              <a:latin typeface="Aptos" panose="020B0004020202020204" pitchFamily="34" charset="0"/>
            </a:rPr>
            <a:t>In this step,</a:t>
          </a:r>
          <a:r>
            <a:rPr lang="en-GB" sz="1100" baseline="0">
              <a:latin typeface="Aptos" panose="020B0004020202020204" pitchFamily="34" charset="0"/>
            </a:rPr>
            <a:t> you can </a:t>
          </a:r>
          <a:r>
            <a:rPr lang="en-GB" sz="1100">
              <a:latin typeface="Aptos" panose="020B0004020202020204" pitchFamily="34" charset="0"/>
            </a:rPr>
            <a:t>enter any</a:t>
          </a:r>
          <a:r>
            <a:rPr lang="en-GB" sz="1100" baseline="0">
              <a:latin typeface="Aptos" panose="020B0004020202020204" pitchFamily="34" charset="0"/>
            </a:rPr>
            <a:t> planned years</a:t>
          </a:r>
          <a:r>
            <a:rPr lang="en-GB" sz="1100">
              <a:latin typeface="Aptos" panose="020B0004020202020204" pitchFamily="34" charset="0"/>
            </a:rPr>
            <a:t> you'd like to assess against the MTP. These may be from</a:t>
          </a:r>
          <a:r>
            <a:rPr lang="en-GB" sz="1100" baseline="0">
              <a:latin typeface="Aptos" panose="020B0004020202020204" pitchFamily="34" charset="0"/>
            </a:rPr>
            <a:t> </a:t>
          </a:r>
          <a:r>
            <a:rPr lang="en-GB" sz="1100">
              <a:latin typeface="Aptos" panose="020B0004020202020204" pitchFamily="34" charset="0"/>
            </a:rPr>
            <a:t>a Draft Budgetary Plan, an Annual Progress Report, the IFI's own independent forecast, a risk or sensitivity scenario, or any other implementation-monitoring exercise. If you want</a:t>
          </a:r>
          <a:r>
            <a:rPr lang="en-GB" sz="1100" baseline="0">
              <a:latin typeface="Aptos" panose="020B0004020202020204" pitchFamily="34" charset="0"/>
            </a:rPr>
            <a:t> to assess only outturn data, simply set the final year to be assessed equal to the outturn year and skip the remaining steps. </a:t>
          </a:r>
          <a:endParaRPr lang="en-GB" sz="1100">
            <a:latin typeface="Aptos" panose="020B0004020202020204" pitchFamily="34" charset="0"/>
          </a:endParaRPr>
        </a:p>
        <a:p>
          <a:pPr>
            <a:spcAft>
              <a:spcPts val="600"/>
            </a:spcAft>
          </a:pPr>
          <a:r>
            <a:rPr lang="en-GB" sz="1100">
              <a:latin typeface="Aptos" panose="020B0004020202020204" pitchFamily="34" charset="0"/>
            </a:rPr>
            <a:t>(a) In </a:t>
          </a:r>
          <a:r>
            <a:rPr lang="en-GB" sz="1100">
              <a:solidFill>
                <a:schemeClr val="accent2">
                  <a:lumMod val="75000"/>
                </a:schemeClr>
              </a:solidFill>
              <a:latin typeface="Aptos" panose="020B0004020202020204" pitchFamily="34" charset="0"/>
            </a:rPr>
            <a:t>C3</a:t>
          </a:r>
          <a:r>
            <a:rPr lang="en-GB" sz="1100">
              <a:latin typeface="Aptos" panose="020B0004020202020204" pitchFamily="34" charset="0"/>
            </a:rPr>
            <a:t>, enter the final year of the plan's</a:t>
          </a:r>
          <a:r>
            <a:rPr lang="en-GB" sz="1100" baseline="0">
              <a:latin typeface="Aptos" panose="020B0004020202020204" pitchFamily="34" charset="0"/>
            </a:rPr>
            <a:t> window you wish to </a:t>
          </a:r>
          <a:r>
            <a:rPr lang="en-GB" sz="1100">
              <a:latin typeface="Aptos" panose="020B0004020202020204" pitchFamily="34" charset="0"/>
            </a:rPr>
            <a:t>assess. For an APR, this is normally year T+1; for a DBP it can run further out; for the IFI's own forecast or a risk scenario, set it to the last year for which figures are available. The</a:t>
          </a:r>
          <a:r>
            <a:rPr lang="en-GB" sz="1100" baseline="0">
              <a:latin typeface="Aptos" panose="020B0004020202020204" pitchFamily="34" charset="0"/>
            </a:rPr>
            <a:t> window can be restricted to less than the plan's outlook (the entire plan will be imported with the macro). </a:t>
          </a:r>
          <a:endParaRPr lang="en-GB" sz="1100">
            <a:latin typeface="Aptos" panose="020B0004020202020204" pitchFamily="34" charset="0"/>
          </a:endParaRPr>
        </a:p>
        <a:p>
          <a:pPr>
            <a:spcAft>
              <a:spcPts val="600"/>
            </a:spcAft>
          </a:pPr>
          <a:r>
            <a:rPr lang="en-GB" sz="1100">
              <a:latin typeface="Aptos" panose="020B0004020202020204" pitchFamily="34" charset="0"/>
            </a:rPr>
            <a:t>(b) Confirm the scenario name shown in </a:t>
          </a:r>
          <a:r>
            <a:rPr lang="en-GB" sz="1100">
              <a:solidFill>
                <a:schemeClr val="accent2">
                  <a:lumMod val="75000"/>
                </a:schemeClr>
              </a:solidFill>
              <a:latin typeface="Aptos" panose="020B0004020202020204" pitchFamily="34" charset="0"/>
            </a:rPr>
            <a:t>B5</a:t>
          </a:r>
          <a:r>
            <a:rPr lang="en-GB" sz="1100">
              <a:latin typeface="Aptos" panose="020B0004020202020204" pitchFamily="34" charset="0"/>
            </a:rPr>
            <a:t>. This is read from Step 1, so if you want to give the</a:t>
          </a:r>
          <a:r>
            <a:rPr lang="en-GB" sz="1100" baseline="0">
              <a:latin typeface="Aptos" panose="020B0004020202020204" pitchFamily="34" charset="0"/>
            </a:rPr>
            <a:t> plan/</a:t>
          </a:r>
          <a:r>
            <a:rPr lang="en-GB" sz="1100">
              <a:latin typeface="Aptos" panose="020B0004020202020204" pitchFamily="34" charset="0"/>
            </a:rPr>
            <a:t>scenario a</a:t>
          </a:r>
          <a:r>
            <a:rPr lang="en-GB" sz="1100" baseline="0">
              <a:latin typeface="Aptos" panose="020B0004020202020204" pitchFamily="34" charset="0"/>
            </a:rPr>
            <a:t> different name</a:t>
          </a:r>
          <a:r>
            <a:rPr lang="en-GB" sz="1100">
              <a:latin typeface="Aptos" panose="020B0004020202020204" pitchFamily="34" charset="0"/>
            </a:rPr>
            <a:t>, switch the named selection on Step 1 first. </a:t>
          </a:r>
        </a:p>
        <a:p>
          <a:pPr marL="0" marR="0" lvl="0" indent="0" defTabSz="914400" eaLnBrk="1" fontAlgn="auto" latinLnBrk="0" hangingPunct="1">
            <a:lnSpc>
              <a:spcPct val="100000"/>
            </a:lnSpc>
            <a:spcBef>
              <a:spcPts val="0"/>
            </a:spcBef>
            <a:spcAft>
              <a:spcPts val="600"/>
            </a:spcAft>
            <a:buClrTx/>
            <a:buSzTx/>
            <a:buFontTx/>
            <a:buNone/>
            <a:tabLst/>
            <a:defRPr/>
          </a:pPr>
          <a:r>
            <a:rPr lang="en-GB" sz="1100">
              <a:latin typeface="Aptos" panose="020B0004020202020204" pitchFamily="34" charset="0"/>
            </a:rPr>
            <a:t>(c) Use the plan import tool to read in an external spreadsheet.</a:t>
          </a:r>
          <a:r>
            <a:rPr lang="en-GB" sz="1100" baseline="0">
              <a:latin typeface="Aptos" panose="020B0004020202020204" pitchFamily="34" charset="0"/>
            </a:rPr>
            <a:t> Although tables are standardised by guidance note </a:t>
          </a:r>
          <a:r>
            <a:rPr lang="en-GB" sz="1100" b="0" i="0" u="none" strike="noStrike" baseline="0">
              <a:solidFill>
                <a:schemeClr val="dk1"/>
              </a:solidFill>
              <a:latin typeface="+mn-lt"/>
              <a:ea typeface="+mn-ea"/>
              <a:cs typeface="+mn-cs"/>
            </a:rPr>
            <a:t>C/2024/3975</a:t>
          </a:r>
          <a:r>
            <a:rPr lang="en-GB" sz="1100" baseline="0">
              <a:latin typeface="Aptos" panose="020B0004020202020204" pitchFamily="34" charset="0"/>
            </a:rPr>
            <a:t>, labels and position within the external worksheets are not. You must first supply the information in </a:t>
          </a:r>
          <a:r>
            <a:rPr lang="en-GB" sz="1100" baseline="0">
              <a:solidFill>
                <a:schemeClr val="accent2">
                  <a:lumMod val="75000"/>
                </a:schemeClr>
              </a:solidFill>
              <a:latin typeface="Aptos" panose="020B0004020202020204" pitchFamily="34" charset="0"/>
            </a:rPr>
            <a:t>P7 to P13</a:t>
          </a:r>
          <a:r>
            <a:rPr lang="en-GB" sz="1100" baseline="0">
              <a:latin typeface="Aptos" panose="020B0004020202020204" pitchFamily="34" charset="0"/>
            </a:rPr>
            <a:t>. </a:t>
          </a:r>
          <a:r>
            <a:rPr lang="en-GB" sz="1100">
              <a:solidFill>
                <a:schemeClr val="dk1"/>
              </a:solidFill>
              <a:effectLst/>
              <a:latin typeface="+mn-lt"/>
              <a:ea typeface="+mn-ea"/>
              <a:cs typeface="+mn-cs"/>
            </a:rPr>
            <a:t>This includes the worksheets where the</a:t>
          </a:r>
          <a:r>
            <a:rPr lang="en-GB" sz="1100" baseline="0">
              <a:solidFill>
                <a:schemeClr val="dk1"/>
              </a:solidFill>
              <a:effectLst/>
              <a:latin typeface="+mn-lt"/>
              <a:ea typeface="+mn-ea"/>
              <a:cs typeface="+mn-cs"/>
            </a:rPr>
            <a:t> "Budgetary developments" and "Macroeconomic developments" tables sit, the row in which the respective years sit, the column containing the standardised line reference numbers, and the column that holds the last year of levels data (in bn NAC) before switching to % of GDP. The macro uses this information to retrieve and populate the matching tables in this sheet. </a:t>
          </a:r>
          <a:r>
            <a:rPr lang="en-GB" sz="1100">
              <a:solidFill>
                <a:schemeClr val="dk1"/>
              </a:solidFill>
              <a:effectLst/>
              <a:latin typeface="+mn-lt"/>
              <a:ea typeface="+mn-ea"/>
              <a:cs typeface="+mn-cs"/>
            </a:rPr>
            <a:t>The tool relies on line numbers in column A matching the input tables. Defence spending (rows 45 and 46) may need to be entered manually as</a:t>
          </a:r>
          <a:r>
            <a:rPr lang="en-GB" sz="1100" baseline="0">
              <a:solidFill>
                <a:schemeClr val="dk1"/>
              </a:solidFill>
              <a:effectLst/>
              <a:latin typeface="+mn-lt"/>
              <a:ea typeface="+mn-ea"/>
              <a:cs typeface="+mn-cs"/>
            </a:rPr>
            <a:t> practice is not yet standardised</a:t>
          </a:r>
          <a:r>
            <a:rPr lang="en-GB" sz="1100">
              <a:solidFill>
                <a:schemeClr val="dk1"/>
              </a:solidFill>
              <a:effectLst/>
              <a:latin typeface="+mn-lt"/>
              <a:ea typeface="+mn-ea"/>
              <a:cs typeface="+mn-cs"/>
            </a:rPr>
            <a:t>.</a:t>
          </a:r>
          <a:endParaRPr lang="en-GB">
            <a:effectLst/>
          </a:endParaRPr>
        </a:p>
        <a:p>
          <a:pPr>
            <a:spcAft>
              <a:spcPts val="600"/>
            </a:spcAft>
          </a:pPr>
          <a:r>
            <a:rPr lang="en-GB" sz="1100" baseline="0">
              <a:latin typeface="Aptos" panose="020B0004020202020204" pitchFamily="34" charset="0"/>
            </a:rPr>
            <a:t>(d) Click the "</a:t>
          </a:r>
          <a:r>
            <a:rPr lang="en-GB" sz="1100" baseline="0">
              <a:solidFill>
                <a:schemeClr val="accent2">
                  <a:lumMod val="75000"/>
                </a:schemeClr>
              </a:solidFill>
              <a:latin typeface="Aptos" panose="020B0004020202020204" pitchFamily="34" charset="0"/>
            </a:rPr>
            <a:t>Import plan from file</a:t>
          </a:r>
          <a:r>
            <a:rPr lang="en-GB" sz="1100" baseline="0">
              <a:latin typeface="Aptos" panose="020B0004020202020204" pitchFamily="34" charset="0"/>
            </a:rPr>
            <a:t>" button and select the external spreadsheet containing the plan you wish to assess. Alternatively, you can manually update the </a:t>
          </a:r>
          <a:r>
            <a:rPr lang="en-GB" sz="1100">
              <a:latin typeface="Aptos" panose="020B0004020202020204" pitchFamily="34" charset="0"/>
            </a:rPr>
            <a:t>budgetary developments (rows 33–88) and macroeconomic developments (rows 91–131). These follow the structure of the standard DBP/APR template that accompanies </a:t>
          </a:r>
          <a:r>
            <a:rPr lang="en-GB" sz="1100" baseline="0">
              <a:solidFill>
                <a:schemeClr val="dk1"/>
              </a:solidFill>
              <a:effectLst/>
              <a:latin typeface="+mn-lt"/>
              <a:ea typeface="+mn-ea"/>
              <a:cs typeface="+mn-cs"/>
            </a:rPr>
            <a:t>guidance note </a:t>
          </a:r>
          <a:r>
            <a:rPr lang="en-GB" sz="1100" b="0" i="0" baseline="0">
              <a:solidFill>
                <a:schemeClr val="dk1"/>
              </a:solidFill>
              <a:effectLst/>
              <a:latin typeface="+mn-lt"/>
              <a:ea typeface="+mn-ea"/>
              <a:cs typeface="+mn-cs"/>
            </a:rPr>
            <a:t>C/2024/3975</a:t>
          </a:r>
          <a:r>
            <a:rPr lang="en-GB" sz="1100">
              <a:latin typeface="Aptos" panose="020B0004020202020204" pitchFamily="34" charset="0"/>
            </a:rPr>
            <a:t>.</a:t>
          </a:r>
          <a:r>
            <a:rPr lang="en-GB" sz="1100" baseline="0">
              <a:latin typeface="Aptos" panose="020B0004020202020204" pitchFamily="34" charset="0"/>
            </a:rPr>
            <a:t> </a:t>
          </a:r>
          <a:r>
            <a:rPr lang="en-GB" sz="1100">
              <a:latin typeface="Aptos" panose="020B0004020202020204" pitchFamily="34" charset="0"/>
            </a:rPr>
            <a:t>If you'd</a:t>
          </a:r>
          <a:r>
            <a:rPr lang="en-GB" sz="1100" baseline="0">
              <a:latin typeface="Aptos" panose="020B0004020202020204" pitchFamily="34" charset="0"/>
            </a:rPr>
            <a:t> instead like to use an outlook from the custom scenario tool, click "Import plan from custom scenario tool". </a:t>
          </a:r>
          <a:endParaRPr lang="en-GB" sz="1100">
            <a:latin typeface="Aptos" panose="020B0004020202020204" pitchFamily="34" charset="0"/>
          </a:endParaRPr>
        </a:p>
        <a:p>
          <a:pPr>
            <a:spcAft>
              <a:spcPts val="600"/>
            </a:spcAft>
          </a:pPr>
          <a:r>
            <a:rPr lang="en-GB" sz="1100">
              <a:latin typeface="Aptos" panose="020B0004020202020204" pitchFamily="34" charset="0"/>
            </a:rPr>
            <a:t>Tutorial: </a:t>
          </a:r>
          <a:r>
            <a:rPr lang="en-GB" sz="1100">
              <a:solidFill>
                <a:srgbClr val="0033CC"/>
              </a:solidFill>
              <a:latin typeface="Aptos" panose="020B0004020202020204" pitchFamily="34" charset="0"/>
              <a:ea typeface="+mn-ea"/>
              <a:cs typeface="+mn-cs"/>
            </a:rPr>
            <a:t>https://youtu.be/30qsKPsrdjA</a:t>
          </a:r>
        </a:p>
      </xdr:txBody>
    </xdr:sp>
    <xdr:clientData/>
  </xdr:twoCellAnchor>
  <xdr:twoCellAnchor>
    <xdr:from>
      <xdr:col>14</xdr:col>
      <xdr:colOff>9525</xdr:colOff>
      <xdr:row>2</xdr:row>
      <xdr:rowOff>38100</xdr:rowOff>
    </xdr:from>
    <xdr:to>
      <xdr:col>14</xdr:col>
      <xdr:colOff>3229073</xdr:colOff>
      <xdr:row>4</xdr:row>
      <xdr:rowOff>18639</xdr:rowOff>
    </xdr:to>
    <xdr:sp macro="[0]!ClearEnterOutlook" textlink="">
      <xdr:nvSpPr>
        <xdr:cNvPr id="4" name="Rectangle: Rounded Corners 3">
          <a:extLst>
            <a:ext uri="{FF2B5EF4-FFF2-40B4-BE49-F238E27FC236}">
              <a16:creationId xmlns:a16="http://schemas.microsoft.com/office/drawing/2014/main" id="{D74FE610-DAE2-4013-A79C-4EC489BD2ABC}"/>
            </a:ext>
          </a:extLst>
        </xdr:cNvPr>
        <xdr:cNvSpPr/>
      </xdr:nvSpPr>
      <xdr:spPr>
        <a:xfrm>
          <a:off x="12677775" y="619125"/>
          <a:ext cx="3219548" cy="323439"/>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Clear outlook</a:t>
          </a:r>
        </a:p>
      </xdr:txBody>
    </xdr:sp>
    <xdr:clientData/>
  </xdr:twoCellAnchor>
  <xdr:twoCellAnchor>
    <xdr:from>
      <xdr:col>14</xdr:col>
      <xdr:colOff>47625</xdr:colOff>
      <xdr:row>18</xdr:row>
      <xdr:rowOff>76200</xdr:rowOff>
    </xdr:from>
    <xdr:to>
      <xdr:col>14</xdr:col>
      <xdr:colOff>3543299</xdr:colOff>
      <xdr:row>20</xdr:row>
      <xdr:rowOff>66674</xdr:rowOff>
    </xdr:to>
    <xdr:sp macro="[0]!ImportFromCustomScenarioTool" textlink="">
      <xdr:nvSpPr>
        <xdr:cNvPr id="5" name="Rectangle: Rounded Corners 4">
          <a:extLst>
            <a:ext uri="{FF2B5EF4-FFF2-40B4-BE49-F238E27FC236}">
              <a16:creationId xmlns:a16="http://schemas.microsoft.com/office/drawing/2014/main" id="{4DB5D6D3-62BB-4A25-8919-6FF234E9FB99}"/>
            </a:ext>
          </a:extLst>
        </xdr:cNvPr>
        <xdr:cNvSpPr/>
      </xdr:nvSpPr>
      <xdr:spPr>
        <a:xfrm>
          <a:off x="12715875" y="3486150"/>
          <a:ext cx="3495674" cy="333374"/>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Import plan from custom scenario tool</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15</xdr:col>
      <xdr:colOff>428625</xdr:colOff>
      <xdr:row>34</xdr:row>
      <xdr:rowOff>0</xdr:rowOff>
    </xdr:from>
    <xdr:to>
      <xdr:col>21</xdr:col>
      <xdr:colOff>647700</xdr:colOff>
      <xdr:row>47</xdr:row>
      <xdr:rowOff>190500</xdr:rowOff>
    </xdr:to>
    <xdr:graphicFrame macro="">
      <xdr:nvGraphicFramePr>
        <xdr:cNvPr id="5" name="Chart 4">
          <a:extLst>
            <a:ext uri="{FF2B5EF4-FFF2-40B4-BE49-F238E27FC236}">
              <a16:creationId xmlns:a16="http://schemas.microsoft.com/office/drawing/2014/main" id="{C1953CA4-3AB5-44D7-A4B2-7F1AE717D9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333375</xdr:colOff>
      <xdr:row>17</xdr:row>
      <xdr:rowOff>0</xdr:rowOff>
    </xdr:from>
    <xdr:to>
      <xdr:col>22</xdr:col>
      <xdr:colOff>0</xdr:colOff>
      <xdr:row>32</xdr:row>
      <xdr:rowOff>0</xdr:rowOff>
    </xdr:to>
    <xdr:graphicFrame macro="">
      <xdr:nvGraphicFramePr>
        <xdr:cNvPr id="9" name="Chart 8">
          <a:extLst>
            <a:ext uri="{FF2B5EF4-FFF2-40B4-BE49-F238E27FC236}">
              <a16:creationId xmlns:a16="http://schemas.microsoft.com/office/drawing/2014/main" id="{0C6DF556-5487-40A5-8258-3D1736C67F8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552450</xdr:colOff>
      <xdr:row>50</xdr:row>
      <xdr:rowOff>0</xdr:rowOff>
    </xdr:from>
    <xdr:to>
      <xdr:col>15</xdr:col>
      <xdr:colOff>0</xdr:colOff>
      <xdr:row>65</xdr:row>
      <xdr:rowOff>0</xdr:rowOff>
    </xdr:to>
    <xdr:graphicFrame macro="">
      <xdr:nvGraphicFramePr>
        <xdr:cNvPr id="11" name="Chart 10">
          <a:extLst>
            <a:ext uri="{FF2B5EF4-FFF2-40B4-BE49-F238E27FC236}">
              <a16:creationId xmlns:a16="http://schemas.microsoft.com/office/drawing/2014/main" id="{95E5C425-A4DF-493F-8ABB-F812184147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552450</xdr:colOff>
      <xdr:row>67</xdr:row>
      <xdr:rowOff>9525</xdr:rowOff>
    </xdr:from>
    <xdr:to>
      <xdr:col>15</xdr:col>
      <xdr:colOff>0</xdr:colOff>
      <xdr:row>82</xdr:row>
      <xdr:rowOff>0</xdr:rowOff>
    </xdr:to>
    <xdr:graphicFrame macro="">
      <xdr:nvGraphicFramePr>
        <xdr:cNvPr id="15" name="Chart 14">
          <a:extLst>
            <a:ext uri="{FF2B5EF4-FFF2-40B4-BE49-F238E27FC236}">
              <a16:creationId xmlns:a16="http://schemas.microsoft.com/office/drawing/2014/main" id="{4E8ECB36-825D-40BB-9BD4-0820EDFC8B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0</xdr:colOff>
      <xdr:row>33</xdr:row>
      <xdr:rowOff>123545</xdr:rowOff>
    </xdr:from>
    <xdr:to>
      <xdr:col>14</xdr:col>
      <xdr:colOff>522197</xdr:colOff>
      <xdr:row>47</xdr:row>
      <xdr:rowOff>0</xdr:rowOff>
    </xdr:to>
    <xdr:graphicFrame macro="">
      <xdr:nvGraphicFramePr>
        <xdr:cNvPr id="16" name="Chart 15">
          <a:extLst>
            <a:ext uri="{FF2B5EF4-FFF2-40B4-BE49-F238E27FC236}">
              <a16:creationId xmlns:a16="http://schemas.microsoft.com/office/drawing/2014/main" id="{7A44B74A-AE3B-4A08-8100-23D742BBA47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15</xdr:col>
      <xdr:colOff>228600</xdr:colOff>
      <xdr:row>50</xdr:row>
      <xdr:rowOff>0</xdr:rowOff>
    </xdr:from>
    <xdr:to>
      <xdr:col>22</xdr:col>
      <xdr:colOff>0</xdr:colOff>
      <xdr:row>65</xdr:row>
      <xdr:rowOff>0</xdr:rowOff>
    </xdr:to>
    <xdr:graphicFrame macro="">
      <xdr:nvGraphicFramePr>
        <xdr:cNvPr id="24" name="Chart 23">
          <a:extLst>
            <a:ext uri="{FF2B5EF4-FFF2-40B4-BE49-F238E27FC236}">
              <a16:creationId xmlns:a16="http://schemas.microsoft.com/office/drawing/2014/main" id="{B8DECA7E-8561-4926-8C0A-C414E67AD3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0</xdr:colOff>
      <xdr:row>16</xdr:row>
      <xdr:rowOff>228600</xdr:rowOff>
    </xdr:from>
    <xdr:to>
      <xdr:col>14</xdr:col>
      <xdr:colOff>514350</xdr:colOff>
      <xdr:row>32</xdr:row>
      <xdr:rowOff>0</xdr:rowOff>
    </xdr:to>
    <xdr:graphicFrame macro="">
      <xdr:nvGraphicFramePr>
        <xdr:cNvPr id="25" name="Chart 24">
          <a:extLst>
            <a:ext uri="{FF2B5EF4-FFF2-40B4-BE49-F238E27FC236}">
              <a16:creationId xmlns:a16="http://schemas.microsoft.com/office/drawing/2014/main" id="{30B76DA6-7736-4763-B8F1-D6961BABA1C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11</xdr:col>
      <xdr:colOff>0</xdr:colOff>
      <xdr:row>0</xdr:row>
      <xdr:rowOff>448086</xdr:rowOff>
    </xdr:from>
    <xdr:to>
      <xdr:col>14</xdr:col>
      <xdr:colOff>0</xdr:colOff>
      <xdr:row>1</xdr:row>
      <xdr:rowOff>152400</xdr:rowOff>
    </xdr:to>
    <xdr:sp macro="[0]!ExportImplementationSummary" textlink="">
      <xdr:nvSpPr>
        <xdr:cNvPr id="2" name="Rectangle: Rounded Corners 1">
          <a:extLst>
            <a:ext uri="{FF2B5EF4-FFF2-40B4-BE49-F238E27FC236}">
              <a16:creationId xmlns:a16="http://schemas.microsoft.com/office/drawing/2014/main" id="{E1C4C071-A597-4292-BC6C-6C63D3BC801D}"/>
            </a:ext>
          </a:extLst>
        </xdr:cNvPr>
        <xdr:cNvSpPr/>
      </xdr:nvSpPr>
      <xdr:spPr>
        <a:xfrm>
          <a:off x="11201400" y="448086"/>
          <a:ext cx="2143125" cy="323439"/>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Export</a:t>
          </a:r>
          <a:r>
            <a:rPr lang="en-GB" sz="1100" baseline="0">
              <a:solidFill>
                <a:schemeClr val="tx1">
                  <a:lumMod val="65000"/>
                  <a:lumOff val="35000"/>
                </a:schemeClr>
              </a:solidFill>
              <a:latin typeface="Aptos" panose="020B0004020202020204" pitchFamily="34" charset="0"/>
              <a:cs typeface="Segoe UI" panose="020B0502040204020203" pitchFamily="34" charset="0"/>
            </a:rPr>
            <a:t> results</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wsDr>
</file>

<file path=xl/drawings/drawing5.xml><?xml version="1.0" encoding="utf-8"?>
<c:userShapes xmlns:c="http://schemas.openxmlformats.org/drawingml/2006/chart">
  <cdr:relSizeAnchor xmlns:cdr="http://schemas.openxmlformats.org/drawingml/2006/chartDrawing">
    <cdr:from>
      <cdr:x>0.58464</cdr:x>
      <cdr:y>0.66452</cdr:y>
    </cdr:from>
    <cdr:to>
      <cdr:x>0.97217</cdr:x>
      <cdr:y>0.76846</cdr:y>
    </cdr:to>
    <cdr:sp macro="" textlink="'Chart data'!$C$93">
      <cdr:nvSpPr>
        <cdr:cNvPr id="2" name="TextBox 1">
          <a:extLst xmlns:a="http://schemas.openxmlformats.org/drawingml/2006/main">
            <a:ext uri="{FF2B5EF4-FFF2-40B4-BE49-F238E27FC236}">
              <a16:creationId xmlns:a16="http://schemas.microsoft.com/office/drawing/2014/main" id="{C3A72EE8-5010-8762-4204-DB350FADF028}"/>
            </a:ext>
          </a:extLst>
        </cdr:cNvPr>
        <cdr:cNvSpPr txBox="1"/>
      </cdr:nvSpPr>
      <cdr:spPr>
        <a:xfrm xmlns:a="http://schemas.openxmlformats.org/drawingml/2006/main">
          <a:off x="2633971" y="1835563"/>
          <a:ext cx="1745993" cy="287108"/>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04C9F708-E5F7-42EB-9DE2-5B5F01B39E38}" type="TxLink">
            <a:rPr lang="en-US" sz="1050" b="0" i="0" u="none" strike="noStrike" kern="1200">
              <a:solidFill>
                <a:srgbClr val="C00000"/>
              </a:solidFill>
              <a:latin typeface="Aptos Narrow"/>
            </a:rPr>
            <a:pPr/>
            <a:t>60% reference value</a:t>
          </a:fld>
          <a:endParaRPr lang="en-GB" sz="1200" kern="1200">
            <a:solidFill>
              <a:srgbClr val="C00000"/>
            </a:solidFill>
          </a:endParaRPr>
        </a:p>
      </cdr:txBody>
    </cdr:sp>
  </cdr:relSizeAnchor>
</c:userShapes>
</file>

<file path=xl/drawings/drawing6.xml><?xml version="1.0" encoding="utf-8"?>
<c:userShapes xmlns:c="http://schemas.openxmlformats.org/drawingml/2006/chart">
  <cdr:relSizeAnchor xmlns:cdr="http://schemas.openxmlformats.org/drawingml/2006/chartDrawing">
    <cdr:from>
      <cdr:x>0.60838</cdr:x>
      <cdr:y>0.49277</cdr:y>
    </cdr:from>
    <cdr:to>
      <cdr:x>0.86995</cdr:x>
      <cdr:y>0.57284</cdr:y>
    </cdr:to>
    <cdr:sp macro="" textlink="">
      <cdr:nvSpPr>
        <cdr:cNvPr id="3" name="TextBox 9">
          <a:extLst xmlns:a="http://schemas.openxmlformats.org/drawingml/2006/main">
            <a:ext uri="{FF2B5EF4-FFF2-40B4-BE49-F238E27FC236}">
              <a16:creationId xmlns:a16="http://schemas.microsoft.com/office/drawing/2014/main" id="{C9F0644D-3C3E-EE1D-537B-5689D18BE2BC}"/>
            </a:ext>
          </a:extLst>
        </cdr:cNvPr>
        <cdr:cNvSpPr txBox="1"/>
      </cdr:nvSpPr>
      <cdr:spPr>
        <a:xfrm xmlns:a="http://schemas.openxmlformats.org/drawingml/2006/main">
          <a:off x="2839464" y="1426872"/>
          <a:ext cx="1220813" cy="231851"/>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r"/>
          <a:r>
            <a:rPr lang="en-GB" sz="900">
              <a:solidFill>
                <a:schemeClr val="bg1">
                  <a:lumMod val="75000"/>
                </a:schemeClr>
              </a:solidFill>
            </a:rPr>
            <a:t>Annual</a:t>
          </a:r>
          <a:r>
            <a:rPr lang="en-GB" sz="900" baseline="0">
              <a:solidFill>
                <a:schemeClr val="bg1">
                  <a:lumMod val="75000"/>
                </a:schemeClr>
              </a:solidFill>
            </a:rPr>
            <a:t> limit (0.3)</a:t>
          </a:r>
          <a:endParaRPr lang="en-GB" sz="900">
            <a:solidFill>
              <a:schemeClr val="bg1">
                <a:lumMod val="75000"/>
              </a:schemeClr>
            </a:solidFill>
          </a:endParaRPr>
        </a:p>
      </cdr:txBody>
    </cdr:sp>
  </cdr:relSizeAnchor>
  <cdr:relSizeAnchor xmlns:cdr="http://schemas.openxmlformats.org/drawingml/2006/chartDrawing">
    <cdr:from>
      <cdr:x>0.58466</cdr:x>
      <cdr:y>0.42986</cdr:y>
    </cdr:from>
    <cdr:to>
      <cdr:x>0.91246</cdr:x>
      <cdr:y>0.51047</cdr:y>
    </cdr:to>
    <cdr:sp macro="" textlink="">
      <cdr:nvSpPr>
        <cdr:cNvPr id="4" name="TextBox 9">
          <a:extLst xmlns:a="http://schemas.openxmlformats.org/drawingml/2006/main">
            <a:ext uri="{FF2B5EF4-FFF2-40B4-BE49-F238E27FC236}">
              <a16:creationId xmlns:a16="http://schemas.microsoft.com/office/drawing/2014/main" id="{17324A3A-C714-1C4E-FD2A-ED48BFA151DA}"/>
            </a:ext>
          </a:extLst>
        </cdr:cNvPr>
        <cdr:cNvSpPr txBox="1"/>
      </cdr:nvSpPr>
      <cdr:spPr>
        <a:xfrm xmlns:a="http://schemas.openxmlformats.org/drawingml/2006/main">
          <a:off x="2728769" y="1244713"/>
          <a:ext cx="1529924" cy="23341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r"/>
          <a:r>
            <a:rPr lang="en-GB" sz="900">
              <a:solidFill>
                <a:schemeClr val="accent5">
                  <a:lumMod val="60000"/>
                  <a:lumOff val="40000"/>
                </a:schemeClr>
              </a:solidFill>
            </a:rPr>
            <a:t>Cumulative</a:t>
          </a:r>
          <a:r>
            <a:rPr lang="en-GB" sz="900" baseline="0">
              <a:solidFill>
                <a:schemeClr val="accent5">
                  <a:lumMod val="60000"/>
                  <a:lumOff val="40000"/>
                </a:schemeClr>
              </a:solidFill>
            </a:rPr>
            <a:t> limit (0.6)</a:t>
          </a:r>
          <a:endParaRPr lang="en-GB" sz="900">
            <a:solidFill>
              <a:schemeClr val="accent5">
                <a:lumMod val="60000"/>
                <a:lumOff val="40000"/>
              </a:schemeClr>
            </a:solidFill>
          </a:endParaRPr>
        </a:p>
      </cdr:txBody>
    </cdr:sp>
  </cdr:relSizeAnchor>
  <cdr:relSizeAnchor xmlns:cdr="http://schemas.openxmlformats.org/drawingml/2006/chartDrawing">
    <cdr:from>
      <cdr:x>0.00946</cdr:x>
      <cdr:y>0.92105</cdr:y>
    </cdr:from>
    <cdr:to>
      <cdr:x>0.92435</cdr:x>
      <cdr:y>1</cdr:y>
    </cdr:to>
    <cdr:sp macro="" textlink="">
      <cdr:nvSpPr>
        <cdr:cNvPr id="5" name="TextBox 4">
          <a:extLst xmlns:a="http://schemas.openxmlformats.org/drawingml/2006/main">
            <a:ext uri="{FF2B5EF4-FFF2-40B4-BE49-F238E27FC236}">
              <a16:creationId xmlns:a16="http://schemas.microsoft.com/office/drawing/2014/main" id="{A11E6564-DE6B-E9E2-A6F3-5B5734F82D6A}"/>
            </a:ext>
          </a:extLst>
        </cdr:cNvPr>
        <cdr:cNvSpPr txBox="1"/>
      </cdr:nvSpPr>
      <cdr:spPr>
        <a:xfrm xmlns:a="http://schemas.openxmlformats.org/drawingml/2006/main">
          <a:off x="38100" y="2666999"/>
          <a:ext cx="3686175" cy="22860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l"/>
          <a:r>
            <a:rPr lang="en-GB" sz="1000" kern="1200">
              <a:solidFill>
                <a:schemeClr val="bg1">
                  <a:lumMod val="75000"/>
                </a:schemeClr>
              </a:solidFill>
            </a:rPr>
            <a:t>Note: Negative</a:t>
          </a:r>
          <a:r>
            <a:rPr lang="en-GB" sz="1000" kern="1200" baseline="0">
              <a:solidFill>
                <a:schemeClr val="bg1">
                  <a:lumMod val="75000"/>
                </a:schemeClr>
              </a:solidFill>
            </a:rPr>
            <a:t> amounts indicate outperformance</a:t>
          </a:r>
          <a:endParaRPr lang="en-GB" sz="1100" kern="1200">
            <a:solidFill>
              <a:schemeClr val="bg1">
                <a:lumMod val="75000"/>
              </a:schemeClr>
            </a:solidFill>
          </a:endParaRPr>
        </a:p>
      </cdr:txBody>
    </cdr:sp>
  </cdr:relSizeAnchor>
</c:userShapes>
</file>

<file path=xl/drawings/drawing7.xml><?xml version="1.0" encoding="utf-8"?>
<c:userShapes xmlns:c="http://schemas.openxmlformats.org/drawingml/2006/chart">
  <cdr:relSizeAnchor xmlns:cdr="http://schemas.openxmlformats.org/drawingml/2006/chartDrawing">
    <cdr:from>
      <cdr:x>0.62416</cdr:x>
      <cdr:y>0.80724</cdr:y>
    </cdr:from>
    <cdr:to>
      <cdr:x>1</cdr:x>
      <cdr:y>0.88508</cdr:y>
    </cdr:to>
    <cdr:sp macro="" textlink="'Chart data'!$C$83">
      <cdr:nvSpPr>
        <cdr:cNvPr id="2" name="TextBox 1">
          <a:extLst xmlns:a="http://schemas.openxmlformats.org/drawingml/2006/main">
            <a:ext uri="{FF2B5EF4-FFF2-40B4-BE49-F238E27FC236}">
              <a16:creationId xmlns:a16="http://schemas.microsoft.com/office/drawing/2014/main" id="{0F50BACD-8F79-3FFB-A16F-498F4923CFAC}"/>
            </a:ext>
          </a:extLst>
        </cdr:cNvPr>
        <cdr:cNvSpPr txBox="1"/>
      </cdr:nvSpPr>
      <cdr:spPr>
        <a:xfrm xmlns:a="http://schemas.openxmlformats.org/drawingml/2006/main">
          <a:off x="2800454" y="2497371"/>
          <a:ext cx="1686302" cy="24081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F2AFE75-D669-4E3F-B88D-4D25E0380520}" type="TxLink">
            <a:rPr lang="en-US" sz="1100" b="0" i="0" u="none" strike="noStrike" kern="1200">
              <a:solidFill>
                <a:srgbClr val="C00000"/>
              </a:solidFill>
              <a:latin typeface="Aptos Narrow"/>
            </a:rPr>
            <a:pPr/>
            <a:t>3% reference value</a:t>
          </a:fld>
          <a:endParaRPr lang="en-GB" sz="1400" kern="1200">
            <a:solidFill>
              <a:srgbClr val="C00000"/>
            </a:solidFill>
          </a:endParaRPr>
        </a:p>
      </cdr:txBody>
    </cdr:sp>
  </cdr:relSizeAnchor>
  <cdr:relSizeAnchor xmlns:cdr="http://schemas.openxmlformats.org/drawingml/2006/chartDrawing">
    <cdr:from>
      <cdr:x>0.65487</cdr:x>
      <cdr:y>0.11072</cdr:y>
    </cdr:from>
    <cdr:to>
      <cdr:x>0.86032</cdr:x>
      <cdr:y>0.15594</cdr:y>
    </cdr:to>
    <cdr:sp macro="" textlink="">
      <cdr:nvSpPr>
        <cdr:cNvPr id="4" name="TextBox 1">
          <a:extLst xmlns:a="http://schemas.openxmlformats.org/drawingml/2006/main">
            <a:ext uri="{FF2B5EF4-FFF2-40B4-BE49-F238E27FC236}">
              <a16:creationId xmlns:a16="http://schemas.microsoft.com/office/drawing/2014/main" id="{70410695-9306-9FE7-3886-D0C1D377BC46}"/>
            </a:ext>
          </a:extLst>
        </cdr:cNvPr>
        <cdr:cNvSpPr txBox="1"/>
      </cdr:nvSpPr>
      <cdr:spPr>
        <a:xfrm xmlns:a="http://schemas.openxmlformats.org/drawingml/2006/main">
          <a:off x="2932488" y="328893"/>
          <a:ext cx="920003" cy="134323"/>
        </a:xfrm>
        <a:prstGeom xmlns:a="http://schemas.openxmlformats.org/drawingml/2006/main" prst="rect">
          <a:avLst/>
        </a:prstGeom>
        <a:solidFill xmlns:a="http://schemas.openxmlformats.org/drawingml/2006/main">
          <a:schemeClr val="accent5">
            <a:lumMod val="60000"/>
            <a:lumOff val="40000"/>
            <a:alpha val="50000"/>
          </a:schemeClr>
        </a:solidFill>
      </cdr:spPr>
      <cdr:txBody>
        <a:bodyPr xmlns:a="http://schemas.openxmlformats.org/drawingml/2006/main" wrap="square" rtlCol="0" anchor="ctr" anchorCtr="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GB" sz="800" kern="1200">
              <a:solidFill>
                <a:schemeClr val="bg2">
                  <a:lumMod val="25000"/>
                </a:schemeClr>
              </a:solidFill>
            </a:rPr>
            <a:t>Endorsed path</a:t>
          </a:r>
        </a:p>
      </cdr:txBody>
    </cdr:sp>
  </cdr:relSizeAnchor>
</c:userShapes>
</file>

<file path=xl/drawings/drawing8.xml><?xml version="1.0" encoding="utf-8"?>
<c:userShapes xmlns:c="http://schemas.openxmlformats.org/drawingml/2006/chart">
  <cdr:relSizeAnchor xmlns:cdr="http://schemas.openxmlformats.org/drawingml/2006/chartDrawing">
    <cdr:from>
      <cdr:x>0.22601</cdr:x>
      <cdr:y>0.91364</cdr:y>
    </cdr:from>
    <cdr:to>
      <cdr:x>0.98877</cdr:x>
      <cdr:y>1</cdr:y>
    </cdr:to>
    <cdr:sp macro="" textlink="">
      <cdr:nvSpPr>
        <cdr:cNvPr id="3" name="TextBox 1">
          <a:extLst xmlns:a="http://schemas.openxmlformats.org/drawingml/2006/main">
            <a:ext uri="{FF2B5EF4-FFF2-40B4-BE49-F238E27FC236}">
              <a16:creationId xmlns:a16="http://schemas.microsoft.com/office/drawing/2014/main" id="{384D3EF5-6DE4-9A89-284A-8BE6C8F4DEEF}"/>
            </a:ext>
          </a:extLst>
        </cdr:cNvPr>
        <cdr:cNvSpPr txBox="1"/>
      </cdr:nvSpPr>
      <cdr:spPr>
        <a:xfrm xmlns:a="http://schemas.openxmlformats.org/drawingml/2006/main">
          <a:off x="1025712" y="2518587"/>
          <a:ext cx="3461697" cy="23806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r"/>
          <a:r>
            <a:rPr lang="en-GB" sz="1000" kern="1200">
              <a:solidFill>
                <a:schemeClr val="bg1">
                  <a:lumMod val="75000"/>
                </a:schemeClr>
              </a:solidFill>
            </a:rPr>
            <a:t>Note: Should be linear or at least front-loaded</a:t>
          </a:r>
          <a:endParaRPr lang="en-GB" sz="1100" kern="1200">
            <a:solidFill>
              <a:schemeClr val="bg1">
                <a:lumMod val="75000"/>
              </a:schemeClr>
            </a:solidFill>
          </a:endParaRPr>
        </a:p>
      </cdr:txBody>
    </cdr:sp>
  </cdr:relSizeAnchor>
</c:userShapes>
</file>

<file path=xl/drawings/drawing9.xml><?xml version="1.0" encoding="utf-8"?>
<xdr:wsDr xmlns:xdr="http://schemas.openxmlformats.org/drawingml/2006/spreadsheetDrawing" xmlns:a="http://schemas.openxmlformats.org/drawingml/2006/main">
  <xdr:twoCellAnchor>
    <xdr:from>
      <xdr:col>19</xdr:col>
      <xdr:colOff>447676</xdr:colOff>
      <xdr:row>1</xdr:row>
      <xdr:rowOff>123826</xdr:rowOff>
    </xdr:from>
    <xdr:to>
      <xdr:col>25</xdr:col>
      <xdr:colOff>285750</xdr:colOff>
      <xdr:row>2</xdr:row>
      <xdr:rowOff>123825</xdr:rowOff>
    </xdr:to>
    <xdr:sp macro="[0]!ImportMediumTermPlan" textlink="">
      <xdr:nvSpPr>
        <xdr:cNvPr id="2" name="Rectangle: Rounded Corners 1">
          <a:extLst>
            <a:ext uri="{FF2B5EF4-FFF2-40B4-BE49-F238E27FC236}">
              <a16:creationId xmlns:a16="http://schemas.microsoft.com/office/drawing/2014/main" id="{7666E042-B1BC-4718-9C80-C5ECB88F5E63}"/>
            </a:ext>
          </a:extLst>
        </xdr:cNvPr>
        <xdr:cNvSpPr/>
      </xdr:nvSpPr>
      <xdr:spPr>
        <a:xfrm>
          <a:off x="15878176" y="419101"/>
          <a:ext cx="3495674" cy="361949"/>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Import MTP from file</a:t>
          </a:r>
        </a:p>
      </xdr:txBody>
    </xdr:sp>
    <xdr:clientData/>
  </xdr:twoCellAnchor>
  <xdr:twoCellAnchor>
    <xdr:from>
      <xdr:col>19</xdr:col>
      <xdr:colOff>447676</xdr:colOff>
      <xdr:row>3</xdr:row>
      <xdr:rowOff>66676</xdr:rowOff>
    </xdr:from>
    <xdr:to>
      <xdr:col>25</xdr:col>
      <xdr:colOff>285750</xdr:colOff>
      <xdr:row>5</xdr:row>
      <xdr:rowOff>57150</xdr:rowOff>
    </xdr:to>
    <xdr:sp macro="[0]!ImportPriorGuidance" textlink="">
      <xdr:nvSpPr>
        <xdr:cNvPr id="3" name="Rectangle: Rounded Corners 2">
          <a:extLst>
            <a:ext uri="{FF2B5EF4-FFF2-40B4-BE49-F238E27FC236}">
              <a16:creationId xmlns:a16="http://schemas.microsoft.com/office/drawing/2014/main" id="{A9D5A147-7582-4AEF-A95E-61E03E04A114}"/>
            </a:ext>
          </a:extLst>
        </xdr:cNvPr>
        <xdr:cNvSpPr/>
      </xdr:nvSpPr>
      <xdr:spPr>
        <a:xfrm>
          <a:off x="15878176" y="895351"/>
          <a:ext cx="3495674" cy="333374"/>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Import prior guidance from file</a:t>
          </a:r>
        </a:p>
      </xdr:txBody>
    </xdr:sp>
    <xdr:clientData/>
  </xdr:twoCellAnchor>
  <xdr:twoCellAnchor>
    <xdr:from>
      <xdr:col>19</xdr:col>
      <xdr:colOff>438248</xdr:colOff>
      <xdr:row>6</xdr:row>
      <xdr:rowOff>9525</xdr:rowOff>
    </xdr:from>
    <xdr:to>
      <xdr:col>25</xdr:col>
      <xdr:colOff>276248</xdr:colOff>
      <xdr:row>8</xdr:row>
      <xdr:rowOff>1425</xdr:rowOff>
    </xdr:to>
    <xdr:sp macro="[0]!ClearPlanAndPrior" textlink="">
      <xdr:nvSpPr>
        <xdr:cNvPr id="4" name="Rectangle: Rounded Corners 3">
          <a:extLst>
            <a:ext uri="{FF2B5EF4-FFF2-40B4-BE49-F238E27FC236}">
              <a16:creationId xmlns:a16="http://schemas.microsoft.com/office/drawing/2014/main" id="{64F813E3-7C3E-45C1-B2FC-3B262C9DBC73}"/>
            </a:ext>
          </a:extLst>
        </xdr:cNvPr>
        <xdr:cNvSpPr/>
      </xdr:nvSpPr>
      <xdr:spPr>
        <a:xfrm>
          <a:off x="15868748" y="1352550"/>
          <a:ext cx="3495600" cy="334800"/>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Clear MTP and prior guidance</a:t>
          </a:r>
        </a:p>
      </xdr:txBody>
    </xdr:sp>
    <xdr:clientData/>
  </xdr:twoCellAnchor>
  <xdr:twoCellAnchor>
    <xdr:from>
      <xdr:col>26</xdr:col>
      <xdr:colOff>0</xdr:colOff>
      <xdr:row>20</xdr:row>
      <xdr:rowOff>1</xdr:rowOff>
    </xdr:from>
    <xdr:to>
      <xdr:col>29</xdr:col>
      <xdr:colOff>1408173</xdr:colOff>
      <xdr:row>36</xdr:row>
      <xdr:rowOff>125803</xdr:rowOff>
    </xdr:to>
    <xdr:sp macro="" textlink="">
      <xdr:nvSpPr>
        <xdr:cNvPr id="5" name="TextBox 4">
          <a:extLst>
            <a:ext uri="{FF2B5EF4-FFF2-40B4-BE49-F238E27FC236}">
              <a16:creationId xmlns:a16="http://schemas.microsoft.com/office/drawing/2014/main" id="{62D0ED43-E44C-449B-8DFF-62F0FF64A295}"/>
            </a:ext>
          </a:extLst>
        </xdr:cNvPr>
        <xdr:cNvSpPr txBox="1"/>
      </xdr:nvSpPr>
      <xdr:spPr>
        <a:xfrm>
          <a:off x="19723939" y="3899859"/>
          <a:ext cx="6700838" cy="3028232"/>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600"/>
            </a:spcAft>
          </a:pPr>
          <a:r>
            <a:rPr lang="en-GB" sz="1400" b="0">
              <a:latin typeface="Aptos" panose="020B0004020202020204" pitchFamily="34" charset="0"/>
            </a:rPr>
            <a:t>Instructions</a:t>
          </a:r>
        </a:p>
        <a:p>
          <a:pPr>
            <a:spcAft>
              <a:spcPts val="600"/>
            </a:spcAft>
          </a:pPr>
          <a:r>
            <a:rPr lang="en-GB" sz="1100">
              <a:latin typeface="Aptos" panose="020B0004020202020204" pitchFamily="34" charset="0"/>
            </a:rPr>
            <a:t>In this step,</a:t>
          </a:r>
          <a:r>
            <a:rPr lang="en-GB" sz="1100" baseline="0">
              <a:latin typeface="Aptos" panose="020B0004020202020204" pitchFamily="34" charset="0"/>
            </a:rPr>
            <a:t> you'll enter or import a proposed (or already endorsed) Medium-Term Fiscal Structural Plan (</a:t>
          </a:r>
          <a:r>
            <a:rPr lang="en-GB" sz="1100">
              <a:latin typeface="Aptos" panose="020B0004020202020204" pitchFamily="34" charset="0"/>
            </a:rPr>
            <a:t>MTP) to evaluate against Regulation</a:t>
          </a:r>
          <a:r>
            <a:rPr lang="en-GB" sz="1100" baseline="0">
              <a:latin typeface="Aptos" panose="020B0004020202020204" pitchFamily="34" charset="0"/>
            </a:rPr>
            <a:t> (EU) 2024/1263 and the Commission's prior guidance</a:t>
          </a:r>
          <a:r>
            <a:rPr lang="en-GB" sz="1100">
              <a:latin typeface="Aptos" panose="020B0004020202020204" pitchFamily="34" charset="0"/>
            </a:rPr>
            <a:t>. </a:t>
          </a:r>
        </a:p>
        <a:p>
          <a:pPr marL="0" marR="0" lvl="0" indent="0" defTabSz="914400" eaLnBrk="1" fontAlgn="auto" latinLnBrk="0" hangingPunct="1">
            <a:lnSpc>
              <a:spcPct val="100000"/>
            </a:lnSpc>
            <a:spcBef>
              <a:spcPts val="0"/>
            </a:spcBef>
            <a:spcAft>
              <a:spcPts val="600"/>
            </a:spcAft>
            <a:buClrTx/>
            <a:buSzTx/>
            <a:buFontTx/>
            <a:buNone/>
            <a:tabLst/>
            <a:defRPr/>
          </a:pPr>
          <a:r>
            <a:rPr lang="en-GB" sz="1100">
              <a:latin typeface="Aptos" panose="020B0004020202020204" pitchFamily="34" charset="0"/>
            </a:rPr>
            <a:t>After importing outturn</a:t>
          </a:r>
          <a:r>
            <a:rPr lang="en-GB" sz="1100" baseline="0">
              <a:latin typeface="Aptos" panose="020B0004020202020204" pitchFamily="34" charset="0"/>
            </a:rPr>
            <a:t> data in Step 2, the tool has determined whether your country received a reference trajectory or technical information and has adjusted the required data accordingly (highlighted required cells in </a:t>
          </a:r>
          <a:r>
            <a:rPr lang="en-GB" sz="1100" baseline="0">
              <a:solidFill>
                <a:schemeClr val="accent6">
                  <a:lumMod val="75000"/>
                </a:schemeClr>
              </a:solidFill>
              <a:latin typeface="Aptos" panose="020B0004020202020204" pitchFamily="34" charset="0"/>
            </a:rPr>
            <a:t>light green</a:t>
          </a:r>
          <a:r>
            <a:rPr lang="en-GB" sz="1100" baseline="0">
              <a:latin typeface="Aptos" panose="020B0004020202020204" pitchFamily="34" charset="0"/>
            </a:rPr>
            <a:t>). </a:t>
          </a:r>
        </a:p>
        <a:p>
          <a:pPr marL="0" marR="0" lvl="0" indent="0" defTabSz="914400" eaLnBrk="1" fontAlgn="auto" latinLnBrk="0" hangingPunct="1">
            <a:lnSpc>
              <a:spcPct val="100000"/>
            </a:lnSpc>
            <a:spcBef>
              <a:spcPts val="0"/>
            </a:spcBef>
            <a:spcAft>
              <a:spcPts val="600"/>
            </a:spcAft>
            <a:buClrTx/>
            <a:buSzTx/>
            <a:buFontTx/>
            <a:buNone/>
            <a:tabLst/>
            <a:defRPr/>
          </a:pPr>
          <a:r>
            <a:rPr lang="en-GB" sz="1100" baseline="0">
              <a:latin typeface="Aptos" panose="020B0004020202020204" pitchFamily="34" charset="0"/>
            </a:rPr>
            <a:t>You can fill these cells out manually or use the "Import MTP from file" and "Import prior guidance from file" tools.  </a:t>
          </a:r>
          <a:endParaRPr lang="en-GB" sz="1100">
            <a:latin typeface="Aptos" panose="020B0004020202020204" pitchFamily="34" charset="0"/>
          </a:endParaRPr>
        </a:p>
        <a:p>
          <a:pPr marL="0" marR="0" lvl="0" indent="0" defTabSz="914400" eaLnBrk="1" fontAlgn="auto" latinLnBrk="0" hangingPunct="1">
            <a:lnSpc>
              <a:spcPct val="100000"/>
            </a:lnSpc>
            <a:spcBef>
              <a:spcPts val="0"/>
            </a:spcBef>
            <a:spcAft>
              <a:spcPts val="600"/>
            </a:spcAft>
            <a:buClrTx/>
            <a:buSzTx/>
            <a:buFontTx/>
            <a:buNone/>
            <a:tabLst/>
            <a:defRPr/>
          </a:pPr>
          <a:r>
            <a:rPr lang="en-GB" sz="1100">
              <a:latin typeface="Aptos" panose="020B0004020202020204" pitchFamily="34" charset="0"/>
            </a:rPr>
            <a:t>To use the import tools, y</a:t>
          </a:r>
          <a:r>
            <a:rPr lang="en-GB" sz="1100" baseline="0">
              <a:latin typeface="Aptos" panose="020B0004020202020204" pitchFamily="34" charset="0"/>
            </a:rPr>
            <a:t>ou must first confirm the location of the required tables in the external workbook in </a:t>
          </a:r>
          <a:r>
            <a:rPr lang="en-GB" sz="1100" baseline="0">
              <a:solidFill>
                <a:schemeClr val="accent2">
                  <a:lumMod val="75000"/>
                </a:schemeClr>
              </a:solidFill>
              <a:latin typeface="Aptos" panose="020B0004020202020204" pitchFamily="34" charset="0"/>
            </a:rPr>
            <a:t>AB3 to AB13</a:t>
          </a:r>
          <a:r>
            <a:rPr lang="en-GB" sz="1100" baseline="0">
              <a:solidFill>
                <a:sysClr val="windowText" lastClr="000000"/>
              </a:solidFill>
              <a:latin typeface="Aptos" panose="020B0004020202020204" pitchFamily="34" charset="0"/>
            </a:rPr>
            <a:t> and </a:t>
          </a:r>
          <a:r>
            <a:rPr lang="en-GB" sz="1100" baseline="0">
              <a:solidFill>
                <a:schemeClr val="accent2">
                  <a:lumMod val="75000"/>
                </a:schemeClr>
              </a:solidFill>
              <a:latin typeface="Aptos" panose="020B0004020202020204" pitchFamily="34" charset="0"/>
            </a:rPr>
            <a:t>AE3 to AE12</a:t>
          </a:r>
          <a:r>
            <a:rPr lang="en-GB" sz="1100" baseline="0">
              <a:latin typeface="Aptos" panose="020B0004020202020204" pitchFamily="34" charset="0"/>
            </a:rPr>
            <a:t>. </a:t>
          </a:r>
          <a:r>
            <a:rPr lang="en-GB" sz="1100">
              <a:solidFill>
                <a:schemeClr val="dk1"/>
              </a:solidFill>
              <a:effectLst/>
              <a:latin typeface="+mn-lt"/>
              <a:ea typeface="+mn-ea"/>
              <a:cs typeface="+mn-cs"/>
            </a:rPr>
            <a:t>This includes the worksheets where the</a:t>
          </a:r>
          <a:r>
            <a:rPr lang="en-GB" sz="1100" baseline="0">
              <a:solidFill>
                <a:schemeClr val="dk1"/>
              </a:solidFill>
              <a:effectLst/>
              <a:latin typeface="+mn-lt"/>
              <a:ea typeface="+mn-ea"/>
              <a:cs typeface="+mn-cs"/>
            </a:rPr>
            <a:t> "Budgetary developments" and "Macroeconomic developments" sit in the MTP and Tables 7a, 7b, 7c, and 7d and other long-term projections under the planned fiscal path of the Commission's prior guidance. Then click the buttons and check that all the required information has been imported correctly. </a:t>
          </a:r>
        </a:p>
        <a:p>
          <a:pPr marL="0" marR="0" lvl="0" indent="0" defTabSz="914400" eaLnBrk="1" fontAlgn="auto" latinLnBrk="0" hangingPunct="1">
            <a:lnSpc>
              <a:spcPct val="100000"/>
            </a:lnSpc>
            <a:spcBef>
              <a:spcPts val="0"/>
            </a:spcBef>
            <a:spcAft>
              <a:spcPts val="600"/>
            </a:spcAft>
            <a:buClrTx/>
            <a:buSzTx/>
            <a:buFontTx/>
            <a:buNone/>
            <a:tabLst/>
            <a:defRPr/>
          </a:pPr>
          <a:endParaRPr lang="en-GB" sz="110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600"/>
            </a:spcAft>
            <a:buClrTx/>
            <a:buSzTx/>
            <a:buFontTx/>
            <a:buNone/>
            <a:tabLst/>
            <a:defRPr/>
          </a:pPr>
          <a:endParaRPr lang="en-GB">
            <a:effectLst/>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8</xdr:col>
      <xdr:colOff>0</xdr:colOff>
      <xdr:row>3</xdr:row>
      <xdr:rowOff>1</xdr:rowOff>
    </xdr:from>
    <xdr:to>
      <xdr:col>16</xdr:col>
      <xdr:colOff>19050</xdr:colOff>
      <xdr:row>11</xdr:row>
      <xdr:rowOff>85725</xdr:rowOff>
    </xdr:to>
    <xdr:sp macro="" textlink="">
      <xdr:nvSpPr>
        <xdr:cNvPr id="2" name="TextBox 1">
          <a:extLst>
            <a:ext uri="{FF2B5EF4-FFF2-40B4-BE49-F238E27FC236}">
              <a16:creationId xmlns:a16="http://schemas.microsoft.com/office/drawing/2014/main" id="{2F221D81-5D37-4C3E-903F-A0DC7EF7F73A}"/>
            </a:ext>
          </a:extLst>
        </xdr:cNvPr>
        <xdr:cNvSpPr txBox="1"/>
      </xdr:nvSpPr>
      <xdr:spPr>
        <a:xfrm>
          <a:off x="19812000" y="590551"/>
          <a:ext cx="4895850" cy="1533524"/>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600"/>
            </a:spcAft>
          </a:pPr>
          <a:r>
            <a:rPr lang="en-GB" sz="1400" b="0">
              <a:latin typeface="Aptos" panose="020B0004020202020204" pitchFamily="34" charset="0"/>
            </a:rPr>
            <a:t>Instructions</a:t>
          </a:r>
        </a:p>
        <a:p>
          <a:pPr>
            <a:spcAft>
              <a:spcPts val="600"/>
            </a:spcAft>
          </a:pPr>
          <a:r>
            <a:rPr lang="en-GB" sz="1100">
              <a:latin typeface="Aptos" panose="020B0004020202020204" pitchFamily="34" charset="0"/>
            </a:rPr>
            <a:t>In this step,</a:t>
          </a:r>
          <a:r>
            <a:rPr lang="en-GB" sz="1100" baseline="0">
              <a:latin typeface="Aptos" panose="020B0004020202020204" pitchFamily="34" charset="0"/>
            </a:rPr>
            <a:t> you'll fill out the questionnarie of required IFI scrutiny and confirm whether the assumptions and necessary information in the MTP are satisfactory</a:t>
          </a:r>
          <a:br>
            <a:rPr lang="en-GB" sz="1100" baseline="0">
              <a:latin typeface="Aptos" panose="020B0004020202020204" pitchFamily="34" charset="0"/>
            </a:rPr>
          </a:br>
          <a:br>
            <a:rPr lang="en-GB" sz="1100" baseline="0">
              <a:latin typeface="Aptos" panose="020B0004020202020204" pitchFamily="34" charset="0"/>
            </a:rPr>
          </a:br>
          <a:r>
            <a:rPr lang="en-GB" sz="1100" baseline="0">
              <a:latin typeface="Aptos" panose="020B0004020202020204" pitchFamily="34" charset="0"/>
            </a:rPr>
            <a:t>The information required by Article 13(g)(iii) is only necessary if the country has requested a 7-year adjustment period. </a:t>
          </a:r>
        </a:p>
        <a:p>
          <a:pPr>
            <a:spcAft>
              <a:spcPts val="600"/>
            </a:spcAft>
          </a:pPr>
          <a:endParaRPr lang="en-GB" sz="1100">
            <a:solidFill>
              <a:srgbClr val="0033CC"/>
            </a:solidFill>
            <a:latin typeface="Aptos" panose="020B0004020202020204" pitchFamily="34" charset="0"/>
            <a:ea typeface="+mn-ea"/>
            <a:cs typeface="+mn-cs"/>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11</xdr:col>
      <xdr:colOff>85627</xdr:colOff>
      <xdr:row>0</xdr:row>
      <xdr:rowOff>524286</xdr:rowOff>
    </xdr:from>
    <xdr:to>
      <xdr:col>14</xdr:col>
      <xdr:colOff>0</xdr:colOff>
      <xdr:row>2</xdr:row>
      <xdr:rowOff>0</xdr:rowOff>
    </xdr:to>
    <xdr:sp macro="[0]!ExportMTPSummary" textlink="">
      <xdr:nvSpPr>
        <xdr:cNvPr id="2" name="Rectangle: Rounded Corners 1">
          <a:extLst>
            <a:ext uri="{FF2B5EF4-FFF2-40B4-BE49-F238E27FC236}">
              <a16:creationId xmlns:a16="http://schemas.microsoft.com/office/drawing/2014/main" id="{ACC66CCC-B9F4-48AB-8E8B-DE1DBA51736B}"/>
            </a:ext>
          </a:extLst>
        </xdr:cNvPr>
        <xdr:cNvSpPr/>
      </xdr:nvSpPr>
      <xdr:spPr>
        <a:xfrm>
          <a:off x="11829952" y="524286"/>
          <a:ext cx="1857473" cy="323439"/>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Export</a:t>
          </a:r>
          <a:r>
            <a:rPr lang="en-GB" sz="1100" baseline="0">
              <a:solidFill>
                <a:schemeClr val="tx1">
                  <a:lumMod val="65000"/>
                  <a:lumOff val="35000"/>
                </a:schemeClr>
              </a:solidFill>
              <a:latin typeface="Aptos" panose="020B0004020202020204" pitchFamily="34" charset="0"/>
              <a:cs typeface="Segoe UI" panose="020B0502040204020203" pitchFamily="34" charset="0"/>
            </a:rPr>
            <a:t> results</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4</xdr:col>
      <xdr:colOff>419100</xdr:colOff>
      <xdr:row>0</xdr:row>
      <xdr:rowOff>352425</xdr:rowOff>
    </xdr:from>
    <xdr:to>
      <xdr:col>9</xdr:col>
      <xdr:colOff>590648</xdr:colOff>
      <xdr:row>2</xdr:row>
      <xdr:rowOff>94839</xdr:rowOff>
    </xdr:to>
    <xdr:sp macro="[0]!ClearCustomScenarioTool" textlink="">
      <xdr:nvSpPr>
        <xdr:cNvPr id="2" name="Rectangle: Rounded Corners 1">
          <a:extLst>
            <a:ext uri="{FF2B5EF4-FFF2-40B4-BE49-F238E27FC236}">
              <a16:creationId xmlns:a16="http://schemas.microsoft.com/office/drawing/2014/main" id="{3D67C32B-D0B0-4F71-ADF8-1414641A7ED2}"/>
            </a:ext>
          </a:extLst>
        </xdr:cNvPr>
        <xdr:cNvSpPr/>
      </xdr:nvSpPr>
      <xdr:spPr>
        <a:xfrm>
          <a:off x="6467475" y="352425"/>
          <a:ext cx="3219548" cy="323439"/>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Clear custom scenario</a:t>
          </a:r>
        </a:p>
      </xdr:txBody>
    </xdr:sp>
    <xdr:clientData/>
  </xdr:twoCellAnchor>
  <xdr:twoCellAnchor>
    <xdr:from>
      <xdr:col>10</xdr:col>
      <xdr:colOff>212481</xdr:colOff>
      <xdr:row>0</xdr:row>
      <xdr:rowOff>344365</xdr:rowOff>
    </xdr:from>
    <xdr:to>
      <xdr:col>15</xdr:col>
      <xdr:colOff>384029</xdr:colOff>
      <xdr:row>2</xdr:row>
      <xdr:rowOff>86046</xdr:rowOff>
    </xdr:to>
    <xdr:sp macro="[0]!ImportOutlookToCustomScenarioTool" textlink="">
      <xdr:nvSpPr>
        <xdr:cNvPr id="3" name="Rectangle: Rounded Corners 2">
          <a:extLst>
            <a:ext uri="{FF2B5EF4-FFF2-40B4-BE49-F238E27FC236}">
              <a16:creationId xmlns:a16="http://schemas.microsoft.com/office/drawing/2014/main" id="{B0647DA5-6937-480C-A8DB-75514C25C123}"/>
            </a:ext>
          </a:extLst>
        </xdr:cNvPr>
        <xdr:cNvSpPr/>
      </xdr:nvSpPr>
      <xdr:spPr>
        <a:xfrm>
          <a:off x="9906000" y="344365"/>
          <a:ext cx="3212221" cy="320508"/>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Import plan from Step 3 (IMPL)</a:t>
          </a:r>
        </a:p>
      </xdr:txBody>
    </xdr:sp>
    <xdr:clientData/>
  </xdr:twoCellAnchor>
  <xdr:twoCellAnchor>
    <xdr:from>
      <xdr:col>9</xdr:col>
      <xdr:colOff>200024</xdr:colOff>
      <xdr:row>4</xdr:row>
      <xdr:rowOff>68138</xdr:rowOff>
    </xdr:from>
    <xdr:to>
      <xdr:col>16</xdr:col>
      <xdr:colOff>305166</xdr:colOff>
      <xdr:row>24</xdr:row>
      <xdr:rowOff>139211</xdr:rowOff>
    </xdr:to>
    <xdr:sp macro="" textlink="">
      <xdr:nvSpPr>
        <xdr:cNvPr id="4" name="TextBox 3">
          <a:extLst>
            <a:ext uri="{FF2B5EF4-FFF2-40B4-BE49-F238E27FC236}">
              <a16:creationId xmlns:a16="http://schemas.microsoft.com/office/drawing/2014/main" id="{AD816909-C2CF-4790-A096-45149247D6B9}"/>
            </a:ext>
          </a:extLst>
        </xdr:cNvPr>
        <xdr:cNvSpPr txBox="1"/>
      </xdr:nvSpPr>
      <xdr:spPr>
        <a:xfrm>
          <a:off x="9285409" y="1108561"/>
          <a:ext cx="4362084" cy="3441458"/>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1200"/>
            </a:spcAft>
          </a:pPr>
          <a:r>
            <a:rPr lang="en-GB" sz="1400" b="0">
              <a:latin typeface="Aptos" panose="020B0004020202020204" pitchFamily="34" charset="0"/>
            </a:rPr>
            <a:t>Instructions</a:t>
          </a:r>
          <a:endParaRPr lang="en-GB" b="0">
            <a:latin typeface="Aptos" panose="020B0004020202020204" pitchFamily="34" charset="0"/>
          </a:endParaRPr>
        </a:p>
        <a:p>
          <a:pPr>
            <a:spcAft>
              <a:spcPts val="600"/>
            </a:spcAft>
          </a:pPr>
          <a:r>
            <a:rPr lang="en-GB"/>
            <a:t>T</a:t>
          </a:r>
          <a:r>
            <a:rPr lang="en-GB" baseline="0"/>
            <a:t>his worksheet can be used to experiment with c</a:t>
          </a:r>
          <a:r>
            <a:rPr lang="en-GB"/>
            <a:t>ustom</a:t>
          </a:r>
          <a:r>
            <a:rPr lang="en-GB" baseline="0"/>
            <a:t> scenarios. The scenarios are then imported to 'Step 3 (IMPL) - Enter outlook' using "Import plan from custom scenario" tool.  </a:t>
          </a:r>
        </a:p>
        <a:p>
          <a:pPr>
            <a:spcAft>
              <a:spcPts val="600"/>
            </a:spcAft>
          </a:pPr>
          <a:r>
            <a:rPr lang="en-GB" baseline="0"/>
            <a:t>As a base to start, you can click on "Import plan from Step 3 (IMPL)" button to bring in data from Step 3 after importing a plan from file. </a:t>
          </a:r>
          <a:endParaRPr lang="en-GB"/>
        </a:p>
        <a:p>
          <a:pPr>
            <a:spcAft>
              <a:spcPts val="600"/>
            </a:spcAft>
          </a:pPr>
          <a:r>
            <a:rPr lang="en-GB"/>
            <a:t>Numbers in </a:t>
          </a:r>
          <a:r>
            <a:rPr lang="en-GB">
              <a:solidFill>
                <a:srgbClr val="007635"/>
              </a:solidFill>
            </a:rPr>
            <a:t>green</a:t>
          </a:r>
          <a:r>
            <a:rPr lang="en-GB" baseline="0">
              <a:solidFill>
                <a:sysClr val="windowText" lastClr="000000"/>
              </a:solidFill>
            </a:rPr>
            <a:t> may be changed</a:t>
          </a:r>
          <a:r>
            <a:rPr lang="en-GB"/>
            <a:t>. </a:t>
          </a:r>
        </a:p>
        <a:p>
          <a:pPr>
            <a:spcAft>
              <a:spcPts val="600"/>
            </a:spcAft>
          </a:pPr>
          <a:r>
            <a:rPr lang="en-GB">
              <a:solidFill>
                <a:sysClr val="windowText" lastClr="000000"/>
              </a:solidFill>
              <a:latin typeface="Aptos" panose="020B0004020202020204" pitchFamily="34" charset="0"/>
            </a:rPr>
            <a:t>The assessment horizon</a:t>
          </a:r>
          <a:r>
            <a:rPr lang="en-GB" baseline="0">
              <a:solidFill>
                <a:sysClr val="windowText" lastClr="000000"/>
              </a:solidFill>
              <a:latin typeface="Aptos" panose="020B0004020202020204" pitchFamily="34" charset="0"/>
            </a:rPr>
            <a:t> is set in 'Step 3 (IMPL) - Enter outlook'.</a:t>
          </a:r>
        </a:p>
        <a:p>
          <a:pPr>
            <a:spcAft>
              <a:spcPts val="600"/>
            </a:spcAft>
          </a:pPr>
          <a:r>
            <a:rPr lang="en-GB" sz="1050" baseline="0">
              <a:solidFill>
                <a:schemeClr val="accent2">
                  <a:lumMod val="75000"/>
                </a:schemeClr>
              </a:solidFill>
              <a:latin typeface="Aptos" panose="020B0004020202020204" pitchFamily="34" charset="0"/>
            </a:rPr>
            <a:t>Note: </a:t>
          </a:r>
          <a:r>
            <a:rPr lang="en-GB" sz="1050" baseline="0">
              <a:solidFill>
                <a:sysClr val="windowText" lastClr="000000"/>
              </a:solidFill>
              <a:latin typeface="Aptos" panose="020B0004020202020204" pitchFamily="34" charset="0"/>
            </a:rPr>
            <a:t>Changes to budgetary developments (particularly expenditure) are not reflected in the macroeconomic developments table. For macro-fiscal consistent outlooks that preserve accounting identities, users should prepare separate alternative scenarios externally and import into outlook using "Import plan from file" in Step 3 (IMPLT) - Enter outlook.  </a:t>
          </a:r>
          <a:endParaRPr lang="en-GB" sz="1050">
            <a:solidFill>
              <a:sysClr val="windowText" lastClr="000000"/>
            </a:solidFill>
            <a:latin typeface="Aptos" panose="020B0004020202020204" pitchFamily="34" charset="0"/>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476250</xdr:colOff>
      <xdr:row>1</xdr:row>
      <xdr:rowOff>28576</xdr:rowOff>
    </xdr:from>
    <xdr:to>
      <xdr:col>11</xdr:col>
      <xdr:colOff>133350</xdr:colOff>
      <xdr:row>8</xdr:row>
      <xdr:rowOff>38100</xdr:rowOff>
    </xdr:to>
    <xdr:sp macro="" textlink="">
      <xdr:nvSpPr>
        <xdr:cNvPr id="2" name="TextBox 1">
          <a:extLst>
            <a:ext uri="{FF2B5EF4-FFF2-40B4-BE49-F238E27FC236}">
              <a16:creationId xmlns:a16="http://schemas.microsoft.com/office/drawing/2014/main" id="{E67C31F3-D0C5-E53E-BE0B-01F6F5EBDF15}"/>
            </a:ext>
          </a:extLst>
        </xdr:cNvPr>
        <xdr:cNvSpPr txBox="1"/>
      </xdr:nvSpPr>
      <xdr:spPr>
        <a:xfrm>
          <a:off x="476250" y="200026"/>
          <a:ext cx="6010275" cy="10382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00" b="0" i="0">
              <a:solidFill>
                <a:schemeClr val="dk1"/>
              </a:solidFill>
              <a:effectLst/>
              <a:latin typeface="Aptos Narrow" panose="020B0004020202020204" pitchFamily="34" charset="0"/>
              <a:ea typeface="+mn-ea"/>
              <a:cs typeface="+mn-cs"/>
            </a:rPr>
            <a:t>This template was</a:t>
          </a:r>
          <a:r>
            <a:rPr lang="en-GB" sz="1000" b="0" i="0" baseline="0">
              <a:solidFill>
                <a:schemeClr val="dk1"/>
              </a:solidFill>
              <a:effectLst/>
              <a:latin typeface="Aptos Narrow" panose="020B0004020202020204" pitchFamily="34" charset="0"/>
              <a:ea typeface="+mn-ea"/>
              <a:cs typeface="+mn-cs"/>
            </a:rPr>
            <a:t> delivered as part of REFORM/2023/OP/0010 on Strengthening the capacity of Independent Fiscal Institutions (IFIs), specifically </a:t>
          </a:r>
          <a:r>
            <a:rPr lang="en-GB" sz="1000" b="0" i="0">
              <a:solidFill>
                <a:schemeClr val="dk1"/>
              </a:solidFill>
              <a:effectLst/>
              <a:latin typeface="Aptos Narrow" panose="020B0004020202020204" pitchFamily="34" charset="0"/>
              <a:ea typeface="+mn-ea"/>
              <a:cs typeface="+mn-cs"/>
            </a:rPr>
            <a:t>Deliverable 3B: Draft template for compliance with fiscal rules. The aim of the deliverable was to provide a draft template for detecting and/or measuring compliance with fiscal rules, incorporating most of the fiscal requirements under the new EU fiscal governance framework and in particular, those that can be quantified such as the calculation of the annual expenditure ceilings related to the multiannual net primary expenditure. </a:t>
          </a:r>
        </a:p>
        <a:p>
          <a:endParaRPr lang="en-GB">
            <a:effectLst/>
            <a:latin typeface="Aptos Narrow" panose="020B0004020202020204" pitchFamily="34" charset="0"/>
          </a:endParaRPr>
        </a:p>
        <a:p>
          <a:endParaRPr lang="en-GB"/>
        </a:p>
      </xdr:txBody>
    </xdr:sp>
    <xdr:clientData/>
  </xdr:twoCellAnchor>
  <xdr:twoCellAnchor>
    <xdr:from>
      <xdr:col>1</xdr:col>
      <xdr:colOff>0</xdr:colOff>
      <xdr:row>25</xdr:row>
      <xdr:rowOff>0</xdr:rowOff>
    </xdr:from>
    <xdr:to>
      <xdr:col>16</xdr:col>
      <xdr:colOff>345177</xdr:colOff>
      <xdr:row>63</xdr:row>
      <xdr:rowOff>149087</xdr:rowOff>
    </xdr:to>
    <xdr:sp macro="" textlink="">
      <xdr:nvSpPr>
        <xdr:cNvPr id="3" name="TextBox 2">
          <a:extLst>
            <a:ext uri="{FF2B5EF4-FFF2-40B4-BE49-F238E27FC236}">
              <a16:creationId xmlns:a16="http://schemas.microsoft.com/office/drawing/2014/main" id="{88B76F4D-D279-47AD-8A9E-6A514B3DB6AD}"/>
            </a:ext>
          </a:extLst>
        </xdr:cNvPr>
        <xdr:cNvSpPr txBox="1"/>
      </xdr:nvSpPr>
      <xdr:spPr>
        <a:xfrm>
          <a:off x="356152" y="4348370"/>
          <a:ext cx="9265547" cy="675860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DEFINITIONS </a:t>
          </a:r>
        </a:p>
        <a:p>
          <a:endParaRPr lang="en-GB" sz="1100"/>
        </a:p>
        <a:p>
          <a:r>
            <a:rPr lang="en-GB" sz="1100" b="1"/>
            <a:t>‘No-fiscal-policy-change’ baseline  </a:t>
          </a:r>
        </a:p>
        <a:p>
          <a:r>
            <a:rPr lang="en-GB" sz="1100"/>
            <a:t>The baseline scenario underlying the medium-term fiscal-structural plan, assuming no new discretionary fiscal policy measures. It reflects a constant structural primary balance (net of changes in ageing-related expenditure) from the first full year of the plan’s implementation, based on the Commission’s underlying macroeconomic and budgetary assumptions transmitted as part of its prior guidance.</a:t>
          </a:r>
        </a:p>
        <a:p>
          <a:endParaRPr lang="en-GB" sz="1100"/>
        </a:p>
        <a:p>
          <a:r>
            <a:rPr lang="en-GB" sz="1100" b="1"/>
            <a:t>Medium term  </a:t>
          </a:r>
        </a:p>
        <a:p>
          <a:r>
            <a:rPr lang="en-GB" sz="1100"/>
            <a:t>Not defined by a fixed number of years in Regulation (EU) 2024/1263. For purposes</a:t>
          </a:r>
          <a:r>
            <a:rPr lang="en-GB" sz="1100" baseline="0"/>
            <a:t> of monitoring the new fiscal rules the medium-term is explicitly defined in Commission Recommendations to the Council as the ten years following the last year of the 4- or 7-year adjustment period (confirmed with ECFIN). </a:t>
          </a:r>
        </a:p>
        <a:p>
          <a:endParaRPr lang="en-GB" sz="1100"/>
        </a:p>
        <a:p>
          <a:r>
            <a:rPr lang="en-GB" sz="1100" b="1"/>
            <a:t>MTP (Medium-Term Fiscal-Structural Plan)</a:t>
          </a:r>
          <a:r>
            <a:rPr lang="en-GB" sz="1100"/>
            <a:t>  </a:t>
          </a:r>
        </a:p>
        <a:p>
          <a:r>
            <a:rPr lang="en-GB" sz="1100"/>
            <a:t>The document submitted by a Member State setting out its fiscal, reform, and investment commitments over a period of four or five years, depending on the length of the national legislative term, in accordance with Regulation (EU) 2024/1263.</a:t>
          </a:r>
        </a:p>
        <a:p>
          <a:endParaRPr lang="en-GB" sz="1100"/>
        </a:p>
        <a:p>
          <a:r>
            <a:rPr lang="en-GB" sz="1100" b="1"/>
            <a:t>Net expenditure  </a:t>
          </a:r>
        </a:p>
        <a:p>
          <a:r>
            <a:rPr lang="en-GB" sz="1100"/>
            <a:t>Net nationally financed primary expenditure, defined as general government expenditure excluding interest expenditure, discretionary revenue measures, expenditure on Union programmes fully matched by Union funds, national expenditure on co-financing of Union-funded programmes, cyclical elements of unemployment benefit expenditure, and one-off or other temporary measures. </a:t>
          </a:r>
        </a:p>
        <a:p>
          <a:endParaRPr lang="en-GB" sz="1100"/>
        </a:p>
        <a:p>
          <a:r>
            <a:rPr lang="en-GB" sz="1100" b="1"/>
            <a:t>One-off revenue items  </a:t>
          </a:r>
        </a:p>
        <a:p>
          <a:r>
            <a:rPr lang="en-GB" sz="1100"/>
            <a:t>Temporary or exceptional revenue items that do not have a lasting impact on the structural fiscal position (such as privatisations, extraordinary dividends, tax amnesties, or court settlements) and are therefore excluded from net expenditure.</a:t>
          </a:r>
        </a:p>
        <a:p>
          <a:endParaRPr lang="en-GB" sz="1100"/>
        </a:p>
        <a:p>
          <a:r>
            <a:rPr lang="en-GB" sz="1100" b="1"/>
            <a:t>Outturn data through  </a:t>
          </a:r>
        </a:p>
        <a:p>
          <a:r>
            <a:rPr lang="en-GB" sz="1100"/>
            <a:t>The latest year for which final or validated outturn data are available from national statistical institutes and Eurostat. For</a:t>
          </a:r>
          <a:r>
            <a:rPr lang="en-GB" sz="1100" baseline="0"/>
            <a:t> purposes of the MTP, the </a:t>
          </a:r>
          <a:r>
            <a:rPr lang="en-GB" sz="1100">
              <a:solidFill>
                <a:schemeClr val="dk1"/>
              </a:solidFill>
              <a:effectLst/>
              <a:latin typeface="+mn-lt"/>
              <a:ea typeface="+mn-ea"/>
              <a:cs typeface="+mn-cs"/>
            </a:rPr>
            <a:t>base year (T-X). </a:t>
          </a:r>
          <a:endParaRPr lang="en-GB" sz="1100"/>
        </a:p>
        <a:p>
          <a:endParaRPr lang="en-GB" sz="1100"/>
        </a:p>
        <a:p>
          <a:r>
            <a:rPr lang="en-GB" sz="1100" b="1"/>
            <a:t>p.m. (pro memoria)  </a:t>
          </a:r>
        </a:p>
        <a:p>
          <a:r>
            <a:rPr lang="en-GB" sz="1100"/>
            <a:t>Items shown for information purposes only and not included in totals or calculations.</a:t>
          </a:r>
        </a:p>
        <a:p>
          <a:endParaRPr lang="en-GB" sz="1100"/>
        </a:p>
        <a:p>
          <a:r>
            <a:rPr lang="en-GB" sz="1100" b="1"/>
            <a:t>TFEU (Treaty on the Functioning of the European Union)  </a:t>
          </a:r>
        </a:p>
        <a:p>
          <a:r>
            <a:rPr lang="en-GB" sz="1100"/>
            <a:t>The treaty forming the legal basis of the European Union’s economic and fiscal governance framework.</a:t>
          </a:r>
        </a:p>
        <a:p>
          <a:endParaRPr lang="en-GB" sz="1100"/>
        </a:p>
        <a:p>
          <a:r>
            <a:rPr lang="en-GB" sz="1100" b="1"/>
            <a:t>Government, deficit, investment, debt  </a:t>
          </a:r>
        </a:p>
        <a:p>
          <a:r>
            <a:rPr lang="en-GB" sz="1100"/>
            <a:t>Defined in Protocol No. 12 to the TFEU and the European System of Accounts (ESA): general government; net borrowing (deficit); gross fixed capital formation (investment); and consolidated gross government debt at nominal value.</a:t>
          </a:r>
        </a:p>
        <a:p>
          <a:endParaRPr lang="en-GB"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9.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9.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865EAB-4A2F-4668-8598-6BCDFF50D449}">
  <sheetPr codeName="Sheet2">
    <tabColor theme="8" tint="-0.499984740745262"/>
    <pageSetUpPr fitToPage="1"/>
  </sheetPr>
  <dimension ref="A1:K36"/>
  <sheetViews>
    <sheetView showGridLines="0" zoomScaleNormal="100" workbookViewId="0">
      <selection activeCell="H6" sqref="H6"/>
    </sheetView>
  </sheetViews>
  <sheetFormatPr defaultRowHeight="13.15" x14ac:dyDescent="0.4"/>
  <cols>
    <col min="1" max="1" width="48.28515625" customWidth="1"/>
    <col min="2" max="2" width="29.42578125" customWidth="1"/>
    <col min="3" max="11" width="8" customWidth="1"/>
    <col min="13" max="14" width="8" customWidth="1"/>
    <col min="19" max="19" width="15.42578125" bestFit="1" customWidth="1"/>
    <col min="20" max="20" width="12.5703125" bestFit="1" customWidth="1"/>
    <col min="21" max="21" width="11.7109375" bestFit="1" customWidth="1"/>
  </cols>
  <sheetData>
    <row r="1" spans="1:11" ht="29.45" customHeight="1" x14ac:dyDescent="0.55000000000000004">
      <c r="A1" s="50" t="s">
        <v>24</v>
      </c>
    </row>
    <row r="2" spans="1:11" ht="13.5" customHeight="1" x14ac:dyDescent="0.4">
      <c r="A2" s="157" t="s">
        <v>215</v>
      </c>
      <c r="B2" s="284" t="s">
        <v>947</v>
      </c>
    </row>
    <row r="3" spans="1:11" ht="13.5" customHeight="1" x14ac:dyDescent="0.4">
      <c r="A3" s="157" t="s">
        <v>305</v>
      </c>
      <c r="B3" s="284" t="s">
        <v>948</v>
      </c>
    </row>
    <row r="5" spans="1:11" ht="18" x14ac:dyDescent="0.55000000000000004">
      <c r="A5" s="50" t="s">
        <v>744</v>
      </c>
      <c r="K5" s="38"/>
    </row>
    <row r="6" spans="1:11" ht="13.5" customHeight="1" x14ac:dyDescent="0.4">
      <c r="A6" s="157" t="s">
        <v>743</v>
      </c>
      <c r="B6" s="285" t="s">
        <v>741</v>
      </c>
      <c r="K6" s="38"/>
    </row>
    <row r="7" spans="1:11" ht="13.5" customHeight="1" x14ac:dyDescent="0.4">
      <c r="A7" s="159" t="s">
        <v>745</v>
      </c>
      <c r="B7" s="286" t="s">
        <v>950</v>
      </c>
      <c r="K7" s="38"/>
    </row>
    <row r="8" spans="1:11" ht="13.5" customHeight="1" x14ac:dyDescent="0.4">
      <c r="A8" s="159"/>
      <c r="B8" s="5"/>
      <c r="K8" s="38"/>
    </row>
    <row r="9" spans="1:11" ht="13.5" customHeight="1" x14ac:dyDescent="0.55000000000000004">
      <c r="A9" s="50" t="s">
        <v>737</v>
      </c>
      <c r="K9" s="38"/>
    </row>
    <row r="10" spans="1:11" ht="13.5" customHeight="1" x14ac:dyDescent="0.4">
      <c r="A10" s="159" t="s">
        <v>261</v>
      </c>
      <c r="B10" s="185">
        <v>2023</v>
      </c>
      <c r="K10" s="38"/>
    </row>
    <row r="11" spans="1:11" ht="13.5" customHeight="1" x14ac:dyDescent="0.4">
      <c r="A11" s="159" t="s">
        <v>260</v>
      </c>
      <c r="B11" s="185">
        <v>2024</v>
      </c>
      <c r="K11" s="38"/>
    </row>
    <row r="12" spans="1:11" ht="13.5" customHeight="1" x14ac:dyDescent="0.4">
      <c r="A12" s="159" t="s">
        <v>262</v>
      </c>
      <c r="B12" s="185">
        <v>4</v>
      </c>
      <c r="K12" s="38"/>
    </row>
    <row r="13" spans="1:11" ht="13.5" customHeight="1" x14ac:dyDescent="0.4">
      <c r="A13" t="s">
        <v>254</v>
      </c>
      <c r="B13" s="185">
        <v>4</v>
      </c>
      <c r="K13" s="38"/>
    </row>
    <row r="14" spans="1:11" ht="13.5" customHeight="1" x14ac:dyDescent="0.4">
      <c r="A14" s="159" t="s">
        <v>304</v>
      </c>
      <c r="B14" s="186" t="b">
        <v>1</v>
      </c>
      <c r="K14" s="38"/>
    </row>
    <row r="15" spans="1:11" ht="13.5" customHeight="1" x14ac:dyDescent="0.4">
      <c r="A15" s="159" t="s">
        <v>327</v>
      </c>
      <c r="B15" s="186" t="b">
        <v>1</v>
      </c>
      <c r="K15" s="38"/>
    </row>
    <row r="16" spans="1:11" ht="13.5" customHeight="1" x14ac:dyDescent="0.4">
      <c r="A16" t="s">
        <v>736</v>
      </c>
      <c r="B16" s="265" t="s">
        <v>949</v>
      </c>
      <c r="K16" s="38"/>
    </row>
    <row r="17" spans="1:11" x14ac:dyDescent="0.4">
      <c r="K17" s="38"/>
    </row>
    <row r="18" spans="1:11" ht="18" x14ac:dyDescent="0.55000000000000004">
      <c r="A18" s="50" t="s">
        <v>740</v>
      </c>
      <c r="K18" s="38"/>
    </row>
    <row r="19" spans="1:11" ht="13.5" customHeight="1" x14ac:dyDescent="0.4">
      <c r="A19" s="85"/>
      <c r="B19" s="44" cm="1">
        <f t="array" ref="B19:F19">_xlfn.SEQUENCE(1, MTP_EndYear-MTP_BaseYear, MTP_BaseYear+1)</f>
        <v>2024</v>
      </c>
      <c r="C19" s="44">
        <v>2025</v>
      </c>
      <c r="D19" s="44">
        <v>2026</v>
      </c>
      <c r="E19" s="44">
        <v>2027</v>
      </c>
      <c r="F19" s="44">
        <v>2028</v>
      </c>
    </row>
    <row r="20" spans="1:11" ht="13.5" customHeight="1" x14ac:dyDescent="0.4">
      <c r="A20" s="86"/>
      <c r="B20" s="43" t="str" cm="1">
        <f t="array" ref="B20:F20">CHOOSE(SIGN(_xlfn.ANCHORARRAY(B19) - MTP_YearT) + 2, "T-1", "T", "T+" &amp; (_xlfn.ANCHORARRAY(B19) - MTP_YearT))</f>
        <v>T</v>
      </c>
      <c r="C20" s="43" t="str">
        <v>T+1</v>
      </c>
      <c r="D20" s="47" t="str">
        <v>T+2</v>
      </c>
      <c r="E20" s="47" t="str">
        <v>T+3</v>
      </c>
      <c r="F20" s="47" t="str">
        <v>T+4</v>
      </c>
      <c r="G20" s="47"/>
      <c r="H20" s="47"/>
      <c r="J20" s="47"/>
    </row>
    <row r="21" spans="1:11" ht="13.5" customHeight="1" x14ac:dyDescent="0.4">
      <c r="A21" s="85" t="s">
        <v>823</v>
      </c>
      <c r="B21" s="87" t="b">
        <v>0</v>
      </c>
      <c r="C21" s="87" t="b">
        <v>0</v>
      </c>
      <c r="D21" s="87" t="b">
        <v>0</v>
      </c>
      <c r="E21" s="87" t="b">
        <v>0</v>
      </c>
      <c r="F21" s="87" t="b">
        <v>0</v>
      </c>
      <c r="G21" s="87" t="b">
        <v>0</v>
      </c>
      <c r="H21" s="87" t="b">
        <v>0</v>
      </c>
      <c r="I21" s="71" t="b">
        <v>0</v>
      </c>
      <c r="J21" s="71" t="b">
        <v>0</v>
      </c>
    </row>
    <row r="22" spans="1:11" ht="13.5" customHeight="1" x14ac:dyDescent="0.4">
      <c r="A22" t="s">
        <v>701</v>
      </c>
      <c r="B22" s="87" t="e">
        <v>#N/A</v>
      </c>
      <c r="C22" s="87" t="e">
        <v>#N/A</v>
      </c>
      <c r="D22" s="87" t="e">
        <v>#N/A</v>
      </c>
      <c r="E22" s="87" t="e">
        <v>#N/A</v>
      </c>
      <c r="F22" s="87" t="e">
        <v>#N/A</v>
      </c>
      <c r="G22" s="87" t="e">
        <v>#N/A</v>
      </c>
      <c r="H22" s="87" t="e">
        <v>#N/A</v>
      </c>
      <c r="I22" s="71" t="e">
        <v>#N/A</v>
      </c>
      <c r="J22" s="71" t="e">
        <v>#N/A</v>
      </c>
    </row>
    <row r="23" spans="1:11" ht="13.5" customHeight="1" x14ac:dyDescent="0.4">
      <c r="A23" t="s">
        <v>642</v>
      </c>
      <c r="B23" s="87" t="e">
        <v>#N/A</v>
      </c>
      <c r="C23" s="87" t="e">
        <v>#N/A</v>
      </c>
      <c r="D23" s="87" t="e">
        <v>#N/A</v>
      </c>
      <c r="E23" s="87" t="e">
        <v>#N/A</v>
      </c>
      <c r="F23" s="87" t="e">
        <v>#N/A</v>
      </c>
      <c r="G23" s="87" t="e">
        <v>#N/A</v>
      </c>
      <c r="H23" s="87" t="e">
        <v>#N/A</v>
      </c>
      <c r="I23" s="71" t="e">
        <v>#N/A</v>
      </c>
      <c r="J23" s="71" t="e">
        <v>#N/A</v>
      </c>
    </row>
    <row r="24" spans="1:11" ht="13.5" customHeight="1" x14ac:dyDescent="0.4">
      <c r="A24" s="86" t="s">
        <v>951</v>
      </c>
      <c r="B24" s="87"/>
      <c r="C24" s="87" t="e">
        <v>#N/A</v>
      </c>
      <c r="D24" s="87" t="e">
        <v>#N/A</v>
      </c>
      <c r="E24" s="87" t="e">
        <v>#N/A</v>
      </c>
      <c r="F24" s="87" t="e">
        <v>#N/A</v>
      </c>
      <c r="G24" s="87" t="e">
        <v>#N/A</v>
      </c>
      <c r="H24" s="87" t="e">
        <v>#N/A</v>
      </c>
      <c r="I24" s="71" t="e">
        <v>#N/A</v>
      </c>
      <c r="J24" s="71" t="e">
        <v>#N/A</v>
      </c>
    </row>
    <row r="25" spans="1:11" ht="13.5" customHeight="1" x14ac:dyDescent="0.4">
      <c r="B25" s="87"/>
      <c r="G25" s="87"/>
      <c r="H25" s="87"/>
      <c r="I25" s="71"/>
      <c r="J25" s="71"/>
    </row>
    <row r="26" spans="1:11" ht="13.5" customHeight="1" x14ac:dyDescent="0.4">
      <c r="A26" t="s">
        <v>933</v>
      </c>
      <c r="B26" s="266" t="s">
        <v>953</v>
      </c>
      <c r="J26" s="71"/>
    </row>
    <row r="27" spans="1:11" ht="13.5" customHeight="1" x14ac:dyDescent="0.4">
      <c r="A27" t="s">
        <v>935</v>
      </c>
      <c r="B27" s="266" t="e">
        <v>#N/A</v>
      </c>
      <c r="J27" s="71"/>
    </row>
    <row r="28" spans="1:11" ht="13.5" customHeight="1" x14ac:dyDescent="0.4"/>
    <row r="29" spans="1:11" ht="13.5" customHeight="1" x14ac:dyDescent="0.55000000000000004">
      <c r="A29" s="50" t="s">
        <v>738</v>
      </c>
    </row>
    <row r="30" spans="1:11" ht="13.5" customHeight="1" x14ac:dyDescent="0.4">
      <c r="A30" s="157" t="s">
        <v>367</v>
      </c>
      <c r="B30" s="52" t="b">
        <v>0</v>
      </c>
    </row>
    <row r="31" spans="1:11" ht="13.5" customHeight="1" x14ac:dyDescent="0.4">
      <c r="A31" s="157" t="s">
        <v>370</v>
      </c>
      <c r="B31" s="52" t="e">
        <v>#N/A</v>
      </c>
    </row>
    <row r="32" spans="1:11" ht="13.5" customHeight="1" x14ac:dyDescent="0.4">
      <c r="A32" s="157" t="s">
        <v>366</v>
      </c>
      <c r="B32" s="52" t="b">
        <v>0</v>
      </c>
    </row>
    <row r="33" spans="1:8" ht="13.5" customHeight="1" x14ac:dyDescent="0.4">
      <c r="A33" s="157" t="s">
        <v>369</v>
      </c>
      <c r="B33" s="52" t="e">
        <v>#N/A</v>
      </c>
    </row>
    <row r="34" spans="1:8" ht="13.5" customHeight="1" x14ac:dyDescent="0.4"/>
    <row r="35" spans="1:8" ht="13.5" customHeight="1" x14ac:dyDescent="0.4"/>
    <row r="36" spans="1:8" ht="18" x14ac:dyDescent="0.55000000000000004">
      <c r="H36" s="50"/>
    </row>
  </sheetData>
  <dataConsolidate/>
  <phoneticPr fontId="43" type="noConversion"/>
  <conditionalFormatting sqref="B19:H19">
    <cfRule type="expression" dxfId="216" priority="9">
      <formula>B19&lt;&gt;""</formula>
    </cfRule>
  </conditionalFormatting>
  <conditionalFormatting sqref="B20:H20">
    <cfRule type="expression" dxfId="215" priority="8">
      <formula>B19&lt;&gt;""</formula>
    </cfRule>
  </conditionalFormatting>
  <conditionalFormatting sqref="B21:H23">
    <cfRule type="expression" dxfId="214" priority="7">
      <formula>B$19&lt;&gt;""</formula>
    </cfRule>
  </conditionalFormatting>
  <conditionalFormatting sqref="B24:H24 B25">
    <cfRule type="expression" dxfId="213" priority="6">
      <formula>B19&lt;&gt;""</formula>
    </cfRule>
  </conditionalFormatting>
  <pageMargins left="0.7" right="0.7" top="0.75" bottom="0.75" header="0.3" footer="0.3"/>
  <pageSetup paperSize="9" scale="73" orientation="landscape" r:id="rId1"/>
  <drawing r:id="rId2"/>
  <legacyDrawing r:id="rId3"/>
  <extLst>
    <ext xmlns:x14="http://schemas.microsoft.com/office/spreadsheetml/2009/9/main" uri="{CCE6A557-97BC-4b89-ADB6-D9C93CAAB3DF}">
      <x14:dataValidations xmlns:xm="http://schemas.microsoft.com/office/excel/2006/main" count="11">
        <x14:dataValidation type="list" allowBlank="1" showInputMessage="1" showErrorMessage="1" xr:uid="{4063DD47-253F-4570-96F7-A406EF578100}">
          <x14:formula1>
            <xm:f>Validation!$F$3:$F$4</xm:f>
          </x14:formula1>
          <xm:sqref>B30 B32 B21:H21 B14:B15</xm:sqref>
        </x14:dataValidation>
        <x14:dataValidation type="list" allowBlank="1" showInputMessage="1" showErrorMessage="1" xr:uid="{719D65C8-FE6D-49A8-9FDB-36ACB4D5499D}">
          <x14:formula1>
            <xm:f>Validation!$G$3:$G$4</xm:f>
          </x14:formula1>
          <xm:sqref>B6</xm:sqref>
        </x14:dataValidation>
        <x14:dataValidation type="list" allowBlank="1" showInputMessage="1" showErrorMessage="1" xr:uid="{784558B0-C07D-470B-AD54-CCF5D3A57AA3}">
          <x14:formula1>
            <xm:f>Validation!$A$4:$A$32</xm:f>
          </x14:formula1>
          <xm:sqref>B31 B33</xm:sqref>
        </x14:dataValidation>
        <x14:dataValidation type="list" allowBlank="1" showInputMessage="1" showErrorMessage="1" xr:uid="{B6259728-4AA8-4330-B1EE-7B65D39C721C}">
          <x14:formula1>
            <xm:f>Validation!$K$3:$K$30</xm:f>
          </x14:formula1>
          <xm:sqref>B2</xm:sqref>
        </x14:dataValidation>
        <x14:dataValidation type="list" allowBlank="1" showInputMessage="1" showErrorMessage="1" xr:uid="{713B6A27-143F-4DB2-9B70-D9AD4D994E5C}">
          <x14:formula1>
            <xm:f>Validation!$A$4:$A$31</xm:f>
          </x14:formula1>
          <xm:sqref>B31 B11</xm:sqref>
        </x14:dataValidation>
        <x14:dataValidation type="list" allowBlank="1" showInputMessage="1" showErrorMessage="1" xr:uid="{08C01445-8373-41C5-B39B-3524AEAE41C8}">
          <x14:formula1>
            <xm:f>Validation!$J$3:$J$5</xm:f>
          </x14:formula1>
          <xm:sqref>B23:H23</xm:sqref>
        </x14:dataValidation>
        <x14:dataValidation type="list" allowBlank="1" showInputMessage="1" showErrorMessage="1" xr:uid="{8697FFC1-76F7-4B45-BD20-8465F301EDFE}">
          <x14:formula1>
            <xm:f>Validation!$I$3:$I$6</xm:f>
          </x14:formula1>
          <xm:sqref>B22:H22</xm:sqref>
        </x14:dataValidation>
        <x14:dataValidation type="list" allowBlank="1" showInputMessage="1" showErrorMessage="1" xr:uid="{414610F3-EEFC-4688-A2D4-63E1DEE92F35}">
          <x14:formula1>
            <xm:f>Validation!$A$3:$A$32</xm:f>
          </x14:formula1>
          <xm:sqref>B10</xm:sqref>
        </x14:dataValidation>
        <x14:dataValidation type="list" allowBlank="1" showInputMessage="1" showErrorMessage="1" xr:uid="{6BF57C4E-3C0A-49E7-85E5-5AAA5EB6A32E}">
          <x14:formula1>
            <xm:f>Validation!$C$3:$C$4</xm:f>
          </x14:formula1>
          <xm:sqref>B13</xm:sqref>
        </x14:dataValidation>
        <x14:dataValidation type="list" allowBlank="1" showInputMessage="1" showErrorMessage="1" xr:uid="{928CA9E6-032F-418D-890F-0AA1ED5A018B}">
          <x14:formula1>
            <xm:f>Validation!$B$3:$B$5</xm:f>
          </x14:formula1>
          <xm:sqref>B12</xm:sqref>
        </x14:dataValidation>
        <x14:dataValidation type="list" allowBlank="1" showInputMessage="1" showErrorMessage="1" xr:uid="{6B3991E8-9E7F-4EEC-B66C-A1A9D743878C}">
          <x14:formula1>
            <xm:f>Validation!$M$3:$M$50</xm:f>
          </x14:formula1>
          <xm:sqref>B3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F20F6A-54E0-4C71-9023-311C05A391C9}">
  <sheetPr codeName="Sheet4">
    <tabColor theme="8" tint="-0.499984740745262"/>
    <pageSetUpPr fitToPage="1"/>
  </sheetPr>
  <dimension ref="A1:FM211"/>
  <sheetViews>
    <sheetView showGridLines="0" tabSelected="1" zoomScaleNormal="100" workbookViewId="0"/>
  </sheetViews>
  <sheetFormatPr defaultRowHeight="13.15" outlineLevelRow="1" x14ac:dyDescent="0.4"/>
  <cols>
    <col min="1" max="1" width="8" customWidth="1"/>
    <col min="2" max="2" width="43.140625" customWidth="1"/>
    <col min="3" max="3" width="15.42578125" customWidth="1"/>
    <col min="4" max="20" width="9" customWidth="1"/>
    <col min="21" max="21" width="40.140625" customWidth="1"/>
    <col min="22" max="33" width="9" customWidth="1"/>
  </cols>
  <sheetData>
    <row r="1" spans="1:34" ht="23.25" x14ac:dyDescent="0.7">
      <c r="B1" s="13" t="s">
        <v>284</v>
      </c>
    </row>
    <row r="2" spans="1:34" x14ac:dyDescent="0.4">
      <c r="D2" s="76" t="s">
        <v>814</v>
      </c>
      <c r="E2" s="183">
        <v>2025</v>
      </c>
    </row>
    <row r="3" spans="1:34" ht="15.75" x14ac:dyDescent="0.5">
      <c r="B3" s="149"/>
      <c r="R3" s="79" t="s">
        <v>965</v>
      </c>
    </row>
    <row r="4" spans="1:34" ht="14.65" customHeight="1" x14ac:dyDescent="0.7">
      <c r="A4" s="13"/>
      <c r="B4" s="39" t="s">
        <v>251</v>
      </c>
      <c r="C4" s="40"/>
      <c r="D4" s="40"/>
      <c r="E4" s="44" cm="1">
        <f t="array" ref="E4:G4">_xlfn.SEQUENCE(1, OutturnThrough-MTP_BaseYear+1, MTP_BaseYear)</f>
        <v>2023</v>
      </c>
      <c r="F4" s="44">
        <v>2024</v>
      </c>
      <c r="G4" s="44">
        <v>2025</v>
      </c>
      <c r="H4" s="44"/>
      <c r="I4" s="44"/>
      <c r="J4" s="44"/>
      <c r="K4" s="44"/>
      <c r="L4" s="44"/>
      <c r="M4" s="44"/>
      <c r="N4" s="44"/>
      <c r="O4" s="44"/>
      <c r="P4" s="44"/>
      <c r="Q4" s="44"/>
      <c r="R4" s="39"/>
      <c r="S4" s="39" t="s">
        <v>251</v>
      </c>
      <c r="T4" s="40"/>
      <c r="U4" s="40"/>
      <c r="V4" s="44" cm="1">
        <f t="array" ref="V4:X4">_xlfn.SEQUENCE(1, OutturnThrough-MTP_BaseYear+1, MTP_BaseYear)</f>
        <v>2023</v>
      </c>
      <c r="W4" s="44">
        <v>2024</v>
      </c>
      <c r="X4" s="44">
        <v>2025</v>
      </c>
      <c r="Y4" s="44"/>
      <c r="Z4" s="44"/>
    </row>
    <row r="5" spans="1:34" ht="14.65" customHeight="1" x14ac:dyDescent="0.7">
      <c r="A5" s="13"/>
      <c r="B5" s="41" t="s">
        <v>274</v>
      </c>
      <c r="C5" s="42"/>
      <c r="D5" s="42"/>
      <c r="E5" s="47" t="str" cm="1">
        <f t="array" ref="E5:G5">IF(
  AND(_xlfn.ANCHORARRAY(E4) &gt;= MTP_YearT-1,_xlfn.ANCHORARRAY( E4) &lt;= MTP_EndYear),
  "T" &amp; TEXT(_xlfn.ANCHORARRAY(E4) - MTP_YearT, "+0;-0;"),
  ""
)</f>
        <v>T-1</v>
      </c>
      <c r="F5" s="47" t="str">
        <v>T</v>
      </c>
      <c r="G5" s="47" t="str">
        <v>T+1</v>
      </c>
      <c r="H5" s="47"/>
      <c r="I5" s="47"/>
      <c r="J5" s="47"/>
      <c r="K5" s="47"/>
      <c r="L5" s="47"/>
      <c r="M5" s="47"/>
      <c r="N5" s="47"/>
      <c r="O5" s="47"/>
      <c r="P5" s="47"/>
      <c r="Q5" s="47"/>
      <c r="R5" s="41" t="s">
        <v>927</v>
      </c>
      <c r="S5" s="41" t="s">
        <v>274</v>
      </c>
      <c r="T5" s="42"/>
      <c r="U5" s="42"/>
      <c r="V5" s="47" t="str" cm="1">
        <f t="array" ref="V5:X5">IF(
  AND(_xlfn.ANCHORARRAY(V4) &gt;= MTP_YearT-1,_xlfn.ANCHORARRAY( V4) &lt;= MTP_EndYear),
  "T" &amp; TEXT(_xlfn.ANCHORARRAY(V4) - MTP_YearT, "+0;-0;"),
  ""
)</f>
        <v>T-1</v>
      </c>
      <c r="W5" s="47" t="str">
        <v>T</v>
      </c>
      <c r="X5" s="47" t="str">
        <v>T+1</v>
      </c>
      <c r="Y5" s="47"/>
      <c r="Z5" s="47"/>
    </row>
    <row r="6" spans="1:34" ht="14.65" customHeight="1" x14ac:dyDescent="0.7">
      <c r="A6" s="13"/>
      <c r="B6" s="59" t="s">
        <v>257</v>
      </c>
      <c r="C6" s="44" t="s">
        <v>6</v>
      </c>
      <c r="D6" s="44"/>
      <c r="E6" s="140" cm="1">
        <f t="array" ref="E6:G6">INDEX(184:184, _xlfn.XMATCH(INDEX(_xlfn.ANCHORARRAY(E4),1,1), 33:33, 0) + _xlfn.SEQUENCE(1, COLUMNS(_xlfn.ANCHORARRAY(E4))) - 1)/1000</f>
        <v>0</v>
      </c>
      <c r="F6" s="140">
        <v>0</v>
      </c>
      <c r="G6" s="180">
        <v>0</v>
      </c>
      <c r="H6" s="180"/>
      <c r="I6" s="180"/>
      <c r="J6" s="180"/>
      <c r="K6" s="180"/>
      <c r="L6" s="180"/>
      <c r="M6" s="180"/>
      <c r="N6" s="180"/>
      <c r="O6" s="180"/>
      <c r="P6" s="180"/>
      <c r="Q6" s="180"/>
      <c r="R6" s="257" t="b">
        <v>0</v>
      </c>
      <c r="S6" s="255" t="s">
        <v>276</v>
      </c>
      <c r="T6" s="180"/>
      <c r="U6" s="180"/>
      <c r="V6" s="180"/>
      <c r="W6" s="180"/>
      <c r="X6" s="180"/>
      <c r="Y6" s="180"/>
      <c r="Z6" s="180"/>
    </row>
    <row r="7" spans="1:34" ht="14.65" customHeight="1" x14ac:dyDescent="0.7">
      <c r="A7" s="13"/>
      <c r="B7" s="80" t="s">
        <v>25</v>
      </c>
      <c r="C7" s="44" t="s">
        <v>6</v>
      </c>
      <c r="D7" s="44"/>
      <c r="E7" s="141" cm="1">
        <f t="array" ref="E7:G7">INDEX(175:175, _xlfn.XMATCH(INDEX(_xlfn.ANCHORARRAY(E4),1,1), 33:33, 0) + _xlfn.SEQUENCE(1, COLUMNS(_xlfn.ANCHORARRAY(E4))) - 1)/1000</f>
        <v>0</v>
      </c>
      <c r="F7" s="141">
        <v>0</v>
      </c>
      <c r="G7" s="181">
        <v>0</v>
      </c>
      <c r="H7" s="181"/>
      <c r="I7" s="181"/>
      <c r="J7" s="181"/>
      <c r="K7" s="181"/>
      <c r="L7" s="181"/>
      <c r="M7" s="181"/>
      <c r="N7" s="181"/>
      <c r="O7" s="181"/>
      <c r="P7" s="181"/>
      <c r="Q7" s="181"/>
      <c r="R7" s="257" t="b">
        <v>0</v>
      </c>
      <c r="S7" s="255" t="s">
        <v>277</v>
      </c>
      <c r="T7" s="180"/>
      <c r="U7" s="180"/>
      <c r="V7" s="180"/>
      <c r="W7" s="180"/>
      <c r="X7" s="180"/>
      <c r="Y7" s="180"/>
      <c r="Z7" s="180"/>
    </row>
    <row r="8" spans="1:34" ht="14.65" customHeight="1" x14ac:dyDescent="0.7">
      <c r="A8" s="13"/>
      <c r="B8" s="80" t="s">
        <v>276</v>
      </c>
      <c r="C8" s="44" t="s">
        <v>6</v>
      </c>
      <c r="D8" s="44"/>
      <c r="E8" s="141" cm="1">
        <f t="array" ref="E8:G8">IF(R6,
    INDEX(6:6, COLUMN(V1) + _xlfn.SEQUENCE(1, COLUMNS(_xlfn.ANCHORARRAY(E4))) - 1),
    INDEX(188:188, _xlfn.XMATCH(INDEX(_xlfn.ANCHORARRAY(E4),1,1), 33:33, 0) + _xlfn.SEQUENCE(1, COLUMNS(_xlfn.ANCHORARRAY(E4))) - 1) / 1000
)</f>
        <v>0</v>
      </c>
      <c r="F8" s="141">
        <v>0</v>
      </c>
      <c r="G8" s="181">
        <v>0</v>
      </c>
      <c r="H8" s="181"/>
      <c r="I8" s="181"/>
      <c r="J8" s="181"/>
      <c r="K8" s="181"/>
      <c r="L8" s="181"/>
      <c r="M8" s="181"/>
      <c r="N8" s="181"/>
      <c r="O8" s="181"/>
      <c r="P8" s="181"/>
      <c r="Q8" s="181"/>
      <c r="R8" s="257" t="b">
        <v>0</v>
      </c>
      <c r="S8" s="256" t="s">
        <v>279</v>
      </c>
      <c r="T8" s="181"/>
      <c r="U8" s="181"/>
      <c r="V8" s="181"/>
      <c r="W8" s="181"/>
      <c r="X8" s="181"/>
      <c r="Y8" s="181"/>
      <c r="Z8" s="181"/>
    </row>
    <row r="9" spans="1:34" ht="14.65" customHeight="1" x14ac:dyDescent="0.7">
      <c r="A9" s="13"/>
      <c r="B9" s="80" t="s">
        <v>277</v>
      </c>
      <c r="C9" s="44" t="s">
        <v>6</v>
      </c>
      <c r="D9" s="44"/>
      <c r="E9" s="141" cm="1">
        <f t="array" ref="E9:G9">IF(R7,
    INDEX(7:7, COLUMN(V1) + _xlfn.SEQUENCE(1, COLUMNS(_xlfn.ANCHORARRAY(E4))) - 1),INDEX(185:185, _xlfn.XMATCH(INDEX(_xlfn.ANCHORARRAY(E4),1,1), 33:33, 0) + _xlfn.SEQUENCE(1, COLUMNS(_xlfn.ANCHORARRAY(E4))) - 1)/1000)</f>
        <v>0</v>
      </c>
      <c r="F9" s="141">
        <v>0</v>
      </c>
      <c r="G9" s="181">
        <v>0</v>
      </c>
      <c r="H9" s="181"/>
      <c r="I9" s="181"/>
      <c r="J9" s="181"/>
      <c r="K9" s="181"/>
      <c r="L9" s="181"/>
      <c r="M9" s="181"/>
      <c r="N9" s="181"/>
      <c r="O9" s="181"/>
      <c r="P9" s="181"/>
      <c r="Q9" s="181"/>
      <c r="R9" s="257" t="b">
        <v>0</v>
      </c>
      <c r="S9" s="256" t="s">
        <v>596</v>
      </c>
      <c r="T9" s="181"/>
      <c r="U9" s="181"/>
      <c r="V9" s="181"/>
      <c r="W9" s="181"/>
      <c r="X9" s="181"/>
      <c r="Y9" s="181"/>
      <c r="Z9" s="181"/>
    </row>
    <row r="10" spans="1:34" ht="14.65" customHeight="1" x14ac:dyDescent="0.7">
      <c r="A10" s="13"/>
      <c r="B10" s="80" t="s">
        <v>278</v>
      </c>
      <c r="C10" s="44" t="s">
        <v>6</v>
      </c>
      <c r="D10" s="44"/>
      <c r="E10" s="141" cm="1">
        <f t="array" ref="E10:G10">INDEX(187:187, _xlfn.XMATCH(INDEX(_xlfn.ANCHORARRAY(E4),1,1), 33:33, 0) + _xlfn.SEQUENCE(1, COLUMNS(_xlfn.ANCHORARRAY(E4))) - 1)/1000</f>
        <v>0</v>
      </c>
      <c r="F10" s="141">
        <v>0</v>
      </c>
      <c r="G10" s="181">
        <v>0</v>
      </c>
      <c r="H10" s="181"/>
      <c r="I10" s="181"/>
      <c r="J10" s="181"/>
      <c r="K10" s="181"/>
      <c r="L10" s="181"/>
      <c r="M10" s="181"/>
      <c r="N10" s="181"/>
      <c r="O10" s="181"/>
      <c r="P10" s="181"/>
      <c r="Q10" s="181"/>
      <c r="R10" s="262" t="b">
        <v>0</v>
      </c>
      <c r="S10" s="263" t="s">
        <v>598</v>
      </c>
      <c r="T10" s="264"/>
      <c r="U10" s="264"/>
      <c r="V10" s="181"/>
      <c r="W10" s="181"/>
      <c r="X10" s="181"/>
      <c r="Y10" s="181"/>
      <c r="Z10" s="181"/>
    </row>
    <row r="11" spans="1:34" ht="14.65" customHeight="1" x14ac:dyDescent="0.7">
      <c r="A11" s="13"/>
      <c r="B11" s="80" t="s">
        <v>279</v>
      </c>
      <c r="C11" s="44" t="s">
        <v>6</v>
      </c>
      <c r="D11" s="44"/>
      <c r="E11" s="141" cm="1">
        <f t="array" ref="E11:G11">IF(R8,
    INDEX(8:8, COLUMN(V1) + _xlfn.SEQUENCE(1, COLUMNS(_xlfn.ANCHORARRAY(E4))) - 1),INDEX(189:189, _xlfn.XMATCH(INDEX(_xlfn.ANCHORARRAY(E4),1,1), 33:33, 0) + _xlfn.SEQUENCE(1, COLUMNS(_xlfn.ANCHORARRAY(E4))) - 1)/1000)</f>
        <v>0</v>
      </c>
      <c r="F11" s="141">
        <v>0</v>
      </c>
      <c r="G11" s="181">
        <v>0</v>
      </c>
      <c r="H11" s="181"/>
      <c r="I11" s="181"/>
      <c r="J11" s="181"/>
      <c r="K11" s="181"/>
      <c r="L11" s="181"/>
      <c r="M11" s="181"/>
      <c r="N11" s="181"/>
      <c r="O11" s="181"/>
      <c r="P11" s="181"/>
      <c r="Q11" s="181"/>
      <c r="R11" s="181"/>
      <c r="S11" s="181"/>
      <c r="T11" s="181"/>
      <c r="U11" s="181"/>
      <c r="V11" s="181"/>
      <c r="W11" s="181"/>
      <c r="X11" s="181"/>
      <c r="Y11" s="181"/>
      <c r="Z11" s="181"/>
    </row>
    <row r="12" spans="1:34" ht="14.65" customHeight="1" x14ac:dyDescent="0.7">
      <c r="A12" s="13"/>
      <c r="B12" s="80" t="s">
        <v>307</v>
      </c>
      <c r="C12" s="44" t="s">
        <v>6</v>
      </c>
      <c r="D12" s="44"/>
      <c r="E12" s="141" cm="1">
        <f t="array" ref="E12:G12">INDEX(190:190, _xlfn.XMATCH(INDEX(_xlfn.ANCHORARRAY(E4),1,1), 33:33, 0) + _xlfn.SEQUENCE(1, COLUMNS(_xlfn.ANCHORARRAY(E4))) - 1)/1000</f>
        <v>0</v>
      </c>
      <c r="F12" s="141">
        <v>0</v>
      </c>
      <c r="G12" s="181">
        <v>0</v>
      </c>
      <c r="H12" s="181"/>
      <c r="I12" s="181"/>
      <c r="J12" s="181"/>
      <c r="K12" s="181"/>
      <c r="L12" s="181"/>
      <c r="M12" s="181"/>
      <c r="N12" s="181"/>
      <c r="O12" s="181"/>
      <c r="P12" s="181"/>
      <c r="Q12" s="181"/>
      <c r="R12" s="181"/>
      <c r="S12" s="181"/>
      <c r="T12" s="181"/>
      <c r="U12" s="181"/>
      <c r="V12" s="181"/>
      <c r="W12" s="181"/>
      <c r="X12" s="181"/>
      <c r="Y12" s="181"/>
      <c r="Z12" s="181"/>
    </row>
    <row r="13" spans="1:34" ht="14.65" customHeight="1" x14ac:dyDescent="0.7">
      <c r="A13" s="13"/>
      <c r="B13" s="80" t="s">
        <v>596</v>
      </c>
      <c r="C13" s="44" t="s">
        <v>6</v>
      </c>
      <c r="D13" s="44"/>
      <c r="E13" s="141" cm="1">
        <f t="array" ref="E13:G13">IF(R9,
    INDEX(9:9, COLUMN(V1) + _xlfn.SEQUENCE(1, COLUMNS(_xlfn.ANCHORARRAY(E4))) - 1),(INDEX(169:169, _xlfn.XMATCH(INDEX(_xlfn.ANCHORARRAY(E4),1,1)+0, 33:33+0, 0) + _xlfn.SEQUENCE(1, COLUMNS(_xlfn.ANCHORARRAY(E4))) - 1))/1000)</f>
        <v>0</v>
      </c>
      <c r="F13" s="141">
        <v>0</v>
      </c>
      <c r="G13" s="181">
        <v>0</v>
      </c>
      <c r="H13" s="181"/>
      <c r="I13" s="181"/>
      <c r="J13" s="181"/>
      <c r="K13" s="181"/>
      <c r="L13" s="181"/>
      <c r="M13" s="181"/>
      <c r="N13" s="181"/>
      <c r="O13" s="181"/>
      <c r="P13" s="181"/>
      <c r="Q13" s="181"/>
      <c r="R13" s="181"/>
      <c r="S13" s="181"/>
      <c r="T13" s="181"/>
      <c r="U13" s="181"/>
      <c r="V13" s="181"/>
      <c r="W13" s="181"/>
      <c r="X13" s="181"/>
      <c r="Y13" s="181"/>
      <c r="Z13" s="181"/>
      <c r="AF13" s="4"/>
      <c r="AG13" s="4"/>
      <c r="AH13" s="4"/>
    </row>
    <row r="14" spans="1:34" ht="14.65" customHeight="1" x14ac:dyDescent="0.7">
      <c r="A14" s="13"/>
      <c r="B14" s="80" t="s">
        <v>598</v>
      </c>
      <c r="C14" s="44" t="s">
        <v>6</v>
      </c>
      <c r="D14" s="44"/>
      <c r="E14" s="141" cm="1">
        <f t="array" ref="E14:G14">IF(R10,
INDEX(10:10,COLUMN(V1)+_xlfn.SEQUENCE(1,COLUMNS(_xlfn.ANCHORARRAY(E4)))-1),INDEX(92:92,_xlfn.XMATCH(INDEX(_xlfn.ANCHORARRAY(E4),1,1),33:33,0)+_xlfn.SEQUENCE(1,COLUMNS(_xlfn.ANCHORARRAY(E4)))-1)/1000)</f>
        <v>0</v>
      </c>
      <c r="F14" s="141">
        <v>0</v>
      </c>
      <c r="G14" s="181">
        <v>0</v>
      </c>
      <c r="H14" s="181"/>
      <c r="I14" s="181"/>
      <c r="J14" s="181"/>
      <c r="K14" s="181"/>
      <c r="L14" s="181"/>
      <c r="M14" s="181"/>
      <c r="N14" s="181"/>
      <c r="O14" s="181"/>
      <c r="P14" s="181"/>
      <c r="Q14" s="181"/>
      <c r="R14" s="181"/>
      <c r="S14" s="181"/>
      <c r="T14" s="181"/>
      <c r="U14" s="181"/>
      <c r="V14" s="181"/>
      <c r="W14" s="181"/>
      <c r="X14" s="181"/>
      <c r="Y14" s="181"/>
      <c r="Z14" s="181"/>
      <c r="AF14" s="4"/>
      <c r="AG14" s="4"/>
      <c r="AH14" s="4"/>
    </row>
    <row r="15" spans="1:34" ht="20.25" customHeight="1" x14ac:dyDescent="0.7">
      <c r="A15" s="13"/>
      <c r="B15" s="59" t="s">
        <v>309</v>
      </c>
      <c r="C15" s="44" t="s">
        <v>634</v>
      </c>
      <c r="D15" s="44"/>
      <c r="E15" s="140" t="str" cm="1">
        <f t="array" ref="E15:G15">_xlfn.LET(
  _xlpm.n, COLUMNS(_xlfn.ANCHORARRAY(E4)),
  _xlpm.seq, _xlfn.SEQUENCE(1,_xlpm.n),
  _xlpm.col, COLUMN()+_xlpm.seq-1,
  _xlpm.curr13, INDEX(12:12, _xlpm.col),
  _xlpm.curr14, INDEX(13:13, _xlpm.col),
  _xlpm.prev13, INDEX(12:12, _xlpm.col-1),
  IF(_xlpm.seq=1, "", IFERROR((((_xlpm.curr13-_xlpm.curr14)/_xlpm.prev13)-1)*100, ""))
)</f>
        <v/>
      </c>
      <c r="F15" s="140" t="str">
        <v/>
      </c>
      <c r="G15" s="180" t="str">
        <v/>
      </c>
      <c r="H15" s="180"/>
      <c r="I15" s="180"/>
      <c r="J15" s="180"/>
      <c r="K15" s="180"/>
      <c r="L15" s="180"/>
      <c r="M15" s="180"/>
      <c r="N15" s="180"/>
      <c r="O15" s="180"/>
      <c r="P15" s="180"/>
      <c r="Q15" s="180"/>
      <c r="R15" s="181"/>
      <c r="S15" s="181"/>
      <c r="T15" s="181"/>
      <c r="U15" s="181"/>
      <c r="V15" s="181"/>
      <c r="W15" s="181"/>
      <c r="X15" s="181"/>
      <c r="Y15" s="181"/>
      <c r="Z15" s="181"/>
      <c r="AF15" s="4"/>
      <c r="AG15" s="4"/>
      <c r="AH15" s="4"/>
    </row>
    <row r="16" spans="1:34" ht="14.65" customHeight="1" x14ac:dyDescent="0.7">
      <c r="A16" s="13"/>
      <c r="B16" s="59" t="s">
        <v>308</v>
      </c>
      <c r="C16" s="44" t="s">
        <v>634</v>
      </c>
      <c r="D16" s="44"/>
      <c r="E16" s="140" t="str" cm="1">
        <f t="array" ref="E16:G16">_xlfn.LET(
  _xlpm.n, COLUMNS(_xlfn.ANCHORARRAY(E4)),
  _xlpm.seq, _xlfn.SEQUENCE(1,_xlpm.n),
  _xlpm.vals, INDEX(15:15, COLUMN()-1+_xlpm.seq),
  _xlpm.clean, IF(_xlpm.vals="",0,_xlpm.vals/100),
  _xlpm.cum, _xlfn.SCAN(1, _xlpm.clean, _xlfn.LAMBDA(_xlpm.a,_xlpm.b,_xlpm.a*(1+_xlpm.b))),
  IF(_xlpm.seq=1,"",(_xlpm.cum-1)*100)
)</f>
        <v/>
      </c>
      <c r="F16" s="140">
        <v>0</v>
      </c>
      <c r="G16" s="182">
        <v>0</v>
      </c>
      <c r="H16" s="182"/>
      <c r="I16" s="182"/>
      <c r="J16" s="182"/>
      <c r="K16" s="182"/>
      <c r="L16" s="182"/>
      <c r="M16" s="182"/>
      <c r="N16" s="182"/>
      <c r="O16" s="182"/>
      <c r="P16" s="182"/>
      <c r="Q16" s="182"/>
      <c r="R16" s="180"/>
      <c r="S16" s="180"/>
      <c r="T16" s="180"/>
      <c r="U16" s="180"/>
      <c r="V16" s="180"/>
      <c r="W16" s="180"/>
      <c r="X16" s="180"/>
      <c r="Y16" s="180"/>
      <c r="Z16" s="180"/>
      <c r="AF16" s="4"/>
      <c r="AG16" s="4"/>
      <c r="AH16" s="4"/>
    </row>
    <row r="17" spans="1:34" ht="20.25" customHeight="1" x14ac:dyDescent="0.7">
      <c r="A17" s="13"/>
      <c r="B17" s="55" t="s">
        <v>206</v>
      </c>
      <c r="C17" s="49" t="s">
        <v>603</v>
      </c>
      <c r="D17" s="49"/>
      <c r="E17" s="142" t="str" cm="1">
        <f t="array" ref="E17:G17">INDEX(139:139, _xlfn.XMATCH(INDEX(_xlfn.ANCHORARRAY(E4),1,1), 33:33, 0) + _xlfn.SEQUENCE(1, COLUMNS(_xlfn.ANCHORARRAY(E4))) - 1)</f>
        <v/>
      </c>
      <c r="F17" s="142" t="str">
        <v/>
      </c>
      <c r="G17" s="182" t="str">
        <v/>
      </c>
      <c r="H17" s="182"/>
      <c r="I17" s="182"/>
      <c r="J17" s="182"/>
      <c r="K17" s="182"/>
      <c r="L17" s="182"/>
      <c r="M17" s="182"/>
      <c r="N17" s="182"/>
      <c r="O17" s="182"/>
      <c r="P17" s="182"/>
      <c r="Q17" s="182"/>
      <c r="R17" s="182"/>
      <c r="S17" s="182"/>
      <c r="T17" s="182"/>
      <c r="U17" s="182"/>
      <c r="V17" s="182"/>
      <c r="W17" s="182"/>
      <c r="X17" s="182"/>
      <c r="Y17" s="182"/>
      <c r="Z17" s="182"/>
      <c r="AF17" s="4"/>
      <c r="AG17" s="4"/>
      <c r="AH17" s="4"/>
    </row>
    <row r="18" spans="1:34" ht="14.65" customHeight="1" x14ac:dyDescent="0.7">
      <c r="A18" s="13"/>
      <c r="B18" s="55" t="s">
        <v>0</v>
      </c>
      <c r="C18" s="49" t="s">
        <v>603</v>
      </c>
      <c r="D18" s="49"/>
      <c r="E18" s="142" cm="1">
        <f t="array" ref="E18:G18">INDEX(142:142, _xlfn.XMATCH(INDEX(_xlfn.ANCHORARRAY(E4),1,1), 33:33, 0) + _xlfn.SEQUENCE(1, COLUMNS(_xlfn.ANCHORARRAY(E4))) - 1)</f>
        <v>0</v>
      </c>
      <c r="F18" s="142">
        <v>0</v>
      </c>
      <c r="G18" s="182">
        <v>0</v>
      </c>
      <c r="H18" s="182"/>
      <c r="I18" s="182"/>
      <c r="J18" s="182"/>
      <c r="K18" s="182"/>
      <c r="L18" s="182"/>
      <c r="M18" s="182"/>
      <c r="N18" s="182"/>
      <c r="O18" s="182"/>
      <c r="P18" s="182"/>
      <c r="Q18" s="182"/>
      <c r="R18" s="182"/>
      <c r="S18" s="182"/>
      <c r="T18" s="182"/>
      <c r="U18" s="182"/>
      <c r="V18" s="182"/>
      <c r="W18" s="182"/>
      <c r="X18" s="182"/>
      <c r="Y18" s="182"/>
      <c r="Z18" s="182"/>
    </row>
    <row r="19" spans="1:34" ht="14.65" customHeight="1" x14ac:dyDescent="0.7">
      <c r="A19" s="13"/>
      <c r="B19" s="55" t="s">
        <v>3</v>
      </c>
      <c r="C19" s="49" t="s">
        <v>603</v>
      </c>
      <c r="D19" s="49"/>
      <c r="E19" s="142" cm="1">
        <f t="array" ref="E19:G19">INDEX(143:143, _xlfn.XMATCH(INDEX(_xlfn.ANCHORARRAY(E4),1,1), 33:33, 0) + _xlfn.SEQUENCE(1, COLUMNS(_xlfn.ANCHORARRAY(E4))) - 1)</f>
        <v>0</v>
      </c>
      <c r="F19" s="142">
        <v>0</v>
      </c>
      <c r="G19" s="182">
        <v>0</v>
      </c>
      <c r="H19" s="182"/>
      <c r="I19" s="182"/>
      <c r="J19" s="182"/>
      <c r="K19" s="182"/>
      <c r="L19" s="182"/>
      <c r="M19" s="182"/>
      <c r="N19" s="182"/>
      <c r="O19" s="182"/>
      <c r="P19" s="182"/>
      <c r="Q19" s="182"/>
      <c r="R19" s="182"/>
      <c r="S19" s="182"/>
      <c r="T19" s="182"/>
      <c r="U19" s="182"/>
      <c r="V19" s="182"/>
      <c r="W19" s="182"/>
      <c r="X19" s="182"/>
      <c r="Y19" s="182"/>
      <c r="Z19" s="182"/>
    </row>
    <row r="20" spans="1:34" ht="14.65" customHeight="1" x14ac:dyDescent="0.7">
      <c r="A20" s="13"/>
      <c r="B20" s="55" t="s">
        <v>1</v>
      </c>
      <c r="C20" s="49" t="s">
        <v>603</v>
      </c>
      <c r="D20" s="49"/>
      <c r="E20" s="142" t="str" cm="1">
        <f t="array" ref="E20:G20">INDEX(145:145, _xlfn.XMATCH(INDEX(_xlfn.ANCHORARRAY(E4),1,1), 33:33, 0) + _xlfn.SEQUENCE(1, COLUMNS(_xlfn.ANCHORARRAY(E4))) - 1)</f>
        <v/>
      </c>
      <c r="F20" s="142" t="str">
        <v/>
      </c>
      <c r="G20" s="182" t="str">
        <v/>
      </c>
      <c r="H20" s="182"/>
      <c r="I20" s="182"/>
      <c r="J20" s="182"/>
      <c r="K20" s="182"/>
      <c r="L20" s="182"/>
      <c r="M20" s="182"/>
      <c r="N20" s="182"/>
      <c r="O20" s="182"/>
      <c r="P20" s="182"/>
      <c r="Q20" s="182"/>
      <c r="R20" s="182"/>
      <c r="S20" s="182"/>
      <c r="T20" s="182"/>
      <c r="U20" s="182"/>
      <c r="V20" s="182"/>
      <c r="W20" s="182"/>
      <c r="X20" s="182"/>
      <c r="Y20" s="182"/>
      <c r="Z20" s="182"/>
    </row>
    <row r="21" spans="1:34" ht="14.65" customHeight="1" x14ac:dyDescent="0.7">
      <c r="A21" s="13"/>
      <c r="B21" s="55" t="s">
        <v>2</v>
      </c>
      <c r="C21" s="49" t="s">
        <v>603</v>
      </c>
      <c r="D21" s="49"/>
      <c r="E21" s="182" t="str" cm="1">
        <f t="array" ref="E21:G21">INDEX(146:146, _xlfn.XMATCH(INDEX(_xlfn.ANCHORARRAY(E4),1,1), 33:33, 0) + _xlfn.SEQUENCE(1, COLUMNS(_xlfn.ANCHORARRAY(E4))) - 1)</f>
        <v/>
      </c>
      <c r="F21" s="182" t="str">
        <v/>
      </c>
      <c r="G21" s="182" t="str">
        <v/>
      </c>
      <c r="H21" s="182"/>
      <c r="I21" s="182"/>
      <c r="J21" s="182"/>
      <c r="K21" s="182"/>
      <c r="L21" s="182"/>
      <c r="M21" s="182"/>
      <c r="N21" s="182"/>
      <c r="O21" s="182"/>
      <c r="P21" s="182"/>
      <c r="Q21" s="182"/>
      <c r="R21" s="182"/>
      <c r="S21" s="182"/>
      <c r="T21" s="182"/>
      <c r="U21" s="182"/>
      <c r="V21" s="182"/>
      <c r="W21" s="182"/>
      <c r="X21" s="182"/>
      <c r="Y21" s="182"/>
      <c r="Z21" s="182"/>
    </row>
    <row r="22" spans="1:34" ht="20.25" customHeight="1" x14ac:dyDescent="0.7">
      <c r="A22" s="13"/>
      <c r="B22" s="55" t="s">
        <v>280</v>
      </c>
      <c r="C22" s="49" t="s">
        <v>633</v>
      </c>
      <c r="D22" s="49"/>
      <c r="E22" s="140" t="str" cm="1">
        <f t="array" ref="E22:G22">_xlfn.LET(
  _xlpm.pos,  _xlfn.XMATCH(INDEX(_xlfn.ANCHORARRAY(E4),1,1)+0, 33:33+0, 0) + _xlfn.SEQUENCE(1, COLUMNS(_xlfn.ANCHORARRAY(E4))),
  _xlpm.num,  INDEX(35:35, _xlpm.pos - 1),
  _xlpm.den,  INDEX(35:35, _xlpm.pos - 2),
  IF((_xlpm.num=0) + (_xlpm.den=0), "", 100*(_xlpm.num/_xlpm.den - 1))
)</f>
        <v/>
      </c>
      <c r="F22" s="140" t="str">
        <v/>
      </c>
      <c r="G22" s="180" t="str">
        <v/>
      </c>
      <c r="H22" s="180"/>
      <c r="I22" s="180"/>
      <c r="J22" s="180"/>
      <c r="K22" s="180"/>
      <c r="L22" s="180"/>
      <c r="M22" s="180"/>
      <c r="N22" s="180"/>
      <c r="O22" s="180"/>
      <c r="P22" s="180"/>
      <c r="Q22" s="180"/>
      <c r="R22" s="182"/>
      <c r="S22" s="182"/>
      <c r="T22" s="182"/>
      <c r="U22" s="182"/>
      <c r="V22" s="182"/>
      <c r="W22" s="182"/>
      <c r="X22" s="182"/>
      <c r="Y22" s="182"/>
      <c r="Z22" s="182"/>
    </row>
    <row r="23" spans="1:34" ht="14.65" customHeight="1" x14ac:dyDescent="0.7">
      <c r="A23" s="13"/>
      <c r="B23" s="55" t="s">
        <v>281</v>
      </c>
      <c r="C23" s="49" t="s">
        <v>633</v>
      </c>
      <c r="D23" s="49"/>
      <c r="E23" s="140" t="str" cm="1">
        <f t="array" ref="E23:G23">_xlfn.LET(
  _xlpm.pos,    _xlfn.XMATCH(INDEX(_xlfn.ANCHORARRAY(E4),1,1)+0, 33:33+0, 0) + _xlfn.SEQUENCE(1, COLUMNS(_xlfn.ANCHORARRAY(E4))),
  _xlpm.nomN,   INDEX(34:34, _xlpm.pos - 1),
  _xlpm.nomD,   INDEX(34:34, _xlpm.pos - 2),
  _xlpm.realN,  INDEX(35:35, _xlpm.pos - 1),
  _xlpm.realD,  INDEX(35:35, _xlpm.pos - 2),
  IF((_xlpm.nomN=0)+(_xlpm.nomD=0)+(_xlpm.realN=0)+(_xlpm.realD=0), "", 100*((_xlpm.nomN/_xlpm.realN)/(_xlpm.nomD/_xlpm.realD) - 1))
)</f>
        <v/>
      </c>
      <c r="F23" s="140" t="str">
        <v/>
      </c>
      <c r="G23" s="180" t="str">
        <v/>
      </c>
      <c r="H23" s="180"/>
      <c r="I23" s="180"/>
      <c r="J23" s="180"/>
      <c r="K23" s="180"/>
      <c r="L23" s="180"/>
      <c r="M23" s="180"/>
      <c r="N23" s="180"/>
      <c r="O23" s="180"/>
      <c r="P23" s="180"/>
      <c r="Q23" s="180"/>
      <c r="R23" s="180"/>
      <c r="S23" s="180"/>
      <c r="T23" s="180"/>
      <c r="U23" s="180"/>
      <c r="V23" s="180"/>
      <c r="W23" s="180"/>
      <c r="X23" s="180"/>
      <c r="Y23" s="180"/>
      <c r="Z23" s="180"/>
    </row>
    <row r="24" spans="1:34" ht="14.65" customHeight="1" x14ac:dyDescent="0.7">
      <c r="A24" s="13"/>
      <c r="B24" s="55" t="s">
        <v>282</v>
      </c>
      <c r="C24" s="49" t="s">
        <v>633</v>
      </c>
      <c r="D24" s="49"/>
      <c r="E24" s="140" t="str" cm="1">
        <f t="array" ref="E24:G24">_xlfn.LET(
  _xlpm.pos,  _xlfn.XMATCH(INDEX(_xlfn.ANCHORARRAY(E4),1,1)+0, 33:33+0, 0) + _xlfn.SEQUENCE(1, COLUMNS(_xlfn.ANCHORARRAY(E4))),
  _xlpm.num,  INDEX(34:34, _xlpm.pos - 1),
  _xlpm.den,  INDEX(34:34, _xlpm.pos - 2),
  IF((_xlpm.num=0) + (_xlpm.den=0), "", 100*(_xlpm.num/_xlpm.den - 1))
)</f>
        <v/>
      </c>
      <c r="F24" s="140" t="str">
        <v/>
      </c>
      <c r="G24" s="180" t="str">
        <v/>
      </c>
      <c r="H24" s="180"/>
      <c r="I24" s="180"/>
      <c r="J24" s="180"/>
      <c r="K24" s="180"/>
      <c r="L24" s="180"/>
      <c r="M24" s="180"/>
      <c r="N24" s="180"/>
      <c r="O24" s="180"/>
      <c r="P24" s="180"/>
      <c r="Q24" s="180"/>
      <c r="R24" s="180"/>
      <c r="S24" s="180"/>
      <c r="T24" s="180"/>
      <c r="U24" s="180"/>
      <c r="V24" s="180"/>
      <c r="W24" s="180"/>
      <c r="X24" s="180"/>
      <c r="Y24" s="180"/>
      <c r="Z24" s="180"/>
    </row>
    <row r="25" spans="1:34" ht="14.65" customHeight="1" x14ac:dyDescent="0.7">
      <c r="A25" s="13"/>
      <c r="B25" s="55" t="s">
        <v>283</v>
      </c>
      <c r="C25" s="44" t="s">
        <v>633</v>
      </c>
      <c r="D25" s="44"/>
      <c r="E25" s="140" t="str" cm="1">
        <f t="array" ref="E25:G25">_xlfn.LET(
  _xlpm.pos,  _xlfn.XMATCH(INDEX(_xlfn.ANCHORARRAY(E4),1,1)+0, 33:33+0, 0) + _xlfn.SEQUENCE(1, COLUMNS(_xlfn.ANCHORARRAY(E4))),
  _xlpm.num,  INDEX(90:90, _xlpm.pos - 1),
  _xlpm.den,  INDEX(90:90, _xlpm.pos - 2),
  IF((_xlpm.num=0) + (_xlpm.den=0), "", 100*(_xlpm.num/_xlpm.den - 1))
)</f>
        <v/>
      </c>
      <c r="F25" s="142" t="str">
        <v/>
      </c>
      <c r="G25" s="182" t="str">
        <v/>
      </c>
      <c r="H25" s="182"/>
      <c r="I25" s="182"/>
      <c r="J25" s="182"/>
      <c r="K25" s="182"/>
      <c r="L25" s="182"/>
      <c r="M25" s="182"/>
      <c r="N25" s="182"/>
      <c r="O25" s="182"/>
      <c r="P25" s="182"/>
      <c r="Q25" s="182"/>
      <c r="R25" s="180"/>
      <c r="S25" s="180"/>
      <c r="T25" s="180"/>
      <c r="U25" s="180"/>
      <c r="V25" s="180"/>
      <c r="W25" s="180"/>
      <c r="X25" s="180"/>
      <c r="Y25" s="180"/>
      <c r="Z25" s="180"/>
    </row>
    <row r="26" spans="1:34" ht="14.65" customHeight="1" x14ac:dyDescent="0.7">
      <c r="A26" s="13"/>
      <c r="B26" s="55" t="s">
        <v>272</v>
      </c>
      <c r="C26" s="44" t="s">
        <v>599</v>
      </c>
      <c r="D26" s="44"/>
      <c r="E26" s="142" t="str" cm="1">
        <f t="array" ref="E26:G26">_xlfn.LET(
  _xlpm.pos,   _xlfn.XMATCH(INDEX(_xlfn.ANCHORARRAY(E4),1,1)+0, 33:33+0, 0) + _xlfn.SEQUENCE(1, COLUMNS(_xlfn.ANCHORARRAY(E4))),
  _xlpm.rGDP,  INDEX(89:89, _xlpm.pos - 1),
  _xlpm.pGDP,  INDEX(90:90, _xlpm.pos - 1),
  IF((_xlpm.rGDP=0) + (_xlpm.pGDP=0), "", 100*(_xlpm.rGDP/_xlpm.pGDP - 1))
)</f>
        <v/>
      </c>
      <c r="F26" s="142" t="str">
        <v/>
      </c>
      <c r="G26" s="182" t="str">
        <v/>
      </c>
      <c r="H26" s="182"/>
      <c r="I26" s="182"/>
      <c r="J26" s="182"/>
      <c r="K26" s="182"/>
      <c r="L26" s="182"/>
      <c r="M26" s="182"/>
      <c r="N26" s="182"/>
      <c r="O26" s="182"/>
      <c r="P26" s="182"/>
      <c r="Q26" s="182"/>
      <c r="R26" s="182"/>
      <c r="S26" s="182"/>
      <c r="T26" s="182"/>
      <c r="U26" s="182"/>
      <c r="V26" s="182"/>
      <c r="W26" s="182"/>
      <c r="X26" s="182"/>
      <c r="Y26" s="182"/>
      <c r="Z26" s="182"/>
    </row>
    <row r="27" spans="1:34" x14ac:dyDescent="0.4">
      <c r="B27" s="42" t="s">
        <v>595</v>
      </c>
      <c r="C27" s="147" t="s">
        <v>635</v>
      </c>
      <c r="D27" s="147"/>
      <c r="E27" s="142" cm="1">
        <f t="array" ref="E27:G27">INDEX(34:34, _xlfn.XMATCH(INDEX(_xlfn.ANCHORARRAY(E4),1,1), 33:33, 0) + _xlfn.SEQUENCE(1, COLUMNS(_xlfn.ANCHORARRAY(E4))) - 1)/1000</f>
        <v>0</v>
      </c>
      <c r="F27" s="142">
        <v>0</v>
      </c>
      <c r="G27" s="182">
        <v>0</v>
      </c>
      <c r="H27" s="182"/>
      <c r="I27" s="182"/>
      <c r="J27" s="182"/>
      <c r="K27" s="182"/>
      <c r="L27" s="182"/>
      <c r="M27" s="182"/>
      <c r="N27" s="182"/>
      <c r="O27" s="182"/>
      <c r="P27" s="182"/>
      <c r="Q27" s="182"/>
      <c r="R27" s="182"/>
      <c r="S27" s="182"/>
      <c r="T27" s="182"/>
      <c r="U27" s="182"/>
      <c r="V27" s="182"/>
      <c r="W27" s="182"/>
      <c r="X27" s="182"/>
      <c r="Y27" s="182"/>
      <c r="Z27" s="182"/>
    </row>
    <row r="28" spans="1:34" x14ac:dyDescent="0.4">
      <c r="C28" s="8"/>
      <c r="D28" s="8"/>
      <c r="F28" s="144"/>
      <c r="G28" s="144"/>
      <c r="R28" s="182"/>
      <c r="S28" s="182"/>
      <c r="T28" s="182"/>
      <c r="U28" s="182"/>
      <c r="V28" s="182"/>
      <c r="W28" s="182"/>
      <c r="X28" s="182"/>
      <c r="Y28" s="182"/>
      <c r="Z28" s="182"/>
    </row>
    <row r="29" spans="1:34" ht="23.25" x14ac:dyDescent="0.7">
      <c r="A29" s="13" t="s">
        <v>827</v>
      </c>
      <c r="B29" s="8"/>
      <c r="C29" s="8"/>
    </row>
    <row r="30" spans="1:34" outlineLevel="1" x14ac:dyDescent="0.4">
      <c r="A30" s="150" t="s">
        <v>15</v>
      </c>
      <c r="B30" s="151" t="str">
        <f>Country</f>
        <v>Select country</v>
      </c>
      <c r="C30" s="8"/>
    </row>
    <row r="31" spans="1:34" outlineLevel="1" x14ac:dyDescent="0.4">
      <c r="A31" s="150" t="s">
        <v>830</v>
      </c>
      <c r="B31" s="254">
        <v>46194.63318287037</v>
      </c>
      <c r="C31" s="8"/>
    </row>
    <row r="32" spans="1:34" outlineLevel="1" x14ac:dyDescent="0.4">
      <c r="A32" s="150" t="s">
        <v>692</v>
      </c>
      <c r="B32" s="150" t="s">
        <v>693</v>
      </c>
    </row>
    <row r="33" spans="1:169" outlineLevel="1" x14ac:dyDescent="0.4">
      <c r="A33" s="150" t="s">
        <v>26</v>
      </c>
      <c r="B33" s="150" t="s">
        <v>16</v>
      </c>
      <c r="C33" t="s">
        <v>673</v>
      </c>
      <c r="D33" cm="1">
        <f t="array" ref="D33:G33">_xlfn.SEQUENCE(1, OutturnThrough-MTP_BaseYear+2, MTP_BaseYear-1)</f>
        <v>2022</v>
      </c>
      <c r="E33">
        <v>2023</v>
      </c>
      <c r="F33">
        <v>2024</v>
      </c>
      <c r="G33">
        <v>2025</v>
      </c>
    </row>
    <row r="34" spans="1:169" outlineLevel="1" x14ac:dyDescent="0.4">
      <c r="A34" t="s">
        <v>176</v>
      </c>
      <c r="B34" t="s">
        <v>90</v>
      </c>
      <c r="C34" t="s">
        <v>669</v>
      </c>
      <c r="D34" s="9"/>
      <c r="E34" s="9"/>
      <c r="AT34" s="9"/>
      <c r="AU34" s="9"/>
      <c r="AV34" s="9"/>
      <c r="AW34" s="9"/>
      <c r="AX34" s="9"/>
      <c r="AY34" s="9"/>
      <c r="AZ34" s="9"/>
      <c r="BA34" s="9"/>
      <c r="BB34" s="9"/>
      <c r="BC34" s="9"/>
      <c r="BD34" s="9"/>
      <c r="BE34" s="9"/>
      <c r="BF34" s="9"/>
      <c r="BG34" s="9"/>
      <c r="BH34" s="9"/>
      <c r="BI34" s="9"/>
      <c r="BJ34" s="9"/>
      <c r="BK34" s="9"/>
      <c r="BL34" s="9"/>
      <c r="BM34" s="9"/>
      <c r="BN34" s="9"/>
      <c r="BO34" s="9"/>
      <c r="BP34" s="9"/>
      <c r="BQ34" s="9"/>
      <c r="BR34" s="9"/>
      <c r="BS34" s="9"/>
      <c r="BT34" s="9"/>
      <c r="BU34" s="9"/>
      <c r="BV34" s="9"/>
      <c r="BW34" s="9"/>
      <c r="BX34" s="9"/>
      <c r="BY34" s="9"/>
      <c r="BZ34" s="9"/>
      <c r="CA34" s="9"/>
      <c r="CB34" s="9"/>
      <c r="CC34" s="9"/>
      <c r="CD34" s="9"/>
      <c r="CE34" s="9"/>
      <c r="CF34" s="9"/>
      <c r="CG34" s="9"/>
      <c r="CH34" s="9"/>
      <c r="CI34" s="9"/>
      <c r="CJ34" s="9"/>
      <c r="CK34" s="9"/>
      <c r="CL34" s="9"/>
      <c r="CM34" s="9"/>
      <c r="CN34" s="9"/>
      <c r="CO34" s="9"/>
      <c r="CP34" s="9"/>
      <c r="CQ34" s="9"/>
      <c r="CR34" s="9"/>
      <c r="CS34" s="9"/>
      <c r="CT34" s="9"/>
      <c r="CU34" s="9"/>
      <c r="CV34" s="9"/>
      <c r="CW34" s="9"/>
      <c r="CX34" s="9"/>
      <c r="CY34" s="9"/>
      <c r="CZ34" s="9"/>
      <c r="DA34" s="9"/>
      <c r="DB34" s="9"/>
      <c r="DC34" s="9"/>
      <c r="DD34" s="9"/>
      <c r="DE34" s="9"/>
      <c r="DF34" s="9"/>
      <c r="DG34" s="9"/>
      <c r="DH34" s="9"/>
      <c r="DI34" s="9"/>
      <c r="DJ34" s="9"/>
      <c r="DK34" s="9"/>
      <c r="DL34" s="9"/>
      <c r="DM34" s="9"/>
      <c r="DN34" s="9"/>
      <c r="DO34" s="9"/>
      <c r="DP34" s="9"/>
      <c r="DQ34" s="9"/>
      <c r="DR34" s="9"/>
      <c r="DS34" s="9"/>
      <c r="DT34" s="9"/>
      <c r="DU34" s="9"/>
      <c r="DV34" s="9"/>
      <c r="DW34" s="9"/>
      <c r="DX34" s="9"/>
      <c r="DY34" s="9"/>
      <c r="DZ34" s="9"/>
      <c r="EA34" s="9"/>
      <c r="EB34" s="9"/>
      <c r="EC34" s="9"/>
      <c r="ED34" s="9"/>
      <c r="EE34" s="9"/>
      <c r="EF34" s="9"/>
      <c r="EG34" s="9"/>
      <c r="EH34" s="9"/>
      <c r="EI34" s="9"/>
      <c r="EJ34" s="9"/>
      <c r="EK34" s="9"/>
      <c r="EL34" s="9"/>
      <c r="EM34" s="9"/>
      <c r="EN34" s="9"/>
      <c r="EO34" s="9"/>
      <c r="EP34" s="9"/>
      <c r="EQ34" s="9"/>
      <c r="ER34" s="9"/>
      <c r="ES34" s="9"/>
      <c r="ET34" s="9"/>
      <c r="EU34" s="9"/>
      <c r="EV34" s="9"/>
      <c r="EW34" s="9"/>
      <c r="EX34" s="9"/>
      <c r="EY34" s="9"/>
      <c r="EZ34" s="9"/>
      <c r="FA34" s="9"/>
      <c r="FB34" s="9"/>
      <c r="FC34" s="9"/>
      <c r="FD34" s="9"/>
      <c r="FE34" s="9"/>
      <c r="FF34" s="9"/>
      <c r="FG34" s="9"/>
      <c r="FH34" s="9"/>
      <c r="FI34" s="9"/>
      <c r="FJ34" s="9"/>
      <c r="FK34" s="9"/>
      <c r="FL34" s="9"/>
      <c r="FM34" s="9"/>
    </row>
    <row r="35" spans="1:169" outlineLevel="1" x14ac:dyDescent="0.4">
      <c r="A35" t="s">
        <v>177</v>
      </c>
      <c r="B35" t="s">
        <v>90</v>
      </c>
      <c r="C35" t="s">
        <v>669</v>
      </c>
      <c r="D35" s="9"/>
      <c r="E35" s="9"/>
      <c r="AT35" s="9"/>
      <c r="AU35" s="9"/>
      <c r="AV35" s="9"/>
      <c r="AW35" s="9"/>
      <c r="AX35" s="9"/>
      <c r="AY35" s="9"/>
      <c r="AZ35" s="9"/>
      <c r="BA35" s="9"/>
      <c r="BB35" s="9"/>
      <c r="BC35" s="9"/>
      <c r="BD35" s="9"/>
      <c r="BE35" s="9"/>
      <c r="BF35" s="9"/>
      <c r="BG35" s="9"/>
      <c r="BH35" s="9"/>
      <c r="BI35" s="9"/>
      <c r="BJ35" s="9"/>
      <c r="BK35" s="9"/>
      <c r="BL35" s="9"/>
      <c r="BM35" s="9"/>
      <c r="BN35" s="9"/>
      <c r="BO35" s="9"/>
      <c r="BP35" s="9"/>
      <c r="BQ35" s="9"/>
      <c r="BR35" s="9"/>
      <c r="BS35" s="9"/>
      <c r="BT35" s="9"/>
      <c r="BU35" s="9"/>
      <c r="BV35" s="9"/>
      <c r="BW35" s="9"/>
      <c r="BX35" s="9"/>
      <c r="BY35" s="9"/>
      <c r="BZ35" s="9"/>
      <c r="CA35" s="9"/>
      <c r="CB35" s="9"/>
      <c r="CC35" s="9"/>
      <c r="CD35" s="9"/>
      <c r="CE35" s="9"/>
      <c r="CF35" s="9"/>
      <c r="CG35" s="9"/>
      <c r="CH35" s="9"/>
      <c r="CI35" s="9"/>
      <c r="CJ35" s="9"/>
      <c r="CK35" s="9"/>
      <c r="CL35" s="9"/>
      <c r="CM35" s="9"/>
      <c r="CN35" s="9"/>
      <c r="CO35" s="9"/>
      <c r="CP35" s="9"/>
      <c r="CQ35" s="9"/>
      <c r="CR35" s="9"/>
      <c r="CS35" s="9"/>
      <c r="CT35" s="9"/>
      <c r="CU35" s="9"/>
      <c r="CV35" s="9"/>
      <c r="CW35" s="9"/>
      <c r="CX35" s="9"/>
      <c r="CY35" s="9"/>
      <c r="CZ35" s="9"/>
      <c r="DA35" s="9"/>
      <c r="DB35" s="9"/>
      <c r="DC35" s="9"/>
      <c r="DD35" s="9"/>
      <c r="DE35" s="9"/>
      <c r="DF35" s="9"/>
      <c r="DG35" s="9"/>
      <c r="DH35" s="9"/>
      <c r="DI35" s="9"/>
      <c r="DJ35" s="9"/>
      <c r="DK35" s="9"/>
      <c r="DL35" s="9"/>
      <c r="DM35" s="9"/>
      <c r="DN35" s="9"/>
      <c r="DO35" s="9"/>
      <c r="DP35" s="9"/>
      <c r="DQ35" s="9"/>
      <c r="DR35" s="9"/>
      <c r="DS35" s="9"/>
      <c r="DT35" s="9"/>
      <c r="DU35" s="9"/>
      <c r="DV35" s="9"/>
      <c r="DW35" s="9"/>
      <c r="DX35" s="9"/>
      <c r="DY35" s="9"/>
      <c r="DZ35" s="9"/>
      <c r="EA35" s="9"/>
      <c r="EB35" s="9"/>
      <c r="EC35" s="9"/>
      <c r="ED35" s="9"/>
      <c r="EE35" s="9"/>
      <c r="EF35" s="9"/>
      <c r="EG35" s="9"/>
      <c r="EH35" s="9"/>
      <c r="EI35" s="9"/>
      <c r="EJ35" s="9"/>
      <c r="EK35" s="9"/>
      <c r="EL35" s="9"/>
      <c r="EM35" s="9"/>
      <c r="EN35" s="9"/>
      <c r="EO35" s="9"/>
      <c r="EP35" s="9"/>
      <c r="EQ35" s="9"/>
      <c r="ER35" s="9"/>
      <c r="ES35" s="9"/>
      <c r="ET35" s="9"/>
      <c r="EU35" s="9"/>
      <c r="EV35" s="9"/>
      <c r="EW35" s="9"/>
      <c r="EX35" s="9"/>
      <c r="EY35" s="9"/>
      <c r="EZ35" s="9"/>
      <c r="FA35" s="9"/>
      <c r="FB35" s="9"/>
      <c r="FC35" s="9"/>
      <c r="FD35" s="9"/>
      <c r="FE35" s="9"/>
      <c r="FF35" s="9"/>
      <c r="FG35" s="9"/>
      <c r="FH35" s="9"/>
      <c r="FI35" s="9"/>
      <c r="FJ35" s="9"/>
      <c r="FK35" s="9"/>
      <c r="FL35" s="9"/>
      <c r="FM35" s="9"/>
    </row>
    <row r="36" spans="1:169" outlineLevel="1" x14ac:dyDescent="0.4">
      <c r="A36" t="s">
        <v>137</v>
      </c>
      <c r="B36" t="s">
        <v>136</v>
      </c>
      <c r="C36" t="s">
        <v>669</v>
      </c>
      <c r="D36" s="9"/>
      <c r="E36" s="9"/>
      <c r="AT36" s="9"/>
      <c r="AU36" s="9"/>
      <c r="AV36" s="9"/>
      <c r="AW36" s="9"/>
      <c r="AX36" s="9"/>
      <c r="AY36" s="9"/>
      <c r="AZ36" s="9"/>
      <c r="BA36" s="9"/>
      <c r="BB36" s="9"/>
      <c r="BC36" s="9"/>
      <c r="BD36" s="9"/>
      <c r="BE36" s="9"/>
      <c r="BF36" s="9"/>
      <c r="BG36" s="9"/>
      <c r="BH36" s="9"/>
      <c r="BI36" s="9"/>
      <c r="BJ36" s="9"/>
      <c r="BK36" s="9"/>
      <c r="BL36" s="9"/>
      <c r="BM36" s="9"/>
      <c r="BN36" s="9"/>
      <c r="BO36" s="9"/>
      <c r="BP36" s="9"/>
      <c r="BQ36" s="9"/>
      <c r="BR36" s="9"/>
      <c r="BS36" s="9"/>
      <c r="BT36" s="9"/>
      <c r="BU36" s="9"/>
      <c r="BV36" s="9"/>
      <c r="BW36" s="9"/>
      <c r="BX36" s="9"/>
      <c r="BY36" s="9"/>
      <c r="BZ36" s="9"/>
      <c r="CA36" s="9"/>
      <c r="CB36" s="9"/>
      <c r="CC36" s="9"/>
      <c r="CD36" s="9"/>
      <c r="CE36" s="9"/>
      <c r="CF36" s="9"/>
      <c r="CG36" s="9"/>
      <c r="CH36" s="9"/>
      <c r="CI36" s="9"/>
      <c r="CJ36" s="9"/>
      <c r="CK36" s="9"/>
      <c r="CL36" s="9"/>
      <c r="CM36" s="9"/>
      <c r="CN36" s="9"/>
      <c r="CO36" s="9"/>
      <c r="CP36" s="9"/>
      <c r="CQ36" s="9"/>
      <c r="CR36" s="9"/>
      <c r="CS36" s="9"/>
      <c r="CT36" s="9"/>
      <c r="CU36" s="9"/>
      <c r="CV36" s="9"/>
      <c r="CW36" s="9"/>
      <c r="CX36" s="9"/>
      <c r="CY36" s="9"/>
      <c r="CZ36" s="9"/>
      <c r="DA36" s="9"/>
      <c r="DB36" s="9"/>
      <c r="DC36" s="9"/>
      <c r="DD36" s="9"/>
      <c r="DE36" s="9"/>
      <c r="DF36" s="9"/>
      <c r="DG36" s="9"/>
      <c r="DH36" s="9"/>
      <c r="DI36" s="9"/>
      <c r="DJ36" s="9"/>
      <c r="DK36" s="9"/>
      <c r="DL36" s="9"/>
      <c r="DM36" s="9"/>
      <c r="DN36" s="9"/>
      <c r="DO36" s="9"/>
      <c r="DP36" s="9"/>
      <c r="DQ36" s="9"/>
      <c r="DR36" s="9"/>
      <c r="DS36" s="9"/>
      <c r="DT36" s="9"/>
      <c r="DU36" s="9"/>
      <c r="DV36" s="9"/>
      <c r="DW36" s="9"/>
      <c r="DX36" s="9"/>
      <c r="DY36" s="9"/>
      <c r="DZ36" s="9"/>
      <c r="EA36" s="9"/>
      <c r="EB36" s="9"/>
      <c r="EC36" s="9"/>
      <c r="ED36" s="9"/>
      <c r="EE36" s="9"/>
      <c r="EF36" s="9"/>
      <c r="EG36" s="9"/>
      <c r="EH36" s="9"/>
      <c r="EI36" s="9"/>
      <c r="EJ36" s="9"/>
      <c r="EK36" s="9"/>
      <c r="EL36" s="9"/>
      <c r="EM36" s="9"/>
      <c r="EN36" s="9"/>
      <c r="EO36" s="9"/>
      <c r="EP36" s="9"/>
      <c r="EQ36" s="9"/>
      <c r="ER36" s="9"/>
      <c r="ES36" s="9"/>
      <c r="ET36" s="9"/>
      <c r="EU36" s="9"/>
      <c r="EV36" s="9"/>
      <c r="EW36" s="9"/>
      <c r="EX36" s="9"/>
      <c r="EY36" s="9"/>
      <c r="EZ36" s="9"/>
      <c r="FA36" s="9"/>
      <c r="FB36" s="9"/>
      <c r="FC36" s="9"/>
      <c r="FD36" s="9"/>
      <c r="FE36" s="9"/>
      <c r="FF36" s="9"/>
      <c r="FG36" s="9"/>
      <c r="FH36" s="9"/>
      <c r="FI36" s="9"/>
      <c r="FJ36" s="9"/>
      <c r="FK36" s="9"/>
      <c r="FL36" s="9"/>
      <c r="FM36" s="9"/>
    </row>
    <row r="37" spans="1:169" outlineLevel="1" x14ac:dyDescent="0.4">
      <c r="A37" t="s">
        <v>140</v>
      </c>
      <c r="B37" t="s">
        <v>139</v>
      </c>
      <c r="C37" t="s">
        <v>669</v>
      </c>
      <c r="D37" s="9"/>
      <c r="E37" s="9"/>
      <c r="AT37" s="9"/>
      <c r="AU37" s="9"/>
      <c r="AV37" s="9"/>
      <c r="AW37" s="9"/>
      <c r="AX37" s="9"/>
      <c r="AY37" s="9"/>
      <c r="AZ37" s="9"/>
      <c r="BA37" s="9"/>
      <c r="BB37" s="9"/>
      <c r="BC37" s="9"/>
      <c r="BD37" s="9"/>
      <c r="BE37" s="9"/>
      <c r="BF37" s="9"/>
      <c r="BG37" s="9"/>
      <c r="BH37" s="9"/>
      <c r="BI37" s="9"/>
      <c r="BJ37" s="9"/>
      <c r="BK37" s="9"/>
      <c r="BL37" s="9"/>
      <c r="BM37" s="9"/>
      <c r="BN37" s="9"/>
      <c r="BO37" s="9"/>
      <c r="BP37" s="9"/>
      <c r="BQ37" s="9"/>
      <c r="BR37" s="9"/>
      <c r="BS37" s="9"/>
      <c r="BT37" s="9"/>
      <c r="BU37" s="9"/>
      <c r="BV37" s="9"/>
      <c r="BW37" s="9"/>
      <c r="BX37" s="9"/>
      <c r="BY37" s="9"/>
      <c r="BZ37" s="9"/>
      <c r="CA37" s="9"/>
      <c r="CB37" s="9"/>
      <c r="CC37" s="9"/>
      <c r="CD37" s="9"/>
      <c r="CE37" s="9"/>
      <c r="CF37" s="9"/>
      <c r="CG37" s="9"/>
      <c r="CH37" s="9"/>
      <c r="CI37" s="9"/>
      <c r="CJ37" s="9"/>
      <c r="CK37" s="9"/>
      <c r="CL37" s="9"/>
      <c r="CM37" s="9"/>
      <c r="CN37" s="9"/>
      <c r="CO37" s="9"/>
      <c r="CP37" s="9"/>
      <c r="CQ37" s="9"/>
      <c r="CR37" s="9"/>
      <c r="CS37" s="9"/>
      <c r="CT37" s="9"/>
      <c r="CU37" s="9"/>
      <c r="CV37" s="9"/>
      <c r="CW37" s="9"/>
      <c r="CX37" s="9"/>
      <c r="CY37" s="9"/>
      <c r="CZ37" s="9"/>
      <c r="DA37" s="9"/>
      <c r="DB37" s="9"/>
      <c r="DC37" s="9"/>
      <c r="DD37" s="9"/>
      <c r="DE37" s="9"/>
      <c r="DF37" s="9"/>
      <c r="DG37" s="9"/>
      <c r="DH37" s="9"/>
      <c r="DI37" s="9"/>
      <c r="DJ37" s="9"/>
      <c r="DK37" s="9"/>
      <c r="DL37" s="9"/>
      <c r="DM37" s="9"/>
      <c r="DN37" s="9"/>
      <c r="DO37" s="9"/>
      <c r="DP37" s="9"/>
      <c r="DQ37" s="9"/>
      <c r="DR37" s="9"/>
      <c r="DS37" s="9"/>
      <c r="DT37" s="9"/>
      <c r="DU37" s="9"/>
      <c r="DV37" s="9"/>
      <c r="DW37" s="9"/>
      <c r="DX37" s="9"/>
      <c r="DY37" s="9"/>
      <c r="DZ37" s="9"/>
      <c r="EA37" s="9"/>
      <c r="EB37" s="9"/>
      <c r="EC37" s="9"/>
      <c r="ED37" s="9"/>
      <c r="EE37" s="9"/>
      <c r="EF37" s="9"/>
      <c r="EG37" s="9"/>
      <c r="EH37" s="9"/>
      <c r="EI37" s="9"/>
      <c r="EJ37" s="9"/>
      <c r="EK37" s="9"/>
      <c r="EL37" s="9"/>
      <c r="EM37" s="9"/>
      <c r="EN37" s="9"/>
      <c r="EO37" s="9"/>
      <c r="EP37" s="9"/>
      <c r="EQ37" s="9"/>
      <c r="ER37" s="9"/>
      <c r="ES37" s="9"/>
      <c r="ET37" s="9"/>
      <c r="EU37" s="9"/>
      <c r="EV37" s="9"/>
      <c r="EW37" s="9"/>
      <c r="EX37" s="9"/>
      <c r="EY37" s="9"/>
      <c r="EZ37" s="9"/>
      <c r="FA37" s="9"/>
      <c r="FB37" s="9"/>
      <c r="FC37" s="9"/>
      <c r="FD37" s="9"/>
      <c r="FE37" s="9"/>
      <c r="FF37" s="9"/>
      <c r="FG37" s="9"/>
      <c r="FH37" s="9"/>
      <c r="FI37" s="9"/>
      <c r="FJ37" s="9"/>
      <c r="FK37" s="9"/>
      <c r="FL37" s="9"/>
      <c r="FM37" s="9"/>
    </row>
    <row r="38" spans="1:169" outlineLevel="1" x14ac:dyDescent="0.4">
      <c r="A38" t="s">
        <v>142</v>
      </c>
      <c r="B38" t="s">
        <v>141</v>
      </c>
      <c r="C38" t="s">
        <v>669</v>
      </c>
      <c r="D38" s="9"/>
      <c r="E38" s="9"/>
      <c r="AT38" s="9"/>
      <c r="AU38" s="9"/>
      <c r="AV38" s="9"/>
      <c r="AW38" s="9"/>
      <c r="AX38" s="9"/>
      <c r="AY38" s="9"/>
      <c r="AZ38" s="9"/>
      <c r="BA38" s="9"/>
      <c r="BB38" s="9"/>
      <c r="BC38" s="9"/>
      <c r="BD38" s="9"/>
      <c r="BE38" s="9"/>
      <c r="BF38" s="9"/>
      <c r="BG38" s="9"/>
      <c r="BH38" s="9"/>
      <c r="BI38" s="9"/>
      <c r="BJ38" s="9"/>
      <c r="BK38" s="9"/>
      <c r="BL38" s="9"/>
      <c r="BM38" s="9"/>
      <c r="BN38" s="9"/>
      <c r="BO38" s="9"/>
      <c r="BP38" s="9"/>
      <c r="BQ38" s="9"/>
      <c r="BR38" s="9"/>
      <c r="BS38" s="9"/>
      <c r="BT38" s="9"/>
      <c r="BU38" s="9"/>
      <c r="BV38" s="9"/>
      <c r="BW38" s="9"/>
      <c r="BX38" s="9"/>
      <c r="BY38" s="9"/>
      <c r="BZ38" s="9"/>
      <c r="CA38" s="9"/>
      <c r="CB38" s="9"/>
      <c r="CC38" s="9"/>
      <c r="CD38" s="9"/>
      <c r="CE38" s="9"/>
      <c r="CF38" s="9"/>
      <c r="CG38" s="9"/>
      <c r="CH38" s="9"/>
      <c r="CI38" s="9"/>
      <c r="CJ38" s="9"/>
      <c r="CK38" s="9"/>
      <c r="CL38" s="9"/>
      <c r="CM38" s="9"/>
      <c r="CN38" s="9"/>
      <c r="CO38" s="9"/>
      <c r="CP38" s="9"/>
      <c r="CQ38" s="9"/>
      <c r="CR38" s="9"/>
      <c r="CS38" s="9"/>
      <c r="CT38" s="9"/>
      <c r="CU38" s="9"/>
      <c r="CV38" s="9"/>
      <c r="CW38" s="9"/>
      <c r="CX38" s="9"/>
      <c r="CY38" s="9"/>
      <c r="CZ38" s="9"/>
      <c r="DA38" s="9"/>
      <c r="DB38" s="9"/>
      <c r="DC38" s="9"/>
      <c r="DD38" s="9"/>
      <c r="DE38" s="9"/>
      <c r="DF38" s="9"/>
      <c r="DG38" s="9"/>
      <c r="DH38" s="9"/>
      <c r="DI38" s="9"/>
      <c r="DJ38" s="9"/>
      <c r="DK38" s="9"/>
      <c r="DL38" s="9"/>
      <c r="DM38" s="9"/>
      <c r="DN38" s="9"/>
      <c r="DO38" s="9"/>
      <c r="DP38" s="9"/>
      <c r="DQ38" s="9"/>
      <c r="DR38" s="9"/>
      <c r="DS38" s="9"/>
      <c r="DT38" s="9"/>
      <c r="DU38" s="9"/>
      <c r="DV38" s="9"/>
      <c r="DW38" s="9"/>
      <c r="DX38" s="9"/>
      <c r="DY38" s="9"/>
      <c r="DZ38" s="9"/>
      <c r="EA38" s="9"/>
      <c r="EB38" s="9"/>
      <c r="EC38" s="9"/>
      <c r="ED38" s="9"/>
      <c r="EE38" s="9"/>
      <c r="EF38" s="9"/>
      <c r="EG38" s="9"/>
      <c r="EH38" s="9"/>
      <c r="EI38" s="9"/>
      <c r="EJ38" s="9"/>
      <c r="EK38" s="9"/>
      <c r="EL38" s="9"/>
      <c r="EM38" s="9"/>
      <c r="EN38" s="9"/>
      <c r="EO38" s="9"/>
      <c r="EP38" s="9"/>
      <c r="EQ38" s="9"/>
      <c r="ER38" s="9"/>
      <c r="ES38" s="9"/>
      <c r="ET38" s="9"/>
      <c r="EU38" s="9"/>
      <c r="EV38" s="9"/>
      <c r="EW38" s="9"/>
      <c r="EX38" s="9"/>
      <c r="EY38" s="9"/>
      <c r="EZ38" s="9"/>
      <c r="FA38" s="9"/>
      <c r="FB38" s="9"/>
      <c r="FC38" s="9"/>
      <c r="FD38" s="9"/>
      <c r="FE38" s="9"/>
      <c r="FF38" s="9"/>
      <c r="FG38" s="9"/>
      <c r="FH38" s="9"/>
      <c r="FI38" s="9"/>
      <c r="FJ38" s="9"/>
      <c r="FK38" s="9"/>
      <c r="FL38" s="9"/>
      <c r="FM38" s="9"/>
    </row>
    <row r="39" spans="1:169" outlineLevel="1" x14ac:dyDescent="0.4">
      <c r="A39" t="s">
        <v>332</v>
      </c>
      <c r="B39" t="s">
        <v>333</v>
      </c>
      <c r="C39" t="s">
        <v>669</v>
      </c>
      <c r="D39" s="9"/>
      <c r="E39" s="9"/>
      <c r="AT39" s="9"/>
      <c r="AU39" s="9"/>
      <c r="AV39" s="9"/>
      <c r="AW39" s="9"/>
      <c r="AX39" s="9"/>
      <c r="AY39" s="9"/>
      <c r="AZ39" s="9"/>
      <c r="BA39" s="9"/>
      <c r="BB39" s="9"/>
      <c r="BC39" s="9"/>
      <c r="BD39" s="9"/>
      <c r="BE39" s="9"/>
      <c r="BF39" s="9"/>
      <c r="BG39" s="9"/>
      <c r="BH39" s="9"/>
      <c r="BI39" s="9"/>
      <c r="BJ39" s="9"/>
      <c r="BK39" s="9"/>
      <c r="BL39" s="9"/>
      <c r="BM39" s="9"/>
      <c r="BN39" s="9"/>
      <c r="BO39" s="9"/>
      <c r="BP39" s="9"/>
      <c r="BQ39" s="9"/>
      <c r="BR39" s="9"/>
      <c r="BS39" s="9"/>
      <c r="BT39" s="9"/>
      <c r="BU39" s="9"/>
      <c r="BV39" s="9"/>
      <c r="BW39" s="9"/>
      <c r="BX39" s="9"/>
      <c r="BY39" s="9"/>
      <c r="BZ39" s="9"/>
      <c r="CA39" s="9"/>
      <c r="CB39" s="9"/>
      <c r="CC39" s="9"/>
      <c r="CD39" s="9"/>
      <c r="CE39" s="9"/>
      <c r="CF39" s="9"/>
      <c r="CG39" s="9"/>
      <c r="CH39" s="9"/>
      <c r="CI39" s="9"/>
      <c r="CJ39" s="9"/>
      <c r="CK39" s="9"/>
      <c r="CL39" s="9"/>
      <c r="CM39" s="9"/>
      <c r="CN39" s="9"/>
      <c r="CO39" s="9"/>
      <c r="CP39" s="9"/>
      <c r="CQ39" s="9"/>
      <c r="CR39" s="9"/>
      <c r="CS39" s="9"/>
      <c r="CT39" s="9"/>
      <c r="CU39" s="9"/>
      <c r="CV39" s="9"/>
      <c r="CW39" s="9"/>
      <c r="CX39" s="9"/>
      <c r="CY39" s="9"/>
      <c r="CZ39" s="9"/>
      <c r="DA39" s="9"/>
      <c r="DB39" s="9"/>
      <c r="DC39" s="9"/>
      <c r="DD39" s="9"/>
      <c r="DE39" s="9"/>
      <c r="DF39" s="9"/>
      <c r="DG39" s="9"/>
      <c r="DH39" s="9"/>
      <c r="DI39" s="9"/>
      <c r="DJ39" s="9"/>
      <c r="DK39" s="9"/>
      <c r="DL39" s="9"/>
      <c r="DM39" s="9"/>
      <c r="DN39" s="9"/>
      <c r="DO39" s="9"/>
      <c r="DP39" s="9"/>
      <c r="DQ39" s="9"/>
      <c r="DR39" s="9"/>
      <c r="DS39" s="9"/>
      <c r="DT39" s="9"/>
      <c r="DU39" s="9"/>
      <c r="DV39" s="9"/>
      <c r="DW39" s="9"/>
      <c r="DX39" s="9"/>
      <c r="DY39" s="9"/>
      <c r="DZ39" s="9"/>
      <c r="EA39" s="9"/>
      <c r="EB39" s="9"/>
      <c r="EC39" s="9"/>
      <c r="ED39" s="9"/>
      <c r="EE39" s="9"/>
      <c r="EF39" s="9"/>
      <c r="EG39" s="9"/>
      <c r="EH39" s="9"/>
      <c r="EI39" s="9"/>
      <c r="EJ39" s="9"/>
      <c r="EK39" s="9"/>
      <c r="EL39" s="9"/>
      <c r="EM39" s="9"/>
      <c r="EN39" s="9"/>
      <c r="EO39" s="9"/>
      <c r="EP39" s="9"/>
      <c r="EQ39" s="9"/>
      <c r="ER39" s="9"/>
      <c r="ES39" s="9"/>
      <c r="ET39" s="9"/>
      <c r="EU39" s="9"/>
      <c r="EV39" s="9"/>
      <c r="EW39" s="9"/>
      <c r="EX39" s="9"/>
      <c r="EY39" s="9"/>
      <c r="EZ39" s="9"/>
      <c r="FA39" s="9"/>
      <c r="FB39" s="9"/>
      <c r="FC39" s="9"/>
      <c r="FD39" s="9"/>
      <c r="FE39" s="9"/>
      <c r="FF39" s="9"/>
      <c r="FG39" s="9"/>
      <c r="FH39" s="9"/>
      <c r="FI39" s="9"/>
      <c r="FJ39" s="9"/>
      <c r="FK39" s="9"/>
      <c r="FL39" s="9"/>
      <c r="FM39" s="9"/>
    </row>
    <row r="40" spans="1:169" outlineLevel="1" x14ac:dyDescent="0.4">
      <c r="A40" t="s">
        <v>174</v>
      </c>
      <c r="B40" t="s">
        <v>175</v>
      </c>
      <c r="C40" t="s">
        <v>669</v>
      </c>
      <c r="D40" s="9"/>
      <c r="E40" s="9"/>
      <c r="AT40" s="9"/>
      <c r="AU40" s="9"/>
      <c r="AV40" s="9"/>
      <c r="AW40" s="9"/>
      <c r="AX40" s="9"/>
      <c r="AY40" s="9"/>
      <c r="AZ40" s="9"/>
      <c r="BA40" s="9"/>
      <c r="BB40" s="9"/>
      <c r="BC40" s="9"/>
      <c r="BD40" s="9"/>
      <c r="BE40" s="9"/>
      <c r="BF40" s="9"/>
      <c r="BG40" s="9"/>
      <c r="BH40" s="9"/>
      <c r="BI40" s="9"/>
      <c r="BJ40" s="9"/>
      <c r="BK40" s="9"/>
      <c r="BL40" s="9"/>
      <c r="BM40" s="9"/>
      <c r="BN40" s="9"/>
      <c r="BO40" s="9"/>
      <c r="BP40" s="9"/>
      <c r="BQ40" s="9"/>
      <c r="BR40" s="9"/>
      <c r="BS40" s="9"/>
      <c r="BT40" s="9"/>
      <c r="BU40" s="9"/>
      <c r="BV40" s="9"/>
      <c r="BW40" s="9"/>
      <c r="BX40" s="9"/>
      <c r="BY40" s="9"/>
      <c r="BZ40" s="9"/>
      <c r="CA40" s="9"/>
      <c r="CB40" s="9"/>
      <c r="CC40" s="9"/>
      <c r="CD40" s="9"/>
      <c r="CE40" s="9"/>
      <c r="CF40" s="9"/>
      <c r="CG40" s="9"/>
      <c r="CH40" s="9"/>
      <c r="CI40" s="9"/>
      <c r="CJ40" s="9"/>
      <c r="CK40" s="9"/>
      <c r="CL40" s="9"/>
      <c r="CM40" s="9"/>
      <c r="CN40" s="9"/>
      <c r="CO40" s="9"/>
      <c r="CP40" s="9"/>
      <c r="CQ40" s="9"/>
      <c r="CR40" s="9"/>
      <c r="CS40" s="9"/>
      <c r="CT40" s="9"/>
      <c r="CU40" s="9"/>
      <c r="CV40" s="9"/>
      <c r="CW40" s="9"/>
      <c r="CX40" s="9"/>
      <c r="CY40" s="9"/>
      <c r="CZ40" s="9"/>
      <c r="DA40" s="9"/>
      <c r="DB40" s="9"/>
      <c r="DC40" s="9"/>
      <c r="DD40" s="9"/>
      <c r="DE40" s="9"/>
      <c r="DF40" s="9"/>
      <c r="DG40" s="9"/>
      <c r="DH40" s="9"/>
      <c r="DI40" s="9"/>
      <c r="DJ40" s="9"/>
      <c r="DK40" s="9"/>
      <c r="DL40" s="9"/>
      <c r="DM40" s="9"/>
      <c r="DN40" s="9"/>
      <c r="DO40" s="9"/>
      <c r="DP40" s="9"/>
      <c r="DQ40" s="9"/>
      <c r="DR40" s="9"/>
      <c r="DS40" s="9"/>
      <c r="DT40" s="9"/>
      <c r="DU40" s="9"/>
      <c r="DV40" s="9"/>
      <c r="DW40" s="9"/>
      <c r="DX40" s="9"/>
      <c r="DY40" s="9"/>
      <c r="DZ40" s="9"/>
      <c r="EA40" s="9"/>
      <c r="EB40" s="9"/>
      <c r="EC40" s="9"/>
      <c r="ED40" s="9"/>
      <c r="EE40" s="9"/>
      <c r="EF40" s="9"/>
      <c r="EG40" s="9"/>
      <c r="EH40" s="9"/>
      <c r="EI40" s="9"/>
      <c r="EJ40" s="9"/>
      <c r="EK40" s="9"/>
      <c r="EL40" s="9"/>
      <c r="EM40" s="9"/>
      <c r="EN40" s="9"/>
      <c r="EO40" s="9"/>
      <c r="EP40" s="9"/>
      <c r="EQ40" s="9"/>
      <c r="ER40" s="9"/>
      <c r="ES40" s="9"/>
      <c r="ET40" s="9"/>
      <c r="EU40" s="9"/>
      <c r="EV40" s="9"/>
      <c r="EW40" s="9"/>
      <c r="EX40" s="9"/>
      <c r="EY40" s="9"/>
      <c r="EZ40" s="9"/>
      <c r="FA40" s="9"/>
      <c r="FB40" s="9"/>
      <c r="FC40" s="9"/>
      <c r="FD40" s="9"/>
      <c r="FE40" s="9"/>
      <c r="FF40" s="9"/>
      <c r="FG40" s="9"/>
      <c r="FH40" s="9"/>
      <c r="FI40" s="9"/>
      <c r="FJ40" s="9"/>
      <c r="FK40" s="9"/>
      <c r="FL40" s="9"/>
      <c r="FM40" s="9"/>
    </row>
    <row r="41" spans="1:169" outlineLevel="1" x14ac:dyDescent="0.4">
      <c r="A41" t="s">
        <v>150</v>
      </c>
      <c r="B41" t="s">
        <v>149</v>
      </c>
      <c r="C41" t="s">
        <v>669</v>
      </c>
      <c r="D41" s="9"/>
      <c r="E41" s="9"/>
      <c r="AT41" s="9"/>
      <c r="AU41" s="9"/>
      <c r="AV41" s="9"/>
      <c r="AW41" s="9"/>
      <c r="AX41" s="9"/>
      <c r="AY41" s="9"/>
      <c r="AZ41" s="9"/>
      <c r="BA41" s="9"/>
      <c r="BB41" s="9"/>
      <c r="BC41" s="9"/>
      <c r="BD41" s="9"/>
      <c r="BE41" s="9"/>
      <c r="BF41" s="9"/>
      <c r="BG41" s="9"/>
      <c r="BH41" s="9"/>
      <c r="BI41" s="9"/>
      <c r="BJ41" s="9"/>
      <c r="BK41" s="9"/>
      <c r="BL41" s="9"/>
      <c r="BM41" s="9"/>
      <c r="BN41" s="9"/>
      <c r="BO41" s="9"/>
      <c r="BP41" s="9"/>
      <c r="BQ41" s="9"/>
      <c r="BR41" s="9"/>
      <c r="BS41" s="9"/>
      <c r="BT41" s="9"/>
      <c r="BU41" s="9"/>
      <c r="BV41" s="9"/>
      <c r="BW41" s="9"/>
      <c r="BX41" s="9"/>
      <c r="BY41" s="9"/>
      <c r="BZ41" s="9"/>
      <c r="CA41" s="9"/>
      <c r="CB41" s="9"/>
      <c r="CC41" s="9"/>
      <c r="CD41" s="9"/>
      <c r="CE41" s="9"/>
      <c r="CF41" s="9"/>
      <c r="CG41" s="9"/>
      <c r="CH41" s="9"/>
      <c r="CI41" s="9"/>
      <c r="CJ41" s="9"/>
      <c r="CK41" s="9"/>
      <c r="CL41" s="9"/>
      <c r="CM41" s="9"/>
      <c r="CN41" s="9"/>
      <c r="CO41" s="9"/>
      <c r="CP41" s="9"/>
      <c r="CQ41" s="9"/>
      <c r="CR41" s="9"/>
      <c r="CS41" s="9"/>
      <c r="CT41" s="9"/>
      <c r="CU41" s="9"/>
      <c r="CV41" s="9"/>
      <c r="CW41" s="9"/>
      <c r="CX41" s="9"/>
      <c r="CY41" s="9"/>
      <c r="CZ41" s="9"/>
      <c r="DA41" s="9"/>
      <c r="DB41" s="9"/>
      <c r="DC41" s="9"/>
      <c r="DD41" s="9"/>
      <c r="DE41" s="9"/>
      <c r="DF41" s="9"/>
      <c r="DG41" s="9"/>
      <c r="DH41" s="9"/>
      <c r="DI41" s="9"/>
      <c r="DJ41" s="9"/>
      <c r="DK41" s="9"/>
      <c r="DL41" s="9"/>
      <c r="DM41" s="9"/>
      <c r="DN41" s="9"/>
      <c r="DO41" s="9"/>
      <c r="DP41" s="9"/>
      <c r="DQ41" s="9"/>
      <c r="DR41" s="9"/>
      <c r="DS41" s="9"/>
      <c r="DT41" s="9"/>
      <c r="DU41" s="9"/>
      <c r="DV41" s="9"/>
      <c r="DW41" s="9"/>
      <c r="DX41" s="9"/>
      <c r="DY41" s="9"/>
      <c r="DZ41" s="9"/>
      <c r="EA41" s="9"/>
      <c r="EB41" s="9"/>
      <c r="EC41" s="9"/>
      <c r="ED41" s="9"/>
      <c r="EE41" s="9"/>
      <c r="EF41" s="9"/>
      <c r="EG41" s="9"/>
      <c r="EH41" s="9"/>
      <c r="EI41" s="9"/>
      <c r="EJ41" s="9"/>
      <c r="EK41" s="9"/>
      <c r="EL41" s="9"/>
      <c r="EM41" s="9"/>
      <c r="EN41" s="9"/>
      <c r="EO41" s="9"/>
      <c r="EP41" s="9"/>
      <c r="EQ41" s="9"/>
      <c r="ER41" s="9"/>
      <c r="ES41" s="9"/>
      <c r="ET41" s="9"/>
      <c r="EU41" s="9"/>
      <c r="EV41" s="9"/>
      <c r="EW41" s="9"/>
      <c r="EX41" s="9"/>
      <c r="EY41" s="9"/>
      <c r="EZ41" s="9"/>
      <c r="FA41" s="9"/>
      <c r="FB41" s="9"/>
      <c r="FC41" s="9"/>
      <c r="FD41" s="9"/>
      <c r="FE41" s="9"/>
      <c r="FF41" s="9"/>
      <c r="FG41" s="9"/>
      <c r="FH41" s="9"/>
      <c r="FI41" s="9"/>
      <c r="FJ41" s="9"/>
      <c r="FK41" s="9"/>
      <c r="FL41" s="9"/>
      <c r="FM41" s="9"/>
    </row>
    <row r="42" spans="1:169" outlineLevel="1" x14ac:dyDescent="0.4">
      <c r="A42" t="s">
        <v>152</v>
      </c>
      <c r="B42" t="s">
        <v>151</v>
      </c>
      <c r="C42" t="s">
        <v>669</v>
      </c>
      <c r="D42" s="9"/>
      <c r="E42" s="9"/>
      <c r="AT42" s="9"/>
      <c r="AU42" s="9"/>
      <c r="AV42" s="9"/>
      <c r="AW42" s="9"/>
      <c r="AX42" s="9"/>
      <c r="AY42" s="9"/>
      <c r="AZ42" s="9"/>
      <c r="BA42" s="9"/>
      <c r="BB42" s="9"/>
      <c r="BC42" s="9"/>
      <c r="BD42" s="9"/>
      <c r="BE42" s="9"/>
      <c r="BF42" s="9"/>
      <c r="BG42" s="9"/>
      <c r="BH42" s="9"/>
      <c r="BI42" s="9"/>
      <c r="BJ42" s="9"/>
      <c r="BK42" s="9"/>
      <c r="BL42" s="9"/>
      <c r="BM42" s="9"/>
      <c r="BN42" s="9"/>
      <c r="BO42" s="9"/>
      <c r="BP42" s="9"/>
      <c r="BQ42" s="9"/>
      <c r="BR42" s="9"/>
      <c r="BS42" s="9"/>
      <c r="BT42" s="9"/>
      <c r="BU42" s="9"/>
      <c r="BV42" s="9"/>
      <c r="BW42" s="9"/>
      <c r="BX42" s="9"/>
      <c r="BY42" s="9"/>
      <c r="BZ42" s="9"/>
      <c r="CA42" s="9"/>
      <c r="CB42" s="9"/>
      <c r="CC42" s="9"/>
      <c r="CD42" s="9"/>
      <c r="CE42" s="9"/>
      <c r="CF42" s="9"/>
      <c r="CG42" s="9"/>
      <c r="CH42" s="9"/>
      <c r="CI42" s="9"/>
      <c r="CJ42" s="9"/>
      <c r="CK42" s="9"/>
      <c r="CL42" s="9"/>
      <c r="CM42" s="9"/>
      <c r="CN42" s="9"/>
      <c r="CO42" s="9"/>
      <c r="CP42" s="9"/>
      <c r="CQ42" s="9"/>
      <c r="CR42" s="9"/>
      <c r="CS42" s="9"/>
      <c r="CT42" s="9"/>
      <c r="CU42" s="9"/>
      <c r="CV42" s="9"/>
      <c r="CW42" s="9"/>
      <c r="CX42" s="9"/>
      <c r="CY42" s="9"/>
      <c r="CZ42" s="9"/>
      <c r="DA42" s="9"/>
      <c r="DB42" s="9"/>
      <c r="DC42" s="9"/>
      <c r="DD42" s="9"/>
      <c r="DE42" s="9"/>
      <c r="DF42" s="9"/>
      <c r="DG42" s="9"/>
      <c r="DH42" s="9"/>
      <c r="DI42" s="9"/>
      <c r="DJ42" s="9"/>
      <c r="DK42" s="9"/>
      <c r="DL42" s="9"/>
      <c r="DM42" s="9"/>
      <c r="DN42" s="9"/>
      <c r="DO42" s="9"/>
      <c r="DP42" s="9"/>
      <c r="DQ42" s="9"/>
      <c r="DR42" s="9"/>
      <c r="DS42" s="9"/>
      <c r="DT42" s="9"/>
      <c r="DU42" s="9"/>
      <c r="DV42" s="9"/>
      <c r="DW42" s="9"/>
      <c r="DX42" s="9"/>
      <c r="DY42" s="9"/>
      <c r="DZ42" s="9"/>
      <c r="EA42" s="9"/>
      <c r="EB42" s="9"/>
      <c r="EC42" s="9"/>
      <c r="ED42" s="9"/>
      <c r="EE42" s="9"/>
      <c r="EF42" s="9"/>
      <c r="EG42" s="9"/>
      <c r="EH42" s="9"/>
      <c r="EI42" s="9"/>
      <c r="EJ42" s="9"/>
      <c r="EK42" s="9"/>
      <c r="EL42" s="9"/>
      <c r="EM42" s="9"/>
      <c r="EN42" s="9"/>
      <c r="EO42" s="9"/>
      <c r="EP42" s="9"/>
      <c r="EQ42" s="9"/>
      <c r="ER42" s="9"/>
      <c r="ES42" s="9"/>
      <c r="ET42" s="9"/>
      <c r="EU42" s="9"/>
      <c r="EV42" s="9"/>
      <c r="EW42" s="9"/>
      <c r="EX42" s="9"/>
      <c r="EY42" s="9"/>
      <c r="EZ42" s="9"/>
      <c r="FA42" s="9"/>
      <c r="FB42" s="9"/>
      <c r="FC42" s="9"/>
      <c r="FD42" s="9"/>
      <c r="FE42" s="9"/>
      <c r="FF42" s="9"/>
      <c r="FG42" s="9"/>
      <c r="FH42" s="9"/>
      <c r="FI42" s="9"/>
      <c r="FJ42" s="9"/>
      <c r="FK42" s="9"/>
      <c r="FL42" s="9"/>
      <c r="FM42" s="9"/>
    </row>
    <row r="43" spans="1:169" outlineLevel="1" x14ac:dyDescent="0.4">
      <c r="A43" t="s">
        <v>154</v>
      </c>
      <c r="B43" t="s">
        <v>153</v>
      </c>
      <c r="C43" t="s">
        <v>669</v>
      </c>
      <c r="D43" s="9"/>
      <c r="E43" s="9"/>
      <c r="AT43" s="9"/>
      <c r="AU43" s="9"/>
      <c r="AV43" s="9"/>
      <c r="AW43" s="9"/>
      <c r="AX43" s="9"/>
      <c r="AY43" s="9"/>
      <c r="AZ43" s="9"/>
      <c r="BA43" s="9"/>
      <c r="BB43" s="9"/>
      <c r="BC43" s="9"/>
      <c r="BD43" s="9"/>
      <c r="BE43" s="9"/>
      <c r="BF43" s="9"/>
      <c r="BG43" s="9"/>
      <c r="BH43" s="9"/>
      <c r="BI43" s="9"/>
      <c r="BJ43" s="9"/>
      <c r="BK43" s="9"/>
      <c r="BL43" s="9"/>
      <c r="BM43" s="9"/>
      <c r="BN43" s="9"/>
      <c r="BO43" s="9"/>
      <c r="BP43" s="9"/>
      <c r="BQ43" s="9"/>
      <c r="BR43" s="9"/>
      <c r="BS43" s="9"/>
      <c r="BT43" s="9"/>
      <c r="BU43" s="9"/>
      <c r="BV43" s="9"/>
      <c r="BW43" s="9"/>
      <c r="BX43" s="9"/>
      <c r="BY43" s="9"/>
      <c r="BZ43" s="9"/>
      <c r="CA43" s="9"/>
      <c r="CB43" s="9"/>
      <c r="CC43" s="9"/>
      <c r="CD43" s="9"/>
      <c r="CE43" s="9"/>
      <c r="CF43" s="9"/>
      <c r="CG43" s="9"/>
      <c r="CH43" s="9"/>
      <c r="CI43" s="9"/>
      <c r="CJ43" s="9"/>
      <c r="CK43" s="9"/>
      <c r="CL43" s="9"/>
      <c r="CM43" s="9"/>
      <c r="CN43" s="9"/>
      <c r="CO43" s="9"/>
      <c r="CP43" s="9"/>
      <c r="CQ43" s="9"/>
      <c r="CR43" s="9"/>
      <c r="CS43" s="9"/>
      <c r="CT43" s="9"/>
      <c r="CU43" s="9"/>
      <c r="CV43" s="9"/>
      <c r="CW43" s="9"/>
      <c r="CX43" s="9"/>
      <c r="CY43" s="9"/>
      <c r="CZ43" s="9"/>
      <c r="DA43" s="9"/>
      <c r="DB43" s="9"/>
      <c r="DC43" s="9"/>
      <c r="DD43" s="9"/>
      <c r="DE43" s="9"/>
      <c r="DF43" s="9"/>
      <c r="DG43" s="9"/>
      <c r="DH43" s="9"/>
      <c r="DI43" s="9"/>
      <c r="DJ43" s="9"/>
      <c r="DK43" s="9"/>
      <c r="DL43" s="9"/>
      <c r="DM43" s="9"/>
      <c r="DN43" s="9"/>
      <c r="DO43" s="9"/>
      <c r="DP43" s="9"/>
      <c r="DQ43" s="9"/>
      <c r="DR43" s="9"/>
      <c r="DS43" s="9"/>
      <c r="DT43" s="9"/>
      <c r="DU43" s="9"/>
      <c r="DV43" s="9"/>
      <c r="DW43" s="9"/>
      <c r="DX43" s="9"/>
      <c r="DY43" s="9"/>
      <c r="DZ43" s="9"/>
      <c r="EA43" s="9"/>
      <c r="EB43" s="9"/>
      <c r="EC43" s="9"/>
      <c r="ED43" s="9"/>
      <c r="EE43" s="9"/>
      <c r="EF43" s="9"/>
      <c r="EG43" s="9"/>
      <c r="EH43" s="9"/>
      <c r="EI43" s="9"/>
      <c r="EJ43" s="9"/>
      <c r="EK43" s="9"/>
      <c r="EL43" s="9"/>
      <c r="EM43" s="9"/>
      <c r="EN43" s="9"/>
      <c r="EO43" s="9"/>
      <c r="EP43" s="9"/>
      <c r="EQ43" s="9"/>
      <c r="ER43" s="9"/>
      <c r="ES43" s="9"/>
      <c r="ET43" s="9"/>
      <c r="EU43" s="9"/>
      <c r="EV43" s="9"/>
      <c r="EW43" s="9"/>
      <c r="EX43" s="9"/>
      <c r="EY43" s="9"/>
      <c r="EZ43" s="9"/>
      <c r="FA43" s="9"/>
      <c r="FB43" s="9"/>
      <c r="FC43" s="9"/>
      <c r="FD43" s="9"/>
      <c r="FE43" s="9"/>
      <c r="FF43" s="9"/>
      <c r="FG43" s="9"/>
      <c r="FH43" s="9"/>
      <c r="FI43" s="9"/>
      <c r="FJ43" s="9"/>
      <c r="FK43" s="9"/>
      <c r="FL43" s="9"/>
      <c r="FM43" s="9"/>
    </row>
    <row r="44" spans="1:169" outlineLevel="1" x14ac:dyDescent="0.4">
      <c r="A44" t="s">
        <v>616</v>
      </c>
      <c r="B44" t="s">
        <v>155</v>
      </c>
      <c r="C44" t="s">
        <v>669</v>
      </c>
      <c r="D44" s="9"/>
      <c r="E44" s="9"/>
      <c r="AT44" s="9"/>
      <c r="AU44" s="9"/>
      <c r="AV44" s="9"/>
      <c r="AW44" s="9"/>
      <c r="AX44" s="9"/>
      <c r="AY44" s="9"/>
      <c r="AZ44" s="9"/>
      <c r="BA44" s="9"/>
      <c r="BB44" s="9"/>
      <c r="BC44" s="9"/>
      <c r="BD44" s="9"/>
      <c r="BE44" s="9"/>
      <c r="BF44" s="9"/>
      <c r="BG44" s="9"/>
      <c r="BH44" s="9"/>
      <c r="BI44" s="9"/>
      <c r="BJ44" s="9"/>
      <c r="BK44" s="9"/>
      <c r="BL44" s="9"/>
      <c r="BM44" s="9"/>
      <c r="BN44" s="9"/>
      <c r="BO44" s="9"/>
      <c r="BP44" s="9"/>
      <c r="BQ44" s="9"/>
      <c r="BR44" s="9"/>
      <c r="BS44" s="9"/>
      <c r="BT44" s="9"/>
      <c r="BU44" s="9"/>
      <c r="BV44" s="9"/>
      <c r="BW44" s="9"/>
      <c r="BX44" s="9"/>
      <c r="BY44" s="9"/>
      <c r="BZ44" s="9"/>
      <c r="CA44" s="9"/>
      <c r="CB44" s="9"/>
      <c r="CC44" s="9"/>
      <c r="CD44" s="9"/>
      <c r="CE44" s="9"/>
      <c r="CF44" s="9"/>
      <c r="CG44" s="9"/>
      <c r="CH44" s="9"/>
      <c r="CI44" s="9"/>
      <c r="CJ44" s="9"/>
      <c r="CK44" s="9"/>
      <c r="CL44" s="9"/>
      <c r="CM44" s="9"/>
      <c r="CN44" s="9"/>
      <c r="CO44" s="9"/>
      <c r="CP44" s="9"/>
      <c r="CQ44" s="9"/>
      <c r="CR44" s="9"/>
      <c r="CS44" s="9"/>
      <c r="CT44" s="9"/>
      <c r="CU44" s="9"/>
      <c r="CV44" s="9"/>
      <c r="CW44" s="9"/>
      <c r="CX44" s="9"/>
      <c r="CY44" s="9"/>
      <c r="CZ44" s="9"/>
      <c r="DA44" s="9"/>
      <c r="DB44" s="9"/>
      <c r="DC44" s="9"/>
      <c r="DD44" s="9"/>
      <c r="DE44" s="9"/>
      <c r="DF44" s="9"/>
      <c r="DG44" s="9"/>
      <c r="DH44" s="9"/>
      <c r="DI44" s="9"/>
      <c r="DJ44" s="9"/>
      <c r="DK44" s="9"/>
      <c r="DL44" s="9"/>
      <c r="DM44" s="9"/>
      <c r="DN44" s="9"/>
      <c r="DO44" s="9"/>
      <c r="DP44" s="9"/>
      <c r="DQ44" s="9"/>
      <c r="DR44" s="9"/>
      <c r="DS44" s="9"/>
      <c r="DT44" s="9"/>
      <c r="DU44" s="9"/>
      <c r="DV44" s="9"/>
      <c r="DW44" s="9"/>
      <c r="DX44" s="9"/>
      <c r="DY44" s="9"/>
      <c r="DZ44" s="9"/>
      <c r="EA44" s="9"/>
      <c r="EB44" s="9"/>
      <c r="EC44" s="9"/>
      <c r="ED44" s="9"/>
      <c r="EE44" s="9"/>
      <c r="EF44" s="9"/>
      <c r="EG44" s="9"/>
      <c r="EH44" s="9"/>
      <c r="EI44" s="9"/>
      <c r="EJ44" s="9"/>
      <c r="EK44" s="9"/>
      <c r="EL44" s="9"/>
      <c r="EM44" s="9"/>
      <c r="EN44" s="9"/>
      <c r="EO44" s="9"/>
      <c r="EP44" s="9"/>
      <c r="EQ44" s="9"/>
      <c r="ER44" s="9"/>
      <c r="ES44" s="9"/>
      <c r="ET44" s="9"/>
      <c r="EU44" s="9"/>
      <c r="EV44" s="9"/>
      <c r="EW44" s="9"/>
      <c r="EX44" s="9"/>
      <c r="EY44" s="9"/>
      <c r="EZ44" s="9"/>
      <c r="FA44" s="9"/>
      <c r="FB44" s="9"/>
      <c r="FC44" s="9"/>
      <c r="FD44" s="9"/>
      <c r="FE44" s="9"/>
      <c r="FF44" s="9"/>
      <c r="FG44" s="9"/>
      <c r="FH44" s="9"/>
      <c r="FI44" s="9"/>
      <c r="FJ44" s="9"/>
      <c r="FK44" s="9"/>
      <c r="FL44" s="9"/>
      <c r="FM44" s="9"/>
    </row>
    <row r="45" spans="1:169" outlineLevel="1" x14ac:dyDescent="0.4">
      <c r="A45" t="s">
        <v>166</v>
      </c>
      <c r="B45" t="s">
        <v>171</v>
      </c>
      <c r="C45" t="s">
        <v>669</v>
      </c>
      <c r="D45" s="9"/>
      <c r="E45" s="9"/>
      <c r="AT45" s="9"/>
      <c r="AU45" s="9"/>
      <c r="AV45" s="9"/>
      <c r="AW45" s="9"/>
      <c r="AX45" s="9"/>
      <c r="AY45" s="9"/>
      <c r="AZ45" s="9"/>
      <c r="BA45" s="9"/>
      <c r="BB45" s="9"/>
      <c r="BC45" s="9"/>
      <c r="BD45" s="9"/>
      <c r="BE45" s="9"/>
      <c r="BF45" s="9"/>
      <c r="BG45" s="9"/>
      <c r="BH45" s="9"/>
      <c r="BI45" s="9"/>
      <c r="BJ45" s="9"/>
      <c r="BK45" s="9"/>
      <c r="BL45" s="9"/>
      <c r="BM45" s="9"/>
      <c r="BN45" s="9"/>
      <c r="BO45" s="9"/>
      <c r="BP45" s="9"/>
      <c r="BQ45" s="9"/>
      <c r="BR45" s="9"/>
      <c r="BS45" s="9"/>
      <c r="BT45" s="9"/>
      <c r="BU45" s="9"/>
      <c r="BV45" s="9"/>
      <c r="BW45" s="9"/>
      <c r="BX45" s="9"/>
      <c r="BY45" s="9"/>
      <c r="BZ45" s="9"/>
      <c r="CA45" s="9"/>
      <c r="CB45" s="9"/>
      <c r="CC45" s="9"/>
      <c r="CD45" s="9"/>
      <c r="CE45" s="9"/>
      <c r="CF45" s="9"/>
      <c r="CG45" s="9"/>
      <c r="CH45" s="9"/>
      <c r="CI45" s="9"/>
      <c r="CJ45" s="9"/>
      <c r="CK45" s="9"/>
      <c r="CL45" s="9"/>
      <c r="CM45" s="9"/>
      <c r="CN45" s="9"/>
      <c r="CO45" s="9"/>
      <c r="CP45" s="9"/>
      <c r="CQ45" s="9"/>
      <c r="CR45" s="9"/>
      <c r="CS45" s="9"/>
      <c r="CT45" s="9"/>
      <c r="CU45" s="9"/>
      <c r="CV45" s="9"/>
      <c r="CW45" s="9"/>
      <c r="CX45" s="9"/>
      <c r="CY45" s="9"/>
      <c r="CZ45" s="9"/>
      <c r="DA45" s="9"/>
      <c r="DB45" s="9"/>
      <c r="DC45" s="9"/>
      <c r="DD45" s="9"/>
      <c r="DE45" s="9"/>
      <c r="DF45" s="9"/>
      <c r="DG45" s="9"/>
      <c r="DH45" s="9"/>
      <c r="DI45" s="9"/>
      <c r="DJ45" s="9"/>
      <c r="DK45" s="9"/>
      <c r="DL45" s="9"/>
      <c r="DM45" s="9"/>
      <c r="DN45" s="9"/>
      <c r="DO45" s="9"/>
      <c r="DP45" s="9"/>
      <c r="DQ45" s="9"/>
      <c r="DR45" s="9"/>
      <c r="DS45" s="9"/>
      <c r="DT45" s="9"/>
      <c r="DU45" s="9"/>
      <c r="DV45" s="9"/>
      <c r="DW45" s="9"/>
      <c r="DX45" s="9"/>
      <c r="DY45" s="9"/>
      <c r="DZ45" s="9"/>
      <c r="EA45" s="9"/>
      <c r="EB45" s="9"/>
      <c r="EC45" s="9"/>
      <c r="ED45" s="9"/>
      <c r="EE45" s="9"/>
      <c r="EF45" s="9"/>
      <c r="EG45" s="9"/>
      <c r="EH45" s="9"/>
      <c r="EI45" s="9"/>
      <c r="EJ45" s="9"/>
      <c r="EK45" s="9"/>
      <c r="EL45" s="9"/>
      <c r="EM45" s="9"/>
      <c r="EN45" s="9"/>
      <c r="EO45" s="9"/>
      <c r="EP45" s="9"/>
      <c r="EQ45" s="9"/>
      <c r="ER45" s="9"/>
      <c r="ES45" s="9"/>
      <c r="ET45" s="9"/>
      <c r="EU45" s="9"/>
      <c r="EV45" s="9"/>
      <c r="EW45" s="9"/>
      <c r="EX45" s="9"/>
      <c r="EY45" s="9"/>
      <c r="EZ45" s="9"/>
      <c r="FA45" s="9"/>
      <c r="FB45" s="9"/>
      <c r="FC45" s="9"/>
      <c r="FD45" s="9"/>
      <c r="FE45" s="9"/>
      <c r="FF45" s="9"/>
      <c r="FG45" s="9"/>
      <c r="FH45" s="9"/>
      <c r="FI45" s="9"/>
      <c r="FJ45" s="9"/>
      <c r="FK45" s="9"/>
      <c r="FL45" s="9"/>
      <c r="FM45" s="9"/>
    </row>
    <row r="46" spans="1:169" outlineLevel="1" x14ac:dyDescent="0.4">
      <c r="A46" t="s">
        <v>167</v>
      </c>
      <c r="B46" t="s">
        <v>172</v>
      </c>
      <c r="C46" t="s">
        <v>669</v>
      </c>
      <c r="D46" s="9"/>
      <c r="E46" s="9"/>
      <c r="AT46" s="9"/>
      <c r="AU46" s="9"/>
      <c r="AV46" s="9"/>
      <c r="AW46" s="9"/>
      <c r="AX46" s="9"/>
      <c r="AY46" s="9"/>
      <c r="AZ46" s="9"/>
      <c r="BA46" s="9"/>
      <c r="BB46" s="9"/>
      <c r="BC46" s="9"/>
      <c r="BD46" s="9"/>
      <c r="BE46" s="9"/>
      <c r="BF46" s="9"/>
      <c r="BG46" s="9"/>
      <c r="BH46" s="9"/>
      <c r="BI46" s="9"/>
      <c r="BJ46" s="9"/>
      <c r="BK46" s="9"/>
      <c r="BL46" s="9"/>
      <c r="BM46" s="9"/>
      <c r="BN46" s="9"/>
      <c r="BO46" s="9"/>
      <c r="BP46" s="9"/>
      <c r="BQ46" s="9"/>
      <c r="BR46" s="9"/>
      <c r="BS46" s="9"/>
      <c r="BT46" s="9"/>
      <c r="BU46" s="9"/>
      <c r="BV46" s="9"/>
      <c r="BW46" s="9"/>
      <c r="BX46" s="9"/>
      <c r="BY46" s="9"/>
      <c r="BZ46" s="9"/>
      <c r="CA46" s="9"/>
      <c r="CB46" s="9"/>
      <c r="CC46" s="9"/>
      <c r="CD46" s="9"/>
      <c r="CE46" s="9"/>
      <c r="CF46" s="9"/>
      <c r="CG46" s="9"/>
      <c r="CH46" s="9"/>
      <c r="CI46" s="9"/>
      <c r="CJ46" s="9"/>
      <c r="CK46" s="9"/>
      <c r="CL46" s="9"/>
      <c r="CM46" s="9"/>
      <c r="CN46" s="9"/>
      <c r="CO46" s="9"/>
      <c r="CP46" s="9"/>
      <c r="CQ46" s="9"/>
      <c r="CR46" s="9"/>
      <c r="CS46" s="9"/>
      <c r="CT46" s="9"/>
      <c r="CU46" s="9"/>
      <c r="CV46" s="9"/>
      <c r="CW46" s="9"/>
      <c r="CX46" s="9"/>
      <c r="CY46" s="9"/>
      <c r="CZ46" s="9"/>
      <c r="DA46" s="9"/>
      <c r="DB46" s="9"/>
      <c r="DC46" s="9"/>
      <c r="DD46" s="9"/>
      <c r="DE46" s="9"/>
      <c r="DF46" s="9"/>
      <c r="DG46" s="9"/>
      <c r="DH46" s="9"/>
      <c r="DI46" s="9"/>
      <c r="DJ46" s="9"/>
      <c r="DK46" s="9"/>
      <c r="DL46" s="9"/>
      <c r="DM46" s="9"/>
      <c r="DN46" s="9"/>
      <c r="DO46" s="9"/>
      <c r="DP46" s="9"/>
      <c r="DQ46" s="9"/>
      <c r="DR46" s="9"/>
      <c r="DS46" s="9"/>
      <c r="DT46" s="9"/>
      <c r="DU46" s="9"/>
      <c r="DV46" s="9"/>
      <c r="DW46" s="9"/>
      <c r="DX46" s="9"/>
      <c r="DY46" s="9"/>
      <c r="DZ46" s="9"/>
      <c r="EA46" s="9"/>
      <c r="EB46" s="9"/>
      <c r="EC46" s="9"/>
      <c r="ED46" s="9"/>
      <c r="EE46" s="9"/>
      <c r="EF46" s="9"/>
      <c r="EG46" s="9"/>
      <c r="EH46" s="9"/>
      <c r="EI46" s="9"/>
      <c r="EJ46" s="9"/>
      <c r="EK46" s="9"/>
      <c r="EL46" s="9"/>
      <c r="EM46" s="9"/>
      <c r="EN46" s="9"/>
      <c r="EO46" s="9"/>
      <c r="EP46" s="9"/>
      <c r="EQ46" s="9"/>
      <c r="ER46" s="9"/>
      <c r="ES46" s="9"/>
      <c r="ET46" s="9"/>
      <c r="EU46" s="9"/>
      <c r="EV46" s="9"/>
      <c r="EW46" s="9"/>
      <c r="EX46" s="9"/>
      <c r="EY46" s="9"/>
      <c r="EZ46" s="9"/>
      <c r="FA46" s="9"/>
      <c r="FB46" s="9"/>
      <c r="FC46" s="9"/>
      <c r="FD46" s="9"/>
      <c r="FE46" s="9"/>
      <c r="FF46" s="9"/>
      <c r="FG46" s="9"/>
      <c r="FH46" s="9"/>
      <c r="FI46" s="9"/>
      <c r="FJ46" s="9"/>
      <c r="FK46" s="9"/>
      <c r="FL46" s="9"/>
      <c r="FM46" s="9"/>
    </row>
    <row r="47" spans="1:169" outlineLevel="1" x14ac:dyDescent="0.4">
      <c r="A47" t="s">
        <v>168</v>
      </c>
      <c r="B47" t="s">
        <v>173</v>
      </c>
      <c r="C47" t="s">
        <v>669</v>
      </c>
      <c r="D47" s="9"/>
      <c r="E47" s="9"/>
      <c r="AT47" s="9"/>
      <c r="AU47" s="9"/>
      <c r="AV47" s="9"/>
      <c r="AW47" s="9"/>
      <c r="AX47" s="9"/>
      <c r="AY47" s="9"/>
      <c r="AZ47" s="9"/>
      <c r="BA47" s="9"/>
      <c r="BB47" s="9"/>
      <c r="BC47" s="9"/>
      <c r="BD47" s="9"/>
      <c r="BE47" s="9"/>
      <c r="BF47" s="9"/>
      <c r="BG47" s="9"/>
      <c r="BH47" s="9"/>
      <c r="BI47" s="9"/>
      <c r="BJ47" s="9"/>
      <c r="BK47" s="9"/>
      <c r="BL47" s="9"/>
      <c r="BM47" s="9"/>
      <c r="BN47" s="9"/>
      <c r="BO47" s="9"/>
      <c r="BP47" s="9"/>
      <c r="BQ47" s="9"/>
      <c r="BR47" s="9"/>
      <c r="BS47" s="9"/>
      <c r="BT47" s="9"/>
      <c r="BU47" s="9"/>
      <c r="BV47" s="9"/>
      <c r="BW47" s="9"/>
      <c r="BX47" s="9"/>
      <c r="BY47" s="9"/>
      <c r="BZ47" s="9"/>
      <c r="CA47" s="9"/>
      <c r="CB47" s="9"/>
      <c r="CC47" s="9"/>
      <c r="CD47" s="9"/>
      <c r="CE47" s="9"/>
      <c r="CF47" s="9"/>
      <c r="CG47" s="9"/>
      <c r="CH47" s="9"/>
      <c r="CI47" s="9"/>
      <c r="CJ47" s="9"/>
      <c r="CK47" s="9"/>
      <c r="CL47" s="9"/>
      <c r="CM47" s="9"/>
      <c r="CN47" s="9"/>
      <c r="CO47" s="9"/>
      <c r="CP47" s="9"/>
      <c r="CQ47" s="9"/>
      <c r="CR47" s="9"/>
      <c r="CS47" s="9"/>
      <c r="CT47" s="9"/>
      <c r="CU47" s="9"/>
      <c r="CV47" s="9"/>
      <c r="CW47" s="9"/>
      <c r="CX47" s="9"/>
      <c r="CY47" s="9"/>
      <c r="CZ47" s="9"/>
      <c r="DA47" s="9"/>
      <c r="DB47" s="9"/>
      <c r="DC47" s="9"/>
      <c r="DD47" s="9"/>
      <c r="DE47" s="9"/>
      <c r="DF47" s="9"/>
      <c r="DG47" s="9"/>
      <c r="DH47" s="9"/>
      <c r="DI47" s="9"/>
      <c r="DJ47" s="9"/>
      <c r="DK47" s="9"/>
      <c r="DL47" s="9"/>
      <c r="DM47" s="9"/>
      <c r="DN47" s="9"/>
      <c r="DO47" s="9"/>
      <c r="DP47" s="9"/>
      <c r="DQ47" s="9"/>
      <c r="DR47" s="9"/>
      <c r="DS47" s="9"/>
      <c r="DT47" s="9"/>
      <c r="DU47" s="9"/>
      <c r="DV47" s="9"/>
      <c r="DW47" s="9"/>
      <c r="DX47" s="9"/>
      <c r="DY47" s="9"/>
      <c r="DZ47" s="9"/>
      <c r="EA47" s="9"/>
      <c r="EB47" s="9"/>
      <c r="EC47" s="9"/>
      <c r="ED47" s="9"/>
      <c r="EE47" s="9"/>
      <c r="EF47" s="9"/>
      <c r="EG47" s="9"/>
      <c r="EH47" s="9"/>
      <c r="EI47" s="9"/>
      <c r="EJ47" s="9"/>
      <c r="EK47" s="9"/>
      <c r="EL47" s="9"/>
      <c r="EM47" s="9"/>
      <c r="EN47" s="9"/>
      <c r="EO47" s="9"/>
      <c r="EP47" s="9"/>
      <c r="EQ47" s="9"/>
      <c r="ER47" s="9"/>
      <c r="ES47" s="9"/>
      <c r="ET47" s="9"/>
      <c r="EU47" s="9"/>
      <c r="EV47" s="9"/>
      <c r="EW47" s="9"/>
      <c r="EX47" s="9"/>
      <c r="EY47" s="9"/>
      <c r="EZ47" s="9"/>
      <c r="FA47" s="9"/>
      <c r="FB47" s="9"/>
      <c r="FC47" s="9"/>
      <c r="FD47" s="9"/>
      <c r="FE47" s="9"/>
      <c r="FF47" s="9"/>
      <c r="FG47" s="9"/>
      <c r="FH47" s="9"/>
      <c r="FI47" s="9"/>
      <c r="FJ47" s="9"/>
      <c r="FK47" s="9"/>
      <c r="FL47" s="9"/>
      <c r="FM47" s="9"/>
    </row>
    <row r="48" spans="1:169" outlineLevel="1" x14ac:dyDescent="0.4">
      <c r="A48" t="s">
        <v>92</v>
      </c>
      <c r="B48" t="s">
        <v>91</v>
      </c>
      <c r="C48" t="s">
        <v>674</v>
      </c>
      <c r="D48" s="9"/>
      <c r="E48" s="9"/>
      <c r="AT48" s="9"/>
      <c r="AU48" s="9"/>
      <c r="AV48" s="9"/>
      <c r="AW48" s="9"/>
      <c r="AX48" s="9"/>
      <c r="AY48" s="9"/>
      <c r="AZ48" s="9"/>
      <c r="BA48" s="9"/>
      <c r="BB48" s="9"/>
      <c r="BC48" s="9"/>
      <c r="BD48" s="9"/>
      <c r="BE48" s="9"/>
      <c r="BF48" s="9"/>
      <c r="BG48" s="9"/>
      <c r="BH48" s="9"/>
      <c r="BI48" s="9"/>
      <c r="BJ48" s="9"/>
      <c r="BK48" s="9"/>
      <c r="BL48" s="9"/>
      <c r="BM48" s="9"/>
      <c r="BN48" s="9"/>
      <c r="BO48" s="9"/>
      <c r="BP48" s="9"/>
      <c r="BQ48" s="9"/>
      <c r="BR48" s="9"/>
      <c r="BS48" s="9"/>
      <c r="BT48" s="9"/>
      <c r="BU48" s="9"/>
      <c r="BV48" s="9"/>
      <c r="BW48" s="9"/>
      <c r="BX48" s="9"/>
      <c r="BY48" s="9"/>
      <c r="BZ48" s="9"/>
      <c r="CA48" s="9"/>
      <c r="CB48" s="9"/>
      <c r="CC48" s="9"/>
      <c r="CD48" s="9"/>
      <c r="CE48" s="9"/>
      <c r="CF48" s="9"/>
      <c r="CG48" s="9"/>
      <c r="CH48" s="9"/>
      <c r="CI48" s="9"/>
      <c r="CJ48" s="9"/>
      <c r="CK48" s="9"/>
      <c r="CL48" s="9"/>
      <c r="CM48" s="9"/>
      <c r="CN48" s="9"/>
      <c r="CO48" s="9"/>
      <c r="CP48" s="9"/>
      <c r="CQ48" s="9"/>
      <c r="CR48" s="9"/>
      <c r="CS48" s="9"/>
      <c r="CT48" s="9"/>
      <c r="CU48" s="9"/>
      <c r="CV48" s="9"/>
      <c r="CW48" s="9"/>
      <c r="CX48" s="9"/>
      <c r="CY48" s="9"/>
      <c r="CZ48" s="9"/>
      <c r="DA48" s="9"/>
      <c r="DB48" s="9"/>
      <c r="DC48" s="9"/>
      <c r="DD48" s="9"/>
      <c r="DE48" s="9"/>
      <c r="DF48" s="9"/>
      <c r="DG48" s="9"/>
      <c r="DH48" s="9"/>
      <c r="DI48" s="9"/>
      <c r="DJ48" s="9"/>
      <c r="DK48" s="9"/>
      <c r="DL48" s="9"/>
      <c r="DM48" s="9"/>
      <c r="DN48" s="9"/>
      <c r="DO48" s="9"/>
      <c r="DP48" s="9"/>
      <c r="DQ48" s="9"/>
      <c r="DR48" s="9"/>
      <c r="DS48" s="9"/>
      <c r="DT48" s="9"/>
      <c r="DU48" s="9"/>
      <c r="DV48" s="9"/>
      <c r="DW48" s="9"/>
      <c r="DX48" s="9"/>
      <c r="DY48" s="9"/>
      <c r="DZ48" s="9"/>
      <c r="EA48" s="9"/>
      <c r="EB48" s="9"/>
      <c r="EC48" s="9"/>
      <c r="ED48" s="9"/>
      <c r="EE48" s="9"/>
      <c r="EF48" s="9"/>
      <c r="EG48" s="9"/>
      <c r="EH48" s="9"/>
      <c r="EI48" s="9"/>
      <c r="EJ48" s="9"/>
      <c r="EK48" s="9"/>
      <c r="EL48" s="9"/>
      <c r="EM48" s="9"/>
      <c r="EN48" s="9"/>
      <c r="EO48" s="9"/>
      <c r="EP48" s="9"/>
      <c r="EQ48" s="9"/>
      <c r="ER48" s="9"/>
      <c r="ES48" s="9"/>
      <c r="ET48" s="9"/>
      <c r="EU48" s="9"/>
      <c r="EV48" s="9"/>
      <c r="EW48" s="9"/>
      <c r="EX48" s="9"/>
      <c r="EY48" s="9"/>
      <c r="EZ48" s="9"/>
      <c r="FA48" s="9"/>
      <c r="FB48" s="9"/>
      <c r="FC48" s="9"/>
      <c r="FD48" s="9"/>
      <c r="FE48" s="9"/>
      <c r="FF48" s="9"/>
      <c r="FG48" s="9"/>
      <c r="FH48" s="9"/>
      <c r="FI48" s="9"/>
      <c r="FJ48" s="9"/>
      <c r="FK48" s="9"/>
      <c r="FL48" s="9"/>
      <c r="FM48" s="9"/>
    </row>
    <row r="49" spans="1:169" outlineLevel="1" x14ac:dyDescent="0.4">
      <c r="A49" t="s">
        <v>94</v>
      </c>
      <c r="B49" t="s">
        <v>93</v>
      </c>
      <c r="C49" t="s">
        <v>674</v>
      </c>
      <c r="D49" s="9"/>
      <c r="E49" s="9"/>
      <c r="AT49" s="9"/>
      <c r="AU49" s="9"/>
      <c r="AV49" s="9"/>
      <c r="AW49" s="9"/>
      <c r="AX49" s="9"/>
      <c r="AY49" s="9"/>
      <c r="AZ49" s="9"/>
      <c r="BA49" s="9"/>
      <c r="BB49" s="9"/>
      <c r="BC49" s="9"/>
      <c r="BD49" s="9"/>
      <c r="BE49" s="9"/>
      <c r="BF49" s="9"/>
      <c r="BG49" s="9"/>
      <c r="BH49" s="9"/>
      <c r="BI49" s="9"/>
      <c r="BJ49" s="9"/>
      <c r="BK49" s="9"/>
      <c r="BL49" s="9"/>
      <c r="BM49" s="9"/>
      <c r="BN49" s="9"/>
      <c r="BO49" s="9"/>
      <c r="BP49" s="9"/>
      <c r="BQ49" s="9"/>
      <c r="BR49" s="9"/>
      <c r="BS49" s="9"/>
      <c r="BT49" s="9"/>
      <c r="BU49" s="9"/>
      <c r="BV49" s="9"/>
      <c r="BW49" s="9"/>
      <c r="BX49" s="9"/>
      <c r="BY49" s="9"/>
      <c r="BZ49" s="9"/>
      <c r="CA49" s="9"/>
      <c r="CB49" s="9"/>
      <c r="CC49" s="9"/>
      <c r="CD49" s="9"/>
      <c r="CE49" s="9"/>
      <c r="CF49" s="9"/>
      <c r="CG49" s="9"/>
      <c r="CH49" s="9"/>
      <c r="CI49" s="9"/>
      <c r="CJ49" s="9"/>
      <c r="CK49" s="9"/>
      <c r="CL49" s="9"/>
      <c r="CM49" s="9"/>
      <c r="CN49" s="9"/>
      <c r="CO49" s="9"/>
      <c r="CP49" s="9"/>
      <c r="CQ49" s="9"/>
      <c r="CR49" s="9"/>
      <c r="CS49" s="9"/>
      <c r="CT49" s="9"/>
      <c r="CU49" s="9"/>
      <c r="CV49" s="9"/>
      <c r="CW49" s="9"/>
      <c r="CX49" s="9"/>
      <c r="CY49" s="9"/>
      <c r="CZ49" s="9"/>
      <c r="DA49" s="9"/>
      <c r="DB49" s="9"/>
      <c r="DC49" s="9"/>
      <c r="DD49" s="9"/>
      <c r="DE49" s="9"/>
      <c r="DF49" s="9"/>
      <c r="DG49" s="9"/>
      <c r="DH49" s="9"/>
      <c r="DI49" s="9"/>
      <c r="DJ49" s="9"/>
      <c r="DK49" s="9"/>
      <c r="DL49" s="9"/>
      <c r="DM49" s="9"/>
      <c r="DN49" s="9"/>
      <c r="DO49" s="9"/>
      <c r="DP49" s="9"/>
      <c r="DQ49" s="9"/>
      <c r="DR49" s="9"/>
      <c r="DS49" s="9"/>
      <c r="DT49" s="9"/>
      <c r="DU49" s="9"/>
      <c r="DV49" s="9"/>
      <c r="DW49" s="9"/>
      <c r="DX49" s="9"/>
      <c r="DY49" s="9"/>
      <c r="DZ49" s="9"/>
      <c r="EA49" s="9"/>
      <c r="EB49" s="9"/>
      <c r="EC49" s="9"/>
      <c r="ED49" s="9"/>
      <c r="EE49" s="9"/>
      <c r="EF49" s="9"/>
      <c r="EG49" s="9"/>
      <c r="EH49" s="9"/>
      <c r="EI49" s="9"/>
      <c r="EJ49" s="9"/>
      <c r="EK49" s="9"/>
      <c r="EL49" s="9"/>
      <c r="EM49" s="9"/>
      <c r="EN49" s="9"/>
      <c r="EO49" s="9"/>
      <c r="EP49" s="9"/>
      <c r="EQ49" s="9"/>
      <c r="ER49" s="9"/>
      <c r="ES49" s="9"/>
      <c r="ET49" s="9"/>
      <c r="EU49" s="9"/>
      <c r="EV49" s="9"/>
      <c r="EW49" s="9"/>
      <c r="EX49" s="9"/>
      <c r="EY49" s="9"/>
      <c r="EZ49" s="9"/>
      <c r="FA49" s="9"/>
      <c r="FB49" s="9"/>
      <c r="FC49" s="9"/>
      <c r="FD49" s="9"/>
      <c r="FE49" s="9"/>
      <c r="FF49" s="9"/>
      <c r="FG49" s="9"/>
      <c r="FH49" s="9"/>
      <c r="FI49" s="9"/>
      <c r="FJ49" s="9"/>
      <c r="FK49" s="9"/>
      <c r="FL49" s="9"/>
      <c r="FM49" s="9"/>
    </row>
    <row r="50" spans="1:169" outlineLevel="1" x14ac:dyDescent="0.4">
      <c r="A50" t="s">
        <v>351</v>
      </c>
      <c r="B50" t="s">
        <v>352</v>
      </c>
      <c r="C50" t="s">
        <v>674</v>
      </c>
      <c r="D50" s="9"/>
      <c r="E50" s="9"/>
      <c r="AT50" s="9"/>
      <c r="AU50" s="9"/>
      <c r="AV50" s="9"/>
      <c r="AW50" s="9"/>
      <c r="AX50" s="9"/>
      <c r="AY50" s="9"/>
      <c r="AZ50" s="9"/>
      <c r="BA50" s="9"/>
      <c r="BB50" s="9"/>
      <c r="BC50" s="9"/>
      <c r="BD50" s="9"/>
      <c r="BE50" s="9"/>
      <c r="BF50" s="9"/>
      <c r="BG50" s="9"/>
      <c r="BH50" s="9"/>
      <c r="BI50" s="9"/>
      <c r="BJ50" s="9"/>
      <c r="BK50" s="9"/>
      <c r="BL50" s="9"/>
      <c r="BM50" s="9"/>
      <c r="BN50" s="9"/>
      <c r="BO50" s="9"/>
      <c r="BP50" s="9"/>
      <c r="BQ50" s="9"/>
      <c r="BR50" s="9"/>
      <c r="BS50" s="9"/>
      <c r="BT50" s="9"/>
      <c r="BU50" s="9"/>
      <c r="BV50" s="9"/>
      <c r="BW50" s="9"/>
      <c r="BX50" s="9"/>
      <c r="BY50" s="9"/>
      <c r="BZ50" s="9"/>
      <c r="CA50" s="9"/>
      <c r="CB50" s="9"/>
      <c r="CC50" s="9"/>
      <c r="CD50" s="9"/>
      <c r="CE50" s="9"/>
      <c r="CF50" s="9"/>
      <c r="CG50" s="9"/>
      <c r="CH50" s="9"/>
      <c r="CI50" s="9"/>
      <c r="CJ50" s="9"/>
      <c r="CK50" s="9"/>
      <c r="CL50" s="9"/>
      <c r="CM50" s="9"/>
      <c r="CN50" s="9"/>
      <c r="CO50" s="9"/>
      <c r="CP50" s="9"/>
      <c r="CQ50" s="9"/>
      <c r="CR50" s="9"/>
      <c r="CS50" s="9"/>
      <c r="CT50" s="9"/>
      <c r="CU50" s="9"/>
      <c r="CV50" s="9"/>
      <c r="CW50" s="9"/>
      <c r="CX50" s="9"/>
      <c r="CY50" s="9"/>
      <c r="CZ50" s="9"/>
      <c r="DA50" s="9"/>
      <c r="DB50" s="9"/>
      <c r="DC50" s="9"/>
      <c r="DD50" s="9"/>
      <c r="DE50" s="9"/>
      <c r="DF50" s="9"/>
      <c r="DG50" s="9"/>
      <c r="DH50" s="9"/>
      <c r="DI50" s="9"/>
      <c r="DJ50" s="9"/>
      <c r="DK50" s="9"/>
      <c r="DL50" s="9"/>
      <c r="DM50" s="9"/>
      <c r="DN50" s="9"/>
      <c r="DO50" s="9"/>
      <c r="DP50" s="9"/>
      <c r="DQ50" s="9"/>
      <c r="DR50" s="9"/>
      <c r="DS50" s="9"/>
      <c r="DT50" s="9"/>
      <c r="DU50" s="9"/>
      <c r="DV50" s="9"/>
      <c r="DW50" s="9"/>
      <c r="DX50" s="9"/>
      <c r="DY50" s="9"/>
      <c r="DZ50" s="9"/>
      <c r="EA50" s="9"/>
      <c r="EB50" s="9"/>
      <c r="EC50" s="9"/>
      <c r="ED50" s="9"/>
      <c r="EE50" s="9"/>
      <c r="EF50" s="9"/>
      <c r="EG50" s="9"/>
      <c r="EH50" s="9"/>
      <c r="EI50" s="9"/>
      <c r="EJ50" s="9"/>
      <c r="EK50" s="9"/>
      <c r="EL50" s="9"/>
      <c r="EM50" s="9"/>
      <c r="EN50" s="9"/>
      <c r="EO50" s="9"/>
      <c r="EP50" s="9"/>
      <c r="EQ50" s="9"/>
      <c r="ER50" s="9"/>
      <c r="ES50" s="9"/>
      <c r="ET50" s="9"/>
      <c r="EU50" s="9"/>
      <c r="EV50" s="9"/>
      <c r="EW50" s="9"/>
      <c r="EX50" s="9"/>
      <c r="EY50" s="9"/>
      <c r="EZ50" s="9"/>
      <c r="FA50" s="9"/>
      <c r="FB50" s="9"/>
      <c r="FC50" s="9"/>
      <c r="FD50" s="9"/>
      <c r="FE50" s="9"/>
      <c r="FF50" s="9"/>
      <c r="FG50" s="9"/>
      <c r="FH50" s="9"/>
      <c r="FI50" s="9"/>
      <c r="FJ50" s="9"/>
      <c r="FK50" s="9"/>
      <c r="FL50" s="9"/>
      <c r="FM50" s="9"/>
    </row>
    <row r="51" spans="1:169" outlineLevel="1" x14ac:dyDescent="0.4">
      <c r="A51" t="s">
        <v>349</v>
      </c>
      <c r="B51" t="s">
        <v>350</v>
      </c>
      <c r="C51" t="s">
        <v>674</v>
      </c>
      <c r="D51" s="9"/>
      <c r="E51" s="9"/>
      <c r="AT51" s="9"/>
      <c r="AU51" s="9"/>
      <c r="AV51" s="9"/>
      <c r="AW51" s="9"/>
      <c r="AX51" s="9"/>
      <c r="AY51" s="9"/>
      <c r="AZ51" s="9"/>
      <c r="BA51" s="9"/>
      <c r="BB51" s="9"/>
      <c r="BC51" s="9"/>
      <c r="BD51" s="9"/>
      <c r="BE51" s="9"/>
      <c r="BF51" s="9"/>
      <c r="BG51" s="9"/>
      <c r="BH51" s="9"/>
      <c r="BI51" s="9"/>
      <c r="BJ51" s="9"/>
      <c r="BK51" s="9"/>
      <c r="BL51" s="9"/>
      <c r="BM51" s="9"/>
      <c r="BN51" s="9"/>
      <c r="BO51" s="9"/>
      <c r="BP51" s="9"/>
      <c r="BQ51" s="9"/>
      <c r="BR51" s="9"/>
      <c r="BS51" s="9"/>
      <c r="BT51" s="9"/>
      <c r="BU51" s="9"/>
      <c r="BV51" s="9"/>
      <c r="BW51" s="9"/>
      <c r="BX51" s="9"/>
      <c r="BY51" s="9"/>
      <c r="BZ51" s="9"/>
      <c r="CA51" s="9"/>
      <c r="CB51" s="9"/>
      <c r="CC51" s="9"/>
      <c r="CD51" s="9"/>
      <c r="CE51" s="9"/>
      <c r="CF51" s="9"/>
      <c r="CG51" s="9"/>
      <c r="CH51" s="9"/>
      <c r="CI51" s="9"/>
      <c r="CJ51" s="9"/>
      <c r="CK51" s="9"/>
      <c r="CL51" s="9"/>
      <c r="CM51" s="9"/>
      <c r="CN51" s="9"/>
      <c r="CO51" s="9"/>
      <c r="CP51" s="9"/>
      <c r="CQ51" s="9"/>
      <c r="CR51" s="9"/>
      <c r="CS51" s="9"/>
      <c r="CT51" s="9"/>
      <c r="CU51" s="9"/>
      <c r="CV51" s="9"/>
      <c r="CW51" s="9"/>
      <c r="CX51" s="9"/>
      <c r="CY51" s="9"/>
      <c r="CZ51" s="9"/>
      <c r="DA51" s="9"/>
      <c r="DB51" s="9"/>
      <c r="DC51" s="9"/>
      <c r="DD51" s="9"/>
      <c r="DE51" s="9"/>
      <c r="DF51" s="9"/>
      <c r="DG51" s="9"/>
      <c r="DH51" s="9"/>
      <c r="DI51" s="9"/>
      <c r="DJ51" s="9"/>
      <c r="DK51" s="9"/>
      <c r="DL51" s="9"/>
      <c r="DM51" s="9"/>
      <c r="DN51" s="9"/>
      <c r="DO51" s="9"/>
      <c r="DP51" s="9"/>
      <c r="DQ51" s="9"/>
      <c r="DR51" s="9"/>
      <c r="DS51" s="9"/>
      <c r="DT51" s="9"/>
      <c r="DU51" s="9"/>
      <c r="DV51" s="9"/>
      <c r="DW51" s="9"/>
      <c r="DX51" s="9"/>
      <c r="DY51" s="9"/>
      <c r="DZ51" s="9"/>
      <c r="EA51" s="9"/>
      <c r="EB51" s="9"/>
      <c r="EC51" s="9"/>
      <c r="ED51" s="9"/>
      <c r="EE51" s="9"/>
      <c r="EF51" s="9"/>
      <c r="EG51" s="9"/>
      <c r="EH51" s="9"/>
      <c r="EI51" s="9"/>
      <c r="EJ51" s="9"/>
      <c r="EK51" s="9"/>
      <c r="EL51" s="9"/>
      <c r="EM51" s="9"/>
      <c r="EN51" s="9"/>
      <c r="EO51" s="9"/>
      <c r="EP51" s="9"/>
      <c r="EQ51" s="9"/>
      <c r="ER51" s="9"/>
      <c r="ES51" s="9"/>
      <c r="ET51" s="9"/>
      <c r="EU51" s="9"/>
      <c r="EV51" s="9"/>
      <c r="EW51" s="9"/>
      <c r="EX51" s="9"/>
      <c r="EY51" s="9"/>
      <c r="EZ51" s="9"/>
      <c r="FA51" s="9"/>
      <c r="FB51" s="9"/>
      <c r="FC51" s="9"/>
      <c r="FD51" s="9"/>
      <c r="FE51" s="9"/>
      <c r="FF51" s="9"/>
      <c r="FG51" s="9"/>
      <c r="FH51" s="9"/>
      <c r="FI51" s="9"/>
      <c r="FJ51" s="9"/>
      <c r="FK51" s="9"/>
      <c r="FL51" s="9"/>
      <c r="FM51" s="9"/>
    </row>
    <row r="52" spans="1:169" outlineLevel="1" x14ac:dyDescent="0.4">
      <c r="A52" t="s">
        <v>96</v>
      </c>
      <c r="B52" t="s">
        <v>95</v>
      </c>
      <c r="C52" t="s">
        <v>674</v>
      </c>
      <c r="D52" s="9"/>
      <c r="E52" s="9"/>
      <c r="AT52" s="9"/>
      <c r="AU52" s="9"/>
      <c r="AV52" s="9"/>
      <c r="AW52" s="9"/>
      <c r="AX52" s="9"/>
      <c r="AY52" s="9"/>
      <c r="AZ52" s="9"/>
      <c r="BA52" s="9"/>
      <c r="BB52" s="9"/>
      <c r="BC52" s="9"/>
      <c r="BD52" s="9"/>
      <c r="BE52" s="9"/>
      <c r="BF52" s="9"/>
      <c r="BG52" s="9"/>
      <c r="BH52" s="9"/>
      <c r="BI52" s="9"/>
      <c r="BJ52" s="9"/>
      <c r="BK52" s="9"/>
      <c r="BL52" s="9"/>
      <c r="BM52" s="9"/>
      <c r="BN52" s="9"/>
      <c r="BO52" s="9"/>
      <c r="BP52" s="9"/>
      <c r="BQ52" s="9"/>
      <c r="BR52" s="9"/>
      <c r="BS52" s="9"/>
      <c r="BT52" s="9"/>
      <c r="BU52" s="9"/>
      <c r="BV52" s="9"/>
      <c r="BW52" s="9"/>
      <c r="BX52" s="9"/>
      <c r="BY52" s="9"/>
      <c r="BZ52" s="9"/>
      <c r="CA52" s="9"/>
      <c r="CB52" s="9"/>
      <c r="CC52" s="9"/>
      <c r="CD52" s="9"/>
      <c r="CE52" s="9"/>
      <c r="CF52" s="9"/>
      <c r="CG52" s="9"/>
      <c r="CH52" s="9"/>
      <c r="CI52" s="9"/>
      <c r="CJ52" s="9"/>
      <c r="CK52" s="9"/>
      <c r="CL52" s="9"/>
      <c r="CM52" s="9"/>
      <c r="CN52" s="9"/>
      <c r="CO52" s="9"/>
      <c r="CP52" s="9"/>
      <c r="CQ52" s="9"/>
      <c r="CR52" s="9"/>
      <c r="CS52" s="9"/>
      <c r="CT52" s="9"/>
      <c r="CU52" s="9"/>
      <c r="CV52" s="9"/>
      <c r="CW52" s="9"/>
      <c r="CX52" s="9"/>
      <c r="CY52" s="9"/>
      <c r="CZ52" s="9"/>
      <c r="DA52" s="9"/>
      <c r="DB52" s="9"/>
      <c r="DC52" s="9"/>
      <c r="DD52" s="9"/>
      <c r="DE52" s="9"/>
      <c r="DF52" s="9"/>
      <c r="DG52" s="9"/>
      <c r="DH52" s="9"/>
      <c r="DI52" s="9"/>
      <c r="DJ52" s="9"/>
      <c r="DK52" s="9"/>
      <c r="DL52" s="9"/>
      <c r="DM52" s="9"/>
      <c r="DN52" s="9"/>
      <c r="DO52" s="9"/>
      <c r="DP52" s="9"/>
      <c r="DQ52" s="9"/>
      <c r="DR52" s="9"/>
      <c r="DS52" s="9"/>
      <c r="DT52" s="9"/>
      <c r="DU52" s="9"/>
      <c r="DV52" s="9"/>
      <c r="DW52" s="9"/>
      <c r="DX52" s="9"/>
      <c r="DY52" s="9"/>
      <c r="DZ52" s="9"/>
      <c r="EA52" s="9"/>
      <c r="EB52" s="9"/>
      <c r="EC52" s="9"/>
      <c r="ED52" s="9"/>
      <c r="EE52" s="9"/>
      <c r="EF52" s="9"/>
      <c r="EG52" s="9"/>
      <c r="EH52" s="9"/>
      <c r="EI52" s="9"/>
      <c r="EJ52" s="9"/>
      <c r="EK52" s="9"/>
      <c r="EL52" s="9"/>
      <c r="EM52" s="9"/>
      <c r="EN52" s="9"/>
      <c r="EO52" s="9"/>
      <c r="EP52" s="9"/>
      <c r="EQ52" s="9"/>
      <c r="ER52" s="9"/>
      <c r="ES52" s="9"/>
      <c r="ET52" s="9"/>
      <c r="EU52" s="9"/>
      <c r="EV52" s="9"/>
      <c r="EW52" s="9"/>
      <c r="EX52" s="9"/>
      <c r="EY52" s="9"/>
      <c r="EZ52" s="9"/>
      <c r="FA52" s="9"/>
      <c r="FB52" s="9"/>
      <c r="FC52" s="9"/>
      <c r="FD52" s="9"/>
      <c r="FE52" s="9"/>
      <c r="FF52" s="9"/>
      <c r="FG52" s="9"/>
      <c r="FH52" s="9"/>
      <c r="FI52" s="9"/>
      <c r="FJ52" s="9"/>
      <c r="FK52" s="9"/>
      <c r="FL52" s="9"/>
      <c r="FM52" s="9"/>
    </row>
    <row r="53" spans="1:169" outlineLevel="1" x14ac:dyDescent="0.4">
      <c r="A53" t="s">
        <v>98</v>
      </c>
      <c r="B53" t="s">
        <v>97</v>
      </c>
      <c r="C53" t="s">
        <v>674</v>
      </c>
      <c r="D53" s="9"/>
      <c r="E53" s="9"/>
      <c r="AT53" s="9"/>
      <c r="AU53" s="9"/>
      <c r="AV53" s="9"/>
      <c r="AW53" s="9"/>
      <c r="AX53" s="9"/>
      <c r="AY53" s="9"/>
      <c r="AZ53" s="9"/>
      <c r="BA53" s="9"/>
      <c r="BB53" s="9"/>
      <c r="BC53" s="9"/>
      <c r="BD53" s="9"/>
      <c r="BE53" s="9"/>
      <c r="BF53" s="9"/>
      <c r="BG53" s="9"/>
      <c r="BH53" s="9"/>
      <c r="BI53" s="9"/>
      <c r="BJ53" s="9"/>
      <c r="BK53" s="9"/>
      <c r="BL53" s="9"/>
      <c r="BM53" s="9"/>
      <c r="BN53" s="9"/>
      <c r="BO53" s="9"/>
      <c r="BP53" s="9"/>
      <c r="BQ53" s="9"/>
      <c r="BR53" s="9"/>
      <c r="BS53" s="9"/>
      <c r="BT53" s="9"/>
      <c r="BU53" s="9"/>
      <c r="BV53" s="9"/>
      <c r="BW53" s="9"/>
      <c r="BX53" s="9"/>
      <c r="BY53" s="9"/>
      <c r="BZ53" s="9"/>
      <c r="CA53" s="9"/>
      <c r="CB53" s="9"/>
      <c r="CC53" s="9"/>
      <c r="CD53" s="9"/>
      <c r="CE53" s="9"/>
      <c r="CF53" s="9"/>
      <c r="CG53" s="9"/>
      <c r="CH53" s="9"/>
      <c r="CI53" s="9"/>
      <c r="CJ53" s="9"/>
      <c r="CK53" s="9"/>
      <c r="CL53" s="9"/>
      <c r="CM53" s="9"/>
      <c r="CN53" s="9"/>
      <c r="CO53" s="9"/>
      <c r="CP53" s="9"/>
      <c r="CQ53" s="9"/>
      <c r="CR53" s="9"/>
      <c r="CS53" s="9"/>
      <c r="CT53" s="9"/>
      <c r="CU53" s="9"/>
      <c r="CV53" s="9"/>
      <c r="CW53" s="9"/>
      <c r="CX53" s="9"/>
      <c r="CY53" s="9"/>
      <c r="CZ53" s="9"/>
      <c r="DA53" s="9"/>
      <c r="DB53" s="9"/>
      <c r="DC53" s="9"/>
      <c r="DD53" s="9"/>
      <c r="DE53" s="9"/>
      <c r="DF53" s="9"/>
      <c r="DG53" s="9"/>
      <c r="DH53" s="9"/>
      <c r="DI53" s="9"/>
      <c r="DJ53" s="9"/>
      <c r="DK53" s="9"/>
      <c r="DL53" s="9"/>
      <c r="DM53" s="9"/>
      <c r="DN53" s="9"/>
      <c r="DO53" s="9"/>
      <c r="DP53" s="9"/>
      <c r="DQ53" s="9"/>
      <c r="DR53" s="9"/>
      <c r="DS53" s="9"/>
      <c r="DT53" s="9"/>
      <c r="DU53" s="9"/>
      <c r="DV53" s="9"/>
      <c r="DW53" s="9"/>
      <c r="DX53" s="9"/>
      <c r="DY53" s="9"/>
      <c r="DZ53" s="9"/>
      <c r="EA53" s="9"/>
      <c r="EB53" s="9"/>
      <c r="EC53" s="9"/>
      <c r="ED53" s="9"/>
      <c r="EE53" s="9"/>
      <c r="EF53" s="9"/>
      <c r="EG53" s="9"/>
      <c r="EH53" s="9"/>
      <c r="EI53" s="9"/>
      <c r="EJ53" s="9"/>
      <c r="EK53" s="9"/>
      <c r="EL53" s="9"/>
      <c r="EM53" s="9"/>
      <c r="EN53" s="9"/>
      <c r="EO53" s="9"/>
      <c r="EP53" s="9"/>
      <c r="EQ53" s="9"/>
      <c r="ER53" s="9"/>
      <c r="ES53" s="9"/>
      <c r="ET53" s="9"/>
      <c r="EU53" s="9"/>
      <c r="EV53" s="9"/>
      <c r="EW53" s="9"/>
      <c r="EX53" s="9"/>
      <c r="EY53" s="9"/>
      <c r="EZ53" s="9"/>
      <c r="FA53" s="9"/>
      <c r="FB53" s="9"/>
      <c r="FC53" s="9"/>
      <c r="FD53" s="9"/>
      <c r="FE53" s="9"/>
      <c r="FF53" s="9"/>
      <c r="FG53" s="9"/>
      <c r="FH53" s="9"/>
      <c r="FI53" s="9"/>
      <c r="FJ53" s="9"/>
      <c r="FK53" s="9"/>
      <c r="FL53" s="9"/>
      <c r="FM53" s="9"/>
    </row>
    <row r="54" spans="1:169" outlineLevel="1" x14ac:dyDescent="0.4">
      <c r="A54" t="s">
        <v>100</v>
      </c>
      <c r="B54" t="s">
        <v>99</v>
      </c>
      <c r="C54" t="s">
        <v>674</v>
      </c>
      <c r="D54" s="9"/>
      <c r="E54" s="9"/>
      <c r="AT54" s="9"/>
      <c r="AU54" s="9"/>
      <c r="AV54" s="9"/>
      <c r="AW54" s="9"/>
      <c r="AX54" s="9"/>
      <c r="AY54" s="9"/>
      <c r="AZ54" s="9"/>
      <c r="BA54" s="9"/>
      <c r="BB54" s="9"/>
      <c r="BC54" s="9"/>
      <c r="BD54" s="9"/>
      <c r="BE54" s="9"/>
      <c r="BF54" s="9"/>
      <c r="BG54" s="9"/>
      <c r="BH54" s="9"/>
      <c r="BI54" s="9"/>
      <c r="BJ54" s="9"/>
      <c r="BK54" s="9"/>
      <c r="BL54" s="9"/>
      <c r="BM54" s="9"/>
      <c r="BN54" s="9"/>
      <c r="BO54" s="9"/>
      <c r="BP54" s="9"/>
      <c r="BQ54" s="9"/>
      <c r="BR54" s="9"/>
      <c r="BS54" s="9"/>
      <c r="BT54" s="9"/>
      <c r="BU54" s="9"/>
      <c r="BV54" s="9"/>
      <c r="BW54" s="9"/>
      <c r="BX54" s="9"/>
      <c r="BY54" s="9"/>
      <c r="BZ54" s="9"/>
      <c r="CA54" s="9"/>
      <c r="CB54" s="9"/>
      <c r="CC54" s="9"/>
      <c r="CD54" s="9"/>
      <c r="CE54" s="9"/>
      <c r="CF54" s="9"/>
      <c r="CG54" s="9"/>
      <c r="CH54" s="9"/>
      <c r="CI54" s="9"/>
      <c r="CJ54" s="9"/>
      <c r="CK54" s="9"/>
      <c r="CL54" s="9"/>
      <c r="CM54" s="9"/>
      <c r="CN54" s="9"/>
      <c r="CO54" s="9"/>
      <c r="CP54" s="9"/>
      <c r="CQ54" s="9"/>
      <c r="CR54" s="9"/>
      <c r="CS54" s="9"/>
      <c r="CT54" s="9"/>
      <c r="CU54" s="9"/>
      <c r="CV54" s="9"/>
      <c r="CW54" s="9"/>
      <c r="CX54" s="9"/>
      <c r="CY54" s="9"/>
      <c r="CZ54" s="9"/>
      <c r="DA54" s="9"/>
      <c r="DB54" s="9"/>
      <c r="DC54" s="9"/>
      <c r="DD54" s="9"/>
      <c r="DE54" s="9"/>
      <c r="DF54" s="9"/>
      <c r="DG54" s="9"/>
      <c r="DH54" s="9"/>
      <c r="DI54" s="9"/>
      <c r="DJ54" s="9"/>
      <c r="DK54" s="9"/>
      <c r="DL54" s="9"/>
      <c r="DM54" s="9"/>
      <c r="DN54" s="9"/>
      <c r="DO54" s="9"/>
      <c r="DP54" s="9"/>
      <c r="DQ54" s="9"/>
      <c r="DR54" s="9"/>
      <c r="DS54" s="9"/>
      <c r="DT54" s="9"/>
      <c r="DU54" s="9"/>
      <c r="DV54" s="9"/>
      <c r="DW54" s="9"/>
      <c r="DX54" s="9"/>
      <c r="DY54" s="9"/>
      <c r="DZ54" s="9"/>
      <c r="EA54" s="9"/>
      <c r="EB54" s="9"/>
      <c r="EC54" s="9"/>
      <c r="ED54" s="9"/>
      <c r="EE54" s="9"/>
      <c r="EF54" s="9"/>
      <c r="EG54" s="9"/>
      <c r="EH54" s="9"/>
      <c r="EI54" s="9"/>
      <c r="EJ54" s="9"/>
      <c r="EK54" s="9"/>
      <c r="EL54" s="9"/>
      <c r="EM54" s="9"/>
      <c r="EN54" s="9"/>
      <c r="EO54" s="9"/>
      <c r="EP54" s="9"/>
      <c r="EQ54" s="9"/>
      <c r="ER54" s="9"/>
      <c r="ES54" s="9"/>
      <c r="ET54" s="9"/>
      <c r="EU54" s="9"/>
      <c r="EV54" s="9"/>
      <c r="EW54" s="9"/>
      <c r="EX54" s="9"/>
      <c r="EY54" s="9"/>
      <c r="EZ54" s="9"/>
      <c r="FA54" s="9"/>
      <c r="FB54" s="9"/>
      <c r="FC54" s="9"/>
      <c r="FD54" s="9"/>
      <c r="FE54" s="9"/>
      <c r="FF54" s="9"/>
      <c r="FG54" s="9"/>
      <c r="FH54" s="9"/>
      <c r="FI54" s="9"/>
      <c r="FJ54" s="9"/>
      <c r="FK54" s="9"/>
      <c r="FL54" s="9"/>
      <c r="FM54" s="9"/>
    </row>
    <row r="55" spans="1:169" outlineLevel="1" x14ac:dyDescent="0.4">
      <c r="A55" t="s">
        <v>101</v>
      </c>
      <c r="B55" t="s">
        <v>163</v>
      </c>
      <c r="C55" t="s">
        <v>674</v>
      </c>
      <c r="D55" s="9"/>
      <c r="E55" s="9"/>
      <c r="AT55" s="9"/>
      <c r="AU55" s="9"/>
      <c r="AV55" s="9"/>
      <c r="AW55" s="9"/>
      <c r="AX55" s="9"/>
      <c r="AY55" s="9"/>
      <c r="AZ55" s="9"/>
      <c r="BA55" s="9"/>
      <c r="BB55" s="9"/>
      <c r="BC55" s="9"/>
      <c r="BD55" s="9"/>
      <c r="BE55" s="9"/>
      <c r="BF55" s="9"/>
      <c r="BG55" s="9"/>
      <c r="BH55" s="9"/>
      <c r="BI55" s="9"/>
      <c r="BJ55" s="9"/>
      <c r="BK55" s="9"/>
      <c r="BL55" s="9"/>
      <c r="BM55" s="9"/>
      <c r="BN55" s="9"/>
      <c r="BO55" s="9"/>
      <c r="BP55" s="9"/>
      <c r="BQ55" s="9"/>
      <c r="BR55" s="9"/>
      <c r="BS55" s="9"/>
      <c r="BT55" s="9"/>
      <c r="BU55" s="9"/>
      <c r="BV55" s="9"/>
      <c r="BW55" s="9"/>
      <c r="BX55" s="9"/>
      <c r="BY55" s="9"/>
      <c r="BZ55" s="9"/>
      <c r="CA55" s="9"/>
      <c r="CB55" s="9"/>
      <c r="CC55" s="9"/>
      <c r="CD55" s="9"/>
      <c r="CE55" s="9"/>
      <c r="CF55" s="9"/>
      <c r="CG55" s="9"/>
      <c r="CH55" s="9"/>
      <c r="CI55" s="9"/>
      <c r="CJ55" s="9"/>
      <c r="CK55" s="9"/>
      <c r="CL55" s="9"/>
      <c r="CM55" s="9"/>
      <c r="CN55" s="9"/>
      <c r="CO55" s="9"/>
      <c r="CP55" s="9"/>
      <c r="CQ55" s="9"/>
      <c r="CR55" s="9"/>
      <c r="CS55" s="9"/>
      <c r="CT55" s="9"/>
      <c r="CU55" s="9"/>
      <c r="CV55" s="9"/>
      <c r="CW55" s="9"/>
      <c r="CX55" s="9"/>
      <c r="CY55" s="9"/>
      <c r="CZ55" s="9"/>
      <c r="DA55" s="9"/>
      <c r="DB55" s="9"/>
      <c r="DC55" s="9"/>
      <c r="DD55" s="9"/>
      <c r="DE55" s="9"/>
      <c r="DF55" s="9"/>
      <c r="DG55" s="9"/>
      <c r="DH55" s="9"/>
      <c r="DI55" s="9"/>
      <c r="DJ55" s="9"/>
      <c r="DK55" s="9"/>
      <c r="DL55" s="9"/>
      <c r="DM55" s="9"/>
      <c r="DN55" s="9"/>
      <c r="DO55" s="9"/>
      <c r="DP55" s="9"/>
      <c r="DQ55" s="9"/>
      <c r="DR55" s="9"/>
      <c r="DS55" s="9"/>
      <c r="DT55" s="9"/>
      <c r="DU55" s="9"/>
      <c r="DV55" s="9"/>
      <c r="DW55" s="9"/>
      <c r="DX55" s="9"/>
      <c r="DY55" s="9"/>
      <c r="DZ55" s="9"/>
      <c r="EA55" s="9"/>
      <c r="EB55" s="9"/>
      <c r="EC55" s="9"/>
      <c r="ED55" s="9"/>
      <c r="EE55" s="9"/>
      <c r="EF55" s="9"/>
      <c r="EG55" s="9"/>
      <c r="EH55" s="9"/>
      <c r="EI55" s="9"/>
      <c r="EJ55" s="9"/>
      <c r="EK55" s="9"/>
      <c r="EL55" s="9"/>
      <c r="EM55" s="9"/>
      <c r="EN55" s="9"/>
      <c r="EO55" s="9"/>
      <c r="EP55" s="9"/>
      <c r="EQ55" s="9"/>
      <c r="ER55" s="9"/>
      <c r="ES55" s="9"/>
      <c r="ET55" s="9"/>
      <c r="EU55" s="9"/>
      <c r="EV55" s="9"/>
      <c r="EW55" s="9"/>
      <c r="EX55" s="9"/>
      <c r="EY55" s="9"/>
      <c r="EZ55" s="9"/>
      <c r="FA55" s="9"/>
      <c r="FB55" s="9"/>
      <c r="FC55" s="9"/>
      <c r="FD55" s="9"/>
      <c r="FE55" s="9"/>
      <c r="FF55" s="9"/>
      <c r="FG55" s="9"/>
      <c r="FH55" s="9"/>
      <c r="FI55" s="9"/>
      <c r="FJ55" s="9"/>
      <c r="FK55" s="9"/>
      <c r="FL55" s="9"/>
      <c r="FM55" s="9"/>
    </row>
    <row r="56" spans="1:169" outlineLevel="1" x14ac:dyDescent="0.4">
      <c r="A56" t="s">
        <v>103</v>
      </c>
      <c r="B56" t="s">
        <v>102</v>
      </c>
      <c r="C56" t="s">
        <v>674</v>
      </c>
      <c r="D56" s="9"/>
      <c r="E56" s="9"/>
      <c r="AT56" s="9"/>
      <c r="AU56" s="9"/>
      <c r="AV56" s="9"/>
      <c r="AW56" s="9"/>
      <c r="AX56" s="9"/>
      <c r="AY56" s="9"/>
      <c r="AZ56" s="9"/>
      <c r="BA56" s="9"/>
      <c r="BB56" s="9"/>
      <c r="BC56" s="9"/>
      <c r="BD56" s="9"/>
      <c r="BE56" s="9"/>
      <c r="BF56" s="9"/>
      <c r="BG56" s="9"/>
      <c r="BH56" s="9"/>
      <c r="BI56" s="9"/>
      <c r="BJ56" s="9"/>
      <c r="BK56" s="9"/>
      <c r="BL56" s="9"/>
      <c r="BM56" s="9"/>
      <c r="BN56" s="9"/>
      <c r="BO56" s="9"/>
      <c r="BP56" s="9"/>
      <c r="BQ56" s="9"/>
      <c r="BR56" s="9"/>
      <c r="BS56" s="9"/>
      <c r="BT56" s="9"/>
      <c r="BU56" s="9"/>
      <c r="BV56" s="9"/>
      <c r="BW56" s="9"/>
      <c r="BX56" s="9"/>
      <c r="BY56" s="9"/>
      <c r="BZ56" s="9"/>
      <c r="CA56" s="9"/>
      <c r="CB56" s="9"/>
      <c r="CC56" s="9"/>
      <c r="CD56" s="9"/>
      <c r="CE56" s="9"/>
      <c r="CF56" s="9"/>
      <c r="CG56" s="9"/>
      <c r="CH56" s="9"/>
      <c r="CI56" s="9"/>
      <c r="CJ56" s="9"/>
      <c r="CK56" s="9"/>
      <c r="CL56" s="9"/>
      <c r="CM56" s="9"/>
      <c r="CN56" s="9"/>
      <c r="CO56" s="9"/>
      <c r="CP56" s="9"/>
      <c r="CQ56" s="9"/>
      <c r="CR56" s="9"/>
      <c r="CS56" s="9"/>
      <c r="CT56" s="9"/>
      <c r="CU56" s="9"/>
      <c r="CV56" s="9"/>
      <c r="CW56" s="9"/>
      <c r="CX56" s="9"/>
      <c r="CY56" s="9"/>
      <c r="CZ56" s="9"/>
      <c r="DA56" s="9"/>
      <c r="DB56" s="9"/>
      <c r="DC56" s="9"/>
      <c r="DD56" s="9"/>
      <c r="DE56" s="9"/>
      <c r="DF56" s="9"/>
      <c r="DG56" s="9"/>
      <c r="DH56" s="9"/>
      <c r="DI56" s="9"/>
      <c r="DJ56" s="9"/>
      <c r="DK56" s="9"/>
      <c r="DL56" s="9"/>
      <c r="DM56" s="9"/>
      <c r="DN56" s="9"/>
      <c r="DO56" s="9"/>
      <c r="DP56" s="9"/>
      <c r="DQ56" s="9"/>
      <c r="DR56" s="9"/>
      <c r="DS56" s="9"/>
      <c r="DT56" s="9"/>
      <c r="DU56" s="9"/>
      <c r="DV56" s="9"/>
      <c r="DW56" s="9"/>
      <c r="DX56" s="9"/>
      <c r="DY56" s="9"/>
      <c r="DZ56" s="9"/>
      <c r="EA56" s="9"/>
      <c r="EB56" s="9"/>
      <c r="EC56" s="9"/>
      <c r="ED56" s="9"/>
      <c r="EE56" s="9"/>
      <c r="EF56" s="9"/>
      <c r="EG56" s="9"/>
      <c r="EH56" s="9"/>
      <c r="EI56" s="9"/>
      <c r="EJ56" s="9"/>
      <c r="EK56" s="9"/>
      <c r="EL56" s="9"/>
      <c r="EM56" s="9"/>
      <c r="EN56" s="9"/>
      <c r="EO56" s="9"/>
      <c r="EP56" s="9"/>
      <c r="EQ56" s="9"/>
      <c r="ER56" s="9"/>
      <c r="ES56" s="9"/>
      <c r="ET56" s="9"/>
      <c r="EU56" s="9"/>
      <c r="EV56" s="9"/>
      <c r="EW56" s="9"/>
      <c r="EX56" s="9"/>
      <c r="EY56" s="9"/>
      <c r="EZ56" s="9"/>
      <c r="FA56" s="9"/>
      <c r="FB56" s="9"/>
      <c r="FC56" s="9"/>
      <c r="FD56" s="9"/>
      <c r="FE56" s="9"/>
      <c r="FF56" s="9"/>
      <c r="FG56" s="9"/>
      <c r="FH56" s="9"/>
      <c r="FI56" s="9"/>
      <c r="FJ56" s="9"/>
      <c r="FK56" s="9"/>
      <c r="FL56" s="9"/>
      <c r="FM56" s="9"/>
    </row>
    <row r="57" spans="1:169" outlineLevel="1" x14ac:dyDescent="0.4">
      <c r="A57" t="s">
        <v>105</v>
      </c>
      <c r="B57" t="s">
        <v>104</v>
      </c>
      <c r="C57" t="s">
        <v>674</v>
      </c>
      <c r="D57" s="9"/>
      <c r="E57" s="9"/>
      <c r="AT57" s="9"/>
      <c r="AU57" s="9"/>
      <c r="AV57" s="9"/>
      <c r="AW57" s="9"/>
      <c r="AX57" s="9"/>
      <c r="AY57" s="9"/>
      <c r="AZ57" s="9"/>
      <c r="BA57" s="9"/>
      <c r="BB57" s="9"/>
      <c r="BC57" s="9"/>
      <c r="BD57" s="9"/>
      <c r="BE57" s="9"/>
      <c r="BF57" s="9"/>
      <c r="BG57" s="9"/>
      <c r="BH57" s="9"/>
      <c r="BI57" s="9"/>
      <c r="BJ57" s="9"/>
      <c r="BK57" s="9"/>
      <c r="BL57" s="9"/>
      <c r="BM57" s="9"/>
      <c r="BN57" s="9"/>
      <c r="BO57" s="9"/>
      <c r="BP57" s="9"/>
      <c r="BQ57" s="9"/>
      <c r="BR57" s="9"/>
      <c r="BS57" s="9"/>
      <c r="BT57" s="9"/>
      <c r="BU57" s="9"/>
      <c r="BV57" s="9"/>
      <c r="BW57" s="9"/>
      <c r="BX57" s="9"/>
      <c r="BY57" s="9"/>
      <c r="BZ57" s="9"/>
      <c r="CA57" s="9"/>
      <c r="CB57" s="9"/>
      <c r="CC57" s="9"/>
      <c r="CD57" s="9"/>
      <c r="CE57" s="9"/>
      <c r="CF57" s="9"/>
      <c r="CG57" s="9"/>
      <c r="CH57" s="9"/>
      <c r="CI57" s="9"/>
      <c r="CJ57" s="9"/>
      <c r="CK57" s="9"/>
      <c r="CL57" s="9"/>
      <c r="CM57" s="9"/>
      <c r="CN57" s="9"/>
      <c r="CO57" s="9"/>
      <c r="CP57" s="9"/>
      <c r="CQ57" s="9"/>
      <c r="CR57" s="9"/>
      <c r="CS57" s="9"/>
      <c r="CT57" s="9"/>
      <c r="CU57" s="9"/>
      <c r="CV57" s="9"/>
      <c r="CW57" s="9"/>
      <c r="CX57" s="9"/>
      <c r="CY57" s="9"/>
      <c r="CZ57" s="9"/>
      <c r="DA57" s="9"/>
      <c r="DB57" s="9"/>
      <c r="DC57" s="9"/>
      <c r="DD57" s="9"/>
      <c r="DE57" s="9"/>
      <c r="DF57" s="9"/>
      <c r="DG57" s="9"/>
      <c r="DH57" s="9"/>
      <c r="DI57" s="9"/>
      <c r="DJ57" s="9"/>
      <c r="DK57" s="9"/>
      <c r="DL57" s="9"/>
      <c r="DM57" s="9"/>
      <c r="DN57" s="9"/>
      <c r="DO57" s="9"/>
      <c r="DP57" s="9"/>
      <c r="DQ57" s="9"/>
      <c r="DR57" s="9"/>
      <c r="DS57" s="9"/>
      <c r="DT57" s="9"/>
      <c r="DU57" s="9"/>
      <c r="DV57" s="9"/>
      <c r="DW57" s="9"/>
      <c r="DX57" s="9"/>
      <c r="DY57" s="9"/>
      <c r="DZ57" s="9"/>
      <c r="EA57" s="9"/>
      <c r="EB57" s="9"/>
      <c r="EC57" s="9"/>
      <c r="ED57" s="9"/>
      <c r="EE57" s="9"/>
      <c r="EF57" s="9"/>
      <c r="EG57" s="9"/>
      <c r="EH57" s="9"/>
      <c r="EI57" s="9"/>
      <c r="EJ57" s="9"/>
      <c r="EK57" s="9"/>
      <c r="EL57" s="9"/>
      <c r="EM57" s="9"/>
      <c r="EN57" s="9"/>
      <c r="EO57" s="9"/>
      <c r="EP57" s="9"/>
      <c r="EQ57" s="9"/>
      <c r="ER57" s="9"/>
      <c r="ES57" s="9"/>
      <c r="ET57" s="9"/>
      <c r="EU57" s="9"/>
      <c r="EV57" s="9"/>
      <c r="EW57" s="9"/>
      <c r="EX57" s="9"/>
      <c r="EY57" s="9"/>
      <c r="EZ57" s="9"/>
      <c r="FA57" s="9"/>
      <c r="FB57" s="9"/>
      <c r="FC57" s="9"/>
      <c r="FD57" s="9"/>
      <c r="FE57" s="9"/>
      <c r="FF57" s="9"/>
      <c r="FG57" s="9"/>
      <c r="FH57" s="9"/>
      <c r="FI57" s="9"/>
      <c r="FJ57" s="9"/>
      <c r="FK57" s="9"/>
      <c r="FL57" s="9"/>
      <c r="FM57" s="9"/>
    </row>
    <row r="58" spans="1:169" outlineLevel="1" x14ac:dyDescent="0.4">
      <c r="A58" t="s">
        <v>620</v>
      </c>
      <c r="B58" t="s">
        <v>622</v>
      </c>
      <c r="C58" t="s">
        <v>674</v>
      </c>
      <c r="D58" s="9"/>
      <c r="E58" s="9"/>
    </row>
    <row r="59" spans="1:169" outlineLevel="1" x14ac:dyDescent="0.4">
      <c r="A59" t="s">
        <v>107</v>
      </c>
      <c r="B59" t="s">
        <v>106</v>
      </c>
      <c r="C59" t="s">
        <v>674</v>
      </c>
      <c r="D59" s="9"/>
      <c r="E59" s="9"/>
      <c r="AT59" s="9"/>
      <c r="AU59" s="9"/>
      <c r="AV59" s="9"/>
      <c r="AW59" s="9"/>
      <c r="AX59" s="9"/>
      <c r="AY59" s="9"/>
      <c r="AZ59" s="9"/>
      <c r="BA59" s="9"/>
      <c r="BB59" s="9"/>
      <c r="BC59" s="9"/>
      <c r="BD59" s="9"/>
      <c r="BE59" s="9"/>
      <c r="BF59" s="9"/>
      <c r="BG59" s="9"/>
      <c r="BH59" s="9"/>
      <c r="BI59" s="9"/>
      <c r="BJ59" s="9"/>
      <c r="BK59" s="9"/>
      <c r="BL59" s="9"/>
      <c r="BM59" s="9"/>
      <c r="BN59" s="9"/>
      <c r="BO59" s="9"/>
      <c r="BP59" s="9"/>
      <c r="BQ59" s="9"/>
      <c r="BR59" s="9"/>
      <c r="BS59" s="9"/>
      <c r="BT59" s="9"/>
      <c r="BU59" s="9"/>
      <c r="BV59" s="9"/>
      <c r="BW59" s="9"/>
      <c r="BX59" s="9"/>
      <c r="BY59" s="9"/>
      <c r="BZ59" s="9"/>
      <c r="CA59" s="9"/>
      <c r="CB59" s="9"/>
      <c r="CC59" s="9"/>
      <c r="CD59" s="9"/>
      <c r="CE59" s="9"/>
      <c r="CF59" s="9"/>
      <c r="CG59" s="9"/>
      <c r="CH59" s="9"/>
      <c r="CI59" s="9"/>
      <c r="CJ59" s="9"/>
      <c r="CK59" s="9"/>
      <c r="CL59" s="9"/>
      <c r="CM59" s="9"/>
      <c r="CN59" s="9"/>
      <c r="CO59" s="9"/>
      <c r="CP59" s="9"/>
      <c r="CQ59" s="9"/>
      <c r="CR59" s="9"/>
      <c r="CS59" s="9"/>
      <c r="CT59" s="9"/>
      <c r="CU59" s="9"/>
      <c r="CV59" s="9"/>
      <c r="CW59" s="9"/>
      <c r="CX59" s="9"/>
      <c r="CY59" s="9"/>
      <c r="CZ59" s="9"/>
      <c r="DA59" s="9"/>
      <c r="DB59" s="9"/>
      <c r="DC59" s="9"/>
      <c r="DD59" s="9"/>
      <c r="DE59" s="9"/>
      <c r="DF59" s="9"/>
      <c r="DG59" s="9"/>
      <c r="DH59" s="9"/>
      <c r="DI59" s="9"/>
      <c r="DJ59" s="9"/>
      <c r="DK59" s="9"/>
      <c r="DL59" s="9"/>
      <c r="DM59" s="9"/>
      <c r="DN59" s="9"/>
      <c r="DO59" s="9"/>
      <c r="DP59" s="9"/>
      <c r="DQ59" s="9"/>
      <c r="DR59" s="9"/>
      <c r="DS59" s="9"/>
      <c r="DT59" s="9"/>
      <c r="DU59" s="9"/>
      <c r="DV59" s="9"/>
      <c r="DW59" s="9"/>
      <c r="DX59" s="9"/>
      <c r="DY59" s="9"/>
      <c r="DZ59" s="9"/>
      <c r="EA59" s="9"/>
      <c r="EB59" s="9"/>
      <c r="EC59" s="9"/>
      <c r="ED59" s="9"/>
      <c r="EE59" s="9"/>
      <c r="EF59" s="9"/>
      <c r="EG59" s="9"/>
      <c r="EH59" s="9"/>
      <c r="EI59" s="9"/>
      <c r="EJ59" s="9"/>
      <c r="EK59" s="9"/>
      <c r="EL59" s="9"/>
      <c r="EM59" s="9"/>
      <c r="EN59" s="9"/>
      <c r="EO59" s="9"/>
      <c r="EP59" s="9"/>
      <c r="EQ59" s="9"/>
      <c r="ER59" s="9"/>
      <c r="ES59" s="9"/>
      <c r="ET59" s="9"/>
      <c r="EU59" s="9"/>
      <c r="EV59" s="9"/>
      <c r="EW59" s="9"/>
      <c r="EX59" s="9"/>
      <c r="EY59" s="9"/>
      <c r="EZ59" s="9"/>
      <c r="FA59" s="9"/>
      <c r="FB59" s="9"/>
      <c r="FC59" s="9"/>
      <c r="FD59" s="9"/>
      <c r="FE59" s="9"/>
      <c r="FF59" s="9"/>
      <c r="FG59" s="9"/>
      <c r="FH59" s="9"/>
      <c r="FI59" s="9"/>
      <c r="FJ59" s="9"/>
      <c r="FK59" s="9"/>
      <c r="FL59" s="9"/>
      <c r="FM59" s="9"/>
    </row>
    <row r="60" spans="1:169" outlineLevel="1" x14ac:dyDescent="0.4">
      <c r="A60" t="s">
        <v>160</v>
      </c>
      <c r="B60" t="s">
        <v>108</v>
      </c>
      <c r="C60" t="s">
        <v>674</v>
      </c>
      <c r="D60" s="9"/>
      <c r="E60" s="9"/>
      <c r="AT60" s="9"/>
      <c r="AU60" s="9"/>
      <c r="AV60" s="9"/>
      <c r="AW60" s="9"/>
      <c r="AX60" s="9"/>
      <c r="AY60" s="9"/>
      <c r="AZ60" s="9"/>
      <c r="BA60" s="9"/>
      <c r="BB60" s="9"/>
      <c r="BC60" s="9"/>
      <c r="BD60" s="9"/>
      <c r="BE60" s="9"/>
      <c r="BF60" s="9"/>
      <c r="BG60" s="9"/>
      <c r="BH60" s="9"/>
      <c r="BI60" s="9"/>
      <c r="BJ60" s="9"/>
      <c r="BK60" s="9"/>
      <c r="BL60" s="9"/>
      <c r="BM60" s="9"/>
      <c r="BN60" s="9"/>
      <c r="BO60" s="9"/>
      <c r="BP60" s="9"/>
      <c r="BQ60" s="9"/>
      <c r="BR60" s="9"/>
      <c r="BS60" s="9"/>
      <c r="BT60" s="9"/>
      <c r="BU60" s="9"/>
      <c r="BV60" s="9"/>
      <c r="BW60" s="9"/>
      <c r="BX60" s="9"/>
      <c r="BY60" s="9"/>
      <c r="BZ60" s="9"/>
      <c r="CA60" s="9"/>
      <c r="CB60" s="9"/>
      <c r="CC60" s="9"/>
      <c r="CD60" s="9"/>
      <c r="CE60" s="9"/>
      <c r="CF60" s="9"/>
      <c r="CG60" s="9"/>
      <c r="CH60" s="9"/>
      <c r="CI60" s="9"/>
      <c r="CJ60" s="9"/>
      <c r="CK60" s="9"/>
      <c r="CL60" s="9"/>
      <c r="CM60" s="9"/>
      <c r="CN60" s="9"/>
      <c r="CO60" s="9"/>
      <c r="CP60" s="9"/>
      <c r="CQ60" s="9"/>
      <c r="CR60" s="9"/>
      <c r="CS60" s="9"/>
      <c r="CT60" s="9"/>
      <c r="CU60" s="9"/>
      <c r="CV60" s="9"/>
      <c r="CW60" s="9"/>
      <c r="CX60" s="9"/>
      <c r="CY60" s="9"/>
      <c r="CZ60" s="9"/>
      <c r="DA60" s="9"/>
      <c r="DB60" s="9"/>
      <c r="DC60" s="9"/>
      <c r="DD60" s="9"/>
      <c r="DE60" s="9"/>
      <c r="DF60" s="9"/>
      <c r="DG60" s="9"/>
      <c r="DH60" s="9"/>
      <c r="DI60" s="9"/>
      <c r="DJ60" s="9"/>
      <c r="DK60" s="9"/>
      <c r="DL60" s="9"/>
      <c r="DM60" s="9"/>
      <c r="DN60" s="9"/>
      <c r="DO60" s="9"/>
      <c r="DP60" s="9"/>
      <c r="DQ60" s="9"/>
      <c r="DR60" s="9"/>
      <c r="DS60" s="9"/>
      <c r="DT60" s="9"/>
      <c r="DU60" s="9"/>
      <c r="DV60" s="9"/>
      <c r="DW60" s="9"/>
      <c r="DX60" s="9"/>
      <c r="DY60" s="9"/>
      <c r="DZ60" s="9"/>
      <c r="EA60" s="9"/>
      <c r="EB60" s="9"/>
      <c r="EC60" s="9"/>
      <c r="ED60" s="9"/>
      <c r="EE60" s="9"/>
      <c r="EF60" s="9"/>
      <c r="EG60" s="9"/>
      <c r="EH60" s="9"/>
      <c r="EI60" s="9"/>
      <c r="EJ60" s="9"/>
      <c r="EK60" s="9"/>
      <c r="EL60" s="9"/>
      <c r="EM60" s="9"/>
      <c r="EN60" s="9"/>
      <c r="EO60" s="9"/>
      <c r="EP60" s="9"/>
      <c r="EQ60" s="9"/>
      <c r="ER60" s="9"/>
      <c r="ES60" s="9"/>
      <c r="ET60" s="9"/>
      <c r="EU60" s="9"/>
      <c r="EV60" s="9"/>
      <c r="EW60" s="9"/>
      <c r="EX60" s="9"/>
      <c r="EY60" s="9"/>
      <c r="EZ60" s="9"/>
      <c r="FA60" s="9"/>
      <c r="FB60" s="9"/>
      <c r="FC60" s="9"/>
      <c r="FD60" s="9"/>
      <c r="FE60" s="9"/>
      <c r="FF60" s="9"/>
      <c r="FG60" s="9"/>
      <c r="FH60" s="9"/>
      <c r="FI60" s="9"/>
      <c r="FJ60" s="9"/>
      <c r="FK60" s="9"/>
      <c r="FL60" s="9"/>
      <c r="FM60" s="9"/>
    </row>
    <row r="61" spans="1:169" outlineLevel="1" x14ac:dyDescent="0.4">
      <c r="A61" t="s">
        <v>161</v>
      </c>
      <c r="B61" t="s">
        <v>162</v>
      </c>
      <c r="C61" t="s">
        <v>674</v>
      </c>
      <c r="D61" s="9"/>
      <c r="E61" s="9"/>
      <c r="AT61" s="9"/>
      <c r="AU61" s="9"/>
      <c r="AV61" s="9"/>
      <c r="AW61" s="9"/>
      <c r="AX61" s="9"/>
      <c r="AY61" s="9"/>
      <c r="AZ61" s="9"/>
      <c r="BA61" s="9"/>
      <c r="BB61" s="9"/>
      <c r="BC61" s="9"/>
      <c r="BD61" s="9"/>
      <c r="BE61" s="9"/>
      <c r="BF61" s="9"/>
      <c r="BG61" s="9"/>
      <c r="BH61" s="9"/>
      <c r="BI61" s="9"/>
      <c r="BJ61" s="9"/>
      <c r="BK61" s="9"/>
      <c r="BL61" s="9"/>
      <c r="BM61" s="9"/>
      <c r="BN61" s="9"/>
      <c r="BO61" s="9"/>
      <c r="BP61" s="9"/>
      <c r="BQ61" s="9"/>
      <c r="BR61" s="9"/>
      <c r="BS61" s="9"/>
      <c r="BT61" s="9"/>
      <c r="BU61" s="9"/>
      <c r="BV61" s="9"/>
      <c r="BW61" s="9"/>
      <c r="BX61" s="9"/>
      <c r="BY61" s="9"/>
      <c r="BZ61" s="9"/>
      <c r="CA61" s="9"/>
      <c r="CB61" s="9"/>
      <c r="CC61" s="9"/>
      <c r="CD61" s="9"/>
      <c r="CE61" s="9"/>
      <c r="CF61" s="9"/>
      <c r="CG61" s="9"/>
      <c r="CH61" s="9"/>
      <c r="CI61" s="9"/>
      <c r="CJ61" s="9"/>
      <c r="CK61" s="9"/>
      <c r="CL61" s="9"/>
      <c r="CM61" s="9"/>
      <c r="CN61" s="9"/>
      <c r="CO61" s="9"/>
      <c r="CP61" s="9"/>
      <c r="CQ61" s="9"/>
      <c r="CR61" s="9"/>
      <c r="CS61" s="9"/>
      <c r="CT61" s="9"/>
      <c r="CU61" s="9"/>
      <c r="CV61" s="9"/>
      <c r="CW61" s="9"/>
      <c r="CX61" s="9"/>
      <c r="CY61" s="9"/>
      <c r="CZ61" s="9"/>
      <c r="DA61" s="9"/>
      <c r="DB61" s="9"/>
      <c r="DC61" s="9"/>
      <c r="DD61" s="9"/>
      <c r="DE61" s="9"/>
      <c r="DF61" s="9"/>
      <c r="DG61" s="9"/>
      <c r="DH61" s="9"/>
      <c r="DI61" s="9"/>
      <c r="DJ61" s="9"/>
      <c r="DK61" s="9"/>
      <c r="DL61" s="9"/>
      <c r="DM61" s="9"/>
      <c r="DN61" s="9"/>
      <c r="DO61" s="9"/>
      <c r="DP61" s="9"/>
      <c r="DQ61" s="9"/>
      <c r="DR61" s="9"/>
      <c r="DS61" s="9"/>
      <c r="DT61" s="9"/>
      <c r="DU61" s="9"/>
      <c r="DV61" s="9"/>
      <c r="DW61" s="9"/>
      <c r="DX61" s="9"/>
      <c r="DY61" s="9"/>
      <c r="DZ61" s="9"/>
      <c r="EA61" s="9"/>
      <c r="EB61" s="9"/>
      <c r="EC61" s="9"/>
      <c r="ED61" s="9"/>
      <c r="EE61" s="9"/>
      <c r="EF61" s="9"/>
      <c r="EG61" s="9"/>
      <c r="EH61" s="9"/>
      <c r="EI61" s="9"/>
      <c r="EJ61" s="9"/>
      <c r="EK61" s="9"/>
      <c r="EL61" s="9"/>
      <c r="EM61" s="9"/>
      <c r="EN61" s="9"/>
      <c r="EO61" s="9"/>
      <c r="EP61" s="9"/>
      <c r="EQ61" s="9"/>
      <c r="ER61" s="9"/>
      <c r="ES61" s="9"/>
      <c r="ET61" s="9"/>
      <c r="EU61" s="9"/>
      <c r="EV61" s="9"/>
      <c r="EW61" s="9"/>
      <c r="EX61" s="9"/>
      <c r="EY61" s="9"/>
      <c r="EZ61" s="9"/>
      <c r="FA61" s="9"/>
      <c r="FB61" s="9"/>
      <c r="FC61" s="9"/>
      <c r="FD61" s="9"/>
      <c r="FE61" s="9"/>
      <c r="FF61" s="9"/>
      <c r="FG61" s="9"/>
      <c r="FH61" s="9"/>
      <c r="FI61" s="9"/>
      <c r="FJ61" s="9"/>
      <c r="FK61" s="9"/>
      <c r="FL61" s="9"/>
      <c r="FM61" s="9"/>
    </row>
    <row r="62" spans="1:169" outlineLevel="1" x14ac:dyDescent="0.4">
      <c r="A62" t="s">
        <v>621</v>
      </c>
      <c r="B62" t="s">
        <v>623</v>
      </c>
      <c r="C62" t="s">
        <v>674</v>
      </c>
      <c r="D62" s="9"/>
      <c r="E62" s="9"/>
    </row>
    <row r="63" spans="1:169" outlineLevel="1" x14ac:dyDescent="0.4">
      <c r="A63" t="s">
        <v>668</v>
      </c>
      <c r="B63" t="s">
        <v>109</v>
      </c>
      <c r="C63" t="s">
        <v>674</v>
      </c>
      <c r="D63" s="9"/>
      <c r="E63" s="9"/>
      <c r="AT63" s="9"/>
      <c r="AU63" s="9"/>
      <c r="AV63" s="9"/>
      <c r="AW63" s="9"/>
      <c r="AX63" s="9"/>
      <c r="AY63" s="9"/>
      <c r="AZ63" s="9"/>
      <c r="BA63" s="9"/>
      <c r="BB63" s="9"/>
      <c r="BC63" s="9"/>
      <c r="BD63" s="9"/>
      <c r="BE63" s="9"/>
      <c r="BF63" s="9"/>
      <c r="BG63" s="9"/>
      <c r="BH63" s="9"/>
      <c r="BI63" s="9"/>
      <c r="BJ63" s="9"/>
      <c r="BK63" s="9"/>
      <c r="BL63" s="9"/>
      <c r="BM63" s="9"/>
      <c r="BN63" s="9"/>
      <c r="BO63" s="9"/>
      <c r="BP63" s="9"/>
      <c r="BQ63" s="9"/>
      <c r="BR63" s="9"/>
      <c r="BS63" s="9"/>
      <c r="BT63" s="9"/>
      <c r="BU63" s="9"/>
      <c r="BV63" s="9"/>
      <c r="BW63" s="9"/>
      <c r="BX63" s="9"/>
      <c r="BY63" s="9"/>
      <c r="BZ63" s="9"/>
      <c r="CA63" s="9"/>
      <c r="CB63" s="9"/>
      <c r="CC63" s="9"/>
      <c r="CD63" s="9"/>
      <c r="CE63" s="9"/>
      <c r="CF63" s="9"/>
      <c r="CG63" s="9"/>
      <c r="CH63" s="9"/>
      <c r="CI63" s="9"/>
      <c r="CJ63" s="9"/>
      <c r="CK63" s="9"/>
      <c r="CL63" s="9"/>
      <c r="CM63" s="9"/>
      <c r="CN63" s="9"/>
      <c r="CO63" s="9"/>
      <c r="CP63" s="9"/>
      <c r="CQ63" s="9"/>
      <c r="CR63" s="9"/>
      <c r="CS63" s="9"/>
      <c r="CT63" s="9"/>
      <c r="CU63" s="9"/>
      <c r="CV63" s="9"/>
      <c r="CW63" s="9"/>
      <c r="CX63" s="9"/>
      <c r="CY63" s="9"/>
      <c r="CZ63" s="9"/>
      <c r="DA63" s="9"/>
      <c r="DB63" s="9"/>
      <c r="DC63" s="9"/>
      <c r="DD63" s="9"/>
      <c r="DE63" s="9"/>
      <c r="DF63" s="9"/>
      <c r="DG63" s="9"/>
      <c r="DH63" s="9"/>
      <c r="DI63" s="9"/>
      <c r="DJ63" s="9"/>
      <c r="DK63" s="9"/>
      <c r="DL63" s="9"/>
      <c r="DM63" s="9"/>
      <c r="DN63" s="9"/>
      <c r="DO63" s="9"/>
      <c r="DP63" s="9"/>
      <c r="DQ63" s="9"/>
      <c r="DR63" s="9"/>
      <c r="DS63" s="9"/>
      <c r="DT63" s="9"/>
      <c r="DU63" s="9"/>
      <c r="DV63" s="9"/>
      <c r="DW63" s="9"/>
      <c r="DX63" s="9"/>
      <c r="DY63" s="9"/>
      <c r="DZ63" s="9"/>
      <c r="EA63" s="9"/>
      <c r="EB63" s="9"/>
      <c r="EC63" s="9"/>
      <c r="ED63" s="9"/>
      <c r="EE63" s="9"/>
      <c r="EF63" s="9"/>
      <c r="EG63" s="9"/>
      <c r="EH63" s="9"/>
      <c r="EI63" s="9"/>
      <c r="EJ63" s="9"/>
      <c r="EK63" s="9"/>
      <c r="EL63" s="9"/>
      <c r="EM63" s="9"/>
      <c r="EN63" s="9"/>
      <c r="EO63" s="9"/>
      <c r="EP63" s="9"/>
      <c r="EQ63" s="9"/>
      <c r="ER63" s="9"/>
      <c r="ES63" s="9"/>
      <c r="ET63" s="9"/>
      <c r="EU63" s="9"/>
      <c r="EV63" s="9"/>
      <c r="EW63" s="9"/>
      <c r="EX63" s="9"/>
      <c r="EY63" s="9"/>
      <c r="EZ63" s="9"/>
      <c r="FA63" s="9"/>
      <c r="FB63" s="9"/>
      <c r="FC63" s="9"/>
      <c r="FD63" s="9"/>
      <c r="FE63" s="9"/>
      <c r="FF63" s="9"/>
      <c r="FG63" s="9"/>
      <c r="FH63" s="9"/>
      <c r="FI63" s="9"/>
      <c r="FJ63" s="9"/>
      <c r="FK63" s="9"/>
      <c r="FL63" s="9"/>
      <c r="FM63" s="9"/>
    </row>
    <row r="64" spans="1:169" outlineLevel="1" x14ac:dyDescent="0.4">
      <c r="A64" t="s">
        <v>111</v>
      </c>
      <c r="B64" t="s">
        <v>110</v>
      </c>
      <c r="C64" t="s">
        <v>674</v>
      </c>
      <c r="D64" s="9"/>
      <c r="E64" s="9"/>
      <c r="AT64" s="9"/>
      <c r="AU64" s="9"/>
      <c r="AV64" s="9"/>
      <c r="AW64" s="9"/>
      <c r="AX64" s="9"/>
      <c r="AY64" s="9"/>
      <c r="AZ64" s="9"/>
      <c r="BA64" s="9"/>
      <c r="BB64" s="9"/>
      <c r="BC64" s="9"/>
      <c r="BD64" s="9"/>
      <c r="BE64" s="9"/>
      <c r="BF64" s="9"/>
      <c r="BG64" s="9"/>
      <c r="BH64" s="9"/>
      <c r="BI64" s="9"/>
      <c r="BJ64" s="9"/>
      <c r="BK64" s="9"/>
      <c r="BL64" s="9"/>
      <c r="BM64" s="9"/>
      <c r="BN64" s="9"/>
      <c r="BO64" s="9"/>
      <c r="BP64" s="9"/>
      <c r="BQ64" s="9"/>
      <c r="BR64" s="9"/>
      <c r="BS64" s="9"/>
      <c r="BT64" s="9"/>
      <c r="BU64" s="9"/>
      <c r="BV64" s="9"/>
      <c r="BW64" s="9"/>
      <c r="BX64" s="9"/>
      <c r="BY64" s="9"/>
      <c r="BZ64" s="9"/>
      <c r="CA64" s="9"/>
      <c r="CB64" s="9"/>
      <c r="CC64" s="9"/>
      <c r="CD64" s="9"/>
      <c r="CE64" s="9"/>
      <c r="CF64" s="9"/>
      <c r="CG64" s="9"/>
      <c r="CH64" s="9"/>
      <c r="CI64" s="9"/>
      <c r="CJ64" s="9"/>
      <c r="CK64" s="9"/>
      <c r="CL64" s="9"/>
      <c r="CM64" s="9"/>
      <c r="CN64" s="9"/>
      <c r="CO64" s="9"/>
      <c r="CP64" s="9"/>
      <c r="CQ64" s="9"/>
      <c r="CR64" s="9"/>
      <c r="CS64" s="9"/>
      <c r="CT64" s="9"/>
      <c r="CU64" s="9"/>
      <c r="CV64" s="9"/>
      <c r="CW64" s="9"/>
      <c r="CX64" s="9"/>
      <c r="CY64" s="9"/>
      <c r="CZ64" s="9"/>
      <c r="DA64" s="9"/>
      <c r="DB64" s="9"/>
      <c r="DC64" s="9"/>
      <c r="DD64" s="9"/>
      <c r="DE64" s="9"/>
      <c r="DF64" s="9"/>
      <c r="DG64" s="9"/>
      <c r="DH64" s="9"/>
      <c r="DI64" s="9"/>
      <c r="DJ64" s="9"/>
      <c r="DK64" s="9"/>
      <c r="DL64" s="9"/>
      <c r="DM64" s="9"/>
      <c r="DN64" s="9"/>
      <c r="DO64" s="9"/>
      <c r="DP64" s="9"/>
      <c r="DQ64" s="9"/>
      <c r="DR64" s="9"/>
      <c r="DS64" s="9"/>
      <c r="DT64" s="9"/>
      <c r="DU64" s="9"/>
      <c r="DV64" s="9"/>
      <c r="DW64" s="9"/>
      <c r="DX64" s="9"/>
      <c r="DY64" s="9"/>
      <c r="DZ64" s="9"/>
      <c r="EA64" s="9"/>
      <c r="EB64" s="9"/>
      <c r="EC64" s="9"/>
      <c r="ED64" s="9"/>
      <c r="EE64" s="9"/>
      <c r="EF64" s="9"/>
      <c r="EG64" s="9"/>
      <c r="EH64" s="9"/>
      <c r="EI64" s="9"/>
      <c r="EJ64" s="9"/>
      <c r="EK64" s="9"/>
      <c r="EL64" s="9"/>
      <c r="EM64" s="9"/>
      <c r="EN64" s="9"/>
      <c r="EO64" s="9"/>
      <c r="EP64" s="9"/>
      <c r="EQ64" s="9"/>
      <c r="ER64" s="9"/>
      <c r="ES64" s="9"/>
      <c r="ET64" s="9"/>
      <c r="EU64" s="9"/>
      <c r="EV64" s="9"/>
      <c r="EW64" s="9"/>
      <c r="EX64" s="9"/>
      <c r="EY64" s="9"/>
      <c r="EZ64" s="9"/>
      <c r="FA64" s="9"/>
      <c r="FB64" s="9"/>
      <c r="FC64" s="9"/>
      <c r="FD64" s="9"/>
      <c r="FE64" s="9"/>
      <c r="FF64" s="9"/>
      <c r="FG64" s="9"/>
      <c r="FH64" s="9"/>
      <c r="FI64" s="9"/>
      <c r="FJ64" s="9"/>
      <c r="FK64" s="9"/>
      <c r="FL64" s="9"/>
      <c r="FM64" s="9"/>
    </row>
    <row r="65" spans="1:169" outlineLevel="1" x14ac:dyDescent="0.4">
      <c r="A65" t="s">
        <v>113</v>
      </c>
      <c r="B65" t="s">
        <v>112</v>
      </c>
      <c r="C65" t="s">
        <v>674</v>
      </c>
      <c r="D65" s="9"/>
      <c r="E65" s="9"/>
      <c r="AT65" s="9"/>
      <c r="AU65" s="9"/>
      <c r="AV65" s="9"/>
      <c r="AW65" s="9"/>
      <c r="AX65" s="9"/>
      <c r="AY65" s="9"/>
      <c r="AZ65" s="9"/>
      <c r="BA65" s="9"/>
      <c r="BB65" s="9"/>
      <c r="BC65" s="9"/>
      <c r="BD65" s="9"/>
      <c r="BE65" s="9"/>
      <c r="BF65" s="9"/>
      <c r="BG65" s="9"/>
      <c r="BH65" s="9"/>
      <c r="BI65" s="9"/>
      <c r="BJ65" s="9"/>
      <c r="BK65" s="9"/>
      <c r="BL65" s="9"/>
      <c r="BM65" s="9"/>
      <c r="BN65" s="9"/>
      <c r="BO65" s="9"/>
      <c r="BP65" s="9"/>
      <c r="BQ65" s="9"/>
      <c r="BR65" s="9"/>
      <c r="BS65" s="9"/>
      <c r="BT65" s="9"/>
      <c r="BU65" s="9"/>
      <c r="BV65" s="9"/>
      <c r="BW65" s="9"/>
      <c r="BX65" s="9"/>
      <c r="BY65" s="9"/>
      <c r="BZ65" s="9"/>
      <c r="CA65" s="9"/>
      <c r="CB65" s="9"/>
      <c r="CC65" s="9"/>
      <c r="CD65" s="9"/>
      <c r="CE65" s="9"/>
      <c r="CF65" s="9"/>
      <c r="CG65" s="9"/>
      <c r="CH65" s="9"/>
      <c r="CI65" s="9"/>
      <c r="CJ65" s="9"/>
      <c r="CK65" s="9"/>
      <c r="CL65" s="9"/>
      <c r="CM65" s="9"/>
      <c r="CN65" s="9"/>
      <c r="CO65" s="9"/>
      <c r="CP65" s="9"/>
      <c r="CQ65" s="9"/>
      <c r="CR65" s="9"/>
      <c r="CS65" s="9"/>
      <c r="CT65" s="9"/>
      <c r="CU65" s="9"/>
      <c r="CV65" s="9"/>
      <c r="CW65" s="9"/>
      <c r="CX65" s="9"/>
      <c r="CY65" s="9"/>
      <c r="CZ65" s="9"/>
      <c r="DA65" s="9"/>
      <c r="DB65" s="9"/>
      <c r="DC65" s="9"/>
      <c r="DD65" s="9"/>
      <c r="DE65" s="9"/>
      <c r="DF65" s="9"/>
      <c r="DG65" s="9"/>
      <c r="DH65" s="9"/>
      <c r="DI65" s="9"/>
      <c r="DJ65" s="9"/>
      <c r="DK65" s="9"/>
      <c r="DL65" s="9"/>
      <c r="DM65" s="9"/>
      <c r="DN65" s="9"/>
      <c r="DO65" s="9"/>
      <c r="DP65" s="9"/>
      <c r="DQ65" s="9"/>
      <c r="DR65" s="9"/>
      <c r="DS65" s="9"/>
      <c r="DT65" s="9"/>
      <c r="DU65" s="9"/>
      <c r="DV65" s="9"/>
      <c r="DW65" s="9"/>
      <c r="DX65" s="9"/>
      <c r="DY65" s="9"/>
      <c r="DZ65" s="9"/>
      <c r="EA65" s="9"/>
      <c r="EB65" s="9"/>
      <c r="EC65" s="9"/>
      <c r="ED65" s="9"/>
      <c r="EE65" s="9"/>
      <c r="EF65" s="9"/>
      <c r="EG65" s="9"/>
      <c r="EH65" s="9"/>
      <c r="EI65" s="9"/>
      <c r="EJ65" s="9"/>
      <c r="EK65" s="9"/>
      <c r="EL65" s="9"/>
      <c r="EM65" s="9"/>
      <c r="EN65" s="9"/>
      <c r="EO65" s="9"/>
      <c r="EP65" s="9"/>
      <c r="EQ65" s="9"/>
      <c r="ER65" s="9"/>
      <c r="ES65" s="9"/>
      <c r="ET65" s="9"/>
      <c r="EU65" s="9"/>
      <c r="EV65" s="9"/>
      <c r="EW65" s="9"/>
      <c r="EX65" s="9"/>
      <c r="EY65" s="9"/>
      <c r="EZ65" s="9"/>
      <c r="FA65" s="9"/>
      <c r="FB65" s="9"/>
      <c r="FC65" s="9"/>
      <c r="FD65" s="9"/>
      <c r="FE65" s="9"/>
      <c r="FF65" s="9"/>
      <c r="FG65" s="9"/>
      <c r="FH65" s="9"/>
      <c r="FI65" s="9"/>
      <c r="FJ65" s="9"/>
      <c r="FK65" s="9"/>
      <c r="FL65" s="9"/>
      <c r="FM65" s="9"/>
    </row>
    <row r="66" spans="1:169" outlineLevel="1" x14ac:dyDescent="0.4">
      <c r="A66" t="s">
        <v>115</v>
      </c>
      <c r="B66" t="s">
        <v>114</v>
      </c>
      <c r="C66" t="s">
        <v>674</v>
      </c>
      <c r="D66" s="9"/>
      <c r="E66" s="9"/>
      <c r="AT66" s="9"/>
      <c r="AU66" s="9"/>
      <c r="AV66" s="9"/>
      <c r="AW66" s="9"/>
      <c r="AX66" s="9"/>
      <c r="AY66" s="9"/>
      <c r="AZ66" s="9"/>
      <c r="BA66" s="9"/>
      <c r="BB66" s="9"/>
      <c r="BC66" s="9"/>
      <c r="BD66" s="9"/>
      <c r="BE66" s="9"/>
      <c r="BF66" s="9"/>
      <c r="BG66" s="9"/>
      <c r="BH66" s="9"/>
      <c r="BI66" s="9"/>
      <c r="BJ66" s="9"/>
      <c r="BK66" s="9"/>
      <c r="BL66" s="9"/>
      <c r="BM66" s="9"/>
      <c r="BN66" s="9"/>
      <c r="BO66" s="9"/>
      <c r="BP66" s="9"/>
      <c r="BQ66" s="9"/>
      <c r="BR66" s="9"/>
      <c r="BS66" s="9"/>
      <c r="BT66" s="9"/>
      <c r="BU66" s="9"/>
      <c r="BV66" s="9"/>
      <c r="BW66" s="9"/>
      <c r="BX66" s="9"/>
      <c r="BY66" s="9"/>
      <c r="BZ66" s="9"/>
      <c r="CA66" s="9"/>
      <c r="CB66" s="9"/>
      <c r="CC66" s="9"/>
      <c r="CD66" s="9"/>
      <c r="CE66" s="9"/>
      <c r="CF66" s="9"/>
      <c r="CG66" s="9"/>
      <c r="CH66" s="9"/>
      <c r="CI66" s="9"/>
      <c r="CJ66" s="9"/>
      <c r="CK66" s="9"/>
      <c r="CL66" s="9"/>
      <c r="CM66" s="9"/>
      <c r="CN66" s="9"/>
      <c r="CO66" s="9"/>
      <c r="CP66" s="9"/>
      <c r="CQ66" s="9"/>
      <c r="CR66" s="9"/>
      <c r="CS66" s="9"/>
      <c r="CT66" s="9"/>
      <c r="CU66" s="9"/>
      <c r="CV66" s="9"/>
      <c r="CW66" s="9"/>
      <c r="CX66" s="9"/>
      <c r="CY66" s="9"/>
      <c r="CZ66" s="9"/>
      <c r="DA66" s="9"/>
      <c r="DB66" s="9"/>
      <c r="DC66" s="9"/>
      <c r="DD66" s="9"/>
      <c r="DE66" s="9"/>
      <c r="DF66" s="9"/>
      <c r="DG66" s="9"/>
      <c r="DH66" s="9"/>
      <c r="DI66" s="9"/>
      <c r="DJ66" s="9"/>
      <c r="DK66" s="9"/>
      <c r="DL66" s="9"/>
      <c r="DM66" s="9"/>
      <c r="DN66" s="9"/>
      <c r="DO66" s="9"/>
      <c r="DP66" s="9"/>
      <c r="DQ66" s="9"/>
      <c r="DR66" s="9"/>
      <c r="DS66" s="9"/>
      <c r="DT66" s="9"/>
      <c r="DU66" s="9"/>
      <c r="DV66" s="9"/>
      <c r="DW66" s="9"/>
      <c r="DX66" s="9"/>
      <c r="DY66" s="9"/>
      <c r="DZ66" s="9"/>
      <c r="EA66" s="9"/>
      <c r="EB66" s="9"/>
      <c r="EC66" s="9"/>
      <c r="ED66" s="9"/>
      <c r="EE66" s="9"/>
      <c r="EF66" s="9"/>
      <c r="EG66" s="9"/>
      <c r="EH66" s="9"/>
      <c r="EI66" s="9"/>
      <c r="EJ66" s="9"/>
      <c r="EK66" s="9"/>
      <c r="EL66" s="9"/>
      <c r="EM66" s="9"/>
      <c r="EN66" s="9"/>
      <c r="EO66" s="9"/>
      <c r="EP66" s="9"/>
      <c r="EQ66" s="9"/>
      <c r="ER66" s="9"/>
      <c r="ES66" s="9"/>
      <c r="ET66" s="9"/>
      <c r="EU66" s="9"/>
      <c r="EV66" s="9"/>
      <c r="EW66" s="9"/>
      <c r="EX66" s="9"/>
      <c r="EY66" s="9"/>
      <c r="EZ66" s="9"/>
      <c r="FA66" s="9"/>
      <c r="FB66" s="9"/>
      <c r="FC66" s="9"/>
      <c r="FD66" s="9"/>
      <c r="FE66" s="9"/>
      <c r="FF66" s="9"/>
      <c r="FG66" s="9"/>
      <c r="FH66" s="9"/>
      <c r="FI66" s="9"/>
      <c r="FJ66" s="9"/>
      <c r="FK66" s="9"/>
      <c r="FL66" s="9"/>
      <c r="FM66" s="9"/>
    </row>
    <row r="67" spans="1:169" outlineLevel="1" x14ac:dyDescent="0.4">
      <c r="A67" t="s">
        <v>156</v>
      </c>
      <c r="B67" t="s">
        <v>157</v>
      </c>
      <c r="C67" t="s">
        <v>674</v>
      </c>
      <c r="D67" s="9"/>
      <c r="E67" s="9"/>
      <c r="AT67" s="9"/>
      <c r="AU67" s="9"/>
      <c r="AV67" s="9"/>
      <c r="AW67" s="9"/>
      <c r="AX67" s="9"/>
      <c r="AY67" s="9"/>
      <c r="AZ67" s="9"/>
      <c r="BA67" s="9"/>
      <c r="BB67" s="9"/>
      <c r="BC67" s="9"/>
      <c r="BD67" s="9"/>
      <c r="BE67" s="9"/>
      <c r="BF67" s="9"/>
      <c r="BG67" s="9"/>
      <c r="BH67" s="9"/>
      <c r="BI67" s="9"/>
      <c r="BJ67" s="9"/>
      <c r="BK67" s="9"/>
      <c r="BL67" s="9"/>
      <c r="BM67" s="9"/>
      <c r="BN67" s="9"/>
      <c r="BO67" s="9"/>
      <c r="BP67" s="9"/>
      <c r="BQ67" s="9"/>
      <c r="BR67" s="9"/>
      <c r="BS67" s="9"/>
      <c r="BT67" s="9"/>
      <c r="BU67" s="9"/>
      <c r="BV67" s="9"/>
      <c r="BW67" s="9"/>
      <c r="BX67" s="9"/>
      <c r="BY67" s="9"/>
      <c r="BZ67" s="9"/>
      <c r="CA67" s="9"/>
      <c r="CB67" s="9"/>
      <c r="CC67" s="9"/>
      <c r="CD67" s="9"/>
      <c r="CE67" s="9"/>
      <c r="CF67" s="9"/>
      <c r="CG67" s="9"/>
      <c r="CH67" s="9"/>
      <c r="CI67" s="9"/>
      <c r="CJ67" s="9"/>
      <c r="CK67" s="9"/>
      <c r="CL67" s="9"/>
      <c r="CM67" s="9"/>
      <c r="CN67" s="9"/>
      <c r="CO67" s="9"/>
      <c r="CP67" s="9"/>
      <c r="CQ67" s="9"/>
      <c r="CR67" s="9"/>
      <c r="CS67" s="9"/>
      <c r="CT67" s="9"/>
      <c r="CU67" s="9"/>
      <c r="CV67" s="9"/>
      <c r="CW67" s="9"/>
      <c r="CX67" s="9"/>
      <c r="CY67" s="9"/>
      <c r="CZ67" s="9"/>
      <c r="DA67" s="9"/>
      <c r="DB67" s="9"/>
      <c r="DC67" s="9"/>
      <c r="DD67" s="9"/>
      <c r="DE67" s="9"/>
      <c r="DF67" s="9"/>
      <c r="DG67" s="9"/>
      <c r="DH67" s="9"/>
      <c r="DI67" s="9"/>
      <c r="DJ67" s="9"/>
      <c r="DK67" s="9"/>
      <c r="DL67" s="9"/>
      <c r="DM67" s="9"/>
      <c r="DN67" s="9"/>
      <c r="DO67" s="9"/>
      <c r="DP67" s="9"/>
      <c r="DQ67" s="9"/>
      <c r="DR67" s="9"/>
      <c r="DS67" s="9"/>
      <c r="DT67" s="9"/>
      <c r="DU67" s="9"/>
      <c r="DV67" s="9"/>
      <c r="DW67" s="9"/>
      <c r="DX67" s="9"/>
      <c r="DY67" s="9"/>
      <c r="DZ67" s="9"/>
      <c r="EA67" s="9"/>
      <c r="EB67" s="9"/>
      <c r="EC67" s="9"/>
      <c r="ED67" s="9"/>
      <c r="EE67" s="9"/>
      <c r="EF67" s="9"/>
      <c r="EG67" s="9"/>
      <c r="EH67" s="9"/>
      <c r="EI67" s="9"/>
      <c r="EJ67" s="9"/>
      <c r="EK67" s="9"/>
      <c r="EL67" s="9"/>
      <c r="EM67" s="9"/>
      <c r="EN67" s="9"/>
      <c r="EO67" s="9"/>
      <c r="EP67" s="9"/>
      <c r="EQ67" s="9"/>
      <c r="ER67" s="9"/>
      <c r="ES67" s="9"/>
      <c r="ET67" s="9"/>
      <c r="EU67" s="9"/>
      <c r="EV67" s="9"/>
      <c r="EW67" s="9"/>
      <c r="EX67" s="9"/>
      <c r="EY67" s="9"/>
      <c r="EZ67" s="9"/>
      <c r="FA67" s="9"/>
      <c r="FB67" s="9"/>
      <c r="FC67" s="9"/>
      <c r="FD67" s="9"/>
      <c r="FE67" s="9"/>
      <c r="FF67" s="9"/>
      <c r="FG67" s="9"/>
      <c r="FH67" s="9"/>
      <c r="FI67" s="9"/>
      <c r="FJ67" s="9"/>
      <c r="FK67" s="9"/>
      <c r="FL67" s="9"/>
      <c r="FM67" s="9"/>
    </row>
    <row r="68" spans="1:169" outlineLevel="1" x14ac:dyDescent="0.4">
      <c r="A68" t="s">
        <v>117</v>
      </c>
      <c r="B68" t="s">
        <v>116</v>
      </c>
      <c r="C68" t="s">
        <v>674</v>
      </c>
      <c r="D68" s="9"/>
      <c r="E68" s="9"/>
      <c r="AT68" s="9"/>
      <c r="AU68" s="9"/>
      <c r="AV68" s="9"/>
      <c r="AW68" s="9"/>
      <c r="AX68" s="9"/>
      <c r="AY68" s="9"/>
      <c r="AZ68" s="9"/>
      <c r="BA68" s="9"/>
      <c r="BB68" s="9"/>
      <c r="BC68" s="9"/>
      <c r="BD68" s="9"/>
      <c r="BE68" s="9"/>
      <c r="BF68" s="9"/>
      <c r="BG68" s="9"/>
      <c r="BH68" s="9"/>
      <c r="BI68" s="9"/>
      <c r="BJ68" s="9"/>
      <c r="BK68" s="9"/>
      <c r="BL68" s="9"/>
      <c r="BM68" s="9"/>
      <c r="BN68" s="9"/>
      <c r="BO68" s="9"/>
      <c r="BP68" s="9"/>
      <c r="BQ68" s="9"/>
      <c r="BR68" s="9"/>
      <c r="BS68" s="9"/>
      <c r="BT68" s="9"/>
      <c r="BU68" s="9"/>
      <c r="BV68" s="9"/>
      <c r="BW68" s="9"/>
      <c r="BX68" s="9"/>
      <c r="BY68" s="9"/>
      <c r="BZ68" s="9"/>
      <c r="CA68" s="9"/>
      <c r="CB68" s="9"/>
      <c r="CC68" s="9"/>
      <c r="CD68" s="9"/>
      <c r="CE68" s="9"/>
      <c r="CF68" s="9"/>
      <c r="CG68" s="9"/>
      <c r="CH68" s="9"/>
      <c r="CI68" s="9"/>
      <c r="CJ68" s="9"/>
      <c r="CK68" s="9"/>
      <c r="CL68" s="9"/>
      <c r="CM68" s="9"/>
      <c r="CN68" s="9"/>
      <c r="CO68" s="9"/>
      <c r="CP68" s="9"/>
      <c r="CQ68" s="9"/>
      <c r="CR68" s="9"/>
      <c r="CS68" s="9"/>
      <c r="CT68" s="9"/>
      <c r="CU68" s="9"/>
      <c r="CV68" s="9"/>
      <c r="CW68" s="9"/>
      <c r="CX68" s="9"/>
      <c r="CY68" s="9"/>
      <c r="CZ68" s="9"/>
      <c r="DA68" s="9"/>
      <c r="DB68" s="9"/>
      <c r="DC68" s="9"/>
      <c r="DD68" s="9"/>
      <c r="DE68" s="9"/>
      <c r="DF68" s="9"/>
      <c r="DG68" s="9"/>
      <c r="DH68" s="9"/>
      <c r="DI68" s="9"/>
      <c r="DJ68" s="9"/>
      <c r="DK68" s="9"/>
      <c r="DL68" s="9"/>
      <c r="DM68" s="9"/>
      <c r="DN68" s="9"/>
      <c r="DO68" s="9"/>
      <c r="DP68" s="9"/>
      <c r="DQ68" s="9"/>
      <c r="DR68" s="9"/>
      <c r="DS68" s="9"/>
      <c r="DT68" s="9"/>
      <c r="DU68" s="9"/>
      <c r="DV68" s="9"/>
      <c r="DW68" s="9"/>
      <c r="DX68" s="9"/>
      <c r="DY68" s="9"/>
      <c r="DZ68" s="9"/>
      <c r="EA68" s="9"/>
      <c r="EB68" s="9"/>
      <c r="EC68" s="9"/>
      <c r="ED68" s="9"/>
      <c r="EE68" s="9"/>
      <c r="EF68" s="9"/>
      <c r="EG68" s="9"/>
      <c r="EH68" s="9"/>
      <c r="EI68" s="9"/>
      <c r="EJ68" s="9"/>
      <c r="EK68" s="9"/>
      <c r="EL68" s="9"/>
      <c r="EM68" s="9"/>
      <c r="EN68" s="9"/>
      <c r="EO68" s="9"/>
      <c r="EP68" s="9"/>
      <c r="EQ68" s="9"/>
      <c r="ER68" s="9"/>
      <c r="ES68" s="9"/>
      <c r="ET68" s="9"/>
      <c r="EU68" s="9"/>
      <c r="EV68" s="9"/>
      <c r="EW68" s="9"/>
      <c r="EX68" s="9"/>
      <c r="EY68" s="9"/>
      <c r="EZ68" s="9"/>
      <c r="FA68" s="9"/>
      <c r="FB68" s="9"/>
      <c r="FC68" s="9"/>
      <c r="FD68" s="9"/>
      <c r="FE68" s="9"/>
      <c r="FF68" s="9"/>
      <c r="FG68" s="9"/>
      <c r="FH68" s="9"/>
      <c r="FI68" s="9"/>
      <c r="FJ68" s="9"/>
      <c r="FK68" s="9"/>
      <c r="FL68" s="9"/>
      <c r="FM68" s="9"/>
    </row>
    <row r="69" spans="1:169" outlineLevel="1" x14ac:dyDescent="0.4">
      <c r="A69" t="s">
        <v>119</v>
      </c>
      <c r="B69" t="s">
        <v>118</v>
      </c>
      <c r="C69" t="s">
        <v>674</v>
      </c>
      <c r="D69" s="9"/>
      <c r="E69" s="9"/>
      <c r="AT69" s="9"/>
      <c r="AU69" s="9"/>
      <c r="AV69" s="9"/>
      <c r="AW69" s="9"/>
      <c r="AX69" s="9"/>
      <c r="AY69" s="9"/>
      <c r="AZ69" s="9"/>
      <c r="BA69" s="9"/>
      <c r="BB69" s="9"/>
      <c r="BC69" s="9"/>
      <c r="BD69" s="9"/>
      <c r="BE69" s="9"/>
      <c r="BF69" s="9"/>
      <c r="BG69" s="9"/>
      <c r="BH69" s="9"/>
      <c r="BI69" s="9"/>
      <c r="BJ69" s="9"/>
      <c r="BK69" s="9"/>
      <c r="BL69" s="9"/>
      <c r="BM69" s="9"/>
      <c r="BN69" s="9"/>
      <c r="BO69" s="9"/>
      <c r="BP69" s="9"/>
      <c r="BQ69" s="9"/>
      <c r="BR69" s="9"/>
      <c r="BS69" s="9"/>
      <c r="BT69" s="9"/>
      <c r="BU69" s="9"/>
      <c r="BV69" s="9"/>
      <c r="BW69" s="9"/>
      <c r="BX69" s="9"/>
      <c r="BY69" s="9"/>
      <c r="BZ69" s="9"/>
      <c r="CA69" s="9"/>
      <c r="CB69" s="9"/>
      <c r="CC69" s="9"/>
      <c r="CD69" s="9"/>
      <c r="CE69" s="9"/>
      <c r="CF69" s="9"/>
      <c r="CG69" s="9"/>
      <c r="CH69" s="9"/>
      <c r="CI69" s="9"/>
      <c r="CJ69" s="9"/>
      <c r="CK69" s="9"/>
      <c r="CL69" s="9"/>
      <c r="CM69" s="9"/>
      <c r="CN69" s="9"/>
      <c r="CO69" s="9"/>
      <c r="CP69" s="9"/>
      <c r="CQ69" s="9"/>
      <c r="CR69" s="9"/>
      <c r="CS69" s="9"/>
      <c r="CT69" s="9"/>
      <c r="CU69" s="9"/>
      <c r="CV69" s="9"/>
      <c r="CW69" s="9"/>
      <c r="CX69" s="9"/>
      <c r="CY69" s="9"/>
      <c r="CZ69" s="9"/>
      <c r="DA69" s="9"/>
      <c r="DB69" s="9"/>
      <c r="DC69" s="9"/>
      <c r="DD69" s="9"/>
      <c r="DE69" s="9"/>
      <c r="DF69" s="9"/>
      <c r="DG69" s="9"/>
      <c r="DH69" s="9"/>
      <c r="DI69" s="9"/>
      <c r="DJ69" s="9"/>
      <c r="DK69" s="9"/>
      <c r="DL69" s="9"/>
      <c r="DM69" s="9"/>
      <c r="DN69" s="9"/>
      <c r="DO69" s="9"/>
      <c r="DP69" s="9"/>
      <c r="DQ69" s="9"/>
      <c r="DR69" s="9"/>
      <c r="DS69" s="9"/>
      <c r="DT69" s="9"/>
      <c r="DU69" s="9"/>
      <c r="DV69" s="9"/>
      <c r="DW69" s="9"/>
      <c r="DX69" s="9"/>
      <c r="DY69" s="9"/>
      <c r="DZ69" s="9"/>
      <c r="EA69" s="9"/>
      <c r="EB69" s="9"/>
      <c r="EC69" s="9"/>
      <c r="ED69" s="9"/>
      <c r="EE69" s="9"/>
      <c r="EF69" s="9"/>
      <c r="EG69" s="9"/>
      <c r="EH69" s="9"/>
      <c r="EI69" s="9"/>
      <c r="EJ69" s="9"/>
      <c r="EK69" s="9"/>
      <c r="EL69" s="9"/>
      <c r="EM69" s="9"/>
      <c r="EN69" s="9"/>
      <c r="EO69" s="9"/>
      <c r="EP69" s="9"/>
      <c r="EQ69" s="9"/>
      <c r="ER69" s="9"/>
      <c r="ES69" s="9"/>
      <c r="ET69" s="9"/>
      <c r="EU69" s="9"/>
      <c r="EV69" s="9"/>
      <c r="EW69" s="9"/>
      <c r="EX69" s="9"/>
      <c r="EY69" s="9"/>
      <c r="EZ69" s="9"/>
      <c r="FA69" s="9"/>
      <c r="FB69" s="9"/>
      <c r="FC69" s="9"/>
      <c r="FD69" s="9"/>
      <c r="FE69" s="9"/>
      <c r="FF69" s="9"/>
      <c r="FG69" s="9"/>
      <c r="FH69" s="9"/>
      <c r="FI69" s="9"/>
      <c r="FJ69" s="9"/>
      <c r="FK69" s="9"/>
      <c r="FL69" s="9"/>
      <c r="FM69" s="9"/>
    </row>
    <row r="70" spans="1:169" outlineLevel="1" x14ac:dyDescent="0.4">
      <c r="A70" t="s">
        <v>121</v>
      </c>
      <c r="B70" t="s">
        <v>120</v>
      </c>
      <c r="C70" t="s">
        <v>674</v>
      </c>
      <c r="D70" s="9"/>
      <c r="E70" s="9"/>
      <c r="AT70" s="9"/>
      <c r="AU70" s="9"/>
      <c r="AV70" s="9"/>
      <c r="AW70" s="9"/>
      <c r="AX70" s="9"/>
      <c r="AY70" s="9"/>
      <c r="AZ70" s="9"/>
      <c r="BA70" s="9"/>
      <c r="BB70" s="9"/>
      <c r="BC70" s="9"/>
      <c r="BD70" s="9"/>
      <c r="BE70" s="9"/>
      <c r="BF70" s="9"/>
      <c r="BG70" s="9"/>
      <c r="BH70" s="9"/>
      <c r="BI70" s="9"/>
      <c r="BJ70" s="9"/>
      <c r="BK70" s="9"/>
      <c r="BL70" s="9"/>
      <c r="BM70" s="9"/>
      <c r="BN70" s="9"/>
      <c r="BO70" s="9"/>
      <c r="BP70" s="9"/>
      <c r="BQ70" s="9"/>
      <c r="BR70" s="9"/>
      <c r="BS70" s="9"/>
      <c r="BT70" s="9"/>
      <c r="BU70" s="9"/>
      <c r="BV70" s="9"/>
      <c r="BW70" s="9"/>
      <c r="BX70" s="9"/>
      <c r="BY70" s="9"/>
      <c r="BZ70" s="9"/>
      <c r="CA70" s="9"/>
      <c r="CB70" s="9"/>
      <c r="CC70" s="9"/>
      <c r="CD70" s="9"/>
      <c r="CE70" s="9"/>
      <c r="CF70" s="9"/>
      <c r="CG70" s="9"/>
      <c r="CH70" s="9"/>
      <c r="CI70" s="9"/>
      <c r="CJ70" s="9"/>
      <c r="CK70" s="9"/>
      <c r="CL70" s="9"/>
      <c r="CM70" s="9"/>
      <c r="CN70" s="9"/>
      <c r="CO70" s="9"/>
      <c r="CP70" s="9"/>
      <c r="CQ70" s="9"/>
      <c r="CR70" s="9"/>
      <c r="CS70" s="9"/>
      <c r="CT70" s="9"/>
      <c r="CU70" s="9"/>
      <c r="CV70" s="9"/>
      <c r="CW70" s="9"/>
      <c r="CX70" s="9"/>
      <c r="CY70" s="9"/>
      <c r="CZ70" s="9"/>
      <c r="DA70" s="9"/>
      <c r="DB70" s="9"/>
      <c r="DC70" s="9"/>
      <c r="DD70" s="9"/>
      <c r="DE70" s="9"/>
      <c r="DF70" s="9"/>
      <c r="DG70" s="9"/>
      <c r="DH70" s="9"/>
      <c r="DI70" s="9"/>
      <c r="DJ70" s="9"/>
      <c r="DK70" s="9"/>
      <c r="DL70" s="9"/>
      <c r="DM70" s="9"/>
      <c r="DN70" s="9"/>
      <c r="DO70" s="9"/>
      <c r="DP70" s="9"/>
      <c r="DQ70" s="9"/>
      <c r="DR70" s="9"/>
      <c r="DS70" s="9"/>
      <c r="DT70" s="9"/>
      <c r="DU70" s="9"/>
      <c r="DV70" s="9"/>
      <c r="DW70" s="9"/>
      <c r="DX70" s="9"/>
      <c r="DY70" s="9"/>
      <c r="DZ70" s="9"/>
      <c r="EA70" s="9"/>
      <c r="EB70" s="9"/>
      <c r="EC70" s="9"/>
      <c r="ED70" s="9"/>
      <c r="EE70" s="9"/>
      <c r="EF70" s="9"/>
      <c r="EG70" s="9"/>
      <c r="EH70" s="9"/>
      <c r="EI70" s="9"/>
      <c r="EJ70" s="9"/>
      <c r="EK70" s="9"/>
      <c r="EL70" s="9"/>
      <c r="EM70" s="9"/>
      <c r="EN70" s="9"/>
      <c r="EO70" s="9"/>
      <c r="EP70" s="9"/>
      <c r="EQ70" s="9"/>
      <c r="ER70" s="9"/>
      <c r="ES70" s="9"/>
      <c r="ET70" s="9"/>
      <c r="EU70" s="9"/>
      <c r="EV70" s="9"/>
      <c r="EW70" s="9"/>
      <c r="EX70" s="9"/>
      <c r="EY70" s="9"/>
      <c r="EZ70" s="9"/>
      <c r="FA70" s="9"/>
      <c r="FB70" s="9"/>
      <c r="FC70" s="9"/>
      <c r="FD70" s="9"/>
      <c r="FE70" s="9"/>
      <c r="FF70" s="9"/>
      <c r="FG70" s="9"/>
      <c r="FH70" s="9"/>
      <c r="FI70" s="9"/>
      <c r="FJ70" s="9"/>
      <c r="FK70" s="9"/>
      <c r="FL70" s="9"/>
      <c r="FM70" s="9"/>
    </row>
    <row r="71" spans="1:169" outlineLevel="1" x14ac:dyDescent="0.4">
      <c r="A71" t="s">
        <v>123</v>
      </c>
      <c r="B71" t="s">
        <v>122</v>
      </c>
      <c r="C71" t="s">
        <v>674</v>
      </c>
      <c r="D71" s="9"/>
      <c r="E71" s="9"/>
      <c r="AT71" s="9"/>
      <c r="AU71" s="9"/>
      <c r="AV71" s="9"/>
      <c r="AW71" s="9"/>
      <c r="AX71" s="9"/>
      <c r="AY71" s="9"/>
      <c r="AZ71" s="9"/>
      <c r="BA71" s="9"/>
      <c r="BB71" s="9"/>
      <c r="BC71" s="9"/>
      <c r="BD71" s="9"/>
      <c r="BE71" s="9"/>
      <c r="BF71" s="9"/>
      <c r="BG71" s="9"/>
      <c r="BH71" s="9"/>
      <c r="BI71" s="9"/>
      <c r="BJ71" s="9"/>
      <c r="BK71" s="9"/>
      <c r="BL71" s="9"/>
      <c r="BM71" s="9"/>
      <c r="BN71" s="9"/>
      <c r="BO71" s="9"/>
      <c r="BP71" s="9"/>
      <c r="BQ71" s="9"/>
      <c r="BR71" s="9"/>
      <c r="BS71" s="9"/>
      <c r="BT71" s="9"/>
      <c r="BU71" s="9"/>
      <c r="BV71" s="9"/>
      <c r="BW71" s="9"/>
      <c r="BX71" s="9"/>
      <c r="BY71" s="9"/>
      <c r="BZ71" s="9"/>
      <c r="CA71" s="9"/>
      <c r="CB71" s="9"/>
      <c r="CC71" s="9"/>
      <c r="CD71" s="9"/>
      <c r="CE71" s="9"/>
      <c r="CF71" s="9"/>
      <c r="CG71" s="9"/>
      <c r="CH71" s="9"/>
      <c r="CI71" s="9"/>
      <c r="CJ71" s="9"/>
      <c r="CK71" s="9"/>
      <c r="CL71" s="9"/>
      <c r="CM71" s="9"/>
      <c r="CN71" s="9"/>
      <c r="CO71" s="9"/>
      <c r="CP71" s="9"/>
      <c r="CQ71" s="9"/>
      <c r="CR71" s="9"/>
      <c r="CS71" s="9"/>
      <c r="CT71" s="9"/>
      <c r="CU71" s="9"/>
      <c r="CV71" s="9"/>
      <c r="CW71" s="9"/>
      <c r="CX71" s="9"/>
      <c r="CY71" s="9"/>
      <c r="CZ71" s="9"/>
      <c r="DA71" s="9"/>
      <c r="DB71" s="9"/>
      <c r="DC71" s="9"/>
      <c r="DD71" s="9"/>
      <c r="DE71" s="9"/>
      <c r="DF71" s="9"/>
      <c r="DG71" s="9"/>
      <c r="DH71" s="9"/>
      <c r="DI71" s="9"/>
      <c r="DJ71" s="9"/>
      <c r="DK71" s="9"/>
      <c r="DL71" s="9"/>
      <c r="DM71" s="9"/>
      <c r="DN71" s="9"/>
      <c r="DO71" s="9"/>
      <c r="DP71" s="9"/>
      <c r="DQ71" s="9"/>
      <c r="DR71" s="9"/>
      <c r="DS71" s="9"/>
      <c r="DT71" s="9"/>
      <c r="DU71" s="9"/>
      <c r="DV71" s="9"/>
      <c r="DW71" s="9"/>
      <c r="DX71" s="9"/>
      <c r="DY71" s="9"/>
      <c r="DZ71" s="9"/>
      <c r="EA71" s="9"/>
      <c r="EB71" s="9"/>
      <c r="EC71" s="9"/>
      <c r="ED71" s="9"/>
      <c r="EE71" s="9"/>
      <c r="EF71" s="9"/>
      <c r="EG71" s="9"/>
      <c r="EH71" s="9"/>
      <c r="EI71" s="9"/>
      <c r="EJ71" s="9"/>
      <c r="EK71" s="9"/>
      <c r="EL71" s="9"/>
      <c r="EM71" s="9"/>
      <c r="EN71" s="9"/>
      <c r="EO71" s="9"/>
      <c r="EP71" s="9"/>
      <c r="EQ71" s="9"/>
      <c r="ER71" s="9"/>
      <c r="ES71" s="9"/>
      <c r="ET71" s="9"/>
      <c r="EU71" s="9"/>
      <c r="EV71" s="9"/>
      <c r="EW71" s="9"/>
      <c r="EX71" s="9"/>
      <c r="EY71" s="9"/>
      <c r="EZ71" s="9"/>
      <c r="FA71" s="9"/>
      <c r="FB71" s="9"/>
      <c r="FC71" s="9"/>
      <c r="FD71" s="9"/>
      <c r="FE71" s="9"/>
      <c r="FF71" s="9"/>
      <c r="FG71" s="9"/>
      <c r="FH71" s="9"/>
      <c r="FI71" s="9"/>
      <c r="FJ71" s="9"/>
      <c r="FK71" s="9"/>
      <c r="FL71" s="9"/>
      <c r="FM71" s="9"/>
    </row>
    <row r="72" spans="1:169" outlineLevel="1" x14ac:dyDescent="0.4">
      <c r="A72" t="s">
        <v>125</v>
      </c>
      <c r="B72" t="s">
        <v>124</v>
      </c>
      <c r="C72" t="s">
        <v>674</v>
      </c>
      <c r="D72" s="9"/>
      <c r="E72" s="9"/>
      <c r="AT72" s="9"/>
      <c r="AU72" s="9"/>
      <c r="AV72" s="9"/>
      <c r="AW72" s="9"/>
      <c r="AX72" s="9"/>
      <c r="AY72" s="9"/>
      <c r="AZ72" s="9"/>
      <c r="BA72" s="9"/>
      <c r="BB72" s="9"/>
      <c r="BC72" s="9"/>
      <c r="BD72" s="9"/>
      <c r="BE72" s="9"/>
      <c r="BF72" s="9"/>
      <c r="BG72" s="9"/>
      <c r="BH72" s="9"/>
      <c r="BI72" s="9"/>
      <c r="BJ72" s="9"/>
      <c r="BK72" s="9"/>
      <c r="BL72" s="9"/>
      <c r="BM72" s="9"/>
      <c r="BN72" s="9"/>
      <c r="BO72" s="9"/>
      <c r="BP72" s="9"/>
      <c r="BQ72" s="9"/>
      <c r="BR72" s="9"/>
      <c r="BS72" s="9"/>
      <c r="BT72" s="9"/>
      <c r="BU72" s="9"/>
      <c r="BV72" s="9"/>
      <c r="BW72" s="9"/>
      <c r="BX72" s="9"/>
      <c r="BY72" s="9"/>
      <c r="BZ72" s="9"/>
      <c r="CA72" s="9"/>
      <c r="CB72" s="9"/>
      <c r="CC72" s="9"/>
      <c r="CD72" s="9"/>
      <c r="CE72" s="9"/>
      <c r="CF72" s="9"/>
      <c r="CG72" s="9"/>
      <c r="CH72" s="9"/>
      <c r="CI72" s="9"/>
      <c r="CJ72" s="9"/>
      <c r="CK72" s="9"/>
      <c r="CL72" s="9"/>
      <c r="CM72" s="9"/>
      <c r="CN72" s="9"/>
      <c r="CO72" s="9"/>
      <c r="CP72" s="9"/>
      <c r="CQ72" s="9"/>
      <c r="CR72" s="9"/>
      <c r="CS72" s="9"/>
      <c r="CT72" s="9"/>
      <c r="CU72" s="9"/>
      <c r="CV72" s="9"/>
      <c r="CW72" s="9"/>
      <c r="CX72" s="9"/>
      <c r="CY72" s="9"/>
      <c r="CZ72" s="9"/>
      <c r="DA72" s="9"/>
      <c r="DB72" s="9"/>
      <c r="DC72" s="9"/>
      <c r="DD72" s="9"/>
      <c r="DE72" s="9"/>
      <c r="DF72" s="9"/>
      <c r="DG72" s="9"/>
      <c r="DH72" s="9"/>
      <c r="DI72" s="9"/>
      <c r="DJ72" s="9"/>
      <c r="DK72" s="9"/>
      <c r="DL72" s="9"/>
      <c r="DM72" s="9"/>
      <c r="DN72" s="9"/>
      <c r="DO72" s="9"/>
      <c r="DP72" s="9"/>
      <c r="DQ72" s="9"/>
      <c r="DR72" s="9"/>
      <c r="DS72" s="9"/>
      <c r="DT72" s="9"/>
      <c r="DU72" s="9"/>
      <c r="DV72" s="9"/>
      <c r="DW72" s="9"/>
      <c r="DX72" s="9"/>
      <c r="DY72" s="9"/>
      <c r="DZ72" s="9"/>
      <c r="EA72" s="9"/>
      <c r="EB72" s="9"/>
      <c r="EC72" s="9"/>
      <c r="ED72" s="9"/>
      <c r="EE72" s="9"/>
      <c r="EF72" s="9"/>
      <c r="EG72" s="9"/>
      <c r="EH72" s="9"/>
      <c r="EI72" s="9"/>
      <c r="EJ72" s="9"/>
      <c r="EK72" s="9"/>
      <c r="EL72" s="9"/>
      <c r="EM72" s="9"/>
      <c r="EN72" s="9"/>
      <c r="EO72" s="9"/>
      <c r="EP72" s="9"/>
      <c r="EQ72" s="9"/>
      <c r="ER72" s="9"/>
      <c r="ES72" s="9"/>
      <c r="ET72" s="9"/>
      <c r="EU72" s="9"/>
      <c r="EV72" s="9"/>
      <c r="EW72" s="9"/>
      <c r="EX72" s="9"/>
      <c r="EY72" s="9"/>
      <c r="EZ72" s="9"/>
      <c r="FA72" s="9"/>
      <c r="FB72" s="9"/>
      <c r="FC72" s="9"/>
      <c r="FD72" s="9"/>
      <c r="FE72" s="9"/>
      <c r="FF72" s="9"/>
      <c r="FG72" s="9"/>
      <c r="FH72" s="9"/>
      <c r="FI72" s="9"/>
      <c r="FJ72" s="9"/>
      <c r="FK72" s="9"/>
      <c r="FL72" s="9"/>
      <c r="FM72" s="9"/>
    </row>
    <row r="73" spans="1:169" outlineLevel="1" x14ac:dyDescent="0.4">
      <c r="A73" t="s">
        <v>127</v>
      </c>
      <c r="B73" t="s">
        <v>126</v>
      </c>
      <c r="C73" t="s">
        <v>674</v>
      </c>
      <c r="D73" s="9"/>
      <c r="E73" s="9"/>
      <c r="AT73" s="9"/>
      <c r="AU73" s="9"/>
      <c r="AV73" s="9"/>
      <c r="AW73" s="9"/>
      <c r="AX73" s="9"/>
      <c r="AY73" s="9"/>
      <c r="AZ73" s="9"/>
      <c r="BA73" s="9"/>
      <c r="BB73" s="9"/>
      <c r="BC73" s="9"/>
      <c r="BD73" s="9"/>
      <c r="BE73" s="9"/>
      <c r="BF73" s="9"/>
      <c r="BG73" s="9"/>
      <c r="BH73" s="9"/>
      <c r="BI73" s="9"/>
      <c r="BJ73" s="9"/>
      <c r="BK73" s="9"/>
      <c r="BL73" s="9"/>
      <c r="BM73" s="9"/>
      <c r="BN73" s="9"/>
      <c r="BO73" s="9"/>
      <c r="BP73" s="9"/>
      <c r="BQ73" s="9"/>
      <c r="BR73" s="9"/>
      <c r="BS73" s="9"/>
      <c r="BT73" s="9"/>
      <c r="BU73" s="9"/>
      <c r="BV73" s="9"/>
      <c r="BW73" s="9"/>
      <c r="BX73" s="9"/>
      <c r="BY73" s="9"/>
      <c r="BZ73" s="9"/>
      <c r="CA73" s="9"/>
      <c r="CB73" s="9"/>
      <c r="CC73" s="9"/>
      <c r="CD73" s="9"/>
      <c r="CE73" s="9"/>
      <c r="CF73" s="9"/>
      <c r="CG73" s="9"/>
      <c r="CH73" s="9"/>
      <c r="CI73" s="9"/>
      <c r="CJ73" s="9"/>
      <c r="CK73" s="9"/>
      <c r="CL73" s="9"/>
      <c r="CM73" s="9"/>
      <c r="CN73" s="9"/>
      <c r="CO73" s="9"/>
      <c r="CP73" s="9"/>
      <c r="CQ73" s="9"/>
      <c r="CR73" s="9"/>
      <c r="CS73" s="9"/>
      <c r="CT73" s="9"/>
      <c r="CU73" s="9"/>
      <c r="CV73" s="9"/>
      <c r="CW73" s="9"/>
      <c r="CX73" s="9"/>
      <c r="CY73" s="9"/>
      <c r="CZ73" s="9"/>
      <c r="DA73" s="9"/>
      <c r="DB73" s="9"/>
      <c r="DC73" s="9"/>
      <c r="DD73" s="9"/>
      <c r="DE73" s="9"/>
      <c r="DF73" s="9"/>
      <c r="DG73" s="9"/>
      <c r="DH73" s="9"/>
      <c r="DI73" s="9"/>
      <c r="DJ73" s="9"/>
      <c r="DK73" s="9"/>
      <c r="DL73" s="9"/>
      <c r="DM73" s="9"/>
      <c r="DN73" s="9"/>
      <c r="DO73" s="9"/>
      <c r="DP73" s="9"/>
      <c r="DQ73" s="9"/>
      <c r="DR73" s="9"/>
      <c r="DS73" s="9"/>
      <c r="DT73" s="9"/>
      <c r="DU73" s="9"/>
      <c r="DV73" s="9"/>
      <c r="DW73" s="9"/>
      <c r="DX73" s="9"/>
      <c r="DY73" s="9"/>
      <c r="DZ73" s="9"/>
      <c r="EA73" s="9"/>
      <c r="EB73" s="9"/>
      <c r="EC73" s="9"/>
      <c r="ED73" s="9"/>
      <c r="EE73" s="9"/>
      <c r="EF73" s="9"/>
      <c r="EG73" s="9"/>
      <c r="EH73" s="9"/>
      <c r="EI73" s="9"/>
      <c r="EJ73" s="9"/>
      <c r="EK73" s="9"/>
      <c r="EL73" s="9"/>
      <c r="EM73" s="9"/>
      <c r="EN73" s="9"/>
      <c r="EO73" s="9"/>
      <c r="EP73" s="9"/>
      <c r="EQ73" s="9"/>
      <c r="ER73" s="9"/>
      <c r="ES73" s="9"/>
      <c r="ET73" s="9"/>
      <c r="EU73" s="9"/>
      <c r="EV73" s="9"/>
      <c r="EW73" s="9"/>
      <c r="EX73" s="9"/>
      <c r="EY73" s="9"/>
      <c r="EZ73" s="9"/>
      <c r="FA73" s="9"/>
      <c r="FB73" s="9"/>
      <c r="FC73" s="9"/>
      <c r="FD73" s="9"/>
      <c r="FE73" s="9"/>
      <c r="FF73" s="9"/>
      <c r="FG73" s="9"/>
      <c r="FH73" s="9"/>
      <c r="FI73" s="9"/>
      <c r="FJ73" s="9"/>
      <c r="FK73" s="9"/>
      <c r="FL73" s="9"/>
      <c r="FM73" s="9"/>
    </row>
    <row r="74" spans="1:169" outlineLevel="1" x14ac:dyDescent="0.4">
      <c r="A74" t="s">
        <v>159</v>
      </c>
      <c r="B74" t="s">
        <v>158</v>
      </c>
      <c r="C74" t="s">
        <v>674</v>
      </c>
      <c r="D74" s="9"/>
      <c r="E74" s="9"/>
      <c r="AT74" s="9"/>
      <c r="AU74" s="9"/>
      <c r="AV74" s="9"/>
      <c r="AW74" s="9"/>
      <c r="AX74" s="9"/>
      <c r="AY74" s="9"/>
      <c r="AZ74" s="9"/>
      <c r="BA74" s="9"/>
      <c r="BB74" s="9"/>
      <c r="BC74" s="9"/>
      <c r="BD74" s="9"/>
      <c r="BE74" s="9"/>
      <c r="BF74" s="9"/>
      <c r="BG74" s="9"/>
      <c r="BH74" s="9"/>
      <c r="BI74" s="9"/>
      <c r="BJ74" s="9"/>
      <c r="BK74" s="9"/>
      <c r="BL74" s="9"/>
      <c r="BM74" s="9"/>
      <c r="BN74" s="9"/>
      <c r="BO74" s="9"/>
      <c r="BP74" s="9"/>
      <c r="BQ74" s="9"/>
      <c r="BR74" s="9"/>
      <c r="BS74" s="9"/>
      <c r="BT74" s="9"/>
      <c r="BU74" s="9"/>
      <c r="BV74" s="9"/>
      <c r="BW74" s="9"/>
      <c r="BX74" s="9"/>
      <c r="BY74" s="9"/>
      <c r="BZ74" s="9"/>
      <c r="CA74" s="9"/>
      <c r="CB74" s="9"/>
      <c r="CC74" s="9"/>
      <c r="CD74" s="9"/>
      <c r="CE74" s="9"/>
      <c r="CF74" s="9"/>
      <c r="CG74" s="9"/>
      <c r="CH74" s="9"/>
      <c r="CI74" s="9"/>
      <c r="CJ74" s="9"/>
      <c r="CK74" s="9"/>
      <c r="CL74" s="9"/>
      <c r="CM74" s="9"/>
      <c r="CN74" s="9"/>
      <c r="CO74" s="9"/>
      <c r="CP74" s="9"/>
      <c r="CQ74" s="9"/>
      <c r="CR74" s="9"/>
      <c r="CS74" s="9"/>
      <c r="CT74" s="9"/>
      <c r="CU74" s="9"/>
      <c r="CV74" s="9"/>
      <c r="CW74" s="9"/>
      <c r="CX74" s="9"/>
      <c r="CY74" s="9"/>
      <c r="CZ74" s="9"/>
      <c r="DA74" s="9"/>
      <c r="DB74" s="9"/>
      <c r="DC74" s="9"/>
      <c r="DD74" s="9"/>
      <c r="DE74" s="9"/>
      <c r="DF74" s="9"/>
      <c r="DG74" s="9"/>
      <c r="DH74" s="9"/>
      <c r="DI74" s="9"/>
      <c r="DJ74" s="9"/>
      <c r="DK74" s="9"/>
      <c r="DL74" s="9"/>
      <c r="DM74" s="9"/>
      <c r="DN74" s="9"/>
      <c r="DO74" s="9"/>
      <c r="DP74" s="9"/>
      <c r="DQ74" s="9"/>
      <c r="DR74" s="9"/>
      <c r="DS74" s="9"/>
      <c r="DT74" s="9"/>
      <c r="DU74" s="9"/>
      <c r="DV74" s="9"/>
      <c r="DW74" s="9"/>
      <c r="DX74" s="9"/>
      <c r="DY74" s="9"/>
      <c r="DZ74" s="9"/>
      <c r="EA74" s="9"/>
      <c r="EB74" s="9"/>
      <c r="EC74" s="9"/>
      <c r="ED74" s="9"/>
      <c r="EE74" s="9"/>
      <c r="EF74" s="9"/>
      <c r="EG74" s="9"/>
      <c r="EH74" s="9"/>
      <c r="EI74" s="9"/>
      <c r="EJ74" s="9"/>
      <c r="EK74" s="9"/>
      <c r="EL74" s="9"/>
      <c r="EM74" s="9"/>
      <c r="EN74" s="9"/>
      <c r="EO74" s="9"/>
      <c r="EP74" s="9"/>
      <c r="EQ74" s="9"/>
      <c r="ER74" s="9"/>
      <c r="ES74" s="9"/>
      <c r="ET74" s="9"/>
      <c r="EU74" s="9"/>
      <c r="EV74" s="9"/>
      <c r="EW74" s="9"/>
      <c r="EX74" s="9"/>
      <c r="EY74" s="9"/>
      <c r="EZ74" s="9"/>
      <c r="FA74" s="9"/>
      <c r="FB74" s="9"/>
      <c r="FC74" s="9"/>
      <c r="FD74" s="9"/>
      <c r="FE74" s="9"/>
      <c r="FF74" s="9"/>
      <c r="FG74" s="9"/>
      <c r="FH74" s="9"/>
      <c r="FI74" s="9"/>
      <c r="FJ74" s="9"/>
      <c r="FK74" s="9"/>
      <c r="FL74" s="9"/>
      <c r="FM74" s="9"/>
    </row>
    <row r="75" spans="1:169" outlineLevel="1" x14ac:dyDescent="0.4">
      <c r="A75" t="s">
        <v>129</v>
      </c>
      <c r="B75" t="s">
        <v>128</v>
      </c>
      <c r="C75" t="s">
        <v>674</v>
      </c>
      <c r="D75" s="9"/>
      <c r="E75" s="9"/>
      <c r="AT75" s="9"/>
      <c r="AU75" s="9"/>
      <c r="AV75" s="9"/>
      <c r="AW75" s="9"/>
      <c r="AX75" s="9"/>
      <c r="AY75" s="9"/>
      <c r="AZ75" s="9"/>
      <c r="BA75" s="9"/>
      <c r="BB75" s="9"/>
      <c r="BC75" s="9"/>
      <c r="BD75" s="9"/>
      <c r="BE75" s="9"/>
      <c r="BF75" s="9"/>
      <c r="BG75" s="9"/>
      <c r="BH75" s="9"/>
      <c r="BI75" s="9"/>
      <c r="BJ75" s="9"/>
      <c r="BK75" s="9"/>
      <c r="BL75" s="9"/>
      <c r="BM75" s="9"/>
      <c r="BN75" s="9"/>
      <c r="BO75" s="9"/>
      <c r="BP75" s="9"/>
      <c r="BQ75" s="9"/>
      <c r="BR75" s="9"/>
      <c r="BS75" s="9"/>
      <c r="BT75" s="9"/>
      <c r="BU75" s="9"/>
      <c r="BV75" s="9"/>
      <c r="BW75" s="9"/>
      <c r="BX75" s="9"/>
      <c r="BY75" s="9"/>
      <c r="BZ75" s="9"/>
      <c r="CA75" s="9"/>
      <c r="CB75" s="9"/>
      <c r="CC75" s="9"/>
      <c r="CD75" s="9"/>
      <c r="CE75" s="9"/>
      <c r="CF75" s="9"/>
      <c r="CG75" s="9"/>
      <c r="CH75" s="9"/>
      <c r="CI75" s="9"/>
      <c r="CJ75" s="9"/>
      <c r="CK75" s="9"/>
      <c r="CL75" s="9"/>
      <c r="CM75" s="9"/>
      <c r="CN75" s="9"/>
      <c r="CO75" s="9"/>
      <c r="CP75" s="9"/>
      <c r="CQ75" s="9"/>
      <c r="CR75" s="9"/>
      <c r="CS75" s="9"/>
      <c r="CT75" s="9"/>
      <c r="CU75" s="9"/>
      <c r="CV75" s="9"/>
      <c r="CW75" s="9"/>
      <c r="CX75" s="9"/>
      <c r="CY75" s="9"/>
      <c r="CZ75" s="9"/>
      <c r="DA75" s="9"/>
      <c r="DB75" s="9"/>
      <c r="DC75" s="9"/>
      <c r="DD75" s="9"/>
      <c r="DE75" s="9"/>
      <c r="DF75" s="9"/>
      <c r="DG75" s="9"/>
      <c r="DH75" s="9"/>
      <c r="DI75" s="9"/>
      <c r="DJ75" s="9"/>
      <c r="DK75" s="9"/>
      <c r="DL75" s="9"/>
      <c r="DM75" s="9"/>
      <c r="DN75" s="9"/>
      <c r="DO75" s="9"/>
      <c r="DP75" s="9"/>
      <c r="DQ75" s="9"/>
      <c r="DR75" s="9"/>
      <c r="DS75" s="9"/>
      <c r="DT75" s="9"/>
      <c r="DU75" s="9"/>
      <c r="DV75" s="9"/>
      <c r="DW75" s="9"/>
      <c r="DX75" s="9"/>
      <c r="DY75" s="9"/>
      <c r="DZ75" s="9"/>
      <c r="EA75" s="9"/>
      <c r="EB75" s="9"/>
      <c r="EC75" s="9"/>
      <c r="ED75" s="9"/>
      <c r="EE75" s="9"/>
      <c r="EF75" s="9"/>
      <c r="EG75" s="9"/>
      <c r="EH75" s="9"/>
      <c r="EI75" s="9"/>
      <c r="EJ75" s="9"/>
      <c r="EK75" s="9"/>
      <c r="EL75" s="9"/>
      <c r="EM75" s="9"/>
      <c r="EN75" s="9"/>
      <c r="EO75" s="9"/>
      <c r="EP75" s="9"/>
      <c r="EQ75" s="9"/>
      <c r="ER75" s="9"/>
      <c r="ES75" s="9"/>
      <c r="ET75" s="9"/>
      <c r="EU75" s="9"/>
      <c r="EV75" s="9"/>
      <c r="EW75" s="9"/>
      <c r="EX75" s="9"/>
      <c r="EY75" s="9"/>
      <c r="EZ75" s="9"/>
      <c r="FA75" s="9"/>
      <c r="FB75" s="9"/>
      <c r="FC75" s="9"/>
      <c r="FD75" s="9"/>
      <c r="FE75" s="9"/>
      <c r="FF75" s="9"/>
      <c r="FG75" s="9"/>
      <c r="FH75" s="9"/>
      <c r="FI75" s="9"/>
      <c r="FJ75" s="9"/>
      <c r="FK75" s="9"/>
      <c r="FL75" s="9"/>
      <c r="FM75" s="9"/>
    </row>
    <row r="76" spans="1:169" outlineLevel="1" x14ac:dyDescent="0.4">
      <c r="A76" t="s">
        <v>131</v>
      </c>
      <c r="B76" t="s">
        <v>130</v>
      </c>
      <c r="C76" t="s">
        <v>674</v>
      </c>
      <c r="D76" s="9"/>
      <c r="E76" s="9"/>
      <c r="AT76" s="9"/>
      <c r="AU76" s="9"/>
      <c r="AV76" s="9"/>
      <c r="AW76" s="9"/>
      <c r="AX76" s="9"/>
      <c r="AY76" s="9"/>
      <c r="AZ76" s="9"/>
      <c r="BA76" s="9"/>
      <c r="BB76" s="9"/>
      <c r="BC76" s="9"/>
      <c r="BD76" s="9"/>
      <c r="BE76" s="9"/>
      <c r="BF76" s="9"/>
      <c r="BG76" s="9"/>
      <c r="BH76" s="9"/>
      <c r="BI76" s="9"/>
      <c r="BJ76" s="9"/>
      <c r="BK76" s="9"/>
      <c r="BL76" s="9"/>
      <c r="BM76" s="9"/>
      <c r="BN76" s="9"/>
      <c r="BO76" s="9"/>
      <c r="BP76" s="9"/>
      <c r="BQ76" s="9"/>
      <c r="BR76" s="9"/>
      <c r="BS76" s="9"/>
      <c r="BT76" s="9"/>
      <c r="BU76" s="9"/>
      <c r="BV76" s="9"/>
      <c r="BW76" s="9"/>
      <c r="BX76" s="9"/>
      <c r="BY76" s="9"/>
      <c r="BZ76" s="9"/>
      <c r="CA76" s="9"/>
      <c r="CB76" s="9"/>
      <c r="CC76" s="9"/>
      <c r="CD76" s="9"/>
      <c r="CE76" s="9"/>
      <c r="CF76" s="9"/>
      <c r="CG76" s="9"/>
      <c r="CH76" s="9"/>
      <c r="CI76" s="9"/>
      <c r="CJ76" s="9"/>
      <c r="CK76" s="9"/>
      <c r="CL76" s="9"/>
      <c r="CM76" s="9"/>
      <c r="CN76" s="9"/>
      <c r="CO76" s="9"/>
      <c r="CP76" s="9"/>
      <c r="CQ76" s="9"/>
      <c r="CR76" s="9"/>
      <c r="CS76" s="9"/>
      <c r="CT76" s="9"/>
      <c r="CU76" s="9"/>
      <c r="CV76" s="9"/>
      <c r="CW76" s="9"/>
      <c r="CX76" s="9"/>
      <c r="CY76" s="9"/>
      <c r="CZ76" s="9"/>
      <c r="DA76" s="9"/>
      <c r="DB76" s="9"/>
      <c r="DC76" s="9"/>
      <c r="DD76" s="9"/>
      <c r="DE76" s="9"/>
      <c r="DF76" s="9"/>
      <c r="DG76" s="9"/>
      <c r="DH76" s="9"/>
      <c r="DI76" s="9"/>
      <c r="DJ76" s="9"/>
      <c r="DK76" s="9"/>
      <c r="DL76" s="9"/>
      <c r="DM76" s="9"/>
      <c r="DN76" s="9"/>
      <c r="DO76" s="9"/>
      <c r="DP76" s="9"/>
      <c r="DQ76" s="9"/>
      <c r="DR76" s="9"/>
      <c r="DS76" s="9"/>
      <c r="DT76" s="9"/>
      <c r="DU76" s="9"/>
      <c r="DV76" s="9"/>
      <c r="DW76" s="9"/>
      <c r="DX76" s="9"/>
      <c r="DY76" s="9"/>
      <c r="DZ76" s="9"/>
      <c r="EA76" s="9"/>
      <c r="EB76" s="9"/>
      <c r="EC76" s="9"/>
      <c r="ED76" s="9"/>
      <c r="EE76" s="9"/>
      <c r="EF76" s="9"/>
      <c r="EG76" s="9"/>
      <c r="EH76" s="9"/>
      <c r="EI76" s="9"/>
      <c r="EJ76" s="9"/>
      <c r="EK76" s="9"/>
      <c r="EL76" s="9"/>
      <c r="EM76" s="9"/>
      <c r="EN76" s="9"/>
      <c r="EO76" s="9"/>
      <c r="EP76" s="9"/>
      <c r="EQ76" s="9"/>
      <c r="ER76" s="9"/>
      <c r="ES76" s="9"/>
      <c r="ET76" s="9"/>
      <c r="EU76" s="9"/>
      <c r="EV76" s="9"/>
      <c r="EW76" s="9"/>
      <c r="EX76" s="9"/>
      <c r="EY76" s="9"/>
      <c r="EZ76" s="9"/>
      <c r="FA76" s="9"/>
      <c r="FB76" s="9"/>
      <c r="FC76" s="9"/>
      <c r="FD76" s="9"/>
      <c r="FE76" s="9"/>
      <c r="FF76" s="9"/>
      <c r="FG76" s="9"/>
      <c r="FH76" s="9"/>
      <c r="FI76" s="9"/>
      <c r="FJ76" s="9"/>
      <c r="FK76" s="9"/>
      <c r="FL76" s="9"/>
      <c r="FM76" s="9"/>
    </row>
    <row r="77" spans="1:169" outlineLevel="1" x14ac:dyDescent="0.4">
      <c r="A77" t="s">
        <v>133</v>
      </c>
      <c r="B77" t="s">
        <v>132</v>
      </c>
      <c r="C77" t="s">
        <v>674</v>
      </c>
      <c r="D77" s="9"/>
      <c r="E77" s="9"/>
      <c r="AT77" s="9"/>
      <c r="AU77" s="9"/>
      <c r="AV77" s="9"/>
      <c r="AW77" s="9"/>
      <c r="AX77" s="9"/>
      <c r="AY77" s="9"/>
      <c r="AZ77" s="9"/>
      <c r="BA77" s="9"/>
      <c r="BB77" s="9"/>
      <c r="BC77" s="9"/>
      <c r="BD77" s="9"/>
      <c r="BE77" s="9"/>
      <c r="BF77" s="9"/>
      <c r="BG77" s="9"/>
      <c r="BH77" s="9"/>
      <c r="BI77" s="9"/>
      <c r="BJ77" s="9"/>
      <c r="BK77" s="9"/>
      <c r="BL77" s="9"/>
      <c r="BM77" s="9"/>
      <c r="BN77" s="9"/>
      <c r="BO77" s="9"/>
      <c r="BP77" s="9"/>
      <c r="BQ77" s="9"/>
      <c r="BR77" s="9"/>
      <c r="BS77" s="9"/>
      <c r="BT77" s="9"/>
      <c r="BU77" s="9"/>
      <c r="BV77" s="9"/>
      <c r="BW77" s="9"/>
      <c r="BX77" s="9"/>
      <c r="BY77" s="9"/>
      <c r="BZ77" s="9"/>
      <c r="CA77" s="9"/>
      <c r="CB77" s="9"/>
      <c r="CC77" s="9"/>
      <c r="CD77" s="9"/>
      <c r="CE77" s="9"/>
      <c r="CF77" s="9"/>
      <c r="CG77" s="9"/>
      <c r="CH77" s="9"/>
      <c r="CI77" s="9"/>
      <c r="CJ77" s="9"/>
      <c r="CK77" s="9"/>
      <c r="CL77" s="9"/>
      <c r="CM77" s="9"/>
      <c r="CN77" s="9"/>
      <c r="CO77" s="9"/>
      <c r="CP77" s="9"/>
      <c r="CQ77" s="9"/>
      <c r="CR77" s="9"/>
      <c r="CS77" s="9"/>
      <c r="CT77" s="9"/>
      <c r="CU77" s="9"/>
      <c r="CV77" s="9"/>
      <c r="CW77" s="9"/>
      <c r="CX77" s="9"/>
      <c r="CY77" s="9"/>
      <c r="CZ77" s="9"/>
      <c r="DA77" s="9"/>
      <c r="DB77" s="9"/>
      <c r="DC77" s="9"/>
      <c r="DD77" s="9"/>
      <c r="DE77" s="9"/>
      <c r="DF77" s="9"/>
      <c r="DG77" s="9"/>
      <c r="DH77" s="9"/>
      <c r="DI77" s="9"/>
      <c r="DJ77" s="9"/>
      <c r="DK77" s="9"/>
      <c r="DL77" s="9"/>
      <c r="DM77" s="9"/>
      <c r="DN77" s="9"/>
      <c r="DO77" s="9"/>
      <c r="DP77" s="9"/>
      <c r="DQ77" s="9"/>
      <c r="DR77" s="9"/>
      <c r="DS77" s="9"/>
      <c r="DT77" s="9"/>
      <c r="DU77" s="9"/>
      <c r="DV77" s="9"/>
      <c r="DW77" s="9"/>
      <c r="DX77" s="9"/>
      <c r="DY77" s="9"/>
      <c r="DZ77" s="9"/>
      <c r="EA77" s="9"/>
      <c r="EB77" s="9"/>
      <c r="EC77" s="9"/>
      <c r="ED77" s="9"/>
      <c r="EE77" s="9"/>
      <c r="EF77" s="9"/>
      <c r="EG77" s="9"/>
      <c r="EH77" s="9"/>
      <c r="EI77" s="9"/>
      <c r="EJ77" s="9"/>
      <c r="EK77" s="9"/>
      <c r="EL77" s="9"/>
      <c r="EM77" s="9"/>
      <c r="EN77" s="9"/>
      <c r="EO77" s="9"/>
      <c r="EP77" s="9"/>
      <c r="EQ77" s="9"/>
      <c r="ER77" s="9"/>
      <c r="ES77" s="9"/>
      <c r="ET77" s="9"/>
      <c r="EU77" s="9"/>
      <c r="EV77" s="9"/>
      <c r="EW77" s="9"/>
      <c r="EX77" s="9"/>
      <c r="EY77" s="9"/>
      <c r="EZ77" s="9"/>
      <c r="FA77" s="9"/>
      <c r="FB77" s="9"/>
      <c r="FC77" s="9"/>
      <c r="FD77" s="9"/>
      <c r="FE77" s="9"/>
      <c r="FF77" s="9"/>
      <c r="FG77" s="9"/>
      <c r="FH77" s="9"/>
      <c r="FI77" s="9"/>
      <c r="FJ77" s="9"/>
      <c r="FK77" s="9"/>
      <c r="FL77" s="9"/>
      <c r="FM77" s="9"/>
    </row>
    <row r="78" spans="1:169" outlineLevel="1" x14ac:dyDescent="0.4">
      <c r="A78" t="s">
        <v>135</v>
      </c>
      <c r="B78" t="s">
        <v>134</v>
      </c>
      <c r="C78" t="s">
        <v>674</v>
      </c>
      <c r="D78" s="9"/>
      <c r="E78" s="9"/>
      <c r="AT78" s="9"/>
      <c r="AU78" s="9"/>
      <c r="AV78" s="9"/>
      <c r="AW78" s="9"/>
      <c r="AX78" s="9"/>
      <c r="AY78" s="9"/>
      <c r="AZ78" s="9"/>
      <c r="BA78" s="9"/>
      <c r="BB78" s="9"/>
      <c r="BC78" s="9"/>
      <c r="BD78" s="9"/>
      <c r="BE78" s="9"/>
      <c r="BF78" s="9"/>
      <c r="BG78" s="9"/>
      <c r="BH78" s="9"/>
      <c r="BI78" s="9"/>
      <c r="BJ78" s="9"/>
      <c r="BK78" s="9"/>
      <c r="BL78" s="9"/>
      <c r="BM78" s="9"/>
      <c r="BN78" s="9"/>
      <c r="BO78" s="9"/>
      <c r="BP78" s="9"/>
      <c r="BQ78" s="9"/>
      <c r="BR78" s="9"/>
      <c r="BS78" s="9"/>
      <c r="BT78" s="9"/>
      <c r="BU78" s="9"/>
      <c r="BV78" s="9"/>
      <c r="BW78" s="9"/>
      <c r="BX78" s="9"/>
      <c r="BY78" s="9"/>
      <c r="BZ78" s="9"/>
      <c r="CA78" s="9"/>
      <c r="CB78" s="9"/>
      <c r="CC78" s="9"/>
      <c r="CD78" s="9"/>
      <c r="CE78" s="9"/>
      <c r="CF78" s="9"/>
      <c r="CG78" s="9"/>
      <c r="CH78" s="9"/>
      <c r="CI78" s="9"/>
      <c r="CJ78" s="9"/>
      <c r="CK78" s="9"/>
      <c r="CL78" s="9"/>
      <c r="CM78" s="9"/>
      <c r="CN78" s="9"/>
      <c r="CO78" s="9"/>
      <c r="CP78" s="9"/>
      <c r="CQ78" s="9"/>
      <c r="CR78" s="9"/>
      <c r="CS78" s="9"/>
      <c r="CT78" s="9"/>
      <c r="CU78" s="9"/>
      <c r="CV78" s="9"/>
      <c r="CW78" s="9"/>
      <c r="CX78" s="9"/>
      <c r="CY78" s="9"/>
      <c r="CZ78" s="9"/>
      <c r="DA78" s="9"/>
      <c r="DB78" s="9"/>
      <c r="DC78" s="9"/>
      <c r="DD78" s="9"/>
      <c r="DE78" s="9"/>
      <c r="DF78" s="9"/>
      <c r="DG78" s="9"/>
      <c r="DH78" s="9"/>
      <c r="DI78" s="9"/>
      <c r="DJ78" s="9"/>
      <c r="DK78" s="9"/>
      <c r="DL78" s="9"/>
      <c r="DM78" s="9"/>
      <c r="DN78" s="9"/>
      <c r="DO78" s="9"/>
      <c r="DP78" s="9"/>
      <c r="DQ78" s="9"/>
      <c r="DR78" s="9"/>
      <c r="DS78" s="9"/>
      <c r="DT78" s="9"/>
      <c r="DU78" s="9"/>
      <c r="DV78" s="9"/>
      <c r="DW78" s="9"/>
      <c r="DX78" s="9"/>
      <c r="DY78" s="9"/>
      <c r="DZ78" s="9"/>
      <c r="EA78" s="9"/>
      <c r="EB78" s="9"/>
      <c r="EC78" s="9"/>
      <c r="ED78" s="9"/>
      <c r="EE78" s="9"/>
      <c r="EF78" s="9"/>
      <c r="EG78" s="9"/>
      <c r="EH78" s="9"/>
      <c r="EI78" s="9"/>
      <c r="EJ78" s="9"/>
      <c r="EK78" s="9"/>
      <c r="EL78" s="9"/>
      <c r="EM78" s="9"/>
      <c r="EN78" s="9"/>
      <c r="EO78" s="9"/>
      <c r="EP78" s="9"/>
      <c r="EQ78" s="9"/>
      <c r="ER78" s="9"/>
      <c r="ES78" s="9"/>
      <c r="ET78" s="9"/>
      <c r="EU78" s="9"/>
      <c r="EV78" s="9"/>
      <c r="EW78" s="9"/>
      <c r="EX78" s="9"/>
      <c r="EY78" s="9"/>
      <c r="EZ78" s="9"/>
      <c r="FA78" s="9"/>
      <c r="FB78" s="9"/>
      <c r="FC78" s="9"/>
      <c r="FD78" s="9"/>
      <c r="FE78" s="9"/>
      <c r="FF78" s="9"/>
      <c r="FG78" s="9"/>
      <c r="FH78" s="9"/>
      <c r="FI78" s="9"/>
      <c r="FJ78" s="9"/>
      <c r="FK78" s="9"/>
      <c r="FL78" s="9"/>
      <c r="FM78" s="9"/>
    </row>
    <row r="79" spans="1:169" outlineLevel="1" x14ac:dyDescent="0.4">
      <c r="A79" t="s">
        <v>393</v>
      </c>
      <c r="B79" t="s">
        <v>615</v>
      </c>
      <c r="C79" t="s">
        <v>674</v>
      </c>
      <c r="D79" s="9"/>
      <c r="E79" s="9"/>
      <c r="AT79" s="9"/>
      <c r="AU79" s="9"/>
      <c r="AV79" s="9"/>
      <c r="AW79" s="9"/>
      <c r="AX79" s="9"/>
      <c r="AY79" s="9"/>
      <c r="AZ79" s="9"/>
      <c r="BA79" s="9"/>
      <c r="BB79" s="9"/>
      <c r="BC79" s="9"/>
      <c r="BD79" s="9"/>
      <c r="BE79" s="9"/>
      <c r="BF79" s="9"/>
      <c r="BG79" s="9"/>
      <c r="BH79" s="9"/>
      <c r="BI79" s="9"/>
      <c r="BJ79" s="9"/>
      <c r="BK79" s="9"/>
      <c r="BL79" s="9"/>
      <c r="BM79" s="9"/>
      <c r="BN79" s="9"/>
      <c r="BO79" s="9"/>
      <c r="BP79" s="9"/>
      <c r="BQ79" s="9"/>
      <c r="BR79" s="9"/>
      <c r="BS79" s="9"/>
      <c r="BT79" s="9"/>
      <c r="BU79" s="9"/>
      <c r="BV79" s="9"/>
      <c r="BW79" s="9"/>
      <c r="BX79" s="9"/>
      <c r="BY79" s="9"/>
      <c r="BZ79" s="9"/>
      <c r="CA79" s="9"/>
      <c r="CB79" s="9"/>
      <c r="CC79" s="9"/>
      <c r="CD79" s="9"/>
      <c r="CE79" s="9"/>
      <c r="CF79" s="9"/>
      <c r="CG79" s="9"/>
      <c r="CH79" s="9"/>
      <c r="CI79" s="9"/>
      <c r="CJ79" s="9"/>
      <c r="CK79" s="9"/>
      <c r="CL79" s="9"/>
      <c r="CM79" s="9"/>
      <c r="CN79" s="9"/>
      <c r="CO79" s="9"/>
      <c r="CP79" s="9"/>
      <c r="CQ79" s="9"/>
      <c r="CR79" s="9"/>
      <c r="CS79" s="9"/>
      <c r="CT79" s="9"/>
      <c r="CU79" s="9"/>
      <c r="CV79" s="9"/>
      <c r="CW79" s="9"/>
      <c r="CX79" s="9"/>
      <c r="CY79" s="9"/>
      <c r="CZ79" s="9"/>
      <c r="DA79" s="9"/>
      <c r="DB79" s="9"/>
      <c r="DC79" s="9"/>
      <c r="DD79" s="9"/>
      <c r="DE79" s="9"/>
      <c r="DF79" s="9"/>
      <c r="DG79" s="9"/>
      <c r="DH79" s="9"/>
      <c r="DI79" s="9"/>
      <c r="DJ79" s="9"/>
      <c r="DK79" s="9"/>
      <c r="DL79" s="9"/>
      <c r="DM79" s="9"/>
      <c r="DN79" s="9"/>
      <c r="DO79" s="9"/>
      <c r="DP79" s="9"/>
      <c r="DQ79" s="9"/>
      <c r="DR79" s="9"/>
      <c r="DS79" s="9"/>
      <c r="DT79" s="9"/>
      <c r="DU79" s="9"/>
      <c r="DV79" s="9"/>
      <c r="DW79" s="9"/>
      <c r="DX79" s="9"/>
      <c r="DY79" s="9"/>
      <c r="DZ79" s="9"/>
      <c r="EA79" s="9"/>
      <c r="EB79" s="9"/>
      <c r="EC79" s="9"/>
      <c r="ED79" s="9"/>
      <c r="EE79" s="9"/>
      <c r="EF79" s="9"/>
      <c r="EG79" s="9"/>
      <c r="EH79" s="9"/>
      <c r="EI79" s="9"/>
      <c r="EJ79" s="9"/>
      <c r="EK79" s="9"/>
      <c r="EL79" s="9"/>
      <c r="EM79" s="9"/>
      <c r="EN79" s="9"/>
      <c r="EO79" s="9"/>
      <c r="EP79" s="9"/>
      <c r="EQ79" s="9"/>
      <c r="ER79" s="9"/>
      <c r="ES79" s="9"/>
      <c r="ET79" s="9"/>
      <c r="EU79" s="9"/>
      <c r="EV79" s="9"/>
      <c r="EW79" s="9"/>
      <c r="EX79" s="9"/>
      <c r="EY79" s="9"/>
      <c r="EZ79" s="9"/>
      <c r="FA79" s="9"/>
      <c r="FB79" s="9"/>
      <c r="FC79" s="9"/>
      <c r="FD79" s="9"/>
      <c r="FE79" s="9"/>
      <c r="FF79" s="9"/>
      <c r="FG79" s="9"/>
      <c r="FH79" s="9"/>
      <c r="FI79" s="9"/>
      <c r="FJ79" s="9"/>
      <c r="FK79" s="9"/>
      <c r="FL79" s="9"/>
      <c r="FM79" s="9"/>
    </row>
    <row r="80" spans="1:169" outlineLevel="1" x14ac:dyDescent="0.4">
      <c r="A80" t="s">
        <v>137</v>
      </c>
      <c r="B80" t="s">
        <v>138</v>
      </c>
      <c r="C80" t="s">
        <v>674</v>
      </c>
      <c r="D80" s="9"/>
      <c r="E80" s="9"/>
      <c r="AT80" s="9"/>
      <c r="AU80" s="9"/>
      <c r="AV80" s="9"/>
      <c r="AW80" s="9"/>
      <c r="AX80" s="9"/>
      <c r="AY80" s="9"/>
      <c r="AZ80" s="9"/>
      <c r="BA80" s="9"/>
      <c r="BB80" s="9"/>
      <c r="BC80" s="9"/>
      <c r="BD80" s="9"/>
      <c r="BE80" s="9"/>
      <c r="BF80" s="9"/>
      <c r="BG80" s="9"/>
      <c r="BH80" s="9"/>
      <c r="BI80" s="9"/>
      <c r="BJ80" s="9"/>
      <c r="BK80" s="9"/>
      <c r="BL80" s="9"/>
      <c r="BM80" s="9"/>
      <c r="BN80" s="9"/>
      <c r="BO80" s="9"/>
      <c r="BP80" s="9"/>
      <c r="BQ80" s="9"/>
      <c r="BR80" s="9"/>
      <c r="BS80" s="9"/>
      <c r="BT80" s="9"/>
      <c r="BU80" s="9"/>
      <c r="BV80" s="9"/>
      <c r="BW80" s="9"/>
      <c r="BX80" s="9"/>
      <c r="BY80" s="9"/>
      <c r="BZ80" s="9"/>
      <c r="CA80" s="9"/>
      <c r="CB80" s="9"/>
      <c r="CC80" s="9"/>
      <c r="CD80" s="9"/>
      <c r="CE80" s="9"/>
      <c r="CF80" s="9"/>
      <c r="CG80" s="9"/>
      <c r="CH80" s="9"/>
      <c r="CI80" s="9"/>
      <c r="CJ80" s="9"/>
      <c r="CK80" s="9"/>
      <c r="CL80" s="9"/>
      <c r="CM80" s="9"/>
      <c r="CN80" s="9"/>
      <c r="CO80" s="9"/>
      <c r="CP80" s="9"/>
      <c r="CQ80" s="9"/>
      <c r="CR80" s="9"/>
      <c r="CS80" s="9"/>
      <c r="CT80" s="9"/>
      <c r="CU80" s="9"/>
      <c r="CV80" s="9"/>
      <c r="CW80" s="9"/>
      <c r="CX80" s="9"/>
      <c r="CY80" s="9"/>
      <c r="CZ80" s="9"/>
      <c r="DA80" s="9"/>
      <c r="DB80" s="9"/>
      <c r="DC80" s="9"/>
      <c r="DD80" s="9"/>
      <c r="DE80" s="9"/>
      <c r="DF80" s="9"/>
      <c r="DG80" s="9"/>
      <c r="DH80" s="9"/>
      <c r="DI80" s="9"/>
      <c r="DJ80" s="9"/>
      <c r="DK80" s="9"/>
      <c r="DL80" s="9"/>
      <c r="DM80" s="9"/>
      <c r="DN80" s="9"/>
      <c r="DO80" s="9"/>
      <c r="DP80" s="9"/>
      <c r="DQ80" s="9"/>
      <c r="DR80" s="9"/>
      <c r="DS80" s="9"/>
      <c r="DT80" s="9"/>
      <c r="DU80" s="9"/>
      <c r="DV80" s="9"/>
      <c r="DW80" s="9"/>
      <c r="DX80" s="9"/>
      <c r="DY80" s="9"/>
      <c r="DZ80" s="9"/>
      <c r="EA80" s="9"/>
      <c r="EB80" s="9"/>
      <c r="EC80" s="9"/>
      <c r="ED80" s="9"/>
      <c r="EE80" s="9"/>
      <c r="EF80" s="9"/>
      <c r="EG80" s="9"/>
      <c r="EH80" s="9"/>
      <c r="EI80" s="9"/>
      <c r="EJ80" s="9"/>
      <c r="EK80" s="9"/>
      <c r="EL80" s="9"/>
      <c r="EM80" s="9"/>
      <c r="EN80" s="9"/>
      <c r="EO80" s="9"/>
      <c r="EP80" s="9"/>
      <c r="EQ80" s="9"/>
      <c r="ER80" s="9"/>
      <c r="ES80" s="9"/>
      <c r="ET80" s="9"/>
      <c r="EU80" s="9"/>
      <c r="EV80" s="9"/>
      <c r="EW80" s="9"/>
      <c r="EX80" s="9"/>
      <c r="EY80" s="9"/>
      <c r="EZ80" s="9"/>
      <c r="FA80" s="9"/>
      <c r="FB80" s="9"/>
      <c r="FC80" s="9"/>
      <c r="FD80" s="9"/>
      <c r="FE80" s="9"/>
      <c r="FF80" s="9"/>
      <c r="FG80" s="9"/>
      <c r="FH80" s="9"/>
      <c r="FI80" s="9"/>
      <c r="FJ80" s="9"/>
      <c r="FK80" s="9"/>
      <c r="FL80" s="9"/>
      <c r="FM80" s="9"/>
    </row>
    <row r="81" spans="1:169" outlineLevel="1" x14ac:dyDescent="0.4">
      <c r="A81" t="s">
        <v>676</v>
      </c>
      <c r="B81" t="s">
        <v>169</v>
      </c>
      <c r="C81" t="s">
        <v>674</v>
      </c>
      <c r="D81" s="9"/>
      <c r="E81" s="9"/>
      <c r="AT81" s="9"/>
      <c r="AU81" s="9"/>
      <c r="AV81" s="9"/>
      <c r="AW81" s="9"/>
      <c r="AX81" s="9"/>
      <c r="AY81" s="9"/>
      <c r="AZ81" s="9"/>
      <c r="BA81" s="9"/>
      <c r="BB81" s="9"/>
      <c r="BC81" s="9"/>
      <c r="BD81" s="9"/>
      <c r="BE81" s="9"/>
      <c r="BF81" s="9"/>
      <c r="BG81" s="9"/>
      <c r="BH81" s="9"/>
      <c r="BI81" s="9"/>
      <c r="BJ81" s="9"/>
      <c r="BK81" s="9"/>
      <c r="BL81" s="9"/>
      <c r="BM81" s="9"/>
      <c r="BN81" s="9"/>
      <c r="BO81" s="9"/>
      <c r="BP81" s="9"/>
      <c r="BQ81" s="9"/>
      <c r="BR81" s="9"/>
      <c r="BS81" s="9"/>
      <c r="BT81" s="9"/>
      <c r="BU81" s="9"/>
      <c r="BV81" s="9"/>
      <c r="BW81" s="9"/>
      <c r="BX81" s="9"/>
      <c r="BY81" s="9"/>
      <c r="BZ81" s="9"/>
      <c r="CA81" s="9"/>
      <c r="CB81" s="9"/>
      <c r="CC81" s="9"/>
      <c r="CD81" s="9"/>
      <c r="CE81" s="9"/>
      <c r="CF81" s="9"/>
      <c r="CG81" s="9"/>
      <c r="CH81" s="9"/>
      <c r="CI81" s="9"/>
      <c r="CJ81" s="9"/>
      <c r="CK81" s="9"/>
      <c r="CL81" s="9"/>
      <c r="CM81" s="9"/>
      <c r="CN81" s="9"/>
      <c r="CO81" s="9"/>
      <c r="CP81" s="9"/>
      <c r="CQ81" s="9"/>
      <c r="CR81" s="9"/>
      <c r="CS81" s="9"/>
      <c r="CT81" s="9"/>
      <c r="CU81" s="9"/>
      <c r="CV81" s="9"/>
      <c r="CW81" s="9"/>
      <c r="CX81" s="9"/>
      <c r="CY81" s="9"/>
      <c r="CZ81" s="9"/>
      <c r="DA81" s="9"/>
      <c r="DB81" s="9"/>
      <c r="DC81" s="9"/>
      <c r="DD81" s="9"/>
      <c r="DE81" s="9"/>
      <c r="DF81" s="9"/>
      <c r="DG81" s="9"/>
      <c r="DH81" s="9"/>
      <c r="DI81" s="9"/>
      <c r="DJ81" s="9"/>
      <c r="DK81" s="9"/>
      <c r="DL81" s="9"/>
      <c r="DM81" s="9"/>
      <c r="DN81" s="9"/>
      <c r="DO81" s="9"/>
      <c r="DP81" s="9"/>
      <c r="DQ81" s="9"/>
      <c r="DR81" s="9"/>
      <c r="DS81" s="9"/>
      <c r="DT81" s="9"/>
      <c r="DU81" s="9"/>
      <c r="DV81" s="9"/>
      <c r="DW81" s="9"/>
      <c r="DX81" s="9"/>
      <c r="DY81" s="9"/>
      <c r="DZ81" s="9"/>
      <c r="EA81" s="9"/>
      <c r="EB81" s="9"/>
      <c r="EC81" s="9"/>
      <c r="ED81" s="9"/>
      <c r="EE81" s="9"/>
      <c r="EF81" s="9"/>
      <c r="EG81" s="9"/>
      <c r="EH81" s="9"/>
      <c r="EI81" s="9"/>
      <c r="EJ81" s="9"/>
      <c r="EK81" s="9"/>
      <c r="EL81" s="9"/>
      <c r="EM81" s="9"/>
      <c r="EN81" s="9"/>
      <c r="EO81" s="9"/>
      <c r="EP81" s="9"/>
      <c r="EQ81" s="9"/>
      <c r="ER81" s="9"/>
      <c r="ES81" s="9"/>
      <c r="ET81" s="9"/>
      <c r="EU81" s="9"/>
      <c r="EV81" s="9"/>
      <c r="EW81" s="9"/>
      <c r="EX81" s="9"/>
      <c r="EY81" s="9"/>
      <c r="EZ81" s="9"/>
      <c r="FA81" s="9"/>
      <c r="FB81" s="9"/>
      <c r="FC81" s="9"/>
      <c r="FD81" s="9"/>
      <c r="FE81" s="9"/>
      <c r="FF81" s="9"/>
      <c r="FG81" s="9"/>
      <c r="FH81" s="9"/>
      <c r="FI81" s="9"/>
      <c r="FJ81" s="9"/>
      <c r="FK81" s="9"/>
      <c r="FL81" s="9"/>
      <c r="FM81" s="9"/>
    </row>
    <row r="82" spans="1:169" outlineLevel="1" x14ac:dyDescent="0.4">
      <c r="A82" t="s">
        <v>677</v>
      </c>
      <c r="B82" t="s">
        <v>170</v>
      </c>
      <c r="C82" t="s">
        <v>674</v>
      </c>
      <c r="D82" s="9"/>
      <c r="E82" s="9"/>
      <c r="AT82" s="9"/>
      <c r="AU82" s="9"/>
      <c r="AV82" s="9"/>
      <c r="AW82" s="9"/>
      <c r="AX82" s="9"/>
      <c r="AY82" s="9"/>
      <c r="AZ82" s="9"/>
      <c r="BA82" s="9"/>
      <c r="BB82" s="9"/>
      <c r="BC82" s="9"/>
      <c r="BD82" s="9"/>
      <c r="BE82" s="9"/>
      <c r="BF82" s="9"/>
      <c r="BG82" s="9"/>
      <c r="BH82" s="9"/>
      <c r="BI82" s="9"/>
      <c r="BJ82" s="9"/>
      <c r="BK82" s="9"/>
      <c r="BL82" s="9"/>
      <c r="BM82" s="9"/>
      <c r="BN82" s="9"/>
      <c r="BO82" s="9"/>
      <c r="BP82" s="9"/>
      <c r="BQ82" s="9"/>
      <c r="BR82" s="9"/>
      <c r="BS82" s="9"/>
      <c r="BT82" s="9"/>
      <c r="BU82" s="9"/>
      <c r="BV82" s="9"/>
      <c r="BW82" s="9"/>
      <c r="BX82" s="9"/>
      <c r="BY82" s="9"/>
      <c r="BZ82" s="9"/>
      <c r="CA82" s="9"/>
      <c r="CB82" s="9"/>
      <c r="CC82" s="9"/>
      <c r="CD82" s="9"/>
      <c r="CE82" s="9"/>
      <c r="CF82" s="9"/>
      <c r="CG82" s="9"/>
      <c r="CH82" s="9"/>
      <c r="CI82" s="9"/>
      <c r="CJ82" s="9"/>
      <c r="CK82" s="9"/>
      <c r="CL82" s="9"/>
      <c r="CM82" s="9"/>
      <c r="CN82" s="9"/>
      <c r="CO82" s="9"/>
      <c r="CP82" s="9"/>
      <c r="CQ82" s="9"/>
      <c r="CR82" s="9"/>
      <c r="CS82" s="9"/>
      <c r="CT82" s="9"/>
      <c r="CU82" s="9"/>
      <c r="CV82" s="9"/>
      <c r="CW82" s="9"/>
      <c r="CX82" s="9"/>
      <c r="CY82" s="9"/>
      <c r="CZ82" s="9"/>
      <c r="DA82" s="9"/>
      <c r="DB82" s="9"/>
      <c r="DC82" s="9"/>
      <c r="DD82" s="9"/>
      <c r="DE82" s="9"/>
      <c r="DF82" s="9"/>
      <c r="DG82" s="9"/>
      <c r="DH82" s="9"/>
      <c r="DI82" s="9"/>
      <c r="DJ82" s="9"/>
      <c r="DK82" s="9"/>
      <c r="DL82" s="9"/>
      <c r="DM82" s="9"/>
      <c r="DN82" s="9"/>
      <c r="DO82" s="9"/>
      <c r="DP82" s="9"/>
      <c r="DQ82" s="9"/>
      <c r="DR82" s="9"/>
      <c r="DS82" s="9"/>
      <c r="DT82" s="9"/>
      <c r="DU82" s="9"/>
      <c r="DV82" s="9"/>
      <c r="DW82" s="9"/>
      <c r="DX82" s="9"/>
      <c r="DY82" s="9"/>
      <c r="DZ82" s="9"/>
      <c r="EA82" s="9"/>
      <c r="EB82" s="9"/>
      <c r="EC82" s="9"/>
      <c r="ED82" s="9"/>
      <c r="EE82" s="9"/>
      <c r="EF82" s="9"/>
      <c r="EG82" s="9"/>
      <c r="EH82" s="9"/>
      <c r="EI82" s="9"/>
      <c r="EJ82" s="9"/>
      <c r="EK82" s="9"/>
      <c r="EL82" s="9"/>
      <c r="EM82" s="9"/>
      <c r="EN82" s="9"/>
      <c r="EO82" s="9"/>
      <c r="EP82" s="9"/>
      <c r="EQ82" s="9"/>
      <c r="ER82" s="9"/>
      <c r="ES82" s="9"/>
      <c r="ET82" s="9"/>
      <c r="EU82" s="9"/>
      <c r="EV82" s="9"/>
      <c r="EW82" s="9"/>
      <c r="EX82" s="9"/>
      <c r="EY82" s="9"/>
      <c r="EZ82" s="9"/>
      <c r="FA82" s="9"/>
      <c r="FB82" s="9"/>
      <c r="FC82" s="9"/>
      <c r="FD82" s="9"/>
      <c r="FE82" s="9"/>
      <c r="FF82" s="9"/>
      <c r="FG82" s="9"/>
      <c r="FH82" s="9"/>
      <c r="FI82" s="9"/>
      <c r="FJ82" s="9"/>
      <c r="FK82" s="9"/>
      <c r="FL82" s="9"/>
      <c r="FM82" s="9"/>
    </row>
    <row r="83" spans="1:169" outlineLevel="1" x14ac:dyDescent="0.4">
      <c r="A83" t="s">
        <v>678</v>
      </c>
      <c r="B83" t="s">
        <v>149</v>
      </c>
      <c r="C83" t="s">
        <v>674</v>
      </c>
      <c r="D83" s="9"/>
      <c r="E83" s="9"/>
      <c r="AT83" s="9"/>
      <c r="AU83" s="9"/>
      <c r="AV83" s="9"/>
      <c r="AW83" s="9"/>
      <c r="AX83" s="9"/>
      <c r="AY83" s="9"/>
      <c r="AZ83" s="9"/>
      <c r="BA83" s="9"/>
      <c r="BB83" s="9"/>
      <c r="BC83" s="9"/>
      <c r="BD83" s="9"/>
      <c r="BE83" s="9"/>
      <c r="BF83" s="9"/>
      <c r="BG83" s="9"/>
      <c r="BH83" s="9"/>
      <c r="BI83" s="9"/>
      <c r="BJ83" s="9"/>
      <c r="BK83" s="9"/>
      <c r="BL83" s="9"/>
      <c r="BM83" s="9"/>
      <c r="BN83" s="9"/>
      <c r="BO83" s="9"/>
      <c r="BP83" s="9"/>
      <c r="BQ83" s="9"/>
      <c r="BR83" s="9"/>
      <c r="BS83" s="9"/>
      <c r="BT83" s="9"/>
      <c r="BU83" s="9"/>
      <c r="BV83" s="9"/>
      <c r="BW83" s="9"/>
      <c r="BX83" s="9"/>
      <c r="BY83" s="9"/>
      <c r="BZ83" s="9"/>
      <c r="CA83" s="9"/>
      <c r="CB83" s="9"/>
      <c r="CC83" s="9"/>
      <c r="CD83" s="9"/>
      <c r="CE83" s="9"/>
      <c r="CF83" s="9"/>
      <c r="CG83" s="9"/>
      <c r="CH83" s="9"/>
      <c r="CI83" s="9"/>
      <c r="CJ83" s="9"/>
      <c r="CK83" s="9"/>
      <c r="CL83" s="9"/>
      <c r="CM83" s="9"/>
      <c r="CN83" s="9"/>
      <c r="CO83" s="9"/>
      <c r="CP83" s="9"/>
      <c r="CQ83" s="9"/>
      <c r="CR83" s="9"/>
      <c r="CS83" s="9"/>
      <c r="CT83" s="9"/>
      <c r="CU83" s="9"/>
      <c r="CV83" s="9"/>
      <c r="CW83" s="9"/>
      <c r="CX83" s="9"/>
      <c r="CY83" s="9"/>
      <c r="CZ83" s="9"/>
      <c r="DA83" s="9"/>
      <c r="DB83" s="9"/>
      <c r="DC83" s="9"/>
      <c r="DD83" s="9"/>
      <c r="DE83" s="9"/>
      <c r="DF83" s="9"/>
      <c r="DG83" s="9"/>
      <c r="DH83" s="9"/>
      <c r="DI83" s="9"/>
      <c r="DJ83" s="9"/>
      <c r="DK83" s="9"/>
      <c r="DL83" s="9"/>
      <c r="DM83" s="9"/>
      <c r="DN83" s="9"/>
      <c r="DO83" s="9"/>
      <c r="DP83" s="9"/>
      <c r="DQ83" s="9"/>
      <c r="DR83" s="9"/>
      <c r="DS83" s="9"/>
      <c r="DT83" s="9"/>
      <c r="DU83" s="9"/>
      <c r="DV83" s="9"/>
      <c r="DW83" s="9"/>
      <c r="DX83" s="9"/>
      <c r="DY83" s="9"/>
      <c r="DZ83" s="9"/>
      <c r="EA83" s="9"/>
      <c r="EB83" s="9"/>
      <c r="EC83" s="9"/>
      <c r="ED83" s="9"/>
      <c r="EE83" s="9"/>
      <c r="EF83" s="9"/>
      <c r="EG83" s="9"/>
      <c r="EH83" s="9"/>
      <c r="EI83" s="9"/>
      <c r="EJ83" s="9"/>
      <c r="EK83" s="9"/>
      <c r="EL83" s="9"/>
      <c r="EM83" s="9"/>
      <c r="EN83" s="9"/>
      <c r="EO83" s="9"/>
      <c r="EP83" s="9"/>
      <c r="EQ83" s="9"/>
      <c r="ER83" s="9"/>
      <c r="ES83" s="9"/>
      <c r="ET83" s="9"/>
      <c r="EU83" s="9"/>
      <c r="EV83" s="9"/>
      <c r="EW83" s="9"/>
      <c r="EX83" s="9"/>
      <c r="EY83" s="9"/>
      <c r="EZ83" s="9"/>
      <c r="FA83" s="9"/>
      <c r="FB83" s="9"/>
      <c r="FC83" s="9"/>
      <c r="FD83" s="9"/>
      <c r="FE83" s="9"/>
      <c r="FF83" s="9"/>
      <c r="FG83" s="9"/>
      <c r="FH83" s="9"/>
      <c r="FI83" s="9"/>
      <c r="FJ83" s="9"/>
      <c r="FK83" s="9"/>
      <c r="FL83" s="9"/>
      <c r="FM83" s="9"/>
    </row>
    <row r="84" spans="1:169" outlineLevel="1" x14ac:dyDescent="0.4">
      <c r="A84" t="s">
        <v>616</v>
      </c>
      <c r="B84" t="s">
        <v>617</v>
      </c>
      <c r="C84" t="s">
        <v>674</v>
      </c>
      <c r="D84" s="9"/>
      <c r="E84" s="9"/>
      <c r="AT84" s="9"/>
      <c r="AU84" s="9"/>
      <c r="AV84" s="9"/>
      <c r="AW84" s="9"/>
      <c r="AX84" s="9"/>
      <c r="AY84" s="9"/>
      <c r="AZ84" s="9"/>
      <c r="BA84" s="9"/>
      <c r="BB84" s="9"/>
      <c r="BC84" s="9"/>
      <c r="BD84" s="9"/>
      <c r="BE84" s="9"/>
      <c r="BF84" s="9"/>
      <c r="BG84" s="9"/>
      <c r="BH84" s="9"/>
      <c r="BI84" s="9"/>
      <c r="BJ84" s="9"/>
      <c r="BK84" s="9"/>
      <c r="BL84" s="9"/>
      <c r="BM84" s="9"/>
      <c r="BN84" s="9"/>
      <c r="BO84" s="9"/>
      <c r="BP84" s="9"/>
      <c r="BQ84" s="9"/>
      <c r="BR84" s="9"/>
      <c r="BS84" s="9"/>
      <c r="BT84" s="9"/>
      <c r="BU84" s="9"/>
      <c r="BV84" s="9"/>
      <c r="BW84" s="9"/>
      <c r="BX84" s="9"/>
      <c r="BY84" s="9"/>
      <c r="BZ84" s="9"/>
      <c r="CA84" s="9"/>
      <c r="CB84" s="9"/>
      <c r="CC84" s="9"/>
      <c r="CD84" s="9"/>
      <c r="CE84" s="9"/>
      <c r="CF84" s="9"/>
      <c r="CG84" s="9"/>
      <c r="CH84" s="9"/>
      <c r="CI84" s="9"/>
      <c r="CJ84" s="9"/>
      <c r="CK84" s="9"/>
      <c r="CL84" s="9"/>
      <c r="CM84" s="9"/>
      <c r="CN84" s="9"/>
      <c r="CO84" s="9"/>
      <c r="CP84" s="9"/>
      <c r="CQ84" s="9"/>
      <c r="CR84" s="9"/>
      <c r="CS84" s="9"/>
      <c r="CT84" s="9"/>
      <c r="CU84" s="9"/>
      <c r="CV84" s="9"/>
      <c r="CW84" s="9"/>
      <c r="CX84" s="9"/>
      <c r="CY84" s="9"/>
      <c r="CZ84" s="9"/>
      <c r="DA84" s="9"/>
      <c r="DB84" s="9"/>
      <c r="DC84" s="9"/>
      <c r="DD84" s="9"/>
      <c r="DE84" s="9"/>
      <c r="DF84" s="9"/>
      <c r="DG84" s="9"/>
      <c r="DH84" s="9"/>
      <c r="DI84" s="9"/>
      <c r="DJ84" s="9"/>
      <c r="DK84" s="9"/>
      <c r="DL84" s="9"/>
      <c r="DM84" s="9"/>
      <c r="DN84" s="9"/>
      <c r="DO84" s="9"/>
      <c r="DP84" s="9"/>
      <c r="DQ84" s="9"/>
      <c r="DR84" s="9"/>
      <c r="DS84" s="9"/>
      <c r="DT84" s="9"/>
      <c r="DU84" s="9"/>
      <c r="DV84" s="9"/>
      <c r="DW84" s="9"/>
      <c r="DX84" s="9"/>
      <c r="DY84" s="9"/>
      <c r="DZ84" s="9"/>
      <c r="EA84" s="9"/>
      <c r="EB84" s="9"/>
      <c r="EC84" s="9"/>
      <c r="ED84" s="9"/>
      <c r="EE84" s="9"/>
      <c r="EF84" s="9"/>
      <c r="EG84" s="9"/>
      <c r="EH84" s="9"/>
      <c r="EI84" s="9"/>
      <c r="EJ84" s="9"/>
      <c r="EK84" s="9"/>
      <c r="EL84" s="9"/>
      <c r="EM84" s="9"/>
      <c r="EN84" s="9"/>
      <c r="EO84" s="9"/>
      <c r="EP84" s="9"/>
      <c r="EQ84" s="9"/>
      <c r="ER84" s="9"/>
      <c r="ES84" s="9"/>
      <c r="ET84" s="9"/>
      <c r="EU84" s="9"/>
      <c r="EV84" s="9"/>
      <c r="EW84" s="9"/>
      <c r="EX84" s="9"/>
      <c r="EY84" s="9"/>
      <c r="EZ84" s="9"/>
      <c r="FA84" s="9"/>
      <c r="FB84" s="9"/>
      <c r="FC84" s="9"/>
      <c r="FD84" s="9"/>
      <c r="FE84" s="9"/>
      <c r="FF84" s="9"/>
      <c r="FG84" s="9"/>
      <c r="FH84" s="9"/>
      <c r="FI84" s="9"/>
      <c r="FJ84" s="9"/>
      <c r="FK84" s="9"/>
      <c r="FL84" s="9"/>
      <c r="FM84" s="9"/>
    </row>
    <row r="85" spans="1:169" outlineLevel="1" x14ac:dyDescent="0.4">
      <c r="A85" t="s">
        <v>144</v>
      </c>
      <c r="B85" t="s">
        <v>143</v>
      </c>
      <c r="C85" t="s">
        <v>674</v>
      </c>
      <c r="D85" s="9"/>
      <c r="E85" s="9"/>
      <c r="AT85" s="9"/>
      <c r="AU85" s="9"/>
      <c r="AV85" s="9"/>
      <c r="AW85" s="9"/>
      <c r="AX85" s="9"/>
      <c r="AY85" s="9"/>
      <c r="AZ85" s="9"/>
      <c r="BA85" s="9"/>
      <c r="BB85" s="9"/>
      <c r="BC85" s="9"/>
      <c r="BD85" s="9"/>
      <c r="BE85" s="9"/>
      <c r="BF85" s="9"/>
      <c r="BG85" s="9"/>
      <c r="BH85" s="9"/>
      <c r="BI85" s="9"/>
      <c r="BJ85" s="9"/>
      <c r="BK85" s="9"/>
      <c r="BL85" s="9"/>
      <c r="BM85" s="9"/>
      <c r="BN85" s="9"/>
      <c r="BO85" s="9"/>
      <c r="BP85" s="9"/>
      <c r="BQ85" s="9"/>
      <c r="BR85" s="9"/>
      <c r="BS85" s="9"/>
      <c r="BT85" s="9"/>
      <c r="BU85" s="9"/>
      <c r="BV85" s="9"/>
      <c r="BW85" s="9"/>
      <c r="BX85" s="9"/>
      <c r="BY85" s="9"/>
      <c r="BZ85" s="9"/>
      <c r="CA85" s="9"/>
      <c r="CB85" s="9"/>
      <c r="CC85" s="9"/>
      <c r="CD85" s="9"/>
      <c r="CE85" s="9"/>
      <c r="CF85" s="9"/>
      <c r="CG85" s="9"/>
      <c r="CH85" s="9"/>
      <c r="CI85" s="9"/>
      <c r="CJ85" s="9"/>
      <c r="CK85" s="9"/>
      <c r="CL85" s="9"/>
      <c r="CM85" s="9"/>
      <c r="CN85" s="9"/>
      <c r="CO85" s="9"/>
      <c r="CP85" s="9"/>
      <c r="CQ85" s="9"/>
      <c r="CR85" s="9"/>
      <c r="CS85" s="9"/>
      <c r="CT85" s="9"/>
      <c r="CU85" s="9"/>
      <c r="CV85" s="9"/>
      <c r="CW85" s="9"/>
      <c r="CX85" s="9"/>
      <c r="CY85" s="9"/>
      <c r="CZ85" s="9"/>
      <c r="DA85" s="9"/>
      <c r="DB85" s="9"/>
      <c r="DC85" s="9"/>
      <c r="DD85" s="9"/>
      <c r="DE85" s="9"/>
      <c r="DF85" s="9"/>
      <c r="DG85" s="9"/>
      <c r="DH85" s="9"/>
      <c r="DI85" s="9"/>
      <c r="DJ85" s="9"/>
      <c r="DK85" s="9"/>
      <c r="DL85" s="9"/>
      <c r="DM85" s="9"/>
      <c r="DN85" s="9"/>
      <c r="DO85" s="9"/>
      <c r="DP85" s="9"/>
      <c r="DQ85" s="9"/>
      <c r="DR85" s="9"/>
      <c r="DS85" s="9"/>
      <c r="DT85" s="9"/>
      <c r="DU85" s="9"/>
      <c r="DV85" s="9"/>
      <c r="DW85" s="9"/>
      <c r="DX85" s="9"/>
      <c r="DY85" s="9"/>
      <c r="DZ85" s="9"/>
      <c r="EA85" s="9"/>
      <c r="EB85" s="9"/>
      <c r="EC85" s="9"/>
      <c r="ED85" s="9"/>
      <c r="EE85" s="9"/>
      <c r="EF85" s="9"/>
      <c r="EG85" s="9"/>
      <c r="EH85" s="9"/>
      <c r="EI85" s="9"/>
      <c r="EJ85" s="9"/>
      <c r="EK85" s="9"/>
      <c r="EL85" s="9"/>
      <c r="EM85" s="9"/>
      <c r="EN85" s="9"/>
      <c r="EO85" s="9"/>
      <c r="EP85" s="9"/>
      <c r="EQ85" s="9"/>
      <c r="ER85" s="9"/>
      <c r="ES85" s="9"/>
      <c r="ET85" s="9"/>
      <c r="EU85" s="9"/>
      <c r="EV85" s="9"/>
      <c r="EW85" s="9"/>
      <c r="EX85" s="9"/>
      <c r="EY85" s="9"/>
      <c r="EZ85" s="9"/>
      <c r="FA85" s="9"/>
      <c r="FB85" s="9"/>
      <c r="FC85" s="9"/>
      <c r="FD85" s="9"/>
      <c r="FE85" s="9"/>
      <c r="FF85" s="9"/>
      <c r="FG85" s="9"/>
      <c r="FH85" s="9"/>
      <c r="FI85" s="9"/>
      <c r="FJ85" s="9"/>
      <c r="FK85" s="9"/>
      <c r="FL85" s="9"/>
      <c r="FM85" s="9"/>
    </row>
    <row r="86" spans="1:169" outlineLevel="1" x14ac:dyDescent="0.4">
      <c r="A86" t="s">
        <v>146</v>
      </c>
      <c r="B86" t="s">
        <v>145</v>
      </c>
      <c r="C86" t="s">
        <v>674</v>
      </c>
      <c r="D86" s="9"/>
      <c r="E86" s="9"/>
      <c r="AT86" s="9"/>
      <c r="AU86" s="9"/>
      <c r="AV86" s="9"/>
      <c r="AW86" s="9"/>
      <c r="AX86" s="9"/>
      <c r="AY86" s="9"/>
      <c r="AZ86" s="9"/>
      <c r="BA86" s="9"/>
      <c r="BB86" s="9"/>
      <c r="BC86" s="9"/>
      <c r="BD86" s="9"/>
      <c r="BE86" s="9"/>
      <c r="BF86" s="9"/>
      <c r="BG86" s="9"/>
      <c r="BH86" s="9"/>
      <c r="BI86" s="9"/>
      <c r="BJ86" s="9"/>
      <c r="BK86" s="9"/>
      <c r="BL86" s="9"/>
      <c r="BM86" s="9"/>
      <c r="BN86" s="9"/>
      <c r="BO86" s="9"/>
      <c r="BP86" s="9"/>
      <c r="BQ86" s="9"/>
      <c r="BR86" s="9"/>
      <c r="BS86" s="9"/>
      <c r="BT86" s="9"/>
      <c r="BU86" s="9"/>
      <c r="BV86" s="9"/>
      <c r="BW86" s="9"/>
      <c r="BX86" s="9"/>
      <c r="BY86" s="9"/>
      <c r="BZ86" s="9"/>
      <c r="CA86" s="9"/>
      <c r="CB86" s="9"/>
      <c r="CC86" s="9"/>
      <c r="CD86" s="9"/>
      <c r="CE86" s="9"/>
      <c r="CF86" s="9"/>
      <c r="CG86" s="9"/>
      <c r="CH86" s="9"/>
      <c r="CI86" s="9"/>
      <c r="CJ86" s="9"/>
      <c r="CK86" s="9"/>
      <c r="CL86" s="9"/>
      <c r="CM86" s="9"/>
      <c r="CN86" s="9"/>
      <c r="CO86" s="9"/>
      <c r="CP86" s="9"/>
      <c r="CQ86" s="9"/>
      <c r="CR86" s="9"/>
      <c r="CS86" s="9"/>
      <c r="CT86" s="9"/>
      <c r="CU86" s="9"/>
      <c r="CV86" s="9"/>
      <c r="CW86" s="9"/>
      <c r="CX86" s="9"/>
      <c r="CY86" s="9"/>
      <c r="CZ86" s="9"/>
      <c r="DA86" s="9"/>
      <c r="DB86" s="9"/>
      <c r="DC86" s="9"/>
      <c r="DD86" s="9"/>
      <c r="DE86" s="9"/>
      <c r="DF86" s="9"/>
      <c r="DG86" s="9"/>
      <c r="DH86" s="9"/>
      <c r="DI86" s="9"/>
      <c r="DJ86" s="9"/>
      <c r="DK86" s="9"/>
      <c r="DL86" s="9"/>
      <c r="DM86" s="9"/>
      <c r="DN86" s="9"/>
      <c r="DO86" s="9"/>
      <c r="DP86" s="9"/>
      <c r="DQ86" s="9"/>
      <c r="DR86" s="9"/>
      <c r="DS86" s="9"/>
      <c r="DT86" s="9"/>
      <c r="DU86" s="9"/>
      <c r="DV86" s="9"/>
      <c r="DW86" s="9"/>
      <c r="DX86" s="9"/>
      <c r="DY86" s="9"/>
      <c r="DZ86" s="9"/>
      <c r="EA86" s="9"/>
      <c r="EB86" s="9"/>
      <c r="EC86" s="9"/>
      <c r="ED86" s="9"/>
      <c r="EE86" s="9"/>
      <c r="EF86" s="9"/>
      <c r="EG86" s="9"/>
      <c r="EH86" s="9"/>
      <c r="EI86" s="9"/>
      <c r="EJ86" s="9"/>
      <c r="EK86" s="9"/>
      <c r="EL86" s="9"/>
      <c r="EM86" s="9"/>
      <c r="EN86" s="9"/>
      <c r="EO86" s="9"/>
      <c r="EP86" s="9"/>
      <c r="EQ86" s="9"/>
      <c r="ER86" s="9"/>
      <c r="ES86" s="9"/>
      <c r="ET86" s="9"/>
      <c r="EU86" s="9"/>
      <c r="EV86" s="9"/>
      <c r="EW86" s="9"/>
      <c r="EX86" s="9"/>
      <c r="EY86" s="9"/>
      <c r="EZ86" s="9"/>
      <c r="FA86" s="9"/>
      <c r="FB86" s="9"/>
      <c r="FC86" s="9"/>
      <c r="FD86" s="9"/>
      <c r="FE86" s="9"/>
      <c r="FF86" s="9"/>
      <c r="FG86" s="9"/>
      <c r="FH86" s="9"/>
      <c r="FI86" s="9"/>
      <c r="FJ86" s="9"/>
      <c r="FK86" s="9"/>
      <c r="FL86" s="9"/>
      <c r="FM86" s="9"/>
    </row>
    <row r="87" spans="1:169" outlineLevel="1" x14ac:dyDescent="0.4">
      <c r="A87" t="s">
        <v>148</v>
      </c>
      <c r="B87" t="s">
        <v>147</v>
      </c>
      <c r="C87" t="s">
        <v>674</v>
      </c>
      <c r="D87" s="146"/>
      <c r="E87" s="146"/>
      <c r="AT87" s="9"/>
      <c r="AU87" s="9"/>
      <c r="AV87" s="9"/>
      <c r="AW87" s="9"/>
      <c r="AX87" s="9"/>
      <c r="AY87" s="9"/>
      <c r="AZ87" s="9"/>
      <c r="BA87" s="9"/>
      <c r="BB87" s="9"/>
      <c r="BC87" s="9"/>
      <c r="BD87" s="9"/>
      <c r="BE87" s="9"/>
      <c r="BF87" s="9"/>
      <c r="BG87" s="9"/>
      <c r="BH87" s="9"/>
      <c r="BI87" s="9"/>
      <c r="BJ87" s="9"/>
      <c r="BK87" s="9"/>
      <c r="BL87" s="9"/>
      <c r="BM87" s="9"/>
      <c r="BN87" s="9"/>
      <c r="BO87" s="9"/>
      <c r="BP87" s="9"/>
      <c r="BQ87" s="9"/>
      <c r="BR87" s="9"/>
      <c r="BS87" s="9"/>
      <c r="BT87" s="9"/>
      <c r="BU87" s="9"/>
      <c r="BV87" s="9"/>
      <c r="BW87" s="9"/>
      <c r="BX87" s="9"/>
      <c r="BY87" s="9"/>
      <c r="BZ87" s="9"/>
      <c r="CA87" s="9"/>
      <c r="CB87" s="9"/>
      <c r="CC87" s="9"/>
      <c r="CD87" s="9"/>
      <c r="CE87" s="9"/>
      <c r="CF87" s="9"/>
      <c r="CG87" s="9"/>
      <c r="CH87" s="9"/>
      <c r="CI87" s="9"/>
      <c r="CJ87" s="9"/>
      <c r="CK87" s="9"/>
      <c r="CL87" s="9"/>
      <c r="CM87" s="9"/>
      <c r="CN87" s="9"/>
      <c r="CO87" s="9"/>
      <c r="CP87" s="9"/>
      <c r="CQ87" s="9"/>
      <c r="CR87" s="9"/>
      <c r="CS87" s="9"/>
      <c r="CT87" s="9"/>
      <c r="CU87" s="9"/>
      <c r="CV87" s="9"/>
      <c r="CW87" s="9"/>
      <c r="CX87" s="9"/>
      <c r="CY87" s="9"/>
      <c r="CZ87" s="9"/>
      <c r="DA87" s="9"/>
      <c r="DB87" s="9"/>
      <c r="DC87" s="9"/>
      <c r="DD87" s="9"/>
      <c r="DE87" s="9"/>
      <c r="DF87" s="9"/>
      <c r="DG87" s="9"/>
      <c r="DH87" s="9"/>
      <c r="DI87" s="9"/>
      <c r="DJ87" s="9"/>
      <c r="DK87" s="9"/>
      <c r="DL87" s="9"/>
      <c r="DM87" s="9"/>
      <c r="DN87" s="9"/>
      <c r="DO87" s="9"/>
      <c r="DP87" s="9"/>
      <c r="DQ87" s="9"/>
      <c r="DR87" s="9"/>
      <c r="DS87" s="9"/>
      <c r="DT87" s="9"/>
      <c r="DU87" s="9"/>
      <c r="DV87" s="9"/>
      <c r="DW87" s="9"/>
      <c r="DX87" s="9"/>
      <c r="DY87" s="9"/>
      <c r="DZ87" s="9"/>
      <c r="EA87" s="9"/>
      <c r="EB87" s="9"/>
      <c r="EC87" s="9"/>
      <c r="ED87" s="9"/>
      <c r="EE87" s="9"/>
      <c r="EF87" s="9"/>
      <c r="EG87" s="9"/>
      <c r="EH87" s="9"/>
      <c r="EI87" s="9"/>
      <c r="EJ87" s="9"/>
      <c r="EK87" s="9"/>
      <c r="EL87" s="9"/>
      <c r="EM87" s="9"/>
      <c r="EN87" s="9"/>
      <c r="EO87" s="9"/>
      <c r="EP87" s="9"/>
      <c r="EQ87" s="9"/>
      <c r="ER87" s="9"/>
      <c r="ES87" s="9"/>
      <c r="ET87" s="9"/>
      <c r="EU87" s="9"/>
      <c r="EV87" s="9"/>
      <c r="EW87" s="9"/>
      <c r="EX87" s="9"/>
      <c r="EY87" s="9"/>
      <c r="EZ87" s="9"/>
      <c r="FA87" s="9"/>
      <c r="FB87" s="9"/>
      <c r="FC87" s="9"/>
      <c r="FD87" s="9"/>
      <c r="FE87" s="9"/>
      <c r="FF87" s="9"/>
      <c r="FG87" s="9"/>
      <c r="FH87" s="9"/>
      <c r="FI87" s="9"/>
      <c r="FJ87" s="9"/>
      <c r="FK87" s="9"/>
      <c r="FL87" s="9"/>
      <c r="FM87" s="9"/>
    </row>
    <row r="88" spans="1:169" outlineLevel="1" x14ac:dyDescent="0.4">
      <c r="A88" t="s">
        <v>164</v>
      </c>
      <c r="B88" t="s">
        <v>165</v>
      </c>
      <c r="C88" t="s">
        <v>675</v>
      </c>
      <c r="D88" s="9"/>
      <c r="E88" s="9"/>
      <c r="AT88" s="9"/>
      <c r="AU88" s="9"/>
      <c r="AV88" s="9"/>
      <c r="AW88" s="9"/>
      <c r="AX88" s="9"/>
      <c r="AY88" s="9"/>
      <c r="AZ88" s="9"/>
      <c r="BA88" s="9"/>
      <c r="BB88" s="9"/>
      <c r="BC88" s="9"/>
      <c r="BD88" s="9"/>
      <c r="BE88" s="9"/>
      <c r="BF88" s="9"/>
      <c r="BG88" s="9"/>
      <c r="BH88" s="9"/>
      <c r="BI88" s="9"/>
      <c r="BJ88" s="9"/>
      <c r="BK88" s="9"/>
      <c r="BL88" s="9"/>
      <c r="BM88" s="9"/>
      <c r="BN88" s="9"/>
      <c r="BO88" s="9"/>
      <c r="BP88" s="9"/>
      <c r="BQ88" s="9"/>
      <c r="BR88" s="9"/>
      <c r="BS88" s="9"/>
      <c r="BT88" s="9"/>
      <c r="BU88" s="9"/>
      <c r="BV88" s="9"/>
      <c r="BW88" s="9"/>
      <c r="BX88" s="9"/>
      <c r="BY88" s="9"/>
      <c r="BZ88" s="9"/>
      <c r="CA88" s="9"/>
      <c r="CB88" s="9"/>
      <c r="CC88" s="9"/>
      <c r="CD88" s="9"/>
      <c r="CE88" s="9"/>
      <c r="CF88" s="9"/>
      <c r="CG88" s="9"/>
      <c r="CH88" s="9"/>
      <c r="CI88" s="9"/>
      <c r="CJ88" s="9"/>
      <c r="CK88" s="9"/>
      <c r="CL88" s="9"/>
      <c r="CM88" s="9"/>
      <c r="CN88" s="9"/>
      <c r="CO88" s="9"/>
      <c r="CP88" s="9"/>
      <c r="CQ88" s="9"/>
      <c r="CR88" s="9"/>
      <c r="CS88" s="9"/>
      <c r="CT88" s="9"/>
      <c r="CU88" s="9"/>
      <c r="CV88" s="9"/>
      <c r="CW88" s="9"/>
      <c r="CX88" s="9"/>
      <c r="CY88" s="9"/>
      <c r="CZ88" s="9"/>
      <c r="DA88" s="9"/>
      <c r="DB88" s="9"/>
      <c r="DC88" s="9"/>
      <c r="DD88" s="9"/>
      <c r="DE88" s="9"/>
      <c r="DF88" s="9"/>
      <c r="DG88" s="9"/>
      <c r="DH88" s="9"/>
      <c r="DI88" s="9"/>
      <c r="DJ88" s="9"/>
      <c r="DK88" s="9"/>
      <c r="DL88" s="9"/>
      <c r="DM88" s="9"/>
      <c r="DN88" s="9"/>
      <c r="DO88" s="9"/>
      <c r="DP88" s="9"/>
      <c r="DQ88" s="9"/>
      <c r="DR88" s="9"/>
      <c r="DS88" s="9"/>
      <c r="DT88" s="9"/>
      <c r="DU88" s="9"/>
      <c r="DV88" s="9"/>
      <c r="DW88" s="9"/>
      <c r="DX88" s="9"/>
      <c r="DY88" s="9"/>
      <c r="DZ88" s="9"/>
      <c r="EA88" s="9"/>
      <c r="EB88" s="9"/>
      <c r="EC88" s="9"/>
      <c r="ED88" s="9"/>
      <c r="EE88" s="9"/>
      <c r="EF88" s="9"/>
      <c r="EG88" s="9"/>
      <c r="EH88" s="9"/>
      <c r="EI88" s="9"/>
      <c r="EJ88" s="9"/>
      <c r="EK88" s="9"/>
      <c r="EL88" s="9"/>
      <c r="EM88" s="9"/>
      <c r="EN88" s="9"/>
      <c r="EO88" s="9"/>
      <c r="EP88" s="9"/>
      <c r="EQ88" s="9"/>
      <c r="ER88" s="9"/>
      <c r="ES88" s="9"/>
      <c r="ET88" s="9"/>
      <c r="EU88" s="9"/>
      <c r="EV88" s="9"/>
      <c r="EW88" s="9"/>
      <c r="EX88" s="9"/>
      <c r="EY88" s="9"/>
      <c r="EZ88" s="9"/>
      <c r="FA88" s="9"/>
      <c r="FB88" s="9"/>
      <c r="FC88" s="9"/>
      <c r="FD88" s="9"/>
      <c r="FE88" s="9"/>
      <c r="FF88" s="9"/>
      <c r="FG88" s="9"/>
      <c r="FH88" s="9"/>
      <c r="FI88" s="9"/>
      <c r="FJ88" s="9"/>
      <c r="FK88" s="9"/>
      <c r="FL88" s="9"/>
      <c r="FM88" s="9"/>
    </row>
    <row r="89" spans="1:169" outlineLevel="1" x14ac:dyDescent="0.4">
      <c r="A89" t="s">
        <v>680</v>
      </c>
      <c r="B89" t="s">
        <v>295</v>
      </c>
      <c r="C89" t="s">
        <v>672</v>
      </c>
      <c r="D89" s="9"/>
      <c r="E89" s="9"/>
      <c r="F89" s="9"/>
      <c r="G89" s="9"/>
      <c r="H89" s="9"/>
      <c r="I89" s="9"/>
      <c r="J89" s="9"/>
      <c r="K89" s="9"/>
      <c r="L89" s="9"/>
      <c r="M89" s="9"/>
      <c r="N89" s="9"/>
      <c r="O89" s="9"/>
      <c r="P89" s="9"/>
      <c r="Q89" s="9"/>
    </row>
    <row r="90" spans="1:169" outlineLevel="1" x14ac:dyDescent="0.4">
      <c r="A90" t="s">
        <v>681</v>
      </c>
      <c r="B90" t="s">
        <v>294</v>
      </c>
      <c r="C90" t="s">
        <v>672</v>
      </c>
      <c r="D90" s="9"/>
      <c r="E90" s="9"/>
      <c r="F90" s="9"/>
      <c r="G90" s="9"/>
      <c r="H90" s="9"/>
      <c r="I90" s="9"/>
      <c r="J90" s="9"/>
      <c r="K90" s="9"/>
      <c r="L90" s="9"/>
      <c r="M90" s="9"/>
      <c r="N90" s="9"/>
      <c r="O90" s="9"/>
      <c r="P90" s="9"/>
      <c r="Q90" s="9"/>
      <c r="R90" s="9"/>
      <c r="S90" s="9"/>
      <c r="T90" s="9"/>
      <c r="U90" s="9"/>
      <c r="V90" s="9"/>
      <c r="W90" s="9"/>
      <c r="X90" s="9"/>
      <c r="Y90" s="9"/>
      <c r="Z90" s="9"/>
    </row>
    <row r="91" spans="1:169" outlineLevel="1" x14ac:dyDescent="0.4">
      <c r="A91" t="s">
        <v>682</v>
      </c>
      <c r="B91" t="s">
        <v>604</v>
      </c>
      <c r="C91" t="s">
        <v>670</v>
      </c>
      <c r="D91" s="9"/>
      <c r="E91" s="9"/>
      <c r="F91" s="9"/>
      <c r="G91" s="9"/>
      <c r="H91" s="9"/>
      <c r="I91" s="9"/>
      <c r="J91" s="9"/>
      <c r="K91" s="9"/>
      <c r="L91" s="9"/>
      <c r="M91" s="9"/>
      <c r="N91" s="9"/>
      <c r="O91" s="9"/>
      <c r="P91" s="9"/>
      <c r="Q91" s="9"/>
      <c r="R91" s="9"/>
      <c r="S91" s="9"/>
      <c r="T91" s="9"/>
      <c r="U91" s="9"/>
      <c r="V91" s="9"/>
      <c r="W91" s="9"/>
      <c r="X91" s="9"/>
      <c r="Y91" s="9"/>
      <c r="Z91" s="9"/>
    </row>
    <row r="92" spans="1:169" outlineLevel="1" x14ac:dyDescent="0.4">
      <c r="A92" t="s">
        <v>683</v>
      </c>
      <c r="B92" t="s">
        <v>605</v>
      </c>
      <c r="C92" t="s">
        <v>670</v>
      </c>
      <c r="D92" s="9"/>
      <c r="E92" s="9"/>
      <c r="F92" s="9"/>
      <c r="G92" s="9"/>
      <c r="H92" s="9"/>
      <c r="I92" s="9"/>
      <c r="J92" s="9"/>
      <c r="K92" s="9"/>
      <c r="L92" s="9"/>
      <c r="M92" s="9"/>
      <c r="N92" s="9"/>
      <c r="O92" s="9"/>
      <c r="P92" s="9"/>
      <c r="Q92" s="9"/>
      <c r="R92" s="9"/>
      <c r="S92" s="9"/>
      <c r="T92" s="9"/>
      <c r="U92" s="9"/>
      <c r="V92" s="9"/>
      <c r="W92" s="9"/>
      <c r="X92" s="9"/>
      <c r="Y92" s="9"/>
      <c r="Z92" s="9"/>
    </row>
    <row r="93" spans="1:169" outlineLevel="1" x14ac:dyDescent="0.4">
      <c r="A93" t="s">
        <v>684</v>
      </c>
      <c r="B93" t="s">
        <v>606</v>
      </c>
      <c r="C93" t="s">
        <v>670</v>
      </c>
      <c r="D93" s="9"/>
      <c r="E93" s="9"/>
      <c r="F93" s="9"/>
      <c r="G93" s="9"/>
      <c r="H93" s="9"/>
      <c r="I93" s="9"/>
      <c r="J93" s="9"/>
      <c r="K93" s="9"/>
      <c r="L93" s="9"/>
      <c r="M93" s="9"/>
      <c r="N93" s="9"/>
      <c r="O93" s="9"/>
      <c r="P93" s="9"/>
      <c r="Q93" s="9"/>
      <c r="R93" s="9"/>
      <c r="S93" s="9"/>
      <c r="T93" s="9"/>
      <c r="U93" s="9"/>
      <c r="V93" s="9"/>
      <c r="W93" s="9"/>
      <c r="X93" s="9"/>
      <c r="Y93" s="9"/>
      <c r="Z93" s="9"/>
    </row>
    <row r="94" spans="1:169" outlineLevel="1" x14ac:dyDescent="0.4">
      <c r="A94" t="s">
        <v>685</v>
      </c>
      <c r="B94" t="s">
        <v>639</v>
      </c>
      <c r="C94" t="s">
        <v>670</v>
      </c>
      <c r="D94" s="9"/>
      <c r="E94" s="9"/>
      <c r="F94" s="9"/>
      <c r="G94" s="9"/>
      <c r="H94" s="9"/>
      <c r="I94" s="9"/>
      <c r="J94" s="9"/>
      <c r="K94" s="9"/>
      <c r="L94" s="9"/>
      <c r="M94" s="9"/>
      <c r="N94" s="9"/>
      <c r="O94" s="9"/>
      <c r="P94" s="9"/>
      <c r="Q94" s="9"/>
      <c r="R94" s="9"/>
      <c r="S94" s="9"/>
      <c r="T94" s="9"/>
      <c r="U94" s="9"/>
      <c r="V94" s="9"/>
      <c r="W94" s="9"/>
      <c r="X94" s="9"/>
      <c r="Y94" s="9"/>
      <c r="Z94" s="9"/>
    </row>
    <row r="95" spans="1:169" outlineLevel="1" x14ac:dyDescent="0.4">
      <c r="A95" t="s">
        <v>686</v>
      </c>
      <c r="B95" t="s">
        <v>608</v>
      </c>
      <c r="C95" t="s">
        <v>670</v>
      </c>
      <c r="D95" s="9"/>
      <c r="E95" s="9"/>
      <c r="F95" s="9"/>
      <c r="G95" s="9"/>
      <c r="H95" s="9"/>
      <c r="I95" s="9"/>
      <c r="J95" s="9"/>
      <c r="K95" s="9"/>
      <c r="L95" s="9"/>
      <c r="M95" s="9"/>
      <c r="N95" s="9"/>
      <c r="O95" s="9"/>
      <c r="P95" s="9"/>
      <c r="Q95" s="9"/>
      <c r="R95" s="9"/>
      <c r="S95" s="9"/>
      <c r="T95" s="9"/>
      <c r="U95" s="9"/>
      <c r="V95" s="9"/>
      <c r="W95" s="9"/>
      <c r="X95" s="9"/>
      <c r="Y95" s="9"/>
      <c r="Z95" s="9"/>
    </row>
    <row r="96" spans="1:169" outlineLevel="1" x14ac:dyDescent="0.4">
      <c r="A96" t="s">
        <v>687</v>
      </c>
      <c r="B96" t="s">
        <v>610</v>
      </c>
      <c r="C96" t="s">
        <v>670</v>
      </c>
      <c r="D96" s="9"/>
      <c r="E96" s="9"/>
      <c r="F96" s="9"/>
      <c r="G96" s="9"/>
      <c r="H96" s="9"/>
      <c r="I96" s="9"/>
      <c r="J96" s="9"/>
      <c r="K96" s="9"/>
      <c r="L96" s="9"/>
      <c r="M96" s="9"/>
      <c r="N96" s="9"/>
      <c r="O96" s="9"/>
      <c r="P96" s="9"/>
      <c r="Q96" s="9"/>
      <c r="R96" s="9"/>
      <c r="S96" s="9"/>
      <c r="T96" s="9"/>
      <c r="U96" s="9"/>
      <c r="V96" s="9"/>
      <c r="W96" s="9"/>
      <c r="X96" s="9"/>
      <c r="Y96" s="9"/>
      <c r="Z96" s="9"/>
    </row>
    <row r="97" spans="1:26" outlineLevel="1" x14ac:dyDescent="0.4">
      <c r="A97" t="s">
        <v>688</v>
      </c>
      <c r="B97" t="s">
        <v>609</v>
      </c>
      <c r="C97" t="s">
        <v>670</v>
      </c>
      <c r="D97" s="9"/>
      <c r="E97" s="9"/>
      <c r="F97" s="9"/>
      <c r="G97" s="9"/>
      <c r="H97" s="9"/>
      <c r="I97" s="9"/>
      <c r="J97" s="9"/>
      <c r="K97" s="9"/>
      <c r="L97" s="9"/>
      <c r="M97" s="9"/>
      <c r="N97" s="9"/>
      <c r="O97" s="9"/>
      <c r="P97" s="9"/>
      <c r="Q97" s="9"/>
      <c r="R97" s="9"/>
      <c r="S97" s="9"/>
      <c r="T97" s="9"/>
      <c r="U97" s="9"/>
      <c r="V97" s="9"/>
      <c r="W97" s="9"/>
      <c r="X97" s="9"/>
      <c r="Y97" s="9"/>
      <c r="Z97" s="9"/>
    </row>
    <row r="98" spans="1:26" outlineLevel="1" x14ac:dyDescent="0.4">
      <c r="A98" t="s">
        <v>679</v>
      </c>
      <c r="B98" t="s">
        <v>690</v>
      </c>
      <c r="C98" t="s">
        <v>671</v>
      </c>
      <c r="D98" s="9"/>
      <c r="E98" s="9"/>
      <c r="F98" s="9"/>
      <c r="G98" s="9"/>
      <c r="H98" s="9"/>
      <c r="I98" s="9"/>
      <c r="J98" s="9"/>
      <c r="K98" s="9"/>
      <c r="L98" s="9"/>
      <c r="M98" s="9"/>
      <c r="N98" s="9"/>
      <c r="O98" s="9"/>
      <c r="P98" s="9"/>
      <c r="Q98" s="9"/>
      <c r="R98" s="9"/>
      <c r="S98" s="9"/>
      <c r="T98" s="9"/>
      <c r="U98" s="9"/>
      <c r="V98" s="9"/>
      <c r="W98" s="9"/>
      <c r="X98" s="9"/>
      <c r="Y98" s="9"/>
      <c r="Z98" s="9"/>
    </row>
    <row r="99" spans="1:26" outlineLevel="1" x14ac:dyDescent="0.4">
      <c r="A99" t="s">
        <v>689</v>
      </c>
      <c r="B99" t="s">
        <v>691</v>
      </c>
      <c r="C99" t="s">
        <v>671</v>
      </c>
      <c r="D99" s="9"/>
      <c r="E99" s="9"/>
      <c r="F99" s="9"/>
      <c r="G99" s="9"/>
      <c r="H99" s="9"/>
      <c r="I99" s="9"/>
      <c r="J99" s="9"/>
      <c r="K99" s="9"/>
      <c r="L99" s="9"/>
      <c r="M99" s="9"/>
      <c r="N99" s="9"/>
      <c r="O99" s="9"/>
      <c r="P99" s="9"/>
      <c r="Q99" s="9"/>
      <c r="R99" s="9"/>
      <c r="S99" s="9"/>
      <c r="T99" s="9"/>
      <c r="U99" s="9"/>
      <c r="V99" s="9"/>
      <c r="W99" s="9"/>
      <c r="X99" s="9"/>
      <c r="Y99" s="9"/>
      <c r="Z99" s="9"/>
    </row>
    <row r="100" spans="1:26" x14ac:dyDescent="0.4">
      <c r="R100" s="9"/>
      <c r="S100" s="9"/>
      <c r="T100" s="9"/>
      <c r="U100" s="9"/>
      <c r="V100" s="9"/>
      <c r="W100" s="9"/>
      <c r="X100" s="9"/>
      <c r="Y100" s="9"/>
      <c r="Z100" s="9"/>
    </row>
    <row r="101" spans="1:26" ht="23.25" x14ac:dyDescent="0.7">
      <c r="A101" s="13" t="s">
        <v>618</v>
      </c>
    </row>
    <row r="102" spans="1:26" ht="15.75" outlineLevel="1" x14ac:dyDescent="0.5">
      <c r="A102" s="79" t="s">
        <v>331</v>
      </c>
      <c r="B102" s="36"/>
    </row>
    <row r="103" spans="1:26" outlineLevel="1" x14ac:dyDescent="0.4">
      <c r="A103" s="1" t="s">
        <v>212</v>
      </c>
      <c r="B103" s="1"/>
      <c r="C103" s="1" t="s">
        <v>31</v>
      </c>
      <c r="D103" s="63" cm="1">
        <f t="array" ref="D103:G103">_xlfn.SEQUENCE(1, OutturnThrough-MTP_BaseYear+2, MTP_BaseYear-1)</f>
        <v>2022</v>
      </c>
      <c r="E103" s="63">
        <v>2023</v>
      </c>
      <c r="F103" s="63">
        <v>2024</v>
      </c>
      <c r="G103" s="63">
        <v>2025</v>
      </c>
      <c r="H103" s="63"/>
      <c r="I103" s="63"/>
      <c r="J103" s="63"/>
      <c r="K103" s="63"/>
      <c r="L103" s="63"/>
      <c r="M103" s="63"/>
      <c r="N103" s="63"/>
      <c r="O103" s="63"/>
      <c r="P103" s="63"/>
      <c r="Q103" s="63"/>
    </row>
    <row r="104" spans="1:26" outlineLevel="1" x14ac:dyDescent="0.4">
      <c r="A104" s="1"/>
      <c r="B104" s="1" t="s">
        <v>255</v>
      </c>
      <c r="C104" s="1"/>
      <c r="D104" s="63" t="str" cm="1">
        <f t="array" ref="D104:G104">IF(_xlfn.ANCHORARRAY(D103) = MTP_YearT, "T", "T" &amp; IF(_xlfn.ANCHORARRAY(D103) &gt; MTP_YearT, "+", "") &amp; (_xlfn.ANCHORARRAY(D103) - MTP_YearT))</f>
        <v>T-2</v>
      </c>
      <c r="E104" s="63" t="str">
        <v>T-1</v>
      </c>
      <c r="F104" s="63" t="str">
        <v>T</v>
      </c>
      <c r="G104" s="63" t="str">
        <v>T+1</v>
      </c>
      <c r="H104" s="63"/>
      <c r="I104" s="63"/>
      <c r="J104" s="63"/>
      <c r="K104" s="63"/>
      <c r="L104" s="63"/>
      <c r="M104" s="63"/>
      <c r="N104" s="63"/>
      <c r="O104" s="63"/>
      <c r="P104" s="63"/>
      <c r="Q104" s="63"/>
      <c r="R104" s="63"/>
      <c r="S104" s="63"/>
      <c r="T104" s="63"/>
      <c r="U104" s="63"/>
      <c r="V104" s="63"/>
      <c r="W104" s="63"/>
      <c r="X104" s="63"/>
      <c r="Y104" s="63"/>
      <c r="Z104" s="63"/>
    </row>
    <row r="105" spans="1:26" outlineLevel="1" x14ac:dyDescent="0.4">
      <c r="A105" s="1"/>
      <c r="B105" s="1" t="s">
        <v>30</v>
      </c>
      <c r="C105" s="1"/>
      <c r="D105" s="1"/>
      <c r="E105" s="1"/>
      <c r="F105" s="1"/>
      <c r="G105" s="1"/>
      <c r="H105" s="1"/>
      <c r="I105" s="1"/>
      <c r="J105" s="1"/>
      <c r="K105" s="1"/>
      <c r="L105" s="1"/>
      <c r="M105" s="1"/>
      <c r="N105" s="1"/>
      <c r="O105" s="1"/>
      <c r="P105" s="1"/>
      <c r="Q105" s="1"/>
      <c r="R105" s="63"/>
      <c r="S105" s="63"/>
      <c r="T105" s="63"/>
      <c r="U105" s="63"/>
      <c r="V105" s="63"/>
      <c r="W105" s="63"/>
      <c r="X105" s="63"/>
      <c r="Y105" s="63"/>
      <c r="Z105" s="63"/>
    </row>
    <row r="106" spans="1:26" outlineLevel="1" x14ac:dyDescent="0.4">
      <c r="A106" s="1">
        <v>1</v>
      </c>
      <c r="B106" t="s">
        <v>32</v>
      </c>
      <c r="C106" t="s">
        <v>72</v>
      </c>
      <c r="D106" s="4" t="str">
        <f t="shared" ref="D106:D115" si="0">IFERROR(D160/D$34*100,"")</f>
        <v/>
      </c>
      <c r="E106" s="4" t="str">
        <f t="shared" ref="E106:K106" si="1">IFERROR(E160/E$34*100,"")</f>
        <v/>
      </c>
      <c r="F106" s="4" t="str">
        <f t="shared" si="1"/>
        <v/>
      </c>
      <c r="G106" s="4" t="str">
        <f t="shared" si="1"/>
        <v/>
      </c>
      <c r="H106" s="4" t="str">
        <f t="shared" si="1"/>
        <v/>
      </c>
      <c r="I106" s="4" t="str">
        <f t="shared" si="1"/>
        <v/>
      </c>
      <c r="J106" s="4" t="str">
        <f t="shared" si="1"/>
        <v/>
      </c>
      <c r="K106" s="4" t="str">
        <f t="shared" si="1"/>
        <v/>
      </c>
      <c r="L106" s="4" t="str">
        <f t="shared" ref="L106:Q106" si="2">IFERROR(L160/L$34*100,"")</f>
        <v/>
      </c>
      <c r="M106" s="4" t="str">
        <f t="shared" si="2"/>
        <v/>
      </c>
      <c r="N106" s="4" t="str">
        <f t="shared" si="2"/>
        <v/>
      </c>
      <c r="O106" s="4" t="str">
        <f t="shared" si="2"/>
        <v/>
      </c>
      <c r="P106" s="4" t="str">
        <f t="shared" si="2"/>
        <v/>
      </c>
      <c r="Q106" s="4" t="str">
        <f t="shared" si="2"/>
        <v/>
      </c>
      <c r="R106" s="1"/>
      <c r="S106" s="1"/>
      <c r="T106" s="1"/>
      <c r="U106" s="1"/>
      <c r="V106" s="1"/>
      <c r="W106" s="1"/>
      <c r="X106" s="1"/>
      <c r="Y106" s="1"/>
      <c r="Z106" s="1"/>
    </row>
    <row r="107" spans="1:26" outlineLevel="1" x14ac:dyDescent="0.4">
      <c r="A107" s="1">
        <v>2</v>
      </c>
      <c r="B107" t="s">
        <v>33</v>
      </c>
      <c r="C107" t="s">
        <v>73</v>
      </c>
      <c r="D107" s="4" t="str">
        <f t="shared" si="0"/>
        <v/>
      </c>
      <c r="E107" s="4" t="str">
        <f t="shared" ref="E107:K107" si="3">IFERROR(E161/E$34*100,"")</f>
        <v/>
      </c>
      <c r="F107" s="4" t="str">
        <f t="shared" si="3"/>
        <v/>
      </c>
      <c r="G107" s="4" t="str">
        <f t="shared" si="3"/>
        <v/>
      </c>
      <c r="H107" s="4" t="str">
        <f t="shared" si="3"/>
        <v/>
      </c>
      <c r="I107" s="4" t="str">
        <f t="shared" si="3"/>
        <v/>
      </c>
      <c r="J107" s="4" t="str">
        <f t="shared" si="3"/>
        <v/>
      </c>
      <c r="K107" s="4" t="str">
        <f t="shared" si="3"/>
        <v/>
      </c>
      <c r="L107" s="4" t="str">
        <f t="shared" ref="L107:Q107" si="4">IFERROR(L161/L$34*100,"")</f>
        <v/>
      </c>
      <c r="M107" s="4" t="str">
        <f t="shared" si="4"/>
        <v/>
      </c>
      <c r="N107" s="4" t="str">
        <f t="shared" si="4"/>
        <v/>
      </c>
      <c r="O107" s="4" t="str">
        <f t="shared" si="4"/>
        <v/>
      </c>
      <c r="P107" s="4" t="str">
        <f t="shared" si="4"/>
        <v/>
      </c>
      <c r="Q107" s="4" t="str">
        <f t="shared" si="4"/>
        <v/>
      </c>
      <c r="R107" s="4" t="str">
        <f t="shared" ref="R107:Z107" si="5">IFERROR(R161/R$35*100,"")</f>
        <v/>
      </c>
      <c r="S107" s="4" t="str">
        <f t="shared" si="5"/>
        <v/>
      </c>
      <c r="T107" s="4" t="str">
        <f t="shared" si="5"/>
        <v/>
      </c>
      <c r="U107" s="4" t="str">
        <f t="shared" si="5"/>
        <v/>
      </c>
      <c r="V107" s="4" t="str">
        <f t="shared" si="5"/>
        <v/>
      </c>
      <c r="W107" s="4" t="str">
        <f t="shared" si="5"/>
        <v/>
      </c>
      <c r="X107" s="4" t="str">
        <f t="shared" si="5"/>
        <v/>
      </c>
      <c r="Y107" s="4" t="str">
        <f t="shared" si="5"/>
        <v/>
      </c>
      <c r="Z107" s="4" t="str">
        <f t="shared" si="5"/>
        <v/>
      </c>
    </row>
    <row r="108" spans="1:26" outlineLevel="1" x14ac:dyDescent="0.4">
      <c r="A108" s="1">
        <v>3</v>
      </c>
      <c r="B108" t="s">
        <v>34</v>
      </c>
      <c r="C108" t="s">
        <v>74</v>
      </c>
      <c r="D108" s="4" t="str">
        <f t="shared" si="0"/>
        <v/>
      </c>
      <c r="E108" s="4" t="str">
        <f t="shared" ref="E108:K108" si="6">IFERROR(E162/E$34*100,"")</f>
        <v/>
      </c>
      <c r="F108" s="4" t="str">
        <f t="shared" si="6"/>
        <v/>
      </c>
      <c r="G108" s="4" t="str">
        <f t="shared" si="6"/>
        <v/>
      </c>
      <c r="H108" s="4" t="str">
        <f t="shared" si="6"/>
        <v/>
      </c>
      <c r="I108" s="4" t="str">
        <f t="shared" si="6"/>
        <v/>
      </c>
      <c r="J108" s="4" t="str">
        <f t="shared" si="6"/>
        <v/>
      </c>
      <c r="K108" s="4" t="str">
        <f t="shared" si="6"/>
        <v/>
      </c>
      <c r="L108" s="4" t="str">
        <f t="shared" ref="L108:Q108" si="7">IFERROR(L162/L$34*100,"")</f>
        <v/>
      </c>
      <c r="M108" s="4" t="str">
        <f t="shared" si="7"/>
        <v/>
      </c>
      <c r="N108" s="4" t="str">
        <f t="shared" si="7"/>
        <v/>
      </c>
      <c r="O108" s="4" t="str">
        <f t="shared" si="7"/>
        <v/>
      </c>
      <c r="P108" s="4" t="str">
        <f t="shared" si="7"/>
        <v/>
      </c>
      <c r="Q108" s="4" t="str">
        <f t="shared" si="7"/>
        <v/>
      </c>
      <c r="R108" s="4" t="str">
        <f t="shared" ref="R108:Z108" si="8">IFERROR(R162/R$35*100,"")</f>
        <v/>
      </c>
      <c r="S108" s="4" t="str">
        <f t="shared" si="8"/>
        <v/>
      </c>
      <c r="T108" s="4" t="str">
        <f t="shared" si="8"/>
        <v/>
      </c>
      <c r="U108" s="4" t="str">
        <f t="shared" si="8"/>
        <v/>
      </c>
      <c r="V108" s="4" t="str">
        <f t="shared" si="8"/>
        <v/>
      </c>
      <c r="W108" s="4" t="str">
        <f t="shared" si="8"/>
        <v/>
      </c>
      <c r="X108" s="4" t="str">
        <f t="shared" si="8"/>
        <v/>
      </c>
      <c r="Y108" s="4" t="str">
        <f t="shared" si="8"/>
        <v/>
      </c>
      <c r="Z108" s="4" t="str">
        <f t="shared" si="8"/>
        <v/>
      </c>
    </row>
    <row r="109" spans="1:26" outlineLevel="1" x14ac:dyDescent="0.4">
      <c r="A109" s="1">
        <v>4</v>
      </c>
      <c r="B109" t="s">
        <v>36</v>
      </c>
      <c r="C109" t="s">
        <v>75</v>
      </c>
      <c r="D109" s="4" t="str">
        <f t="shared" si="0"/>
        <v/>
      </c>
      <c r="E109" s="4" t="str">
        <f t="shared" ref="E109:K109" si="9">IFERROR(E163/E$34*100,"")</f>
        <v/>
      </c>
      <c r="F109" s="4" t="str">
        <f t="shared" si="9"/>
        <v/>
      </c>
      <c r="G109" s="4" t="str">
        <f t="shared" si="9"/>
        <v/>
      </c>
      <c r="H109" s="4" t="str">
        <f t="shared" si="9"/>
        <v/>
      </c>
      <c r="I109" s="4" t="str">
        <f t="shared" si="9"/>
        <v/>
      </c>
      <c r="J109" s="4" t="str">
        <f t="shared" si="9"/>
        <v/>
      </c>
      <c r="K109" s="4" t="str">
        <f t="shared" si="9"/>
        <v/>
      </c>
      <c r="L109" s="4" t="str">
        <f t="shared" ref="L109:Q109" si="10">IFERROR(L163/L$34*100,"")</f>
        <v/>
      </c>
      <c r="M109" s="4" t="str">
        <f t="shared" si="10"/>
        <v/>
      </c>
      <c r="N109" s="4" t="str">
        <f t="shared" si="10"/>
        <v/>
      </c>
      <c r="O109" s="4" t="str">
        <f t="shared" si="10"/>
        <v/>
      </c>
      <c r="P109" s="4" t="str">
        <f t="shared" si="10"/>
        <v/>
      </c>
      <c r="Q109" s="4" t="str">
        <f t="shared" si="10"/>
        <v/>
      </c>
      <c r="R109" s="4" t="str">
        <f t="shared" ref="R109:Z109" si="11">IFERROR(R163/R$35*100,"")</f>
        <v/>
      </c>
      <c r="S109" s="4" t="str">
        <f t="shared" si="11"/>
        <v/>
      </c>
      <c r="T109" s="4" t="str">
        <f t="shared" si="11"/>
        <v/>
      </c>
      <c r="U109" s="4" t="str">
        <f t="shared" si="11"/>
        <v/>
      </c>
      <c r="V109" s="4" t="str">
        <f t="shared" si="11"/>
        <v/>
      </c>
      <c r="W109" s="4" t="str">
        <f t="shared" si="11"/>
        <v/>
      </c>
      <c r="X109" s="4" t="str">
        <f t="shared" si="11"/>
        <v/>
      </c>
      <c r="Y109" s="4" t="str">
        <f t="shared" si="11"/>
        <v/>
      </c>
      <c r="Z109" s="4" t="str">
        <f t="shared" si="11"/>
        <v/>
      </c>
    </row>
    <row r="110" spans="1:26" outlineLevel="1" x14ac:dyDescent="0.4">
      <c r="A110" s="1">
        <v>5</v>
      </c>
      <c r="B110" t="s">
        <v>37</v>
      </c>
      <c r="C110" t="s">
        <v>76</v>
      </c>
      <c r="D110" s="4" t="str">
        <f t="shared" si="0"/>
        <v/>
      </c>
      <c r="E110" s="4" t="str">
        <f t="shared" ref="E110:K110" si="12">IFERROR(E164/E$34*100,"")</f>
        <v/>
      </c>
      <c r="F110" s="4" t="str">
        <f t="shared" si="12"/>
        <v/>
      </c>
      <c r="G110" s="4" t="str">
        <f t="shared" si="12"/>
        <v/>
      </c>
      <c r="H110" s="4" t="str">
        <f t="shared" si="12"/>
        <v/>
      </c>
      <c r="I110" s="4" t="str">
        <f t="shared" si="12"/>
        <v/>
      </c>
      <c r="J110" s="4" t="str">
        <f t="shared" si="12"/>
        <v/>
      </c>
      <c r="K110" s="4" t="str">
        <f t="shared" si="12"/>
        <v/>
      </c>
      <c r="L110" s="4" t="str">
        <f t="shared" ref="L110:Q110" si="13">IFERROR(L164/L$34*100,"")</f>
        <v/>
      </c>
      <c r="M110" s="4" t="str">
        <f t="shared" si="13"/>
        <v/>
      </c>
      <c r="N110" s="4" t="str">
        <f t="shared" si="13"/>
        <v/>
      </c>
      <c r="O110" s="4" t="str">
        <f t="shared" si="13"/>
        <v/>
      </c>
      <c r="P110" s="4" t="str">
        <f t="shared" si="13"/>
        <v/>
      </c>
      <c r="Q110" s="4" t="str">
        <f t="shared" si="13"/>
        <v/>
      </c>
      <c r="R110" s="4" t="str">
        <f t="shared" ref="R110:Z110" si="14">IFERROR(R164/R$35*100,"")</f>
        <v/>
      </c>
      <c r="S110" s="4" t="str">
        <f t="shared" si="14"/>
        <v/>
      </c>
      <c r="T110" s="4" t="str">
        <f t="shared" si="14"/>
        <v/>
      </c>
      <c r="U110" s="4" t="str">
        <f t="shared" si="14"/>
        <v/>
      </c>
      <c r="V110" s="4" t="str">
        <f t="shared" si="14"/>
        <v/>
      </c>
      <c r="W110" s="4" t="str">
        <f t="shared" si="14"/>
        <v/>
      </c>
      <c r="X110" s="4" t="str">
        <f t="shared" si="14"/>
        <v/>
      </c>
      <c r="Y110" s="4" t="str">
        <f t="shared" si="14"/>
        <v/>
      </c>
      <c r="Z110" s="4" t="str">
        <f t="shared" si="14"/>
        <v/>
      </c>
    </row>
    <row r="111" spans="1:26" outlineLevel="1" x14ac:dyDescent="0.4">
      <c r="A111" s="1">
        <v>6</v>
      </c>
      <c r="B111" t="s">
        <v>38</v>
      </c>
      <c r="C111" t="s">
        <v>77</v>
      </c>
      <c r="D111" s="4" t="str">
        <f t="shared" si="0"/>
        <v/>
      </c>
      <c r="E111" s="4" t="str">
        <f t="shared" ref="E111:K111" si="15">IFERROR(E165/E$34*100,"")</f>
        <v/>
      </c>
      <c r="F111" s="4" t="str">
        <f t="shared" si="15"/>
        <v/>
      </c>
      <c r="G111" s="4" t="str">
        <f t="shared" si="15"/>
        <v/>
      </c>
      <c r="H111" s="4" t="str">
        <f t="shared" si="15"/>
        <v/>
      </c>
      <c r="I111" s="4" t="str">
        <f t="shared" si="15"/>
        <v/>
      </c>
      <c r="J111" s="4" t="str">
        <f t="shared" si="15"/>
        <v/>
      </c>
      <c r="K111" s="4" t="str">
        <f t="shared" si="15"/>
        <v/>
      </c>
      <c r="L111" s="4" t="str">
        <f t="shared" ref="L111:Q111" si="16">IFERROR(L165/L$34*100,"")</f>
        <v/>
      </c>
      <c r="M111" s="4" t="str">
        <f t="shared" si="16"/>
        <v/>
      </c>
      <c r="N111" s="4" t="str">
        <f t="shared" si="16"/>
        <v/>
      </c>
      <c r="O111" s="4" t="str">
        <f t="shared" si="16"/>
        <v/>
      </c>
      <c r="P111" s="4" t="str">
        <f t="shared" si="16"/>
        <v/>
      </c>
      <c r="Q111" s="4" t="str">
        <f t="shared" si="16"/>
        <v/>
      </c>
      <c r="R111" s="4" t="str">
        <f t="shared" ref="R111:Z111" si="17">IFERROR(R165/R$35*100,"")</f>
        <v/>
      </c>
      <c r="S111" s="4" t="str">
        <f t="shared" si="17"/>
        <v/>
      </c>
      <c r="T111" s="4" t="str">
        <f t="shared" si="17"/>
        <v/>
      </c>
      <c r="U111" s="4" t="str">
        <f t="shared" si="17"/>
        <v/>
      </c>
      <c r="V111" s="4" t="str">
        <f t="shared" si="17"/>
        <v/>
      </c>
      <c r="W111" s="4" t="str">
        <f t="shared" si="17"/>
        <v/>
      </c>
      <c r="X111" s="4" t="str">
        <f t="shared" si="17"/>
        <v/>
      </c>
      <c r="Y111" s="4" t="str">
        <f t="shared" si="17"/>
        <v/>
      </c>
      <c r="Z111" s="4" t="str">
        <f t="shared" si="17"/>
        <v/>
      </c>
    </row>
    <row r="112" spans="1:26" outlineLevel="1" x14ac:dyDescent="0.4">
      <c r="A112" s="1">
        <v>7</v>
      </c>
      <c r="B112" t="s">
        <v>39</v>
      </c>
      <c r="C112" t="s">
        <v>78</v>
      </c>
      <c r="D112" s="4" t="str">
        <f t="shared" si="0"/>
        <v/>
      </c>
      <c r="E112" s="4" t="str">
        <f t="shared" ref="E112:K112" si="18">IFERROR(E166/E$34*100,"")</f>
        <v/>
      </c>
      <c r="F112" s="4" t="str">
        <f t="shared" si="18"/>
        <v/>
      </c>
      <c r="G112" s="4" t="str">
        <f t="shared" si="18"/>
        <v/>
      </c>
      <c r="H112" s="4" t="str">
        <f t="shared" si="18"/>
        <v/>
      </c>
      <c r="I112" s="4" t="str">
        <f t="shared" si="18"/>
        <v/>
      </c>
      <c r="J112" s="4" t="str">
        <f t="shared" si="18"/>
        <v/>
      </c>
      <c r="K112" s="4" t="str">
        <f t="shared" si="18"/>
        <v/>
      </c>
      <c r="L112" s="4" t="str">
        <f t="shared" ref="L112:Q112" si="19">IFERROR(L166/L$34*100,"")</f>
        <v/>
      </c>
      <c r="M112" s="4" t="str">
        <f t="shared" si="19"/>
        <v/>
      </c>
      <c r="N112" s="4" t="str">
        <f t="shared" si="19"/>
        <v/>
      </c>
      <c r="O112" s="4" t="str">
        <f t="shared" si="19"/>
        <v/>
      </c>
      <c r="P112" s="4" t="str">
        <f t="shared" si="19"/>
        <v/>
      </c>
      <c r="Q112" s="4" t="str">
        <f t="shared" si="19"/>
        <v/>
      </c>
      <c r="R112" s="4" t="str">
        <f t="shared" ref="R112:Z112" si="20">IFERROR(R166/R$35*100,"")</f>
        <v/>
      </c>
      <c r="S112" s="4" t="str">
        <f t="shared" si="20"/>
        <v/>
      </c>
      <c r="T112" s="4" t="str">
        <f t="shared" si="20"/>
        <v/>
      </c>
      <c r="U112" s="4" t="str">
        <f t="shared" si="20"/>
        <v/>
      </c>
      <c r="V112" s="4" t="str">
        <f t="shared" si="20"/>
        <v/>
      </c>
      <c r="W112" s="4" t="str">
        <f t="shared" si="20"/>
        <v/>
      </c>
      <c r="X112" s="4" t="str">
        <f t="shared" si="20"/>
        <v/>
      </c>
      <c r="Y112" s="4" t="str">
        <f t="shared" si="20"/>
        <v/>
      </c>
      <c r="Z112" s="4" t="str">
        <f t="shared" si="20"/>
        <v/>
      </c>
    </row>
    <row r="113" spans="1:26" outlineLevel="1" x14ac:dyDescent="0.4">
      <c r="A113" s="1">
        <v>8</v>
      </c>
      <c r="B113" s="2" t="s">
        <v>40</v>
      </c>
      <c r="C113" t="s">
        <v>79</v>
      </c>
      <c r="D113" s="4" t="str">
        <f t="shared" si="0"/>
        <v/>
      </c>
      <c r="E113" s="4" t="str">
        <f t="shared" ref="E113:K113" si="21">IFERROR(E167/E$34*100,"")</f>
        <v/>
      </c>
      <c r="F113" s="4" t="str">
        <f t="shared" si="21"/>
        <v/>
      </c>
      <c r="G113" s="4" t="str">
        <f t="shared" si="21"/>
        <v/>
      </c>
      <c r="H113" s="4" t="str">
        <f t="shared" si="21"/>
        <v/>
      </c>
      <c r="I113" s="4" t="str">
        <f t="shared" si="21"/>
        <v/>
      </c>
      <c r="J113" s="4" t="str">
        <f t="shared" si="21"/>
        <v/>
      </c>
      <c r="K113" s="4" t="str">
        <f t="shared" si="21"/>
        <v/>
      </c>
      <c r="L113" s="4" t="str">
        <f t="shared" ref="L113:Q113" si="22">IFERROR(L167/L$34*100,"")</f>
        <v/>
      </c>
      <c r="M113" s="4" t="str">
        <f t="shared" si="22"/>
        <v/>
      </c>
      <c r="N113" s="4" t="str">
        <f t="shared" si="22"/>
        <v/>
      </c>
      <c r="O113" s="4" t="str">
        <f t="shared" si="22"/>
        <v/>
      </c>
      <c r="P113" s="4" t="str">
        <f t="shared" si="22"/>
        <v/>
      </c>
      <c r="Q113" s="4" t="str">
        <f t="shared" si="22"/>
        <v/>
      </c>
      <c r="R113" s="4" t="str">
        <f t="shared" ref="R113:Z113" si="23">IFERROR(R167/R$35*100,"")</f>
        <v/>
      </c>
      <c r="S113" s="4" t="str">
        <f t="shared" si="23"/>
        <v/>
      </c>
      <c r="T113" s="4" t="str">
        <f t="shared" si="23"/>
        <v/>
      </c>
      <c r="U113" s="4" t="str">
        <f t="shared" si="23"/>
        <v/>
      </c>
      <c r="V113" s="4" t="str">
        <f t="shared" si="23"/>
        <v/>
      </c>
      <c r="W113" s="4" t="str">
        <f t="shared" si="23"/>
        <v/>
      </c>
      <c r="X113" s="4" t="str">
        <f t="shared" si="23"/>
        <v/>
      </c>
      <c r="Y113" s="4" t="str">
        <f t="shared" si="23"/>
        <v/>
      </c>
      <c r="Z113" s="4" t="str">
        <f t="shared" si="23"/>
        <v/>
      </c>
    </row>
    <row r="114" spans="1:26" outlineLevel="1" x14ac:dyDescent="0.4">
      <c r="A114" s="1">
        <v>9</v>
      </c>
      <c r="B114" t="s">
        <v>41</v>
      </c>
      <c r="D114" s="4" t="str">
        <f t="shared" si="0"/>
        <v/>
      </c>
      <c r="E114" s="4" t="str">
        <f t="shared" ref="E114:K114" si="24">IFERROR(E168/E$34*100,"")</f>
        <v/>
      </c>
      <c r="F114" s="4" t="str">
        <f t="shared" si="24"/>
        <v/>
      </c>
      <c r="G114" s="4" t="str">
        <f t="shared" si="24"/>
        <v/>
      </c>
      <c r="H114" s="4" t="str">
        <f t="shared" si="24"/>
        <v/>
      </c>
      <c r="I114" s="4" t="str">
        <f t="shared" si="24"/>
        <v/>
      </c>
      <c r="J114" s="4" t="str">
        <f t="shared" si="24"/>
        <v/>
      </c>
      <c r="K114" s="4" t="str">
        <f t="shared" si="24"/>
        <v/>
      </c>
      <c r="L114" s="4" t="str">
        <f t="shared" ref="L114:Q114" si="25">IFERROR(L168/L$34*100,"")</f>
        <v/>
      </c>
      <c r="M114" s="4" t="str">
        <f t="shared" si="25"/>
        <v/>
      </c>
      <c r="N114" s="4" t="str">
        <f t="shared" si="25"/>
        <v/>
      </c>
      <c r="O114" s="4" t="str">
        <f t="shared" si="25"/>
        <v/>
      </c>
      <c r="P114" s="4" t="str">
        <f t="shared" si="25"/>
        <v/>
      </c>
      <c r="Q114" s="4" t="str">
        <f t="shared" si="25"/>
        <v/>
      </c>
      <c r="R114" s="4" t="str">
        <f t="shared" ref="R114:Z114" si="26">IFERROR(R168/R$35*100,"")</f>
        <v/>
      </c>
      <c r="S114" s="4" t="str">
        <f t="shared" si="26"/>
        <v/>
      </c>
      <c r="T114" s="4" t="str">
        <f t="shared" si="26"/>
        <v/>
      </c>
      <c r="U114" s="4" t="str">
        <f t="shared" si="26"/>
        <v/>
      </c>
      <c r="V114" s="4" t="str">
        <f t="shared" si="26"/>
        <v/>
      </c>
      <c r="W114" s="4" t="str">
        <f t="shared" si="26"/>
        <v/>
      </c>
      <c r="X114" s="4" t="str">
        <f t="shared" si="26"/>
        <v/>
      </c>
      <c r="Y114" s="4" t="str">
        <f t="shared" si="26"/>
        <v/>
      </c>
      <c r="Z114" s="4" t="str">
        <f t="shared" si="26"/>
        <v/>
      </c>
    </row>
    <row r="115" spans="1:26" outlineLevel="1" x14ac:dyDescent="0.4">
      <c r="A115" s="1">
        <v>10</v>
      </c>
      <c r="B115" t="s">
        <v>42</v>
      </c>
      <c r="D115" s="4" t="str">
        <f t="shared" si="0"/>
        <v/>
      </c>
      <c r="E115" s="4" t="str">
        <f t="shared" ref="E115:K115" si="27">IFERROR(E169/E$34*100,"")</f>
        <v/>
      </c>
      <c r="F115" s="4" t="str">
        <f t="shared" si="27"/>
        <v/>
      </c>
      <c r="G115" s="4" t="str">
        <f t="shared" si="27"/>
        <v/>
      </c>
      <c r="H115" s="4" t="str">
        <f t="shared" si="27"/>
        <v/>
      </c>
      <c r="I115" s="4" t="str">
        <f t="shared" si="27"/>
        <v/>
      </c>
      <c r="J115" s="4" t="str">
        <f t="shared" si="27"/>
        <v/>
      </c>
      <c r="K115" s="4" t="str">
        <f t="shared" si="27"/>
        <v/>
      </c>
      <c r="L115" s="4" t="str">
        <f t="shared" ref="L115:Q115" si="28">IFERROR(L169/L$34*100,"")</f>
        <v/>
      </c>
      <c r="M115" s="4" t="str">
        <f t="shared" si="28"/>
        <v/>
      </c>
      <c r="N115" s="4" t="str">
        <f t="shared" si="28"/>
        <v/>
      </c>
      <c r="O115" s="4" t="str">
        <f t="shared" si="28"/>
        <v/>
      </c>
      <c r="P115" s="4" t="str">
        <f t="shared" si="28"/>
        <v/>
      </c>
      <c r="Q115" s="4" t="str">
        <f t="shared" si="28"/>
        <v/>
      </c>
      <c r="R115" s="4" t="str">
        <f t="shared" ref="R115:Z115" si="29">IFERROR(R169/R$35*100,"")</f>
        <v/>
      </c>
      <c r="S115" s="4" t="str">
        <f t="shared" si="29"/>
        <v/>
      </c>
      <c r="T115" s="4" t="str">
        <f t="shared" si="29"/>
        <v/>
      </c>
      <c r="U115" s="4" t="str">
        <f t="shared" si="29"/>
        <v/>
      </c>
      <c r="V115" s="4" t="str">
        <f t="shared" si="29"/>
        <v/>
      </c>
      <c r="W115" s="4" t="str">
        <f t="shared" si="29"/>
        <v/>
      </c>
      <c r="X115" s="4" t="str">
        <f t="shared" si="29"/>
        <v/>
      </c>
      <c r="Y115" s="4" t="str">
        <f t="shared" si="29"/>
        <v/>
      </c>
      <c r="Z115" s="4" t="str">
        <f t="shared" si="29"/>
        <v/>
      </c>
    </row>
    <row r="116" spans="1:26" outlineLevel="1" x14ac:dyDescent="0.4">
      <c r="A116" s="1">
        <v>11</v>
      </c>
      <c r="B116" t="s">
        <v>43</v>
      </c>
      <c r="D116" s="4" t="str">
        <f>IFERROR(D171/D$34*100,"")</f>
        <v/>
      </c>
      <c r="E116" s="4" t="str">
        <f t="shared" ref="E116:K116" si="30">IFERROR(E171/E$34*100,"")</f>
        <v/>
      </c>
      <c r="F116" s="4" t="str">
        <f t="shared" si="30"/>
        <v/>
      </c>
      <c r="G116" s="4" t="str">
        <f t="shared" si="30"/>
        <v/>
      </c>
      <c r="H116" s="4" t="str">
        <f t="shared" si="30"/>
        <v/>
      </c>
      <c r="I116" s="4" t="str">
        <f t="shared" si="30"/>
        <v/>
      </c>
      <c r="J116" s="4" t="str">
        <f t="shared" si="30"/>
        <v/>
      </c>
      <c r="K116" s="4" t="str">
        <f t="shared" si="30"/>
        <v/>
      </c>
      <c r="L116" s="4" t="str">
        <f t="shared" ref="L116:Q116" si="31">IFERROR(L171/L$34*100,"")</f>
        <v/>
      </c>
      <c r="M116" s="4" t="str">
        <f t="shared" si="31"/>
        <v/>
      </c>
      <c r="N116" s="4" t="str">
        <f t="shared" si="31"/>
        <v/>
      </c>
      <c r="O116" s="4" t="str">
        <f t="shared" si="31"/>
        <v/>
      </c>
      <c r="P116" s="4" t="str">
        <f t="shared" si="31"/>
        <v/>
      </c>
      <c r="Q116" s="4" t="str">
        <f t="shared" si="31"/>
        <v/>
      </c>
      <c r="R116" s="4" t="str">
        <f t="shared" ref="R116:Z116" si="32">IFERROR(R170/R$35*100,"")</f>
        <v/>
      </c>
      <c r="S116" s="4" t="str">
        <f t="shared" si="32"/>
        <v/>
      </c>
      <c r="T116" s="4" t="str">
        <f t="shared" si="32"/>
        <v/>
      </c>
      <c r="U116" s="4" t="str">
        <f t="shared" si="32"/>
        <v/>
      </c>
      <c r="V116" s="4" t="str">
        <f t="shared" si="32"/>
        <v/>
      </c>
      <c r="W116" s="4" t="str">
        <f t="shared" si="32"/>
        <v/>
      </c>
      <c r="X116" s="4" t="str">
        <f t="shared" si="32"/>
        <v/>
      </c>
      <c r="Y116" s="4" t="str">
        <f t="shared" si="32"/>
        <v/>
      </c>
      <c r="Z116" s="4" t="str">
        <f t="shared" si="32"/>
        <v/>
      </c>
    </row>
    <row r="117" spans="1:26" outlineLevel="1" x14ac:dyDescent="0.4">
      <c r="A117" s="1"/>
      <c r="B117" s="1" t="s">
        <v>29</v>
      </c>
      <c r="C117" s="1"/>
      <c r="D117" s="1"/>
      <c r="E117" s="1"/>
      <c r="F117" s="1"/>
      <c r="G117" s="1"/>
      <c r="H117" s="1"/>
      <c r="I117" s="1"/>
      <c r="J117" s="1"/>
      <c r="K117" s="1"/>
      <c r="L117" s="1"/>
      <c r="M117" s="1"/>
      <c r="N117" s="1"/>
      <c r="O117" s="1"/>
      <c r="P117" s="1"/>
      <c r="Q117" s="1"/>
      <c r="R117" s="4" t="str">
        <f t="shared" ref="R117:Z117" si="33">IFERROR(R172/R$35*100,"")</f>
        <v/>
      </c>
      <c r="S117" s="4" t="str">
        <f t="shared" si="33"/>
        <v/>
      </c>
      <c r="T117" s="4" t="str">
        <f t="shared" si="33"/>
        <v/>
      </c>
      <c r="U117" s="4" t="str">
        <f t="shared" si="33"/>
        <v/>
      </c>
      <c r="V117" s="4" t="str">
        <f t="shared" si="33"/>
        <v/>
      </c>
      <c r="W117" s="4" t="str">
        <f t="shared" si="33"/>
        <v/>
      </c>
      <c r="X117" s="4" t="str">
        <f t="shared" si="33"/>
        <v/>
      </c>
      <c r="Y117" s="4" t="str">
        <f t="shared" si="33"/>
        <v/>
      </c>
      <c r="Z117" s="4" t="str">
        <f t="shared" si="33"/>
        <v/>
      </c>
    </row>
    <row r="118" spans="1:26" outlineLevel="1" x14ac:dyDescent="0.4">
      <c r="A118" s="1">
        <v>12</v>
      </c>
      <c r="B118" t="s">
        <v>44</v>
      </c>
      <c r="C118" t="s">
        <v>5</v>
      </c>
      <c r="D118" s="4" t="str">
        <f t="shared" ref="D118:D129" si="34">IFERROR(D173/D$34*100,"")</f>
        <v/>
      </c>
      <c r="E118" s="4" t="str">
        <f t="shared" ref="E118:K118" si="35">IFERROR(E173/E$34*100,"")</f>
        <v/>
      </c>
      <c r="F118" s="4" t="str">
        <f t="shared" si="35"/>
        <v/>
      </c>
      <c r="G118" s="4" t="str">
        <f t="shared" si="35"/>
        <v/>
      </c>
      <c r="H118" s="4" t="str">
        <f t="shared" si="35"/>
        <v/>
      </c>
      <c r="I118" s="4" t="str">
        <f t="shared" si="35"/>
        <v/>
      </c>
      <c r="J118" s="4" t="str">
        <f t="shared" si="35"/>
        <v/>
      </c>
      <c r="K118" s="4" t="str">
        <f t="shared" si="35"/>
        <v/>
      </c>
      <c r="L118" s="4" t="str">
        <f t="shared" ref="L118:Q118" si="36">IFERROR(L173/L$34*100,"")</f>
        <v/>
      </c>
      <c r="M118" s="4" t="str">
        <f t="shared" si="36"/>
        <v/>
      </c>
      <c r="N118" s="4" t="str">
        <f t="shared" si="36"/>
        <v/>
      </c>
      <c r="O118" s="4" t="str">
        <f t="shared" si="36"/>
        <v/>
      </c>
      <c r="P118" s="4" t="str">
        <f t="shared" si="36"/>
        <v/>
      </c>
      <c r="Q118" s="4" t="str">
        <f t="shared" si="36"/>
        <v/>
      </c>
      <c r="R118" s="1"/>
      <c r="S118" s="1"/>
      <c r="T118" s="1"/>
      <c r="U118" s="1"/>
      <c r="V118" s="1"/>
      <c r="W118" s="1"/>
      <c r="X118" s="1"/>
      <c r="Y118" s="1"/>
      <c r="Z118" s="1"/>
    </row>
    <row r="119" spans="1:26" outlineLevel="1" x14ac:dyDescent="0.4">
      <c r="A119" s="1">
        <v>13</v>
      </c>
      <c r="B119" t="s">
        <v>45</v>
      </c>
      <c r="C119" t="s">
        <v>80</v>
      </c>
      <c r="D119" s="4" t="str">
        <f t="shared" si="34"/>
        <v/>
      </c>
      <c r="E119" s="4" t="str">
        <f t="shared" ref="E119:K119" si="37">IFERROR(E174/E$34*100,"")</f>
        <v/>
      </c>
      <c r="F119" s="4" t="str">
        <f t="shared" si="37"/>
        <v/>
      </c>
      <c r="G119" s="4" t="str">
        <f t="shared" si="37"/>
        <v/>
      </c>
      <c r="H119" s="4" t="str">
        <f t="shared" si="37"/>
        <v/>
      </c>
      <c r="I119" s="4" t="str">
        <f t="shared" si="37"/>
        <v/>
      </c>
      <c r="J119" s="4" t="str">
        <f t="shared" si="37"/>
        <v/>
      </c>
      <c r="K119" s="4" t="str">
        <f t="shared" si="37"/>
        <v/>
      </c>
      <c r="L119" s="4" t="str">
        <f t="shared" ref="L119:Q119" si="38">IFERROR(L174/L$34*100,"")</f>
        <v/>
      </c>
      <c r="M119" s="4" t="str">
        <f t="shared" si="38"/>
        <v/>
      </c>
      <c r="N119" s="4" t="str">
        <f t="shared" si="38"/>
        <v/>
      </c>
      <c r="O119" s="4" t="str">
        <f t="shared" si="38"/>
        <v/>
      </c>
      <c r="P119" s="4" t="str">
        <f t="shared" si="38"/>
        <v/>
      </c>
      <c r="Q119" s="4" t="str">
        <f t="shared" si="38"/>
        <v/>
      </c>
      <c r="R119" s="4" t="str">
        <f t="shared" ref="R119:Z119" si="39">IFERROR(R174/R$35*100,"")</f>
        <v/>
      </c>
      <c r="S119" s="4" t="str">
        <f t="shared" si="39"/>
        <v/>
      </c>
      <c r="T119" s="4" t="str">
        <f t="shared" si="39"/>
        <v/>
      </c>
      <c r="U119" s="4" t="str">
        <f t="shared" si="39"/>
        <v/>
      </c>
      <c r="V119" s="4" t="str">
        <f t="shared" si="39"/>
        <v/>
      </c>
      <c r="W119" s="4" t="str">
        <f t="shared" si="39"/>
        <v/>
      </c>
      <c r="X119" s="4" t="str">
        <f t="shared" si="39"/>
        <v/>
      </c>
      <c r="Y119" s="4" t="str">
        <f t="shared" si="39"/>
        <v/>
      </c>
      <c r="Z119" s="4" t="str">
        <f t="shared" si="39"/>
        <v/>
      </c>
    </row>
    <row r="120" spans="1:26" outlineLevel="1" x14ac:dyDescent="0.4">
      <c r="A120" s="1">
        <v>14</v>
      </c>
      <c r="B120" t="s">
        <v>46</v>
      </c>
      <c r="C120" t="s">
        <v>28</v>
      </c>
      <c r="D120" s="4" t="str">
        <f t="shared" si="34"/>
        <v/>
      </c>
      <c r="E120" s="4" t="str">
        <f t="shared" ref="E120:K120" si="40">IFERROR(E175/E$34*100,"")</f>
        <v/>
      </c>
      <c r="F120" s="4" t="str">
        <f t="shared" si="40"/>
        <v/>
      </c>
      <c r="G120" s="4" t="str">
        <f t="shared" si="40"/>
        <v/>
      </c>
      <c r="H120" s="4" t="str">
        <f t="shared" si="40"/>
        <v/>
      </c>
      <c r="I120" s="4" t="str">
        <f t="shared" si="40"/>
        <v/>
      </c>
      <c r="J120" s="4" t="str">
        <f t="shared" si="40"/>
        <v/>
      </c>
      <c r="K120" s="4" t="str">
        <f t="shared" si="40"/>
        <v/>
      </c>
      <c r="L120" s="4" t="str">
        <f t="shared" ref="L120:Q120" si="41">IFERROR(L175/L$34*100,"")</f>
        <v/>
      </c>
      <c r="M120" s="4" t="str">
        <f t="shared" si="41"/>
        <v/>
      </c>
      <c r="N120" s="4" t="str">
        <f t="shared" si="41"/>
        <v/>
      </c>
      <c r="O120" s="4" t="str">
        <f t="shared" si="41"/>
        <v/>
      </c>
      <c r="P120" s="4" t="str">
        <f t="shared" si="41"/>
        <v/>
      </c>
      <c r="Q120" s="4" t="str">
        <f t="shared" si="41"/>
        <v/>
      </c>
      <c r="R120" s="4" t="str">
        <f t="shared" ref="R120:Z120" si="42">IFERROR(R175/R$35*100,"")</f>
        <v/>
      </c>
      <c r="S120" s="4" t="str">
        <f t="shared" si="42"/>
        <v/>
      </c>
      <c r="T120" s="4" t="str">
        <f t="shared" si="42"/>
        <v/>
      </c>
      <c r="U120" s="4" t="str">
        <f t="shared" si="42"/>
        <v/>
      </c>
      <c r="V120" s="4" t="str">
        <f t="shared" si="42"/>
        <v/>
      </c>
      <c r="W120" s="4" t="str">
        <f t="shared" si="42"/>
        <v/>
      </c>
      <c r="X120" s="4" t="str">
        <f t="shared" si="42"/>
        <v/>
      </c>
      <c r="Y120" s="4" t="str">
        <f t="shared" si="42"/>
        <v/>
      </c>
      <c r="Z120" s="4" t="str">
        <f t="shared" si="42"/>
        <v/>
      </c>
    </row>
    <row r="121" spans="1:26" outlineLevel="1" x14ac:dyDescent="0.4">
      <c r="A121" s="1">
        <v>15</v>
      </c>
      <c r="B121" t="s">
        <v>47</v>
      </c>
      <c r="C121" t="s">
        <v>81</v>
      </c>
      <c r="D121" s="4" t="str">
        <f t="shared" si="34"/>
        <v/>
      </c>
      <c r="E121" s="4" t="str">
        <f t="shared" ref="E121:K121" si="43">IFERROR(E176/E$34*100,"")</f>
        <v/>
      </c>
      <c r="F121" s="4" t="str">
        <f t="shared" si="43"/>
        <v/>
      </c>
      <c r="G121" s="4" t="str">
        <f t="shared" si="43"/>
        <v/>
      </c>
      <c r="H121" s="4" t="str">
        <f t="shared" si="43"/>
        <v/>
      </c>
      <c r="I121" s="4" t="str">
        <f t="shared" si="43"/>
        <v/>
      </c>
      <c r="J121" s="4" t="str">
        <f t="shared" si="43"/>
        <v/>
      </c>
      <c r="K121" s="4" t="str">
        <f t="shared" si="43"/>
        <v/>
      </c>
      <c r="L121" s="4" t="str">
        <f t="shared" ref="L121:Q121" si="44">IFERROR(L176/L$34*100,"")</f>
        <v/>
      </c>
      <c r="M121" s="4" t="str">
        <f t="shared" si="44"/>
        <v/>
      </c>
      <c r="N121" s="4" t="str">
        <f t="shared" si="44"/>
        <v/>
      </c>
      <c r="O121" s="4" t="str">
        <f t="shared" si="44"/>
        <v/>
      </c>
      <c r="P121" s="4" t="str">
        <f t="shared" si="44"/>
        <v/>
      </c>
      <c r="Q121" s="4" t="str">
        <f t="shared" si="44"/>
        <v/>
      </c>
      <c r="R121" s="4" t="str">
        <f t="shared" ref="R121:Z121" si="45">IFERROR(R176/R$35*100,"")</f>
        <v/>
      </c>
      <c r="S121" s="4" t="str">
        <f t="shared" si="45"/>
        <v/>
      </c>
      <c r="T121" s="4" t="str">
        <f t="shared" si="45"/>
        <v/>
      </c>
      <c r="U121" s="4" t="str">
        <f t="shared" si="45"/>
        <v/>
      </c>
      <c r="V121" s="4" t="str">
        <f t="shared" si="45"/>
        <v/>
      </c>
      <c r="W121" s="4" t="str">
        <f t="shared" si="45"/>
        <v/>
      </c>
      <c r="X121" s="4" t="str">
        <f t="shared" si="45"/>
        <v/>
      </c>
      <c r="Y121" s="4" t="str">
        <f t="shared" si="45"/>
        <v/>
      </c>
      <c r="Z121" s="4" t="str">
        <f t="shared" si="45"/>
        <v/>
      </c>
    </row>
    <row r="122" spans="1:26" outlineLevel="1" x14ac:dyDescent="0.4">
      <c r="A122" s="1">
        <v>16</v>
      </c>
      <c r="B122" t="s">
        <v>48</v>
      </c>
      <c r="C122" t="s">
        <v>82</v>
      </c>
      <c r="D122" s="4" t="str">
        <f t="shared" si="34"/>
        <v/>
      </c>
      <c r="E122" s="4" t="str">
        <f t="shared" ref="E122:K122" si="46">IFERROR(E177/E$34*100,"")</f>
        <v/>
      </c>
      <c r="F122" s="4" t="str">
        <f t="shared" si="46"/>
        <v/>
      </c>
      <c r="G122" s="4" t="str">
        <f t="shared" si="46"/>
        <v/>
      </c>
      <c r="H122" s="4" t="str">
        <f t="shared" si="46"/>
        <v/>
      </c>
      <c r="I122" s="4" t="str">
        <f t="shared" si="46"/>
        <v/>
      </c>
      <c r="J122" s="4" t="str">
        <f t="shared" si="46"/>
        <v/>
      </c>
      <c r="K122" s="4" t="str">
        <f t="shared" si="46"/>
        <v/>
      </c>
      <c r="L122" s="4" t="str">
        <f t="shared" ref="L122:Q122" si="47">IFERROR(L177/L$34*100,"")</f>
        <v/>
      </c>
      <c r="M122" s="4" t="str">
        <f t="shared" si="47"/>
        <v/>
      </c>
      <c r="N122" s="4" t="str">
        <f t="shared" si="47"/>
        <v/>
      </c>
      <c r="O122" s="4" t="str">
        <f t="shared" si="47"/>
        <v/>
      </c>
      <c r="P122" s="4" t="str">
        <f t="shared" si="47"/>
        <v/>
      </c>
      <c r="Q122" s="4" t="str">
        <f t="shared" si="47"/>
        <v/>
      </c>
      <c r="R122" s="4" t="str">
        <f t="shared" ref="R122:Z122" si="48">IFERROR(R177/R$35*100,"")</f>
        <v/>
      </c>
      <c r="S122" s="4" t="str">
        <f t="shared" si="48"/>
        <v/>
      </c>
      <c r="T122" s="4" t="str">
        <f t="shared" si="48"/>
        <v/>
      </c>
      <c r="U122" s="4" t="str">
        <f t="shared" si="48"/>
        <v/>
      </c>
      <c r="V122" s="4" t="str">
        <f t="shared" si="48"/>
        <v/>
      </c>
      <c r="W122" s="4" t="str">
        <f t="shared" si="48"/>
        <v/>
      </c>
      <c r="X122" s="4" t="str">
        <f t="shared" si="48"/>
        <v/>
      </c>
      <c r="Y122" s="4" t="str">
        <f t="shared" si="48"/>
        <v/>
      </c>
      <c r="Z122" s="4" t="str">
        <f t="shared" si="48"/>
        <v/>
      </c>
    </row>
    <row r="123" spans="1:26" outlineLevel="1" x14ac:dyDescent="0.4">
      <c r="A123" s="1">
        <v>17</v>
      </c>
      <c r="B123" t="s">
        <v>49</v>
      </c>
      <c r="C123" t="s">
        <v>83</v>
      </c>
      <c r="D123" s="4" t="str">
        <f t="shared" si="34"/>
        <v/>
      </c>
      <c r="E123" s="4" t="str">
        <f t="shared" ref="E123:K123" si="49">IFERROR(E178/E$34*100,"")</f>
        <v/>
      </c>
      <c r="F123" s="4" t="str">
        <f t="shared" si="49"/>
        <v/>
      </c>
      <c r="G123" s="4" t="str">
        <f t="shared" si="49"/>
        <v/>
      </c>
      <c r="H123" s="4" t="str">
        <f t="shared" si="49"/>
        <v/>
      </c>
      <c r="I123" s="4" t="str">
        <f t="shared" si="49"/>
        <v/>
      </c>
      <c r="J123" s="4" t="str">
        <f t="shared" si="49"/>
        <v/>
      </c>
      <c r="K123" s="4" t="str">
        <f t="shared" si="49"/>
        <v/>
      </c>
      <c r="L123" s="4" t="str">
        <f t="shared" ref="L123:Q123" si="50">IFERROR(L178/L$34*100,"")</f>
        <v/>
      </c>
      <c r="M123" s="4" t="str">
        <f t="shared" si="50"/>
        <v/>
      </c>
      <c r="N123" s="4" t="str">
        <f t="shared" si="50"/>
        <v/>
      </c>
      <c r="O123" s="4" t="str">
        <f t="shared" si="50"/>
        <v/>
      </c>
      <c r="P123" s="4" t="str">
        <f t="shared" si="50"/>
        <v/>
      </c>
      <c r="Q123" s="4" t="str">
        <f t="shared" si="50"/>
        <v/>
      </c>
      <c r="R123" s="4" t="str">
        <f t="shared" ref="R123:Z123" si="51">IFERROR(R178/R$35*100,"")</f>
        <v/>
      </c>
      <c r="S123" s="4" t="str">
        <f t="shared" si="51"/>
        <v/>
      </c>
      <c r="T123" s="4" t="str">
        <f t="shared" si="51"/>
        <v/>
      </c>
      <c r="U123" s="4" t="str">
        <f t="shared" si="51"/>
        <v/>
      </c>
      <c r="V123" s="4" t="str">
        <f t="shared" si="51"/>
        <v/>
      </c>
      <c r="W123" s="4" t="str">
        <f t="shared" si="51"/>
        <v/>
      </c>
      <c r="X123" s="4" t="str">
        <f t="shared" si="51"/>
        <v/>
      </c>
      <c r="Y123" s="4" t="str">
        <f t="shared" si="51"/>
        <v/>
      </c>
      <c r="Z123" s="4" t="str">
        <f t="shared" si="51"/>
        <v/>
      </c>
    </row>
    <row r="124" spans="1:26" outlineLevel="1" x14ac:dyDescent="0.4">
      <c r="A124" s="1">
        <v>18</v>
      </c>
      <c r="B124" t="s">
        <v>50</v>
      </c>
      <c r="C124" t="s">
        <v>84</v>
      </c>
      <c r="D124" s="4" t="str">
        <f t="shared" si="34"/>
        <v/>
      </c>
      <c r="E124" s="4" t="str">
        <f t="shared" ref="E124:K124" si="52">IFERROR(E179/E$34*100,"")</f>
        <v/>
      </c>
      <c r="F124" s="4" t="str">
        <f t="shared" si="52"/>
        <v/>
      </c>
      <c r="G124" s="4" t="str">
        <f t="shared" si="52"/>
        <v/>
      </c>
      <c r="H124" s="4" t="str">
        <f t="shared" si="52"/>
        <v/>
      </c>
      <c r="I124" s="4" t="str">
        <f t="shared" si="52"/>
        <v/>
      </c>
      <c r="J124" s="4" t="str">
        <f t="shared" si="52"/>
        <v/>
      </c>
      <c r="K124" s="4" t="str">
        <f t="shared" si="52"/>
        <v/>
      </c>
      <c r="L124" s="4" t="str">
        <f t="shared" ref="L124:Q124" si="53">IFERROR(L179/L$34*100,"")</f>
        <v/>
      </c>
      <c r="M124" s="4" t="str">
        <f t="shared" si="53"/>
        <v/>
      </c>
      <c r="N124" s="4" t="str">
        <f t="shared" si="53"/>
        <v/>
      </c>
      <c r="O124" s="4" t="str">
        <f t="shared" si="53"/>
        <v/>
      </c>
      <c r="P124" s="4" t="str">
        <f t="shared" si="53"/>
        <v/>
      </c>
      <c r="Q124" s="4" t="str">
        <f t="shared" si="53"/>
        <v/>
      </c>
      <c r="R124" s="4" t="str">
        <f t="shared" ref="R124:Z124" si="54">IFERROR(R179/R$35*100,"")</f>
        <v/>
      </c>
      <c r="S124" s="4" t="str">
        <f t="shared" si="54"/>
        <v/>
      </c>
      <c r="T124" s="4" t="str">
        <f t="shared" si="54"/>
        <v/>
      </c>
      <c r="U124" s="4" t="str">
        <f t="shared" si="54"/>
        <v/>
      </c>
      <c r="V124" s="4" t="str">
        <f t="shared" si="54"/>
        <v/>
      </c>
      <c r="W124" s="4" t="str">
        <f t="shared" si="54"/>
        <v/>
      </c>
      <c r="X124" s="4" t="str">
        <f t="shared" si="54"/>
        <v/>
      </c>
      <c r="Y124" s="4" t="str">
        <f t="shared" si="54"/>
        <v/>
      </c>
      <c r="Z124" s="4" t="str">
        <f t="shared" si="54"/>
        <v/>
      </c>
    </row>
    <row r="125" spans="1:26" outlineLevel="1" x14ac:dyDescent="0.4">
      <c r="A125" s="1">
        <v>19</v>
      </c>
      <c r="B125" t="s">
        <v>10</v>
      </c>
      <c r="C125" t="s">
        <v>4</v>
      </c>
      <c r="D125" s="4" t="str">
        <f t="shared" si="34"/>
        <v/>
      </c>
      <c r="E125" s="4" t="str">
        <f t="shared" ref="E125:K125" si="55">IFERROR(E180/E$34*100,"")</f>
        <v/>
      </c>
      <c r="F125" s="4" t="str">
        <f t="shared" si="55"/>
        <v/>
      </c>
      <c r="G125" s="4" t="str">
        <f t="shared" si="55"/>
        <v/>
      </c>
      <c r="H125" s="4" t="str">
        <f t="shared" si="55"/>
        <v/>
      </c>
      <c r="I125" s="4" t="str">
        <f t="shared" si="55"/>
        <v/>
      </c>
      <c r="J125" s="4" t="str">
        <f t="shared" si="55"/>
        <v/>
      </c>
      <c r="K125" s="4" t="str">
        <f t="shared" si="55"/>
        <v/>
      </c>
      <c r="L125" s="4" t="str">
        <f t="shared" ref="L125:Q125" si="56">IFERROR(L180/L$34*100,"")</f>
        <v/>
      </c>
      <c r="M125" s="4" t="str">
        <f t="shared" si="56"/>
        <v/>
      </c>
      <c r="N125" s="4" t="str">
        <f t="shared" si="56"/>
        <v/>
      </c>
      <c r="O125" s="4" t="str">
        <f t="shared" si="56"/>
        <v/>
      </c>
      <c r="P125" s="4" t="str">
        <f t="shared" si="56"/>
        <v/>
      </c>
      <c r="Q125" s="4" t="str">
        <f t="shared" si="56"/>
        <v/>
      </c>
      <c r="R125" s="4" t="str">
        <f t="shared" ref="R125:Z125" si="57">IFERROR(R180/R$35*100,"")</f>
        <v/>
      </c>
      <c r="S125" s="4" t="str">
        <f t="shared" si="57"/>
        <v/>
      </c>
      <c r="T125" s="4" t="str">
        <f t="shared" si="57"/>
        <v/>
      </c>
      <c r="U125" s="4" t="str">
        <f t="shared" si="57"/>
        <v/>
      </c>
      <c r="V125" s="4" t="str">
        <f t="shared" si="57"/>
        <v/>
      </c>
      <c r="W125" s="4" t="str">
        <f t="shared" si="57"/>
        <v/>
      </c>
      <c r="X125" s="4" t="str">
        <f t="shared" si="57"/>
        <v/>
      </c>
      <c r="Y125" s="4" t="str">
        <f t="shared" si="57"/>
        <v/>
      </c>
      <c r="Z125" s="4" t="str">
        <f t="shared" si="57"/>
        <v/>
      </c>
    </row>
    <row r="126" spans="1:26" outlineLevel="1" x14ac:dyDescent="0.4">
      <c r="A126" s="1">
        <v>20</v>
      </c>
      <c r="B126" t="s">
        <v>51</v>
      </c>
      <c r="D126" s="4" t="str">
        <f t="shared" si="34"/>
        <v/>
      </c>
      <c r="E126" s="4" t="str">
        <f t="shared" ref="E126:K126" si="58">IFERROR(E181/E$34*100,"")</f>
        <v/>
      </c>
      <c r="F126" s="4" t="str">
        <f t="shared" si="58"/>
        <v/>
      </c>
      <c r="G126" s="4" t="str">
        <f t="shared" si="58"/>
        <v/>
      </c>
      <c r="H126" s="4" t="str">
        <f t="shared" si="58"/>
        <v/>
      </c>
      <c r="I126" s="4" t="str">
        <f t="shared" si="58"/>
        <v/>
      </c>
      <c r="J126" s="4" t="str">
        <f t="shared" si="58"/>
        <v/>
      </c>
      <c r="K126" s="4" t="str">
        <f t="shared" si="58"/>
        <v/>
      </c>
      <c r="L126" s="4" t="str">
        <f t="shared" ref="L126:Q126" si="59">IFERROR(L181/L$34*100,"")</f>
        <v/>
      </c>
      <c r="M126" s="4" t="str">
        <f t="shared" si="59"/>
        <v/>
      </c>
      <c r="N126" s="4" t="str">
        <f t="shared" si="59"/>
        <v/>
      </c>
      <c r="O126" s="4" t="str">
        <f t="shared" si="59"/>
        <v/>
      </c>
      <c r="P126" s="4" t="str">
        <f t="shared" si="59"/>
        <v/>
      </c>
      <c r="Q126" s="4" t="str">
        <f t="shared" si="59"/>
        <v/>
      </c>
      <c r="R126" s="4" t="str">
        <f t="shared" ref="R126:Z126" si="60">IFERROR(R181/R$35*100,"")</f>
        <v/>
      </c>
      <c r="S126" s="4" t="str">
        <f t="shared" si="60"/>
        <v/>
      </c>
      <c r="T126" s="4" t="str">
        <f t="shared" si="60"/>
        <v/>
      </c>
      <c r="U126" s="4" t="str">
        <f t="shared" si="60"/>
        <v/>
      </c>
      <c r="V126" s="4" t="str">
        <f t="shared" si="60"/>
        <v/>
      </c>
      <c r="W126" s="4" t="str">
        <f t="shared" si="60"/>
        <v/>
      </c>
      <c r="X126" s="4" t="str">
        <f t="shared" si="60"/>
        <v/>
      </c>
      <c r="Y126" s="4" t="str">
        <f t="shared" si="60"/>
        <v/>
      </c>
      <c r="Z126" s="4" t="str">
        <f t="shared" si="60"/>
        <v/>
      </c>
    </row>
    <row r="127" spans="1:26" outlineLevel="1" x14ac:dyDescent="0.4">
      <c r="A127" s="1">
        <v>21</v>
      </c>
      <c r="B127" t="s">
        <v>52</v>
      </c>
      <c r="C127" t="s">
        <v>85</v>
      </c>
      <c r="D127" s="4" t="str">
        <f t="shared" si="34"/>
        <v/>
      </c>
      <c r="E127" s="4" t="str">
        <f t="shared" ref="E127:K127" si="61">IFERROR(E182/E$34*100,"")</f>
        <v/>
      </c>
      <c r="F127" s="4" t="str">
        <f t="shared" si="61"/>
        <v/>
      </c>
      <c r="G127" s="4" t="str">
        <f t="shared" si="61"/>
        <v/>
      </c>
      <c r="H127" s="4" t="str">
        <f t="shared" si="61"/>
        <v/>
      </c>
      <c r="I127" s="4" t="str">
        <f t="shared" si="61"/>
        <v/>
      </c>
      <c r="J127" s="4" t="str">
        <f t="shared" si="61"/>
        <v/>
      </c>
      <c r="K127" s="4" t="str">
        <f t="shared" si="61"/>
        <v/>
      </c>
      <c r="L127" s="4" t="str">
        <f t="shared" ref="L127:Q127" si="62">IFERROR(L182/L$34*100,"")</f>
        <v/>
      </c>
      <c r="M127" s="4" t="str">
        <f t="shared" si="62"/>
        <v/>
      </c>
      <c r="N127" s="4" t="str">
        <f t="shared" si="62"/>
        <v/>
      </c>
      <c r="O127" s="4" t="str">
        <f t="shared" si="62"/>
        <v/>
      </c>
      <c r="P127" s="4" t="str">
        <f t="shared" si="62"/>
        <v/>
      </c>
      <c r="Q127" s="4" t="str">
        <f t="shared" si="62"/>
        <v/>
      </c>
      <c r="R127" s="4" t="str">
        <f t="shared" ref="R127:Z127" si="63">IFERROR(R182/R$35*100,"")</f>
        <v/>
      </c>
      <c r="S127" s="4" t="str">
        <f t="shared" si="63"/>
        <v/>
      </c>
      <c r="T127" s="4" t="str">
        <f t="shared" si="63"/>
        <v/>
      </c>
      <c r="U127" s="4" t="str">
        <f t="shared" si="63"/>
        <v/>
      </c>
      <c r="V127" s="4" t="str">
        <f t="shared" si="63"/>
        <v/>
      </c>
      <c r="W127" s="4" t="str">
        <f t="shared" si="63"/>
        <v/>
      </c>
      <c r="X127" s="4" t="str">
        <f t="shared" si="63"/>
        <v/>
      </c>
      <c r="Y127" s="4" t="str">
        <f t="shared" si="63"/>
        <v/>
      </c>
      <c r="Z127" s="4" t="str">
        <f t="shared" si="63"/>
        <v/>
      </c>
    </row>
    <row r="128" spans="1:26" outlineLevel="1" x14ac:dyDescent="0.4">
      <c r="A128" s="1">
        <v>22</v>
      </c>
      <c r="B128" t="s">
        <v>53</v>
      </c>
      <c r="C128" t="s">
        <v>86</v>
      </c>
      <c r="D128" s="4" t="str">
        <f t="shared" si="34"/>
        <v/>
      </c>
      <c r="E128" s="4" t="str">
        <f t="shared" ref="E128:K128" si="64">IFERROR(E183/E$34*100,"")</f>
        <v/>
      </c>
      <c r="F128" s="4" t="str">
        <f t="shared" si="64"/>
        <v/>
      </c>
      <c r="G128" s="4" t="str">
        <f t="shared" si="64"/>
        <v/>
      </c>
      <c r="H128" s="4" t="str">
        <f t="shared" si="64"/>
        <v/>
      </c>
      <c r="I128" s="4" t="str">
        <f t="shared" si="64"/>
        <v/>
      </c>
      <c r="J128" s="4" t="str">
        <f t="shared" si="64"/>
        <v/>
      </c>
      <c r="K128" s="4" t="str">
        <f t="shared" si="64"/>
        <v/>
      </c>
      <c r="L128" s="4" t="str">
        <f t="shared" ref="L128:Q128" si="65">IFERROR(L183/L$34*100,"")</f>
        <v/>
      </c>
      <c r="M128" s="4" t="str">
        <f t="shared" si="65"/>
        <v/>
      </c>
      <c r="N128" s="4" t="str">
        <f t="shared" si="65"/>
        <v/>
      </c>
      <c r="O128" s="4" t="str">
        <f t="shared" si="65"/>
        <v/>
      </c>
      <c r="P128" s="4" t="str">
        <f t="shared" si="65"/>
        <v/>
      </c>
      <c r="Q128" s="4" t="str">
        <f t="shared" si="65"/>
        <v/>
      </c>
      <c r="R128" s="4" t="str">
        <f t="shared" ref="R128:Z128" si="66">IFERROR(R183/R$35*100,"")</f>
        <v/>
      </c>
      <c r="S128" s="4" t="str">
        <f t="shared" si="66"/>
        <v/>
      </c>
      <c r="T128" s="4" t="str">
        <f t="shared" si="66"/>
        <v/>
      </c>
      <c r="U128" s="4" t="str">
        <f t="shared" si="66"/>
        <v/>
      </c>
      <c r="V128" s="4" t="str">
        <f t="shared" si="66"/>
        <v/>
      </c>
      <c r="W128" s="4" t="str">
        <f t="shared" si="66"/>
        <v/>
      </c>
      <c r="X128" s="4" t="str">
        <f t="shared" si="66"/>
        <v/>
      </c>
      <c r="Y128" s="4" t="str">
        <f t="shared" si="66"/>
        <v/>
      </c>
      <c r="Z128" s="4" t="str">
        <f t="shared" si="66"/>
        <v/>
      </c>
    </row>
    <row r="129" spans="1:26" outlineLevel="1" x14ac:dyDescent="0.4">
      <c r="A129" s="1">
        <v>23</v>
      </c>
      <c r="B129" t="s">
        <v>54</v>
      </c>
      <c r="C129" t="s">
        <v>87</v>
      </c>
      <c r="D129" s="4" t="str">
        <f t="shared" si="34"/>
        <v/>
      </c>
      <c r="E129" s="4" t="str">
        <f t="shared" ref="E129:K129" si="67">IFERROR(E184/E$34*100,"")</f>
        <v/>
      </c>
      <c r="F129" s="4" t="str">
        <f t="shared" si="67"/>
        <v/>
      </c>
      <c r="G129" s="4" t="str">
        <f t="shared" si="67"/>
        <v/>
      </c>
      <c r="H129" s="4" t="str">
        <f t="shared" si="67"/>
        <v/>
      </c>
      <c r="I129" s="4" t="str">
        <f t="shared" si="67"/>
        <v/>
      </c>
      <c r="J129" s="4" t="str">
        <f t="shared" si="67"/>
        <v/>
      </c>
      <c r="K129" s="4" t="str">
        <f t="shared" si="67"/>
        <v/>
      </c>
      <c r="L129" s="4" t="str">
        <f t="shared" ref="L129:Q129" si="68">IFERROR(L184/L$34*100,"")</f>
        <v/>
      </c>
      <c r="M129" s="4" t="str">
        <f t="shared" si="68"/>
        <v/>
      </c>
      <c r="N129" s="4" t="str">
        <f t="shared" si="68"/>
        <v/>
      </c>
      <c r="O129" s="4" t="str">
        <f t="shared" si="68"/>
        <v/>
      </c>
      <c r="P129" s="4" t="str">
        <f t="shared" si="68"/>
        <v/>
      </c>
      <c r="Q129" s="4" t="str">
        <f t="shared" si="68"/>
        <v/>
      </c>
      <c r="R129" s="4" t="str">
        <f t="shared" ref="R129:Z129" si="69">IFERROR(R184/R$35*100,"")</f>
        <v/>
      </c>
      <c r="S129" s="4" t="str">
        <f t="shared" si="69"/>
        <v/>
      </c>
      <c r="T129" s="4" t="str">
        <f t="shared" si="69"/>
        <v/>
      </c>
      <c r="U129" s="4" t="str">
        <f t="shared" si="69"/>
        <v/>
      </c>
      <c r="V129" s="4" t="str">
        <f t="shared" si="69"/>
        <v/>
      </c>
      <c r="W129" s="4" t="str">
        <f t="shared" si="69"/>
        <v/>
      </c>
      <c r="X129" s="4" t="str">
        <f t="shared" si="69"/>
        <v/>
      </c>
      <c r="Y129" s="4" t="str">
        <f t="shared" si="69"/>
        <v/>
      </c>
      <c r="Z129" s="4" t="str">
        <f t="shared" si="69"/>
        <v/>
      </c>
    </row>
    <row r="130" spans="1:26" outlineLevel="1" x14ac:dyDescent="0.4">
      <c r="A130" s="1">
        <v>24</v>
      </c>
      <c r="B130" s="2" t="s">
        <v>55</v>
      </c>
      <c r="C130" t="s">
        <v>79</v>
      </c>
      <c r="D130" s="4"/>
      <c r="E130" s="4"/>
      <c r="F130" s="4"/>
      <c r="G130" s="4"/>
      <c r="H130" s="4"/>
      <c r="I130" s="4"/>
      <c r="J130" s="4"/>
      <c r="K130" s="4"/>
      <c r="L130" s="4"/>
      <c r="M130" s="4"/>
      <c r="N130" s="4"/>
      <c r="O130" s="4"/>
      <c r="P130" s="4"/>
      <c r="Q130" s="4"/>
      <c r="R130" s="4" t="str">
        <f t="shared" ref="R130:Z130" si="70">IFERROR(R185/R$35*100,"")</f>
        <v/>
      </c>
      <c r="S130" s="4" t="str">
        <f t="shared" si="70"/>
        <v/>
      </c>
      <c r="T130" s="4" t="str">
        <f t="shared" si="70"/>
        <v/>
      </c>
      <c r="U130" s="4" t="str">
        <f t="shared" si="70"/>
        <v/>
      </c>
      <c r="V130" s="4" t="str">
        <f t="shared" si="70"/>
        <v/>
      </c>
      <c r="W130" s="4" t="str">
        <f t="shared" si="70"/>
        <v/>
      </c>
      <c r="X130" s="4" t="str">
        <f t="shared" si="70"/>
        <v/>
      </c>
      <c r="Y130" s="4" t="str">
        <f t="shared" si="70"/>
        <v/>
      </c>
      <c r="Z130" s="4" t="str">
        <f t="shared" si="70"/>
        <v/>
      </c>
    </row>
    <row r="131" spans="1:26" outlineLevel="1" x14ac:dyDescent="0.4">
      <c r="A131" s="1">
        <v>25</v>
      </c>
      <c r="B131" t="s">
        <v>56</v>
      </c>
      <c r="D131" s="4" t="str">
        <f>IFERROR(D129-D130,"")</f>
        <v/>
      </c>
      <c r="E131" s="4" t="str">
        <f t="shared" ref="E131:K131" si="71">IFERROR(E129-E130,"")</f>
        <v/>
      </c>
      <c r="F131" s="4" t="str">
        <f t="shared" si="71"/>
        <v/>
      </c>
      <c r="G131" s="4" t="str">
        <f t="shared" si="71"/>
        <v/>
      </c>
      <c r="H131" s="4" t="str">
        <f t="shared" si="71"/>
        <v/>
      </c>
      <c r="I131" s="4" t="str">
        <f t="shared" si="71"/>
        <v/>
      </c>
      <c r="J131" s="4" t="str">
        <f t="shared" si="71"/>
        <v/>
      </c>
      <c r="K131" s="4" t="str">
        <f t="shared" si="71"/>
        <v/>
      </c>
      <c r="L131" s="4" t="str">
        <f t="shared" ref="L131" si="72">IFERROR(L129-L130,"")</f>
        <v/>
      </c>
      <c r="M131" s="4" t="str">
        <f t="shared" ref="M131" si="73">IFERROR(M129-M130,"")</f>
        <v/>
      </c>
      <c r="N131" s="4" t="str">
        <f t="shared" ref="N131" si="74">IFERROR(N129-N130,"")</f>
        <v/>
      </c>
      <c r="O131" s="4" t="str">
        <f t="shared" ref="O131" si="75">IFERROR(O129-O130,"")</f>
        <v/>
      </c>
      <c r="P131" s="4" t="str">
        <f t="shared" ref="P131" si="76">IFERROR(P129-P130,"")</f>
        <v/>
      </c>
      <c r="Q131" s="4" t="str">
        <f t="shared" ref="Q131" si="77">IFERROR(Q129-Q130,"")</f>
        <v/>
      </c>
      <c r="R131" s="4"/>
      <c r="S131" s="4"/>
      <c r="T131" s="4"/>
      <c r="U131" s="4"/>
      <c r="V131" s="4"/>
      <c r="W131" s="4"/>
      <c r="X131" s="4"/>
      <c r="Y131" s="4"/>
      <c r="Z131" s="4"/>
    </row>
    <row r="132" spans="1:26" outlineLevel="1" x14ac:dyDescent="0.4">
      <c r="A132" s="1">
        <v>26</v>
      </c>
      <c r="B132" t="s">
        <v>612</v>
      </c>
      <c r="C132" t="s">
        <v>820</v>
      </c>
      <c r="D132" s="4" t="str">
        <f>IFERROR(D187/D$34*100,"")</f>
        <v/>
      </c>
      <c r="E132" s="4" t="str">
        <f t="shared" ref="E132:K132" si="78">IFERROR(E187/E$34*100,"")</f>
        <v/>
      </c>
      <c r="F132" s="4" t="str">
        <f t="shared" si="78"/>
        <v/>
      </c>
      <c r="G132" s="4" t="str">
        <f t="shared" si="78"/>
        <v/>
      </c>
      <c r="H132" s="4" t="str">
        <f t="shared" si="78"/>
        <v/>
      </c>
      <c r="I132" s="4" t="str">
        <f t="shared" si="78"/>
        <v/>
      </c>
      <c r="J132" s="4" t="str">
        <f t="shared" si="78"/>
        <v/>
      </c>
      <c r="K132" s="4" t="str">
        <f t="shared" si="78"/>
        <v/>
      </c>
      <c r="L132" s="4" t="str">
        <f t="shared" ref="L132:Q132" si="79">IFERROR(L187/L$34*100,"")</f>
        <v/>
      </c>
      <c r="M132" s="4" t="str">
        <f t="shared" si="79"/>
        <v/>
      </c>
      <c r="N132" s="4" t="str">
        <f t="shared" si="79"/>
        <v/>
      </c>
      <c r="O132" s="4" t="str">
        <f t="shared" si="79"/>
        <v/>
      </c>
      <c r="P132" s="4" t="str">
        <f t="shared" si="79"/>
        <v/>
      </c>
      <c r="Q132" s="4" t="str">
        <f t="shared" si="79"/>
        <v/>
      </c>
      <c r="R132" s="4" t="str">
        <f t="shared" ref="R132" si="80">IFERROR(R130-R131,"")</f>
        <v/>
      </c>
      <c r="S132" s="4" t="str">
        <f t="shared" ref="S132" si="81">IFERROR(S130-S131,"")</f>
        <v/>
      </c>
      <c r="T132" s="4" t="str">
        <f t="shared" ref="T132" si="82">IFERROR(T130-T131,"")</f>
        <v/>
      </c>
      <c r="U132" s="4" t="str">
        <f t="shared" ref="U132" si="83">IFERROR(U130-U131,"")</f>
        <v/>
      </c>
      <c r="V132" s="4" t="str">
        <f t="shared" ref="V132" si="84">IFERROR(V130-V131,"")</f>
        <v/>
      </c>
      <c r="W132" s="4" t="str">
        <f t="shared" ref="W132" si="85">IFERROR(W130-W131,"")</f>
        <v/>
      </c>
      <c r="X132" s="4" t="str">
        <f t="shared" ref="X132" si="86">IFERROR(X130-X131,"")</f>
        <v/>
      </c>
      <c r="Y132" s="4" t="str">
        <f t="shared" ref="Y132" si="87">IFERROR(Y130-Y131,"")</f>
        <v/>
      </c>
      <c r="Z132" s="4" t="str">
        <f t="shared" ref="Z132" si="88">IFERROR(Z130-Z131,"")</f>
        <v/>
      </c>
    </row>
    <row r="133" spans="1:26" outlineLevel="1" x14ac:dyDescent="0.4">
      <c r="A133" s="1">
        <v>27</v>
      </c>
      <c r="B133" t="s">
        <v>57</v>
      </c>
      <c r="C133" t="s">
        <v>819</v>
      </c>
      <c r="D133" s="4" t="str">
        <f>IFERROR(D188/D$34*100,"")</f>
        <v/>
      </c>
      <c r="E133" s="4" t="str">
        <f t="shared" ref="E133:K133" si="89">IFERROR(E188/E$34*100,"")</f>
        <v/>
      </c>
      <c r="F133" s="4" t="str">
        <f t="shared" si="89"/>
        <v/>
      </c>
      <c r="G133" s="4" t="str">
        <f t="shared" si="89"/>
        <v/>
      </c>
      <c r="H133" s="4" t="str">
        <f t="shared" si="89"/>
        <v/>
      </c>
      <c r="I133" s="4" t="str">
        <f t="shared" si="89"/>
        <v/>
      </c>
      <c r="J133" s="4" t="str">
        <f t="shared" si="89"/>
        <v/>
      </c>
      <c r="K133" s="4" t="str">
        <f t="shared" si="89"/>
        <v/>
      </c>
      <c r="L133" s="4" t="str">
        <f t="shared" ref="L133:Q133" si="90">IFERROR(L188/L$34*100,"")</f>
        <v/>
      </c>
      <c r="M133" s="4" t="str">
        <f t="shared" si="90"/>
        <v/>
      </c>
      <c r="N133" s="4" t="str">
        <f t="shared" si="90"/>
        <v/>
      </c>
      <c r="O133" s="4" t="str">
        <f t="shared" si="90"/>
        <v/>
      </c>
      <c r="P133" s="4" t="str">
        <f t="shared" si="90"/>
        <v/>
      </c>
      <c r="Q133" s="4" t="str">
        <f t="shared" si="90"/>
        <v/>
      </c>
      <c r="R133" s="4" t="str">
        <f t="shared" ref="R133:Z133" si="91">IFERROR(R188/R$35*100,"")</f>
        <v/>
      </c>
      <c r="S133" s="4" t="str">
        <f t="shared" si="91"/>
        <v/>
      </c>
      <c r="T133" s="4" t="str">
        <f t="shared" si="91"/>
        <v/>
      </c>
      <c r="U133" s="4" t="str">
        <f t="shared" si="91"/>
        <v/>
      </c>
      <c r="V133" s="4" t="str">
        <f t="shared" si="91"/>
        <v/>
      </c>
      <c r="W133" s="4" t="str">
        <f t="shared" si="91"/>
        <v/>
      </c>
      <c r="X133" s="4" t="str">
        <f t="shared" si="91"/>
        <v/>
      </c>
      <c r="Y133" s="4" t="str">
        <f t="shared" si="91"/>
        <v/>
      </c>
      <c r="Z133" s="4" t="str">
        <f t="shared" si="91"/>
        <v/>
      </c>
    </row>
    <row r="134" spans="1:26" outlineLevel="1" x14ac:dyDescent="0.4">
      <c r="A134" s="1">
        <v>28</v>
      </c>
      <c r="B134" t="s">
        <v>58</v>
      </c>
      <c r="C134" t="s">
        <v>821</v>
      </c>
      <c r="D134" s="4" t="str">
        <f>IFERROR(D189/D$34*100,"")</f>
        <v/>
      </c>
      <c r="E134" s="4" t="str">
        <f t="shared" ref="E134:K134" si="92">IFERROR(E189/E$34*100,"")</f>
        <v/>
      </c>
      <c r="F134" s="4" t="str">
        <f t="shared" si="92"/>
        <v/>
      </c>
      <c r="G134" s="4" t="str">
        <f t="shared" si="92"/>
        <v/>
      </c>
      <c r="H134" s="4" t="str">
        <f t="shared" si="92"/>
        <v/>
      </c>
      <c r="I134" s="4" t="str">
        <f t="shared" si="92"/>
        <v/>
      </c>
      <c r="J134" s="4" t="str">
        <f t="shared" si="92"/>
        <v/>
      </c>
      <c r="K134" s="4" t="str">
        <f t="shared" si="92"/>
        <v/>
      </c>
      <c r="L134" s="4" t="str">
        <f t="shared" ref="L134:Q134" si="93">IFERROR(L189/L$34*100,"")</f>
        <v/>
      </c>
      <c r="M134" s="4" t="str">
        <f t="shared" si="93"/>
        <v/>
      </c>
      <c r="N134" s="4" t="str">
        <f t="shared" si="93"/>
        <v/>
      </c>
      <c r="O134" s="4" t="str">
        <f t="shared" si="93"/>
        <v/>
      </c>
      <c r="P134" s="4" t="str">
        <f t="shared" si="93"/>
        <v/>
      </c>
      <c r="Q134" s="4" t="str">
        <f t="shared" si="93"/>
        <v/>
      </c>
      <c r="R134" s="4" t="str">
        <f t="shared" ref="R134:Z134" si="94">IFERROR(R189/R$35*100,"")</f>
        <v/>
      </c>
      <c r="S134" s="4" t="str">
        <f t="shared" si="94"/>
        <v/>
      </c>
      <c r="T134" s="4" t="str">
        <f t="shared" si="94"/>
        <v/>
      </c>
      <c r="U134" s="4" t="str">
        <f t="shared" si="94"/>
        <v/>
      </c>
      <c r="V134" s="4" t="str">
        <f t="shared" si="94"/>
        <v/>
      </c>
      <c r="W134" s="4" t="str">
        <f t="shared" si="94"/>
        <v/>
      </c>
      <c r="X134" s="4" t="str">
        <f t="shared" si="94"/>
        <v/>
      </c>
      <c r="Y134" s="4" t="str">
        <f t="shared" si="94"/>
        <v/>
      </c>
      <c r="Z134" s="4" t="str">
        <f t="shared" si="94"/>
        <v/>
      </c>
    </row>
    <row r="135" spans="1:26" outlineLevel="1" x14ac:dyDescent="0.4">
      <c r="A135" s="1">
        <v>29</v>
      </c>
      <c r="B135" t="s">
        <v>59</v>
      </c>
      <c r="C135" s="4"/>
      <c r="D135" s="4" t="str">
        <f>IFERROR(D131-D132-D133-D134-D120,"")</f>
        <v/>
      </c>
      <c r="E135" s="4" t="str">
        <f t="shared" ref="E135:K135" si="95">IFERROR(E131-E132-E133-E134-E120,"")</f>
        <v/>
      </c>
      <c r="F135" s="4" t="str">
        <f t="shared" si="95"/>
        <v/>
      </c>
      <c r="G135" s="4" t="str">
        <f t="shared" si="95"/>
        <v/>
      </c>
      <c r="H135" s="4" t="str">
        <f t="shared" si="95"/>
        <v/>
      </c>
      <c r="I135" s="4" t="str">
        <f t="shared" si="95"/>
        <v/>
      </c>
      <c r="J135" s="4" t="str">
        <f t="shared" si="95"/>
        <v/>
      </c>
      <c r="K135" s="4" t="str">
        <f t="shared" si="95"/>
        <v/>
      </c>
      <c r="L135" s="4" t="str">
        <f t="shared" ref="L135" si="96">IFERROR(L131-L132-L133-L134-L120,"")</f>
        <v/>
      </c>
      <c r="M135" s="4" t="str">
        <f t="shared" ref="M135" si="97">IFERROR(M131-M132-M133-M134-M120,"")</f>
        <v/>
      </c>
      <c r="N135" s="4" t="str">
        <f t="shared" ref="N135" si="98">IFERROR(N131-N132-N133-N134-N120,"")</f>
        <v/>
      </c>
      <c r="O135" s="4" t="str">
        <f t="shared" ref="O135" si="99">IFERROR(O131-O132-O133-O134-O120,"")</f>
        <v/>
      </c>
      <c r="P135" s="4" t="str">
        <f t="shared" ref="P135" si="100">IFERROR(P131-P132-P133-P134-P120,"")</f>
        <v/>
      </c>
      <c r="Q135" s="4" t="str">
        <f t="shared" ref="Q135" si="101">IFERROR(Q131-Q132-Q133-Q134-Q120,"")</f>
        <v/>
      </c>
      <c r="R135" s="4" t="str">
        <f t="shared" ref="R135:Z135" si="102">IFERROR(R190/R$35*100,"")</f>
        <v/>
      </c>
      <c r="S135" s="4" t="str">
        <f t="shared" si="102"/>
        <v/>
      </c>
      <c r="T135" s="4" t="str">
        <f t="shared" si="102"/>
        <v/>
      </c>
      <c r="U135" s="4" t="str">
        <f t="shared" si="102"/>
        <v/>
      </c>
      <c r="V135" s="4" t="str">
        <f t="shared" si="102"/>
        <v/>
      </c>
      <c r="W135" s="4" t="str">
        <f t="shared" si="102"/>
        <v/>
      </c>
      <c r="X135" s="4" t="str">
        <f t="shared" si="102"/>
        <v/>
      </c>
      <c r="Y135" s="4" t="str">
        <f t="shared" si="102"/>
        <v/>
      </c>
      <c r="Z135" s="4" t="str">
        <f t="shared" si="102"/>
        <v/>
      </c>
    </row>
    <row r="136" spans="1:26" outlineLevel="1" x14ac:dyDescent="0.4">
      <c r="A136" s="1"/>
      <c r="B136" s="1" t="s">
        <v>35</v>
      </c>
      <c r="C136" s="1"/>
      <c r="D136" s="1"/>
      <c r="E136" s="1"/>
      <c r="F136" s="1"/>
      <c r="G136" s="1"/>
      <c r="H136" s="1"/>
      <c r="I136" s="1"/>
      <c r="J136" s="1"/>
      <c r="K136" s="1"/>
      <c r="L136" s="1"/>
      <c r="M136" s="1"/>
      <c r="N136" s="1"/>
      <c r="O136" s="1"/>
      <c r="P136" s="1"/>
      <c r="Q136" s="1"/>
      <c r="R136" s="4" t="str">
        <f t="shared" ref="R136" si="103">IFERROR(R132-R133-R134-R135-R121,"")</f>
        <v/>
      </c>
      <c r="S136" s="4" t="str">
        <f t="shared" ref="S136" si="104">IFERROR(S132-S133-S134-S135-S121,"")</f>
        <v/>
      </c>
      <c r="T136" s="4" t="str">
        <f t="shared" ref="T136" si="105">IFERROR(T132-T133-T134-T135-T121,"")</f>
        <v/>
      </c>
      <c r="U136" s="4" t="str">
        <f t="shared" ref="U136" si="106">IFERROR(U132-U133-U134-U135-U121,"")</f>
        <v/>
      </c>
      <c r="V136" s="4" t="str">
        <f t="shared" ref="V136" si="107">IFERROR(V132-V133-V134-V135-V121,"")</f>
        <v/>
      </c>
      <c r="W136" s="4" t="str">
        <f t="shared" ref="W136" si="108">IFERROR(W132-W133-W134-W135-W121,"")</f>
        <v/>
      </c>
      <c r="X136" s="4" t="str">
        <f t="shared" ref="X136" si="109">IFERROR(X132-X133-X134-X135-X121,"")</f>
        <v/>
      </c>
      <c r="Y136" s="4" t="str">
        <f t="shared" ref="Y136" si="110">IFERROR(Y132-Y133-Y134-Y135-Y121,"")</f>
        <v/>
      </c>
      <c r="Z136" s="4" t="str">
        <f t="shared" ref="Z136" si="111">IFERROR(Z132-Z133-Z134-Z135-Z121,"")</f>
        <v/>
      </c>
    </row>
    <row r="137" spans="1:26" outlineLevel="1" x14ac:dyDescent="0.4">
      <c r="A137" s="1"/>
      <c r="D137" s="4"/>
      <c r="E137" s="4"/>
      <c r="F137" s="4"/>
      <c r="G137" s="4"/>
      <c r="H137" s="4"/>
      <c r="I137" s="4"/>
      <c r="J137" s="4"/>
      <c r="K137" s="4"/>
      <c r="L137" s="4"/>
      <c r="M137" s="4"/>
      <c r="N137" s="4"/>
      <c r="O137" s="4"/>
      <c r="P137" s="4"/>
      <c r="Q137" s="4"/>
      <c r="R137" s="1"/>
      <c r="S137" s="1"/>
      <c r="T137" s="1"/>
      <c r="U137" s="1"/>
      <c r="V137" s="1"/>
      <c r="W137" s="1"/>
      <c r="X137" s="1"/>
      <c r="Y137" s="1"/>
      <c r="Z137" s="1"/>
    </row>
    <row r="138" spans="1:26" outlineLevel="1" x14ac:dyDescent="0.4">
      <c r="A138" s="1"/>
      <c r="B138" s="1" t="s">
        <v>60</v>
      </c>
      <c r="C138" s="1"/>
      <c r="D138" s="1"/>
      <c r="E138" s="1"/>
      <c r="F138" s="1"/>
      <c r="G138" s="1"/>
      <c r="H138" s="1"/>
      <c r="I138" s="1"/>
      <c r="J138" s="1"/>
      <c r="K138" s="1"/>
      <c r="L138" s="1"/>
      <c r="M138" s="1"/>
      <c r="N138" s="1"/>
      <c r="O138" s="1"/>
      <c r="P138" s="1"/>
      <c r="Q138" s="1"/>
      <c r="R138" s="4"/>
      <c r="S138" s="4"/>
      <c r="T138" s="4"/>
      <c r="U138" s="4"/>
      <c r="V138" s="4"/>
      <c r="W138" s="4"/>
      <c r="X138" s="4"/>
      <c r="Y138" s="4"/>
      <c r="Z138" s="4"/>
    </row>
    <row r="139" spans="1:26" outlineLevel="1" x14ac:dyDescent="0.4">
      <c r="A139" s="1"/>
      <c r="B139" t="s">
        <v>61</v>
      </c>
      <c r="C139" t="s">
        <v>27</v>
      </c>
      <c r="D139" s="4" t="str">
        <f>IFERROR(D194/D$34*100,"")</f>
        <v/>
      </c>
      <c r="E139" s="4" t="str">
        <f t="shared" ref="E139:K139" si="112">IFERROR(E194/E$34*100,"")</f>
        <v/>
      </c>
      <c r="F139" s="4" t="str">
        <f t="shared" si="112"/>
        <v/>
      </c>
      <c r="G139" s="4" t="str">
        <f t="shared" si="112"/>
        <v/>
      </c>
      <c r="H139" s="4" t="str">
        <f t="shared" si="112"/>
        <v/>
      </c>
      <c r="I139" s="4" t="str">
        <f t="shared" si="112"/>
        <v/>
      </c>
      <c r="J139" s="4" t="str">
        <f t="shared" si="112"/>
        <v/>
      </c>
      <c r="K139" s="4" t="str">
        <f t="shared" si="112"/>
        <v/>
      </c>
      <c r="L139" s="4" t="str">
        <f t="shared" ref="L139:Q139" si="113">IFERROR(L194/L$34*100,"")</f>
        <v/>
      </c>
      <c r="M139" s="4" t="str">
        <f t="shared" si="113"/>
        <v/>
      </c>
      <c r="N139" s="4" t="str">
        <f t="shared" si="113"/>
        <v/>
      </c>
      <c r="O139" s="4" t="str">
        <f t="shared" si="113"/>
        <v/>
      </c>
      <c r="P139" s="4" t="str">
        <f t="shared" si="113"/>
        <v/>
      </c>
      <c r="Q139" s="4" t="str">
        <f t="shared" si="113"/>
        <v/>
      </c>
      <c r="R139" s="1"/>
      <c r="S139" s="1"/>
      <c r="T139" s="1"/>
      <c r="U139" s="1"/>
      <c r="V139" s="1"/>
      <c r="W139" s="1"/>
      <c r="X139" s="1"/>
      <c r="Y139" s="1"/>
      <c r="Z139" s="1"/>
    </row>
    <row r="140" spans="1:26" outlineLevel="1" x14ac:dyDescent="0.4">
      <c r="A140" s="1"/>
      <c r="B140" t="s">
        <v>62</v>
      </c>
      <c r="C140" t="s">
        <v>88</v>
      </c>
      <c r="D140" s="4" t="str">
        <f>IFERROR(D195/D$34*100,"")</f>
        <v/>
      </c>
      <c r="E140" s="4" t="str">
        <f t="shared" ref="E140:K140" si="114">IFERROR(E195/E$34*100,"")</f>
        <v/>
      </c>
      <c r="F140" s="4" t="str">
        <f t="shared" si="114"/>
        <v/>
      </c>
      <c r="G140" s="4" t="str">
        <f t="shared" si="114"/>
        <v/>
      </c>
      <c r="H140" s="4" t="str">
        <f t="shared" si="114"/>
        <v/>
      </c>
      <c r="I140" s="4" t="str">
        <f t="shared" si="114"/>
        <v/>
      </c>
      <c r="J140" s="4" t="str">
        <f t="shared" si="114"/>
        <v/>
      </c>
      <c r="K140" s="4" t="str">
        <f t="shared" si="114"/>
        <v/>
      </c>
      <c r="L140" s="4" t="str">
        <f t="shared" ref="L140:Q140" si="115">IFERROR(L195/L$34*100,"")</f>
        <v/>
      </c>
      <c r="M140" s="4" t="str">
        <f t="shared" si="115"/>
        <v/>
      </c>
      <c r="N140" s="4" t="str">
        <f t="shared" si="115"/>
        <v/>
      </c>
      <c r="O140" s="4" t="str">
        <f t="shared" si="115"/>
        <v/>
      </c>
      <c r="P140" s="4" t="str">
        <f t="shared" si="115"/>
        <v/>
      </c>
      <c r="Q140" s="4" t="str">
        <f t="shared" si="115"/>
        <v/>
      </c>
      <c r="R140" s="4" t="str">
        <f t="shared" ref="R140:Z140" si="116">IFERROR(R195/R$35*100,"")</f>
        <v/>
      </c>
      <c r="S140" s="4" t="str">
        <f t="shared" si="116"/>
        <v/>
      </c>
      <c r="T140" s="4" t="str">
        <f t="shared" si="116"/>
        <v/>
      </c>
      <c r="U140" s="4" t="str">
        <f t="shared" si="116"/>
        <v/>
      </c>
      <c r="V140" s="4" t="str">
        <f t="shared" si="116"/>
        <v/>
      </c>
      <c r="W140" s="4" t="str">
        <f t="shared" si="116"/>
        <v/>
      </c>
      <c r="X140" s="4" t="str">
        <f t="shared" si="116"/>
        <v/>
      </c>
      <c r="Y140" s="4" t="str">
        <f t="shared" si="116"/>
        <v/>
      </c>
      <c r="Z140" s="4" t="str">
        <f t="shared" si="116"/>
        <v/>
      </c>
    </row>
    <row r="141" spans="1:26" outlineLevel="1" x14ac:dyDescent="0.4">
      <c r="A141" s="1"/>
      <c r="B141" s="1" t="s">
        <v>63</v>
      </c>
      <c r="C141" s="1"/>
      <c r="D141" s="1"/>
      <c r="E141" s="1"/>
      <c r="F141" s="1"/>
      <c r="G141" s="1"/>
      <c r="H141" s="1"/>
      <c r="I141" s="1"/>
      <c r="J141" s="1"/>
      <c r="K141" s="1"/>
      <c r="L141" s="1"/>
      <c r="M141" s="1"/>
      <c r="N141" s="1"/>
      <c r="O141" s="1"/>
      <c r="P141" s="1"/>
      <c r="Q141" s="1"/>
      <c r="R141" s="4" t="str">
        <f t="shared" ref="R141:Z141" si="117">IFERROR(R196/R$35*100,"")</f>
        <v/>
      </c>
      <c r="S141" s="4" t="str">
        <f t="shared" si="117"/>
        <v/>
      </c>
      <c r="T141" s="4" t="str">
        <f t="shared" si="117"/>
        <v/>
      </c>
      <c r="U141" s="4" t="str">
        <f t="shared" si="117"/>
        <v/>
      </c>
      <c r="V141" s="4" t="str">
        <f t="shared" si="117"/>
        <v/>
      </c>
      <c r="W141" s="4" t="str">
        <f t="shared" si="117"/>
        <v/>
      </c>
      <c r="X141" s="4" t="str">
        <f t="shared" si="117"/>
        <v/>
      </c>
      <c r="Y141" s="4" t="str">
        <f t="shared" si="117"/>
        <v/>
      </c>
      <c r="Z141" s="4" t="str">
        <f t="shared" si="117"/>
        <v/>
      </c>
    </row>
    <row r="142" spans="1:26" outlineLevel="1" x14ac:dyDescent="0.4">
      <c r="A142" s="1"/>
      <c r="B142" t="s">
        <v>0</v>
      </c>
      <c r="C142" t="s">
        <v>613</v>
      </c>
      <c r="D142" s="4">
        <f>IFERROR(D98,"")</f>
        <v>0</v>
      </c>
      <c r="E142" s="4">
        <f t="shared" ref="E142:K142" si="118">IFERROR(E98,"")</f>
        <v>0</v>
      </c>
      <c r="F142" s="4">
        <f t="shared" si="118"/>
        <v>0</v>
      </c>
      <c r="G142" s="4">
        <f t="shared" si="118"/>
        <v>0</v>
      </c>
      <c r="H142" s="4">
        <f t="shared" si="118"/>
        <v>0</v>
      </c>
      <c r="I142" s="4">
        <f t="shared" si="118"/>
        <v>0</v>
      </c>
      <c r="J142" s="4">
        <f t="shared" si="118"/>
        <v>0</v>
      </c>
      <c r="K142" s="4">
        <f t="shared" si="118"/>
        <v>0</v>
      </c>
      <c r="L142" s="4">
        <f t="shared" ref="L142:Z143" si="119">IFERROR(L98,"")</f>
        <v>0</v>
      </c>
      <c r="M142" s="4">
        <f t="shared" si="119"/>
        <v>0</v>
      </c>
      <c r="N142" s="4">
        <f t="shared" si="119"/>
        <v>0</v>
      </c>
      <c r="O142" s="4">
        <f t="shared" si="119"/>
        <v>0</v>
      </c>
      <c r="P142" s="4">
        <f t="shared" si="119"/>
        <v>0</v>
      </c>
      <c r="Q142" s="4">
        <f t="shared" si="119"/>
        <v>0</v>
      </c>
      <c r="R142" s="1"/>
      <c r="S142" s="1"/>
      <c r="T142" s="1"/>
      <c r="U142" s="1"/>
      <c r="V142" s="1"/>
      <c r="W142" s="1"/>
      <c r="X142" s="1"/>
      <c r="Y142" s="1"/>
      <c r="Z142" s="1"/>
    </row>
    <row r="143" spans="1:26" outlineLevel="1" x14ac:dyDescent="0.4">
      <c r="A143" s="1"/>
      <c r="B143" t="s">
        <v>3</v>
      </c>
      <c r="C143" t="s">
        <v>614</v>
      </c>
      <c r="D143" s="4">
        <f>IFERROR(D99,"")</f>
        <v>0</v>
      </c>
      <c r="E143" s="4">
        <f t="shared" ref="E143:K143" si="120">IFERROR(E99,"")</f>
        <v>0</v>
      </c>
      <c r="F143" s="4">
        <f t="shared" si="120"/>
        <v>0</v>
      </c>
      <c r="G143" s="4">
        <f t="shared" si="120"/>
        <v>0</v>
      </c>
      <c r="H143" s="4">
        <f t="shared" si="120"/>
        <v>0</v>
      </c>
      <c r="I143" s="4">
        <f t="shared" si="120"/>
        <v>0</v>
      </c>
      <c r="J143" s="4">
        <f t="shared" si="120"/>
        <v>0</v>
      </c>
      <c r="K143" s="4">
        <f t="shared" si="120"/>
        <v>0</v>
      </c>
      <c r="L143" s="4">
        <f t="shared" ref="L143:Z144" si="121">IFERROR(L99,"")</f>
        <v>0</v>
      </c>
      <c r="M143" s="4">
        <f t="shared" si="121"/>
        <v>0</v>
      </c>
      <c r="N143" s="4">
        <f t="shared" si="121"/>
        <v>0</v>
      </c>
      <c r="O143" s="4">
        <f t="shared" si="121"/>
        <v>0</v>
      </c>
      <c r="P143" s="4">
        <f t="shared" si="121"/>
        <v>0</v>
      </c>
      <c r="Q143" s="4">
        <f t="shared" si="121"/>
        <v>0</v>
      </c>
      <c r="R143" s="4">
        <f t="shared" si="119"/>
        <v>0</v>
      </c>
      <c r="S143" s="4">
        <f t="shared" si="119"/>
        <v>0</v>
      </c>
      <c r="T143" s="4">
        <f t="shared" si="119"/>
        <v>0</v>
      </c>
      <c r="U143" s="4">
        <f t="shared" si="119"/>
        <v>0</v>
      </c>
      <c r="V143" s="4">
        <f t="shared" si="119"/>
        <v>0</v>
      </c>
      <c r="W143" s="4">
        <f t="shared" si="119"/>
        <v>0</v>
      </c>
      <c r="X143" s="4">
        <f t="shared" si="119"/>
        <v>0</v>
      </c>
      <c r="Y143" s="4">
        <f t="shared" si="119"/>
        <v>0</v>
      </c>
      <c r="Z143" s="4">
        <f t="shared" si="119"/>
        <v>0</v>
      </c>
    </row>
    <row r="144" spans="1:26" outlineLevel="1" x14ac:dyDescent="0.4">
      <c r="A144" s="1"/>
      <c r="B144" s="1" t="s">
        <v>20</v>
      </c>
      <c r="C144" s="1"/>
      <c r="D144" s="1"/>
      <c r="E144" s="1"/>
      <c r="F144" s="1"/>
      <c r="G144" s="1"/>
      <c r="H144" s="1"/>
      <c r="I144" s="1"/>
      <c r="J144" s="1"/>
      <c r="K144" s="1"/>
      <c r="L144" s="1"/>
      <c r="M144" s="1"/>
      <c r="N144" s="1"/>
      <c r="O144" s="1"/>
      <c r="P144" s="1"/>
      <c r="Q144" s="1"/>
      <c r="R144" s="4">
        <f t="shared" si="121"/>
        <v>0</v>
      </c>
      <c r="S144" s="4">
        <f t="shared" si="121"/>
        <v>0</v>
      </c>
      <c r="T144" s="4">
        <f t="shared" si="121"/>
        <v>0</v>
      </c>
      <c r="U144" s="4">
        <f t="shared" si="121"/>
        <v>0</v>
      </c>
      <c r="V144" s="4">
        <f t="shared" si="121"/>
        <v>0</v>
      </c>
      <c r="W144" s="4">
        <f t="shared" si="121"/>
        <v>0</v>
      </c>
      <c r="X144" s="4">
        <f t="shared" si="121"/>
        <v>0</v>
      </c>
      <c r="Y144" s="4">
        <f t="shared" si="121"/>
        <v>0</v>
      </c>
      <c r="Z144" s="4">
        <f t="shared" si="121"/>
        <v>0</v>
      </c>
    </row>
    <row r="145" spans="1:26" outlineLevel="1" x14ac:dyDescent="0.4">
      <c r="A145" s="1"/>
      <c r="B145" t="s">
        <v>1</v>
      </c>
      <c r="D145" s="4" t="str">
        <f>IFERROR(D200/D$34*100,"")</f>
        <v/>
      </c>
      <c r="E145" s="4" t="str">
        <f t="shared" ref="E145:K145" si="122">IFERROR(E200/E$34*100,"")</f>
        <v/>
      </c>
      <c r="F145" s="4" t="str">
        <f t="shared" si="122"/>
        <v/>
      </c>
      <c r="G145" s="4" t="str">
        <f t="shared" si="122"/>
        <v/>
      </c>
      <c r="H145" s="4" t="str">
        <f t="shared" si="122"/>
        <v/>
      </c>
      <c r="I145" s="4" t="str">
        <f t="shared" si="122"/>
        <v/>
      </c>
      <c r="J145" s="4" t="str">
        <f t="shared" si="122"/>
        <v/>
      </c>
      <c r="K145" s="4" t="str">
        <f t="shared" si="122"/>
        <v/>
      </c>
      <c r="L145" s="4" t="str">
        <f t="shared" ref="L145:Q145" si="123">IFERROR(L200/L$34*100,"")</f>
        <v/>
      </c>
      <c r="M145" s="4" t="str">
        <f t="shared" si="123"/>
        <v/>
      </c>
      <c r="N145" s="4" t="str">
        <f t="shared" si="123"/>
        <v/>
      </c>
      <c r="O145" s="4" t="str">
        <f t="shared" si="123"/>
        <v/>
      </c>
      <c r="P145" s="4" t="str">
        <f t="shared" si="123"/>
        <v/>
      </c>
      <c r="Q145" s="4" t="str">
        <f t="shared" si="123"/>
        <v/>
      </c>
      <c r="R145" s="1"/>
      <c r="S145" s="1"/>
      <c r="T145" s="1"/>
      <c r="U145" s="1"/>
      <c r="V145" s="1"/>
      <c r="W145" s="1"/>
      <c r="X145" s="1"/>
      <c r="Y145" s="1"/>
      <c r="Z145" s="1"/>
    </row>
    <row r="146" spans="1:26" outlineLevel="1" x14ac:dyDescent="0.4">
      <c r="A146" s="1"/>
      <c r="B146" t="s">
        <v>2</v>
      </c>
      <c r="D146" s="4" t="str">
        <f>IFERROR(D201/D$34*100,"")</f>
        <v/>
      </c>
      <c r="E146" s="4" t="str">
        <f t="shared" ref="E146:K146" si="124">IFERROR(E201/E$34*100,"")</f>
        <v/>
      </c>
      <c r="F146" s="4" t="str">
        <f t="shared" si="124"/>
        <v/>
      </c>
      <c r="G146" s="4" t="str">
        <f t="shared" si="124"/>
        <v/>
      </c>
      <c r="H146" s="4" t="str">
        <f t="shared" si="124"/>
        <v/>
      </c>
      <c r="I146" s="4" t="str">
        <f t="shared" si="124"/>
        <v/>
      </c>
      <c r="J146" s="4" t="str">
        <f t="shared" si="124"/>
        <v/>
      </c>
      <c r="K146" s="4" t="str">
        <f t="shared" si="124"/>
        <v/>
      </c>
      <c r="L146" s="4" t="str">
        <f t="shared" ref="L146:Q146" si="125">IFERROR(L201/L$34*100,"")</f>
        <v/>
      </c>
      <c r="M146" s="4" t="str">
        <f t="shared" si="125"/>
        <v/>
      </c>
      <c r="N146" s="4" t="str">
        <f t="shared" si="125"/>
        <v/>
      </c>
      <c r="O146" s="4" t="str">
        <f t="shared" si="125"/>
        <v/>
      </c>
      <c r="P146" s="4" t="str">
        <f t="shared" si="125"/>
        <v/>
      </c>
      <c r="Q146" s="4" t="str">
        <f t="shared" si="125"/>
        <v/>
      </c>
      <c r="R146" s="4" t="str">
        <f t="shared" ref="R146:Z146" si="126">IFERROR(R201/R$35*100,"")</f>
        <v/>
      </c>
      <c r="S146" s="4" t="str">
        <f t="shared" si="126"/>
        <v/>
      </c>
      <c r="T146" s="4" t="str">
        <f t="shared" si="126"/>
        <v/>
      </c>
      <c r="U146" s="4" t="str">
        <f t="shared" si="126"/>
        <v/>
      </c>
      <c r="V146" s="4" t="str">
        <f t="shared" si="126"/>
        <v/>
      </c>
      <c r="W146" s="4" t="str">
        <f t="shared" si="126"/>
        <v/>
      </c>
      <c r="X146" s="4" t="str">
        <f t="shared" si="126"/>
        <v/>
      </c>
      <c r="Y146" s="4" t="str">
        <f t="shared" si="126"/>
        <v/>
      </c>
      <c r="Z146" s="4" t="str">
        <f t="shared" si="126"/>
        <v/>
      </c>
    </row>
    <row r="147" spans="1:26" outlineLevel="1" x14ac:dyDescent="0.4">
      <c r="A147" s="1"/>
      <c r="B147" t="s">
        <v>64</v>
      </c>
      <c r="D147" s="4"/>
      <c r="E147" s="4"/>
      <c r="F147" s="4"/>
      <c r="G147" s="4"/>
      <c r="H147" s="4"/>
      <c r="I147" s="4"/>
      <c r="J147" s="4"/>
      <c r="K147" s="4"/>
      <c r="L147" s="4"/>
      <c r="M147" s="4"/>
      <c r="N147" s="4"/>
      <c r="O147" s="4"/>
      <c r="P147" s="4"/>
      <c r="Q147" s="4"/>
      <c r="R147" s="4" t="str">
        <f t="shared" ref="R147:Z147" si="127">IFERROR(R202/R$35*100,"")</f>
        <v/>
      </c>
      <c r="S147" s="4" t="str">
        <f t="shared" si="127"/>
        <v/>
      </c>
      <c r="T147" s="4" t="str">
        <f t="shared" si="127"/>
        <v/>
      </c>
      <c r="U147" s="4" t="str">
        <f t="shared" si="127"/>
        <v/>
      </c>
      <c r="V147" s="4" t="str">
        <f t="shared" si="127"/>
        <v/>
      </c>
      <c r="W147" s="4" t="str">
        <f t="shared" si="127"/>
        <v/>
      </c>
      <c r="X147" s="4" t="str">
        <f t="shared" si="127"/>
        <v/>
      </c>
      <c r="Y147" s="4" t="str">
        <f t="shared" si="127"/>
        <v/>
      </c>
      <c r="Z147" s="4" t="str">
        <f t="shared" si="127"/>
        <v/>
      </c>
    </row>
    <row r="148" spans="1:26" outlineLevel="1" x14ac:dyDescent="0.4">
      <c r="A148" s="1"/>
      <c r="B148" t="s">
        <v>65</v>
      </c>
      <c r="D148" s="4" t="str">
        <f t="shared" ref="D148:D153" si="128">IFERROR(D203/D$34*100,"")</f>
        <v/>
      </c>
      <c r="E148" s="4" t="str">
        <f t="shared" ref="E148:K148" si="129">IFERROR(E203/E$34*100,"")</f>
        <v/>
      </c>
      <c r="F148" s="4" t="str">
        <f t="shared" si="129"/>
        <v/>
      </c>
      <c r="G148" s="4" t="str">
        <f t="shared" si="129"/>
        <v/>
      </c>
      <c r="H148" s="4" t="str">
        <f t="shared" si="129"/>
        <v/>
      </c>
      <c r="I148" s="4" t="str">
        <f t="shared" si="129"/>
        <v/>
      </c>
      <c r="J148" s="4" t="str">
        <f t="shared" si="129"/>
        <v/>
      </c>
      <c r="K148" s="4" t="str">
        <f t="shared" si="129"/>
        <v/>
      </c>
      <c r="L148" s="4" t="str">
        <f t="shared" ref="L148:Q148" si="130">IFERROR(L203/L$34*100,"")</f>
        <v/>
      </c>
      <c r="M148" s="4" t="str">
        <f t="shared" si="130"/>
        <v/>
      </c>
      <c r="N148" s="4" t="str">
        <f t="shared" si="130"/>
        <v/>
      </c>
      <c r="O148" s="4" t="str">
        <f t="shared" si="130"/>
        <v/>
      </c>
      <c r="P148" s="4" t="str">
        <f t="shared" si="130"/>
        <v/>
      </c>
      <c r="Q148" s="4" t="str">
        <f t="shared" si="130"/>
        <v/>
      </c>
      <c r="R148" s="4"/>
      <c r="S148" s="4"/>
      <c r="T148" s="4"/>
      <c r="U148" s="4"/>
      <c r="V148" s="4"/>
      <c r="W148" s="4"/>
      <c r="X148" s="4"/>
      <c r="Y148" s="4"/>
      <c r="Z148" s="4"/>
    </row>
    <row r="149" spans="1:26" outlineLevel="1" x14ac:dyDescent="0.4">
      <c r="A149" s="1"/>
      <c r="B149" t="s">
        <v>66</v>
      </c>
      <c r="D149" s="4" t="str">
        <f t="shared" si="128"/>
        <v/>
      </c>
      <c r="E149" s="4" t="str">
        <f t="shared" ref="E149:K149" si="131">IFERROR(E204/E$34*100,"")</f>
        <v/>
      </c>
      <c r="F149" s="4" t="str">
        <f t="shared" si="131"/>
        <v/>
      </c>
      <c r="G149" s="4" t="str">
        <f t="shared" si="131"/>
        <v/>
      </c>
      <c r="H149" s="4" t="str">
        <f t="shared" si="131"/>
        <v/>
      </c>
      <c r="I149" s="4" t="str">
        <f t="shared" si="131"/>
        <v/>
      </c>
      <c r="J149" s="4" t="str">
        <f t="shared" si="131"/>
        <v/>
      </c>
      <c r="K149" s="4" t="str">
        <f t="shared" si="131"/>
        <v/>
      </c>
      <c r="L149" s="4" t="str">
        <f t="shared" ref="L149:Q149" si="132">IFERROR(L204/L$34*100,"")</f>
        <v/>
      </c>
      <c r="M149" s="4" t="str">
        <f t="shared" si="132"/>
        <v/>
      </c>
      <c r="N149" s="4" t="str">
        <f t="shared" si="132"/>
        <v/>
      </c>
      <c r="O149" s="4" t="str">
        <f t="shared" si="132"/>
        <v/>
      </c>
      <c r="P149" s="4" t="str">
        <f t="shared" si="132"/>
        <v/>
      </c>
      <c r="Q149" s="4" t="str">
        <f t="shared" si="132"/>
        <v/>
      </c>
      <c r="R149" s="4" t="str">
        <f t="shared" ref="R149:Z149" si="133">IFERROR(R204/R$35*100,"")</f>
        <v/>
      </c>
      <c r="S149" s="4" t="str">
        <f t="shared" si="133"/>
        <v/>
      </c>
      <c r="T149" s="4" t="str">
        <f t="shared" si="133"/>
        <v/>
      </c>
      <c r="U149" s="4" t="str">
        <f t="shared" si="133"/>
        <v/>
      </c>
      <c r="V149" s="4" t="str">
        <f t="shared" si="133"/>
        <v/>
      </c>
      <c r="W149" s="4" t="str">
        <f t="shared" si="133"/>
        <v/>
      </c>
      <c r="X149" s="4" t="str">
        <f t="shared" si="133"/>
        <v/>
      </c>
      <c r="Y149" s="4" t="str">
        <f t="shared" si="133"/>
        <v/>
      </c>
      <c r="Z149" s="4" t="str">
        <f t="shared" si="133"/>
        <v/>
      </c>
    </row>
    <row r="150" spans="1:26" outlineLevel="1" x14ac:dyDescent="0.4">
      <c r="A150" s="1"/>
      <c r="B150" t="s">
        <v>67</v>
      </c>
      <c r="D150" s="4" t="str">
        <f t="shared" si="128"/>
        <v/>
      </c>
      <c r="E150" s="4" t="str">
        <f t="shared" ref="E150:K150" si="134">IFERROR(E205/E$34*100,"")</f>
        <v/>
      </c>
      <c r="F150" s="4" t="str">
        <f t="shared" si="134"/>
        <v/>
      </c>
      <c r="G150" s="4" t="str">
        <f t="shared" si="134"/>
        <v/>
      </c>
      <c r="H150" s="4" t="str">
        <f t="shared" si="134"/>
        <v/>
      </c>
      <c r="I150" s="4" t="str">
        <f t="shared" si="134"/>
        <v/>
      </c>
      <c r="J150" s="4" t="str">
        <f t="shared" si="134"/>
        <v/>
      </c>
      <c r="K150" s="4" t="str">
        <f t="shared" si="134"/>
        <v/>
      </c>
      <c r="L150" s="4" t="str">
        <f t="shared" ref="L150:Q150" si="135">IFERROR(L205/L$34*100,"")</f>
        <v/>
      </c>
      <c r="M150" s="4" t="str">
        <f t="shared" si="135"/>
        <v/>
      </c>
      <c r="N150" s="4" t="str">
        <f t="shared" si="135"/>
        <v/>
      </c>
      <c r="O150" s="4" t="str">
        <f t="shared" si="135"/>
        <v/>
      </c>
      <c r="P150" s="4" t="str">
        <f t="shared" si="135"/>
        <v/>
      </c>
      <c r="Q150" s="4" t="str">
        <f t="shared" si="135"/>
        <v/>
      </c>
      <c r="R150" s="4" t="str">
        <f t="shared" ref="R150:Z150" si="136">IFERROR(R205/R$35*100,"")</f>
        <v/>
      </c>
      <c r="S150" s="4" t="str">
        <f t="shared" si="136"/>
        <v/>
      </c>
      <c r="T150" s="4" t="str">
        <f t="shared" si="136"/>
        <v/>
      </c>
      <c r="U150" s="4" t="str">
        <f t="shared" si="136"/>
        <v/>
      </c>
      <c r="V150" s="4" t="str">
        <f t="shared" si="136"/>
        <v/>
      </c>
      <c r="W150" s="4" t="str">
        <f t="shared" si="136"/>
        <v/>
      </c>
      <c r="X150" s="4" t="str">
        <f t="shared" si="136"/>
        <v/>
      </c>
      <c r="Y150" s="4" t="str">
        <f t="shared" si="136"/>
        <v/>
      </c>
      <c r="Z150" s="4" t="str">
        <f t="shared" si="136"/>
        <v/>
      </c>
    </row>
    <row r="151" spans="1:26" outlineLevel="1" x14ac:dyDescent="0.4">
      <c r="A151" s="1"/>
      <c r="B151" t="s">
        <v>68</v>
      </c>
      <c r="D151" s="4" t="str">
        <f t="shared" si="128"/>
        <v/>
      </c>
      <c r="E151" s="4" t="str">
        <f t="shared" ref="E151:K151" si="137">IFERROR(E206/E$34*100,"")</f>
        <v/>
      </c>
      <c r="F151" s="4" t="str">
        <f t="shared" si="137"/>
        <v/>
      </c>
      <c r="G151" s="4" t="str">
        <f t="shared" si="137"/>
        <v/>
      </c>
      <c r="H151" s="4" t="str">
        <f t="shared" si="137"/>
        <v/>
      </c>
      <c r="I151" s="4" t="str">
        <f t="shared" si="137"/>
        <v/>
      </c>
      <c r="J151" s="4" t="str">
        <f t="shared" si="137"/>
        <v/>
      </c>
      <c r="K151" s="4" t="str">
        <f t="shared" si="137"/>
        <v/>
      </c>
      <c r="L151" s="4" t="str">
        <f t="shared" ref="L151:Q151" si="138">IFERROR(L206/L$34*100,"")</f>
        <v/>
      </c>
      <c r="M151" s="4" t="str">
        <f t="shared" si="138"/>
        <v/>
      </c>
      <c r="N151" s="4" t="str">
        <f t="shared" si="138"/>
        <v/>
      </c>
      <c r="O151" s="4" t="str">
        <f t="shared" si="138"/>
        <v/>
      </c>
      <c r="P151" s="4" t="str">
        <f t="shared" si="138"/>
        <v/>
      </c>
      <c r="Q151" s="4" t="str">
        <f t="shared" si="138"/>
        <v/>
      </c>
      <c r="R151" s="4" t="str">
        <f t="shared" ref="R151:Z151" si="139">IFERROR(R206/R$35*100,"")</f>
        <v/>
      </c>
      <c r="S151" s="4" t="str">
        <f t="shared" si="139"/>
        <v/>
      </c>
      <c r="T151" s="4" t="str">
        <f t="shared" si="139"/>
        <v/>
      </c>
      <c r="U151" s="4" t="str">
        <f t="shared" si="139"/>
        <v/>
      </c>
      <c r="V151" s="4" t="str">
        <f t="shared" si="139"/>
        <v/>
      </c>
      <c r="W151" s="4" t="str">
        <f t="shared" si="139"/>
        <v/>
      </c>
      <c r="X151" s="4" t="str">
        <f t="shared" si="139"/>
        <v/>
      </c>
      <c r="Y151" s="4" t="str">
        <f t="shared" si="139"/>
        <v/>
      </c>
      <c r="Z151" s="4" t="str">
        <f t="shared" si="139"/>
        <v/>
      </c>
    </row>
    <row r="152" spans="1:26" outlineLevel="1" x14ac:dyDescent="0.4">
      <c r="A152" s="1"/>
      <c r="B152" t="s">
        <v>69</v>
      </c>
      <c r="D152" s="4" t="str">
        <f t="shared" si="128"/>
        <v/>
      </c>
      <c r="E152" s="4" t="str">
        <f t="shared" ref="E152:K152" si="140">IFERROR(E207/E$34*100,"")</f>
        <v/>
      </c>
      <c r="F152" s="4" t="str">
        <f t="shared" si="140"/>
        <v/>
      </c>
      <c r="G152" s="4" t="str">
        <f t="shared" si="140"/>
        <v/>
      </c>
      <c r="H152" s="4" t="str">
        <f t="shared" si="140"/>
        <v/>
      </c>
      <c r="I152" s="4" t="str">
        <f t="shared" si="140"/>
        <v/>
      </c>
      <c r="J152" s="4" t="str">
        <f t="shared" si="140"/>
        <v/>
      </c>
      <c r="K152" s="4" t="str">
        <f t="shared" si="140"/>
        <v/>
      </c>
      <c r="L152" s="4" t="str">
        <f t="shared" ref="L152:Q152" si="141">IFERROR(L207/L$34*100,"")</f>
        <v/>
      </c>
      <c r="M152" s="4" t="str">
        <f t="shared" si="141"/>
        <v/>
      </c>
      <c r="N152" s="4" t="str">
        <f t="shared" si="141"/>
        <v/>
      </c>
      <c r="O152" s="4" t="str">
        <f t="shared" si="141"/>
        <v/>
      </c>
      <c r="P152" s="4" t="str">
        <f t="shared" si="141"/>
        <v/>
      </c>
      <c r="Q152" s="4" t="str">
        <f t="shared" si="141"/>
        <v/>
      </c>
      <c r="R152" s="4" t="str">
        <f t="shared" ref="R152:Z152" si="142">IFERROR(R207/R$35*100,"")</f>
        <v/>
      </c>
      <c r="S152" s="4" t="str">
        <f t="shared" si="142"/>
        <v/>
      </c>
      <c r="T152" s="4" t="str">
        <f t="shared" si="142"/>
        <v/>
      </c>
      <c r="U152" s="4" t="str">
        <f t="shared" si="142"/>
        <v/>
      </c>
      <c r="V152" s="4" t="str">
        <f t="shared" si="142"/>
        <v/>
      </c>
      <c r="W152" s="4" t="str">
        <f t="shared" si="142"/>
        <v/>
      </c>
      <c r="X152" s="4" t="str">
        <f t="shared" si="142"/>
        <v/>
      </c>
      <c r="Y152" s="4" t="str">
        <f t="shared" si="142"/>
        <v/>
      </c>
      <c r="Z152" s="4" t="str">
        <f t="shared" si="142"/>
        <v/>
      </c>
    </row>
    <row r="153" spans="1:26" outlineLevel="1" x14ac:dyDescent="0.4">
      <c r="A153" s="1"/>
      <c r="B153" t="s">
        <v>70</v>
      </c>
      <c r="D153" s="4" t="str">
        <f t="shared" si="128"/>
        <v/>
      </c>
      <c r="E153" s="4" t="str">
        <f t="shared" ref="E153:K153" si="143">IFERROR(E208/E$34*100,"")</f>
        <v/>
      </c>
      <c r="F153" s="4" t="str">
        <f t="shared" si="143"/>
        <v/>
      </c>
      <c r="G153" s="4" t="str">
        <f t="shared" si="143"/>
        <v/>
      </c>
      <c r="H153" s="4" t="str">
        <f t="shared" si="143"/>
        <v/>
      </c>
      <c r="I153" s="4" t="str">
        <f t="shared" si="143"/>
        <v/>
      </c>
      <c r="J153" s="4" t="str">
        <f t="shared" si="143"/>
        <v/>
      </c>
      <c r="K153" s="4" t="str">
        <f t="shared" si="143"/>
        <v/>
      </c>
      <c r="L153" s="4" t="str">
        <f t="shared" ref="L153:Q153" si="144">IFERROR(L208/L$34*100,"")</f>
        <v/>
      </c>
      <c r="M153" s="4" t="str">
        <f t="shared" si="144"/>
        <v/>
      </c>
      <c r="N153" s="4" t="str">
        <f t="shared" si="144"/>
        <v/>
      </c>
      <c r="O153" s="4" t="str">
        <f t="shared" si="144"/>
        <v/>
      </c>
      <c r="P153" s="4" t="str">
        <f t="shared" si="144"/>
        <v/>
      </c>
      <c r="Q153" s="4" t="str">
        <f t="shared" si="144"/>
        <v/>
      </c>
      <c r="R153" s="4" t="str">
        <f t="shared" ref="R153:Z153" si="145">IFERROR(R208/R$35*100,"")</f>
        <v/>
      </c>
      <c r="S153" s="4" t="str">
        <f t="shared" si="145"/>
        <v/>
      </c>
      <c r="T153" s="4" t="str">
        <f t="shared" si="145"/>
        <v/>
      </c>
      <c r="U153" s="4" t="str">
        <f t="shared" si="145"/>
        <v/>
      </c>
      <c r="V153" s="4" t="str">
        <f t="shared" si="145"/>
        <v/>
      </c>
      <c r="W153" s="4" t="str">
        <f t="shared" si="145"/>
        <v/>
      </c>
      <c r="X153" s="4" t="str">
        <f t="shared" si="145"/>
        <v/>
      </c>
      <c r="Y153" s="4" t="str">
        <f t="shared" si="145"/>
        <v/>
      </c>
      <c r="Z153" s="4" t="str">
        <f t="shared" si="145"/>
        <v/>
      </c>
    </row>
    <row r="154" spans="1:26" outlineLevel="1" x14ac:dyDescent="0.4">
      <c r="A154" s="1"/>
      <c r="B154" s="1"/>
      <c r="C154" s="1"/>
      <c r="D154" s="1"/>
      <c r="E154" s="1"/>
      <c r="F154" s="1"/>
      <c r="G154" s="1"/>
      <c r="H154" s="1"/>
      <c r="I154" s="1"/>
      <c r="J154" s="1"/>
      <c r="K154" s="1"/>
      <c r="L154" s="1"/>
      <c r="M154" s="1"/>
      <c r="N154" s="1"/>
      <c r="O154" s="1"/>
      <c r="P154" s="1"/>
      <c r="Q154" s="1"/>
      <c r="R154" s="4" t="str">
        <f t="shared" ref="R154:Z154" si="146">IFERROR(R209/R$35*100,"")</f>
        <v/>
      </c>
      <c r="S154" s="4" t="str">
        <f t="shared" si="146"/>
        <v/>
      </c>
      <c r="T154" s="4" t="str">
        <f t="shared" si="146"/>
        <v/>
      </c>
      <c r="U154" s="4" t="str">
        <f t="shared" si="146"/>
        <v/>
      </c>
      <c r="V154" s="4" t="str">
        <f t="shared" si="146"/>
        <v/>
      </c>
      <c r="W154" s="4" t="str">
        <f t="shared" si="146"/>
        <v/>
      </c>
      <c r="X154" s="4" t="str">
        <f t="shared" si="146"/>
        <v/>
      </c>
      <c r="Y154" s="4" t="str">
        <f t="shared" si="146"/>
        <v/>
      </c>
      <c r="Z154" s="4" t="str">
        <f t="shared" si="146"/>
        <v/>
      </c>
    </row>
    <row r="155" spans="1:26" outlineLevel="1" x14ac:dyDescent="0.4">
      <c r="A155" s="1"/>
      <c r="B155" s="7" t="s">
        <v>71</v>
      </c>
      <c r="C155" s="7"/>
      <c r="D155" s="7"/>
      <c r="E155" s="7"/>
      <c r="F155" s="7"/>
      <c r="G155" s="7"/>
      <c r="H155" s="7"/>
      <c r="I155" s="7"/>
      <c r="J155" s="7"/>
      <c r="K155" s="7"/>
      <c r="L155" s="7"/>
      <c r="M155" s="7"/>
      <c r="N155" s="7"/>
      <c r="O155" s="7"/>
      <c r="P155" s="7"/>
      <c r="Q155" s="7"/>
      <c r="R155" s="1"/>
      <c r="S155" s="1"/>
      <c r="T155" s="1"/>
      <c r="U155" s="1"/>
      <c r="V155" s="1"/>
      <c r="W155" s="1"/>
      <c r="X155" s="1"/>
      <c r="Y155" s="1"/>
      <c r="Z155" s="1"/>
    </row>
    <row r="156" spans="1:26" ht="14.65" customHeight="1" outlineLevel="1" x14ac:dyDescent="0.7">
      <c r="A156" s="13"/>
      <c r="B156" s="57"/>
      <c r="R156" s="7"/>
      <c r="S156" s="7"/>
      <c r="T156" s="7"/>
      <c r="U156" s="7"/>
      <c r="V156" s="7"/>
      <c r="W156" s="7"/>
      <c r="X156" s="7"/>
      <c r="Y156" s="7"/>
      <c r="Z156" s="7"/>
    </row>
    <row r="157" spans="1:26" outlineLevel="1" x14ac:dyDescent="0.4">
      <c r="A157" s="1" t="s">
        <v>619</v>
      </c>
      <c r="B157" s="1"/>
      <c r="C157" s="1" t="s">
        <v>31</v>
      </c>
      <c r="D157" s="63" cm="1">
        <f t="array" ref="D157:G157">_xlfn.SEQUENCE(1, OutturnThrough-MTP_BaseYear+2, MTP_BaseYear-1)</f>
        <v>2022</v>
      </c>
      <c r="E157" s="63">
        <v>2023</v>
      </c>
      <c r="F157" s="63">
        <v>2024</v>
      </c>
      <c r="G157" s="63">
        <v>2025</v>
      </c>
      <c r="H157" s="63"/>
      <c r="I157" s="63"/>
      <c r="J157" s="63"/>
      <c r="K157" s="63"/>
      <c r="L157" s="63"/>
      <c r="M157" s="63"/>
      <c r="N157" s="63"/>
      <c r="O157" s="63"/>
      <c r="P157" s="63"/>
      <c r="Q157" s="63"/>
    </row>
    <row r="158" spans="1:26" outlineLevel="1" x14ac:dyDescent="0.4">
      <c r="A158" s="1"/>
      <c r="B158" s="1" t="s">
        <v>255</v>
      </c>
      <c r="C158" s="1"/>
      <c r="D158" s="63" t="str" cm="1">
        <f t="array" ref="D158:G158">IF(_xlfn.ANCHORARRAY(D103) = MTP_YearT, "T", "T" &amp; IF(_xlfn.ANCHORARRAY(D103) &gt; MTP_YearT, "+", "") &amp; (_xlfn.ANCHORARRAY(D103) - MTP_YearT))</f>
        <v>T-2</v>
      </c>
      <c r="E158" s="63" t="str">
        <v>T-1</v>
      </c>
      <c r="F158" s="63" t="str">
        <v>T</v>
      </c>
      <c r="G158" s="63" t="str">
        <v>T+1</v>
      </c>
      <c r="H158" s="63"/>
      <c r="I158" s="63"/>
      <c r="J158" s="63"/>
      <c r="K158" s="63"/>
      <c r="L158" s="63"/>
      <c r="M158" s="63"/>
      <c r="N158" s="63"/>
      <c r="O158" s="63"/>
      <c r="P158" s="63"/>
      <c r="Q158" s="63"/>
      <c r="R158" s="63"/>
      <c r="S158" s="63"/>
      <c r="T158" s="63"/>
      <c r="U158" s="63"/>
      <c r="V158" s="63"/>
      <c r="W158" s="63"/>
      <c r="X158" s="63"/>
      <c r="Y158" s="63"/>
      <c r="Z158" s="63"/>
    </row>
    <row r="159" spans="1:26" outlineLevel="1" x14ac:dyDescent="0.4">
      <c r="A159" s="1"/>
      <c r="B159" s="1" t="s">
        <v>30</v>
      </c>
      <c r="C159" s="1"/>
      <c r="D159" s="1"/>
      <c r="E159" s="1"/>
      <c r="F159" s="1"/>
      <c r="G159" s="1"/>
      <c r="H159" s="1"/>
      <c r="I159" s="1"/>
      <c r="J159" s="1"/>
      <c r="K159" s="1"/>
      <c r="L159" s="1"/>
      <c r="M159" s="1"/>
      <c r="N159" s="1"/>
      <c r="O159" s="1"/>
      <c r="P159" s="1"/>
      <c r="Q159" s="1"/>
      <c r="R159" s="63"/>
      <c r="S159" s="63"/>
      <c r="T159" s="63"/>
      <c r="U159" s="63"/>
      <c r="V159" s="63"/>
      <c r="W159" s="63"/>
      <c r="X159" s="63"/>
      <c r="Y159" s="63"/>
      <c r="Z159" s="63"/>
    </row>
    <row r="160" spans="1:26" outlineLevel="1" x14ac:dyDescent="0.4">
      <c r="A160" s="1">
        <v>1</v>
      </c>
      <c r="B160" t="s">
        <v>32</v>
      </c>
      <c r="C160" t="s">
        <v>72</v>
      </c>
      <c r="D160" s="9">
        <f t="shared" ref="D160:E160" si="147">D50</f>
        <v>0</v>
      </c>
      <c r="E160" s="9">
        <f t="shared" si="147"/>
        <v>0</v>
      </c>
      <c r="F160" s="9">
        <f t="shared" ref="F160:K160" si="148">F50</f>
        <v>0</v>
      </c>
      <c r="G160" s="9">
        <f t="shared" si="148"/>
        <v>0</v>
      </c>
      <c r="H160" s="9">
        <f t="shared" si="148"/>
        <v>0</v>
      </c>
      <c r="I160" s="9">
        <f t="shared" si="148"/>
        <v>0</v>
      </c>
      <c r="J160" s="9">
        <f t="shared" si="148"/>
        <v>0</v>
      </c>
      <c r="K160" s="9">
        <f t="shared" si="148"/>
        <v>0</v>
      </c>
      <c r="L160" s="9">
        <f t="shared" ref="L160:Z161" si="149">L50</f>
        <v>0</v>
      </c>
      <c r="M160" s="9">
        <f t="shared" si="149"/>
        <v>0</v>
      </c>
      <c r="N160" s="9">
        <f t="shared" si="149"/>
        <v>0</v>
      </c>
      <c r="O160" s="9">
        <f t="shared" si="149"/>
        <v>0</v>
      </c>
      <c r="P160" s="9">
        <f t="shared" si="149"/>
        <v>0</v>
      </c>
      <c r="Q160" s="9">
        <f t="shared" si="149"/>
        <v>0</v>
      </c>
      <c r="R160" s="1"/>
      <c r="S160" s="1"/>
      <c r="T160" s="1"/>
      <c r="U160" s="1"/>
      <c r="V160" s="1"/>
      <c r="W160" s="1"/>
      <c r="X160" s="1"/>
      <c r="Y160" s="1"/>
      <c r="Z160" s="1"/>
    </row>
    <row r="161" spans="1:26" outlineLevel="1" x14ac:dyDescent="0.4">
      <c r="A161" s="1">
        <v>2</v>
      </c>
      <c r="B161" t="s">
        <v>33</v>
      </c>
      <c r="C161" t="s">
        <v>73</v>
      </c>
      <c r="D161" s="9">
        <f t="shared" ref="D161:E161" si="150">D55</f>
        <v>0</v>
      </c>
      <c r="E161" s="9">
        <f t="shared" si="150"/>
        <v>0</v>
      </c>
      <c r="F161" s="9">
        <f t="shared" ref="F161:K161" si="151">F55</f>
        <v>0</v>
      </c>
      <c r="G161" s="9">
        <f t="shared" si="151"/>
        <v>0</v>
      </c>
      <c r="H161" s="9">
        <f t="shared" si="151"/>
        <v>0</v>
      </c>
      <c r="I161" s="9">
        <f t="shared" si="151"/>
        <v>0</v>
      </c>
      <c r="J161" s="9">
        <f t="shared" si="151"/>
        <v>0</v>
      </c>
      <c r="K161" s="9">
        <f t="shared" si="151"/>
        <v>0</v>
      </c>
      <c r="L161" s="9">
        <f t="shared" ref="L161:Z162" si="152">L55</f>
        <v>0</v>
      </c>
      <c r="M161" s="9">
        <f t="shared" si="152"/>
        <v>0</v>
      </c>
      <c r="N161" s="9">
        <f t="shared" si="152"/>
        <v>0</v>
      </c>
      <c r="O161" s="9">
        <f t="shared" si="152"/>
        <v>0</v>
      </c>
      <c r="P161" s="9">
        <f t="shared" si="152"/>
        <v>0</v>
      </c>
      <c r="Q161" s="9">
        <f t="shared" si="152"/>
        <v>0</v>
      </c>
      <c r="R161" s="9">
        <f t="shared" si="149"/>
        <v>0</v>
      </c>
      <c r="S161" s="9">
        <f t="shared" si="149"/>
        <v>0</v>
      </c>
      <c r="T161" s="9">
        <f t="shared" si="149"/>
        <v>0</v>
      </c>
      <c r="U161" s="9">
        <f t="shared" si="149"/>
        <v>0</v>
      </c>
      <c r="V161" s="9">
        <f t="shared" si="149"/>
        <v>0</v>
      </c>
      <c r="W161" s="9">
        <f t="shared" si="149"/>
        <v>0</v>
      </c>
      <c r="X161" s="9">
        <f t="shared" si="149"/>
        <v>0</v>
      </c>
      <c r="Y161" s="9">
        <f t="shared" si="149"/>
        <v>0</v>
      </c>
      <c r="Z161" s="9">
        <f t="shared" si="149"/>
        <v>0</v>
      </c>
    </row>
    <row r="162" spans="1:26" outlineLevel="1" x14ac:dyDescent="0.4">
      <c r="A162" s="1">
        <v>3</v>
      </c>
      <c r="B162" t="s">
        <v>34</v>
      </c>
      <c r="C162" t="s">
        <v>74</v>
      </c>
      <c r="D162" s="9">
        <f t="shared" ref="D162:E162" si="153">D70</f>
        <v>0</v>
      </c>
      <c r="E162" s="9">
        <f t="shared" si="153"/>
        <v>0</v>
      </c>
      <c r="F162" s="9">
        <f t="shared" ref="F162:K162" si="154">F70</f>
        <v>0</v>
      </c>
      <c r="G162" s="9">
        <f t="shared" si="154"/>
        <v>0</v>
      </c>
      <c r="H162" s="9">
        <f t="shared" si="154"/>
        <v>0</v>
      </c>
      <c r="I162" s="9">
        <f t="shared" si="154"/>
        <v>0</v>
      </c>
      <c r="J162" s="9">
        <f t="shared" si="154"/>
        <v>0</v>
      </c>
      <c r="K162" s="9">
        <f t="shared" si="154"/>
        <v>0</v>
      </c>
      <c r="L162" s="9">
        <f t="shared" ref="L162:Z163" si="155">L70</f>
        <v>0</v>
      </c>
      <c r="M162" s="9">
        <f t="shared" si="155"/>
        <v>0</v>
      </c>
      <c r="N162" s="9">
        <f t="shared" si="155"/>
        <v>0</v>
      </c>
      <c r="O162" s="9">
        <f t="shared" si="155"/>
        <v>0</v>
      </c>
      <c r="P162" s="9">
        <f t="shared" si="155"/>
        <v>0</v>
      </c>
      <c r="Q162" s="9">
        <f t="shared" si="155"/>
        <v>0</v>
      </c>
      <c r="R162" s="9">
        <f t="shared" si="152"/>
        <v>0</v>
      </c>
      <c r="S162" s="9">
        <f t="shared" si="152"/>
        <v>0</v>
      </c>
      <c r="T162" s="9">
        <f t="shared" si="152"/>
        <v>0</v>
      </c>
      <c r="U162" s="9">
        <f t="shared" si="152"/>
        <v>0</v>
      </c>
      <c r="V162" s="9">
        <f t="shared" si="152"/>
        <v>0</v>
      </c>
      <c r="W162" s="9">
        <f t="shared" si="152"/>
        <v>0</v>
      </c>
      <c r="X162" s="9">
        <f t="shared" si="152"/>
        <v>0</v>
      </c>
      <c r="Y162" s="9">
        <f t="shared" si="152"/>
        <v>0</v>
      </c>
      <c r="Z162" s="9">
        <f t="shared" si="152"/>
        <v>0</v>
      </c>
    </row>
    <row r="163" spans="1:26" outlineLevel="1" x14ac:dyDescent="0.4">
      <c r="A163" s="1">
        <v>4</v>
      </c>
      <c r="B163" t="s">
        <v>36</v>
      </c>
      <c r="C163" t="s">
        <v>75</v>
      </c>
      <c r="D163" s="9">
        <f t="shared" ref="D163:E163" si="156">(D85+D86+D87)+D67+D53+D57</f>
        <v>0</v>
      </c>
      <c r="E163" s="9">
        <f t="shared" si="156"/>
        <v>0</v>
      </c>
      <c r="F163" s="9">
        <f t="shared" ref="F163:K163" si="157">(F85+F86+F87)+F67+F53+F57</f>
        <v>0</v>
      </c>
      <c r="G163" s="9">
        <f t="shared" si="157"/>
        <v>0</v>
      </c>
      <c r="H163" s="9">
        <f t="shared" si="157"/>
        <v>0</v>
      </c>
      <c r="I163" s="9">
        <f t="shared" si="157"/>
        <v>0</v>
      </c>
      <c r="J163" s="9">
        <f t="shared" si="157"/>
        <v>0</v>
      </c>
      <c r="K163" s="9">
        <f t="shared" si="157"/>
        <v>0</v>
      </c>
      <c r="L163" s="9">
        <f t="shared" ref="L163:Z164" si="158">(L85+L86+L87)+L67+L53+L57</f>
        <v>0</v>
      </c>
      <c r="M163" s="9">
        <f t="shared" si="158"/>
        <v>0</v>
      </c>
      <c r="N163" s="9">
        <f t="shared" si="158"/>
        <v>0</v>
      </c>
      <c r="O163" s="9">
        <f t="shared" si="158"/>
        <v>0</v>
      </c>
      <c r="P163" s="9">
        <f t="shared" si="158"/>
        <v>0</v>
      </c>
      <c r="Q163" s="9">
        <f t="shared" si="158"/>
        <v>0</v>
      </c>
      <c r="R163" s="9">
        <f t="shared" si="155"/>
        <v>0</v>
      </c>
      <c r="S163" s="9">
        <f t="shared" si="155"/>
        <v>0</v>
      </c>
      <c r="T163" s="9">
        <f t="shared" si="155"/>
        <v>0</v>
      </c>
      <c r="U163" s="9">
        <f t="shared" si="155"/>
        <v>0</v>
      </c>
      <c r="V163" s="9">
        <f t="shared" si="155"/>
        <v>0</v>
      </c>
      <c r="W163" s="9">
        <f t="shared" si="155"/>
        <v>0</v>
      </c>
      <c r="X163" s="9">
        <f t="shared" si="155"/>
        <v>0</v>
      </c>
      <c r="Y163" s="9">
        <f t="shared" si="155"/>
        <v>0</v>
      </c>
      <c r="Z163" s="9">
        <f t="shared" si="155"/>
        <v>0</v>
      </c>
    </row>
    <row r="164" spans="1:26" outlineLevel="1" x14ac:dyDescent="0.4">
      <c r="A164" s="1">
        <v>5</v>
      </c>
      <c r="B164" t="s">
        <v>37</v>
      </c>
      <c r="C164" t="s">
        <v>76</v>
      </c>
      <c r="D164" s="9">
        <f t="shared" ref="D164:E164" si="159">D73</f>
        <v>0</v>
      </c>
      <c r="E164" s="9">
        <f t="shared" si="159"/>
        <v>0</v>
      </c>
      <c r="F164" s="9">
        <f t="shared" ref="F164:K164" si="160">F73</f>
        <v>0</v>
      </c>
      <c r="G164" s="9">
        <f t="shared" si="160"/>
        <v>0</v>
      </c>
      <c r="H164" s="9">
        <f t="shared" si="160"/>
        <v>0</v>
      </c>
      <c r="I164" s="9">
        <f t="shared" si="160"/>
        <v>0</v>
      </c>
      <c r="J164" s="9">
        <f t="shared" si="160"/>
        <v>0</v>
      </c>
      <c r="K164" s="9">
        <f t="shared" si="160"/>
        <v>0</v>
      </c>
      <c r="L164" s="9">
        <f t="shared" ref="L164:Z165" si="161">L73</f>
        <v>0</v>
      </c>
      <c r="M164" s="9">
        <f t="shared" si="161"/>
        <v>0</v>
      </c>
      <c r="N164" s="9">
        <f t="shared" si="161"/>
        <v>0</v>
      </c>
      <c r="O164" s="9">
        <f t="shared" si="161"/>
        <v>0</v>
      </c>
      <c r="P164" s="9">
        <f t="shared" si="161"/>
        <v>0</v>
      </c>
      <c r="Q164" s="9">
        <f t="shared" si="161"/>
        <v>0</v>
      </c>
      <c r="R164" s="9">
        <f t="shared" si="158"/>
        <v>0</v>
      </c>
      <c r="S164" s="9">
        <f t="shared" si="158"/>
        <v>0</v>
      </c>
      <c r="T164" s="9">
        <f t="shared" si="158"/>
        <v>0</v>
      </c>
      <c r="U164" s="9">
        <f t="shared" si="158"/>
        <v>0</v>
      </c>
      <c r="V164" s="9">
        <f t="shared" si="158"/>
        <v>0</v>
      </c>
      <c r="W164" s="9">
        <f t="shared" si="158"/>
        <v>0</v>
      </c>
      <c r="X164" s="9">
        <f t="shared" si="158"/>
        <v>0</v>
      </c>
      <c r="Y164" s="9">
        <f t="shared" si="158"/>
        <v>0</v>
      </c>
      <c r="Z164" s="9">
        <f t="shared" si="158"/>
        <v>0</v>
      </c>
    </row>
    <row r="165" spans="1:26" outlineLevel="1" x14ac:dyDescent="0.4">
      <c r="A165" s="1">
        <v>6</v>
      </c>
      <c r="B165" t="s">
        <v>38</v>
      </c>
      <c r="C165" t="s">
        <v>77</v>
      </c>
      <c r="D165" s="9">
        <f t="shared" ref="D165:E165" si="162">D74+D77</f>
        <v>0</v>
      </c>
      <c r="E165" s="9">
        <f t="shared" si="162"/>
        <v>0</v>
      </c>
      <c r="F165" s="9">
        <f t="shared" ref="F165:K165" si="163">F74+F77</f>
        <v>0</v>
      </c>
      <c r="G165" s="9">
        <f t="shared" si="163"/>
        <v>0</v>
      </c>
      <c r="H165" s="9">
        <f t="shared" si="163"/>
        <v>0</v>
      </c>
      <c r="I165" s="9">
        <f t="shared" si="163"/>
        <v>0</v>
      </c>
      <c r="J165" s="9">
        <f t="shared" si="163"/>
        <v>0</v>
      </c>
      <c r="K165" s="9">
        <f t="shared" si="163"/>
        <v>0</v>
      </c>
      <c r="L165" s="9">
        <f t="shared" ref="L165:Z166" si="164">L74+L77</f>
        <v>0</v>
      </c>
      <c r="M165" s="9">
        <f t="shared" si="164"/>
        <v>0</v>
      </c>
      <c r="N165" s="9">
        <f t="shared" si="164"/>
        <v>0</v>
      </c>
      <c r="O165" s="9">
        <f t="shared" si="164"/>
        <v>0</v>
      </c>
      <c r="P165" s="9">
        <f t="shared" si="164"/>
        <v>0</v>
      </c>
      <c r="Q165" s="9">
        <f t="shared" si="164"/>
        <v>0</v>
      </c>
      <c r="R165" s="9">
        <f t="shared" si="161"/>
        <v>0</v>
      </c>
      <c r="S165" s="9">
        <f t="shared" si="161"/>
        <v>0</v>
      </c>
      <c r="T165" s="9">
        <f t="shared" si="161"/>
        <v>0</v>
      </c>
      <c r="U165" s="9">
        <f t="shared" si="161"/>
        <v>0</v>
      </c>
      <c r="V165" s="9">
        <f t="shared" si="161"/>
        <v>0</v>
      </c>
      <c r="W165" s="9">
        <f t="shared" si="161"/>
        <v>0</v>
      </c>
      <c r="X165" s="9">
        <f t="shared" si="161"/>
        <v>0</v>
      </c>
      <c r="Y165" s="9">
        <f t="shared" si="161"/>
        <v>0</v>
      </c>
      <c r="Z165" s="9">
        <f t="shared" si="161"/>
        <v>0</v>
      </c>
    </row>
    <row r="166" spans="1:26" outlineLevel="1" x14ac:dyDescent="0.4">
      <c r="A166" s="1">
        <v>7</v>
      </c>
      <c r="B166" t="s">
        <v>39</v>
      </c>
      <c r="C166" t="s">
        <v>78</v>
      </c>
      <c r="D166" s="9">
        <f t="shared" ref="D166:E166" si="165">D160+D161+D162+D163+D164+D165</f>
        <v>0</v>
      </c>
      <c r="E166" s="9">
        <f t="shared" si="165"/>
        <v>0</v>
      </c>
      <c r="F166" s="9">
        <f t="shared" ref="F166:K166" si="166">F160+F161+F162+F163+F164+F165</f>
        <v>0</v>
      </c>
      <c r="G166" s="9">
        <f t="shared" si="166"/>
        <v>0</v>
      </c>
      <c r="H166" s="9">
        <f t="shared" si="166"/>
        <v>0</v>
      </c>
      <c r="I166" s="9">
        <f t="shared" si="166"/>
        <v>0</v>
      </c>
      <c r="J166" s="9">
        <f t="shared" si="166"/>
        <v>0</v>
      </c>
      <c r="K166" s="9">
        <f t="shared" si="166"/>
        <v>0</v>
      </c>
      <c r="L166" s="9">
        <f t="shared" ref="L166:Z167" si="167">L160+L161+L162+L163+L164+L165</f>
        <v>0</v>
      </c>
      <c r="M166" s="9">
        <f t="shared" si="167"/>
        <v>0</v>
      </c>
      <c r="N166" s="9">
        <f t="shared" si="167"/>
        <v>0</v>
      </c>
      <c r="O166" s="9">
        <f t="shared" si="167"/>
        <v>0</v>
      </c>
      <c r="P166" s="9">
        <f t="shared" si="167"/>
        <v>0</v>
      </c>
      <c r="Q166" s="9">
        <f t="shared" si="167"/>
        <v>0</v>
      </c>
      <c r="R166" s="9">
        <f t="shared" si="164"/>
        <v>0</v>
      </c>
      <c r="S166" s="9">
        <f t="shared" si="164"/>
        <v>0</v>
      </c>
      <c r="T166" s="9">
        <f t="shared" si="164"/>
        <v>0</v>
      </c>
      <c r="U166" s="9">
        <f t="shared" si="164"/>
        <v>0</v>
      </c>
      <c r="V166" s="9">
        <f t="shared" si="164"/>
        <v>0</v>
      </c>
      <c r="W166" s="9">
        <f t="shared" si="164"/>
        <v>0</v>
      </c>
      <c r="X166" s="9">
        <f t="shared" si="164"/>
        <v>0</v>
      </c>
      <c r="Y166" s="9">
        <f t="shared" si="164"/>
        <v>0</v>
      </c>
      <c r="Z166" s="9">
        <f t="shared" si="164"/>
        <v>0</v>
      </c>
    </row>
    <row r="167" spans="1:26" outlineLevel="1" x14ac:dyDescent="0.4">
      <c r="A167" s="1">
        <v>8</v>
      </c>
      <c r="B167" s="2" t="s">
        <v>40</v>
      </c>
      <c r="C167" t="s">
        <v>79</v>
      </c>
      <c r="D167" s="9">
        <f t="shared" ref="D167:E167" si="168">SUM(D58+D62)</f>
        <v>0</v>
      </c>
      <c r="E167" s="9">
        <f t="shared" si="168"/>
        <v>0</v>
      </c>
      <c r="F167" s="9">
        <f t="shared" ref="F167:K167" si="169">SUM(F58+F62)</f>
        <v>0</v>
      </c>
      <c r="G167" s="9">
        <f t="shared" si="169"/>
        <v>0</v>
      </c>
      <c r="H167" s="9">
        <f t="shared" si="169"/>
        <v>0</v>
      </c>
      <c r="I167" s="9">
        <f t="shared" si="169"/>
        <v>0</v>
      </c>
      <c r="J167" s="9">
        <f t="shared" si="169"/>
        <v>0</v>
      </c>
      <c r="K167" s="9">
        <f t="shared" si="169"/>
        <v>0</v>
      </c>
      <c r="L167" s="9">
        <f t="shared" ref="L167:Z168" si="170">SUM(L58+L62)</f>
        <v>0</v>
      </c>
      <c r="M167" s="9">
        <f t="shared" si="170"/>
        <v>0</v>
      </c>
      <c r="N167" s="9">
        <f t="shared" si="170"/>
        <v>0</v>
      </c>
      <c r="O167" s="9">
        <f t="shared" si="170"/>
        <v>0</v>
      </c>
      <c r="P167" s="9">
        <f t="shared" si="170"/>
        <v>0</v>
      </c>
      <c r="Q167" s="9">
        <f t="shared" si="170"/>
        <v>0</v>
      </c>
      <c r="R167" s="9">
        <f t="shared" si="167"/>
        <v>0</v>
      </c>
      <c r="S167" s="9">
        <f t="shared" si="167"/>
        <v>0</v>
      </c>
      <c r="T167" s="9">
        <f t="shared" si="167"/>
        <v>0</v>
      </c>
      <c r="U167" s="9">
        <f t="shared" si="167"/>
        <v>0</v>
      </c>
      <c r="V167" s="9">
        <f t="shared" si="167"/>
        <v>0</v>
      </c>
      <c r="W167" s="9">
        <f t="shared" si="167"/>
        <v>0</v>
      </c>
      <c r="X167" s="9">
        <f t="shared" si="167"/>
        <v>0</v>
      </c>
      <c r="Y167" s="9">
        <f t="shared" si="167"/>
        <v>0</v>
      </c>
      <c r="Z167" s="9">
        <f t="shared" si="167"/>
        <v>0</v>
      </c>
    </row>
    <row r="168" spans="1:26" outlineLevel="1" x14ac:dyDescent="0.4">
      <c r="A168" s="1">
        <v>9</v>
      </c>
      <c r="B168" t="s">
        <v>41</v>
      </c>
      <c r="D168" s="9">
        <f t="shared" ref="D168:E168" si="171">D166-D167</f>
        <v>0</v>
      </c>
      <c r="E168" s="9">
        <f t="shared" si="171"/>
        <v>0</v>
      </c>
      <c r="F168" s="9">
        <f t="shared" ref="F168:K168" si="172">F166-F167</f>
        <v>0</v>
      </c>
      <c r="G168" s="9">
        <f t="shared" si="172"/>
        <v>0</v>
      </c>
      <c r="H168" s="9">
        <f t="shared" si="172"/>
        <v>0</v>
      </c>
      <c r="I168" s="9">
        <f t="shared" si="172"/>
        <v>0</v>
      </c>
      <c r="J168" s="9">
        <f t="shared" si="172"/>
        <v>0</v>
      </c>
      <c r="K168" s="9">
        <f t="shared" si="172"/>
        <v>0</v>
      </c>
      <c r="L168" s="9">
        <f t="shared" ref="L168:Z169" si="173">L166-L167</f>
        <v>0</v>
      </c>
      <c r="M168" s="9">
        <f t="shared" si="173"/>
        <v>0</v>
      </c>
      <c r="N168" s="9">
        <f t="shared" si="173"/>
        <v>0</v>
      </c>
      <c r="O168" s="9">
        <f t="shared" si="173"/>
        <v>0</v>
      </c>
      <c r="P168" s="9">
        <f t="shared" si="173"/>
        <v>0</v>
      </c>
      <c r="Q168" s="9">
        <f t="shared" si="173"/>
        <v>0</v>
      </c>
      <c r="R168" s="9">
        <f t="shared" si="170"/>
        <v>0</v>
      </c>
      <c r="S168" s="9">
        <f t="shared" si="170"/>
        <v>0</v>
      </c>
      <c r="T168" s="9">
        <f t="shared" si="170"/>
        <v>0</v>
      </c>
      <c r="U168" s="9">
        <f t="shared" si="170"/>
        <v>0</v>
      </c>
      <c r="V168" s="9">
        <f t="shared" si="170"/>
        <v>0</v>
      </c>
      <c r="W168" s="9">
        <f t="shared" si="170"/>
        <v>0</v>
      </c>
      <c r="X168" s="9">
        <f t="shared" si="170"/>
        <v>0</v>
      </c>
      <c r="Y168" s="9">
        <f t="shared" si="170"/>
        <v>0</v>
      </c>
      <c r="Z168" s="9">
        <f t="shared" si="170"/>
        <v>0</v>
      </c>
    </row>
    <row r="169" spans="1:26" outlineLevel="1" x14ac:dyDescent="0.4">
      <c r="A169" s="1">
        <v>10</v>
      </c>
      <c r="B169" t="s">
        <v>42</v>
      </c>
      <c r="C169" t="s">
        <v>822</v>
      </c>
      <c r="D169" s="9">
        <f>D94</f>
        <v>0</v>
      </c>
      <c r="E169" s="9">
        <f t="shared" ref="E169:F169" si="174">E94</f>
        <v>0</v>
      </c>
      <c r="F169" s="9">
        <f t="shared" si="174"/>
        <v>0</v>
      </c>
      <c r="G169" s="9"/>
      <c r="H169" s="9"/>
      <c r="I169" s="9"/>
      <c r="J169" s="9"/>
      <c r="K169" s="9"/>
      <c r="L169" s="9"/>
      <c r="M169" s="9"/>
      <c r="N169" s="9"/>
      <c r="O169" s="9"/>
      <c r="P169" s="9"/>
      <c r="Q169" s="9"/>
      <c r="R169" s="9">
        <f t="shared" si="173"/>
        <v>0</v>
      </c>
      <c r="S169" s="9">
        <f t="shared" si="173"/>
        <v>0</v>
      </c>
      <c r="T169" s="9">
        <f t="shared" si="173"/>
        <v>0</v>
      </c>
      <c r="U169" s="9">
        <f t="shared" si="173"/>
        <v>0</v>
      </c>
      <c r="V169" s="9">
        <f t="shared" si="173"/>
        <v>0</v>
      </c>
      <c r="W169" s="9">
        <f t="shared" si="173"/>
        <v>0</v>
      </c>
      <c r="X169" s="9">
        <f t="shared" si="173"/>
        <v>0</v>
      </c>
      <c r="Y169" s="9">
        <f t="shared" si="173"/>
        <v>0</v>
      </c>
      <c r="Z169" s="9">
        <f t="shared" si="173"/>
        <v>0</v>
      </c>
    </row>
    <row r="170" spans="1:26" outlineLevel="1" x14ac:dyDescent="0.4">
      <c r="A170" s="1"/>
      <c r="B170" t="s">
        <v>316</v>
      </c>
      <c r="D170" s="9"/>
      <c r="E170" s="9"/>
      <c r="F170" s="9"/>
      <c r="G170" s="9"/>
      <c r="H170" s="9"/>
      <c r="I170" s="9"/>
      <c r="J170" s="9"/>
      <c r="K170" s="9"/>
      <c r="L170" s="9"/>
      <c r="M170" s="9"/>
      <c r="N170" s="9"/>
      <c r="O170" s="9"/>
      <c r="P170" s="9"/>
      <c r="Q170" s="9"/>
      <c r="R170" s="9"/>
      <c r="S170" s="9"/>
      <c r="T170" s="9"/>
      <c r="U170" s="9"/>
      <c r="V170" s="9"/>
      <c r="W170" s="9"/>
      <c r="X170" s="9"/>
      <c r="Y170" s="9"/>
      <c r="Z170" s="9"/>
    </row>
    <row r="171" spans="1:26" outlineLevel="1" x14ac:dyDescent="0.4">
      <c r="A171" s="1">
        <v>11</v>
      </c>
      <c r="B171" t="s">
        <v>273</v>
      </c>
      <c r="C171" t="s">
        <v>631</v>
      </c>
      <c r="D171" s="9">
        <v>0</v>
      </c>
      <c r="E171" s="9">
        <v>0</v>
      </c>
      <c r="F171" s="9">
        <v>1</v>
      </c>
      <c r="G171" s="9">
        <v>2</v>
      </c>
      <c r="H171" s="9">
        <v>3</v>
      </c>
      <c r="I171" s="9">
        <v>4</v>
      </c>
      <c r="J171" s="9">
        <v>5</v>
      </c>
      <c r="K171" s="9">
        <v>6</v>
      </c>
      <c r="L171" s="9">
        <v>7</v>
      </c>
      <c r="M171" s="9">
        <v>8</v>
      </c>
      <c r="N171" s="9">
        <v>9</v>
      </c>
      <c r="O171" s="9">
        <v>10</v>
      </c>
      <c r="P171" s="9">
        <v>11</v>
      </c>
      <c r="Q171" s="9">
        <v>12</v>
      </c>
      <c r="R171" s="9"/>
      <c r="S171" s="9"/>
      <c r="T171" s="9"/>
      <c r="U171" s="9"/>
      <c r="V171" s="9"/>
      <c r="W171" s="9"/>
      <c r="X171" s="9"/>
      <c r="Y171" s="9"/>
      <c r="Z171" s="9"/>
    </row>
    <row r="172" spans="1:26" outlineLevel="1" x14ac:dyDescent="0.4">
      <c r="A172" s="1"/>
      <c r="B172" s="1" t="s">
        <v>29</v>
      </c>
      <c r="C172" s="1"/>
      <c r="D172" s="1"/>
      <c r="E172" s="1"/>
      <c r="F172" s="1"/>
      <c r="G172" s="1"/>
      <c r="H172" s="1"/>
      <c r="I172" s="1"/>
      <c r="J172" s="1"/>
      <c r="K172" s="1"/>
      <c r="L172" s="1"/>
      <c r="M172" s="1"/>
      <c r="N172" s="1"/>
      <c r="O172" s="1"/>
      <c r="P172" s="1"/>
      <c r="Q172" s="1"/>
      <c r="R172" s="9">
        <v>13</v>
      </c>
      <c r="S172" s="9">
        <v>14</v>
      </c>
      <c r="T172" s="9">
        <v>15</v>
      </c>
      <c r="U172" s="9">
        <v>16</v>
      </c>
      <c r="V172" s="9">
        <v>17</v>
      </c>
      <c r="W172" s="9">
        <v>18</v>
      </c>
      <c r="X172" s="9">
        <v>19</v>
      </c>
      <c r="Y172" s="9">
        <v>20</v>
      </c>
      <c r="Z172" s="9">
        <v>21</v>
      </c>
    </row>
    <row r="173" spans="1:26" outlineLevel="1" x14ac:dyDescent="0.4">
      <c r="A173" s="1">
        <v>12</v>
      </c>
      <c r="B173" t="s">
        <v>44</v>
      </c>
      <c r="C173" t="s">
        <v>5</v>
      </c>
      <c r="D173" s="9">
        <f t="shared" ref="D173:E173" si="175">D49</f>
        <v>0</v>
      </c>
      <c r="E173" s="9">
        <f t="shared" si="175"/>
        <v>0</v>
      </c>
      <c r="F173" s="9">
        <f t="shared" ref="F173:K173" si="176">F49</f>
        <v>0</v>
      </c>
      <c r="G173" s="9">
        <f t="shared" si="176"/>
        <v>0</v>
      </c>
      <c r="H173" s="9">
        <f t="shared" si="176"/>
        <v>0</v>
      </c>
      <c r="I173" s="9">
        <f t="shared" si="176"/>
        <v>0</v>
      </c>
      <c r="J173" s="9">
        <f t="shared" si="176"/>
        <v>0</v>
      </c>
      <c r="K173" s="9">
        <f t="shared" si="176"/>
        <v>0</v>
      </c>
      <c r="L173" s="9">
        <f t="shared" ref="L173:Z174" si="177">L49</f>
        <v>0</v>
      </c>
      <c r="M173" s="9">
        <f t="shared" si="177"/>
        <v>0</v>
      </c>
      <c r="N173" s="9">
        <f t="shared" si="177"/>
        <v>0</v>
      </c>
      <c r="O173" s="9">
        <f t="shared" si="177"/>
        <v>0</v>
      </c>
      <c r="P173" s="9">
        <f t="shared" si="177"/>
        <v>0</v>
      </c>
      <c r="Q173" s="9">
        <f t="shared" si="177"/>
        <v>0</v>
      </c>
      <c r="R173" s="1"/>
      <c r="S173" s="1"/>
      <c r="T173" s="1"/>
      <c r="U173" s="1"/>
      <c r="V173" s="1"/>
      <c r="W173" s="1"/>
      <c r="X173" s="1"/>
      <c r="Y173" s="1"/>
      <c r="Z173" s="1"/>
    </row>
    <row r="174" spans="1:26" outlineLevel="1" x14ac:dyDescent="0.4">
      <c r="A174" s="1">
        <v>13</v>
      </c>
      <c r="B174" t="s">
        <v>45</v>
      </c>
      <c r="C174" t="s">
        <v>80</v>
      </c>
      <c r="D174" s="9">
        <f t="shared" ref="D174:E174" si="178">D79</f>
        <v>0</v>
      </c>
      <c r="E174" s="9">
        <f t="shared" si="178"/>
        <v>0</v>
      </c>
      <c r="F174" s="9">
        <f t="shared" ref="F174:K174" si="179">F79</f>
        <v>0</v>
      </c>
      <c r="G174" s="9">
        <f t="shared" si="179"/>
        <v>0</v>
      </c>
      <c r="H174" s="9">
        <f t="shared" si="179"/>
        <v>0</v>
      </c>
      <c r="I174" s="9">
        <f t="shared" si="179"/>
        <v>0</v>
      </c>
      <c r="J174" s="9">
        <f t="shared" si="179"/>
        <v>0</v>
      </c>
      <c r="K174" s="9">
        <f t="shared" si="179"/>
        <v>0</v>
      </c>
      <c r="L174" s="9">
        <f t="shared" ref="L174:Z175" si="180">L79</f>
        <v>0</v>
      </c>
      <c r="M174" s="9">
        <f t="shared" si="180"/>
        <v>0</v>
      </c>
      <c r="N174" s="9">
        <f t="shared" si="180"/>
        <v>0</v>
      </c>
      <c r="O174" s="9">
        <f t="shared" si="180"/>
        <v>0</v>
      </c>
      <c r="P174" s="9">
        <f t="shared" si="180"/>
        <v>0</v>
      </c>
      <c r="Q174" s="9">
        <f t="shared" si="180"/>
        <v>0</v>
      </c>
      <c r="R174" s="9">
        <f t="shared" si="177"/>
        <v>0</v>
      </c>
      <c r="S174" s="9">
        <f t="shared" si="177"/>
        <v>0</v>
      </c>
      <c r="T174" s="9">
        <f t="shared" si="177"/>
        <v>0</v>
      </c>
      <c r="U174" s="9">
        <f t="shared" si="177"/>
        <v>0</v>
      </c>
      <c r="V174" s="9">
        <f t="shared" si="177"/>
        <v>0</v>
      </c>
      <c r="W174" s="9">
        <f t="shared" si="177"/>
        <v>0</v>
      </c>
      <c r="X174" s="9">
        <f t="shared" si="177"/>
        <v>0</v>
      </c>
      <c r="Y174" s="9">
        <f t="shared" si="177"/>
        <v>0</v>
      </c>
      <c r="Z174" s="9">
        <f t="shared" si="177"/>
        <v>0</v>
      </c>
    </row>
    <row r="175" spans="1:26" outlineLevel="1" x14ac:dyDescent="0.4">
      <c r="A175" s="1">
        <v>14</v>
      </c>
      <c r="B175" t="s">
        <v>46</v>
      </c>
      <c r="C175" t="s">
        <v>28</v>
      </c>
      <c r="D175" s="9">
        <f t="shared" ref="D175:E175" si="181">D68</f>
        <v>0</v>
      </c>
      <c r="E175" s="9">
        <f t="shared" si="181"/>
        <v>0</v>
      </c>
      <c r="F175" s="9">
        <f t="shared" ref="F175:K175" si="182">F68</f>
        <v>0</v>
      </c>
      <c r="G175" s="9">
        <f t="shared" si="182"/>
        <v>0</v>
      </c>
      <c r="H175" s="9">
        <f t="shared" si="182"/>
        <v>0</v>
      </c>
      <c r="I175" s="9">
        <f t="shared" si="182"/>
        <v>0</v>
      </c>
      <c r="J175" s="9">
        <f t="shared" si="182"/>
        <v>0</v>
      </c>
      <c r="K175" s="9">
        <f t="shared" si="182"/>
        <v>0</v>
      </c>
      <c r="L175" s="9">
        <f t="shared" ref="L175:Z176" si="183">L68</f>
        <v>0</v>
      </c>
      <c r="M175" s="9">
        <f t="shared" si="183"/>
        <v>0</v>
      </c>
      <c r="N175" s="9">
        <f t="shared" si="183"/>
        <v>0</v>
      </c>
      <c r="O175" s="9">
        <f t="shared" si="183"/>
        <v>0</v>
      </c>
      <c r="P175" s="9">
        <f t="shared" si="183"/>
        <v>0</v>
      </c>
      <c r="Q175" s="9">
        <f t="shared" si="183"/>
        <v>0</v>
      </c>
      <c r="R175" s="9">
        <f t="shared" si="180"/>
        <v>0</v>
      </c>
      <c r="S175" s="9">
        <f t="shared" si="180"/>
        <v>0</v>
      </c>
      <c r="T175" s="9">
        <f t="shared" si="180"/>
        <v>0</v>
      </c>
      <c r="U175" s="9">
        <f t="shared" si="180"/>
        <v>0</v>
      </c>
      <c r="V175" s="9">
        <f t="shared" si="180"/>
        <v>0</v>
      </c>
      <c r="W175" s="9">
        <f t="shared" si="180"/>
        <v>0</v>
      </c>
      <c r="X175" s="9">
        <f t="shared" si="180"/>
        <v>0</v>
      </c>
      <c r="Y175" s="9">
        <f t="shared" si="180"/>
        <v>0</v>
      </c>
      <c r="Z175" s="9">
        <f t="shared" si="180"/>
        <v>0</v>
      </c>
    </row>
    <row r="176" spans="1:26" outlineLevel="1" x14ac:dyDescent="0.4">
      <c r="A176" s="1">
        <v>15</v>
      </c>
      <c r="B176" t="s">
        <v>47</v>
      </c>
      <c r="C176" t="s">
        <v>81</v>
      </c>
      <c r="D176" s="9">
        <f t="shared" ref="D176:E176" si="184">D71</f>
        <v>0</v>
      </c>
      <c r="E176" s="9">
        <f t="shared" si="184"/>
        <v>0</v>
      </c>
      <c r="F176" s="9">
        <f t="shared" ref="F176:K176" si="185">F71</f>
        <v>0</v>
      </c>
      <c r="G176" s="9">
        <f t="shared" si="185"/>
        <v>0</v>
      </c>
      <c r="H176" s="9">
        <f t="shared" si="185"/>
        <v>0</v>
      </c>
      <c r="I176" s="9">
        <f t="shared" si="185"/>
        <v>0</v>
      </c>
      <c r="J176" s="9">
        <f t="shared" si="185"/>
        <v>0</v>
      </c>
      <c r="K176" s="9">
        <f t="shared" si="185"/>
        <v>0</v>
      </c>
      <c r="L176" s="9">
        <f t="shared" ref="L176:Z177" si="186">L71</f>
        <v>0</v>
      </c>
      <c r="M176" s="9">
        <f t="shared" si="186"/>
        <v>0</v>
      </c>
      <c r="N176" s="9">
        <f t="shared" si="186"/>
        <v>0</v>
      </c>
      <c r="O176" s="9">
        <f t="shared" si="186"/>
        <v>0</v>
      </c>
      <c r="P176" s="9">
        <f t="shared" si="186"/>
        <v>0</v>
      </c>
      <c r="Q176" s="9">
        <f t="shared" si="186"/>
        <v>0</v>
      </c>
      <c r="R176" s="9">
        <f t="shared" si="183"/>
        <v>0</v>
      </c>
      <c r="S176" s="9">
        <f t="shared" si="183"/>
        <v>0</v>
      </c>
      <c r="T176" s="9">
        <f t="shared" si="183"/>
        <v>0</v>
      </c>
      <c r="U176" s="9">
        <f t="shared" si="183"/>
        <v>0</v>
      </c>
      <c r="V176" s="9">
        <f t="shared" si="183"/>
        <v>0</v>
      </c>
      <c r="W176" s="9">
        <f t="shared" si="183"/>
        <v>0</v>
      </c>
      <c r="X176" s="9">
        <f t="shared" si="183"/>
        <v>0</v>
      </c>
      <c r="Y176" s="9">
        <f t="shared" si="183"/>
        <v>0</v>
      </c>
      <c r="Z176" s="9">
        <f t="shared" si="183"/>
        <v>0</v>
      </c>
    </row>
    <row r="177" spans="1:26" outlineLevel="1" x14ac:dyDescent="0.4">
      <c r="A177" s="1">
        <v>16</v>
      </c>
      <c r="B177" t="s">
        <v>48</v>
      </c>
      <c r="C177" t="s">
        <v>82</v>
      </c>
      <c r="D177" s="9">
        <f t="shared" ref="D177:E177" si="187">D72</f>
        <v>0</v>
      </c>
      <c r="E177" s="9">
        <f t="shared" si="187"/>
        <v>0</v>
      </c>
      <c r="F177" s="9">
        <f t="shared" ref="F177:K177" si="188">F72</f>
        <v>0</v>
      </c>
      <c r="G177" s="9">
        <f t="shared" si="188"/>
        <v>0</v>
      </c>
      <c r="H177" s="9">
        <f t="shared" si="188"/>
        <v>0</v>
      </c>
      <c r="I177" s="9">
        <f t="shared" si="188"/>
        <v>0</v>
      </c>
      <c r="J177" s="9">
        <f t="shared" si="188"/>
        <v>0</v>
      </c>
      <c r="K177" s="9">
        <f t="shared" si="188"/>
        <v>0</v>
      </c>
      <c r="L177" s="9">
        <f t="shared" ref="L177:Z178" si="189">L72</f>
        <v>0</v>
      </c>
      <c r="M177" s="9">
        <f t="shared" si="189"/>
        <v>0</v>
      </c>
      <c r="N177" s="9">
        <f t="shared" si="189"/>
        <v>0</v>
      </c>
      <c r="O177" s="9">
        <f t="shared" si="189"/>
        <v>0</v>
      </c>
      <c r="P177" s="9">
        <f t="shared" si="189"/>
        <v>0</v>
      </c>
      <c r="Q177" s="9">
        <f t="shared" si="189"/>
        <v>0</v>
      </c>
      <c r="R177" s="9">
        <f t="shared" si="186"/>
        <v>0</v>
      </c>
      <c r="S177" s="9">
        <f t="shared" si="186"/>
        <v>0</v>
      </c>
      <c r="T177" s="9">
        <f t="shared" si="186"/>
        <v>0</v>
      </c>
      <c r="U177" s="9">
        <f t="shared" si="186"/>
        <v>0</v>
      </c>
      <c r="V177" s="9">
        <f t="shared" si="186"/>
        <v>0</v>
      </c>
      <c r="W177" s="9">
        <f t="shared" si="186"/>
        <v>0</v>
      </c>
      <c r="X177" s="9">
        <f t="shared" si="186"/>
        <v>0</v>
      </c>
      <c r="Y177" s="9">
        <f t="shared" si="186"/>
        <v>0</v>
      </c>
      <c r="Z177" s="9">
        <f t="shared" si="186"/>
        <v>0</v>
      </c>
    </row>
    <row r="178" spans="1:26" outlineLevel="1" x14ac:dyDescent="0.4">
      <c r="A178" s="1">
        <v>17</v>
      </c>
      <c r="B178" t="s">
        <v>49</v>
      </c>
      <c r="C178" t="s">
        <v>83</v>
      </c>
      <c r="D178" s="9">
        <f t="shared" ref="D178:E178" si="190">D51</f>
        <v>0</v>
      </c>
      <c r="E178" s="9">
        <f t="shared" si="190"/>
        <v>0</v>
      </c>
      <c r="F178" s="9">
        <f t="shared" ref="F178:K178" si="191">F51</f>
        <v>0</v>
      </c>
      <c r="G178" s="9">
        <f t="shared" si="191"/>
        <v>0</v>
      </c>
      <c r="H178" s="9">
        <f t="shared" si="191"/>
        <v>0</v>
      </c>
      <c r="I178" s="9">
        <f t="shared" si="191"/>
        <v>0</v>
      </c>
      <c r="J178" s="9">
        <f t="shared" si="191"/>
        <v>0</v>
      </c>
      <c r="K178" s="9">
        <f t="shared" si="191"/>
        <v>0</v>
      </c>
      <c r="L178" s="9">
        <f t="shared" ref="L178:Z179" si="192">L51</f>
        <v>0</v>
      </c>
      <c r="M178" s="9">
        <f t="shared" si="192"/>
        <v>0</v>
      </c>
      <c r="N178" s="9">
        <f t="shared" si="192"/>
        <v>0</v>
      </c>
      <c r="O178" s="9">
        <f t="shared" si="192"/>
        <v>0</v>
      </c>
      <c r="P178" s="9">
        <f t="shared" si="192"/>
        <v>0</v>
      </c>
      <c r="Q178" s="9">
        <f t="shared" si="192"/>
        <v>0</v>
      </c>
      <c r="R178" s="9">
        <f t="shared" si="189"/>
        <v>0</v>
      </c>
      <c r="S178" s="9">
        <f t="shared" si="189"/>
        <v>0</v>
      </c>
      <c r="T178" s="9">
        <f t="shared" si="189"/>
        <v>0</v>
      </c>
      <c r="U178" s="9">
        <f t="shared" si="189"/>
        <v>0</v>
      </c>
      <c r="V178" s="9">
        <f t="shared" si="189"/>
        <v>0</v>
      </c>
      <c r="W178" s="9">
        <f t="shared" si="189"/>
        <v>0</v>
      </c>
      <c r="X178" s="9">
        <f t="shared" si="189"/>
        <v>0</v>
      </c>
      <c r="Y178" s="9">
        <f t="shared" si="189"/>
        <v>0</v>
      </c>
      <c r="Z178" s="9">
        <f t="shared" si="189"/>
        <v>0</v>
      </c>
    </row>
    <row r="179" spans="1:26" outlineLevel="1" x14ac:dyDescent="0.4">
      <c r="A179" s="1">
        <v>18</v>
      </c>
      <c r="B179" t="s">
        <v>50</v>
      </c>
      <c r="C179" t="s">
        <v>84</v>
      </c>
      <c r="D179" s="9">
        <f t="shared" ref="D179:E179" si="193">D64+(D52-D68)+D54+D56+D59</f>
        <v>0</v>
      </c>
      <c r="E179" s="9">
        <f t="shared" si="193"/>
        <v>0</v>
      </c>
      <c r="F179" s="9">
        <f t="shared" ref="F179:K179" si="194">F64+(F52-F68)+F54+F56+F59</f>
        <v>0</v>
      </c>
      <c r="G179" s="9">
        <f t="shared" si="194"/>
        <v>0</v>
      </c>
      <c r="H179" s="9">
        <f t="shared" si="194"/>
        <v>0</v>
      </c>
      <c r="I179" s="9">
        <f t="shared" si="194"/>
        <v>0</v>
      </c>
      <c r="J179" s="9">
        <f t="shared" si="194"/>
        <v>0</v>
      </c>
      <c r="K179" s="9">
        <f t="shared" si="194"/>
        <v>0</v>
      </c>
      <c r="L179" s="9">
        <f t="shared" ref="L179:Z180" si="195">L64+(L52-L68)+L54+L56+L59</f>
        <v>0</v>
      </c>
      <c r="M179" s="9">
        <f t="shared" si="195"/>
        <v>0</v>
      </c>
      <c r="N179" s="9">
        <f t="shared" si="195"/>
        <v>0</v>
      </c>
      <c r="O179" s="9">
        <f t="shared" si="195"/>
        <v>0</v>
      </c>
      <c r="P179" s="9">
        <f t="shared" si="195"/>
        <v>0</v>
      </c>
      <c r="Q179" s="9">
        <f t="shared" si="195"/>
        <v>0</v>
      </c>
      <c r="R179" s="9">
        <f t="shared" si="192"/>
        <v>0</v>
      </c>
      <c r="S179" s="9">
        <f t="shared" si="192"/>
        <v>0</v>
      </c>
      <c r="T179" s="9">
        <f t="shared" si="192"/>
        <v>0</v>
      </c>
      <c r="U179" s="9">
        <f t="shared" si="192"/>
        <v>0</v>
      </c>
      <c r="V179" s="9">
        <f t="shared" si="192"/>
        <v>0</v>
      </c>
      <c r="W179" s="9">
        <f t="shared" si="192"/>
        <v>0</v>
      </c>
      <c r="X179" s="9">
        <f t="shared" si="192"/>
        <v>0</v>
      </c>
      <c r="Y179" s="9">
        <f t="shared" si="192"/>
        <v>0</v>
      </c>
      <c r="Z179" s="9">
        <f t="shared" si="192"/>
        <v>0</v>
      </c>
    </row>
    <row r="180" spans="1:26" outlineLevel="1" x14ac:dyDescent="0.4">
      <c r="A180" s="1">
        <v>19</v>
      </c>
      <c r="B180" t="s">
        <v>10</v>
      </c>
      <c r="C180" t="s">
        <v>4</v>
      </c>
      <c r="D180" s="9">
        <f t="shared" ref="D180:E180" si="196">D83</f>
        <v>0</v>
      </c>
      <c r="E180" s="9">
        <f t="shared" si="196"/>
        <v>0</v>
      </c>
      <c r="F180" s="9">
        <f t="shared" ref="F180:K180" si="197">F83</f>
        <v>0</v>
      </c>
      <c r="G180" s="9">
        <f t="shared" si="197"/>
        <v>0</v>
      </c>
      <c r="H180" s="9">
        <f t="shared" si="197"/>
        <v>0</v>
      </c>
      <c r="I180" s="9">
        <f t="shared" si="197"/>
        <v>0</v>
      </c>
      <c r="J180" s="9">
        <f t="shared" si="197"/>
        <v>0</v>
      </c>
      <c r="K180" s="9">
        <f t="shared" si="197"/>
        <v>0</v>
      </c>
      <c r="L180" s="9">
        <f t="shared" ref="L180:Z181" si="198">L83</f>
        <v>0</v>
      </c>
      <c r="M180" s="9">
        <f t="shared" si="198"/>
        <v>0</v>
      </c>
      <c r="N180" s="9">
        <f t="shared" si="198"/>
        <v>0</v>
      </c>
      <c r="O180" s="9">
        <f t="shared" si="198"/>
        <v>0</v>
      </c>
      <c r="P180" s="9">
        <f t="shared" si="198"/>
        <v>0</v>
      </c>
      <c r="Q180" s="9">
        <f t="shared" si="198"/>
        <v>0</v>
      </c>
      <c r="R180" s="9">
        <f t="shared" si="195"/>
        <v>0</v>
      </c>
      <c r="S180" s="9">
        <f t="shared" si="195"/>
        <v>0</v>
      </c>
      <c r="T180" s="9">
        <f t="shared" si="195"/>
        <v>0</v>
      </c>
      <c r="U180" s="9">
        <f t="shared" si="195"/>
        <v>0</v>
      </c>
      <c r="V180" s="9">
        <f t="shared" si="195"/>
        <v>0</v>
      </c>
      <c r="W180" s="9">
        <f t="shared" si="195"/>
        <v>0</v>
      </c>
      <c r="X180" s="9">
        <f t="shared" si="195"/>
        <v>0</v>
      </c>
      <c r="Y180" s="9">
        <f t="shared" si="195"/>
        <v>0</v>
      </c>
      <c r="Z180" s="9">
        <f t="shared" si="195"/>
        <v>0</v>
      </c>
    </row>
    <row r="181" spans="1:26" outlineLevel="1" x14ac:dyDescent="0.4">
      <c r="A181" s="1">
        <v>20</v>
      </c>
      <c r="B181" s="2" t="s">
        <v>51</v>
      </c>
      <c r="R181" s="9">
        <f t="shared" si="198"/>
        <v>0</v>
      </c>
      <c r="S181" s="9">
        <f t="shared" si="198"/>
        <v>0</v>
      </c>
      <c r="T181" s="9">
        <f t="shared" si="198"/>
        <v>0</v>
      </c>
      <c r="U181" s="9">
        <f t="shared" si="198"/>
        <v>0</v>
      </c>
      <c r="V181" s="9">
        <f t="shared" si="198"/>
        <v>0</v>
      </c>
      <c r="W181" s="9">
        <f t="shared" si="198"/>
        <v>0</v>
      </c>
      <c r="X181" s="9">
        <f t="shared" si="198"/>
        <v>0</v>
      </c>
      <c r="Y181" s="9">
        <f t="shared" si="198"/>
        <v>0</v>
      </c>
      <c r="Z181" s="9">
        <f t="shared" si="198"/>
        <v>0</v>
      </c>
    </row>
    <row r="182" spans="1:26" outlineLevel="1" x14ac:dyDescent="0.4">
      <c r="A182" s="1">
        <v>21</v>
      </c>
      <c r="B182" t="s">
        <v>52</v>
      </c>
      <c r="C182" t="s">
        <v>85</v>
      </c>
      <c r="D182" s="145">
        <f t="shared" ref="D182:E182" si="199">D60</f>
        <v>0</v>
      </c>
      <c r="E182" s="145">
        <f t="shared" si="199"/>
        <v>0</v>
      </c>
      <c r="F182" s="145">
        <f t="shared" ref="F182:K182" si="200">F60</f>
        <v>0</v>
      </c>
      <c r="G182" s="145">
        <f t="shared" si="200"/>
        <v>0</v>
      </c>
      <c r="H182" s="145">
        <f t="shared" si="200"/>
        <v>0</v>
      </c>
      <c r="I182" s="145">
        <f t="shared" si="200"/>
        <v>0</v>
      </c>
      <c r="J182" s="145">
        <f t="shared" si="200"/>
        <v>0</v>
      </c>
      <c r="K182" s="145">
        <f t="shared" si="200"/>
        <v>0</v>
      </c>
      <c r="L182" s="145">
        <f t="shared" ref="L182:Z183" si="201">L60</f>
        <v>0</v>
      </c>
      <c r="M182" s="145">
        <f t="shared" si="201"/>
        <v>0</v>
      </c>
      <c r="N182" s="145">
        <f t="shared" si="201"/>
        <v>0</v>
      </c>
      <c r="O182" s="145">
        <f t="shared" si="201"/>
        <v>0</v>
      </c>
      <c r="P182" s="145">
        <f t="shared" si="201"/>
        <v>0</v>
      </c>
      <c r="Q182" s="145">
        <f t="shared" si="201"/>
        <v>0</v>
      </c>
    </row>
    <row r="183" spans="1:26" outlineLevel="1" x14ac:dyDescent="0.4">
      <c r="A183" s="1">
        <v>22</v>
      </c>
      <c r="B183" t="s">
        <v>53</v>
      </c>
      <c r="C183" t="s">
        <v>86</v>
      </c>
      <c r="D183" s="145">
        <f t="shared" ref="D183:E183" si="202">D84+D78</f>
        <v>0</v>
      </c>
      <c r="E183" s="145">
        <f t="shared" si="202"/>
        <v>0</v>
      </c>
      <c r="F183" s="145">
        <f t="shared" ref="F183:K183" si="203">F84+F78</f>
        <v>0</v>
      </c>
      <c r="G183" s="145">
        <f t="shared" si="203"/>
        <v>0</v>
      </c>
      <c r="H183" s="145">
        <f t="shared" si="203"/>
        <v>0</v>
      </c>
      <c r="I183" s="145">
        <f t="shared" si="203"/>
        <v>0</v>
      </c>
      <c r="J183" s="145">
        <f t="shared" si="203"/>
        <v>0</v>
      </c>
      <c r="K183" s="145">
        <f t="shared" si="203"/>
        <v>0</v>
      </c>
      <c r="L183" s="145">
        <f t="shared" ref="L183:Z184" si="204">L84+L78</f>
        <v>0</v>
      </c>
      <c r="M183" s="145">
        <f t="shared" si="204"/>
        <v>0</v>
      </c>
      <c r="N183" s="145">
        <f t="shared" si="204"/>
        <v>0</v>
      </c>
      <c r="O183" s="145">
        <f t="shared" si="204"/>
        <v>0</v>
      </c>
      <c r="P183" s="145">
        <f t="shared" si="204"/>
        <v>0</v>
      </c>
      <c r="Q183" s="145">
        <f t="shared" si="204"/>
        <v>0</v>
      </c>
      <c r="R183" s="145">
        <f t="shared" si="201"/>
        <v>0</v>
      </c>
      <c r="S183" s="145">
        <f t="shared" si="201"/>
        <v>0</v>
      </c>
      <c r="T183" s="145">
        <f t="shared" si="201"/>
        <v>0</v>
      </c>
      <c r="U183" s="145">
        <f t="shared" si="201"/>
        <v>0</v>
      </c>
      <c r="V183" s="145">
        <f t="shared" si="201"/>
        <v>0</v>
      </c>
      <c r="W183" s="145">
        <f t="shared" si="201"/>
        <v>0</v>
      </c>
      <c r="X183" s="145">
        <f t="shared" si="201"/>
        <v>0</v>
      </c>
      <c r="Y183" s="145">
        <f t="shared" si="201"/>
        <v>0</v>
      </c>
      <c r="Z183" s="145">
        <f t="shared" si="201"/>
        <v>0</v>
      </c>
    </row>
    <row r="184" spans="1:26" outlineLevel="1" x14ac:dyDescent="0.4">
      <c r="A184" s="1">
        <v>23</v>
      </c>
      <c r="B184" t="s">
        <v>54</v>
      </c>
      <c r="C184" t="s">
        <v>87</v>
      </c>
      <c r="D184" s="9">
        <f t="shared" ref="D184" si="205">D173+D174+D175+D176+D177+D178+D179+D180+D182+D183</f>
        <v>0</v>
      </c>
      <c r="E184" s="9">
        <f>E173+E174+E175+E176+E177+E178+E179+E180+E182+E183</f>
        <v>0</v>
      </c>
      <c r="F184" s="9">
        <f t="shared" ref="F184:K184" si="206">F173+F174+F175+F176+F177+F178+F179+F180+F182+F183</f>
        <v>0</v>
      </c>
      <c r="G184" s="9">
        <f t="shared" si="206"/>
        <v>0</v>
      </c>
      <c r="H184" s="9">
        <f t="shared" si="206"/>
        <v>0</v>
      </c>
      <c r="I184" s="9">
        <f t="shared" si="206"/>
        <v>0</v>
      </c>
      <c r="J184" s="9">
        <f t="shared" si="206"/>
        <v>0</v>
      </c>
      <c r="K184" s="9">
        <f t="shared" si="206"/>
        <v>0</v>
      </c>
      <c r="L184" s="9">
        <f t="shared" ref="L184:Z185" si="207">L173+L174+L175+L176+L177+L178+L179+L180+L182+L183</f>
        <v>0</v>
      </c>
      <c r="M184" s="9">
        <f t="shared" si="207"/>
        <v>0</v>
      </c>
      <c r="N184" s="9">
        <f t="shared" si="207"/>
        <v>0</v>
      </c>
      <c r="O184" s="9">
        <f t="shared" si="207"/>
        <v>0</v>
      </c>
      <c r="P184" s="9">
        <f t="shared" si="207"/>
        <v>0</v>
      </c>
      <c r="Q184" s="9">
        <f t="shared" si="207"/>
        <v>0</v>
      </c>
      <c r="R184" s="145">
        <f t="shared" si="204"/>
        <v>0</v>
      </c>
      <c r="S184" s="145">
        <f t="shared" si="204"/>
        <v>0</v>
      </c>
      <c r="T184" s="145">
        <f t="shared" si="204"/>
        <v>0</v>
      </c>
      <c r="U184" s="145">
        <f t="shared" si="204"/>
        <v>0</v>
      </c>
      <c r="V184" s="145">
        <f t="shared" si="204"/>
        <v>0</v>
      </c>
      <c r="W184" s="145">
        <f t="shared" si="204"/>
        <v>0</v>
      </c>
      <c r="X184" s="145">
        <f t="shared" si="204"/>
        <v>0</v>
      </c>
      <c r="Y184" s="145">
        <f t="shared" si="204"/>
        <v>0</v>
      </c>
      <c r="Z184" s="145">
        <f t="shared" si="204"/>
        <v>0</v>
      </c>
    </row>
    <row r="185" spans="1:26" outlineLevel="1" x14ac:dyDescent="0.4">
      <c r="A185" s="1">
        <v>24</v>
      </c>
      <c r="B185" s="2" t="s">
        <v>55</v>
      </c>
      <c r="C185" t="s">
        <v>79</v>
      </c>
      <c r="D185" s="9">
        <f>D167</f>
        <v>0</v>
      </c>
      <c r="E185">
        <f t="shared" ref="E185:J185" si="208">E167</f>
        <v>0</v>
      </c>
      <c r="F185">
        <f t="shared" si="208"/>
        <v>0</v>
      </c>
      <c r="G185">
        <f t="shared" si="208"/>
        <v>0</v>
      </c>
      <c r="H185">
        <f t="shared" si="208"/>
        <v>0</v>
      </c>
      <c r="I185">
        <f t="shared" si="208"/>
        <v>0</v>
      </c>
      <c r="J185">
        <f t="shared" si="208"/>
        <v>0</v>
      </c>
      <c r="R185" s="9">
        <f t="shared" si="207"/>
        <v>0</v>
      </c>
      <c r="S185" s="9">
        <f t="shared" si="207"/>
        <v>0</v>
      </c>
      <c r="T185" s="9">
        <f t="shared" si="207"/>
        <v>0</v>
      </c>
      <c r="U185" s="9">
        <f t="shared" si="207"/>
        <v>0</v>
      </c>
      <c r="V185" s="9">
        <f t="shared" si="207"/>
        <v>0</v>
      </c>
      <c r="W185" s="9">
        <f t="shared" si="207"/>
        <v>0</v>
      </c>
      <c r="X185" s="9">
        <f t="shared" si="207"/>
        <v>0</v>
      </c>
      <c r="Y185" s="9">
        <f t="shared" si="207"/>
        <v>0</v>
      </c>
      <c r="Z185" s="9">
        <f t="shared" si="207"/>
        <v>0</v>
      </c>
    </row>
    <row r="186" spans="1:26" outlineLevel="1" x14ac:dyDescent="0.4">
      <c r="A186" s="1">
        <v>25</v>
      </c>
      <c r="B186" t="s">
        <v>56</v>
      </c>
      <c r="D186" s="9">
        <f t="shared" ref="D186:E186" si="209">D184-D185</f>
        <v>0</v>
      </c>
      <c r="E186" s="9">
        <f t="shared" si="209"/>
        <v>0</v>
      </c>
      <c r="F186" s="9">
        <f t="shared" ref="F186:K186" si="210">F184-F185</f>
        <v>0</v>
      </c>
      <c r="G186" s="9">
        <f t="shared" si="210"/>
        <v>0</v>
      </c>
      <c r="H186" s="9">
        <f t="shared" si="210"/>
        <v>0</v>
      </c>
      <c r="I186" s="9">
        <f t="shared" si="210"/>
        <v>0</v>
      </c>
      <c r="J186" s="9">
        <f t="shared" si="210"/>
        <v>0</v>
      </c>
      <c r="K186" s="9">
        <f t="shared" si="210"/>
        <v>0</v>
      </c>
      <c r="L186" s="9">
        <f t="shared" ref="L186:Z187" si="211">L184-L185</f>
        <v>0</v>
      </c>
      <c r="M186" s="9">
        <f t="shared" si="211"/>
        <v>0</v>
      </c>
      <c r="N186" s="9">
        <f t="shared" si="211"/>
        <v>0</v>
      </c>
      <c r="O186" s="9">
        <f t="shared" si="211"/>
        <v>0</v>
      </c>
      <c r="P186" s="9">
        <f t="shared" si="211"/>
        <v>0</v>
      </c>
      <c r="Q186" s="9">
        <f t="shared" si="211"/>
        <v>0</v>
      </c>
    </row>
    <row r="187" spans="1:26" outlineLevel="1" x14ac:dyDescent="0.4">
      <c r="A187" s="1">
        <v>26</v>
      </c>
      <c r="B187" t="s">
        <v>611</v>
      </c>
      <c r="C187" t="s">
        <v>820</v>
      </c>
      <c r="D187" s="9">
        <f>D93</f>
        <v>0</v>
      </c>
      <c r="E187">
        <f t="shared" ref="E187:J187" si="212">E93</f>
        <v>0</v>
      </c>
      <c r="F187">
        <f t="shared" si="212"/>
        <v>0</v>
      </c>
      <c r="G187">
        <f t="shared" si="212"/>
        <v>0</v>
      </c>
      <c r="H187">
        <f t="shared" si="212"/>
        <v>0</v>
      </c>
      <c r="I187">
        <f t="shared" si="212"/>
        <v>0</v>
      </c>
      <c r="J187">
        <f t="shared" si="212"/>
        <v>0</v>
      </c>
      <c r="R187" s="9">
        <f t="shared" si="211"/>
        <v>0</v>
      </c>
      <c r="S187" s="9">
        <f t="shared" si="211"/>
        <v>0</v>
      </c>
      <c r="T187" s="9">
        <f t="shared" si="211"/>
        <v>0</v>
      </c>
      <c r="U187" s="9">
        <f t="shared" si="211"/>
        <v>0</v>
      </c>
      <c r="V187" s="9">
        <f t="shared" si="211"/>
        <v>0</v>
      </c>
      <c r="W187" s="9">
        <f t="shared" si="211"/>
        <v>0</v>
      </c>
      <c r="X187" s="9">
        <f t="shared" si="211"/>
        <v>0</v>
      </c>
      <c r="Y187" s="9">
        <f t="shared" si="211"/>
        <v>0</v>
      </c>
      <c r="Z187" s="9">
        <f t="shared" si="211"/>
        <v>0</v>
      </c>
    </row>
    <row r="188" spans="1:26" outlineLevel="1" x14ac:dyDescent="0.4">
      <c r="A188" s="1">
        <v>27</v>
      </c>
      <c r="B188" t="s">
        <v>57</v>
      </c>
      <c r="C188" t="s">
        <v>819</v>
      </c>
      <c r="D188" s="9">
        <f>D96</f>
        <v>0</v>
      </c>
      <c r="E188" s="9">
        <f t="shared" ref="E188:J188" si="213">E96</f>
        <v>0</v>
      </c>
      <c r="F188" s="9">
        <f t="shared" si="213"/>
        <v>0</v>
      </c>
      <c r="G188" s="9">
        <f t="shared" si="213"/>
        <v>0</v>
      </c>
      <c r="H188" s="9">
        <f t="shared" si="213"/>
        <v>0</v>
      </c>
      <c r="I188" s="9">
        <f t="shared" si="213"/>
        <v>0</v>
      </c>
      <c r="J188" s="9">
        <f t="shared" si="213"/>
        <v>0</v>
      </c>
      <c r="K188" s="9"/>
      <c r="L188" s="9"/>
      <c r="M188" s="9"/>
      <c r="N188" s="9"/>
      <c r="O188" s="9"/>
      <c r="P188" s="9"/>
      <c r="Q188" s="9"/>
    </row>
    <row r="189" spans="1:26" outlineLevel="1" x14ac:dyDescent="0.4">
      <c r="A189" s="1">
        <v>28</v>
      </c>
      <c r="B189" t="s">
        <v>58</v>
      </c>
      <c r="C189" t="s">
        <v>821</v>
      </c>
      <c r="D189" s="9">
        <f>-D97</f>
        <v>0</v>
      </c>
      <c r="E189" s="9">
        <f t="shared" ref="E189:O189" si="214">-E97</f>
        <v>0</v>
      </c>
      <c r="F189" s="9">
        <f t="shared" si="214"/>
        <v>0</v>
      </c>
      <c r="G189" s="9">
        <f t="shared" si="214"/>
        <v>0</v>
      </c>
      <c r="H189" s="9">
        <f t="shared" si="214"/>
        <v>0</v>
      </c>
      <c r="I189" s="9">
        <f t="shared" si="214"/>
        <v>0</v>
      </c>
      <c r="J189" s="9">
        <f t="shared" si="214"/>
        <v>0</v>
      </c>
      <c r="K189" s="9">
        <f t="shared" si="214"/>
        <v>0</v>
      </c>
      <c r="L189" s="9">
        <f t="shared" si="214"/>
        <v>0</v>
      </c>
      <c r="M189" s="9">
        <f t="shared" si="214"/>
        <v>0</v>
      </c>
      <c r="N189" s="9">
        <f t="shared" si="214"/>
        <v>0</v>
      </c>
      <c r="O189" s="9">
        <f t="shared" si="214"/>
        <v>0</v>
      </c>
      <c r="P189" s="9">
        <f t="shared" ref="P189:Z190" si="215">P97</f>
        <v>0</v>
      </c>
      <c r="Q189" s="9">
        <f t="shared" si="215"/>
        <v>0</v>
      </c>
      <c r="R189" s="9"/>
      <c r="S189" s="9"/>
      <c r="T189" s="9"/>
      <c r="U189" s="9"/>
      <c r="V189" s="9"/>
      <c r="W189" s="9"/>
      <c r="X189" s="9"/>
      <c r="Y189" s="9"/>
      <c r="Z189" s="9"/>
    </row>
    <row r="190" spans="1:26" outlineLevel="1" x14ac:dyDescent="0.4">
      <c r="A190" s="1">
        <v>29</v>
      </c>
      <c r="B190" t="s">
        <v>59</v>
      </c>
      <c r="D190" s="9">
        <f t="shared" ref="D190:E190" si="216">D186-D187-D188-D189-D175</f>
        <v>0</v>
      </c>
      <c r="E190" s="9">
        <f t="shared" si="216"/>
        <v>0</v>
      </c>
      <c r="F190" s="9">
        <f t="shared" ref="F190:K190" si="217">F186-F187-F188-F189-F175</f>
        <v>0</v>
      </c>
      <c r="G190" s="9">
        <f t="shared" si="217"/>
        <v>0</v>
      </c>
      <c r="H190" s="9">
        <f t="shared" si="217"/>
        <v>0</v>
      </c>
      <c r="I190" s="9">
        <f t="shared" si="217"/>
        <v>0</v>
      </c>
      <c r="J190" s="9">
        <f t="shared" si="217"/>
        <v>0</v>
      </c>
      <c r="K190" s="9">
        <f t="shared" si="217"/>
        <v>0</v>
      </c>
      <c r="L190" s="9">
        <f t="shared" ref="L190:Z191" si="218">L186-L187-L188-L189-L175</f>
        <v>0</v>
      </c>
      <c r="M190" s="9">
        <f t="shared" si="218"/>
        <v>0</v>
      </c>
      <c r="N190" s="9">
        <f t="shared" si="218"/>
        <v>0</v>
      </c>
      <c r="O190" s="9">
        <f t="shared" si="218"/>
        <v>0</v>
      </c>
      <c r="P190" s="9">
        <f t="shared" si="218"/>
        <v>0</v>
      </c>
      <c r="Q190" s="9">
        <f t="shared" si="218"/>
        <v>0</v>
      </c>
      <c r="R190" s="9">
        <f t="shared" si="215"/>
        <v>0</v>
      </c>
      <c r="S190" s="9">
        <f t="shared" si="215"/>
        <v>0</v>
      </c>
      <c r="T190" s="9">
        <f t="shared" si="215"/>
        <v>0</v>
      </c>
      <c r="U190" s="9">
        <f t="shared" si="215"/>
        <v>0</v>
      </c>
      <c r="V190" s="9">
        <f t="shared" si="215"/>
        <v>0</v>
      </c>
      <c r="W190" s="9">
        <f t="shared" si="215"/>
        <v>0</v>
      </c>
      <c r="X190" s="9">
        <f t="shared" si="215"/>
        <v>0</v>
      </c>
      <c r="Y190" s="9">
        <f t="shared" si="215"/>
        <v>0</v>
      </c>
      <c r="Z190" s="9">
        <f t="shared" si="215"/>
        <v>0</v>
      </c>
    </row>
    <row r="191" spans="1:26" outlineLevel="1" x14ac:dyDescent="0.4">
      <c r="A191" s="1"/>
      <c r="B191" s="1" t="s">
        <v>35</v>
      </c>
      <c r="C191" s="1"/>
      <c r="D191" s="1"/>
      <c r="E191" s="1"/>
      <c r="F191" s="1"/>
      <c r="G191" s="1"/>
      <c r="H191" s="1"/>
      <c r="I191" s="1"/>
      <c r="J191" s="1"/>
      <c r="K191" s="1"/>
      <c r="L191" s="1"/>
      <c r="M191" s="1"/>
      <c r="N191" s="1"/>
      <c r="O191" s="1"/>
      <c r="P191" s="1"/>
      <c r="Q191" s="1"/>
      <c r="R191" s="9">
        <f t="shared" si="218"/>
        <v>0</v>
      </c>
      <c r="S191" s="9">
        <f t="shared" si="218"/>
        <v>0</v>
      </c>
      <c r="T191" s="9">
        <f t="shared" si="218"/>
        <v>0</v>
      </c>
      <c r="U191" s="9">
        <f t="shared" si="218"/>
        <v>0</v>
      </c>
      <c r="V191" s="9">
        <f t="shared" si="218"/>
        <v>0</v>
      </c>
      <c r="W191" s="9">
        <f t="shared" si="218"/>
        <v>0</v>
      </c>
      <c r="X191" s="9">
        <f t="shared" si="218"/>
        <v>0</v>
      </c>
      <c r="Y191" s="9">
        <f t="shared" si="218"/>
        <v>0</v>
      </c>
      <c r="Z191" s="9">
        <f t="shared" si="218"/>
        <v>0</v>
      </c>
    </row>
    <row r="192" spans="1:26" outlineLevel="1" x14ac:dyDescent="0.4">
      <c r="A192" s="1">
        <v>30</v>
      </c>
      <c r="B192" t="s">
        <v>600</v>
      </c>
      <c r="D192" s="9"/>
      <c r="E192" s="9"/>
      <c r="F192" s="9"/>
      <c r="G192" s="9"/>
      <c r="H192" s="9"/>
      <c r="I192" s="9"/>
      <c r="J192" s="9"/>
      <c r="K192" s="9"/>
      <c r="L192" s="9"/>
      <c r="M192" s="9"/>
      <c r="N192" s="9"/>
      <c r="O192" s="9"/>
      <c r="P192" s="9"/>
      <c r="Q192" s="9"/>
      <c r="R192" s="1"/>
      <c r="S192" s="1"/>
      <c r="T192" s="1"/>
      <c r="U192" s="1"/>
      <c r="V192" s="1"/>
      <c r="W192" s="1"/>
      <c r="X192" s="1"/>
      <c r="Y192" s="1"/>
      <c r="Z192" s="1"/>
    </row>
    <row r="193" spans="1:26" outlineLevel="1" x14ac:dyDescent="0.4">
      <c r="A193" s="1"/>
      <c r="B193" s="1" t="s">
        <v>60</v>
      </c>
      <c r="C193" s="1"/>
      <c r="D193" s="1"/>
      <c r="E193" s="1"/>
      <c r="F193" s="1"/>
      <c r="G193" s="1"/>
      <c r="H193" s="1"/>
      <c r="I193" s="1"/>
      <c r="J193" s="1"/>
      <c r="K193" s="1"/>
      <c r="L193" s="1"/>
      <c r="M193" s="1"/>
      <c r="N193" s="1"/>
      <c r="O193" s="1"/>
      <c r="P193" s="1"/>
      <c r="Q193" s="1"/>
      <c r="R193" s="9"/>
      <c r="S193" s="9"/>
      <c r="T193" s="9"/>
      <c r="U193" s="9"/>
      <c r="V193" s="9"/>
      <c r="W193" s="9"/>
      <c r="X193" s="9"/>
      <c r="Y193" s="9"/>
      <c r="Z193" s="9"/>
    </row>
    <row r="194" spans="1:26" outlineLevel="1" x14ac:dyDescent="0.4">
      <c r="A194" s="1">
        <v>31</v>
      </c>
      <c r="B194" t="s">
        <v>61</v>
      </c>
      <c r="C194" t="s">
        <v>27</v>
      </c>
      <c r="D194" s="6">
        <f t="shared" ref="D194:E194" si="219">D166-D184</f>
        <v>0</v>
      </c>
      <c r="E194" s="6">
        <f t="shared" si="219"/>
        <v>0</v>
      </c>
      <c r="F194" s="6">
        <f t="shared" ref="F194:K194" si="220">F166-F184</f>
        <v>0</v>
      </c>
      <c r="G194" s="6">
        <f t="shared" si="220"/>
        <v>0</v>
      </c>
      <c r="H194" s="6">
        <f t="shared" si="220"/>
        <v>0</v>
      </c>
      <c r="I194" s="6">
        <f t="shared" si="220"/>
        <v>0</v>
      </c>
      <c r="J194" s="6">
        <f t="shared" si="220"/>
        <v>0</v>
      </c>
      <c r="K194" s="6">
        <f t="shared" si="220"/>
        <v>0</v>
      </c>
      <c r="L194" s="6">
        <f t="shared" ref="L194:Z195" si="221">L166-L184</f>
        <v>0</v>
      </c>
      <c r="M194" s="6">
        <f t="shared" si="221"/>
        <v>0</v>
      </c>
      <c r="N194" s="6">
        <f t="shared" si="221"/>
        <v>0</v>
      </c>
      <c r="O194" s="6">
        <f t="shared" si="221"/>
        <v>0</v>
      </c>
      <c r="P194" s="6">
        <f t="shared" si="221"/>
        <v>0</v>
      </c>
      <c r="Q194" s="6">
        <f t="shared" si="221"/>
        <v>0</v>
      </c>
      <c r="R194" s="1"/>
      <c r="S194" s="1"/>
      <c r="T194" s="1"/>
      <c r="U194" s="1"/>
      <c r="V194" s="1"/>
      <c r="W194" s="1"/>
      <c r="X194" s="1"/>
      <c r="Y194" s="1"/>
      <c r="Z194" s="1"/>
    </row>
    <row r="195" spans="1:26" outlineLevel="1" x14ac:dyDescent="0.4">
      <c r="A195" s="1">
        <v>32</v>
      </c>
      <c r="B195" t="s">
        <v>62</v>
      </c>
      <c r="C195" t="s">
        <v>88</v>
      </c>
      <c r="D195" s="6">
        <f t="shared" ref="D195:E195" si="222">D194-D175</f>
        <v>0</v>
      </c>
      <c r="E195" s="6">
        <f t="shared" si="222"/>
        <v>0</v>
      </c>
      <c r="F195" s="6">
        <f t="shared" ref="F195:K195" si="223">F194-F175</f>
        <v>0</v>
      </c>
      <c r="G195" s="6">
        <f t="shared" si="223"/>
        <v>0</v>
      </c>
      <c r="H195" s="6">
        <f t="shared" si="223"/>
        <v>0</v>
      </c>
      <c r="I195" s="6">
        <f t="shared" si="223"/>
        <v>0</v>
      </c>
      <c r="J195" s="6">
        <f t="shared" si="223"/>
        <v>0</v>
      </c>
      <c r="K195" s="6">
        <f t="shared" si="223"/>
        <v>0</v>
      </c>
      <c r="L195" s="6">
        <f t="shared" ref="L195:Z196" si="224">L194-L175</f>
        <v>0</v>
      </c>
      <c r="M195" s="6">
        <f t="shared" si="224"/>
        <v>0</v>
      </c>
      <c r="N195" s="6">
        <f t="shared" si="224"/>
        <v>0</v>
      </c>
      <c r="O195" s="6">
        <f t="shared" si="224"/>
        <v>0</v>
      </c>
      <c r="P195" s="6">
        <f t="shared" si="224"/>
        <v>0</v>
      </c>
      <c r="Q195" s="6">
        <f t="shared" si="224"/>
        <v>0</v>
      </c>
      <c r="R195" s="6">
        <f t="shared" si="221"/>
        <v>0</v>
      </c>
      <c r="S195" s="6">
        <f t="shared" si="221"/>
        <v>0</v>
      </c>
      <c r="T195" s="6">
        <f t="shared" si="221"/>
        <v>0</v>
      </c>
      <c r="U195" s="6">
        <f t="shared" si="221"/>
        <v>0</v>
      </c>
      <c r="V195" s="6">
        <f t="shared" si="221"/>
        <v>0</v>
      </c>
      <c r="W195" s="6">
        <f t="shared" si="221"/>
        <v>0</v>
      </c>
      <c r="X195" s="6">
        <f t="shared" si="221"/>
        <v>0</v>
      </c>
      <c r="Y195" s="6">
        <f t="shared" si="221"/>
        <v>0</v>
      </c>
      <c r="Z195" s="6">
        <f t="shared" si="221"/>
        <v>0</v>
      </c>
    </row>
    <row r="196" spans="1:26" outlineLevel="1" x14ac:dyDescent="0.4">
      <c r="A196" s="1"/>
      <c r="B196" s="1" t="s">
        <v>63</v>
      </c>
      <c r="C196" s="1"/>
      <c r="D196" s="1"/>
      <c r="E196" s="1"/>
      <c r="F196" s="1"/>
      <c r="G196" s="1"/>
      <c r="H196" s="1"/>
      <c r="I196" s="1"/>
      <c r="J196" s="1"/>
      <c r="K196" s="1"/>
      <c r="L196" s="1"/>
      <c r="M196" s="1"/>
      <c r="N196" s="1"/>
      <c r="O196" s="1"/>
      <c r="P196" s="1"/>
      <c r="Q196" s="1"/>
      <c r="R196" s="6">
        <f t="shared" si="224"/>
        <v>0</v>
      </c>
      <c r="S196" s="6">
        <f t="shared" si="224"/>
        <v>0</v>
      </c>
      <c r="T196" s="6">
        <f t="shared" si="224"/>
        <v>0</v>
      </c>
      <c r="U196" s="6">
        <f t="shared" si="224"/>
        <v>0</v>
      </c>
      <c r="V196" s="6">
        <f t="shared" si="224"/>
        <v>0</v>
      </c>
      <c r="W196" s="6">
        <f t="shared" si="224"/>
        <v>0</v>
      </c>
      <c r="X196" s="6">
        <f t="shared" si="224"/>
        <v>0</v>
      </c>
      <c r="Y196" s="6">
        <f t="shared" si="224"/>
        <v>0</v>
      </c>
      <c r="Z196" s="6">
        <f t="shared" si="224"/>
        <v>0</v>
      </c>
    </row>
    <row r="197" spans="1:26" outlineLevel="1" x14ac:dyDescent="0.4">
      <c r="A197" s="1">
        <v>33</v>
      </c>
      <c r="B197" t="s">
        <v>0</v>
      </c>
      <c r="C197" t="s">
        <v>613</v>
      </c>
      <c r="R197" s="1"/>
      <c r="S197" s="1"/>
      <c r="T197" s="1"/>
      <c r="U197" s="1"/>
      <c r="V197" s="1"/>
      <c r="W197" s="1"/>
      <c r="X197" s="1"/>
      <c r="Y197" s="1"/>
      <c r="Z197" s="1"/>
    </row>
    <row r="198" spans="1:26" outlineLevel="1" x14ac:dyDescent="0.4">
      <c r="A198" s="1">
        <v>34</v>
      </c>
      <c r="B198" t="s">
        <v>3</v>
      </c>
      <c r="C198" t="s">
        <v>614</v>
      </c>
    </row>
    <row r="199" spans="1:26" outlineLevel="1" x14ac:dyDescent="0.4">
      <c r="A199" s="1"/>
      <c r="B199" s="1" t="s">
        <v>20</v>
      </c>
      <c r="C199" s="1"/>
      <c r="D199" s="1"/>
      <c r="E199" s="1"/>
      <c r="F199" s="1"/>
      <c r="G199" s="1"/>
      <c r="H199" s="1"/>
      <c r="I199" s="1"/>
      <c r="J199" s="1"/>
      <c r="K199" s="1"/>
      <c r="L199" s="1"/>
      <c r="M199" s="1"/>
      <c r="N199" s="1"/>
      <c r="O199" s="1"/>
      <c r="P199" s="1"/>
      <c r="Q199" s="1"/>
    </row>
    <row r="200" spans="1:26" outlineLevel="1" x14ac:dyDescent="0.4">
      <c r="A200" s="1">
        <v>35</v>
      </c>
      <c r="B200" t="s">
        <v>1</v>
      </c>
      <c r="D200" s="9">
        <f t="shared" ref="D200:E200" si="225">D88</f>
        <v>0</v>
      </c>
      <c r="E200" s="9">
        <f t="shared" si="225"/>
        <v>0</v>
      </c>
      <c r="F200" s="9">
        <f t="shared" ref="F200:K200" si="226">F88</f>
        <v>0</v>
      </c>
      <c r="G200" s="9">
        <f t="shared" si="226"/>
        <v>0</v>
      </c>
      <c r="H200" s="9">
        <f t="shared" si="226"/>
        <v>0</v>
      </c>
      <c r="I200" s="9">
        <f t="shared" si="226"/>
        <v>0</v>
      </c>
      <c r="J200" s="9">
        <f t="shared" si="226"/>
        <v>0</v>
      </c>
      <c r="K200" s="9">
        <f t="shared" si="226"/>
        <v>0</v>
      </c>
      <c r="L200" s="9">
        <f t="shared" ref="L200:Z201" si="227">L88</f>
        <v>0</v>
      </c>
      <c r="M200" s="9">
        <f t="shared" si="227"/>
        <v>0</v>
      </c>
      <c r="N200" s="9">
        <f t="shared" si="227"/>
        <v>0</v>
      </c>
      <c r="O200" s="9">
        <f t="shared" si="227"/>
        <v>0</v>
      </c>
      <c r="P200" s="9">
        <f t="shared" si="227"/>
        <v>0</v>
      </c>
      <c r="Q200" s="9">
        <f t="shared" si="227"/>
        <v>0</v>
      </c>
      <c r="R200" s="1"/>
      <c r="S200" s="1"/>
      <c r="T200" s="1"/>
      <c r="U200" s="1"/>
      <c r="V200" s="1"/>
      <c r="W200" s="1"/>
      <c r="X200" s="1"/>
      <c r="Y200" s="1"/>
      <c r="Z200" s="1"/>
    </row>
    <row r="201" spans="1:26" outlineLevel="1" x14ac:dyDescent="0.4">
      <c r="A201" s="1">
        <v>36</v>
      </c>
      <c r="B201" t="s">
        <v>2</v>
      </c>
      <c r="D201" s="9"/>
      <c r="E201" s="9">
        <f>E200-D200</f>
        <v>0</v>
      </c>
      <c r="F201" s="9">
        <f t="shared" ref="F201" si="228">F200-E200</f>
        <v>0</v>
      </c>
      <c r="G201" s="9">
        <f t="shared" ref="G201" si="229">G200-F200</f>
        <v>0</v>
      </c>
      <c r="H201" s="9">
        <f t="shared" ref="H201" si="230">H200-G200</f>
        <v>0</v>
      </c>
      <c r="I201" s="9">
        <f t="shared" ref="I201" si="231">I200-H200</f>
        <v>0</v>
      </c>
      <c r="J201" s="9">
        <f t="shared" ref="J201" si="232">J200-I200</f>
        <v>0</v>
      </c>
      <c r="K201" s="9">
        <f t="shared" ref="K201" si="233">K200-J200</f>
        <v>0</v>
      </c>
      <c r="L201" s="9">
        <f t="shared" ref="L201" si="234">L200-K200</f>
        <v>0</v>
      </c>
      <c r="M201" s="9">
        <f t="shared" ref="M201" si="235">M200-L200</f>
        <v>0</v>
      </c>
      <c r="N201" s="9">
        <f t="shared" ref="N201" si="236">N200-M200</f>
        <v>0</v>
      </c>
      <c r="O201" s="9">
        <f t="shared" ref="O201" si="237">O200-N200</f>
        <v>0</v>
      </c>
      <c r="P201" s="9">
        <f t="shared" ref="P201" si="238">P200-O200</f>
        <v>0</v>
      </c>
      <c r="Q201" s="9">
        <f t="shared" ref="Q201" si="239">Q200-P200</f>
        <v>0</v>
      </c>
      <c r="R201" s="9">
        <f t="shared" si="227"/>
        <v>0</v>
      </c>
      <c r="S201" s="9">
        <f t="shared" si="227"/>
        <v>0</v>
      </c>
      <c r="T201" s="9">
        <f t="shared" si="227"/>
        <v>0</v>
      </c>
      <c r="U201" s="9">
        <f t="shared" si="227"/>
        <v>0</v>
      </c>
      <c r="V201" s="9">
        <f t="shared" si="227"/>
        <v>0</v>
      </c>
      <c r="W201" s="9">
        <f t="shared" si="227"/>
        <v>0</v>
      </c>
      <c r="X201" s="9">
        <f t="shared" si="227"/>
        <v>0</v>
      </c>
      <c r="Y201" s="9">
        <f t="shared" si="227"/>
        <v>0</v>
      </c>
      <c r="Z201" s="9">
        <f t="shared" si="227"/>
        <v>0</v>
      </c>
    </row>
    <row r="202" spans="1:26" outlineLevel="1" x14ac:dyDescent="0.4">
      <c r="A202" s="1">
        <v>37</v>
      </c>
      <c r="B202" t="s">
        <v>64</v>
      </c>
      <c r="R202" s="9">
        <f>R201-Q200</f>
        <v>0</v>
      </c>
      <c r="S202" s="9">
        <f t="shared" ref="S202" si="240">S201-R201</f>
        <v>0</v>
      </c>
      <c r="T202" s="9">
        <f t="shared" ref="T202" si="241">T201-S201</f>
        <v>0</v>
      </c>
      <c r="U202" s="9">
        <f t="shared" ref="U202" si="242">U201-T201</f>
        <v>0</v>
      </c>
      <c r="V202" s="9">
        <f t="shared" ref="V202" si="243">V201-U201</f>
        <v>0</v>
      </c>
      <c r="W202" s="9">
        <f t="shared" ref="W202" si="244">W201-V201</f>
        <v>0</v>
      </c>
      <c r="X202" s="9">
        <f t="shared" ref="X202" si="245">X201-W201</f>
        <v>0</v>
      </c>
      <c r="Y202" s="9">
        <f t="shared" ref="Y202" si="246">Y201-X201</f>
        <v>0</v>
      </c>
      <c r="Z202" s="9">
        <f t="shared" ref="Z202" si="247">Z201-Y201</f>
        <v>0</v>
      </c>
    </row>
    <row r="203" spans="1:26" outlineLevel="1" x14ac:dyDescent="0.4">
      <c r="A203" s="1">
        <v>38</v>
      </c>
      <c r="B203" t="s">
        <v>65</v>
      </c>
      <c r="D203" s="9">
        <f t="shared" ref="D203:E203" si="248">-D195</f>
        <v>0</v>
      </c>
      <c r="E203" s="9">
        <f t="shared" si="248"/>
        <v>0</v>
      </c>
      <c r="F203" s="9">
        <f t="shared" ref="F203:K203" si="249">-F195</f>
        <v>0</v>
      </c>
      <c r="G203" s="9">
        <f t="shared" si="249"/>
        <v>0</v>
      </c>
      <c r="H203" s="9">
        <f t="shared" si="249"/>
        <v>0</v>
      </c>
      <c r="I203" s="9">
        <f t="shared" si="249"/>
        <v>0</v>
      </c>
      <c r="J203" s="9">
        <f t="shared" si="249"/>
        <v>0</v>
      </c>
      <c r="K203" s="9">
        <f t="shared" si="249"/>
        <v>0</v>
      </c>
      <c r="L203" s="9">
        <f t="shared" ref="L203:Z204" si="250">-L195</f>
        <v>0</v>
      </c>
      <c r="M203" s="9">
        <f t="shared" si="250"/>
        <v>0</v>
      </c>
      <c r="N203" s="9">
        <f t="shared" si="250"/>
        <v>0</v>
      </c>
      <c r="O203" s="9">
        <f t="shared" si="250"/>
        <v>0</v>
      </c>
      <c r="P203" s="9">
        <f t="shared" si="250"/>
        <v>0</v>
      </c>
      <c r="Q203" s="9">
        <f t="shared" si="250"/>
        <v>0</v>
      </c>
    </row>
    <row r="204" spans="1:26" outlineLevel="1" x14ac:dyDescent="0.4">
      <c r="A204" s="1">
        <v>39</v>
      </c>
      <c r="B204" t="s">
        <v>66</v>
      </c>
      <c r="R204" s="9">
        <f t="shared" si="250"/>
        <v>0</v>
      </c>
      <c r="S204" s="9">
        <f t="shared" si="250"/>
        <v>0</v>
      </c>
      <c r="T204" s="9">
        <f t="shared" si="250"/>
        <v>0</v>
      </c>
      <c r="U204" s="9">
        <f t="shared" si="250"/>
        <v>0</v>
      </c>
      <c r="V204" s="9">
        <f t="shared" si="250"/>
        <v>0</v>
      </c>
      <c r="W204" s="9">
        <f t="shared" si="250"/>
        <v>0</v>
      </c>
      <c r="X204" s="9">
        <f t="shared" si="250"/>
        <v>0</v>
      </c>
      <c r="Y204" s="9">
        <f t="shared" si="250"/>
        <v>0</v>
      </c>
      <c r="Z204" s="9">
        <f t="shared" si="250"/>
        <v>0</v>
      </c>
    </row>
    <row r="205" spans="1:26" outlineLevel="1" x14ac:dyDescent="0.4">
      <c r="A205" s="1">
        <v>40</v>
      </c>
      <c r="B205" t="s">
        <v>67</v>
      </c>
      <c r="D205" s="9">
        <f t="shared" ref="D205:E205" si="251">D175</f>
        <v>0</v>
      </c>
      <c r="E205" s="9">
        <f t="shared" si="251"/>
        <v>0</v>
      </c>
      <c r="F205" s="9">
        <f t="shared" ref="F205:K205" si="252">F175</f>
        <v>0</v>
      </c>
      <c r="G205" s="9">
        <f t="shared" si="252"/>
        <v>0</v>
      </c>
      <c r="H205" s="9">
        <f t="shared" si="252"/>
        <v>0</v>
      </c>
      <c r="I205" s="9">
        <f t="shared" si="252"/>
        <v>0</v>
      </c>
      <c r="J205" s="9">
        <f t="shared" si="252"/>
        <v>0</v>
      </c>
      <c r="K205" s="9">
        <f t="shared" si="252"/>
        <v>0</v>
      </c>
      <c r="L205" s="9">
        <f t="shared" ref="L205:Z206" si="253">L175</f>
        <v>0</v>
      </c>
      <c r="M205" s="9">
        <f t="shared" si="253"/>
        <v>0</v>
      </c>
      <c r="N205" s="9">
        <f t="shared" si="253"/>
        <v>0</v>
      </c>
      <c r="O205" s="9">
        <f t="shared" si="253"/>
        <v>0</v>
      </c>
      <c r="P205" s="9">
        <f t="shared" si="253"/>
        <v>0</v>
      </c>
      <c r="Q205" s="9">
        <f t="shared" si="253"/>
        <v>0</v>
      </c>
    </row>
    <row r="206" spans="1:26" outlineLevel="1" x14ac:dyDescent="0.4">
      <c r="A206" s="1">
        <v>41</v>
      </c>
      <c r="B206" t="s">
        <v>68</v>
      </c>
      <c r="R206" s="9">
        <f t="shared" si="253"/>
        <v>0</v>
      </c>
      <c r="S206" s="9">
        <f t="shared" si="253"/>
        <v>0</v>
      </c>
      <c r="T206" s="9">
        <f t="shared" si="253"/>
        <v>0</v>
      </c>
      <c r="U206" s="9">
        <f t="shared" si="253"/>
        <v>0</v>
      </c>
      <c r="V206" s="9">
        <f t="shared" si="253"/>
        <v>0</v>
      </c>
      <c r="W206" s="9">
        <f t="shared" si="253"/>
        <v>0</v>
      </c>
      <c r="X206" s="9">
        <f t="shared" si="253"/>
        <v>0</v>
      </c>
      <c r="Y206" s="9">
        <f t="shared" si="253"/>
        <v>0</v>
      </c>
      <c r="Z206" s="9">
        <f t="shared" si="253"/>
        <v>0</v>
      </c>
    </row>
    <row r="207" spans="1:26" outlineLevel="1" x14ac:dyDescent="0.4">
      <c r="A207" s="1">
        <v>42</v>
      </c>
      <c r="B207" t="s">
        <v>69</v>
      </c>
    </row>
    <row r="208" spans="1:26" outlineLevel="1" x14ac:dyDescent="0.4">
      <c r="A208" s="1">
        <v>43</v>
      </c>
      <c r="B208" t="s">
        <v>70</v>
      </c>
      <c r="D208" s="9">
        <f t="shared" ref="D208:E208" si="254">D201-D203-D204</f>
        <v>0</v>
      </c>
      <c r="E208" s="9">
        <f t="shared" si="254"/>
        <v>0</v>
      </c>
      <c r="F208" s="9">
        <f t="shared" ref="F208:K208" si="255">F201-F203-F204</f>
        <v>0</v>
      </c>
      <c r="G208" s="9">
        <f t="shared" si="255"/>
        <v>0</v>
      </c>
      <c r="H208" s="9">
        <f t="shared" si="255"/>
        <v>0</v>
      </c>
      <c r="I208" s="9">
        <f t="shared" si="255"/>
        <v>0</v>
      </c>
      <c r="J208" s="9">
        <f t="shared" si="255"/>
        <v>0</v>
      </c>
      <c r="K208" s="9">
        <f t="shared" si="255"/>
        <v>0</v>
      </c>
      <c r="L208" s="9">
        <f t="shared" ref="L208:Z209" si="256">L201-L203-L204</f>
        <v>0</v>
      </c>
      <c r="M208" s="9">
        <f t="shared" si="256"/>
        <v>0</v>
      </c>
      <c r="N208" s="9">
        <f t="shared" si="256"/>
        <v>0</v>
      </c>
      <c r="O208" s="9">
        <f t="shared" si="256"/>
        <v>0</v>
      </c>
      <c r="P208" s="9">
        <f t="shared" si="256"/>
        <v>0</v>
      </c>
      <c r="Q208" s="9">
        <f t="shared" si="256"/>
        <v>0</v>
      </c>
    </row>
    <row r="209" spans="1:26" outlineLevel="1" x14ac:dyDescent="0.4">
      <c r="A209" s="1"/>
      <c r="B209" s="1"/>
      <c r="C209" s="1"/>
      <c r="D209" s="1"/>
      <c r="E209" s="1"/>
      <c r="F209" s="1"/>
      <c r="G209" s="1"/>
      <c r="H209" s="1"/>
      <c r="I209" s="1"/>
      <c r="J209" s="1"/>
      <c r="K209" s="1"/>
      <c r="L209" s="1"/>
      <c r="M209" s="1"/>
      <c r="N209" s="1"/>
      <c r="O209" s="1"/>
      <c r="P209" s="1"/>
      <c r="Q209" s="1"/>
      <c r="R209" s="9">
        <f t="shared" si="256"/>
        <v>0</v>
      </c>
      <c r="S209" s="9">
        <f t="shared" si="256"/>
        <v>0</v>
      </c>
      <c r="T209" s="9">
        <f t="shared" si="256"/>
        <v>0</v>
      </c>
      <c r="U209" s="9">
        <f t="shared" si="256"/>
        <v>0</v>
      </c>
      <c r="V209" s="9">
        <f t="shared" si="256"/>
        <v>0</v>
      </c>
      <c r="W209" s="9">
        <f t="shared" si="256"/>
        <v>0</v>
      </c>
      <c r="X209" s="9">
        <f t="shared" si="256"/>
        <v>0</v>
      </c>
      <c r="Y209" s="9">
        <f t="shared" si="256"/>
        <v>0</v>
      </c>
      <c r="Z209" s="9">
        <f t="shared" si="256"/>
        <v>0</v>
      </c>
    </row>
    <row r="210" spans="1:26" outlineLevel="1" x14ac:dyDescent="0.4">
      <c r="A210" s="1">
        <v>44</v>
      </c>
      <c r="B210" s="7" t="s">
        <v>71</v>
      </c>
      <c r="C210" s="7"/>
      <c r="D210" s="7"/>
      <c r="E210" s="7"/>
      <c r="F210" s="7"/>
      <c r="G210" s="7"/>
      <c r="H210" s="7"/>
      <c r="I210" s="7"/>
      <c r="J210" s="7"/>
      <c r="K210" s="7"/>
      <c r="L210" s="7"/>
      <c r="M210" s="7"/>
      <c r="N210" s="7"/>
      <c r="O210" s="7"/>
      <c r="P210" s="7"/>
      <c r="Q210" s="7"/>
      <c r="R210" s="1"/>
      <c r="S210" s="1"/>
      <c r="T210" s="1"/>
      <c r="U210" s="1"/>
      <c r="V210" s="1"/>
      <c r="W210" s="1"/>
      <c r="X210" s="1"/>
      <c r="Y210" s="1"/>
      <c r="Z210" s="1"/>
    </row>
    <row r="211" spans="1:26" x14ac:dyDescent="0.4">
      <c r="R211" s="7"/>
      <c r="S211" s="7"/>
      <c r="T211" s="7"/>
      <c r="U211" s="7"/>
      <c r="V211" s="7"/>
      <c r="W211" s="7"/>
      <c r="X211" s="7"/>
      <c r="Y211" s="7"/>
      <c r="Z211" s="7"/>
    </row>
  </sheetData>
  <sheetProtection selectLockedCells="1"/>
  <phoneticPr fontId="43" type="noConversion"/>
  <conditionalFormatting sqref="D34:Q99">
    <cfRule type="expression" dxfId="212" priority="14">
      <formula>ISNUMBER(D$33)</formula>
    </cfRule>
  </conditionalFormatting>
  <conditionalFormatting sqref="E4:Q4 V4:AC4">
    <cfRule type="expression" dxfId="211" priority="13">
      <formula>ISNUMBER(E4)</formula>
    </cfRule>
  </conditionalFormatting>
  <conditionalFormatting sqref="F5:Q5 W5:AC5">
    <cfRule type="expression" dxfId="210" priority="12">
      <formula>F4&lt;&gt;""</formula>
    </cfRule>
  </conditionalFormatting>
  <conditionalFormatting sqref="E27:Q27">
    <cfRule type="expression" dxfId="209" priority="11">
      <formula>ISNUMBER(E4)</formula>
    </cfRule>
  </conditionalFormatting>
  <conditionalFormatting sqref="AT49:AU49 AT58:AU58 AT62:AU62 AT84:AU84 AT88:AU90 AT45:AU47">
    <cfRule type="expression" dxfId="208" priority="139">
      <formula>ISNUMBER(#REF!)</formula>
    </cfRule>
  </conditionalFormatting>
  <conditionalFormatting sqref="F103:Q105 F117:Q168 F170:Q210">
    <cfRule type="expression" dxfId="207" priority="5">
      <formula>NOT(ISNUMBER(F$103))</formula>
    </cfRule>
  </conditionalFormatting>
  <conditionalFormatting sqref="E5">
    <cfRule type="expression" dxfId="206" priority="4">
      <formula>ISNUMBER(E4)</formula>
    </cfRule>
  </conditionalFormatting>
  <conditionalFormatting sqref="V5">
    <cfRule type="expression" dxfId="205" priority="3">
      <formula>ISNUMBER(V4)</formula>
    </cfRule>
  </conditionalFormatting>
  <conditionalFormatting sqref="R35:Z100">
    <cfRule type="expression" dxfId="204" priority="1027">
      <formula>ISNUMBER(R$34)</formula>
    </cfRule>
  </conditionalFormatting>
  <conditionalFormatting sqref="R28:Z28">
    <cfRule type="expression" dxfId="203" priority="1029">
      <formula>ISNUMBER(R4)</formula>
    </cfRule>
  </conditionalFormatting>
  <conditionalFormatting sqref="R104:Z106 R118:Z169 R171:Z211">
    <cfRule type="expression" dxfId="202" priority="1031">
      <formula>NOT(ISNUMBER(R$104))</formula>
    </cfRule>
  </conditionalFormatting>
  <conditionalFormatting sqref="V6:AD9">
    <cfRule type="expression" dxfId="201" priority="2">
      <formula>ISNUMBER(V$4)</formula>
    </cfRule>
  </conditionalFormatting>
  <conditionalFormatting sqref="V10:AC10">
    <cfRule type="expression" dxfId="200" priority="1">
      <formula>ISNUMBER(V$4)</formula>
    </cfRule>
  </conditionalFormatting>
  <pageMargins left="0.7" right="0.7" top="0.75" bottom="0.75" header="0.3" footer="0.3"/>
  <pageSetup paperSize="9" scale="15" orientation="landscape" r:id="rId1"/>
  <ignoredErrors>
    <ignoredError sqref="F117:K117 F141:K141 F144:K144" evalError="1"/>
  </ignoredError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AC56DA15-79EB-44EA-8A63-D8882A913343}">
          <x14:formula1>
            <xm:f>Validation!$A$4:$A$31</xm:f>
          </x14:formula1>
          <xm:sqref>E2</xm:sqref>
        </x14:dataValidation>
        <x14:dataValidation type="list" allowBlank="1" showInputMessage="1" showErrorMessage="1" xr:uid="{73C5CA17-81A5-41A3-968E-E5E889FE1B43}">
          <x14:formula1>
            <xm:f>Validation!$F$3:$F$4</xm:f>
          </x14:formula1>
          <xm:sqref>R6:R10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6613D-07E7-4BE9-BB8C-65519B7BB2D9}">
  <sheetPr codeName="Sheet1">
    <tabColor theme="8" tint="-0.499984740745262"/>
  </sheetPr>
  <dimension ref="A1:P131"/>
  <sheetViews>
    <sheetView showGridLines="0" zoomScaleNormal="100" workbookViewId="0"/>
  </sheetViews>
  <sheetFormatPr defaultRowHeight="13.15" x14ac:dyDescent="0.4"/>
  <cols>
    <col min="1" max="1" width="5.7109375" customWidth="1"/>
    <col min="2" max="2" width="70.5703125" customWidth="1"/>
    <col min="3" max="3" width="12.85546875" customWidth="1"/>
    <col min="4" max="4" width="9" customWidth="1"/>
    <col min="5" max="5" width="9.5703125" bestFit="1" customWidth="1"/>
    <col min="15" max="15" width="54" customWidth="1"/>
  </cols>
  <sheetData>
    <row r="1" spans="2:16" ht="31.9" x14ac:dyDescent="0.4">
      <c r="B1" s="98" t="s">
        <v>954</v>
      </c>
    </row>
    <row r="2" spans="2:16" ht="13.5" customHeight="1" x14ac:dyDescent="0.4"/>
    <row r="3" spans="2:16" ht="13.5" customHeight="1" x14ac:dyDescent="0.4">
      <c r="B3" s="169"/>
      <c r="C3" s="157"/>
      <c r="F3" s="184" t="s">
        <v>825</v>
      </c>
      <c r="G3" s="168">
        <v>2025</v>
      </c>
    </row>
    <row r="4" spans="2:16" ht="13.5" customHeight="1" x14ac:dyDescent="0.4">
      <c r="B4" s="169"/>
      <c r="C4" s="157"/>
    </row>
    <row r="5" spans="2:16" ht="18" x14ac:dyDescent="0.55000000000000004">
      <c r="B5" s="50" t="str">
        <f>ScenarioName</f>
        <v>Enter scenario name</v>
      </c>
    </row>
    <row r="6" spans="2:16" ht="15.75" x14ac:dyDescent="0.5">
      <c r="B6" s="39" t="s">
        <v>251</v>
      </c>
      <c r="C6" s="94"/>
      <c r="D6" s="44" cm="1">
        <f t="array" ref="D6:F6">_xlfn.SEQUENCE(1, AssessmentEnd-MTP_BaseYear+1, MTP_BaseYear)</f>
        <v>2023</v>
      </c>
      <c r="E6" s="44">
        <v>2024</v>
      </c>
      <c r="F6" s="44">
        <v>2025</v>
      </c>
      <c r="G6" s="44"/>
      <c r="H6" s="44"/>
      <c r="I6" s="44"/>
      <c r="J6" s="44"/>
      <c r="O6" s="79" t="s">
        <v>813</v>
      </c>
      <c r="P6" s="7"/>
    </row>
    <row r="7" spans="2:16" x14ac:dyDescent="0.4">
      <c r="B7" s="41" t="s">
        <v>274</v>
      </c>
      <c r="C7" s="19"/>
      <c r="D7" s="47" t="str" cm="1">
        <f t="array" ref="D7:F7">IF(
  AND(_xlfn.ANCHORARRAY(D6)&gt;=MTP_YearT-1,_xlfn.ANCHORARRAY( D6)&lt;=MTP_EndYear),
  CHOOSE(SIGN(_xlfn.ANCHORARRAY(D6)-MTP_YearT)+2, "T-1", "T", "T+"&amp;(_xlfn.ANCHORARRAY(D6)-MTP_YearT)),
  ""
)</f>
        <v>T-1</v>
      </c>
      <c r="E7" s="47" t="str">
        <v>T</v>
      </c>
      <c r="F7" s="47" t="str">
        <v>T+1</v>
      </c>
      <c r="G7" s="47"/>
      <c r="H7" s="47"/>
      <c r="I7" s="47"/>
      <c r="J7" s="47"/>
      <c r="O7" t="s">
        <v>810</v>
      </c>
      <c r="P7" s="179" t="s">
        <v>812</v>
      </c>
    </row>
    <row r="8" spans="2:16" x14ac:dyDescent="0.4">
      <c r="B8" s="59" t="s">
        <v>257</v>
      </c>
      <c r="C8" s="44" t="s">
        <v>6</v>
      </c>
      <c r="D8" s="167">
        <f>IF(ISNUMBER(D$6),IF(AND(D$6&gt;=MTP_BaseYear,D$6&lt;=OutturnThrough),'Step 2 - Update outturn data'!E6,INDEX($D$59:$J$59,MATCH(D$6,$D$34:$J$34,0))/100*D$29),"")</f>
        <v>0</v>
      </c>
      <c r="E8" s="167">
        <f>IF(ISNUMBER(E$6),IF(AND(E$6&gt;=MTP_BaseYear,E$6&lt;=OutturnThrough),'Step 2 - Update outturn data'!F6,INDEX($D$59:$J$59,MATCH(E$6,$D$34:$J$34,0))/100*E$29),"")</f>
        <v>0</v>
      </c>
      <c r="F8" s="167">
        <f>IF(ISNUMBER(F$6),IF(AND(F$6&gt;=MTP_BaseYear,F$6&lt;=OutturnThrough),'Step 2 - Update outturn data'!G6,INDEX($D$59:$J$59,MATCH(F$6,$D$34:$J$34,0))/100*F$29),"")</f>
        <v>0</v>
      </c>
      <c r="G8" s="167" t="str">
        <f>IF(ISNUMBER(G$6),IF(AND(G$6&gt;=MTP_BaseYear,G$6&lt;=OutturnThrough),'Step 2 - Update outturn data'!H6,INDEX($D$59:$J$59,MATCH(G$6,$D$34:$J$34,0))/100*G$29),"")</f>
        <v/>
      </c>
      <c r="H8" s="167" t="str">
        <f>IF(ISNUMBER(H$6),IF(AND(H$6&gt;=MTP_BaseYear,H$6&lt;=OutturnThrough),'Step 2 - Update outturn data'!I6,INDEX($D$59:$J$59,MATCH(H$6,$D$34:$J$34,0))/100*H$29),"")</f>
        <v/>
      </c>
      <c r="I8" s="167" t="str">
        <f>IF(ISNUMBER(I$6),IF(AND(I$6&gt;=MTP_BaseYear,I$6&lt;=OutturnThrough),'Step 2 - Update outturn data'!#REF!,INDEX($D$59:$J$59,MATCH(I$6,$D$34:$J$34,0))/100*I$29),"")</f>
        <v/>
      </c>
      <c r="J8" s="167" t="str">
        <f>IF(ISNUMBER(J$6),IF(AND(J$6&gt;=MTP_BaseYear,J$6&lt;=OutturnThrough),'Step 2 - Update outturn data'!J6,INDEX($D$59:$J$59,MATCH(J$6,$D$34:$J$34,0))/100*J$29),"")</f>
        <v/>
      </c>
      <c r="K8" s="37"/>
      <c r="L8" s="37"/>
      <c r="M8" s="37"/>
      <c r="N8" s="37"/>
      <c r="O8" t="s">
        <v>811</v>
      </c>
      <c r="P8" s="179" t="s">
        <v>812</v>
      </c>
    </row>
    <row r="9" spans="2:16" x14ac:dyDescent="0.4">
      <c r="B9" s="59" t="s">
        <v>25</v>
      </c>
      <c r="C9" s="44" t="s">
        <v>6</v>
      </c>
      <c r="D9" s="167">
        <f>IF(ISNUMBER(D$6),IF(AND(D$6&gt;=MTP_BaseYear,D$6&lt;=OutturnThrough),'Step 2 - Update outturn data'!E7,INDEX($D$50:$J$50,MATCH(D$6,$D$34:$J$34,0))/100*D$29),"")</f>
        <v>0</v>
      </c>
      <c r="E9" s="167">
        <f>IF(ISNUMBER(E$6),IF(AND(E$6&gt;=MTP_BaseYear,E$6&lt;=OutturnThrough),'Step 2 - Update outturn data'!F7,INDEX($D$50:$J$50,MATCH(E$6,$D$34:$J$34,0))/100*E$29),"")</f>
        <v>0</v>
      </c>
      <c r="F9" s="167">
        <f>IF(ISNUMBER(F$6),IF(AND(F$6&gt;=MTP_BaseYear,F$6&lt;=OutturnThrough),'Step 2 - Update outturn data'!G7,INDEX($D$50:$J$50,MATCH(F$6,$D$34:$J$34,0))/100*F$29),"")</f>
        <v>0</v>
      </c>
      <c r="G9" s="167" t="str">
        <f>IF(ISNUMBER(G$6),IF(AND(G$6&gt;=MTP_BaseYear,G$6&lt;=OutturnThrough),'Step 2 - Update outturn data'!H7,INDEX($D$50:$J$50,MATCH(G$6,$D$34:$J$34,0))/100*G$29),"")</f>
        <v/>
      </c>
      <c r="H9" s="167" t="str">
        <f>IF(ISNUMBER(H$6),IF(AND(H$6&gt;=MTP_BaseYear,H$6&lt;=OutturnThrough),'Step 2 - Update outturn data'!I7,INDEX($D$50:$J$50,MATCH(H$6,$D$34:$J$34,0))/100*H$29),"")</f>
        <v/>
      </c>
      <c r="I9" s="167" t="str">
        <f>IF(ISNUMBER(I$6),IF(AND(I$6&gt;=MTP_BaseYear,I$6&lt;=OutturnThrough),'Step 2 - Update outturn data'!#REF!,INDEX($D$50:$J$50,MATCH(I$6,$D$34:$J$34,0))/100*I$29),"")</f>
        <v/>
      </c>
      <c r="J9" s="167" t="str">
        <f>IF(ISNUMBER(J$6),IF(AND(J$6&gt;=MTP_BaseYear,J$6&lt;=OutturnThrough),'Step 2 - Update outturn data'!J7,INDEX($D$50:$J$50,MATCH(J$6,$D$34:$J$34,0))/100*J$29),"")</f>
        <v/>
      </c>
      <c r="K9" s="37"/>
      <c r="L9" s="37"/>
      <c r="M9" s="37"/>
      <c r="N9" s="37"/>
      <c r="O9" t="s">
        <v>801</v>
      </c>
      <c r="P9" s="179">
        <v>2023</v>
      </c>
    </row>
    <row r="10" spans="2:16" x14ac:dyDescent="0.4">
      <c r="B10" s="59" t="s">
        <v>276</v>
      </c>
      <c r="C10" s="44" t="s">
        <v>6</v>
      </c>
      <c r="D10" s="167">
        <f>IF(ISNUMBER(D$6),IF(AND(D$6&gt;=MTP_BaseYear,D$6&lt;=OutturnThrough),'Step 2 - Update outturn data'!E8,INDEX($D$63:$J$63,MATCH(D$6,$D$34:$J$34,0))/100*D$29),"")</f>
        <v>0</v>
      </c>
      <c r="E10" s="167">
        <f>IF(ISNUMBER(E$6),IF(AND(E$6&gt;=MTP_BaseYear,E$6&lt;=OutturnThrough),'Step 2 - Update outturn data'!F8,INDEX($D$63:$J$63,MATCH(E$6,$D$34:$J$34,0))/100*E$29),"")</f>
        <v>0</v>
      </c>
      <c r="F10" s="167">
        <f>IF(ISNUMBER(F$6),IF(AND(F$6&gt;=MTP_BaseYear,F$6&lt;=OutturnThrough),'Step 2 - Update outturn data'!G8,INDEX($D$63:$J$63,MATCH(F$6,$D$34:$J$34,0))/100*F$29),"")</f>
        <v>0</v>
      </c>
      <c r="G10" s="167" t="str">
        <f>IF(ISNUMBER(G$6),IF(AND(G$6&gt;=MTP_BaseYear,G$6&lt;=OutturnThrough),'Step 2 - Update outturn data'!H8,INDEX($D$63:$J$63,MATCH(G$6,$D$34:$J$34,0))/100*G$29),"")</f>
        <v/>
      </c>
      <c r="H10" s="167" t="str">
        <f>IF(ISNUMBER(H$6),IF(AND(H$6&gt;=MTP_BaseYear,H$6&lt;=OutturnThrough),'Step 2 - Update outturn data'!I8,INDEX($D$63:$J$63,MATCH(H$6,$D$34:$J$34,0))/100*H$29),"")</f>
        <v/>
      </c>
      <c r="I10" s="167" t="str">
        <f>IF(ISNUMBER(I$6),IF(AND(I$6&gt;=MTP_BaseYear,I$6&lt;=OutturnThrough),'Step 2 - Update outturn data'!#REF!,INDEX($D$63:$J$63,MATCH(I$6,$D$34:$J$34,0))/100*I$29),"")</f>
        <v/>
      </c>
      <c r="J10" s="167" t="str">
        <f>IF(ISNUMBER(J$6),IF(AND(J$6&gt;=MTP_BaseYear,J$6&lt;=OutturnThrough),'Step 2 - Update outturn data'!J8,INDEX($D$63:$J$63,MATCH(J$6,$D$34:$J$34,0))/100*J$29),"")</f>
        <v/>
      </c>
      <c r="K10" s="37"/>
      <c r="L10" s="37"/>
      <c r="M10" s="37"/>
      <c r="N10" s="37"/>
      <c r="O10" t="s">
        <v>805</v>
      </c>
      <c r="P10" s="179" t="s">
        <v>806</v>
      </c>
    </row>
    <row r="11" spans="2:16" x14ac:dyDescent="0.4">
      <c r="B11" s="59" t="s">
        <v>277</v>
      </c>
      <c r="C11" s="44" t="s">
        <v>6</v>
      </c>
      <c r="D11" s="167">
        <f>IF(ISNUMBER(D$6),IF(AND(D$6&gt;=MTP_BaseYear,D$6&lt;=OutturnThrough),'Step 2 - Update outturn data'!E9,INDEX($D$60:$J$60,MATCH(D$6,$D$34:$J$34,0))/100*D$29),"")</f>
        <v>0</v>
      </c>
      <c r="E11" s="167">
        <f>IF(ISNUMBER(E$6),IF(AND(E$6&gt;=MTP_BaseYear,E$6&lt;=OutturnThrough),'Step 2 - Update outturn data'!F9,INDEX($D$60:$J$60,MATCH(E$6,$D$34:$J$34,0))/100*E$29),"")</f>
        <v>0</v>
      </c>
      <c r="F11" s="167">
        <f>IF(ISNUMBER(F$6),IF(AND(F$6&gt;=MTP_BaseYear,F$6&lt;=OutturnThrough),'Step 2 - Update outturn data'!G9,INDEX($D$60:$J$60,MATCH(F$6,$D$34:$J$34,0))/100*F$29),"")</f>
        <v>0</v>
      </c>
      <c r="G11" s="167" t="str">
        <f>IF(ISNUMBER(G$6),IF(AND(G$6&gt;=MTP_BaseYear,G$6&lt;=OutturnThrough),'Step 2 - Update outturn data'!H9,INDEX($D$60:$J$60,MATCH(G$6,$D$34:$J$34,0))/100*G$29),"")</f>
        <v/>
      </c>
      <c r="H11" s="167" t="str">
        <f>IF(ISNUMBER(H$6),IF(AND(H$6&gt;=MTP_BaseYear,H$6&lt;=OutturnThrough),'Step 2 - Update outturn data'!I9,INDEX($D$60:$J$60,MATCH(H$6,$D$34:$J$34,0))/100*H$29),"")</f>
        <v/>
      </c>
      <c r="I11" s="167" t="str">
        <f>IF(ISNUMBER(I$6),IF(AND(I$6&gt;=MTP_BaseYear,I$6&lt;=OutturnThrough),'Step 2 - Update outturn data'!#REF!,INDEX($D$60:$J$60,MATCH(I$6,$D$34:$J$34,0))/100*I$29),"")</f>
        <v/>
      </c>
      <c r="J11" s="167" t="str">
        <f>IF(ISNUMBER(J$6),IF(AND(J$6&gt;=MTP_BaseYear,J$6&lt;=OutturnThrough),'Step 2 - Update outturn data'!J9,INDEX($D$60:$J$60,MATCH(J$6,$D$34:$J$34,0))/100*J$29),"")</f>
        <v/>
      </c>
      <c r="K11" s="37"/>
      <c r="L11" s="37"/>
      <c r="M11" s="37"/>
      <c r="N11" s="37"/>
      <c r="O11" t="s">
        <v>804</v>
      </c>
      <c r="P11" s="179" t="s">
        <v>807</v>
      </c>
    </row>
    <row r="12" spans="2:16" x14ac:dyDescent="0.4">
      <c r="B12" s="59" t="s">
        <v>278</v>
      </c>
      <c r="C12" s="44" t="s">
        <v>6</v>
      </c>
      <c r="D12" s="167">
        <f>IF(ISNUMBER(D$6),IF(AND(D$6&gt;=MTP_BaseYear,D$6&lt;=OutturnThrough),'Step 2 - Update outturn data'!E10,INDEX($D$62:$J$62,MATCH(D$6,$D$34:$J$34,0))/100*D$29),"")</f>
        <v>0</v>
      </c>
      <c r="E12" s="167">
        <f>IF(ISNUMBER(E$6),IF(AND(E$6&gt;=MTP_BaseYear,E$6&lt;=OutturnThrough),'Step 2 - Update outturn data'!F10,INDEX($D$62:$J$62,MATCH(E$6,$D$34:$J$34,0))/100*E$29),"")</f>
        <v>0</v>
      </c>
      <c r="F12" s="167">
        <f>IF(ISNUMBER(F$6),IF(AND(F$6&gt;=MTP_BaseYear,F$6&lt;=OutturnThrough),'Step 2 - Update outturn data'!G10,INDEX($D$62:$J$62,MATCH(F$6,$D$34:$J$34,0))/100*F$29),"")</f>
        <v>0</v>
      </c>
      <c r="G12" s="167" t="str">
        <f>IF(ISNUMBER(G$6),IF(AND(G$6&gt;=MTP_BaseYear,G$6&lt;=OutturnThrough),'Step 2 - Update outturn data'!H10,INDEX($D$62:$J$62,MATCH(G$6,$D$34:$J$34,0))/100*G$29),"")</f>
        <v/>
      </c>
      <c r="H12" s="167" t="str">
        <f>IF(ISNUMBER(H$6),IF(AND(H$6&gt;=MTP_BaseYear,H$6&lt;=OutturnThrough),'Step 2 - Update outturn data'!I10,INDEX($D$62:$J$62,MATCH(H$6,$D$34:$J$34,0))/100*H$29),"")</f>
        <v/>
      </c>
      <c r="I12" s="167" t="str">
        <f>IF(ISNUMBER(I$6),IF(AND(I$6&gt;=MTP_BaseYear,I$6&lt;=OutturnThrough),'Step 2 - Update outturn data'!#REF!,INDEX($D$62:$J$62,MATCH(I$6,$D$34:$J$34,0))/100*I$29),"")</f>
        <v/>
      </c>
      <c r="J12" s="167" t="str">
        <f>IF(ISNUMBER(J$6),IF(AND(J$6&gt;=MTP_BaseYear,J$6&lt;=OutturnThrough),'Step 2 - Update outturn data'!J10,INDEX($D$62:$J$62,MATCH(J$6,$D$34:$J$34,0))/100*J$29),"")</f>
        <v/>
      </c>
      <c r="K12" s="37"/>
      <c r="L12" s="37"/>
      <c r="M12" s="37"/>
      <c r="N12" s="37"/>
      <c r="O12" t="s">
        <v>809</v>
      </c>
      <c r="P12" s="179">
        <v>2</v>
      </c>
    </row>
    <row r="13" spans="2:16" x14ac:dyDescent="0.4">
      <c r="B13" s="59" t="s">
        <v>386</v>
      </c>
      <c r="C13" s="44" t="s">
        <v>6</v>
      </c>
      <c r="D13" s="167">
        <f>IF(ISNUMBER(D$6),IF(AND(D$6&gt;=MTP_BaseYear,D$6&lt;=OutturnThrough),'Step 2 - Update outturn data'!E11,INDEX($D$64:$J$64,MATCH(D$6,$D$34:$J$34,0))/100*D$29),"")</f>
        <v>0</v>
      </c>
      <c r="E13" s="167">
        <f>IF(ISNUMBER(E$6),IF(AND(E$6&gt;=MTP_BaseYear,E$6&lt;=OutturnThrough),'Step 2 - Update outturn data'!F11,INDEX($D$64:$J$64,MATCH(E$6,$D$34:$J$34,0))/100*E$29),"")</f>
        <v>0</v>
      </c>
      <c r="F13" s="167">
        <f>IF(ISNUMBER(F$6),IF(AND(F$6&gt;=MTP_BaseYear,F$6&lt;=OutturnThrough),'Step 2 - Update outturn data'!G11,INDEX($D$64:$J$64,MATCH(F$6,$D$34:$J$34,0))/100*F$29),"")</f>
        <v>0</v>
      </c>
      <c r="G13" s="167" t="str">
        <f>IF(ISNUMBER(G$6),IF(AND(G$6&gt;=MTP_BaseYear,G$6&lt;=OutturnThrough),'Step 2 - Update outturn data'!H11,INDEX($D$64:$J$64,MATCH(G$6,$D$34:$J$34,0))/100*G$29),"")</f>
        <v/>
      </c>
      <c r="H13" s="167" t="str">
        <f>IF(ISNUMBER(H$6),IF(AND(H$6&gt;=MTP_BaseYear,H$6&lt;=OutturnThrough),'Step 2 - Update outturn data'!I11,INDEX($D$64:$J$64,MATCH(H$6,$D$34:$J$34,0))/100*H$29),"")</f>
        <v/>
      </c>
      <c r="I13" s="167" t="str">
        <f>IF(ISNUMBER(I$6),IF(AND(I$6&gt;=MTP_BaseYear,I$6&lt;=OutturnThrough),'Step 2 - Update outturn data'!#REF!,INDEX($D$64:$J$64,MATCH(I$6,$D$34:$J$34,0))/100*I$29),"")</f>
        <v/>
      </c>
      <c r="J13" s="167" t="str">
        <f>IF(ISNUMBER(J$6),IF(AND(J$6&gt;=MTP_BaseYear,J$6&lt;=OutturnThrough),'Step 2 - Update outturn data'!J11,INDEX($D$64:$J$64,MATCH(J$6,$D$34:$J$34,0))/100*J$29),"")</f>
        <v/>
      </c>
      <c r="K13" s="37"/>
      <c r="L13" s="37"/>
      <c r="M13" s="37"/>
      <c r="N13" s="37"/>
      <c r="O13" t="s">
        <v>808</v>
      </c>
      <c r="P13" s="179">
        <v>60</v>
      </c>
    </row>
    <row r="14" spans="2:16" x14ac:dyDescent="0.4">
      <c r="B14" s="59" t="s">
        <v>307</v>
      </c>
      <c r="C14" s="44" t="s">
        <v>6</v>
      </c>
      <c r="D14" s="167">
        <f>IF(ISNUMBER(D$6),IF(AND(D$6&gt;=MTP_BaseYear,D$6&lt;=OutturnThrough),'Step 2 - Update outturn data'!E12,INDEX($D$65:$J$65,MATCH(D$6,$D$34:$J$34,0))/100*D$29),"")</f>
        <v>0</v>
      </c>
      <c r="E14" s="167">
        <f>IF(ISNUMBER(E$6),IF(AND(E$6&gt;=MTP_BaseYear,E$6&lt;=OutturnThrough),'Step 2 - Update outturn data'!F12,INDEX($D$65:$J$65,MATCH(E$6,$D$34:$J$34,0))/100*E$29),"")</f>
        <v>0</v>
      </c>
      <c r="F14" s="167">
        <f>IF(ISNUMBER(F$6),IF(AND(F$6&gt;=MTP_BaseYear,F$6&lt;=OutturnThrough),'Step 2 - Update outturn data'!G12,INDEX($D$65:$J$65,MATCH(F$6,$D$34:$J$34,0))/100*F$29),"")</f>
        <v>0</v>
      </c>
      <c r="G14" s="167" t="str">
        <f>IF(ISNUMBER(G$6),IF(AND(G$6&gt;=MTP_BaseYear,G$6&lt;=OutturnThrough),'Step 2 - Update outturn data'!H12,INDEX($D$65:$J$65,MATCH(G$6,$D$34:$J$34,0))/100*G$29),"")</f>
        <v/>
      </c>
      <c r="H14" s="167" t="str">
        <f>IF(ISNUMBER(H$6),IF(AND(H$6&gt;=MTP_BaseYear,H$6&lt;=OutturnThrough),'Step 2 - Update outturn data'!I12,INDEX($D$65:$J$65,MATCH(H$6,$D$34:$J$34,0))/100*H$29),"")</f>
        <v/>
      </c>
      <c r="I14" s="167" t="str">
        <f>IF(ISNUMBER(I$6),IF(AND(I$6&gt;=MTP_BaseYear,I$6&lt;=OutturnThrough),'Step 2 - Update outturn data'!#REF!,INDEX($D$65:$J$65,MATCH(I$6,$D$34:$J$34,0))/100*I$29),"")</f>
        <v/>
      </c>
      <c r="J14" s="167" t="str">
        <f>IF(ISNUMBER(J$6),IF(AND(J$6&gt;=MTP_BaseYear,J$6&lt;=OutturnThrough),'Step 2 - Update outturn data'!J12,INDEX($D$65:$J$65,MATCH(J$6,$D$34:$J$34,0))/100*J$29),"")</f>
        <v/>
      </c>
      <c r="K14" s="37"/>
      <c r="L14" s="37"/>
      <c r="M14" s="37"/>
      <c r="N14" s="37"/>
    </row>
    <row r="15" spans="2:16" x14ac:dyDescent="0.4">
      <c r="B15" s="59" t="s">
        <v>596</v>
      </c>
      <c r="C15" s="44" t="s">
        <v>6</v>
      </c>
      <c r="D15" s="167">
        <f>IF(ISNUMBER(D$6),IF(AND(D$6&gt;=MTP_BaseYear,D$6&lt;=OutturnThrough),'Step 2 - Update outturn data'!E13,(INDEX($D$45:$J$45,MATCH(D$6,$D$34:$J$34,0))-INDEX($D$46:$J$46,MATCH(D$6,$D$34:$J$34,0)))/100*D$29),"")</f>
        <v>0</v>
      </c>
      <c r="E15" s="167">
        <f>IF(ISNUMBER(E$6),IF(AND(E$6&gt;=MTP_BaseYear,E$6&lt;=OutturnThrough),'Step 2 - Update outturn data'!F13,(INDEX($D$45:$J$45,MATCH(E$6,$D$34:$J$34,0))-INDEX($D$46:$J$46,MATCH(E$6,$D$34:$J$34,0)))/100*E$29),"")</f>
        <v>0</v>
      </c>
      <c r="F15" s="167">
        <f>IF(ISNUMBER(F$6),IF(AND(F$6&gt;=MTP_BaseYear,F$6&lt;=OutturnThrough),'Step 2 - Update outturn data'!G13,(INDEX($D$45:$J$45,MATCH(F$6,$D$34:$J$34,0))-INDEX($D$46:$J$46,MATCH(F$6,$D$34:$J$34,0)))/100*F$29),"")</f>
        <v>0</v>
      </c>
      <c r="G15" s="167" t="str">
        <f>IF(ISNUMBER(G$6),IF(AND(G$6&gt;=MTP_BaseYear,G$6&lt;=OutturnThrough),'Step 2 - Update outturn data'!H13,(INDEX($D$45:$J$45,MATCH(G$6,$D$34:$J$34,0))-INDEX($D$46:$J$46,MATCH(G$6,$D$34:$J$34,0)))/100*G$29),"")</f>
        <v/>
      </c>
      <c r="H15" s="167" t="str">
        <f>IF(ISNUMBER(H$6),IF(AND(H$6&gt;=MTP_BaseYear,H$6&lt;=OutturnThrough),'Step 2 - Update outturn data'!I13,(INDEX($D$45:$J$45,MATCH(H$6,$D$34:$J$34,0))-INDEX($D$46:$J$46,MATCH(H$6,$D$34:$J$34,0)))/100*H$29),"")</f>
        <v/>
      </c>
      <c r="I15" s="167" t="str">
        <f>IF(ISNUMBER(I$6),IF(AND(I$6&gt;=MTP_BaseYear,I$6&lt;=OutturnThrough),'Step 2 - Update outturn data'!#REF!,(INDEX($D$45:$J$45,MATCH(I$6,$D$34:$J$34,0))-INDEX($D$46:$J$46,MATCH(I$6,$D$34:$J$34,0)))/100*I$29),"")</f>
        <v/>
      </c>
      <c r="J15" s="167" t="str">
        <f>IF(ISNUMBER(J$6),IF(AND(J$6&gt;=MTP_BaseYear,J$6&lt;=OutturnThrough),'Step 2 - Update outturn data'!J13,(INDEX($D$45:$J$45,MATCH(J$6,$D$34:$J$34,0))-INDEX($D$46:$J$46,MATCH(J$6,$D$34:$J$34,0)))/100*J$29),"")</f>
        <v/>
      </c>
      <c r="K15" s="37"/>
      <c r="L15" s="37"/>
      <c r="M15" s="37"/>
      <c r="N15" s="37"/>
      <c r="O15" t="s">
        <v>824</v>
      </c>
    </row>
    <row r="16" spans="2:16" x14ac:dyDescent="0.4">
      <c r="B16" s="59" t="s">
        <v>598</v>
      </c>
      <c r="C16" s="44" t="s">
        <v>6</v>
      </c>
      <c r="D16" s="167">
        <f>IF(ISNUMBER(D$6),IF(AND(D$6&gt;=MTP_BaseYear,D$6&lt;=OutturnThrough),'Step 2 - Update outturn data'!E14,INDEX($D$87:$J$87,MATCH(D$6,$D$34:$J$34,0))/100*D$29),"")</f>
        <v>0</v>
      </c>
      <c r="E16" s="167">
        <f>IF(ISNUMBER(E$6),IF(AND(E$6&gt;=MTP_BaseYear,E$6&lt;=OutturnThrough),'Step 2 - Update outturn data'!F14,INDEX($D$87:$J$87,MATCH(E$6,$D$34:$J$34,0))/100*E$29),"")</f>
        <v>0</v>
      </c>
      <c r="F16" s="167">
        <f>IF(ISNUMBER(F$6),IF(AND(F$6&gt;=MTP_BaseYear,F$6&lt;=OutturnThrough),'Step 2 - Update outturn data'!G14,INDEX($D$87:$J$87,MATCH(F$6,$D$34:$J$34,0))/100*F$29),"")</f>
        <v>0</v>
      </c>
      <c r="G16" s="167" t="str">
        <f>IF(ISNUMBER(G$6),IF(AND(G$6&gt;=MTP_BaseYear,G$6&lt;=OutturnThrough),'Step 2 - Update outturn data'!H14,INDEX($D$87:$J$87,MATCH(G$6,$D$34:$J$34,0))/100*G$29),"")</f>
        <v/>
      </c>
      <c r="H16" s="167" t="str">
        <f>IF(ISNUMBER(H$6),IF(AND(H$6&gt;=MTP_BaseYear,H$6&lt;=OutturnThrough),'Step 2 - Update outturn data'!I14,INDEX($D$87:$J$87,MATCH(H$6,$D$34:$J$34,0))/100*H$29),"")</f>
        <v/>
      </c>
      <c r="I16" s="167" t="str">
        <f>IF(ISNUMBER(I$6),IF(AND(I$6&gt;=MTP_BaseYear,I$6&lt;=OutturnThrough),'Step 2 - Update outturn data'!#REF!,INDEX($D$87:$J$87,MATCH(I$6,$D$34:$J$34,0))/100*I$29),"")</f>
        <v/>
      </c>
      <c r="J16" s="167" t="str">
        <f>IF(ISNUMBER(J$6),IF(AND(J$6&gt;=MTP_BaseYear,J$6&lt;=OutturnThrough),'Step 2 - Update outturn data'!J14,INDEX($D$87:$J$87,MATCH(J$6,$D$34:$J$34,0))/100*J$29),"")</f>
        <v/>
      </c>
      <c r="K16" s="37"/>
      <c r="L16" s="37"/>
      <c r="M16" s="37"/>
      <c r="N16" s="37"/>
    </row>
    <row r="17" spans="2:15" x14ac:dyDescent="0.4">
      <c r="B17" s="59" t="s">
        <v>309</v>
      </c>
      <c r="C17" s="44" t="s">
        <v>634</v>
      </c>
      <c r="D17" s="167" t="str">
        <f>IF(ISNUMBER(D$6),IF(AND(D$6&gt;=MTP_BaseYear,D$6&lt;=OutturnThrough),'Step 2 - Update outturn data'!E15,INDEX($D$67:$J$67,MATCH(D$6,$D$34:$J$34,0))),"")</f>
        <v/>
      </c>
      <c r="E17" s="167" t="str">
        <f>IF(ISNUMBER(E$6),IF(AND(E$6&gt;=MTP_BaseYear,E$6&lt;=OutturnThrough),'Step 2 - Update outturn data'!F15,INDEX($D$67:$J$67,MATCH(E$6,$D$34:$J$34,0))),"")</f>
        <v/>
      </c>
      <c r="F17" s="167" t="str">
        <f>IF(ISNUMBER(F$6),IF(AND(F$6&gt;=MTP_BaseYear,F$6&lt;=OutturnThrough),'Step 2 - Update outturn data'!G15,INDEX($D$67:$J$67,MATCH(F$6,$D$34:$J$34,0))),"")</f>
        <v/>
      </c>
      <c r="G17" s="167" t="str">
        <f>IF(ISNUMBER(G$6),IF(AND(G$6&gt;=MTP_BaseYear,G$6&lt;=OutturnThrough),'Step 2 - Update outturn data'!H15,INDEX($D$67:$J$67,MATCH(G$6,$D$34:$J$34,0))),"")</f>
        <v/>
      </c>
      <c r="H17" s="167" t="str">
        <f>IF(ISNUMBER(H$6),IF(AND(H$6&gt;=MTP_BaseYear,H$6&lt;=OutturnThrough),'Step 2 - Update outturn data'!I15,INDEX($D$67:$J$67,MATCH(H$6,$D$34:$J$34,0))),"")</f>
        <v/>
      </c>
      <c r="I17" s="167" t="str">
        <f>IF(ISNUMBER(I$6),IF(AND(I$6&gt;=MTP_BaseYear,I$6&lt;=OutturnThrough),'Step 2 - Update outturn data'!#REF!,INDEX($D$67:$J$67,MATCH(I$6,$D$34:$J$34,0))),"")</f>
        <v/>
      </c>
      <c r="J17" s="167" t="str">
        <f>IF(ISNUMBER(J$6),IF(AND(J$6&gt;=MTP_BaseYear,J$6&lt;=OutturnThrough),'Step 2 - Update outturn data'!J15,INDEX($D$67:$J$67,MATCH(J$6,$D$34:$J$34,0))),"")</f>
        <v/>
      </c>
      <c r="K17" s="37"/>
      <c r="L17" s="37"/>
      <c r="M17" s="37"/>
      <c r="N17" s="37"/>
    </row>
    <row r="18" spans="2:15" x14ac:dyDescent="0.4">
      <c r="B18" s="59" t="s">
        <v>308</v>
      </c>
      <c r="C18" s="44" t="s">
        <v>634</v>
      </c>
      <c r="D18" s="69" t="str">
        <f>IF(ISNUMBER(D$6),IF(D$6&lt;=MTP_BaseYear,"",IF(ISNUMBER(C18),((1+C18/100)*(1+D17/100)-1)*100,D17)),"")</f>
        <v/>
      </c>
      <c r="E18" s="69" t="str">
        <f>IF(ISNUMBER(E$6),IF(E$6&lt;=MTP_BaseYear,"",IF(ISNUMBER(D18),((1+D18/100)*(1+E17/100)-1)*100,E17)),"")</f>
        <v/>
      </c>
      <c r="F18" s="69" t="str">
        <f>IF(ISNUMBER(F$6),IF(F$6&lt;=MTP_BaseYear,"",IF(ISNUMBER(E18),((1+E18/100)*(1+F17/100)-1)*100,F17)),"")</f>
        <v/>
      </c>
      <c r="G18" s="69" t="str">
        <f>IF(ISNUMBER(G$6),IF(G$6&lt;=MTP_BaseYear,"",IF(ISNUMBER(F18),((1+F18/100)*(1+G17/100)-1)*100,G17)),"")</f>
        <v/>
      </c>
      <c r="H18" s="69" t="str">
        <f>IF(ISNUMBER(H$6),IF(H$6&lt;=MTP_BaseYear,"",IF(ISNUMBER(G18),((1+G18/100)*(1+H17/100)-1)*100,H17)),"")</f>
        <v/>
      </c>
      <c r="I18" s="69" t="str">
        <f>IF(ISNUMBER(I$6),IF(I$6&lt;=MTP_YearT,"",IF(ISNUMBER(H18),((1+H18/100)*(1+I17/100)-1)*100,I17)),"")</f>
        <v/>
      </c>
      <c r="J18" s="167"/>
      <c r="K18" s="37"/>
      <c r="L18" s="37"/>
      <c r="M18" s="37"/>
      <c r="N18" s="37"/>
    </row>
    <row r="19" spans="2:15" x14ac:dyDescent="0.4">
      <c r="B19" s="55" t="s">
        <v>206</v>
      </c>
      <c r="C19" s="44" t="s">
        <v>603</v>
      </c>
      <c r="D19" s="167" t="str">
        <f>IF(ISNUMBER(D$6),IF(AND(D$6&gt;=MTP_BaseYear,D$6&lt;=OutturnThrough),'Step 2 - Update outturn data'!E17,INDEX($D$69:$J$69,MATCH(D$6,$D$34:$J$34,0))),"")</f>
        <v/>
      </c>
      <c r="E19" s="167" t="str">
        <f>IF(ISNUMBER(E$6),IF(AND(E$6&gt;=MTP_BaseYear,E$6&lt;=OutturnThrough),'Step 2 - Update outturn data'!F17,INDEX($D$69:$J$69,MATCH(E$6,$D$34:$J$34,0))),"")</f>
        <v/>
      </c>
      <c r="F19" s="167" t="str">
        <f>IF(ISNUMBER(F$6),IF(AND(F$6&gt;=MTP_BaseYear,F$6&lt;=OutturnThrough),'Step 2 - Update outturn data'!G17,INDEX($D$69:$J$69,MATCH(F$6,$D$34:$J$34,0))),"")</f>
        <v/>
      </c>
      <c r="G19" s="167" t="str">
        <f>IF(ISNUMBER(G$6),IF(AND(G$6&gt;=MTP_BaseYear,G$6&lt;=OutturnThrough),'Step 2 - Update outturn data'!H17,INDEX($D$69:$J$69,MATCH(G$6,$D$34:$J$34,0))),"")</f>
        <v/>
      </c>
      <c r="H19" s="167" t="str">
        <f>IF(ISNUMBER(H$6),IF(AND(H$6&gt;=MTP_BaseYear,H$6&lt;=OutturnThrough),'Step 2 - Update outturn data'!I17,INDEX($D$69:$J$69,MATCH(H$6,$D$34:$J$34,0))),"")</f>
        <v/>
      </c>
      <c r="I19" s="167" t="str">
        <f>IF(ISNUMBER(I$6),IF(AND(I$6&gt;=MTP_BaseYear,I$6&lt;=OutturnThrough),'Step 2 - Update outturn data'!#REF!,INDEX($D$69:$J$69,MATCH(I$6,$D$34:$J$34,0))),"")</f>
        <v/>
      </c>
      <c r="J19" s="167" t="str">
        <f>IF(ISNUMBER(J$6),IF(AND(J$6&gt;=MTP_BaseYear,J$6&lt;=OutturnThrough),'Step 2 - Update outturn data'!J17,INDEX($D$69:$J$69,MATCH(J$6,$D$34:$J$34,0))),"")</f>
        <v/>
      </c>
      <c r="K19" s="37"/>
      <c r="L19" s="37"/>
      <c r="M19" s="37"/>
      <c r="N19" s="37"/>
    </row>
    <row r="20" spans="2:15" x14ac:dyDescent="0.4">
      <c r="B20" s="55" t="s">
        <v>0</v>
      </c>
      <c r="C20" s="44" t="s">
        <v>603</v>
      </c>
      <c r="D20" s="167">
        <f>IF(ISNUMBER(D$6),IF(AND(D$6&gt;=MTP_BaseYear,D$6&lt;=OutturnThrough),'Step 2 - Update outturn data'!E18,INDEX($D$72:$J$72,MATCH(D$6,$D$34:$J$34,0))),"")</f>
        <v>0</v>
      </c>
      <c r="E20" s="167">
        <f>IF(ISNUMBER(E$6),IF(AND(E$6&gt;=MTP_BaseYear,E$6&lt;=OutturnThrough),'Step 2 - Update outturn data'!F18,INDEX($D$72:$J$72,MATCH(E$6,$D$34:$J$34,0))),"")</f>
        <v>0</v>
      </c>
      <c r="F20" s="167">
        <f>IF(ISNUMBER(F$6),IF(AND(F$6&gt;=MTP_BaseYear,F$6&lt;=OutturnThrough),'Step 2 - Update outturn data'!G18,INDEX($D$72:$J$72,MATCH(F$6,$D$34:$J$34,0))),"")</f>
        <v>0</v>
      </c>
      <c r="G20" s="167" t="str">
        <f>IF(ISNUMBER(G$6),IF(AND(G$6&gt;=MTP_BaseYear,G$6&lt;=OutturnThrough),'Step 2 - Update outturn data'!H18,INDEX($D$72:$J$72,MATCH(G$6,$D$34:$J$34,0))),"")</f>
        <v/>
      </c>
      <c r="H20" s="167" t="str">
        <f>IF(ISNUMBER(H$6),IF(AND(H$6&gt;=MTP_BaseYear,H$6&lt;=OutturnThrough),'Step 2 - Update outturn data'!I18,INDEX($D$72:$J$72,MATCH(H$6,$D$34:$J$34,0))),"")</f>
        <v/>
      </c>
      <c r="I20" s="167" t="str">
        <f>IF(ISNUMBER(I$6),IF(AND(I$6&gt;=MTP_BaseYear,I$6&lt;=OutturnThrough),'Step 2 - Update outturn data'!#REF!,INDEX($D$72:$J$72,MATCH(I$6,$D$34:$J$34,0))),"")</f>
        <v/>
      </c>
      <c r="J20" s="167" t="str">
        <f>IF(ISNUMBER(J$6),IF(AND(J$6&gt;=MTP_BaseYear,J$6&lt;=OutturnThrough),'Step 2 - Update outturn data'!J18,INDEX($D$72:$J$72,MATCH(J$6,$D$34:$J$34,0))),"")</f>
        <v/>
      </c>
      <c r="K20" s="37"/>
      <c r="L20" s="37"/>
      <c r="M20" s="37"/>
      <c r="N20" s="37"/>
    </row>
    <row r="21" spans="2:15" x14ac:dyDescent="0.4">
      <c r="B21" s="55" t="s">
        <v>3</v>
      </c>
      <c r="C21" s="44" t="s">
        <v>603</v>
      </c>
      <c r="D21" s="167">
        <f>IF(ISNUMBER(D$6),IF(AND(D$6&gt;=MTP_BaseYear,D$6&lt;=OutturnThrough),'Step 2 - Update outturn data'!E19,INDEX($D$73:$J$73,MATCH(D$6,$D$34:$J$34,0))),"")</f>
        <v>0</v>
      </c>
      <c r="E21" s="167">
        <f>IF(ISNUMBER(E$6),IF(AND(E$6&gt;=MTP_BaseYear,E$6&lt;=OutturnThrough),'Step 2 - Update outturn data'!F19,INDEX($D$73:$J$73,MATCH(E$6,$D$34:$J$34,0))),"")</f>
        <v>0</v>
      </c>
      <c r="F21" s="167">
        <f>IF(ISNUMBER(F$6),IF(AND(F$6&gt;=MTP_BaseYear,F$6&lt;=OutturnThrough),'Step 2 - Update outturn data'!G19,INDEX($D$73:$J$73,MATCH(F$6,$D$34:$J$34,0))),"")</f>
        <v>0</v>
      </c>
      <c r="G21" s="167" t="str">
        <f>IF(ISNUMBER(G$6),IF(AND(G$6&gt;=MTP_BaseYear,G$6&lt;=OutturnThrough),'Step 2 - Update outturn data'!H19,INDEX($D$73:$J$73,MATCH(G$6,$D$34:$J$34,0))),"")</f>
        <v/>
      </c>
      <c r="H21" s="167" t="str">
        <f>IF(ISNUMBER(H$6),IF(AND(H$6&gt;=MTP_BaseYear,H$6&lt;=OutturnThrough),'Step 2 - Update outturn data'!I19,INDEX($D$73:$J$73,MATCH(H$6,$D$34:$J$34,0))),"")</f>
        <v/>
      </c>
      <c r="I21" s="167" t="str">
        <f>IF(ISNUMBER(I$6),IF(AND(I$6&gt;=MTP_BaseYear,I$6&lt;=OutturnThrough),'Step 2 - Update outturn data'!#REF!,INDEX($D$73:$J$73,MATCH(I$6,$D$34:$J$34,0))),"")</f>
        <v/>
      </c>
      <c r="J21" s="167" t="str">
        <f>IF(ISNUMBER(J$6),IF(AND(J$6&gt;=MTP_BaseYear,J$6&lt;=OutturnThrough),'Step 2 - Update outturn data'!J19,INDEX($D$73:$J$73,MATCH(J$6,$D$34:$J$34,0))),"")</f>
        <v/>
      </c>
      <c r="K21" s="37"/>
      <c r="L21" s="37"/>
      <c r="M21" s="37"/>
      <c r="N21" s="37"/>
    </row>
    <row r="22" spans="2:15" x14ac:dyDescent="0.4">
      <c r="B22" s="55" t="s">
        <v>1</v>
      </c>
      <c r="C22" s="44" t="s">
        <v>603</v>
      </c>
      <c r="D22" s="167" t="str">
        <f>IF(ISNUMBER(D$6),IF(AND(D$6&gt;=MTP_BaseYear,D$6&lt;=OutturnThrough),'Step 2 - Update outturn data'!E20,INDEX($D$75:$J$75,MATCH(D$6,$D$34:$J$34,0))),"")</f>
        <v/>
      </c>
      <c r="E22" s="167" t="str">
        <f>IF(ISNUMBER(E$6),IF(AND(E$6&gt;=MTP_BaseYear,E$6&lt;=OutturnThrough),'Step 2 - Update outturn data'!F20,INDEX($D$75:$J$75,MATCH(E$6,$D$34:$J$34,0))),"")</f>
        <v/>
      </c>
      <c r="F22" s="167" t="str">
        <f>IF(ISNUMBER(F$6),IF(AND(F$6&gt;=MTP_BaseYear,F$6&lt;=OutturnThrough),'Step 2 - Update outturn data'!G20,INDEX($D$75:$J$75,MATCH(F$6,$D$34:$J$34,0))),"")</f>
        <v/>
      </c>
      <c r="G22" s="167" t="str">
        <f>IF(ISNUMBER(G$6),IF(AND(G$6&gt;=MTP_BaseYear,G$6&lt;=OutturnThrough),'Step 2 - Update outturn data'!H20,INDEX($D$75:$J$75,MATCH(G$6,$D$34:$J$34,0))),"")</f>
        <v/>
      </c>
      <c r="H22" s="167" t="str">
        <f>IF(ISNUMBER(H$6),IF(AND(H$6&gt;=MTP_BaseYear,H$6&lt;=OutturnThrough),'Step 2 - Update outturn data'!I20,INDEX($D$75:$J$75,MATCH(H$6,$D$34:$J$34,0))),"")</f>
        <v/>
      </c>
      <c r="I22" s="167" t="str">
        <f>IF(ISNUMBER(I$6),IF(AND(I$6&gt;=MTP_BaseYear,I$6&lt;=OutturnThrough),'Step 2 - Update outturn data'!#REF!,INDEX($D$75:$J$75,MATCH(I$6,$D$34:$J$34,0))),"")</f>
        <v/>
      </c>
      <c r="J22" s="167" t="str">
        <f>IF(ISNUMBER(J$6),IF(AND(J$6&gt;=MTP_BaseYear,J$6&lt;=OutturnThrough),'Step 2 - Update outturn data'!J20,INDEX($D$75:$J$75,MATCH(J$6,$D$34:$J$34,0))),"")</f>
        <v/>
      </c>
      <c r="K22" s="37"/>
      <c r="L22" s="37"/>
      <c r="M22" s="37"/>
      <c r="N22" s="37"/>
    </row>
    <row r="23" spans="2:15" x14ac:dyDescent="0.4">
      <c r="B23" s="55" t="s">
        <v>2</v>
      </c>
      <c r="C23" s="44" t="s">
        <v>603</v>
      </c>
      <c r="D23" s="167" t="str">
        <f>IF(ISNUMBER(D$6),IF(AND(D$6&gt;=MTP_BaseYear,D$6&lt;=OutturnThrough),'Step 2 - Update outturn data'!E21,INDEX($D$76:$J$76,MATCH(D$6,$D$34:$J$34,0))),"")</f>
        <v/>
      </c>
      <c r="E23" s="167" t="str">
        <f>IF(ISNUMBER(E$6),IF(AND(E$6&gt;=MTP_BaseYear,E$6&lt;=OutturnThrough),'Step 2 - Update outturn data'!F21,INDEX($D$76:$J$76,MATCH(E$6,$D$34:$J$34,0))),"")</f>
        <v/>
      </c>
      <c r="F23" s="167" t="str">
        <f>IF(ISNUMBER(F$6),IF(AND(F$6&gt;=MTP_BaseYear,F$6&lt;=OutturnThrough),'Step 2 - Update outturn data'!G21,INDEX($D$76:$J$76,MATCH(F$6,$D$34:$J$34,0))),"")</f>
        <v/>
      </c>
      <c r="G23" s="167" t="str">
        <f>IF(ISNUMBER(G$6),IF(AND(G$6&gt;=MTP_BaseYear,G$6&lt;=OutturnThrough),'Step 2 - Update outturn data'!H21,INDEX($D$76:$J$76,MATCH(G$6,$D$34:$J$34,0))),"")</f>
        <v/>
      </c>
      <c r="H23" s="167" t="str">
        <f>IF(ISNUMBER(H$6),IF(AND(H$6&gt;=MTP_BaseYear,H$6&lt;=OutturnThrough),'Step 2 - Update outturn data'!I21,INDEX($D$76:$J$76,MATCH(H$6,$D$34:$J$34,0))),"")</f>
        <v/>
      </c>
      <c r="I23" s="167" t="str">
        <f>IF(ISNUMBER(I$6),IF(AND(I$6&gt;=MTP_BaseYear,I$6&lt;=OutturnThrough),'Step 2 - Update outturn data'!#REF!,INDEX($D$76:$J$76,MATCH(I$6,$D$34:$J$34,0))),"")</f>
        <v/>
      </c>
      <c r="J23" s="167" t="str">
        <f>IF(ISNUMBER(J$6),IF(AND(J$6&gt;=MTP_BaseYear,J$6&lt;=OutturnThrough),'Step 2 - Update outturn data'!J21,INDEX($D$76:$J$76,MATCH(J$6,$D$34:$J$34,0))),"")</f>
        <v/>
      </c>
      <c r="K23" s="37"/>
      <c r="L23" s="37"/>
      <c r="M23" s="37"/>
      <c r="N23" s="37"/>
    </row>
    <row r="24" spans="2:15" x14ac:dyDescent="0.4">
      <c r="B24" s="55" t="s">
        <v>280</v>
      </c>
      <c r="C24" s="44" t="s">
        <v>633</v>
      </c>
      <c r="D24" s="167" t="str">
        <f>IF(ISNUMBER(D$6),IF(AND(D$6&gt;=MTP_BaseYear,D$6&lt;=OutturnThrough),'Step 2 - Update outturn data'!E22,INDEX($D$94:$J$94,MATCH(D$6,$D$92:$J$92,0))),"")</f>
        <v/>
      </c>
      <c r="E24" s="167" t="str">
        <f>IF(ISNUMBER(E$6),IF(AND(E$6&gt;=MTP_BaseYear,E$6&lt;=OutturnThrough),'Step 2 - Update outturn data'!F22,INDEX($D$94:$J$94,MATCH(E$6,$D$92:$J$92,0))),"")</f>
        <v/>
      </c>
      <c r="F24" s="167" t="str">
        <f>IF(ISNUMBER(F$6),IF(AND(F$6&gt;=MTP_BaseYear,F$6&lt;=OutturnThrough),'Step 2 - Update outturn data'!G22,INDEX($D$94:$J$94,MATCH(F$6,$D$92:$J$92,0))),"")</f>
        <v/>
      </c>
      <c r="G24" s="167" t="str">
        <f>IF(ISNUMBER(G$6),IF(AND(G$6&gt;=MTP_BaseYear,G$6&lt;=OutturnThrough),'Step 2 - Update outturn data'!H22,INDEX($D$94:$J$94,MATCH(G$6,$D$92:$J$92,0))),"")</f>
        <v/>
      </c>
      <c r="H24" s="167" t="str">
        <f>IF(ISNUMBER(H$6),IF(AND(H$6&gt;=MTP_BaseYear,H$6&lt;=OutturnThrough),'Step 2 - Update outturn data'!I22,INDEX($D$94:$J$94,MATCH(H$6,$D$92:$J$92,0))),"")</f>
        <v/>
      </c>
      <c r="I24" s="167" t="str">
        <f>IF(ISNUMBER(I$6),IF(AND(I$6&gt;=MTP_BaseYear,I$6&lt;=OutturnThrough),'Step 2 - Update outturn data'!#REF!,INDEX($D$94:$J$94,MATCH(I$6,$D$92:$J$92,0))),"")</f>
        <v/>
      </c>
      <c r="J24" s="167" t="str">
        <f>IF(ISNUMBER(J$6),IF(AND(J$6&gt;=MTP_BaseYear,J$6&lt;=OutturnThrough),'Step 2 - Update outturn data'!J22,INDEX($D$94:$J$94,MATCH(J$6,$D$92:$J$92,0))),"")</f>
        <v/>
      </c>
      <c r="K24" s="37"/>
      <c r="L24" s="37"/>
      <c r="M24" s="37"/>
      <c r="N24" s="37"/>
    </row>
    <row r="25" spans="2:15" x14ac:dyDescent="0.4">
      <c r="B25" s="55" t="s">
        <v>281</v>
      </c>
      <c r="C25" s="44" t="s">
        <v>633</v>
      </c>
      <c r="D25" s="167" t="str">
        <f>IF(ISNUMBER(D$6),IF(AND(D$6&gt;=MTP_BaseYear,D$6&lt;=OutturnThrough),'Step 2 - Update outturn data'!E23,INDEX($D$95:$J$95,MATCH(D$6,$D$92:$J$92,0))),"")</f>
        <v/>
      </c>
      <c r="E25" s="167" t="str">
        <f>IF(ISNUMBER(E$6),IF(AND(E$6&gt;=MTP_BaseYear,E$6&lt;=OutturnThrough),'Step 2 - Update outturn data'!F23,INDEX($D$95:$J$95,MATCH(E$6,$D$92:$J$92,0))),"")</f>
        <v/>
      </c>
      <c r="F25" s="167" t="str">
        <f>IF(ISNUMBER(F$6),IF(AND(F$6&gt;=MTP_BaseYear,F$6&lt;=OutturnThrough),'Step 2 - Update outturn data'!G23,INDEX($D$95:$J$95,MATCH(F$6,$D$92:$J$92,0))),"")</f>
        <v/>
      </c>
      <c r="G25" s="167" t="str">
        <f>IF(ISNUMBER(G$6),IF(AND(G$6&gt;=MTP_BaseYear,G$6&lt;=OutturnThrough),'Step 2 - Update outturn data'!H23,INDEX($D$95:$J$95,MATCH(G$6,$D$92:$J$92,0))),"")</f>
        <v/>
      </c>
      <c r="H25" s="167" t="str">
        <f>IF(ISNUMBER(H$6),IF(AND(H$6&gt;=MTP_BaseYear,H$6&lt;=OutturnThrough),'Step 2 - Update outturn data'!I23,INDEX($D$95:$J$95,MATCH(H$6,$D$92:$J$92,0))),"")</f>
        <v/>
      </c>
      <c r="I25" s="167" t="str">
        <f>IF(ISNUMBER(I$6),IF(AND(I$6&gt;=MTP_BaseYear,I$6&lt;=OutturnThrough),'Step 2 - Update outturn data'!#REF!,INDEX($D$95:$J$95,MATCH(I$6,$D$92:$J$92,0))),"")</f>
        <v/>
      </c>
      <c r="J25" s="167" t="str">
        <f>IF(ISNUMBER(J$6),IF(AND(J$6&gt;=MTP_BaseYear,J$6&lt;=OutturnThrough),'Step 2 - Update outturn data'!J23,INDEX($D$95:$J$95,MATCH(J$6,$D$92:$J$92,0))),"")</f>
        <v/>
      </c>
      <c r="K25" s="37"/>
      <c r="L25" s="37"/>
      <c r="M25" s="37"/>
      <c r="N25" s="37"/>
    </row>
    <row r="26" spans="2:15" x14ac:dyDescent="0.4">
      <c r="B26" s="55" t="s">
        <v>282</v>
      </c>
      <c r="C26" s="44" t="s">
        <v>633</v>
      </c>
      <c r="D26" s="167" t="str">
        <f>IF(ISNUMBER(D$6),IF(AND(D$6&gt;=MTP_BaseYear,D$6&lt;=OutturnThrough),'Step 2 - Update outturn data'!E24,INDEX($D$96:$J$96,MATCH(D$6,$D$92:$J$92,0))),"")</f>
        <v/>
      </c>
      <c r="E26" s="167" t="str">
        <f>IF(ISNUMBER(E$6),IF(AND(E$6&gt;=MTP_BaseYear,E$6&lt;=OutturnThrough),'Step 2 - Update outturn data'!F24,INDEX($D$96:$J$96,MATCH(E$6,$D$92:$J$92,0))),"")</f>
        <v/>
      </c>
      <c r="F26" s="167" t="str">
        <f>IF(ISNUMBER(F$6),IF(AND(F$6&gt;=MTP_BaseYear,F$6&lt;=OutturnThrough),'Step 2 - Update outturn data'!G24,INDEX($D$96:$J$96,MATCH(F$6,$D$92:$J$92,0))),"")</f>
        <v/>
      </c>
      <c r="G26" s="167" t="str">
        <f>IF(ISNUMBER(G$6),IF(AND(G$6&gt;=MTP_BaseYear,G$6&lt;=OutturnThrough),'Step 2 - Update outturn data'!H24,INDEX($D$96:$J$96,MATCH(G$6,$D$92:$J$92,0))),"")</f>
        <v/>
      </c>
      <c r="H26" s="167" t="str">
        <f>IF(ISNUMBER(H$6),IF(AND(H$6&gt;=MTP_BaseYear,H$6&lt;=OutturnThrough),'Step 2 - Update outturn data'!I24,INDEX($D$96:$J$96,MATCH(H$6,$D$92:$J$92,0))),"")</f>
        <v/>
      </c>
      <c r="I26" s="167" t="str">
        <f>IF(ISNUMBER(I$6),IF(AND(I$6&gt;=MTP_BaseYear,I$6&lt;=OutturnThrough),'Step 2 - Update outturn data'!#REF!,INDEX($D$96:$J$96,MATCH(I$6,$D$92:$J$92,0))),"")</f>
        <v/>
      </c>
      <c r="J26" s="167" t="str">
        <f>IF(ISNUMBER(J$6),IF(AND(J$6&gt;=MTP_BaseYear,J$6&lt;=OutturnThrough),'Step 2 - Update outturn data'!J24,INDEX($D$96:$J$96,MATCH(J$6,$D$92:$J$92,0))),"")</f>
        <v/>
      </c>
      <c r="K26" s="37"/>
      <c r="L26" s="37"/>
      <c r="M26" s="37"/>
      <c r="N26" s="37"/>
    </row>
    <row r="27" spans="2:15" x14ac:dyDescent="0.4">
      <c r="B27" s="55" t="s">
        <v>283</v>
      </c>
      <c r="C27" s="44" t="s">
        <v>633</v>
      </c>
      <c r="D27" s="167" t="str">
        <f>IF(ISNUMBER(D$6),IF(AND(D$6&gt;=MTP_BaseYear,D$6&lt;=OutturnThrough),'Step 2 - Update outturn data'!E25,INDEX($D$125:$J$125,MATCH(D$6,$D$92:$J$92,0))),"")</f>
        <v/>
      </c>
      <c r="E27" s="167" t="str">
        <f>IF(ISNUMBER(E$6),IF(AND(E$6&gt;=MTP_BaseYear,E$6&lt;=OutturnThrough),'Step 2 - Update outturn data'!F25,INDEX($D$125:$J$125,MATCH(E$6,$D$92:$J$92,0))),"")</f>
        <v/>
      </c>
      <c r="F27" s="167" t="str">
        <f>IF(ISNUMBER(F$6),IF(AND(F$6&gt;=MTP_BaseYear,F$6&lt;=OutturnThrough),'Step 2 - Update outturn data'!G25,INDEX($D$125:$J$125,MATCH(F$6,$D$92:$J$92,0))),"")</f>
        <v/>
      </c>
      <c r="G27" s="167" t="str">
        <f>IF(ISNUMBER(G$6),IF(AND(G$6&gt;=MTP_BaseYear,G$6&lt;=OutturnThrough),'Step 2 - Update outturn data'!H25,INDEX($D$125:$J$125,MATCH(G$6,$D$92:$J$92,0))),"")</f>
        <v/>
      </c>
      <c r="H27" s="167" t="str">
        <f>IF(ISNUMBER(H$6),IF(AND(H$6&gt;=MTP_BaseYear,H$6&lt;=OutturnThrough),'Step 2 - Update outturn data'!I25,INDEX($D$125:$J$125,MATCH(H$6,$D$92:$J$92,0))),"")</f>
        <v/>
      </c>
      <c r="I27" s="167" t="str">
        <f>IF(ISNUMBER(I$6),IF(AND(I$6&gt;=MTP_BaseYear,I$6&lt;=OutturnThrough),'Step 2 - Update outturn data'!#REF!,INDEX($D$125:$J$125,MATCH(I$6,$D$92:$J$92,0))),"")</f>
        <v/>
      </c>
      <c r="J27" s="167" t="str">
        <f>IF(ISNUMBER(J$6),IF(AND(J$6&gt;=MTP_BaseYear,J$6&lt;=OutturnThrough),'Step 2 - Update outturn data'!J25,INDEX($D$125:$J$125,MATCH(J$6,$D$92:$J$92,0))),"")</f>
        <v/>
      </c>
      <c r="K27" s="37"/>
      <c r="L27" s="37"/>
      <c r="M27" s="37"/>
      <c r="N27" s="37"/>
    </row>
    <row r="28" spans="2:15" x14ac:dyDescent="0.4">
      <c r="B28" s="55" t="s">
        <v>272</v>
      </c>
      <c r="C28" s="44" t="s">
        <v>599</v>
      </c>
      <c r="D28" s="167" t="str">
        <f>IF(ISNUMBER(D$6),IF(AND(D$6&gt;=MTP_BaseYear,D$6&lt;=OutturnThrough),'Step 2 - Update outturn data'!E26,INDEX($D$131:$J$131,MATCH(D$6,$D$92:$J$92,0))),"")</f>
        <v/>
      </c>
      <c r="E28" s="167" t="str">
        <f>IF(ISNUMBER(E$6),IF(AND(E$6&gt;=MTP_BaseYear,E$6&lt;=OutturnThrough),'Step 2 - Update outturn data'!F26,INDEX($D$131:$J$131,MATCH(E$6,$D$92:$J$92,0))),"")</f>
        <v/>
      </c>
      <c r="F28" s="167" t="str">
        <f>IF(ISNUMBER(F$6),IF(AND(F$6&gt;=MTP_BaseYear,F$6&lt;=OutturnThrough),'Step 2 - Update outturn data'!G26,INDEX($D$131:$J$131,MATCH(F$6,$D$92:$J$92,0))),"")</f>
        <v/>
      </c>
      <c r="G28" s="167" t="str">
        <f>IF(ISNUMBER(G$6),IF(AND(G$6&gt;=MTP_BaseYear,G$6&lt;=OutturnThrough),'Step 2 - Update outturn data'!H26,INDEX($D$131:$J$131,MATCH(G$6,$D$92:$J$92,0))),"")</f>
        <v/>
      </c>
      <c r="H28" s="167" t="str">
        <f>IF(ISNUMBER(H$6),IF(AND(H$6&gt;=MTP_BaseYear,H$6&lt;=OutturnThrough),'Step 2 - Update outturn data'!I26,INDEX($D$131:$J$131,MATCH(H$6,$D$92:$J$92,0))),"")</f>
        <v/>
      </c>
      <c r="I28" s="167" t="str">
        <f>IF(ISNUMBER(I$6),IF(AND(I$6&gt;=MTP_BaseYear,I$6&lt;=OutturnThrough),'Step 2 - Update outturn data'!#REF!,INDEX($D$131:$J$131,MATCH(I$6,$D$92:$J$92,0))),"")</f>
        <v/>
      </c>
      <c r="J28" s="167" t="str">
        <f>IF(ISNUMBER(J$6),IF(AND(J$6&gt;=MTP_BaseYear,J$6&lt;=OutturnThrough),'Step 2 - Update outturn data'!J26,INDEX($D$131:$J$131,MATCH(J$6,$D$92:$J$92,0))),"")</f>
        <v/>
      </c>
      <c r="K28" s="37"/>
      <c r="L28" s="37"/>
      <c r="M28" s="37"/>
      <c r="N28" s="37"/>
      <c r="O28" s="37"/>
    </row>
    <row r="29" spans="2:15" x14ac:dyDescent="0.4">
      <c r="B29" s="61" t="s">
        <v>289</v>
      </c>
      <c r="C29" s="42" t="s">
        <v>635</v>
      </c>
      <c r="D29" s="278">
        <f>IF(ISNUMBER(D$6),IF(AND(D$6&gt;=MTP_BaseYear,D$6&lt;=OutturnThrough),'Step 2 - Update outturn data'!E27,C29*(1+INDEX($D$96:$J$96,MATCH(D$6,$D$92:$J$92,0))/100)),"")</f>
        <v>0</v>
      </c>
      <c r="E29" s="278">
        <f>IF(ISNUMBER(E$6),IF(AND(E$6&gt;=MTP_BaseYear,E$6&lt;=OutturnThrough),'Step 2 - Update outturn data'!F27,D29*(1+INDEX($D$96:$J$96,MATCH(E$6,$D$92:$J$92,0))/100)),"")</f>
        <v>0</v>
      </c>
      <c r="F29" s="278">
        <f>IF(ISNUMBER(F$6),IF(AND(F$6&gt;=MTP_BaseYear,F$6&lt;=OutturnThrough),'Step 2 - Update outturn data'!G27,E29*(1+INDEX($D$96:$J$96,MATCH(F$6,$D$92:$J$92,0))/100)),"")</f>
        <v>0</v>
      </c>
      <c r="G29" s="278" t="str">
        <f>IF(ISNUMBER(G$6),IF(AND(G$6&gt;=MTP_BaseYear,G$6&lt;=OutturnThrough),'Step 2 - Update outturn data'!H27,F29*(1+INDEX($D$96:$J$96,MATCH(G$6,$D$92:$J$92,0))/100)),"")</f>
        <v/>
      </c>
      <c r="H29" s="278" t="str">
        <f>IF(ISNUMBER(H$6),IF(AND(H$6&gt;=MTP_BaseYear,H$6&lt;=OutturnThrough),'Step 2 - Update outturn data'!I27,G29*(1+INDEX($D$96:$J$96,MATCH(H$6,$D$92:$J$92,0))/100)),"")</f>
        <v/>
      </c>
      <c r="I29" s="278" t="str">
        <f>IF(ISNUMBER(I$6),IF(AND(I$6&gt;=MTP_BaseYear,I$6&lt;=OutturnThrough),'Step 2 - Update outturn data'!#REF!,H29*(1+INDEX($D$96:$J$96,MATCH(I$6,$D$92:$J$92,0))/100)),"")</f>
        <v/>
      </c>
      <c r="J29" s="278"/>
      <c r="K29" s="37"/>
      <c r="L29" s="37"/>
      <c r="M29" s="37"/>
      <c r="N29" s="37"/>
    </row>
    <row r="33" spans="1:11" ht="23.25" x14ac:dyDescent="0.7">
      <c r="A33" s="13" t="s">
        <v>802</v>
      </c>
    </row>
    <row r="34" spans="1:11" x14ac:dyDescent="0.4">
      <c r="A34" s="235"/>
      <c r="B34" s="235"/>
      <c r="C34" s="235"/>
      <c r="D34" s="235">
        <f>P9</f>
        <v>2023</v>
      </c>
      <c r="E34" s="272" cm="1">
        <f t="array" ref="E34:G34">_xlfn.SEQUENCE(1, AssessmentEnd-P9+1, P9)</f>
        <v>2023</v>
      </c>
      <c r="F34" s="272">
        <v>2024</v>
      </c>
      <c r="G34" s="272">
        <v>2025</v>
      </c>
      <c r="H34" s="272"/>
      <c r="I34" s="272"/>
      <c r="J34" s="272"/>
      <c r="K34" s="272"/>
    </row>
    <row r="35" spans="1:11" x14ac:dyDescent="0.4">
      <c r="A35" s="212"/>
      <c r="B35" s="212" t="s">
        <v>30</v>
      </c>
      <c r="C35" s="212" t="s">
        <v>31</v>
      </c>
      <c r="D35" s="235" t="s">
        <v>6</v>
      </c>
      <c r="E35" s="272" t="str" cm="1">
        <f t="array" ref="E35:G35">IF(ISNUMBER(_xlfn.ANCHORARRAY(E$34)),"% of GDP","")</f>
        <v>% of GDP</v>
      </c>
      <c r="F35" s="272" t="str">
        <v>% of GDP</v>
      </c>
      <c r="G35" s="272" t="str">
        <v>% of GDP</v>
      </c>
      <c r="H35" s="272"/>
      <c r="I35" s="272"/>
      <c r="J35" s="272"/>
      <c r="K35" s="272"/>
    </row>
    <row r="36" spans="1:11" x14ac:dyDescent="0.4">
      <c r="A36" s="212">
        <v>1</v>
      </c>
      <c r="B36" s="242" t="s">
        <v>32</v>
      </c>
      <c r="C36" s="242" t="s">
        <v>72</v>
      </c>
      <c r="D36" s="4"/>
      <c r="E36" s="4"/>
      <c r="F36" s="4"/>
      <c r="G36" s="4"/>
      <c r="H36" s="4"/>
      <c r="I36" s="4"/>
      <c r="J36" s="4"/>
    </row>
    <row r="37" spans="1:11" x14ac:dyDescent="0.4">
      <c r="A37" s="212">
        <v>2</v>
      </c>
      <c r="B37" s="242" t="s">
        <v>33</v>
      </c>
      <c r="C37" s="242" t="s">
        <v>73</v>
      </c>
      <c r="D37" s="4"/>
      <c r="E37" s="4"/>
      <c r="F37" s="4"/>
      <c r="G37" s="4"/>
      <c r="H37" s="4"/>
      <c r="I37" s="4"/>
      <c r="J37" s="4"/>
    </row>
    <row r="38" spans="1:11" x14ac:dyDescent="0.4">
      <c r="A38" s="212">
        <v>3</v>
      </c>
      <c r="B38" s="242" t="s">
        <v>34</v>
      </c>
      <c r="C38" s="242" t="s">
        <v>74</v>
      </c>
      <c r="D38" s="4"/>
      <c r="E38" s="4"/>
      <c r="F38" s="4"/>
      <c r="G38" s="4"/>
      <c r="H38" s="4"/>
      <c r="I38" s="4"/>
      <c r="J38" s="4"/>
    </row>
    <row r="39" spans="1:11" x14ac:dyDescent="0.4">
      <c r="A39" s="212">
        <v>4</v>
      </c>
      <c r="B39" s="242" t="s">
        <v>36</v>
      </c>
      <c r="C39" s="242" t="s">
        <v>75</v>
      </c>
      <c r="D39" s="4"/>
      <c r="E39" s="4"/>
      <c r="F39" s="4"/>
      <c r="G39" s="4"/>
      <c r="H39" s="4"/>
      <c r="I39" s="4"/>
      <c r="J39" s="4"/>
    </row>
    <row r="40" spans="1:11" x14ac:dyDescent="0.4">
      <c r="A40" s="212">
        <v>5</v>
      </c>
      <c r="B40" s="242" t="s">
        <v>37</v>
      </c>
      <c r="C40" s="242" t="s">
        <v>76</v>
      </c>
      <c r="D40" s="4"/>
      <c r="E40" s="4"/>
      <c r="F40" s="4"/>
      <c r="G40" s="4"/>
      <c r="H40" s="4"/>
      <c r="I40" s="4"/>
      <c r="J40" s="4"/>
    </row>
    <row r="41" spans="1:11" x14ac:dyDescent="0.4">
      <c r="A41" s="212">
        <v>6</v>
      </c>
      <c r="B41" s="242" t="s">
        <v>38</v>
      </c>
      <c r="C41" s="242" t="s">
        <v>77</v>
      </c>
      <c r="D41" s="4"/>
      <c r="E41" s="4"/>
      <c r="F41" s="4"/>
      <c r="G41" s="4"/>
      <c r="H41" s="4"/>
      <c r="I41" s="4"/>
      <c r="J41" s="4"/>
    </row>
    <row r="42" spans="1:11" x14ac:dyDescent="0.4">
      <c r="A42" s="212">
        <v>7</v>
      </c>
      <c r="B42" s="242" t="s">
        <v>39</v>
      </c>
      <c r="C42" s="242" t="s">
        <v>78</v>
      </c>
      <c r="D42" s="242"/>
      <c r="E42" s="242"/>
      <c r="F42" s="242"/>
      <c r="G42" s="242"/>
      <c r="H42" s="242"/>
      <c r="I42" s="242"/>
      <c r="J42" s="242"/>
    </row>
    <row r="43" spans="1:11" x14ac:dyDescent="0.4">
      <c r="A43" s="212">
        <v>8</v>
      </c>
      <c r="B43" s="242" t="s">
        <v>40</v>
      </c>
      <c r="C43" s="242" t="s">
        <v>79</v>
      </c>
      <c r="D43" s="4"/>
      <c r="E43" s="4"/>
      <c r="F43" s="4"/>
      <c r="G43" s="4"/>
      <c r="H43" s="4"/>
      <c r="I43" s="4"/>
      <c r="J43" s="4"/>
    </row>
    <row r="44" spans="1:11" x14ac:dyDescent="0.4">
      <c r="A44" s="212">
        <v>9</v>
      </c>
      <c r="B44" s="242" t="s">
        <v>41</v>
      </c>
      <c r="C44" s="242"/>
      <c r="D44" s="242"/>
      <c r="E44" s="242"/>
      <c r="F44" s="242"/>
      <c r="G44" s="242"/>
      <c r="H44" s="242"/>
      <c r="I44" s="242"/>
      <c r="J44" s="242"/>
    </row>
    <row r="45" spans="1:11" x14ac:dyDescent="0.4">
      <c r="A45" s="212">
        <v>10</v>
      </c>
      <c r="B45" s="242" t="s">
        <v>42</v>
      </c>
      <c r="C45" s="242"/>
      <c r="D45" s="4"/>
      <c r="E45" s="4"/>
      <c r="F45" s="4"/>
      <c r="G45" s="4"/>
      <c r="H45" s="4"/>
      <c r="I45" s="4"/>
      <c r="J45" s="4"/>
    </row>
    <row r="46" spans="1:11" x14ac:dyDescent="0.4">
      <c r="A46" s="212">
        <v>11</v>
      </c>
      <c r="B46" s="242" t="s">
        <v>43</v>
      </c>
      <c r="C46" s="242"/>
      <c r="D46" s="4"/>
      <c r="E46" s="4"/>
      <c r="F46" s="4"/>
      <c r="G46" s="4"/>
      <c r="H46" s="4"/>
      <c r="I46" s="4"/>
      <c r="J46" s="4"/>
    </row>
    <row r="47" spans="1:11" x14ac:dyDescent="0.4">
      <c r="A47" s="212"/>
      <c r="B47" s="212" t="s">
        <v>29</v>
      </c>
      <c r="C47" s="212" t="s">
        <v>31</v>
      </c>
      <c r="D47" s="236" t="s">
        <v>6</v>
      </c>
      <c r="E47" s="272" t="str" cm="1">
        <f t="array" ref="E47:G47">IF(ISNUMBER(_xlfn.ANCHORARRAY(E$34)),"% of GDP","")</f>
        <v>% of GDP</v>
      </c>
      <c r="F47" s="272" t="str">
        <v>% of GDP</v>
      </c>
      <c r="G47" s="272" t="str">
        <v>% of GDP</v>
      </c>
      <c r="H47" s="272"/>
      <c r="I47" s="272"/>
      <c r="J47" s="272"/>
      <c r="K47" s="272"/>
    </row>
    <row r="48" spans="1:11" x14ac:dyDescent="0.4">
      <c r="A48" s="212">
        <v>12</v>
      </c>
      <c r="B48" s="225" t="s">
        <v>44</v>
      </c>
      <c r="C48" s="225" t="s">
        <v>5</v>
      </c>
      <c r="D48" s="4"/>
      <c r="E48" s="4"/>
      <c r="F48" s="4"/>
      <c r="G48" s="4"/>
      <c r="H48" s="4"/>
      <c r="I48" s="4"/>
      <c r="J48" s="4"/>
    </row>
    <row r="49" spans="1:10" x14ac:dyDescent="0.4">
      <c r="A49" s="212">
        <v>13</v>
      </c>
      <c r="B49" s="225" t="s">
        <v>45</v>
      </c>
      <c r="C49" s="225" t="s">
        <v>80</v>
      </c>
      <c r="D49" s="4"/>
      <c r="E49" s="4"/>
      <c r="F49" s="4"/>
      <c r="G49" s="4"/>
      <c r="H49" s="4"/>
      <c r="I49" s="4"/>
      <c r="J49" s="4"/>
    </row>
    <row r="50" spans="1:10" x14ac:dyDescent="0.4">
      <c r="A50" s="212">
        <v>14</v>
      </c>
      <c r="B50" s="225" t="s">
        <v>46</v>
      </c>
      <c r="C50" s="225" t="s">
        <v>28</v>
      </c>
      <c r="D50" s="4"/>
      <c r="E50" s="4"/>
      <c r="F50" s="4"/>
      <c r="G50" s="4"/>
      <c r="H50" s="4"/>
      <c r="I50" s="4"/>
      <c r="J50" s="4"/>
    </row>
    <row r="51" spans="1:10" x14ac:dyDescent="0.4">
      <c r="A51" s="212">
        <v>15</v>
      </c>
      <c r="B51" s="225" t="s">
        <v>47</v>
      </c>
      <c r="C51" s="225" t="s">
        <v>81</v>
      </c>
      <c r="D51" s="4"/>
      <c r="E51" s="4"/>
      <c r="F51" s="4"/>
      <c r="G51" s="4"/>
      <c r="H51" s="4"/>
      <c r="I51" s="4"/>
      <c r="J51" s="4"/>
    </row>
    <row r="52" spans="1:10" x14ac:dyDescent="0.4">
      <c r="A52" s="212">
        <v>16</v>
      </c>
      <c r="B52" s="225" t="s">
        <v>48</v>
      </c>
      <c r="C52" s="225" t="s">
        <v>82</v>
      </c>
      <c r="D52" s="4"/>
      <c r="E52" s="4"/>
      <c r="F52" s="4"/>
      <c r="G52" s="4"/>
      <c r="H52" s="4"/>
      <c r="I52" s="4"/>
      <c r="J52" s="4"/>
    </row>
    <row r="53" spans="1:10" x14ac:dyDescent="0.4">
      <c r="A53" s="212">
        <v>17</v>
      </c>
      <c r="B53" s="225" t="s">
        <v>49</v>
      </c>
      <c r="C53" s="225" t="s">
        <v>83</v>
      </c>
      <c r="D53" s="4"/>
      <c r="E53" s="4"/>
      <c r="F53" s="4"/>
      <c r="G53" s="4"/>
      <c r="H53" s="4"/>
      <c r="I53" s="4"/>
      <c r="J53" s="4"/>
    </row>
    <row r="54" spans="1:10" x14ac:dyDescent="0.4">
      <c r="A54" s="212">
        <v>18</v>
      </c>
      <c r="B54" s="225" t="s">
        <v>50</v>
      </c>
      <c r="C54" s="225" t="s">
        <v>84</v>
      </c>
      <c r="D54" s="4"/>
      <c r="E54" s="4"/>
      <c r="F54" s="4"/>
      <c r="G54" s="4"/>
      <c r="H54" s="4"/>
      <c r="I54" s="4"/>
      <c r="J54" s="4"/>
    </row>
    <row r="55" spans="1:10" x14ac:dyDescent="0.4">
      <c r="A55" s="212">
        <v>19</v>
      </c>
      <c r="B55" s="225" t="s">
        <v>10</v>
      </c>
      <c r="C55" s="225" t="s">
        <v>4</v>
      </c>
      <c r="D55" s="4"/>
      <c r="E55" s="4"/>
      <c r="F55" s="4"/>
      <c r="G55" s="4"/>
      <c r="H55" s="4"/>
      <c r="I55" s="4"/>
      <c r="J55" s="4"/>
    </row>
    <row r="56" spans="1:10" x14ac:dyDescent="0.4">
      <c r="A56" s="212">
        <v>20</v>
      </c>
      <c r="B56" s="225" t="s">
        <v>51</v>
      </c>
      <c r="C56" s="225"/>
      <c r="D56" s="4"/>
      <c r="E56" s="4"/>
      <c r="F56" s="4"/>
      <c r="G56" s="4"/>
      <c r="H56" s="4"/>
      <c r="I56" s="4"/>
      <c r="J56" s="4"/>
    </row>
    <row r="57" spans="1:10" x14ac:dyDescent="0.4">
      <c r="A57" s="212">
        <v>21</v>
      </c>
      <c r="B57" s="225" t="s">
        <v>52</v>
      </c>
      <c r="C57" s="225" t="s">
        <v>85</v>
      </c>
      <c r="D57" s="4"/>
      <c r="E57" s="4"/>
      <c r="F57" s="4"/>
      <c r="G57" s="4"/>
      <c r="H57" s="4"/>
      <c r="I57" s="4"/>
      <c r="J57" s="4"/>
    </row>
    <row r="58" spans="1:10" x14ac:dyDescent="0.4">
      <c r="A58" s="212">
        <v>22</v>
      </c>
      <c r="B58" s="225" t="s">
        <v>53</v>
      </c>
      <c r="C58" s="225" t="s">
        <v>86</v>
      </c>
      <c r="D58" s="4"/>
      <c r="E58" s="4"/>
      <c r="F58" s="4"/>
      <c r="G58" s="4"/>
      <c r="H58" s="4"/>
      <c r="I58" s="4"/>
      <c r="J58" s="4"/>
    </row>
    <row r="59" spans="1:10" x14ac:dyDescent="0.4">
      <c r="A59" s="212">
        <v>23</v>
      </c>
      <c r="B59" s="225" t="s">
        <v>54</v>
      </c>
      <c r="C59" s="225" t="s">
        <v>87</v>
      </c>
      <c r="D59" s="242"/>
      <c r="E59" s="242"/>
      <c r="F59" s="242"/>
      <c r="G59" s="242"/>
      <c r="H59" s="242"/>
      <c r="I59" s="242"/>
      <c r="J59" s="242"/>
    </row>
    <row r="60" spans="1:10" x14ac:dyDescent="0.4">
      <c r="A60" s="212">
        <v>24</v>
      </c>
      <c r="B60" s="225" t="s">
        <v>55</v>
      </c>
      <c r="C60" s="225" t="s">
        <v>79</v>
      </c>
      <c r="D60" s="4"/>
      <c r="E60" s="4"/>
      <c r="F60" s="4"/>
      <c r="G60" s="4"/>
      <c r="H60" s="4"/>
      <c r="I60" s="4"/>
      <c r="J60" s="4"/>
    </row>
    <row r="61" spans="1:10" x14ac:dyDescent="0.4">
      <c r="A61" s="212">
        <v>25</v>
      </c>
      <c r="B61" s="225" t="s">
        <v>56</v>
      </c>
      <c r="C61" s="225"/>
      <c r="D61" s="242"/>
      <c r="E61" s="242"/>
      <c r="F61" s="242"/>
      <c r="G61" s="242"/>
      <c r="H61" s="242"/>
      <c r="I61" s="242"/>
      <c r="J61" s="242"/>
    </row>
    <row r="62" spans="1:10" x14ac:dyDescent="0.4">
      <c r="A62" s="212">
        <v>26</v>
      </c>
      <c r="B62" s="225" t="s">
        <v>751</v>
      </c>
      <c r="C62" s="225"/>
      <c r="D62" s="4"/>
      <c r="E62" s="4"/>
      <c r="F62" s="4"/>
      <c r="G62" s="4"/>
      <c r="H62" s="4"/>
      <c r="I62" s="4"/>
      <c r="J62" s="4"/>
    </row>
    <row r="63" spans="1:10" x14ac:dyDescent="0.4">
      <c r="A63" s="212">
        <v>27</v>
      </c>
      <c r="B63" s="225" t="s">
        <v>57</v>
      </c>
      <c r="C63" s="225"/>
      <c r="D63" s="4"/>
      <c r="E63" s="4"/>
      <c r="F63" s="4"/>
      <c r="G63" s="4"/>
      <c r="H63" s="4"/>
      <c r="I63" s="4"/>
      <c r="J63" s="4"/>
    </row>
    <row r="64" spans="1:10" x14ac:dyDescent="0.4">
      <c r="A64" s="212">
        <v>28</v>
      </c>
      <c r="B64" s="225" t="s">
        <v>58</v>
      </c>
      <c r="C64" s="225"/>
      <c r="D64" s="4"/>
      <c r="E64" s="4"/>
      <c r="F64" s="4"/>
      <c r="G64" s="4"/>
      <c r="H64" s="4"/>
      <c r="I64" s="4"/>
      <c r="J64" s="4"/>
    </row>
    <row r="65" spans="1:11" x14ac:dyDescent="0.4">
      <c r="A65" s="212">
        <v>29</v>
      </c>
      <c r="B65" s="225" t="s">
        <v>59</v>
      </c>
      <c r="C65" s="225"/>
      <c r="D65" s="242"/>
      <c r="E65" s="242"/>
      <c r="F65" s="242"/>
      <c r="G65" s="242"/>
      <c r="H65" s="242"/>
      <c r="I65" s="242"/>
      <c r="J65" s="242"/>
    </row>
    <row r="66" spans="1:11" x14ac:dyDescent="0.4">
      <c r="A66" s="212"/>
      <c r="B66" s="212" t="s">
        <v>35</v>
      </c>
      <c r="C66" s="212"/>
      <c r="D66" s="237"/>
      <c r="E66" s="272" t="str" cm="1">
        <f t="array" ref="E66:G66">IF(ISNUMBER(_xlfn.ANCHORARRAY(E$34)),"growth rate","")</f>
        <v>growth rate</v>
      </c>
      <c r="F66" s="272" t="str">
        <v>growth rate</v>
      </c>
      <c r="G66" s="272" t="str">
        <v>growth rate</v>
      </c>
      <c r="H66" s="272"/>
      <c r="I66" s="272"/>
      <c r="J66" s="272"/>
      <c r="K66" s="272"/>
    </row>
    <row r="67" spans="1:11" ht="14.25" x14ac:dyDescent="0.45">
      <c r="A67" s="212">
        <v>30</v>
      </c>
      <c r="B67" s="225" t="s">
        <v>826</v>
      </c>
      <c r="C67" s="225" t="s">
        <v>752</v>
      </c>
      <c r="D67" s="244"/>
      <c r="E67" s="4"/>
      <c r="F67" s="4"/>
      <c r="G67" s="4"/>
      <c r="H67" s="4"/>
      <c r="I67" s="4"/>
      <c r="J67" s="4"/>
    </row>
    <row r="68" spans="1:11" x14ac:dyDescent="0.4">
      <c r="A68" s="212"/>
      <c r="B68" s="212" t="s">
        <v>60</v>
      </c>
      <c r="C68" s="212"/>
      <c r="D68" s="237" t="s">
        <v>6</v>
      </c>
      <c r="E68" s="272" t="s">
        <v>603</v>
      </c>
      <c r="F68" s="272" t="s">
        <v>603</v>
      </c>
      <c r="G68" s="272" t="s">
        <v>603</v>
      </c>
      <c r="H68" s="272" t="s">
        <v>603</v>
      </c>
      <c r="I68" s="272" t="s">
        <v>603</v>
      </c>
      <c r="J68" s="272" t="s">
        <v>603</v>
      </c>
      <c r="K68" s="272"/>
    </row>
    <row r="69" spans="1:11" x14ac:dyDescent="0.4">
      <c r="A69" s="212">
        <v>31</v>
      </c>
      <c r="B69" s="225" t="s">
        <v>61</v>
      </c>
      <c r="C69" s="225" t="s">
        <v>27</v>
      </c>
      <c r="D69" s="4"/>
      <c r="E69" s="4"/>
      <c r="F69" s="4"/>
      <c r="G69" s="4"/>
      <c r="H69" s="4"/>
      <c r="I69" s="4"/>
      <c r="J69" s="4"/>
    </row>
    <row r="70" spans="1:11" x14ac:dyDescent="0.4">
      <c r="A70" s="212">
        <v>32</v>
      </c>
      <c r="B70" s="225" t="s">
        <v>62</v>
      </c>
      <c r="C70" s="225" t="s">
        <v>88</v>
      </c>
      <c r="D70" s="4"/>
      <c r="E70" s="4"/>
      <c r="F70" s="4"/>
      <c r="G70" s="4"/>
      <c r="H70" s="4"/>
      <c r="I70" s="4"/>
      <c r="J70" s="4"/>
    </row>
    <row r="71" spans="1:11" x14ac:dyDescent="0.4">
      <c r="A71" s="212"/>
      <c r="B71" s="212" t="s">
        <v>63</v>
      </c>
      <c r="C71" s="212"/>
      <c r="D71" s="237"/>
      <c r="E71" s="272" t="s">
        <v>603</v>
      </c>
      <c r="F71" s="272" t="s">
        <v>603</v>
      </c>
      <c r="G71" s="272" t="s">
        <v>603</v>
      </c>
      <c r="H71" s="272" t="s">
        <v>603</v>
      </c>
      <c r="I71" s="272" t="s">
        <v>603</v>
      </c>
      <c r="J71" s="272" t="s">
        <v>603</v>
      </c>
      <c r="K71" s="272"/>
    </row>
    <row r="72" spans="1:11" ht="14.25" x14ac:dyDescent="0.45">
      <c r="A72" s="212">
        <v>33</v>
      </c>
      <c r="B72" s="225" t="s">
        <v>0</v>
      </c>
      <c r="C72" s="225"/>
      <c r="D72" s="244"/>
      <c r="E72" s="4"/>
      <c r="F72" s="4"/>
      <c r="G72" s="4"/>
      <c r="H72" s="4"/>
      <c r="I72" s="4"/>
      <c r="J72" s="4"/>
    </row>
    <row r="73" spans="1:11" ht="14.25" x14ac:dyDescent="0.45">
      <c r="A73" s="212">
        <v>34</v>
      </c>
      <c r="B73" s="225" t="s">
        <v>3</v>
      </c>
      <c r="C73" s="225"/>
      <c r="D73" s="244"/>
      <c r="E73" s="4"/>
      <c r="F73" s="4"/>
      <c r="G73" s="4"/>
      <c r="H73" s="4"/>
      <c r="I73" s="4"/>
      <c r="J73" s="4"/>
    </row>
    <row r="74" spans="1:11" x14ac:dyDescent="0.4">
      <c r="A74" s="212"/>
      <c r="B74" s="212" t="s">
        <v>20</v>
      </c>
      <c r="C74" s="212"/>
      <c r="D74" s="237" t="s">
        <v>6</v>
      </c>
      <c r="E74" s="272" t="s">
        <v>603</v>
      </c>
      <c r="F74" s="272" t="s">
        <v>603</v>
      </c>
      <c r="G74" s="272" t="s">
        <v>603</v>
      </c>
      <c r="H74" s="272" t="s">
        <v>603</v>
      </c>
      <c r="I74" s="272" t="s">
        <v>603</v>
      </c>
      <c r="J74" s="272" t="s">
        <v>603</v>
      </c>
      <c r="K74" s="272"/>
    </row>
    <row r="75" spans="1:11" x14ac:dyDescent="0.4">
      <c r="A75" s="212">
        <v>35</v>
      </c>
      <c r="B75" s="225" t="s">
        <v>1</v>
      </c>
      <c r="C75" s="225"/>
      <c r="D75" s="4"/>
      <c r="E75" s="4"/>
      <c r="F75" s="4"/>
      <c r="G75" s="4"/>
      <c r="H75" s="4"/>
      <c r="I75" s="4"/>
      <c r="J75" s="4"/>
    </row>
    <row r="76" spans="1:11" x14ac:dyDescent="0.4">
      <c r="A76" s="212">
        <v>36</v>
      </c>
      <c r="B76" s="225" t="s">
        <v>2</v>
      </c>
      <c r="C76" s="225"/>
      <c r="D76" s="4"/>
      <c r="E76" s="4"/>
      <c r="F76" s="4"/>
      <c r="G76" s="4"/>
      <c r="H76" s="4"/>
      <c r="I76" s="4"/>
      <c r="J76" s="4"/>
    </row>
    <row r="77" spans="1:11" x14ac:dyDescent="0.4">
      <c r="A77" s="212">
        <v>37</v>
      </c>
      <c r="B77" s="225" t="s">
        <v>64</v>
      </c>
      <c r="C77" s="225"/>
      <c r="D77" s="281"/>
      <c r="E77" s="281"/>
      <c r="F77" s="281"/>
      <c r="G77" s="281"/>
      <c r="H77" s="281"/>
      <c r="I77" s="281"/>
      <c r="J77" s="281"/>
    </row>
    <row r="78" spans="1:11" ht="14.25" x14ac:dyDescent="0.45">
      <c r="A78" s="212">
        <v>38</v>
      </c>
      <c r="B78" s="240" t="s">
        <v>753</v>
      </c>
      <c r="C78" s="225"/>
      <c r="D78" s="244"/>
      <c r="E78" s="4"/>
      <c r="F78" s="4"/>
      <c r="G78" s="4"/>
      <c r="H78" s="4"/>
      <c r="I78" s="4"/>
      <c r="J78" s="4"/>
    </row>
    <row r="79" spans="1:11" ht="14.25" x14ac:dyDescent="0.45">
      <c r="A79" s="212">
        <v>39</v>
      </c>
      <c r="B79" s="240" t="s">
        <v>754</v>
      </c>
      <c r="C79" s="225"/>
      <c r="D79" s="244"/>
      <c r="E79" s="4"/>
      <c r="F79" s="4"/>
      <c r="G79" s="4"/>
      <c r="H79" s="4"/>
      <c r="I79" s="4"/>
      <c r="J79" s="4"/>
    </row>
    <row r="80" spans="1:11" ht="14.25" x14ac:dyDescent="0.45">
      <c r="A80" s="212">
        <v>40</v>
      </c>
      <c r="B80" s="241" t="s">
        <v>755</v>
      </c>
      <c r="C80" s="225"/>
      <c r="D80" s="244"/>
      <c r="E80" s="4"/>
      <c r="F80" s="4"/>
      <c r="G80" s="4"/>
      <c r="H80" s="4"/>
      <c r="I80" s="4"/>
      <c r="J80" s="4"/>
    </row>
    <row r="81" spans="1:11" ht="14.25" x14ac:dyDescent="0.45">
      <c r="A81" s="212">
        <v>41</v>
      </c>
      <c r="B81" s="241" t="s">
        <v>756</v>
      </c>
      <c r="C81" s="225"/>
      <c r="D81" s="244"/>
      <c r="E81" s="4"/>
      <c r="F81" s="4"/>
      <c r="G81" s="4"/>
      <c r="H81" s="4"/>
      <c r="I81" s="4"/>
      <c r="J81" s="4"/>
    </row>
    <row r="82" spans="1:11" ht="14.25" x14ac:dyDescent="0.45">
      <c r="A82" s="212">
        <v>42</v>
      </c>
      <c r="B82" s="241" t="s">
        <v>757</v>
      </c>
      <c r="C82" s="225"/>
      <c r="D82" s="244"/>
      <c r="E82" s="4"/>
      <c r="F82" s="4"/>
      <c r="G82" s="4"/>
      <c r="H82" s="4"/>
      <c r="I82" s="4"/>
      <c r="J82" s="4"/>
    </row>
    <row r="83" spans="1:11" ht="14.25" x14ac:dyDescent="0.45">
      <c r="A83" s="212">
        <v>43</v>
      </c>
      <c r="B83" s="240" t="s">
        <v>758</v>
      </c>
      <c r="C83" s="225"/>
      <c r="D83" s="244"/>
      <c r="E83" s="4"/>
      <c r="F83" s="4"/>
      <c r="G83" s="4"/>
      <c r="H83" s="4"/>
      <c r="I83" s="4"/>
      <c r="J83" s="4"/>
    </row>
    <row r="84" spans="1:11" x14ac:dyDescent="0.4">
      <c r="A84" s="212"/>
      <c r="B84" s="212"/>
      <c r="C84" s="212"/>
      <c r="D84" s="237"/>
      <c r="E84" s="272" t="str" cm="1">
        <f t="array" ref="E84:G84">IF(ISNUMBER(_xlfn.ANCHORARRAY(E$34)),"%","")</f>
        <v>%</v>
      </c>
      <c r="F84" s="272" t="str">
        <v>%</v>
      </c>
      <c r="G84" s="272" t="str">
        <v>%</v>
      </c>
      <c r="H84" s="272"/>
      <c r="I84" s="272"/>
      <c r="J84" s="272"/>
      <c r="K84" s="272"/>
    </row>
    <row r="85" spans="1:11" ht="14.25" x14ac:dyDescent="0.45">
      <c r="A85" s="212">
        <v>44</v>
      </c>
      <c r="B85" s="225" t="s">
        <v>71</v>
      </c>
      <c r="C85" s="225"/>
      <c r="D85" s="244"/>
      <c r="E85" s="4"/>
      <c r="F85" s="4"/>
      <c r="G85" s="4"/>
      <c r="H85" s="4"/>
      <c r="I85" s="4"/>
      <c r="J85" s="4"/>
    </row>
    <row r="86" spans="1:11" x14ac:dyDescent="0.4">
      <c r="A86" s="212"/>
      <c r="B86" s="212"/>
      <c r="C86" s="212"/>
      <c r="D86" s="237" t="s">
        <v>6</v>
      </c>
      <c r="E86" s="272" t="s">
        <v>603</v>
      </c>
      <c r="F86" s="272" t="s">
        <v>603</v>
      </c>
      <c r="G86" s="272" t="s">
        <v>603</v>
      </c>
      <c r="H86" s="272" t="s">
        <v>603</v>
      </c>
      <c r="I86" s="272" t="s">
        <v>603</v>
      </c>
      <c r="J86" s="272" t="s">
        <v>603</v>
      </c>
      <c r="K86" s="272"/>
    </row>
    <row r="87" spans="1:11" x14ac:dyDescent="0.4">
      <c r="A87" s="212">
        <v>45</v>
      </c>
      <c r="B87" s="225" t="s">
        <v>759</v>
      </c>
      <c r="C87" s="225" t="s">
        <v>760</v>
      </c>
      <c r="D87" s="4"/>
      <c r="E87" s="4"/>
      <c r="F87" s="4"/>
      <c r="G87" s="4"/>
      <c r="H87" s="4"/>
      <c r="I87" s="4"/>
      <c r="J87" s="4"/>
    </row>
    <row r="88" spans="1:11" x14ac:dyDescent="0.4">
      <c r="A88" s="212">
        <v>46</v>
      </c>
      <c r="B88" s="225" t="s">
        <v>761</v>
      </c>
      <c r="C88" s="225" t="s">
        <v>762</v>
      </c>
      <c r="D88" s="4"/>
      <c r="E88" s="4"/>
      <c r="F88" s="4"/>
      <c r="G88" s="4"/>
      <c r="H88" s="4"/>
      <c r="I88" s="4"/>
      <c r="J88" s="4"/>
    </row>
    <row r="89" spans="1:11" x14ac:dyDescent="0.4">
      <c r="E89" s="280"/>
      <c r="F89" s="280"/>
      <c r="G89" s="280"/>
      <c r="H89" s="280"/>
    </row>
    <row r="91" spans="1:11" ht="23.25" x14ac:dyDescent="0.7">
      <c r="A91" s="13" t="s">
        <v>803</v>
      </c>
    </row>
    <row r="92" spans="1:11" x14ac:dyDescent="0.4">
      <c r="A92" s="235"/>
      <c r="B92" s="235" t="s">
        <v>8</v>
      </c>
      <c r="C92" s="235" t="s">
        <v>31</v>
      </c>
      <c r="D92" s="235">
        <f>P9</f>
        <v>2023</v>
      </c>
      <c r="E92" s="272" cm="1">
        <f t="array" ref="E92:J92">_xlfn.SEQUENCE(1, MTP_EndYear-P9+1, P9)</f>
        <v>2023</v>
      </c>
      <c r="F92" s="272">
        <v>2024</v>
      </c>
      <c r="G92" s="272">
        <v>2025</v>
      </c>
      <c r="H92" s="272">
        <v>2026</v>
      </c>
      <c r="I92" s="272">
        <v>2027</v>
      </c>
      <c r="J92" s="272">
        <v>2028</v>
      </c>
      <c r="K92" s="272"/>
    </row>
    <row r="93" spans="1:11" x14ac:dyDescent="0.4">
      <c r="A93" s="212"/>
      <c r="B93" s="212"/>
      <c r="C93" s="212"/>
      <c r="D93" s="235" t="s">
        <v>6</v>
      </c>
      <c r="E93" s="272" t="str" cm="1">
        <f t="array" ref="E93:G93">IF(ISNUMBER(_xlfn.ANCHORARRAY(E$34)),"growth rate","")</f>
        <v>growth rate</v>
      </c>
      <c r="F93" s="272" t="str">
        <v>growth rate</v>
      </c>
      <c r="G93" s="272" t="str">
        <v>growth rate</v>
      </c>
      <c r="H93" s="272"/>
      <c r="I93" s="272"/>
      <c r="J93" s="272"/>
      <c r="K93" s="272"/>
    </row>
    <row r="94" spans="1:11" ht="14.25" x14ac:dyDescent="0.45">
      <c r="A94" s="212">
        <v>1</v>
      </c>
      <c r="B94" s="225" t="s">
        <v>7</v>
      </c>
      <c r="C94" s="225" t="s">
        <v>763</v>
      </c>
      <c r="D94" s="246"/>
      <c r="H94" s="4"/>
      <c r="I94" s="4"/>
      <c r="J94" s="4"/>
    </row>
    <row r="95" spans="1:11" ht="14.25" x14ac:dyDescent="0.45">
      <c r="A95" s="212">
        <v>2</v>
      </c>
      <c r="B95" s="225" t="s">
        <v>8</v>
      </c>
      <c r="C95" s="225"/>
      <c r="D95" s="246"/>
      <c r="H95" s="4"/>
      <c r="I95" s="4"/>
      <c r="J95" s="4"/>
    </row>
    <row r="96" spans="1:11" x14ac:dyDescent="0.4">
      <c r="A96" s="212">
        <v>3</v>
      </c>
      <c r="B96" s="225" t="s">
        <v>9</v>
      </c>
      <c r="C96" s="225" t="s">
        <v>763</v>
      </c>
      <c r="D96" s="144"/>
      <c r="H96" s="4"/>
      <c r="I96" s="4"/>
      <c r="J96" s="4"/>
    </row>
    <row r="97" spans="1:11" x14ac:dyDescent="0.4">
      <c r="A97" s="212"/>
      <c r="B97" s="212" t="s">
        <v>764</v>
      </c>
      <c r="C97" s="212"/>
      <c r="D97" s="235" t="s">
        <v>6</v>
      </c>
      <c r="E97" s="272" t="str" cm="1">
        <f t="array" ref="E97:G97">IF(ISNUMBER(_xlfn.ANCHORARRAY(E$34)),"growth rate","")</f>
        <v>growth rate</v>
      </c>
      <c r="F97" s="272" t="str">
        <v>growth rate</v>
      </c>
      <c r="G97" s="272" t="str">
        <v>growth rate</v>
      </c>
      <c r="H97" s="272"/>
      <c r="I97" s="272"/>
      <c r="J97" s="272"/>
      <c r="K97" s="272"/>
    </row>
    <row r="98" spans="1:11" ht="14.25" x14ac:dyDescent="0.45">
      <c r="A98" s="212">
        <v>4</v>
      </c>
      <c r="B98" s="225" t="s">
        <v>765</v>
      </c>
      <c r="C98" s="225" t="s">
        <v>766</v>
      </c>
      <c r="D98" s="246"/>
      <c r="H98" s="4"/>
      <c r="I98" s="4"/>
      <c r="J98" s="4"/>
    </row>
    <row r="99" spans="1:11" ht="14.25" x14ac:dyDescent="0.45">
      <c r="A99" s="212">
        <v>5</v>
      </c>
      <c r="B99" s="225" t="s">
        <v>767</v>
      </c>
      <c r="C99" s="225" t="s">
        <v>766</v>
      </c>
      <c r="D99" s="246"/>
      <c r="H99" s="4"/>
      <c r="I99" s="4"/>
      <c r="J99" s="4"/>
    </row>
    <row r="100" spans="1:11" ht="14.25" x14ac:dyDescent="0.45">
      <c r="A100" s="212">
        <v>6</v>
      </c>
      <c r="B100" s="225" t="s">
        <v>10</v>
      </c>
      <c r="C100" s="225" t="s">
        <v>4</v>
      </c>
      <c r="D100" s="246"/>
      <c r="H100" s="4"/>
      <c r="I100" s="4"/>
      <c r="J100" s="4"/>
    </row>
    <row r="101" spans="1:11" ht="14.25" x14ac:dyDescent="0.45">
      <c r="A101" s="212">
        <v>7</v>
      </c>
      <c r="B101" s="225" t="s">
        <v>768</v>
      </c>
      <c r="C101" s="225" t="s">
        <v>769</v>
      </c>
      <c r="D101" s="246"/>
      <c r="E101" s="282"/>
      <c r="F101" s="282"/>
      <c r="G101" s="282"/>
      <c r="H101" s="283"/>
      <c r="I101" s="283"/>
      <c r="J101" s="283"/>
    </row>
    <row r="102" spans="1:11" ht="14.25" x14ac:dyDescent="0.45">
      <c r="A102" s="212">
        <v>8</v>
      </c>
      <c r="B102" s="225" t="s">
        <v>770</v>
      </c>
      <c r="C102" s="225" t="s">
        <v>771</v>
      </c>
      <c r="D102" s="246"/>
      <c r="H102" s="4"/>
      <c r="I102" s="4"/>
      <c r="J102" s="4"/>
    </row>
    <row r="103" spans="1:11" ht="14.25" x14ac:dyDescent="0.45">
      <c r="A103" s="212">
        <v>9</v>
      </c>
      <c r="B103" s="225" t="s">
        <v>772</v>
      </c>
      <c r="C103" s="225" t="s">
        <v>773</v>
      </c>
      <c r="D103" s="246"/>
      <c r="H103" s="4"/>
      <c r="I103" s="4"/>
      <c r="J103" s="4"/>
    </row>
    <row r="104" spans="1:11" x14ac:dyDescent="0.4">
      <c r="A104" s="212"/>
      <c r="B104" s="225" t="s">
        <v>774</v>
      </c>
      <c r="C104" s="225"/>
      <c r="D104" s="242"/>
      <c r="E104" s="242"/>
      <c r="F104" s="242"/>
      <c r="G104" s="242"/>
      <c r="H104" s="242"/>
      <c r="I104" s="242"/>
      <c r="J104" s="242"/>
    </row>
    <row r="105" spans="1:11" ht="14.25" x14ac:dyDescent="0.45">
      <c r="A105" s="212">
        <v>10</v>
      </c>
      <c r="B105" s="243" t="s">
        <v>775</v>
      </c>
      <c r="C105" s="225"/>
      <c r="D105" s="246"/>
      <c r="H105" s="4"/>
      <c r="I105" s="4"/>
      <c r="J105" s="4"/>
    </row>
    <row r="106" spans="1:11" ht="14.25" x14ac:dyDescent="0.45">
      <c r="A106" s="212">
        <v>11</v>
      </c>
      <c r="B106" s="243" t="s">
        <v>776</v>
      </c>
      <c r="C106" s="225" t="s">
        <v>769</v>
      </c>
      <c r="D106" s="246"/>
      <c r="H106" s="4"/>
      <c r="I106" s="4"/>
      <c r="J106" s="4"/>
    </row>
    <row r="107" spans="1:11" ht="14.25" x14ac:dyDescent="0.45">
      <c r="A107" s="212">
        <v>12</v>
      </c>
      <c r="B107" s="243" t="s">
        <v>777</v>
      </c>
      <c r="C107" s="225" t="s">
        <v>778</v>
      </c>
      <c r="D107" s="246"/>
      <c r="H107" s="4"/>
      <c r="I107" s="4"/>
      <c r="J107" s="4"/>
    </row>
    <row r="108" spans="1:11" x14ac:dyDescent="0.4">
      <c r="A108" s="212"/>
      <c r="B108" s="212" t="s">
        <v>779</v>
      </c>
      <c r="C108" s="212"/>
      <c r="D108" s="235"/>
      <c r="E108" s="272" t="str" cm="1">
        <f t="array" ref="E108:G108">IF(ISNUMBER(_xlfn.ANCHORARRAY(E$34)),"growth rate","")</f>
        <v>growth rate</v>
      </c>
      <c r="F108" s="272" t="str">
        <v>growth rate</v>
      </c>
      <c r="G108" s="272" t="str">
        <v>growth rate</v>
      </c>
      <c r="H108" s="272"/>
      <c r="I108" s="272"/>
      <c r="J108" s="272"/>
      <c r="K108" s="272"/>
    </row>
    <row r="109" spans="1:11" ht="14.25" x14ac:dyDescent="0.45">
      <c r="A109" s="212">
        <v>13</v>
      </c>
      <c r="B109" s="225" t="s">
        <v>780</v>
      </c>
      <c r="C109" s="225"/>
      <c r="D109" s="246"/>
      <c r="H109" s="4"/>
      <c r="I109" s="4"/>
      <c r="J109" s="4"/>
    </row>
    <row r="110" spans="1:11" ht="14.25" x14ac:dyDescent="0.45">
      <c r="A110" s="212">
        <v>14</v>
      </c>
      <c r="B110" s="240" t="s">
        <v>781</v>
      </c>
      <c r="C110" s="225"/>
      <c r="D110" s="246"/>
      <c r="H110" s="4"/>
      <c r="I110" s="4"/>
      <c r="J110" s="4"/>
    </row>
    <row r="111" spans="1:11" ht="14.25" x14ac:dyDescent="0.45">
      <c r="A111" s="212">
        <v>15</v>
      </c>
      <c r="B111" s="225" t="s">
        <v>782</v>
      </c>
      <c r="C111" s="225"/>
      <c r="D111" s="246"/>
      <c r="H111" s="4"/>
      <c r="I111" s="4"/>
      <c r="J111" s="4"/>
    </row>
    <row r="112" spans="1:11" ht="14.25" x14ac:dyDescent="0.45">
      <c r="A112" s="212">
        <v>16</v>
      </c>
      <c r="B112" s="225" t="s">
        <v>783</v>
      </c>
      <c r="C112" s="225"/>
      <c r="D112" s="246"/>
      <c r="H112" s="4"/>
      <c r="I112" s="4"/>
      <c r="J112" s="4"/>
    </row>
    <row r="113" spans="1:11" ht="14.25" x14ac:dyDescent="0.45">
      <c r="A113" s="212">
        <v>17</v>
      </c>
      <c r="B113" s="225" t="s">
        <v>784</v>
      </c>
      <c r="C113" s="225"/>
      <c r="D113" s="246"/>
      <c r="H113" s="4"/>
      <c r="I113" s="4"/>
      <c r="J113" s="4"/>
    </row>
    <row r="114" spans="1:11" ht="14.25" x14ac:dyDescent="0.45">
      <c r="A114" s="212">
        <v>18</v>
      </c>
      <c r="B114" s="225" t="s">
        <v>785</v>
      </c>
      <c r="C114" s="225"/>
      <c r="D114" s="246"/>
      <c r="H114" s="4"/>
      <c r="I114" s="4"/>
      <c r="J114" s="4"/>
    </row>
    <row r="115" spans="1:11" x14ac:dyDescent="0.4">
      <c r="A115" s="212"/>
      <c r="B115" s="212" t="s">
        <v>786</v>
      </c>
      <c r="C115" s="212" t="s">
        <v>26</v>
      </c>
      <c r="D115" s="235" t="s">
        <v>787</v>
      </c>
      <c r="E115" s="272" t="str" cm="1">
        <f t="array" ref="E115:G115">IF(ISNUMBER(_xlfn.ANCHORARRAY(E$34)),"growth rate","")</f>
        <v>growth rate</v>
      </c>
      <c r="F115" s="272" t="str">
        <v>growth rate</v>
      </c>
      <c r="G115" s="272" t="str">
        <v>growth rate</v>
      </c>
      <c r="H115" s="272"/>
      <c r="I115" s="272"/>
      <c r="J115" s="272"/>
      <c r="K115" s="272"/>
    </row>
    <row r="116" spans="1:11" x14ac:dyDescent="0.4">
      <c r="A116" s="212">
        <v>19</v>
      </c>
      <c r="B116" s="225" t="s">
        <v>788</v>
      </c>
      <c r="C116" s="225"/>
      <c r="D116" s="144"/>
      <c r="E116" s="3"/>
      <c r="G116" s="3"/>
      <c r="H116" s="64"/>
      <c r="I116" s="64"/>
      <c r="J116" s="64"/>
    </row>
    <row r="117" spans="1:11" x14ac:dyDescent="0.4">
      <c r="A117" s="212">
        <v>20</v>
      </c>
      <c r="B117" s="225" t="s">
        <v>789</v>
      </c>
      <c r="C117" s="225"/>
      <c r="D117" s="144"/>
      <c r="H117" s="4"/>
      <c r="I117" s="4"/>
      <c r="J117" s="4"/>
    </row>
    <row r="118" spans="1:11" ht="14.25" x14ac:dyDescent="0.45">
      <c r="A118" s="212">
        <v>21</v>
      </c>
      <c r="B118" s="225" t="s">
        <v>790</v>
      </c>
      <c r="C118" s="225"/>
      <c r="D118" s="246"/>
      <c r="H118" s="4"/>
      <c r="I118" s="4"/>
      <c r="J118" s="4"/>
    </row>
    <row r="119" spans="1:11" ht="14.25" x14ac:dyDescent="0.45">
      <c r="A119" s="212">
        <v>22</v>
      </c>
      <c r="B119" s="225" t="s">
        <v>791</v>
      </c>
      <c r="C119" s="225"/>
      <c r="D119" s="246"/>
      <c r="H119" s="4"/>
      <c r="I119" s="4"/>
      <c r="J119" s="4"/>
    </row>
    <row r="120" spans="1:11" x14ac:dyDescent="0.4">
      <c r="A120" s="212">
        <v>23</v>
      </c>
      <c r="B120" s="225" t="s">
        <v>792</v>
      </c>
      <c r="C120" s="225" t="s">
        <v>5</v>
      </c>
      <c r="D120" s="144"/>
      <c r="H120" s="4"/>
      <c r="I120" s="4"/>
      <c r="J120" s="4"/>
    </row>
    <row r="121" spans="1:11" x14ac:dyDescent="0.4">
      <c r="A121" s="212">
        <v>24</v>
      </c>
      <c r="B121" s="225" t="s">
        <v>793</v>
      </c>
      <c r="C121" s="225"/>
      <c r="H121" s="4"/>
      <c r="I121" s="4"/>
      <c r="J121" s="4"/>
    </row>
    <row r="122" spans="1:11" x14ac:dyDescent="0.4">
      <c r="A122" s="212"/>
      <c r="B122" s="212"/>
      <c r="C122" s="212"/>
      <c r="D122" s="235"/>
      <c r="E122" s="272" t="str" cm="1">
        <f t="array" ref="E122:G122">IF(ISNUMBER(_xlfn.ANCHORARRAY(E$34)),"%","")</f>
        <v>%</v>
      </c>
      <c r="F122" s="272" t="str">
        <v>%</v>
      </c>
      <c r="G122" s="272" t="str">
        <v>%</v>
      </c>
      <c r="H122" s="272"/>
      <c r="I122" s="272"/>
      <c r="J122" s="272"/>
      <c r="K122" s="272"/>
    </row>
    <row r="123" spans="1:11" ht="14.25" x14ac:dyDescent="0.45">
      <c r="A123" s="212">
        <v>25</v>
      </c>
      <c r="B123" s="225" t="s">
        <v>794</v>
      </c>
      <c r="C123" s="225"/>
      <c r="D123" s="246"/>
      <c r="H123" s="4"/>
      <c r="I123" s="4"/>
      <c r="J123" s="4"/>
    </row>
    <row r="124" spans="1:11" x14ac:dyDescent="0.4">
      <c r="A124" s="212"/>
      <c r="B124" s="212" t="s">
        <v>795</v>
      </c>
      <c r="C124" s="212"/>
      <c r="D124" s="235"/>
      <c r="E124" s="272" t="str" cm="1">
        <f t="array" ref="E124:G124">IF(ISNUMBER(_xlfn.ANCHORARRAY(E$34)),"growth rate","")</f>
        <v>growth rate</v>
      </c>
      <c r="F124" s="272" t="str">
        <v>growth rate</v>
      </c>
      <c r="G124" s="272" t="str">
        <v>growth rate</v>
      </c>
      <c r="H124" s="272"/>
      <c r="I124" s="272"/>
      <c r="J124" s="272"/>
      <c r="K124" s="272"/>
    </row>
    <row r="125" spans="1:11" ht="14.25" x14ac:dyDescent="0.45">
      <c r="A125" s="212">
        <v>26</v>
      </c>
      <c r="B125" s="225" t="s">
        <v>796</v>
      </c>
      <c r="C125" s="225"/>
      <c r="D125" s="246"/>
      <c r="H125" s="4"/>
      <c r="I125" s="4"/>
      <c r="J125" s="4"/>
    </row>
    <row r="126" spans="1:11" x14ac:dyDescent="0.4">
      <c r="A126" s="212"/>
      <c r="B126" s="225" t="s">
        <v>797</v>
      </c>
      <c r="C126" s="225"/>
      <c r="D126" s="242"/>
      <c r="E126" s="242"/>
      <c r="F126" s="242"/>
      <c r="G126" s="242"/>
      <c r="H126" s="242"/>
      <c r="I126" s="242"/>
      <c r="J126" s="242"/>
    </row>
    <row r="127" spans="1:11" ht="14.25" x14ac:dyDescent="0.45">
      <c r="A127" s="212">
        <v>27</v>
      </c>
      <c r="B127" s="240" t="s">
        <v>798</v>
      </c>
      <c r="C127" s="225"/>
      <c r="D127" s="246"/>
      <c r="H127" s="4"/>
      <c r="I127" s="4"/>
      <c r="J127" s="4"/>
    </row>
    <row r="128" spans="1:11" ht="14.25" x14ac:dyDescent="0.45">
      <c r="A128" s="212">
        <v>28</v>
      </c>
      <c r="B128" s="240" t="s">
        <v>799</v>
      </c>
      <c r="C128" s="225"/>
      <c r="D128" s="246"/>
      <c r="H128" s="4"/>
      <c r="I128" s="4"/>
      <c r="J128" s="4"/>
    </row>
    <row r="129" spans="1:11" ht="14.25" x14ac:dyDescent="0.45">
      <c r="A129" s="212">
        <v>29</v>
      </c>
      <c r="B129" s="240" t="s">
        <v>800</v>
      </c>
      <c r="C129" s="225"/>
      <c r="D129" s="246"/>
      <c r="H129" s="4"/>
      <c r="I129" s="4"/>
      <c r="J129" s="4"/>
    </row>
    <row r="130" spans="1:11" x14ac:dyDescent="0.4">
      <c r="A130" s="212"/>
      <c r="B130" s="212"/>
      <c r="C130" s="212"/>
      <c r="D130" s="235"/>
      <c r="E130" s="272" t="str" cm="1">
        <f t="array" ref="E130:G130">IF(ISNUMBER(_xlfn.ANCHORARRAY(E$34)),"% pot. GDP","")</f>
        <v>% pot. GDP</v>
      </c>
      <c r="F130" s="272" t="str">
        <v>% pot. GDP</v>
      </c>
      <c r="G130" s="272" t="str">
        <v>% pot. GDP</v>
      </c>
      <c r="H130" s="272"/>
      <c r="I130" s="272"/>
      <c r="J130" s="272"/>
      <c r="K130" s="272"/>
    </row>
    <row r="131" spans="1:11" ht="14.25" x14ac:dyDescent="0.45">
      <c r="A131" s="212">
        <v>30</v>
      </c>
      <c r="B131" s="225" t="s">
        <v>89</v>
      </c>
      <c r="C131" s="225"/>
      <c r="D131" s="246"/>
      <c r="H131" s="4"/>
      <c r="I131" s="4"/>
      <c r="J131" s="4"/>
    </row>
  </sheetData>
  <conditionalFormatting sqref="D7:J7">
    <cfRule type="expression" dxfId="199" priority="47">
      <formula>ISNUMBER(D6)</formula>
    </cfRule>
  </conditionalFormatting>
  <conditionalFormatting sqref="D6:J6">
    <cfRule type="expression" dxfId="198" priority="46">
      <formula>ISNUMBER(D6)</formula>
    </cfRule>
  </conditionalFormatting>
  <conditionalFormatting sqref="D29:J29">
    <cfRule type="expression" dxfId="197" priority="45">
      <formula>ISNUMBER(D6)</formula>
    </cfRule>
  </conditionalFormatting>
  <conditionalFormatting sqref="E34:K35">
    <cfRule type="expression" dxfId="196" priority="39">
      <formula>ISNUMBER(E$34)</formula>
    </cfRule>
  </conditionalFormatting>
  <conditionalFormatting sqref="E47:K47">
    <cfRule type="expression" dxfId="195" priority="38">
      <formula>ISNUMBER(E$34)</formula>
    </cfRule>
  </conditionalFormatting>
  <conditionalFormatting sqref="E66:K66">
    <cfRule type="expression" dxfId="194" priority="37">
      <formula>ISNUMBER(E$34)</formula>
    </cfRule>
  </conditionalFormatting>
  <conditionalFormatting sqref="E68:K68">
    <cfRule type="expression" dxfId="193" priority="36">
      <formula>ISNUMBER(E$34)</formula>
    </cfRule>
  </conditionalFormatting>
  <conditionalFormatting sqref="E71:K71">
    <cfRule type="expression" dxfId="192" priority="35">
      <formula>ISNUMBER(E$34)</formula>
    </cfRule>
  </conditionalFormatting>
  <conditionalFormatting sqref="E74:K74">
    <cfRule type="expression" dxfId="191" priority="34">
      <formula>ISNUMBER(E$34)</formula>
    </cfRule>
  </conditionalFormatting>
  <conditionalFormatting sqref="E84:K84">
    <cfRule type="expression" dxfId="190" priority="33">
      <formula>ISNUMBER(E$34)</formula>
    </cfRule>
  </conditionalFormatting>
  <conditionalFormatting sqref="E86:K86">
    <cfRule type="expression" dxfId="189" priority="32">
      <formula>ISNUMBER(E$34)</formula>
    </cfRule>
  </conditionalFormatting>
  <conditionalFormatting sqref="E92:K93">
    <cfRule type="expression" dxfId="188" priority="31">
      <formula>ISNUMBER(E$34)</formula>
    </cfRule>
  </conditionalFormatting>
  <conditionalFormatting sqref="E97:K97">
    <cfRule type="expression" dxfId="187" priority="30">
      <formula>ISNUMBER(E$34)</formula>
    </cfRule>
  </conditionalFormatting>
  <conditionalFormatting sqref="E108:K108">
    <cfRule type="expression" dxfId="186" priority="29">
      <formula>ISNUMBER(E$34)</formula>
    </cfRule>
  </conditionalFormatting>
  <conditionalFormatting sqref="E115:K115">
    <cfRule type="expression" dxfId="185" priority="28">
      <formula>ISNUMBER(E$34)</formula>
    </cfRule>
  </conditionalFormatting>
  <conditionalFormatting sqref="E122:K122">
    <cfRule type="expression" dxfId="184" priority="27">
      <formula>ISNUMBER(E$34)</formula>
    </cfRule>
  </conditionalFormatting>
  <conditionalFormatting sqref="E124:K124">
    <cfRule type="expression" dxfId="183" priority="26">
      <formula>ISNUMBER(E$34)</formula>
    </cfRule>
  </conditionalFormatting>
  <conditionalFormatting sqref="E130:K130">
    <cfRule type="expression" dxfId="182" priority="25">
      <formula>ISNUMBER(E$34)</formula>
    </cfRule>
  </conditionalFormatting>
  <conditionalFormatting sqref="D42:K42">
    <cfRule type="expression" dxfId="181" priority="23">
      <formula>NOT(ISNUMBER(D$34))</formula>
    </cfRule>
    <cfRule type="expression" dxfId="180" priority="24">
      <formula>ISNUMBER(D$34)</formula>
    </cfRule>
  </conditionalFormatting>
  <conditionalFormatting sqref="D44:K44">
    <cfRule type="expression" dxfId="179" priority="21">
      <formula>NOT(ISNUMBER(D$34))</formula>
    </cfRule>
    <cfRule type="expression" dxfId="178" priority="22">
      <formula>ISNUMBER(D$34)</formula>
    </cfRule>
  </conditionalFormatting>
  <conditionalFormatting sqref="D59:K59">
    <cfRule type="expression" dxfId="177" priority="19">
      <formula>NOT(ISNUMBER(D$34))</formula>
    </cfRule>
    <cfRule type="expression" dxfId="176" priority="20">
      <formula>ISNUMBER(D$34)</formula>
    </cfRule>
  </conditionalFormatting>
  <conditionalFormatting sqref="D61:K61">
    <cfRule type="expression" dxfId="175" priority="17">
      <formula>NOT(ISNUMBER(D$34))</formula>
    </cfRule>
    <cfRule type="expression" dxfId="174" priority="18">
      <formula>ISNUMBER(D$34)</formula>
    </cfRule>
  </conditionalFormatting>
  <conditionalFormatting sqref="D65:K65">
    <cfRule type="expression" dxfId="173" priority="15">
      <formula>NOT(ISNUMBER(D$34))</formula>
    </cfRule>
    <cfRule type="expression" dxfId="172" priority="16">
      <formula>ISNUMBER(D$34)</formula>
    </cfRule>
  </conditionalFormatting>
  <conditionalFormatting sqref="D77:K77">
    <cfRule type="expression" dxfId="171" priority="13">
      <formula>NOT(ISNUMBER(D$34))</formula>
    </cfRule>
    <cfRule type="expression" dxfId="170" priority="14">
      <formula>ISNUMBER(D$34)</formula>
    </cfRule>
  </conditionalFormatting>
  <conditionalFormatting sqref="D104:K104">
    <cfRule type="expression" dxfId="169" priority="11">
      <formula>NOT(ISNUMBER(D$34))</formula>
    </cfRule>
    <cfRule type="expression" dxfId="168" priority="12">
      <formula>ISNUMBER(D$34)</formula>
    </cfRule>
  </conditionalFormatting>
  <conditionalFormatting sqref="D126:K126">
    <cfRule type="expression" dxfId="167" priority="9">
      <formula>NOT(ISNUMBER(D$34))</formula>
    </cfRule>
    <cfRule type="expression" dxfId="166" priority="10">
      <formula>ISNUMBER(D$34)</formula>
    </cfRule>
  </conditionalFormatting>
  <conditionalFormatting sqref="D62:K62">
    <cfRule type="expression" dxfId="165" priority="8">
      <formula>NOT(ISNUMBER(D$34))</formula>
    </cfRule>
  </conditionalFormatting>
  <conditionalFormatting sqref="D69:K70">
    <cfRule type="expression" dxfId="164" priority="7">
      <formula>NOT(ISNUMBER(D$34))</formula>
    </cfRule>
  </conditionalFormatting>
  <conditionalFormatting sqref="D78:K78">
    <cfRule type="expression" dxfId="163" priority="6">
      <formula>NOT(ISNUMBER(D$34))</formula>
    </cfRule>
  </conditionalFormatting>
  <conditionalFormatting sqref="D83:J83">
    <cfRule type="expression" dxfId="162" priority="5">
      <formula>NOT(ISNUMBER(D$34))</formula>
    </cfRule>
  </conditionalFormatting>
  <conditionalFormatting sqref="D80:J80">
    <cfRule type="expression" dxfId="161" priority="4">
      <formula>NOT(ISNUMBER(D$34))</formula>
    </cfRule>
  </conditionalFormatting>
  <conditionalFormatting sqref="E101:K101">
    <cfRule type="expression" dxfId="160" priority="3">
      <formula>ISNUMBER(E$34)</formula>
    </cfRule>
  </conditionalFormatting>
  <conditionalFormatting sqref="E34:H131">
    <cfRule type="expression" dxfId="159" priority="1">
      <formula>NOT(ISNUMBER(E$34))</formula>
    </cfRule>
  </conditionalFormatting>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C56DA15-79EB-44EA-8A63-D8882A913343}">
          <x14:formula1>
            <xm:f>Validation!$A$4:$A$31</xm:f>
          </x14:formula1>
          <xm:sqref>C3:C4 G3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CC5E7F-4A0C-407E-B616-5ED56626536A}">
  <sheetPr codeName="Sheet19">
    <tabColor rgb="FF002060"/>
    <pageSetUpPr autoPageBreaks="0" fitToPage="1"/>
  </sheetPr>
  <dimension ref="A1:BB77"/>
  <sheetViews>
    <sheetView showGridLines="0" zoomScaleNormal="100" zoomScalePageLayoutView="55" workbookViewId="0"/>
  </sheetViews>
  <sheetFormatPr defaultColWidth="9" defaultRowHeight="14.25" x14ac:dyDescent="0.45"/>
  <cols>
    <col min="1" max="1" width="7.42578125" style="22" customWidth="1"/>
    <col min="2" max="2" width="67.35546875" style="22" customWidth="1"/>
    <col min="3" max="3" width="7.35546875" style="22" customWidth="1"/>
    <col min="4" max="26" width="10.640625" style="22" customWidth="1"/>
    <col min="27" max="16384" width="9" style="22"/>
  </cols>
  <sheetData>
    <row r="1" spans="1:54" ht="48.75" customHeight="1" x14ac:dyDescent="1">
      <c r="A1" s="20"/>
      <c r="B1" s="77" t="str">
        <f>Country&amp;"'s adherence to Regulation (EU) 2024/1263 and associated guidance"</f>
        <v>Select country's adherence to Regulation (EU) 2024/1263 and associated guidance</v>
      </c>
      <c r="D1" s="34"/>
      <c r="E1" s="34"/>
      <c r="F1" s="113"/>
      <c r="G1" s="34"/>
      <c r="H1"/>
      <c r="I1"/>
      <c r="J1"/>
      <c r="K1"/>
      <c r="L1"/>
      <c r="M1"/>
      <c r="N1"/>
      <c r="O1"/>
      <c r="P1"/>
      <c r="Q1"/>
      <c r="R1"/>
      <c r="S1"/>
    </row>
    <row r="2" spans="1:54" ht="18" x14ac:dyDescent="0.55000000000000004">
      <c r="A2" s="25"/>
      <c r="M2" s="23"/>
      <c r="N2" s="23"/>
      <c r="O2" s="23"/>
      <c r="P2" s="21"/>
      <c r="Q2" s="21"/>
      <c r="R2" s="21"/>
      <c r="S2" s="21"/>
    </row>
    <row r="3" spans="1:54" customFormat="1" ht="23.25" x14ac:dyDescent="0.45">
      <c r="B3" s="57" t="str">
        <f>IF(AssessmentRound="Implementation of an endorsed MTP","Assessing the implementation of the endorsed Medium-Term Plan","The below is not applicable as the parameters are set to assess a new or revised MTP; Please refer to the Step 5 (MTP) - View results worksheet")</f>
        <v>The below is not applicable as the parameters are set to assess a new or revised MTP; Please refer to the Step 5 (MTP) - View results worksheet</v>
      </c>
      <c r="C3" s="22"/>
      <c r="D3" s="22"/>
      <c r="E3" s="22"/>
      <c r="F3" s="22"/>
      <c r="G3" s="22"/>
      <c r="H3" s="22"/>
      <c r="I3" s="22"/>
      <c r="J3" s="22"/>
      <c r="K3" s="22"/>
      <c r="L3" s="22"/>
      <c r="O3" s="22"/>
      <c r="P3" s="22"/>
      <c r="T3" s="22"/>
      <c r="U3" s="22"/>
      <c r="V3" s="22"/>
      <c r="W3" s="22"/>
      <c r="X3" s="22"/>
      <c r="Y3" s="22"/>
      <c r="Z3" s="22"/>
      <c r="AA3" s="22"/>
      <c r="AB3" s="22"/>
      <c r="AC3" s="22"/>
      <c r="AD3" s="22"/>
      <c r="AE3" s="22"/>
      <c r="AF3" s="22"/>
      <c r="AG3" s="22"/>
      <c r="AH3" s="22"/>
      <c r="AI3" s="22"/>
      <c r="AJ3" s="22"/>
      <c r="AK3" s="22"/>
      <c r="AL3" s="22"/>
      <c r="AU3" s="72"/>
      <c r="AV3" s="24"/>
    </row>
    <row r="4" spans="1:54" x14ac:dyDescent="0.45">
      <c r="A4" s="20"/>
      <c r="B4" s="174" t="str">
        <f>CHAR(149)&amp;" This checks whether "&amp;Country&amp;" is adhering to its Council-endorsed medium-term structural-fiscal plan."</f>
        <v>• This checks whether Select country is adhering to its Council-endorsed medium-term structural-fiscal plan.</v>
      </c>
      <c r="M4" s="26"/>
      <c r="N4" s="26"/>
      <c r="Q4" s="28"/>
      <c r="R4" s="28"/>
      <c r="AU4" s="173"/>
      <c r="AV4" s="25"/>
    </row>
    <row r="5" spans="1:54" customFormat="1" x14ac:dyDescent="0.45">
      <c r="B5" s="134" t="str">
        <f>CHAR(149)&amp;" "&amp;MTP_Requirement</f>
        <v>• Select country's gross debt was above 60% of GDP in 2023 (T-1), therefore it must adhere to an MTP with a planned net expenditure path that does not exceed the Commission's reference trajectory (or an alternative path that meets all criteria). If the planned net expenditure path exceeds the reference trajectory, Select country must provide sound and data-driven economic arguments explaining the difference.</v>
      </c>
      <c r="C5" s="31"/>
      <c r="D5" s="31"/>
      <c r="E5" s="31"/>
      <c r="F5" s="31"/>
      <c r="G5" s="31"/>
      <c r="H5" s="31"/>
      <c r="I5" s="31"/>
      <c r="J5" s="31"/>
      <c r="K5" s="22"/>
      <c r="L5" s="22"/>
      <c r="O5" s="22"/>
      <c r="P5" s="22"/>
      <c r="T5" s="22"/>
      <c r="U5" s="22"/>
      <c r="V5" s="22"/>
      <c r="W5" s="22"/>
      <c r="X5" s="22"/>
      <c r="Y5" s="22"/>
      <c r="Z5" s="22"/>
      <c r="AA5" s="22"/>
      <c r="AB5" s="22"/>
      <c r="AC5" s="22"/>
      <c r="AD5" s="22"/>
      <c r="AE5" s="22"/>
      <c r="AF5" s="22"/>
      <c r="AG5" s="22"/>
      <c r="AH5" s="22"/>
      <c r="AI5" s="22"/>
      <c r="AJ5" s="22"/>
      <c r="AK5" s="22"/>
      <c r="AL5" s="22"/>
      <c r="AU5" s="72"/>
      <c r="AV5" s="22"/>
    </row>
    <row r="6" spans="1:54" x14ac:dyDescent="0.45">
      <c r="A6" s="20"/>
      <c r="B6" s="134" t="str">
        <f>CHAR(149)&amp;" "&amp;IF(MTP_Council_Endorsed,"The net expenditure path in "&amp;Country&amp;"'s latest MTP was endorsed by the Council.","The net expenditure path in "&amp;Country&amp;"'s latest MTP is awaiting endorsement by the Council.")</f>
        <v>• The net expenditure path in Select country's latest MTP was endorsed by the Council.</v>
      </c>
      <c r="C6" s="31"/>
      <c r="D6" s="31"/>
      <c r="E6" s="31"/>
      <c r="F6" s="31"/>
      <c r="G6" s="31"/>
      <c r="H6" s="31"/>
      <c r="I6" s="31"/>
      <c r="J6" s="31"/>
      <c r="M6" s="26"/>
      <c r="N6" s="26"/>
      <c r="Q6" s="26"/>
      <c r="R6" s="26"/>
      <c r="S6" s="21"/>
      <c r="AU6" s="173"/>
      <c r="AV6" s="20"/>
    </row>
    <row r="7" spans="1:54" x14ac:dyDescent="0.45">
      <c r="A7" s="21"/>
      <c r="B7" s="175" t="str" cm="1">
        <f t="array" ref="B7">CHAR(149)&amp;" "&amp;
_xlfn.LET(
  _xlpm.rng, 'Step 1 - Set global parameters'!B22:H22,
  _xlpm.anyGeneral, COUNTIF(_xlpm.rng,"General")+COUNTIF(_xlpm.rng,"Both")&gt;0,
  _xlpm.anyCountry, COUNTIF(_xlpm.rng,"Country")+COUNTIF(_xlpm.rng,"Both")&gt;0,
  _xlfn.IFS(
    AND(_xlpm.anyGeneral, _xlpm.anyCountry), "Both the general and country-specific escape clauses have been activated.",
    _xlpm.anyGeneral, "The general escape clause has been activated.",
    _xlpm.anyCountry, "A country-specific escape clause has been activated.",
    TRUE, "No escape clauses are currently activated."
  )
)</f>
        <v>• No escape clauses are currently activated.</v>
      </c>
      <c r="AU7" s="158"/>
      <c r="AV7" s="157"/>
    </row>
    <row r="8" spans="1:54" x14ac:dyDescent="0.45">
      <c r="A8" s="21"/>
    </row>
    <row r="9" spans="1:54" ht="15.75" x14ac:dyDescent="0.5">
      <c r="A9" s="111"/>
      <c r="B9" s="114" t="s">
        <v>18</v>
      </c>
      <c r="C9" s="251" t="s">
        <v>17</v>
      </c>
      <c r="D9" s="114"/>
      <c r="E9" s="115" t="s">
        <v>464</v>
      </c>
      <c r="F9" s="65"/>
      <c r="G9" s="65"/>
      <c r="H9" s="65"/>
      <c r="I9" s="65"/>
      <c r="J9" s="65"/>
      <c r="K9" s="65"/>
      <c r="L9" s="65"/>
      <c r="M9" s="65"/>
      <c r="N9" s="65"/>
      <c r="O9" s="65"/>
      <c r="P9" s="65"/>
      <c r="Q9" s="65"/>
      <c r="R9" s="65"/>
      <c r="S9" s="65"/>
      <c r="T9" s="65"/>
      <c r="U9" s="65"/>
      <c r="V9" s="65"/>
      <c r="W9" s="65"/>
      <c r="X9" s="65"/>
      <c r="Y9" s="65"/>
      <c r="Z9" s="65"/>
      <c r="AA9" s="65"/>
      <c r="AB9" s="65"/>
      <c r="AC9" s="65"/>
      <c r="AD9" s="65"/>
      <c r="AE9" s="65"/>
      <c r="AF9" s="65"/>
      <c r="AG9" s="65"/>
      <c r="AH9" s="65"/>
      <c r="AI9" s="65"/>
      <c r="AJ9" s="65"/>
      <c r="AK9" s="65"/>
      <c r="AL9" s="65"/>
      <c r="AM9" s="65"/>
      <c r="AN9" s="65"/>
      <c r="AO9" s="65"/>
      <c r="AP9" s="65"/>
      <c r="AQ9" s="65"/>
      <c r="AR9" s="65"/>
      <c r="AS9" s="65"/>
      <c r="AT9" s="65"/>
      <c r="AU9" s="65"/>
      <c r="AV9" s="65"/>
      <c r="AW9" s="65"/>
      <c r="AX9" s="65"/>
      <c r="AY9" s="65"/>
      <c r="AZ9" s="65"/>
      <c r="BA9" s="65"/>
      <c r="BB9" s="65"/>
    </row>
    <row r="10" spans="1:54" ht="19.149999999999999" customHeight="1" x14ac:dyDescent="0.7">
      <c r="A10" s="112" t="s">
        <v>392</v>
      </c>
      <c r="B10" s="78" t="s">
        <v>476</v>
      </c>
      <c r="C10" s="75" t="str">
        <f t="shared" ref="C10:C11" si="0">IF(D10="At risk","⚠",IF(D10="Compliant","☑",IF(D10="Breach","⮽","☐")))</f>
        <v>☐</v>
      </c>
      <c r="D10" s="78" t="str">
        <f>Assessment!C99</f>
        <v>N/A</v>
      </c>
      <c r="E10" s="22" t="e">
        <f>IF(AssessmentRound="New or revised MTP",NA(),Assessment!C101)</f>
        <v>#N/A</v>
      </c>
      <c r="AU10" s="163"/>
      <c r="AV10" s="163"/>
      <c r="AW10" s="163"/>
      <c r="AX10" s="163"/>
      <c r="AY10" s="163"/>
      <c r="AZ10" s="163"/>
      <c r="BA10" s="163"/>
      <c r="BB10" s="163"/>
    </row>
    <row r="11" spans="1:54" ht="19.149999999999999" customHeight="1" x14ac:dyDescent="0.7">
      <c r="A11" s="112" t="s">
        <v>393</v>
      </c>
      <c r="B11" s="78" t="s">
        <v>482</v>
      </c>
      <c r="C11" s="75" t="str">
        <f t="shared" si="0"/>
        <v>☐</v>
      </c>
      <c r="D11" s="78" t="str">
        <f>Assessment!C159</f>
        <v>N/A</v>
      </c>
      <c r="E11" s="22" t="e">
        <f>IF(AssessmentRound="New or revised MTP",NA(),Assessment!C161)</f>
        <v>#N/A</v>
      </c>
    </row>
    <row r="12" spans="1:54" ht="19.149999999999999" customHeight="1" x14ac:dyDescent="0.7">
      <c r="A12" s="112" t="s">
        <v>137</v>
      </c>
      <c r="B12" s="78" t="s">
        <v>593</v>
      </c>
      <c r="C12" s="75" t="str">
        <f>IF(D12="At risk","⚠",IF(D12="Compliant","☑",IF(D12="Breach","⮽","☐")))</f>
        <v>☐</v>
      </c>
      <c r="D12" s="78" t="str">
        <f>IF(AssessmentRound="New or revised MTP", "N/A", IF(
  OR(
    NOT(Receives_reference_trajectory),
    NOT(OR(Assessment!C164, Assessment!C165))
  ),
  "N/A",
  IF(
    OR(
      IF(Assessment!C164, NOT(Assessment!C166), FALSE),
      IF(Assessment!C165, NOT(Assessment!C167), FALSE)
    ),
    "At risk",
    "Compliant"
  )
))</f>
        <v>N/A</v>
      </c>
      <c r="E12" s="22" t="e">
        <f>IF(AssessmentRound="New or revised MTP",NA(),Assessment!C169)</f>
        <v>#N/A</v>
      </c>
    </row>
    <row r="13" spans="1:54" ht="19.149999999999999" customHeight="1" x14ac:dyDescent="0.7">
      <c r="A13" s="112" t="s">
        <v>463</v>
      </c>
      <c r="B13" s="78" t="s">
        <v>594</v>
      </c>
      <c r="C13" s="75" t="str">
        <f t="shared" ref="C13" si="1">IF(D13="At risk","⚠",IF(D13="Compliant","☑",IF(D13="Breach","⮽","☐")))</f>
        <v>☐</v>
      </c>
      <c r="D13" s="78" t="str">
        <f>IF(AssessmentRound="New or revised MTP","N/A",IF(
  NOT(Receives_reference_trajectory),
  "N/A",
  IF(
    ISNA(Assessment!C179),
    "N/A",
    IF(Assessment!C179,"Compliant","At risk")
  )
))</f>
        <v>N/A</v>
      </c>
      <c r="E13" s="22" t="e">
        <f>IF(AssessmentRound="New or revised MTP",NA(),Assessment!C181)</f>
        <v>#N/A</v>
      </c>
    </row>
    <row r="14" spans="1:54" ht="19.149999999999999" customHeight="1" x14ac:dyDescent="0.7">
      <c r="A14" s="112" t="s">
        <v>503</v>
      </c>
      <c r="B14" s="78" t="s">
        <v>597</v>
      </c>
      <c r="C14" s="75" t="str">
        <f>IF(D14="At risk","⚠",IF(D14="Compliant","☑",IF(D14="Breach","⮽","☐")))</f>
        <v>☐</v>
      </c>
      <c r="D14" s="78" t="str">
        <f>IF(AssessmentRound="New or revised MTP","N/A",IF(ISNA(Assessment!C190),"N/A",IF(Assessment!C190,"Compliant",IF(EscapeClauseActivated,"At risk","Breach"))))</f>
        <v>N/A</v>
      </c>
      <c r="E14" s="22" t="e">
        <f>IF(AssessmentRound="New or revised MTP",NA(),Assessment!C192)</f>
        <v>#N/A</v>
      </c>
    </row>
    <row r="15" spans="1:54" customFormat="1" ht="19.149999999999999" customHeight="1" thickBot="1" x14ac:dyDescent="0.75">
      <c r="A15" s="112"/>
      <c r="B15" s="73" t="s">
        <v>477</v>
      </c>
      <c r="C15" s="74" t="str">
        <f>IF(D15="At risk","⚠",IF(D15="Compliant","☑",IF(D15="Breach","⮽","☐")))</f>
        <v>☐</v>
      </c>
      <c r="D15" s="139" t="str">
        <f>IF(AssessmentRound="New or revised MTP","N/A",IF(COUNTIF(D10:D11,"Breach")=0,"Compliant","Breach"))</f>
        <v>N/A</v>
      </c>
      <c r="E15" s="73" t="e">
        <f>IF(AssessmentRound="New or revised MTP",NA(),IF(
  D15="Compliant",
  "Overall, "&amp;Country&amp;"'s implementation of the medium-term fiscal-structural plan is compliant with the requirements of Regulation (EU) 2024/1263.",
  "Overall, "&amp;Country&amp;"'s implementation of the medium-term fiscal-structural plan is not compliant with the requirements of Regulation (EU) 2024/1263."
))</f>
        <v>#N/A</v>
      </c>
      <c r="F15" s="73"/>
      <c r="G15" s="73"/>
      <c r="H15" s="73"/>
      <c r="I15" s="73"/>
      <c r="J15" s="73"/>
      <c r="K15" s="73"/>
      <c r="L15" s="73"/>
      <c r="M15" s="73"/>
      <c r="N15" s="73"/>
      <c r="O15" s="73"/>
      <c r="P15" s="73"/>
      <c r="Q15" s="73"/>
      <c r="R15" s="73"/>
      <c r="S15" s="73"/>
      <c r="T15" s="73"/>
      <c r="U15" s="73"/>
      <c r="V15" s="73"/>
      <c r="W15" s="73"/>
      <c r="X15" s="73"/>
      <c r="Y15" s="73"/>
      <c r="Z15" s="73"/>
      <c r="AA15" s="73"/>
      <c r="AB15" s="73"/>
      <c r="AC15" s="73"/>
      <c r="AD15" s="73"/>
      <c r="AE15" s="73"/>
      <c r="AF15" s="73"/>
      <c r="AG15" s="73"/>
      <c r="AH15" s="73"/>
      <c r="AI15" s="73"/>
      <c r="AJ15" s="73"/>
      <c r="AK15" s="73"/>
      <c r="AL15" s="73"/>
      <c r="AM15" s="73"/>
      <c r="AN15" s="73"/>
      <c r="AO15" s="73"/>
      <c r="AP15" s="73"/>
      <c r="AQ15" s="73"/>
      <c r="AR15" s="73"/>
      <c r="AS15" s="73"/>
      <c r="AT15" s="73"/>
      <c r="AU15" s="73"/>
      <c r="AV15" s="73"/>
      <c r="AW15" s="73"/>
      <c r="AX15" s="73"/>
      <c r="AY15" s="73"/>
      <c r="AZ15" s="73"/>
      <c r="BA15" s="73"/>
      <c r="BB15" s="73"/>
    </row>
    <row r="16" spans="1:54" customFormat="1" ht="19.149999999999999" customHeight="1" thickTop="1" x14ac:dyDescent="0.4"/>
    <row r="17" spans="1:21" customFormat="1" ht="23.25" x14ac:dyDescent="0.7">
      <c r="B17" s="118" t="s">
        <v>926</v>
      </c>
      <c r="C17" s="22"/>
      <c r="D17" s="22"/>
      <c r="E17" s="22"/>
      <c r="F17" s="22"/>
      <c r="G17" s="22"/>
      <c r="H17" s="22"/>
      <c r="I17" s="22"/>
      <c r="J17" s="22"/>
      <c r="K17" s="22"/>
      <c r="L17" s="22"/>
      <c r="M17" s="22"/>
      <c r="N17" s="22"/>
      <c r="O17" s="22"/>
      <c r="P17" s="22"/>
      <c r="Q17" s="22"/>
      <c r="R17" s="22"/>
      <c r="S17" s="22"/>
      <c r="T17" s="22"/>
      <c r="U17" s="22"/>
    </row>
    <row r="18" spans="1:21" customFormat="1" x14ac:dyDescent="0.45">
      <c r="A18" s="3"/>
      <c r="B18" s="66"/>
      <c r="C18" s="66"/>
      <c r="D18" s="30" t="str" cm="1">
        <f t="array" ref="D18">IF(AssessmentRound="New or revised MTP", "", IF(_xlfn.ANCHORARRAY(D21)&lt;=AdjustmentPeriodEnd, IF(_xlfn.ANCHORARRAY(D21)&lt;=OutturnThrough, "Observed", "Planned"), ""))</f>
        <v/>
      </c>
      <c r="E18" s="30"/>
      <c r="F18" s="30"/>
      <c r="G18" s="30"/>
      <c r="H18" s="30"/>
      <c r="I18" s="30"/>
      <c r="J18" s="22"/>
      <c r="P18" s="22"/>
      <c r="Q18" s="22"/>
      <c r="R18" s="22"/>
      <c r="S18" s="22"/>
      <c r="T18" s="22"/>
      <c r="U18" s="22"/>
    </row>
    <row r="19" spans="1:21" customFormat="1" ht="14.85" customHeight="1" x14ac:dyDescent="0.45">
      <c r="A19" s="3"/>
      <c r="B19" s="66" t="s">
        <v>495</v>
      </c>
      <c r="C19" s="66"/>
      <c r="D19" s="96" t="str" cm="1">
        <f t="array" aca="1" ref="D19" ca="1">IF(AssessmentRound="New or revised MTP", "", IF(AssessmentRound="Revised MTP","",_xlfn.HSTACK("",IF(OFFSET(Assessment!$F$145,0,0,1,COLUMNS(_xlfn.ANCHORARRAY(D21))-1),"Yes","No"))))</f>
        <v/>
      </c>
      <c r="E19" s="96"/>
      <c r="F19" s="96"/>
      <c r="G19" s="96"/>
      <c r="H19" s="96"/>
      <c r="I19" s="96"/>
      <c r="J19" s="22"/>
    </row>
    <row r="20" spans="1:21" customFormat="1" ht="14.85" customHeight="1" x14ac:dyDescent="0.45">
      <c r="A20" s="3"/>
      <c r="B20" s="66" t="s">
        <v>274</v>
      </c>
      <c r="C20" s="66"/>
      <c r="D20" s="30" t="str" cm="1">
        <f t="array" ref="D20:F20">IF((_xlfn.ANCHORARRAY(D21)&gt;=MTP_YearT-1)*(_xlfn.ANCHORARRAY(D21)&lt;=AdjustmentPeriodEnd), IF(_xlfn.ANCHORARRAY(D21)=MTP_YearT-1, "T-1", IF(_xlfn.ANCHORARRAY(D21)=MTP_YearT, "T", "T+"&amp;(_xlfn.ANCHORARRAY(D21)-MTP_YearT))), "")</f>
        <v>T-1</v>
      </c>
      <c r="E20" s="30" t="str">
        <v>T</v>
      </c>
      <c r="F20" s="30" t="str">
        <v>T+1</v>
      </c>
      <c r="G20" s="30"/>
      <c r="H20" s="30"/>
      <c r="I20" s="30"/>
      <c r="J20" s="22"/>
    </row>
    <row r="21" spans="1:21" customFormat="1" ht="14.85" customHeight="1" x14ac:dyDescent="0.45">
      <c r="A21" s="3"/>
      <c r="B21" s="66" t="s">
        <v>251</v>
      </c>
      <c r="C21" s="66"/>
      <c r="D21" s="29" cm="1">
        <f t="array" ref="D21:F21">_xlfn.SEQUENCE(1, AssessmentEnd-MTP_BaseYear+1, MTP_BaseYear)</f>
        <v>2023</v>
      </c>
      <c r="E21" s="29">
        <v>2024</v>
      </c>
      <c r="F21" s="29">
        <v>2025</v>
      </c>
      <c r="G21" s="29"/>
      <c r="H21" s="22"/>
      <c r="I21" s="22"/>
      <c r="J21" s="22"/>
    </row>
    <row r="22" spans="1:21" customFormat="1" ht="19.05" customHeight="1" x14ac:dyDescent="0.4">
      <c r="A22" s="3"/>
      <c r="B22" s="260" t="s">
        <v>624</v>
      </c>
    </row>
    <row r="23" spans="1:21" customFormat="1" ht="14.85" customHeight="1" x14ac:dyDescent="0.4">
      <c r="A23" s="3">
        <v>1</v>
      </c>
      <c r="B23" t="s">
        <v>257</v>
      </c>
      <c r="C23" t="s">
        <v>6</v>
      </c>
      <c r="D23" s="4">
        <f>Assessment!D108</f>
        <v>0</v>
      </c>
      <c r="E23" s="4">
        <f>Assessment!E108</f>
        <v>0</v>
      </c>
      <c r="F23" s="4">
        <f>Assessment!F108</f>
        <v>0</v>
      </c>
      <c r="G23" s="4" t="str">
        <f>Assessment!G108</f>
        <v/>
      </c>
      <c r="H23" t="str">
        <f>Assessment!H108</f>
        <v/>
      </c>
      <c r="I23" t="str">
        <f>Assessment!I108</f>
        <v/>
      </c>
      <c r="J23" t="str">
        <f>Assessment!J108</f>
        <v/>
      </c>
    </row>
    <row r="24" spans="1:21" customFormat="1" ht="14.85" customHeight="1" x14ac:dyDescent="0.4">
      <c r="A24" s="3">
        <v>2</v>
      </c>
      <c r="B24" t="s">
        <v>25</v>
      </c>
      <c r="C24" t="s">
        <v>6</v>
      </c>
      <c r="D24" s="4">
        <f>Assessment!D109</f>
        <v>0</v>
      </c>
      <c r="E24" s="4">
        <f>Assessment!E109</f>
        <v>0</v>
      </c>
      <c r="F24" s="4">
        <f>Assessment!F109</f>
        <v>0</v>
      </c>
      <c r="G24" s="4" t="str">
        <f>Assessment!G109</f>
        <v/>
      </c>
      <c r="H24" t="str">
        <f>Assessment!H109</f>
        <v/>
      </c>
      <c r="I24" t="str">
        <f>Assessment!I109</f>
        <v/>
      </c>
      <c r="J24" t="str">
        <f>Assessment!J109</f>
        <v/>
      </c>
    </row>
    <row r="25" spans="1:21" customFormat="1" ht="14.85" customHeight="1" x14ac:dyDescent="0.4">
      <c r="A25" s="3">
        <v>3</v>
      </c>
      <c r="B25" t="s">
        <v>276</v>
      </c>
      <c r="C25" t="s">
        <v>6</v>
      </c>
      <c r="D25" s="4">
        <f>Assessment!D110</f>
        <v>0</v>
      </c>
      <c r="E25" s="4">
        <f>Assessment!E110</f>
        <v>0</v>
      </c>
      <c r="F25" s="4">
        <f>Assessment!F110</f>
        <v>0</v>
      </c>
      <c r="G25" s="4" t="str">
        <f>Assessment!G110</f>
        <v/>
      </c>
      <c r="H25" t="str">
        <f>Assessment!H110</f>
        <v/>
      </c>
      <c r="I25" t="str">
        <f>Assessment!I110</f>
        <v/>
      </c>
      <c r="J25" t="str">
        <f>Assessment!J110</f>
        <v/>
      </c>
    </row>
    <row r="26" spans="1:21" customFormat="1" ht="14.85" customHeight="1" x14ac:dyDescent="0.4">
      <c r="A26" s="3">
        <v>4</v>
      </c>
      <c r="B26" t="s">
        <v>625</v>
      </c>
      <c r="C26" t="s">
        <v>6</v>
      </c>
      <c r="D26" s="4">
        <f>Assessment!D111</f>
        <v>0</v>
      </c>
      <c r="E26" s="4">
        <f>Assessment!E111</f>
        <v>0</v>
      </c>
      <c r="F26" s="4">
        <f>Assessment!F111</f>
        <v>0</v>
      </c>
      <c r="G26" s="4" t="str">
        <f>Assessment!G111</f>
        <v/>
      </c>
      <c r="H26" t="str">
        <f>Assessment!H111</f>
        <v/>
      </c>
      <c r="I26" t="str">
        <f>Assessment!I111</f>
        <v/>
      </c>
      <c r="J26" t="str">
        <f>Assessment!J111</f>
        <v/>
      </c>
    </row>
    <row r="27" spans="1:21" customFormat="1" ht="14.85" customHeight="1" x14ac:dyDescent="0.4">
      <c r="A27" s="3">
        <v>5</v>
      </c>
      <c r="B27" t="s">
        <v>278</v>
      </c>
      <c r="C27" t="s">
        <v>6</v>
      </c>
      <c r="D27" s="4">
        <f>Assessment!D112</f>
        <v>0</v>
      </c>
      <c r="E27" s="4">
        <f>Assessment!E112</f>
        <v>0</v>
      </c>
      <c r="F27" s="4">
        <f>Assessment!F112</f>
        <v>0</v>
      </c>
      <c r="G27" s="4" t="str">
        <f>Assessment!G112</f>
        <v/>
      </c>
      <c r="H27" t="str">
        <f>Assessment!H112</f>
        <v/>
      </c>
      <c r="I27" t="str">
        <f>Assessment!I112</f>
        <v/>
      </c>
      <c r="J27" t="str">
        <f>Assessment!J112</f>
        <v/>
      </c>
    </row>
    <row r="28" spans="1:21" customFormat="1" ht="14.65" customHeight="1" x14ac:dyDescent="0.4">
      <c r="A28" s="3">
        <v>6</v>
      </c>
      <c r="B28" t="s">
        <v>626</v>
      </c>
      <c r="C28" t="s">
        <v>6</v>
      </c>
      <c r="D28" s="4">
        <f>Assessment!D113</f>
        <v>0</v>
      </c>
      <c r="E28" s="4">
        <f>Assessment!E113</f>
        <v>0</v>
      </c>
      <c r="F28" s="4">
        <f>Assessment!F113</f>
        <v>0</v>
      </c>
      <c r="G28" s="4" t="str">
        <f>Assessment!G113</f>
        <v/>
      </c>
      <c r="H28" t="str">
        <f>Assessment!H113</f>
        <v/>
      </c>
      <c r="I28" t="str">
        <f>Assessment!I113</f>
        <v/>
      </c>
      <c r="J28" t="str">
        <f>Assessment!J113</f>
        <v/>
      </c>
    </row>
    <row r="29" spans="1:21" customFormat="1" ht="14.65" customHeight="1" x14ac:dyDescent="0.4">
      <c r="A29" s="3">
        <v>7</v>
      </c>
      <c r="B29" t="s">
        <v>627</v>
      </c>
      <c r="C29" t="s">
        <v>6</v>
      </c>
      <c r="D29" s="4">
        <f>Assessment!D114</f>
        <v>0</v>
      </c>
      <c r="E29" s="4">
        <f>Assessment!E114</f>
        <v>0</v>
      </c>
      <c r="F29" s="4">
        <f>Assessment!F114</f>
        <v>0</v>
      </c>
      <c r="G29" s="4" t="str">
        <f>Assessment!G114</f>
        <v/>
      </c>
      <c r="H29" t="str">
        <f>Assessment!H114</f>
        <v/>
      </c>
      <c r="I29" t="str">
        <f>Assessment!I114</f>
        <v/>
      </c>
      <c r="J29" t="str">
        <f>Assessment!J114</f>
        <v/>
      </c>
    </row>
    <row r="30" spans="1:21" customFormat="1" ht="14.65" customHeight="1" x14ac:dyDescent="0.4">
      <c r="A30" s="3">
        <v>8</v>
      </c>
      <c r="B30" t="s">
        <v>628</v>
      </c>
      <c r="C30" t="s">
        <v>6</v>
      </c>
      <c r="D30" s="4"/>
      <c r="E30" s="4">
        <f>Assessment!E115</f>
        <v>0</v>
      </c>
      <c r="F30" s="4">
        <f>Assessment!F115</f>
        <v>0</v>
      </c>
      <c r="G30" s="4" t="str">
        <f>Assessment!G115</f>
        <v/>
      </c>
      <c r="H30" t="str">
        <f>Assessment!H115</f>
        <v/>
      </c>
      <c r="I30" t="str">
        <f>Assessment!I115</f>
        <v/>
      </c>
      <c r="J30" t="str">
        <f>Assessment!J115</f>
        <v/>
      </c>
    </row>
    <row r="31" spans="1:21" customFormat="1" ht="14.65" customHeight="1" x14ac:dyDescent="0.4">
      <c r="A31" s="3">
        <v>9</v>
      </c>
      <c r="B31" t="s">
        <v>629</v>
      </c>
      <c r="C31" t="s">
        <v>6</v>
      </c>
      <c r="D31" s="4"/>
      <c r="E31" s="4">
        <f>Assessment!E116</f>
        <v>0</v>
      </c>
      <c r="F31" s="4">
        <f>Assessment!F116</f>
        <v>0</v>
      </c>
      <c r="G31" s="4" t="str">
        <f>Assessment!G116</f>
        <v/>
      </c>
      <c r="H31" t="str">
        <f>Assessment!H116</f>
        <v/>
      </c>
      <c r="I31" t="str">
        <f>Assessment!I116</f>
        <v/>
      </c>
      <c r="J31" t="str">
        <f>Assessment!J116</f>
        <v/>
      </c>
    </row>
    <row r="32" spans="1:21" customFormat="1" ht="14.65" customHeight="1" x14ac:dyDescent="0.4">
      <c r="A32" s="3">
        <v>10</v>
      </c>
      <c r="B32" t="s">
        <v>630</v>
      </c>
      <c r="C32" t="s">
        <v>6</v>
      </c>
      <c r="D32" s="4"/>
      <c r="E32" s="4">
        <f>Assessment!E117</f>
        <v>0</v>
      </c>
      <c r="F32" s="4">
        <f>Assessment!F117</f>
        <v>0</v>
      </c>
      <c r="G32" s="4" t="str">
        <f>Assessment!G117</f>
        <v/>
      </c>
      <c r="H32" t="str">
        <f>Assessment!H117</f>
        <v/>
      </c>
      <c r="I32" t="str">
        <f>Assessment!I117</f>
        <v/>
      </c>
      <c r="J32" t="str">
        <f>Assessment!J117</f>
        <v/>
      </c>
    </row>
    <row r="33" spans="1:23" customFormat="1" ht="19.05" customHeight="1" x14ac:dyDescent="0.4">
      <c r="A33" s="3"/>
      <c r="B33" s="260" t="s">
        <v>928</v>
      </c>
      <c r="D33" s="4"/>
      <c r="E33" s="4"/>
      <c r="F33" s="4"/>
      <c r="G33" s="4"/>
    </row>
    <row r="34" spans="1:23" customFormat="1" ht="14.65" customHeight="1" x14ac:dyDescent="0.4">
      <c r="A34" s="3">
        <v>11</v>
      </c>
      <c r="B34" t="s">
        <v>632</v>
      </c>
      <c r="C34" t="s">
        <v>601</v>
      </c>
      <c r="D34" s="4"/>
      <c r="E34" s="4" t="e">
        <f>Assessment!E119</f>
        <v>#DIV/0!</v>
      </c>
      <c r="F34" s="4" t="e">
        <f>Assessment!F119</f>
        <v>#DIV/0!</v>
      </c>
      <c r="G34" s="4" t="str">
        <f>Assessment!G119</f>
        <v/>
      </c>
      <c r="H34" t="str">
        <f>Assessment!H119</f>
        <v/>
      </c>
      <c r="I34" t="str">
        <f>Assessment!I119</f>
        <v/>
      </c>
      <c r="J34" t="str">
        <f>Assessment!J119</f>
        <v/>
      </c>
    </row>
    <row r="35" spans="1:23" customFormat="1" ht="14.65" customHeight="1" x14ac:dyDescent="0.4">
      <c r="A35" s="3">
        <v>12</v>
      </c>
      <c r="B35" t="s">
        <v>946</v>
      </c>
      <c r="C35" t="s">
        <v>601</v>
      </c>
      <c r="D35" s="4"/>
      <c r="E35" s="258">
        <f>Assessment!E120</f>
        <v>0</v>
      </c>
      <c r="F35" s="4">
        <f>Assessment!F120</f>
        <v>0</v>
      </c>
      <c r="G35" s="4" t="str">
        <f>Assessment!G120</f>
        <v/>
      </c>
      <c r="H35" t="str">
        <f>Assessment!H120</f>
        <v/>
      </c>
      <c r="I35" t="str">
        <f>Assessment!I120</f>
        <v/>
      </c>
      <c r="J35" t="str">
        <f>Assessment!J120</f>
        <v/>
      </c>
    </row>
    <row r="36" spans="1:23" customFormat="1" ht="14.65" customHeight="1" x14ac:dyDescent="0.4">
      <c r="A36" s="3">
        <v>13</v>
      </c>
      <c r="B36" t="s">
        <v>929</v>
      </c>
      <c r="C36" t="s">
        <v>6</v>
      </c>
      <c r="D36" s="4"/>
      <c r="E36" s="258" t="e">
        <f>Assessment!E121</f>
        <v>#DIV/0!</v>
      </c>
      <c r="F36" s="4" t="e">
        <f>Assessment!F121</f>
        <v>#DIV/0!</v>
      </c>
      <c r="G36" s="4" t="str">
        <f>Assessment!G121</f>
        <v/>
      </c>
      <c r="H36" t="str">
        <f>Assessment!H121</f>
        <v/>
      </c>
      <c r="I36" t="str">
        <f>Assessment!I121</f>
        <v/>
      </c>
      <c r="J36" t="str">
        <f>Assessment!J121</f>
        <v/>
      </c>
    </row>
    <row r="37" spans="1:23" customFormat="1" ht="14.65" customHeight="1" x14ac:dyDescent="0.4">
      <c r="A37" s="3">
        <v>14</v>
      </c>
      <c r="B37" t="s">
        <v>930</v>
      </c>
      <c r="C37" t="s">
        <v>6</v>
      </c>
      <c r="D37" s="4"/>
      <c r="E37" s="258" t="e">
        <f>Assessment!E122</f>
        <v>#DIV/0!</v>
      </c>
      <c r="F37" s="4" t="e">
        <f>Assessment!F122</f>
        <v>#DIV/0!</v>
      </c>
      <c r="G37" s="4" t="str">
        <f>Assessment!G122</f>
        <v/>
      </c>
      <c r="H37" t="str">
        <f>Assessment!H122</f>
        <v/>
      </c>
      <c r="I37" t="str">
        <f>Assessment!I122</f>
        <v/>
      </c>
      <c r="J37" t="str">
        <f>Assessment!J122</f>
        <v/>
      </c>
    </row>
    <row r="38" spans="1:23" customFormat="1" ht="14.65" customHeight="1" x14ac:dyDescent="0.4">
      <c r="A38" s="3">
        <v>15</v>
      </c>
      <c r="B38" t="s">
        <v>9</v>
      </c>
      <c r="C38" t="s">
        <v>6</v>
      </c>
      <c r="D38" s="4">
        <f>Assessment!D123</f>
        <v>0</v>
      </c>
      <c r="E38" s="4">
        <f>Assessment!E123</f>
        <v>0</v>
      </c>
      <c r="F38" s="4">
        <f>Assessment!F123</f>
        <v>0</v>
      </c>
      <c r="G38" s="4" t="str">
        <f>Assessment!G123</f>
        <v/>
      </c>
      <c r="H38" t="str">
        <f>Assessment!H123</f>
        <v/>
      </c>
      <c r="I38" t="str">
        <f>Assessment!I123</f>
        <v/>
      </c>
      <c r="J38" t="str">
        <f>Assessment!J123</f>
        <v/>
      </c>
    </row>
    <row r="39" spans="1:23" customFormat="1" ht="19.05" customHeight="1" x14ac:dyDescent="0.4">
      <c r="A39" s="3"/>
      <c r="B39" s="260" t="s">
        <v>926</v>
      </c>
      <c r="D39" s="4"/>
      <c r="E39" s="4"/>
      <c r="F39" s="4"/>
      <c r="G39" s="4"/>
    </row>
    <row r="40" spans="1:23" customFormat="1" ht="14.65" customHeight="1" x14ac:dyDescent="0.4">
      <c r="A40" s="3">
        <v>16</v>
      </c>
      <c r="B40" t="s">
        <v>602</v>
      </c>
      <c r="C40" t="s">
        <v>603</v>
      </c>
      <c r="D40" s="4"/>
      <c r="E40" s="258" t="e">
        <f>Assessment!E125</f>
        <v>#DIV/0!</v>
      </c>
      <c r="F40" s="4" t="e">
        <f>Assessment!F125</f>
        <v>#DIV/0!</v>
      </c>
      <c r="G40" s="4" t="str">
        <f>Assessment!G125</f>
        <v/>
      </c>
      <c r="H40" t="str">
        <f>Assessment!H125</f>
        <v/>
      </c>
      <c r="I40" t="str">
        <f>Assessment!I125</f>
        <v/>
      </c>
      <c r="J40" t="str">
        <f>Assessment!J125</f>
        <v/>
      </c>
    </row>
    <row r="41" spans="1:23" customFormat="1" ht="14.65" customHeight="1" x14ac:dyDescent="0.45">
      <c r="A41" s="3">
        <v>17</v>
      </c>
      <c r="B41" t="s">
        <v>945</v>
      </c>
      <c r="C41" t="s">
        <v>603</v>
      </c>
      <c r="D41" s="4"/>
      <c r="E41" s="258" t="e">
        <f>Assessment!E126</f>
        <v>#DIV/0!</v>
      </c>
      <c r="F41" s="4" t="e">
        <f>Assessment!F126</f>
        <v>#DIV/0!</v>
      </c>
      <c r="G41" s="4" t="str">
        <f>Assessment!G126</f>
        <v/>
      </c>
      <c r="H41" t="str">
        <f>Assessment!H126</f>
        <v/>
      </c>
      <c r="I41" t="str">
        <f>Assessment!I126</f>
        <v/>
      </c>
      <c r="J41" t="str">
        <f>Assessment!J126</f>
        <v/>
      </c>
      <c r="W41" s="22"/>
    </row>
    <row r="42" spans="1:23" customFormat="1" ht="19.05" customHeight="1" x14ac:dyDescent="0.4">
      <c r="A42" s="3"/>
      <c r="B42" s="260" t="s">
        <v>931</v>
      </c>
      <c r="D42" s="4"/>
      <c r="E42" s="4"/>
      <c r="F42" s="4"/>
      <c r="G42" s="4"/>
    </row>
    <row r="43" spans="1:23" customFormat="1" ht="14.65" customHeight="1" x14ac:dyDescent="0.4">
      <c r="A43" s="3">
        <v>18</v>
      </c>
      <c r="B43" t="str">
        <f>Assessment!B134</f>
        <v>Growth of defence expenditure since Enter year</v>
      </c>
      <c r="C43" t="s">
        <v>603</v>
      </c>
      <c r="D43" s="4"/>
      <c r="E43" s="4"/>
      <c r="F43" s="4" t="e">
        <f>Assessment!F134</f>
        <v>#DIV/0!</v>
      </c>
      <c r="G43" s="4" t="str">
        <f>Assessment!G134</f>
        <v/>
      </c>
      <c r="H43" t="str">
        <f>Assessment!H134</f>
        <v/>
      </c>
      <c r="I43" t="str">
        <f>Assessment!I134</f>
        <v/>
      </c>
      <c r="J43" t="str">
        <f>Assessment!J134</f>
        <v/>
      </c>
    </row>
    <row r="44" spans="1:23" customFormat="1" ht="14.65" customHeight="1" x14ac:dyDescent="0.4">
      <c r="A44" s="3">
        <v>19</v>
      </c>
      <c r="B44" t="s">
        <v>938</v>
      </c>
      <c r="C44" t="s">
        <v>603</v>
      </c>
      <c r="D44" s="4"/>
      <c r="E44" s="4" t="e">
        <f>Assessment!E142</f>
        <v>#DIV/0!</v>
      </c>
      <c r="F44" s="4" t="e">
        <f>Assessment!F142</f>
        <v>#DIV/0!</v>
      </c>
      <c r="G44" s="4" t="str">
        <f>Assessment!G142</f>
        <v/>
      </c>
    </row>
    <row r="45" spans="1:23" customFormat="1" ht="14.65" customHeight="1" x14ac:dyDescent="0.4">
      <c r="A45" s="3">
        <v>20</v>
      </c>
      <c r="B45" s="261" t="s">
        <v>932</v>
      </c>
      <c r="C45" s="261" t="s">
        <v>603</v>
      </c>
      <c r="D45" s="4"/>
      <c r="E45" s="4"/>
      <c r="F45" s="4" t="e">
        <f>Assessment!F144</f>
        <v>#DIV/0!</v>
      </c>
      <c r="G45" s="4" t="str">
        <f>Assessment!G144</f>
        <v/>
      </c>
      <c r="H45" s="4" t="str">
        <f>Assessment!H144</f>
        <v/>
      </c>
      <c r="I45" s="4" t="str">
        <f>Assessment!I144</f>
        <v/>
      </c>
      <c r="J45" s="4" t="str">
        <f>Assessment!J144</f>
        <v/>
      </c>
    </row>
    <row r="46" spans="1:23" customFormat="1" ht="14.65" customHeight="1" x14ac:dyDescent="0.4">
      <c r="A46" s="3"/>
      <c r="D46" s="4"/>
      <c r="E46" s="4"/>
      <c r="F46" s="4"/>
      <c r="G46" s="4"/>
      <c r="I46" t="str">
        <f>Assessment!I130</f>
        <v/>
      </c>
      <c r="J46" t="str">
        <f>Assessment!J130</f>
        <v/>
      </c>
    </row>
    <row r="47" spans="1:23" customFormat="1" ht="14.65" customHeight="1" x14ac:dyDescent="0.4">
      <c r="A47" s="3"/>
      <c r="D47" s="4"/>
      <c r="E47" s="4"/>
      <c r="F47" s="4"/>
      <c r="G47" s="4"/>
      <c r="I47" t="str">
        <f>Assessment!I131</f>
        <v/>
      </c>
      <c r="J47" t="str">
        <f>Assessment!J131</f>
        <v/>
      </c>
    </row>
    <row r="48" spans="1:23" customFormat="1" ht="23.25" x14ac:dyDescent="0.7">
      <c r="A48" s="22"/>
      <c r="B48" s="118" t="s">
        <v>487</v>
      </c>
      <c r="C48" s="22"/>
      <c r="D48" s="22"/>
      <c r="E48" s="22"/>
      <c r="F48" s="22"/>
      <c r="G48" s="22"/>
      <c r="H48" s="22"/>
      <c r="I48" s="64"/>
      <c r="M48" s="22"/>
    </row>
    <row r="49" spans="1:13" customFormat="1" ht="14.65" customHeight="1" x14ac:dyDescent="0.45">
      <c r="A49" s="22"/>
      <c r="B49" s="66" t="s">
        <v>310</v>
      </c>
      <c r="C49" s="30" t="str" cm="1">
        <f t="array" ref="C49:H49">IF(_xlfn.SEQUENCE(1,MTP_PlanningHorizon+2,-1)=-1, "T-1", IF(_xlfn.SEQUENCE(1,MTP_PlanningHorizon+2,-1)=0, "T", "T+"&amp;_xlfn.SEQUENCE(1,MTP_PlanningHorizon+2,-1)))</f>
        <v>T-1</v>
      </c>
      <c r="D49" s="30" t="str">
        <v>T</v>
      </c>
      <c r="E49" s="30" t="str">
        <v>T+1</v>
      </c>
      <c r="F49" s="30" t="str">
        <v>T+2</v>
      </c>
      <c r="G49" s="30" t="str">
        <v>T+3</v>
      </c>
      <c r="H49" s="30" t="str">
        <v>T+4</v>
      </c>
      <c r="I49" s="30"/>
      <c r="M49" s="22"/>
    </row>
    <row r="50" spans="1:13" customFormat="1" ht="14.65" customHeight="1" x14ac:dyDescent="0.45">
      <c r="A50" s="22"/>
      <c r="B50" s="66"/>
      <c r="C50" s="30" cm="1">
        <f t="array" ref="C50:H50">_xlfn.SEQUENCE(1, MTP_EndYear - MTP_BaseYear+1, MTP_BaseYear)</f>
        <v>2023</v>
      </c>
      <c r="D50" s="30">
        <v>2024</v>
      </c>
      <c r="E50" s="30">
        <v>2025</v>
      </c>
      <c r="F50" s="30">
        <v>2026</v>
      </c>
      <c r="G50" s="30">
        <v>2027</v>
      </c>
      <c r="H50" s="30">
        <v>2028</v>
      </c>
      <c r="I50" s="30"/>
      <c r="M50" s="22"/>
    </row>
    <row r="51" spans="1:13" customFormat="1" x14ac:dyDescent="0.45">
      <c r="A51" s="22"/>
      <c r="B51" s="67"/>
      <c r="C51" s="30" t="str">
        <f t="shared" ref="C51:I51" si="2">IF(C50="", "", IF(C50&lt;=OutturnThrough, "Observed", "Planned"))</f>
        <v>Observed</v>
      </c>
      <c r="D51" s="30" t="str">
        <f t="shared" si="2"/>
        <v>Observed</v>
      </c>
      <c r="E51" s="30" t="str">
        <f t="shared" si="2"/>
        <v>Observed</v>
      </c>
      <c r="F51" s="30" t="str">
        <f t="shared" si="2"/>
        <v>Planned</v>
      </c>
      <c r="G51" s="30" t="str">
        <f t="shared" si="2"/>
        <v>Planned</v>
      </c>
      <c r="H51" s="30" t="str">
        <f t="shared" si="2"/>
        <v>Planned</v>
      </c>
      <c r="I51" s="30" t="str">
        <f t="shared" si="2"/>
        <v/>
      </c>
      <c r="J51" s="45"/>
      <c r="K51" s="45"/>
      <c r="L51" s="45"/>
      <c r="M51" s="22"/>
    </row>
    <row r="52" spans="1:13" customFormat="1" x14ac:dyDescent="0.45">
      <c r="A52" s="22"/>
      <c r="B52" s="46" t="s">
        <v>309</v>
      </c>
      <c r="C52" s="45" t="str" cm="1">
        <f t="array" ref="C52:H52">INDEX(
  Assessment!$34:$34,
  1,
  MATCH(MTP_BaseYear,Assessment!$32:$32,0)
    + _xlfn.SEQUENCE(1, COLUMNS(_xlfn.ANCHORARRAY(C50)), 0)
)</f>
        <v/>
      </c>
      <c r="D52" s="45">
        <v>0</v>
      </c>
      <c r="E52" s="45">
        <v>0</v>
      </c>
      <c r="F52" s="45">
        <v>0</v>
      </c>
      <c r="G52" s="47">
        <v>0</v>
      </c>
      <c r="H52" s="45">
        <v>0</v>
      </c>
      <c r="I52" s="45"/>
      <c r="J52" s="64"/>
      <c r="K52" s="64"/>
      <c r="L52" s="64"/>
      <c r="M52" s="22"/>
    </row>
    <row r="53" spans="1:13" customFormat="1" x14ac:dyDescent="0.45">
      <c r="A53" s="22"/>
      <c r="B53" s="135" t="str">
        <f>ScenarioName</f>
        <v>Enter scenario name</v>
      </c>
      <c r="C53" s="64" t="str" cm="1">
        <f t="array" ref="C53:H53">INDEX(
  Assessment!$15:$15,
  1,
  MATCH(MTP_BaseYear,Assessment!$4:$4,0)
    + _xlfn.SEQUENCE(1, COLUMNS(_xlfn.ANCHORARRAY(C50)), 0)
)</f>
        <v/>
      </c>
      <c r="D53" s="64" t="str">
        <v/>
      </c>
      <c r="E53" s="64" t="str">
        <v/>
      </c>
      <c r="F53" s="64" t="str">
        <v/>
      </c>
      <c r="G53" s="64" t="str">
        <v/>
      </c>
      <c r="H53" s="64" t="str">
        <v/>
      </c>
      <c r="I53" s="64"/>
      <c r="J53" s="47"/>
      <c r="K53" s="47"/>
      <c r="L53" s="47"/>
      <c r="M53" s="22"/>
    </row>
    <row r="54" spans="1:13" customFormat="1" x14ac:dyDescent="0.45">
      <c r="A54" s="22"/>
      <c r="B54" s="46" t="s">
        <v>206</v>
      </c>
      <c r="C54" s="45" cm="1">
        <f t="array" ref="C54:H54">INDEX(
  Assessment!$35:$35,
  1,
  MATCH(MTP_BaseYear,Assessment!$32:$32,0)
    + _xlfn.SEQUENCE(1, COLUMNS(_xlfn.ANCHORARRAY(C50)), 0)
)</f>
        <v>0</v>
      </c>
      <c r="D54" s="45">
        <v>0</v>
      </c>
      <c r="E54" s="45">
        <v>0</v>
      </c>
      <c r="F54" s="45">
        <v>0</v>
      </c>
      <c r="G54" s="47">
        <v>0</v>
      </c>
      <c r="H54" s="47">
        <v>0</v>
      </c>
      <c r="I54" s="47"/>
      <c r="J54" s="64"/>
      <c r="K54" s="64"/>
      <c r="L54" s="64"/>
      <c r="M54" s="22"/>
    </row>
    <row r="55" spans="1:13" customFormat="1" x14ac:dyDescent="0.45">
      <c r="A55" s="22"/>
      <c r="B55" s="135" t="str">
        <f>ScenarioName</f>
        <v>Enter scenario name</v>
      </c>
      <c r="C55" s="64" t="str" cm="1">
        <f t="array" ref="C55:H55">INDEX(
  Assessment!$17:$17,
  1,
  MATCH(MTP_BaseYear,Assessment!$4:$4,0)
    + _xlfn.SEQUENCE(1, COLUMNS(_xlfn.ANCHORARRAY(C50)), 0)
)</f>
        <v/>
      </c>
      <c r="D55" s="64" t="str">
        <v/>
      </c>
      <c r="E55" s="64" t="str">
        <v/>
      </c>
      <c r="F55" s="64" t="str">
        <v/>
      </c>
      <c r="G55" s="64" t="str">
        <v/>
      </c>
      <c r="H55" s="64" t="str">
        <v/>
      </c>
      <c r="I55" s="64"/>
      <c r="J55" s="47"/>
      <c r="K55" s="47"/>
      <c r="L55" s="47"/>
      <c r="M55" s="22"/>
    </row>
    <row r="56" spans="1:13" customFormat="1" x14ac:dyDescent="0.45">
      <c r="A56" s="22"/>
      <c r="B56" s="46" t="s">
        <v>0</v>
      </c>
      <c r="C56" s="47" cm="1">
        <f t="array" ref="C56:H56">INDEX(
  Assessment!$36:$36,
  1,
  MATCH(MTP_BaseYear,Assessment!$32:$32,0)
    + _xlfn.SEQUENCE(1, COLUMNS(_xlfn.ANCHORARRAY(C50)), 0)
)</f>
        <v>0</v>
      </c>
      <c r="D56" s="47">
        <v>0</v>
      </c>
      <c r="E56" s="47">
        <v>0</v>
      </c>
      <c r="F56" s="47">
        <v>0</v>
      </c>
      <c r="G56" s="47">
        <v>0</v>
      </c>
      <c r="H56" s="47">
        <v>0</v>
      </c>
      <c r="I56" s="47"/>
      <c r="J56" s="64"/>
      <c r="K56" s="64"/>
      <c r="L56" s="64"/>
      <c r="M56" s="22"/>
    </row>
    <row r="57" spans="1:13" customFormat="1" x14ac:dyDescent="0.45">
      <c r="A57" s="22"/>
      <c r="B57" s="135" t="str">
        <f>ScenarioName</f>
        <v>Enter scenario name</v>
      </c>
      <c r="C57" s="64" cm="1">
        <f t="array" ref="C57:H57">INDEX(
  Assessment!$18:$18,
  1,
  MATCH(MTP_BaseYear,Assessment!$4:$4,0)
    + _xlfn.SEQUENCE(1, COLUMNS(_xlfn.ANCHORARRAY(C50)), 0)
)</f>
        <v>0</v>
      </c>
      <c r="D57" s="64">
        <v>0</v>
      </c>
      <c r="E57" s="64">
        <v>0</v>
      </c>
      <c r="F57" s="64" t="str">
        <v/>
      </c>
      <c r="G57" s="64" t="str">
        <v/>
      </c>
      <c r="H57" s="64" t="str">
        <v/>
      </c>
      <c r="I57" s="64"/>
      <c r="J57" s="47"/>
      <c r="K57" s="47"/>
      <c r="L57" s="47"/>
      <c r="M57" s="22"/>
    </row>
    <row r="58" spans="1:13" customFormat="1" x14ac:dyDescent="0.45">
      <c r="A58" s="22"/>
      <c r="B58" s="46" t="s">
        <v>3</v>
      </c>
      <c r="C58" s="45" cm="1">
        <f t="array" ref="C58:H58">INDEX(
  Assessment!$37:$37,
  1,
  MATCH(MTP_BaseYear,Assessment!$32:$32,0)
    + _xlfn.SEQUENCE(1, COLUMNS(_xlfn.ANCHORARRAY(C50)), 0)
)</f>
        <v>0</v>
      </c>
      <c r="D58" s="45">
        <v>0</v>
      </c>
      <c r="E58" s="45">
        <v>0</v>
      </c>
      <c r="F58" s="45">
        <v>0</v>
      </c>
      <c r="G58" s="47">
        <v>0</v>
      </c>
      <c r="H58" s="47">
        <v>0</v>
      </c>
      <c r="I58" s="47"/>
      <c r="J58" s="64"/>
      <c r="K58" s="64"/>
      <c r="L58" s="64"/>
      <c r="M58" s="22"/>
    </row>
    <row r="59" spans="1:13" customFormat="1" x14ac:dyDescent="0.45">
      <c r="A59" s="22"/>
      <c r="B59" s="135" t="str">
        <f>ScenarioName</f>
        <v>Enter scenario name</v>
      </c>
      <c r="C59" s="64" cm="1">
        <f t="array" ref="C59:H59">INDEX(
  Assessment!$19:$19,
  1,
  MATCH(MTP_BaseYear,Assessment!$4:$4,0)
    + _xlfn.SEQUENCE(1, COLUMNS(_xlfn.ANCHORARRAY(C50)), 0)
)</f>
        <v>0</v>
      </c>
      <c r="D59" s="64">
        <v>0</v>
      </c>
      <c r="E59" s="64">
        <v>0</v>
      </c>
      <c r="F59" s="64" t="str">
        <v/>
      </c>
      <c r="G59" s="64" t="str">
        <v/>
      </c>
      <c r="H59" s="64" t="str">
        <v/>
      </c>
      <c r="I59" s="64"/>
      <c r="J59" s="47"/>
      <c r="K59" s="47"/>
      <c r="L59" s="47"/>
      <c r="M59" s="22"/>
    </row>
    <row r="60" spans="1:13" customFormat="1" x14ac:dyDescent="0.45">
      <c r="A60" s="22"/>
      <c r="B60" s="46" t="s">
        <v>1</v>
      </c>
      <c r="C60" s="45" cm="1">
        <f t="array" ref="C60:H60">INDEX(
  Assessment!$38:$38,
  1,
  MATCH(MTP_BaseYear,Assessment!$32:$32,0)
    + _xlfn.SEQUENCE(1, COLUMNS(_xlfn.ANCHORARRAY(C50)), 0)
)</f>
        <v>0</v>
      </c>
      <c r="D60" s="45">
        <v>0</v>
      </c>
      <c r="E60" s="45">
        <v>0</v>
      </c>
      <c r="F60" s="45">
        <v>0</v>
      </c>
      <c r="G60" s="45">
        <v>0</v>
      </c>
      <c r="H60" s="45">
        <v>0</v>
      </c>
      <c r="I60" s="45"/>
      <c r="J60" s="64"/>
      <c r="K60" s="64"/>
      <c r="L60" s="64"/>
      <c r="M60" s="22"/>
    </row>
    <row r="61" spans="1:13" customFormat="1" x14ac:dyDescent="0.45">
      <c r="A61" s="22"/>
      <c r="B61" s="135" t="str">
        <f>ScenarioName</f>
        <v>Enter scenario name</v>
      </c>
      <c r="C61" s="64" t="str" cm="1">
        <f t="array" ref="C61:H61">INDEX(
  Assessment!$20:$20,
  1,
  MATCH(MTP_BaseYear,Assessment!$4:$4,0)
    + _xlfn.SEQUENCE(1, COLUMNS(_xlfn.ANCHORARRAY(C50)), 0)
)</f>
        <v/>
      </c>
      <c r="D61" s="64" t="str">
        <v/>
      </c>
      <c r="E61" s="64" t="str">
        <v/>
      </c>
      <c r="F61" s="64" t="str">
        <v/>
      </c>
      <c r="G61" s="64" t="str">
        <v/>
      </c>
      <c r="H61" s="64" t="str">
        <v/>
      </c>
      <c r="I61" s="64"/>
      <c r="J61" s="47"/>
      <c r="K61" s="47"/>
      <c r="L61" s="47"/>
      <c r="M61" s="22"/>
    </row>
    <row r="62" spans="1:13" customFormat="1" x14ac:dyDescent="0.45">
      <c r="A62" s="22"/>
      <c r="B62" s="46" t="s">
        <v>2</v>
      </c>
      <c r="C62" s="45" cm="1">
        <f t="array" ref="C62:H62">INDEX(
  Assessment!$39:$39,
  1,
  MATCH(MTP_BaseYear,Assessment!$32:$32,0)
    + _xlfn.SEQUENCE(1, COLUMNS(_xlfn.ANCHORARRAY(C50)), 0)
)</f>
        <v>0</v>
      </c>
      <c r="D62" s="45">
        <v>0</v>
      </c>
      <c r="E62" s="45">
        <v>0</v>
      </c>
      <c r="F62" s="45">
        <v>0</v>
      </c>
      <c r="G62" s="45">
        <v>0</v>
      </c>
      <c r="H62" s="45">
        <v>0</v>
      </c>
      <c r="I62" s="45"/>
      <c r="J62" s="64"/>
      <c r="K62" s="64"/>
      <c r="L62" s="64"/>
      <c r="M62" s="22"/>
    </row>
    <row r="63" spans="1:13" customFormat="1" x14ac:dyDescent="0.45">
      <c r="A63" s="22"/>
      <c r="B63" s="135" t="str">
        <f>ScenarioName</f>
        <v>Enter scenario name</v>
      </c>
      <c r="C63" s="64" t="str" cm="1">
        <f t="array" ref="C63:H63">INDEX(
  Assessment!$21:$21,
  1,
  MATCH(MTP_BaseYear,Assessment!$4:$4,0)
    + _xlfn.SEQUENCE(1, COLUMNS(_xlfn.ANCHORARRAY(C50)), 0)
)</f>
        <v/>
      </c>
      <c r="D63" s="64" t="str">
        <v/>
      </c>
      <c r="E63" s="64" t="str">
        <v/>
      </c>
      <c r="F63" s="64" t="str">
        <v/>
      </c>
      <c r="G63" s="64" t="str">
        <v/>
      </c>
      <c r="H63" s="64" t="str">
        <v/>
      </c>
      <c r="I63" s="64"/>
      <c r="J63" s="47"/>
      <c r="K63" s="47"/>
      <c r="L63" s="47"/>
      <c r="M63" s="22"/>
    </row>
    <row r="64" spans="1:13" customFormat="1" x14ac:dyDescent="0.45">
      <c r="A64" s="22"/>
      <c r="B64" s="31"/>
      <c r="C64" s="22"/>
      <c r="D64" s="22"/>
      <c r="E64" s="22"/>
      <c r="F64" s="22"/>
      <c r="G64" s="22"/>
      <c r="H64" s="22"/>
      <c r="I64" s="22"/>
      <c r="J64" s="107"/>
      <c r="K64" s="107"/>
      <c r="L64" s="107"/>
      <c r="M64" s="22"/>
    </row>
    <row r="65" spans="1:13" customFormat="1" x14ac:dyDescent="0.45">
      <c r="A65" s="22"/>
      <c r="B65" s="170" t="s">
        <v>280</v>
      </c>
      <c r="C65" s="107" cm="1">
        <f t="array" ref="C65:H65">INDEX(
  Assessment!$40:$40,
  1,
  MATCH(MTP_BaseYear,Assessment!$32:$32,0)
    + _xlfn.SEQUENCE(1, COLUMNS(_xlfn.ANCHORARRAY(C50)), 0)
)</f>
        <v>0</v>
      </c>
      <c r="D65" s="107">
        <v>0</v>
      </c>
      <c r="E65" s="107">
        <v>0</v>
      </c>
      <c r="F65" s="107">
        <v>0</v>
      </c>
      <c r="G65" s="107">
        <v>0</v>
      </c>
      <c r="H65" s="107">
        <v>0</v>
      </c>
      <c r="I65" s="107"/>
      <c r="J65" s="108"/>
      <c r="K65" s="108"/>
      <c r="L65" s="108"/>
      <c r="M65" s="22"/>
    </row>
    <row r="66" spans="1:13" customFormat="1" x14ac:dyDescent="0.45">
      <c r="A66" s="22"/>
      <c r="B66" s="171" t="str">
        <f>ScenarioName</f>
        <v>Enter scenario name</v>
      </c>
      <c r="C66" s="108" t="str" cm="1">
        <f t="array" ref="C66:H66">INDEX(
  Assessment!$22:$22,
  1,
  MATCH(MTP_BaseYear,Assessment!$4:$4,0)
    + _xlfn.SEQUENCE(1, COLUMNS(_xlfn.ANCHORARRAY(C50)), 0)
)</f>
        <v/>
      </c>
      <c r="D66" s="64" t="str">
        <v/>
      </c>
      <c r="E66" s="64" t="str">
        <v/>
      </c>
      <c r="F66" s="64" t="str">
        <v/>
      </c>
      <c r="G66" s="64" t="str">
        <v/>
      </c>
      <c r="H66" s="64" t="str">
        <v/>
      </c>
      <c r="I66" s="64"/>
      <c r="J66" s="47"/>
      <c r="K66" s="47"/>
      <c r="L66" s="47"/>
      <c r="M66" s="22"/>
    </row>
    <row r="67" spans="1:13" customFormat="1" x14ac:dyDescent="0.45">
      <c r="A67" s="22"/>
      <c r="B67" s="170" t="s">
        <v>281</v>
      </c>
      <c r="C67" s="107" cm="1">
        <f t="array" ref="C67:H67">INDEX(
  Assessment!$41:$41,
  1,
  MATCH(MTP_BaseYear,Assessment!$32:$32,0)
    + _xlfn.SEQUENCE(1, COLUMNS(_xlfn.ANCHORARRAY(C50)), 0)
)</f>
        <v>0</v>
      </c>
      <c r="D67" s="107">
        <v>0</v>
      </c>
      <c r="E67" s="107">
        <v>0</v>
      </c>
      <c r="F67" s="107">
        <v>0</v>
      </c>
      <c r="G67" s="107">
        <v>0</v>
      </c>
      <c r="H67" s="107">
        <v>0</v>
      </c>
      <c r="I67" s="107"/>
    </row>
    <row r="68" spans="1:13" customFormat="1" x14ac:dyDescent="0.45">
      <c r="A68" s="22"/>
      <c r="B68" s="171" t="str">
        <f>ScenarioName</f>
        <v>Enter scenario name</v>
      </c>
      <c r="C68" s="108" t="str" cm="1">
        <f t="array" ref="C68:H68">INDEX(
  Assessment!$23:$23,
  1,
  MATCH(MTP_BaseYear,Assessment!$4:$4,0)
    + _xlfn.SEQUENCE(1, COLUMNS(_xlfn.ANCHORARRAY(C50)), 0)
)</f>
        <v/>
      </c>
      <c r="D68" s="64" t="str">
        <v/>
      </c>
      <c r="E68" s="64" t="str">
        <v/>
      </c>
      <c r="F68" s="64" t="str">
        <v/>
      </c>
      <c r="G68" s="64" t="str">
        <v/>
      </c>
      <c r="H68" s="64" t="str">
        <v/>
      </c>
      <c r="I68" s="64"/>
    </row>
    <row r="69" spans="1:13" customFormat="1" ht="19.149999999999999" customHeight="1" x14ac:dyDescent="0.45">
      <c r="A69" s="22"/>
      <c r="B69" s="170" t="s">
        <v>282</v>
      </c>
      <c r="C69" s="107" cm="1">
        <f t="array" ref="C69:H69">INDEX(
  Assessment!$42:$42,
  1,
  MATCH(MTP_BaseYear,Assessment!$32:$32,0)
    + _xlfn.SEQUENCE(1, COLUMNS(_xlfn.ANCHORARRAY(C50)), 0)
)</f>
        <v>0</v>
      </c>
      <c r="D69" s="107">
        <v>0</v>
      </c>
      <c r="E69" s="107">
        <v>0</v>
      </c>
      <c r="F69" s="107">
        <v>0</v>
      </c>
      <c r="G69" s="107">
        <v>0</v>
      </c>
      <c r="H69" s="107">
        <v>0</v>
      </c>
      <c r="I69" s="107"/>
    </row>
    <row r="70" spans="1:13" x14ac:dyDescent="0.45">
      <c r="B70" s="171" t="str">
        <f>ScenarioName</f>
        <v>Enter scenario name</v>
      </c>
      <c r="C70" s="108" t="str" cm="1">
        <f t="array" ref="C70:H70">INDEX(
  Assessment!$24:$24,
  1,
  MATCH(MTP_BaseYear,Assessment!$4:$4,0)
    + _xlfn.SEQUENCE(1, COLUMNS(_xlfn.ANCHORARRAY(C50)), 0)
)</f>
        <v/>
      </c>
      <c r="D70" s="64" t="str">
        <v/>
      </c>
      <c r="E70" s="64" t="str">
        <v/>
      </c>
      <c r="F70" s="64" t="str">
        <v/>
      </c>
      <c r="G70" s="64" t="str">
        <v/>
      </c>
      <c r="H70" s="64" t="str">
        <v/>
      </c>
      <c r="I70" s="64"/>
    </row>
    <row r="71" spans="1:13" x14ac:dyDescent="0.45">
      <c r="B71" s="170" t="s">
        <v>275</v>
      </c>
      <c r="C71" s="107" cm="1">
        <f t="array" ref="C71:H71">INDEX(
  Assessment!$43:$43,
  1,
  MATCH(MTP_BaseYear,Assessment!$32:$32,0)
    + _xlfn.SEQUENCE(1, COLUMNS(_xlfn.ANCHORARRAY(C50)), 0)
)</f>
        <v>0</v>
      </c>
      <c r="D71" s="107">
        <v>0</v>
      </c>
      <c r="E71" s="107">
        <v>0</v>
      </c>
      <c r="F71" s="107">
        <v>0</v>
      </c>
      <c r="G71" s="107">
        <v>0</v>
      </c>
      <c r="H71" s="107">
        <v>0</v>
      </c>
      <c r="I71" s="107"/>
    </row>
    <row r="72" spans="1:13" x14ac:dyDescent="0.45">
      <c r="B72" s="171" t="str">
        <f>ScenarioName</f>
        <v>Enter scenario name</v>
      </c>
      <c r="C72" s="108" t="str" cm="1">
        <f t="array" ref="C72:H72">INDEX(
  Assessment!$25:$25,
  1,
  MATCH(MTP_BaseYear,Assessment!$4:$4,0)
    + _xlfn.SEQUENCE(1, COLUMNS(_xlfn.ANCHORARRAY(C50)), 0)
)</f>
        <v/>
      </c>
      <c r="D72" s="64" t="str">
        <v/>
      </c>
      <c r="E72" s="64" t="str">
        <v/>
      </c>
      <c r="F72" s="64" t="str">
        <v/>
      </c>
      <c r="G72" s="64" t="str">
        <v/>
      </c>
      <c r="H72" s="64" t="str">
        <v/>
      </c>
      <c r="I72" s="64"/>
    </row>
    <row r="73" spans="1:13" x14ac:dyDescent="0.45">
      <c r="B73" s="170" t="s">
        <v>272</v>
      </c>
      <c r="C73" s="107" cm="1">
        <f t="array" ref="C73:H73">INDEX(
  Assessment!$44:$44,
  1,
  MATCH(MTP_BaseYear,Assessment!$32:$32,0)
    + _xlfn.SEQUENCE(1, COLUMNS(_xlfn.ANCHORARRAY(C50)), 0)
)</f>
        <v>0</v>
      </c>
      <c r="D73" s="107">
        <v>0</v>
      </c>
      <c r="E73" s="107">
        <v>0</v>
      </c>
      <c r="F73" s="107">
        <v>0</v>
      </c>
      <c r="G73" s="107">
        <v>0</v>
      </c>
      <c r="H73" s="107">
        <v>0</v>
      </c>
      <c r="I73" s="107"/>
    </row>
    <row r="74" spans="1:13" x14ac:dyDescent="0.45">
      <c r="B74" s="172" t="str">
        <f>ScenarioName</f>
        <v>Enter scenario name</v>
      </c>
      <c r="C74" s="109" t="str" cm="1">
        <f t="array" ref="C74:H74">INDEX(
  Assessment!$26:$26,
  1,
  MATCH(MTP_BaseYear,Assessment!$4:$4,0)
    + _xlfn.SEQUENCE(1, COLUMNS(_xlfn.ANCHORARRAY(C50)), 0)
)</f>
        <v/>
      </c>
      <c r="D74" s="109" t="str">
        <v/>
      </c>
      <c r="E74" s="109" t="str">
        <v/>
      </c>
      <c r="F74" s="109" t="str">
        <v/>
      </c>
      <c r="G74" s="109" t="str">
        <v/>
      </c>
      <c r="H74" s="109" t="str">
        <v/>
      </c>
      <c r="I74" s="108"/>
    </row>
    <row r="75" spans="1:13" x14ac:dyDescent="0.45">
      <c r="B75" s="153" t="str">
        <f>"Numbers in green indicate "&amp;ScenarioName&amp;" is outperforming the medium-term plan"</f>
        <v>Numbers in green indicate Enter scenario name is outperforming the medium-term plan</v>
      </c>
      <c r="C75" s="108"/>
      <c r="D75" s="108"/>
      <c r="E75" s="108"/>
      <c r="F75" s="108"/>
      <c r="G75" s="108"/>
      <c r="H75" s="108"/>
      <c r="I75"/>
    </row>
    <row r="76" spans="1:13" x14ac:dyDescent="0.45">
      <c r="B76" s="152" t="str">
        <f>"Numbers in red indicate "&amp;ScenarioName&amp;" is underperforming the medium-term plan"</f>
        <v>Numbers in red indicate Enter scenario name is underperforming the medium-term plan</v>
      </c>
      <c r="C76" s="108"/>
      <c r="D76" s="108"/>
      <c r="E76" s="108"/>
      <c r="F76" s="108"/>
      <c r="G76" s="108"/>
      <c r="H76" s="108"/>
      <c r="I76"/>
    </row>
    <row r="77" spans="1:13" x14ac:dyDescent="0.45">
      <c r="B77" s="154" t="str">
        <f>"Numbers in amber indicate "&amp;ScenarioName&amp;" is underperforming the medium-term plan but an escape clause is in place"</f>
        <v>Numbers in amber indicate Enter scenario name is underperforming the medium-term plan but an escape clause is in place</v>
      </c>
      <c r="C77"/>
      <c r="D77"/>
      <c r="E77"/>
      <c r="F77"/>
      <c r="G77"/>
      <c r="H77"/>
      <c r="I77"/>
    </row>
  </sheetData>
  <conditionalFormatting sqref="K18:K19">
    <cfRule type="expression" dxfId="158" priority="127">
      <formula>K18&gt;#REF!</formula>
    </cfRule>
    <cfRule type="expression" dxfId="157" priority="128">
      <formula>K18&lt;=#REF!</formula>
    </cfRule>
  </conditionalFormatting>
  <conditionalFormatting sqref="C49:H51 I51 D18:I21">
    <cfRule type="expression" dxfId="156" priority="120">
      <formula>C18&lt;&gt;""</formula>
    </cfRule>
  </conditionalFormatting>
  <conditionalFormatting sqref="C75:H77 M20 L18:N19 L20:L21">
    <cfRule type="expression" dxfId="155" priority="144">
      <formula>ROUND(#REF!,1)&gt;ROUND(C18,1)</formula>
    </cfRule>
    <cfRule type="expression" dxfId="154" priority="145">
      <formula>ROUND(#REF!,1)&lt;=ROUND(C18,1)</formula>
    </cfRule>
  </conditionalFormatting>
  <conditionalFormatting sqref="C10:C14">
    <cfRule type="expression" dxfId="153" priority="59">
      <formula>D10="At risk"</formula>
    </cfRule>
    <cfRule type="expression" dxfId="152" priority="60">
      <formula>D10="Breach"</formula>
    </cfRule>
    <cfRule type="expression" dxfId="151" priority="61">
      <formula>D10="Compliant"</formula>
    </cfRule>
    <cfRule type="expression" dxfId="150" priority="62">
      <formula>AND(D10&lt;&gt;"Compliant", D10&lt;&gt;"Caution", D10&lt;&gt;"Breach")</formula>
    </cfRule>
  </conditionalFormatting>
  <conditionalFormatting sqref="I49:I50">
    <cfRule type="expression" dxfId="149" priority="58">
      <formula>I49&lt;&gt;""</formula>
    </cfRule>
  </conditionalFormatting>
  <conditionalFormatting sqref="D53:L53 D61:L61 D63:L63 D68:I68">
    <cfRule type="expression" dxfId="148" priority="50">
      <formula>ROUND(D52,1)&gt;=ROUND(D53,1)</formula>
    </cfRule>
  </conditionalFormatting>
  <conditionalFormatting sqref="D55:L55 D57:L57 D59:L59 D66:L66 D70:I70 D72:I72">
    <cfRule type="expression" dxfId="147" priority="47">
      <formula>ROUND(D54,1)&lt;=ROUND(D55,1)</formula>
    </cfRule>
  </conditionalFormatting>
  <conditionalFormatting sqref="D74:I74">
    <cfRule type="expression" dxfId="146" priority="2">
      <formula>ROUND(D73,1)&lt;=ROUND(D74,1)</formula>
    </cfRule>
  </conditionalFormatting>
  <conditionalFormatting sqref="B15:BB15">
    <cfRule type="expression" dxfId="145" priority="851">
      <formula>$D$15="Compliant"</formula>
    </cfRule>
    <cfRule type="expression" dxfId="144" priority="852">
      <formula>$D$15="Caution"</formula>
    </cfRule>
    <cfRule type="expression" dxfId="143" priority="853">
      <formula>$D$15="Breach"</formula>
    </cfRule>
    <cfRule type="expression" dxfId="142" priority="854">
      <formula>$D$15="N/A"</formula>
    </cfRule>
  </conditionalFormatting>
  <conditionalFormatting sqref="I48">
    <cfRule type="expression" dxfId="141" priority="859">
      <formula>ROUND(#REF!,1)&lt;ROUND(I48,1)</formula>
    </cfRule>
    <cfRule type="expression" dxfId="140" priority="860">
      <formula>ROUND(#REF!,1)&gt;=ROUND(I48,1)</formula>
    </cfRule>
  </conditionalFormatting>
  <conditionalFormatting sqref="D18:I21">
    <cfRule type="expression" dxfId="139" priority="998">
      <formula>D$21&lt;&gt;""</formula>
    </cfRule>
  </conditionalFormatting>
  <conditionalFormatting sqref="D45:J45">
    <cfRule type="expression" dxfId="138" priority="1">
      <formula>ISNUMBER(D$21)</formula>
    </cfRule>
  </conditionalFormatting>
  <conditionalFormatting sqref="I74">
    <cfRule type="expression" dxfId="137" priority="1023">
      <formula>ISNUMBER(I$50)</formula>
    </cfRule>
  </conditionalFormatting>
  <pageMargins left="0.23622047244094491" right="0.23622047244094491" top="0" bottom="0" header="0.31496062992125984" footer="0.31496062992125984"/>
  <pageSetup paperSize="9" scale="45" fitToHeight="0"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51" id="{D895BA0B-C90F-449F-BE88-F0B0E0478CB1}">
            <xm:f>AND(ROUND(D52,1)&lt;ROUND(D53,1),'Step 1 - Set global parameters'!B$21=TRUE)</xm:f>
            <x14:dxf>
              <font>
                <strike val="0"/>
                <color theme="7" tint="-0.24994659260841701"/>
              </font>
            </x14:dxf>
          </x14:cfRule>
          <x14:cfRule type="expression" priority="52" id="{99C27ECD-2434-4CC7-A87E-74BB134CC6F5}">
            <xm:f>AND(ROUND(D52,1)&lt;ROUND(D53,1),'Step 1 - Set global parameters'!B$21=FALSE)</xm:f>
            <x14:dxf>
              <font>
                <strike val="0"/>
                <color rgb="FFC00000"/>
              </font>
            </x14:dxf>
          </x14:cfRule>
          <xm:sqref>D53:L53 D68:I68 D61:L61 D63:L63</xm:sqref>
        </x14:conditionalFormatting>
        <x14:conditionalFormatting xmlns:xm="http://schemas.microsoft.com/office/excel/2006/main">
          <x14:cfRule type="expression" priority="48" id="{7FEDD692-BADA-4C05-B9E9-6CFFAF3EED47}">
            <xm:f>AND(ROUND(D54,1)&gt;ROUND(D55,1),'Step 1 - Set global parameters'!B$21=TRUE)</xm:f>
            <x14:dxf>
              <font>
                <strike val="0"/>
                <color theme="7" tint="-0.24994659260841701"/>
              </font>
            </x14:dxf>
          </x14:cfRule>
          <x14:cfRule type="expression" priority="49" id="{ABC8EC5E-D081-4FDB-A0EB-3B863F1C4B09}">
            <xm:f>AND(ROUND(D54,1)&gt;ROUND(D55,1),'Step 1 - Set global parameters'!B$21=FALSE)</xm:f>
            <x14:dxf>
              <font>
                <strike val="0"/>
                <color rgb="FFC00000"/>
              </font>
            </x14:dxf>
          </x14:cfRule>
          <xm:sqref>D55:L55 D57:L57 D59:L59 D66:L66 D70:I70 D72:I72</xm:sqref>
        </x14:conditionalFormatting>
        <x14:conditionalFormatting xmlns:xm="http://schemas.microsoft.com/office/excel/2006/main">
          <x14:cfRule type="expression" priority="3" id="{CA0F55F7-2D52-4917-BC86-CC04D630406C}">
            <xm:f>AND(ROUND(D73,1)&gt;ROUND(D74,1),'Step 1 - Set global parameters'!B$21=FALSE)</xm:f>
            <x14:dxf>
              <font>
                <color rgb="FFC00000"/>
              </font>
            </x14:dxf>
          </x14:cfRule>
          <x14:cfRule type="expression" priority="4" id="{C7061373-A33E-4425-9F49-D651E91E2586}">
            <xm:f>AND(ROUND(D73,1)&gt;ROUND(D74,1),'Step 1 - Set global parameters'!B$21=TRUE)</xm:f>
            <x14:dxf>
              <font>
                <color theme="7" tint="-0.24994659260841701"/>
              </font>
            </x14:dxf>
          </x14:cfRule>
          <xm:sqref>D74:I74</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F6953937-DA62-4701-B0F6-127AFCAF9248}">
          <x14:formula1>
            <xm:f>Validation!$H$3:$H$4</xm:f>
          </x14:formula1>
          <xm:sqref>AV7</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8C7655-E13B-4EFE-AFB4-C559D76BC88E}">
  <sheetPr codeName="Sheet7">
    <tabColor theme="8" tint="-0.249977111117893"/>
  </sheetPr>
  <dimension ref="A1:AE228"/>
  <sheetViews>
    <sheetView showGridLines="0" zoomScaleNormal="100" workbookViewId="0"/>
  </sheetViews>
  <sheetFormatPr defaultRowHeight="13.15" x14ac:dyDescent="0.4"/>
  <cols>
    <col min="1" max="1" width="5.140625" customWidth="1"/>
    <col min="2" max="2" width="67.140625" customWidth="1"/>
    <col min="3" max="3" width="12.85546875" bestFit="1" customWidth="1"/>
    <col min="27" max="27" width="53.85546875" customWidth="1"/>
    <col min="28" max="28" width="16.28515625" customWidth="1"/>
    <col min="30" max="30" width="62.140625" bestFit="1" customWidth="1"/>
    <col min="31" max="31" width="16.7109375" bestFit="1" customWidth="1"/>
  </cols>
  <sheetData>
    <row r="1" spans="2:31" ht="23.25" x14ac:dyDescent="0.7">
      <c r="B1" s="13" t="s">
        <v>706</v>
      </c>
      <c r="C1" s="14"/>
    </row>
    <row r="2" spans="2:31" ht="28.5" customHeight="1" x14ac:dyDescent="0.55000000000000004">
      <c r="B2" s="50" t="s">
        <v>312</v>
      </c>
      <c r="C2" s="14"/>
      <c r="AA2" s="79" t="s">
        <v>869</v>
      </c>
      <c r="AB2" s="7"/>
      <c r="AD2" s="79" t="s">
        <v>870</v>
      </c>
    </row>
    <row r="3" spans="2:31" ht="13.5" customHeight="1" x14ac:dyDescent="0.5">
      <c r="B3" s="79" t="s">
        <v>310</v>
      </c>
      <c r="C3" s="14"/>
      <c r="D3" s="44"/>
      <c r="E3" s="44"/>
      <c r="F3" s="44"/>
      <c r="G3" s="44"/>
      <c r="H3" s="44"/>
      <c r="I3" s="44"/>
      <c r="J3" s="44"/>
      <c r="K3" s="44"/>
      <c r="L3" s="44"/>
      <c r="M3" s="44"/>
      <c r="N3" s="44"/>
      <c r="S3" s="44"/>
      <c r="T3" s="44"/>
      <c r="AA3" t="s">
        <v>810</v>
      </c>
      <c r="AB3" s="179" t="s">
        <v>812</v>
      </c>
      <c r="AD3" s="14" t="s">
        <v>872</v>
      </c>
      <c r="AE3" s="179" t="s">
        <v>873</v>
      </c>
    </row>
    <row r="4" spans="2:31" ht="13.5" customHeight="1" x14ac:dyDescent="0.4">
      <c r="B4" s="39" t="s">
        <v>251</v>
      </c>
      <c r="C4" s="94"/>
      <c r="D4" s="44" cm="1">
        <f t="array" ref="D4:I4">_xlfn.SEQUENCE(1, MTP_EndYear-MTP_PlanFirstYear+1, MTP_PlanFirstYear)</f>
        <v>2023</v>
      </c>
      <c r="E4" s="44">
        <v>2024</v>
      </c>
      <c r="F4" s="44">
        <v>2025</v>
      </c>
      <c r="G4" s="44">
        <v>2026</v>
      </c>
      <c r="H4" s="44">
        <v>2027</v>
      </c>
      <c r="I4" s="44">
        <v>2028</v>
      </c>
      <c r="J4" s="44"/>
      <c r="K4" s="44"/>
      <c r="L4" s="44"/>
      <c r="M4" s="44"/>
      <c r="N4" s="44"/>
      <c r="S4" s="44"/>
      <c r="T4" s="44"/>
      <c r="AA4" t="s">
        <v>811</v>
      </c>
      <c r="AB4" s="179" t="s">
        <v>812</v>
      </c>
      <c r="AD4" s="14" t="s">
        <v>874</v>
      </c>
      <c r="AE4" s="179" t="s">
        <v>875</v>
      </c>
    </row>
    <row r="5" spans="2:31" ht="13.5" customHeight="1" x14ac:dyDescent="0.4">
      <c r="B5" s="41" t="s">
        <v>274</v>
      </c>
      <c r="C5" s="19"/>
      <c r="D5" s="47" t="str" cm="1">
        <f t="array" ref="D5:I5">_xlfn.LET(
  _xlpm.n, _xlfn.SEQUENCE(1, MTP_EndYear - MTP_PlanFirstYear + 1, MTP_PlanFirstYear - MTP_YearT),
  CHOOSE(SIGN(_xlpm.n) + 2, "T" &amp; _xlpm.n, "T", "T+" &amp; _xlpm.n)
)</f>
        <v>T-1</v>
      </c>
      <c r="E5" s="47" t="str">
        <v>T</v>
      </c>
      <c r="F5" s="47" t="str">
        <v>T+1</v>
      </c>
      <c r="G5" s="47" t="str">
        <v>T+2</v>
      </c>
      <c r="H5" s="47" t="str">
        <v>T+3</v>
      </c>
      <c r="I5" s="47" t="str">
        <v>T+4</v>
      </c>
      <c r="J5" s="47"/>
      <c r="K5" s="47"/>
      <c r="L5" s="47"/>
      <c r="M5" s="47"/>
      <c r="N5" s="47"/>
      <c r="S5" s="44"/>
      <c r="T5" s="44"/>
      <c r="AA5" t="s">
        <v>864</v>
      </c>
      <c r="AB5" s="179" t="s">
        <v>884</v>
      </c>
      <c r="AD5" t="s">
        <v>876</v>
      </c>
      <c r="AE5" s="179">
        <v>4</v>
      </c>
    </row>
    <row r="6" spans="2:31" ht="13.5" customHeight="1" x14ac:dyDescent="0.4">
      <c r="B6" s="44" t="str">
        <f>"Planned path for net expenditure growth in MTP"&amp;IF(MTP_Council_Endorsed," (endorsed by Council)"," (not yet endorsed by Council)")</f>
        <v>Planned path for net expenditure growth in MTP (endorsed by Council)</v>
      </c>
      <c r="C6" s="44" t="s">
        <v>634</v>
      </c>
      <c r="D6" s="37" t="s">
        <v>698</v>
      </c>
      <c r="E6" s="164">
        <f>F103</f>
        <v>0</v>
      </c>
      <c r="F6" s="164">
        <f t="shared" ref="F6:I6" si="0">G103</f>
        <v>0</v>
      </c>
      <c r="G6" s="164">
        <f t="shared" si="0"/>
        <v>0</v>
      </c>
      <c r="H6" s="164">
        <f t="shared" si="0"/>
        <v>0</v>
      </c>
      <c r="I6" s="164">
        <f t="shared" si="0"/>
        <v>0</v>
      </c>
      <c r="J6" s="37" t="s">
        <v>698</v>
      </c>
      <c r="K6" s="37"/>
      <c r="L6" s="37"/>
      <c r="M6" s="37"/>
      <c r="N6" s="37"/>
      <c r="O6" s="37"/>
      <c r="S6" s="37"/>
      <c r="T6" s="37"/>
      <c r="U6" s="37"/>
      <c r="V6" s="44"/>
      <c r="W6" s="44"/>
      <c r="AA6" t="s">
        <v>804</v>
      </c>
      <c r="AB6" s="179" t="s">
        <v>807</v>
      </c>
      <c r="AD6" t="s">
        <v>885</v>
      </c>
      <c r="AE6" s="179">
        <v>22</v>
      </c>
    </row>
    <row r="7" spans="2:31" ht="13.5" customHeight="1" x14ac:dyDescent="0.4">
      <c r="B7" s="55" t="s">
        <v>206</v>
      </c>
      <c r="C7" s="44"/>
      <c r="D7" s="165">
        <f>E105</f>
        <v>0</v>
      </c>
      <c r="E7" s="165">
        <f t="shared" ref="E7:I7" si="1">F105</f>
        <v>0</v>
      </c>
      <c r="F7" s="165">
        <f t="shared" si="1"/>
        <v>0</v>
      </c>
      <c r="G7" s="165">
        <f t="shared" si="1"/>
        <v>0</v>
      </c>
      <c r="H7" s="165">
        <f t="shared" si="1"/>
        <v>0</v>
      </c>
      <c r="I7" s="165">
        <f t="shared" si="1"/>
        <v>0</v>
      </c>
      <c r="J7" s="165" t="s">
        <v>698</v>
      </c>
      <c r="K7" s="165"/>
      <c r="L7" s="165"/>
      <c r="M7" s="165"/>
      <c r="N7" s="165"/>
      <c r="O7" s="165"/>
      <c r="P7" s="165"/>
      <c r="Q7" s="165"/>
      <c r="R7" s="165"/>
      <c r="S7" s="165"/>
      <c r="T7" s="165"/>
      <c r="U7" s="165"/>
      <c r="V7" s="58"/>
      <c r="W7" s="58"/>
      <c r="AA7" t="s">
        <v>868</v>
      </c>
      <c r="AB7" s="179" t="s">
        <v>806</v>
      </c>
      <c r="AD7" t="s">
        <v>877</v>
      </c>
      <c r="AE7" s="179">
        <v>40</v>
      </c>
    </row>
    <row r="8" spans="2:31" ht="13.5" customHeight="1" x14ac:dyDescent="0.4">
      <c r="B8" s="55" t="s">
        <v>0</v>
      </c>
      <c r="C8" s="44"/>
      <c r="D8" s="165">
        <f>E108</f>
        <v>0</v>
      </c>
      <c r="E8" s="165">
        <f t="shared" ref="E8:I8" si="2">F108</f>
        <v>0</v>
      </c>
      <c r="F8" s="165">
        <f t="shared" si="2"/>
        <v>0</v>
      </c>
      <c r="G8" s="165">
        <f t="shared" si="2"/>
        <v>0</v>
      </c>
      <c r="H8" s="165">
        <f t="shared" si="2"/>
        <v>0</v>
      </c>
      <c r="I8" s="165">
        <f t="shared" si="2"/>
        <v>0</v>
      </c>
      <c r="J8" s="165" t="s">
        <v>698</v>
      </c>
      <c r="K8" s="165"/>
      <c r="L8" s="165"/>
      <c r="M8" s="165"/>
      <c r="N8" s="165"/>
      <c r="O8" s="165"/>
      <c r="P8" s="165"/>
      <c r="Q8" s="165"/>
      <c r="R8" s="165"/>
      <c r="S8" s="165"/>
      <c r="T8" s="165"/>
      <c r="U8" s="165"/>
      <c r="V8" s="58"/>
      <c r="W8" s="58"/>
      <c r="AA8" t="s">
        <v>809</v>
      </c>
      <c r="AB8" s="179">
        <v>2</v>
      </c>
      <c r="AD8" t="s">
        <v>878</v>
      </c>
      <c r="AE8" s="179" t="s">
        <v>871</v>
      </c>
    </row>
    <row r="9" spans="2:31" ht="13.5" customHeight="1" x14ac:dyDescent="0.4">
      <c r="B9" s="55" t="s">
        <v>3</v>
      </c>
      <c r="C9" s="44"/>
      <c r="D9" s="165">
        <f>E109</f>
        <v>0</v>
      </c>
      <c r="E9" s="165">
        <f t="shared" ref="E9:I9" si="3">F109</f>
        <v>0</v>
      </c>
      <c r="F9" s="165">
        <f t="shared" si="3"/>
        <v>0</v>
      </c>
      <c r="G9" s="165">
        <f t="shared" si="3"/>
        <v>0</v>
      </c>
      <c r="H9" s="165">
        <f t="shared" si="3"/>
        <v>0</v>
      </c>
      <c r="I9" s="165">
        <f t="shared" si="3"/>
        <v>0</v>
      </c>
      <c r="J9" s="165" t="s">
        <v>698</v>
      </c>
      <c r="K9" s="165"/>
      <c r="L9" s="165"/>
      <c r="M9" s="165"/>
      <c r="N9" s="165"/>
      <c r="O9" s="165"/>
      <c r="P9" s="165"/>
      <c r="Q9" s="165"/>
      <c r="R9" s="165"/>
      <c r="S9" s="165"/>
      <c r="T9" s="165"/>
      <c r="U9" s="165"/>
      <c r="V9" s="58"/>
      <c r="W9" s="58"/>
      <c r="AA9" t="s">
        <v>808</v>
      </c>
      <c r="AB9" s="179">
        <v>60</v>
      </c>
      <c r="AC9" s="44"/>
      <c r="AD9" t="s">
        <v>879</v>
      </c>
      <c r="AE9" s="179">
        <v>56</v>
      </c>
    </row>
    <row r="10" spans="2:31" ht="13.5" customHeight="1" x14ac:dyDescent="0.4">
      <c r="B10" s="55" t="s">
        <v>1</v>
      </c>
      <c r="C10" s="44"/>
      <c r="D10" s="165">
        <f>E111</f>
        <v>0</v>
      </c>
      <c r="E10" s="165">
        <f t="shared" ref="E10:I10" si="4">F111</f>
        <v>0</v>
      </c>
      <c r="F10" s="165">
        <f t="shared" si="4"/>
        <v>0</v>
      </c>
      <c r="G10" s="165">
        <f t="shared" si="4"/>
        <v>0</v>
      </c>
      <c r="H10" s="165">
        <f t="shared" si="4"/>
        <v>0</v>
      </c>
      <c r="I10" s="165">
        <f t="shared" si="4"/>
        <v>0</v>
      </c>
      <c r="J10" s="165" t="s">
        <v>698</v>
      </c>
      <c r="K10" s="165"/>
      <c r="L10" s="165"/>
      <c r="M10" s="165"/>
      <c r="N10" s="165"/>
      <c r="O10" s="165"/>
      <c r="P10" s="165"/>
      <c r="Q10" s="165"/>
      <c r="R10" s="165"/>
      <c r="S10" s="165"/>
      <c r="T10" s="165"/>
      <c r="U10" s="165"/>
      <c r="V10" s="58"/>
      <c r="W10" s="58"/>
      <c r="AA10" t="s">
        <v>865</v>
      </c>
      <c r="AB10" s="179">
        <v>2</v>
      </c>
      <c r="AC10" s="44"/>
      <c r="AD10" t="s">
        <v>883</v>
      </c>
      <c r="AE10" s="179">
        <v>79</v>
      </c>
    </row>
    <row r="11" spans="2:31" x14ac:dyDescent="0.4">
      <c r="B11" s="55" t="s">
        <v>2</v>
      </c>
      <c r="C11" s="44"/>
      <c r="D11" s="165">
        <f>E112</f>
        <v>0</v>
      </c>
      <c r="E11" s="165">
        <f t="shared" ref="E11:I11" si="5">F112</f>
        <v>0</v>
      </c>
      <c r="F11" s="165">
        <f t="shared" si="5"/>
        <v>0</v>
      </c>
      <c r="G11" s="165">
        <f t="shared" si="5"/>
        <v>0</v>
      </c>
      <c r="H11" s="165">
        <f t="shared" si="5"/>
        <v>0</v>
      </c>
      <c r="I11" s="165">
        <f t="shared" si="5"/>
        <v>0</v>
      </c>
      <c r="J11" s="165" t="s">
        <v>698</v>
      </c>
      <c r="K11" s="165"/>
      <c r="L11" s="165"/>
      <c r="M11" s="165"/>
      <c r="N11" s="165"/>
      <c r="O11" s="165"/>
      <c r="P11" s="165"/>
      <c r="Q11" s="165"/>
      <c r="R11" s="165"/>
      <c r="S11" s="165"/>
      <c r="T11" s="165"/>
      <c r="U11" s="165"/>
      <c r="V11" s="58"/>
      <c r="W11" s="58"/>
      <c r="AA11" t="s">
        <v>886</v>
      </c>
      <c r="AB11" s="179">
        <v>19</v>
      </c>
      <c r="AC11" s="44"/>
      <c r="AD11" t="s">
        <v>880</v>
      </c>
      <c r="AE11" s="179" t="s">
        <v>881</v>
      </c>
    </row>
    <row r="12" spans="2:31" x14ac:dyDescent="0.4">
      <c r="B12" s="55" t="s">
        <v>7</v>
      </c>
      <c r="C12" s="44" t="s">
        <v>633</v>
      </c>
      <c r="D12" s="165">
        <f>E130</f>
        <v>0</v>
      </c>
      <c r="E12" s="165">
        <f t="shared" ref="E12:I12" si="6">F130</f>
        <v>0</v>
      </c>
      <c r="F12" s="165">
        <f t="shared" si="6"/>
        <v>0</v>
      </c>
      <c r="G12" s="165">
        <f t="shared" si="6"/>
        <v>0</v>
      </c>
      <c r="H12" s="165">
        <f t="shared" si="6"/>
        <v>0</v>
      </c>
      <c r="I12" s="165">
        <f t="shared" si="6"/>
        <v>0</v>
      </c>
      <c r="J12" s="165" t="s">
        <v>698</v>
      </c>
      <c r="K12" s="165"/>
      <c r="L12" s="165"/>
      <c r="M12" s="165"/>
      <c r="N12" s="165"/>
      <c r="O12" s="165"/>
      <c r="P12" s="165"/>
      <c r="Q12" s="165"/>
      <c r="R12" s="165"/>
      <c r="S12" s="165"/>
      <c r="T12" s="165"/>
      <c r="U12" s="165"/>
      <c r="V12" s="58"/>
      <c r="W12" s="58"/>
      <c r="AA12" t="s">
        <v>867</v>
      </c>
      <c r="AB12" s="179">
        <v>36</v>
      </c>
      <c r="AD12" t="s">
        <v>882</v>
      </c>
      <c r="AE12" s="179">
        <v>21</v>
      </c>
    </row>
    <row r="13" spans="2:31" x14ac:dyDescent="0.4">
      <c r="B13" s="55" t="s">
        <v>8</v>
      </c>
      <c r="C13" s="44" t="s">
        <v>633</v>
      </c>
      <c r="D13" s="165">
        <f>E131</f>
        <v>0</v>
      </c>
      <c r="E13" s="165">
        <f t="shared" ref="E13:I13" si="7">F131</f>
        <v>0</v>
      </c>
      <c r="F13" s="165">
        <f t="shared" si="7"/>
        <v>0</v>
      </c>
      <c r="G13" s="165">
        <f t="shared" si="7"/>
        <v>0</v>
      </c>
      <c r="H13" s="165">
        <f t="shared" si="7"/>
        <v>0</v>
      </c>
      <c r="I13" s="165">
        <f t="shared" si="7"/>
        <v>0</v>
      </c>
      <c r="J13" s="165" t="s">
        <v>698</v>
      </c>
      <c r="K13" s="165"/>
      <c r="L13" s="165"/>
      <c r="M13" s="165"/>
      <c r="N13" s="165"/>
      <c r="O13" s="165"/>
      <c r="P13" s="165"/>
      <c r="Q13" s="165"/>
      <c r="R13" s="165"/>
      <c r="S13" s="165"/>
      <c r="T13" s="165"/>
      <c r="U13" s="165"/>
      <c r="V13" s="58"/>
      <c r="W13" s="58"/>
      <c r="AA13" t="s">
        <v>866</v>
      </c>
      <c r="AB13" s="179">
        <v>52</v>
      </c>
    </row>
    <row r="14" spans="2:31" x14ac:dyDescent="0.4">
      <c r="B14" s="55" t="s">
        <v>9</v>
      </c>
      <c r="C14" s="44" t="s">
        <v>633</v>
      </c>
      <c r="D14" s="165">
        <f>E132</f>
        <v>0</v>
      </c>
      <c r="E14" s="165">
        <f t="shared" ref="E14:I14" si="8">F132</f>
        <v>0</v>
      </c>
      <c r="F14" s="165">
        <f t="shared" si="8"/>
        <v>0</v>
      </c>
      <c r="G14" s="165">
        <f t="shared" si="8"/>
        <v>0</v>
      </c>
      <c r="H14" s="165">
        <f t="shared" si="8"/>
        <v>0</v>
      </c>
      <c r="I14" s="165">
        <f t="shared" si="8"/>
        <v>0</v>
      </c>
      <c r="J14" s="165" t="s">
        <v>698</v>
      </c>
      <c r="K14" s="165"/>
      <c r="L14" s="165"/>
      <c r="M14" s="165"/>
      <c r="N14" s="165"/>
      <c r="O14" s="165"/>
      <c r="P14" s="165"/>
      <c r="Q14" s="165"/>
      <c r="R14" s="165"/>
      <c r="S14" s="165"/>
      <c r="T14" s="165"/>
      <c r="U14" s="165"/>
      <c r="V14" s="58"/>
      <c r="W14" s="58"/>
      <c r="AA14" s="150" t="s">
        <v>824</v>
      </c>
    </row>
    <row r="15" spans="2:31" x14ac:dyDescent="0.4">
      <c r="B15" s="55" t="s">
        <v>275</v>
      </c>
      <c r="C15" s="44" t="s">
        <v>633</v>
      </c>
      <c r="D15" s="37">
        <f>E161</f>
        <v>0</v>
      </c>
      <c r="E15" s="37">
        <f t="shared" ref="E15:I15" si="9">F161</f>
        <v>0</v>
      </c>
      <c r="F15" s="37">
        <f t="shared" si="9"/>
        <v>0</v>
      </c>
      <c r="G15" s="37">
        <f t="shared" si="9"/>
        <v>0</v>
      </c>
      <c r="H15" s="37">
        <f t="shared" si="9"/>
        <v>0</v>
      </c>
      <c r="I15" s="37">
        <f t="shared" si="9"/>
        <v>0</v>
      </c>
      <c r="J15" s="37" t="s">
        <v>698</v>
      </c>
      <c r="K15" s="37"/>
      <c r="L15" s="37"/>
      <c r="M15" s="37"/>
      <c r="N15" s="37"/>
      <c r="O15" s="37"/>
      <c r="P15" s="37"/>
      <c r="Q15" s="37"/>
      <c r="R15" s="37"/>
      <c r="S15" s="37"/>
      <c r="T15" s="37"/>
      <c r="U15" s="37"/>
      <c r="V15" s="44"/>
      <c r="W15" s="44"/>
    </row>
    <row r="16" spans="2:31" ht="19.149999999999999" customHeight="1" x14ac:dyDescent="0.4">
      <c r="B16" s="55" t="s">
        <v>89</v>
      </c>
      <c r="C16" s="55" t="s">
        <v>599</v>
      </c>
      <c r="D16" s="164">
        <f>E167</f>
        <v>0</v>
      </c>
      <c r="E16" s="164">
        <f t="shared" ref="E16:I16" si="10">F167</f>
        <v>0</v>
      </c>
      <c r="F16" s="164">
        <f t="shared" si="10"/>
        <v>0</v>
      </c>
      <c r="G16" s="164">
        <f t="shared" si="10"/>
        <v>0</v>
      </c>
      <c r="H16" s="164">
        <f t="shared" si="10"/>
        <v>0</v>
      </c>
      <c r="I16" s="164">
        <f t="shared" si="10"/>
        <v>0</v>
      </c>
      <c r="J16" s="164" t="s">
        <v>698</v>
      </c>
      <c r="K16" s="164"/>
      <c r="L16" s="164"/>
      <c r="M16" s="164"/>
      <c r="N16" s="164"/>
      <c r="O16" s="164"/>
      <c r="P16" s="164"/>
      <c r="Q16" s="164"/>
      <c r="R16" s="164"/>
      <c r="S16" s="164"/>
      <c r="T16" s="164"/>
      <c r="U16" s="164"/>
      <c r="V16" s="48"/>
      <c r="W16" s="48"/>
    </row>
    <row r="17" spans="1:26" ht="20.25" customHeight="1" x14ac:dyDescent="0.4">
      <c r="B17" s="55" t="s">
        <v>750</v>
      </c>
      <c r="C17" s="55"/>
      <c r="D17" s="164"/>
      <c r="E17" s="164"/>
      <c r="F17" s="164"/>
      <c r="G17" s="164"/>
      <c r="H17" s="164"/>
      <c r="I17" s="164"/>
      <c r="J17" s="164"/>
      <c r="K17" s="164"/>
      <c r="L17" s="164"/>
      <c r="M17" s="164"/>
      <c r="N17" s="164"/>
      <c r="O17" s="164"/>
      <c r="P17" s="164"/>
      <c r="Q17" s="164"/>
      <c r="R17" s="164"/>
      <c r="S17" s="164"/>
      <c r="T17" s="164"/>
      <c r="U17" s="164"/>
      <c r="V17" s="48"/>
      <c r="W17" s="48"/>
    </row>
    <row r="18" spans="1:26" x14ac:dyDescent="0.4">
      <c r="B18" s="177" t="s">
        <v>25</v>
      </c>
      <c r="C18" s="44" t="s">
        <v>6</v>
      </c>
      <c r="D18" s="167"/>
      <c r="E18" s="167"/>
      <c r="F18" s="167"/>
      <c r="G18" s="167"/>
      <c r="H18" s="167"/>
      <c r="I18" s="167"/>
      <c r="J18" s="176"/>
      <c r="K18" s="37"/>
      <c r="L18" s="37"/>
      <c r="M18" s="37"/>
      <c r="N18" s="37"/>
      <c r="O18" s="37"/>
      <c r="R18" s="249"/>
      <c r="S18" t="str">
        <f>"&lt;--- This conditional formatting indicates information that must be filled out. It changes depending on whether "&amp;Country&amp;" receives a reference trajectory (which in turn depends on outturn data for TFEU thresholds in year T-X)."</f>
        <v>&lt;--- This conditional formatting indicates information that must be filled out. It changes depending on whether Select country receives a reference trajectory (which in turn depends on outturn data for TFEU thresholds in year T-X).</v>
      </c>
    </row>
    <row r="19" spans="1:26" x14ac:dyDescent="0.4">
      <c r="B19" s="178" t="s">
        <v>595</v>
      </c>
      <c r="C19" s="61" t="s">
        <v>635</v>
      </c>
      <c r="D19" s="164"/>
      <c r="E19" s="164"/>
      <c r="F19" s="164"/>
      <c r="G19" s="164"/>
      <c r="H19" s="164"/>
      <c r="I19" s="164"/>
      <c r="J19" s="164"/>
      <c r="K19" s="164"/>
      <c r="L19" s="164"/>
      <c r="M19" s="164"/>
      <c r="N19" s="164"/>
      <c r="O19" s="164"/>
      <c r="P19" s="164"/>
      <c r="Q19" s="164"/>
      <c r="R19" s="164"/>
      <c r="S19" s="164"/>
      <c r="T19" s="164"/>
      <c r="U19" s="164"/>
      <c r="V19" s="48"/>
      <c r="W19" s="48"/>
    </row>
    <row r="20" spans="1:26" x14ac:dyDescent="0.4">
      <c r="B20" s="55"/>
      <c r="C20" s="55"/>
      <c r="D20" s="48"/>
      <c r="E20" s="48"/>
      <c r="F20" s="48"/>
      <c r="G20" s="48"/>
      <c r="H20" s="48"/>
      <c r="I20" s="48"/>
      <c r="J20" s="48"/>
      <c r="K20" s="48"/>
      <c r="L20" s="48"/>
      <c r="M20" s="48"/>
      <c r="N20" s="48"/>
      <c r="O20" s="48"/>
      <c r="P20" s="48"/>
      <c r="Q20" s="48"/>
      <c r="R20" s="48"/>
      <c r="S20" s="48"/>
      <c r="T20" s="48"/>
      <c r="U20" s="48"/>
      <c r="V20" s="48"/>
      <c r="W20" s="48"/>
    </row>
    <row r="21" spans="1:26" x14ac:dyDescent="0.4">
      <c r="B21" s="39" t="s">
        <v>251</v>
      </c>
      <c r="C21" s="39"/>
      <c r="D21" s="44" cm="1">
        <f t="array" ref="D21:S21">_xlfn.SEQUENCE(1, AdjustmentPeriodEnd+10-MTP_BaseYear+1, MTP_BaseYear)</f>
        <v>2023</v>
      </c>
      <c r="E21" s="60">
        <v>2024</v>
      </c>
      <c r="F21" s="60">
        <v>2025</v>
      </c>
      <c r="G21" s="60">
        <v>2026</v>
      </c>
      <c r="H21" s="60">
        <v>2027</v>
      </c>
      <c r="I21" s="60">
        <v>2028</v>
      </c>
      <c r="J21" s="60">
        <v>2029</v>
      </c>
      <c r="K21" s="60">
        <v>2030</v>
      </c>
      <c r="L21" s="60">
        <v>2031</v>
      </c>
      <c r="M21" s="60">
        <v>2032</v>
      </c>
      <c r="N21" s="60">
        <v>2033</v>
      </c>
      <c r="O21" s="60">
        <v>2034</v>
      </c>
      <c r="P21" s="60">
        <v>2035</v>
      </c>
      <c r="Q21" s="60">
        <v>2036</v>
      </c>
      <c r="R21" s="60">
        <v>2037</v>
      </c>
      <c r="S21" s="60">
        <v>2038</v>
      </c>
      <c r="T21" s="60"/>
      <c r="U21" s="60"/>
      <c r="V21" s="60"/>
      <c r="W21" s="60"/>
      <c r="X21" s="14"/>
      <c r="Y21" s="14"/>
      <c r="Z21" s="14"/>
    </row>
    <row r="22" spans="1:26" ht="20.25" customHeight="1" x14ac:dyDescent="0.4">
      <c r="B22" s="41" t="s">
        <v>274</v>
      </c>
      <c r="C22" s="19"/>
      <c r="D22" s="47" t="str" cm="1">
        <f t="array" ref="D22:I22">_xlfn.LET(
  _xlpm.n, _xlfn.SEQUENCE(1, MTP_EndYear - MTP_PlanFirstYear + 1, MTP_PlanFirstYear - MTP_YearT),
  CHOOSE(SIGN(_xlpm.n) + 2, "T" &amp; _xlpm.n, "T", "T+" &amp; _xlpm.n)
)</f>
        <v>T-1</v>
      </c>
      <c r="E22" s="47" t="str">
        <v>T</v>
      </c>
      <c r="F22" s="47" t="str">
        <v>T+1</v>
      </c>
      <c r="G22" s="47" t="str">
        <v>T+2</v>
      </c>
      <c r="H22" s="47" t="str">
        <v>T+3</v>
      </c>
      <c r="I22" s="47" t="str">
        <v>T+4</v>
      </c>
      <c r="J22" s="47"/>
      <c r="K22" s="47"/>
      <c r="L22" s="47"/>
      <c r="M22" s="47"/>
      <c r="N22" s="47"/>
      <c r="O22" s="47"/>
      <c r="P22" s="47"/>
      <c r="Q22" s="47" t="s">
        <v>698</v>
      </c>
      <c r="R22" s="47" t="s">
        <v>698</v>
      </c>
      <c r="S22" s="47" t="s">
        <v>698</v>
      </c>
      <c r="T22" s="47" t="s">
        <v>698</v>
      </c>
      <c r="U22" s="47" t="s">
        <v>698</v>
      </c>
      <c r="V22" s="47" t="s">
        <v>698</v>
      </c>
      <c r="W22" s="47" t="s">
        <v>698</v>
      </c>
      <c r="X22" s="14"/>
      <c r="Y22" s="14"/>
      <c r="Z22" s="14"/>
    </row>
    <row r="23" spans="1:26" x14ac:dyDescent="0.4">
      <c r="B23" s="55" t="str">
        <f>"Main budgetary variables under the planned fiscal path ("&amp;AdjustmentPeriod&amp;"-year adjustment period)"</f>
        <v>Main budgetary variables under the planned fiscal path (4-year adjustment period)</v>
      </c>
      <c r="C23" s="14"/>
      <c r="D23" s="37"/>
      <c r="E23" s="37"/>
      <c r="F23" s="37"/>
      <c r="G23" s="37"/>
      <c r="H23" s="37"/>
      <c r="I23" s="37"/>
      <c r="J23" s="37"/>
      <c r="K23" s="37"/>
      <c r="L23" s="37"/>
      <c r="M23" s="37"/>
      <c r="N23" s="37"/>
      <c r="O23" s="37"/>
      <c r="P23" s="37"/>
      <c r="Q23" s="37"/>
      <c r="R23" s="37"/>
      <c r="S23" s="37"/>
      <c r="T23" s="37"/>
      <c r="U23" s="37"/>
      <c r="V23" s="37"/>
      <c r="W23" s="37"/>
      <c r="X23" s="37"/>
      <c r="Y23" s="37"/>
    </row>
    <row r="24" spans="1:26" x14ac:dyDescent="0.4">
      <c r="B24" s="46" t="s">
        <v>311</v>
      </c>
      <c r="C24" s="14"/>
      <c r="D24" s="253"/>
      <c r="E24" s="253"/>
      <c r="F24" s="253"/>
      <c r="G24" s="253"/>
      <c r="H24" s="253"/>
      <c r="I24" s="253"/>
      <c r="J24" s="253"/>
      <c r="K24" s="253"/>
      <c r="L24" s="253"/>
      <c r="M24" s="253"/>
      <c r="N24" s="253"/>
      <c r="O24" s="253"/>
      <c r="P24" s="253"/>
      <c r="Q24" s="253"/>
      <c r="R24" s="253"/>
      <c r="S24" s="253"/>
      <c r="T24" s="253"/>
      <c r="U24" s="253"/>
      <c r="V24" s="253"/>
      <c r="W24" s="253"/>
      <c r="X24" s="37"/>
      <c r="Y24" s="37"/>
    </row>
    <row r="25" spans="1:26" x14ac:dyDescent="0.4">
      <c r="B25" s="46" t="s">
        <v>206</v>
      </c>
      <c r="C25" s="14"/>
      <c r="D25" s="253">
        <f>E173</f>
        <v>0</v>
      </c>
      <c r="E25" s="253">
        <f t="shared" ref="E25:S25" si="11">F173</f>
        <v>0</v>
      </c>
      <c r="F25" s="253">
        <f t="shared" si="11"/>
        <v>0</v>
      </c>
      <c r="G25" s="253">
        <f t="shared" si="11"/>
        <v>0</v>
      </c>
      <c r="H25" s="253">
        <f t="shared" si="11"/>
        <v>0</v>
      </c>
      <c r="I25" s="253">
        <f t="shared" si="11"/>
        <v>0</v>
      </c>
      <c r="J25" s="253">
        <f t="shared" si="11"/>
        <v>0</v>
      </c>
      <c r="K25" s="253">
        <f t="shared" si="11"/>
        <v>0</v>
      </c>
      <c r="L25" s="253">
        <f t="shared" si="11"/>
        <v>0</v>
      </c>
      <c r="M25" s="253">
        <f t="shared" si="11"/>
        <v>0</v>
      </c>
      <c r="N25" s="253">
        <f t="shared" si="11"/>
        <v>0</v>
      </c>
      <c r="O25" s="253">
        <f t="shared" si="11"/>
        <v>0</v>
      </c>
      <c r="P25" s="253">
        <f t="shared" si="11"/>
        <v>0</v>
      </c>
      <c r="Q25" s="253">
        <f t="shared" si="11"/>
        <v>0</v>
      </c>
      <c r="R25" s="253">
        <f t="shared" si="11"/>
        <v>0</v>
      </c>
      <c r="S25" s="253">
        <f t="shared" si="11"/>
        <v>0</v>
      </c>
      <c r="T25" s="253" t="s">
        <v>698</v>
      </c>
      <c r="U25" s="253" t="s">
        <v>698</v>
      </c>
      <c r="V25" s="253" t="s">
        <v>698</v>
      </c>
      <c r="W25" s="253" t="s">
        <v>698</v>
      </c>
      <c r="X25" s="37"/>
      <c r="Y25" s="37"/>
    </row>
    <row r="26" spans="1:26" x14ac:dyDescent="0.4">
      <c r="B26" s="46" t="s">
        <v>0</v>
      </c>
      <c r="C26" s="14"/>
      <c r="D26" s="253"/>
      <c r="E26" s="253"/>
      <c r="F26" s="253"/>
      <c r="G26" s="253"/>
      <c r="H26" s="253"/>
      <c r="I26" s="253"/>
      <c r="J26" s="253"/>
      <c r="K26" s="253"/>
      <c r="L26" s="253"/>
      <c r="M26" s="253"/>
      <c r="N26" s="253"/>
      <c r="O26" s="253"/>
      <c r="P26" s="253"/>
      <c r="Q26" s="253"/>
      <c r="R26" s="253"/>
      <c r="S26" s="253"/>
      <c r="T26" s="253"/>
      <c r="U26" s="253"/>
      <c r="V26" s="253"/>
      <c r="W26" s="253"/>
      <c r="X26" s="37"/>
      <c r="Y26" s="37"/>
    </row>
    <row r="27" spans="1:26" x14ac:dyDescent="0.4">
      <c r="B27" s="46" t="s">
        <v>1</v>
      </c>
      <c r="C27" s="14"/>
      <c r="D27" s="253">
        <f>E172</f>
        <v>0</v>
      </c>
      <c r="E27" s="253">
        <f t="shared" ref="E27:S27" si="12">F172</f>
        <v>0</v>
      </c>
      <c r="F27" s="253">
        <f t="shared" si="12"/>
        <v>0</v>
      </c>
      <c r="G27" s="253">
        <f t="shared" si="12"/>
        <v>0</v>
      </c>
      <c r="H27" s="253">
        <f t="shared" si="12"/>
        <v>0</v>
      </c>
      <c r="I27" s="253">
        <f t="shared" si="12"/>
        <v>0</v>
      </c>
      <c r="J27" s="253">
        <f t="shared" si="12"/>
        <v>0</v>
      </c>
      <c r="K27" s="253">
        <f t="shared" si="12"/>
        <v>0</v>
      </c>
      <c r="L27" s="253">
        <f t="shared" si="12"/>
        <v>0</v>
      </c>
      <c r="M27" s="253">
        <f t="shared" si="12"/>
        <v>0</v>
      </c>
      <c r="N27" s="253">
        <f t="shared" si="12"/>
        <v>0</v>
      </c>
      <c r="O27" s="253">
        <f t="shared" si="12"/>
        <v>0</v>
      </c>
      <c r="P27" s="253">
        <f t="shared" si="12"/>
        <v>0</v>
      </c>
      <c r="Q27" s="253">
        <f t="shared" si="12"/>
        <v>0</v>
      </c>
      <c r="R27" s="253">
        <f t="shared" si="12"/>
        <v>0</v>
      </c>
      <c r="S27" s="253">
        <f t="shared" si="12"/>
        <v>0</v>
      </c>
      <c r="T27" s="253" t="s">
        <v>698</v>
      </c>
      <c r="U27" s="253" t="s">
        <v>698</v>
      </c>
      <c r="V27" s="253" t="s">
        <v>698</v>
      </c>
      <c r="W27" s="253" t="s">
        <v>698</v>
      </c>
      <c r="X27" s="37"/>
      <c r="Y27" s="37"/>
      <c r="Z27" s="14"/>
    </row>
    <row r="28" spans="1:26" x14ac:dyDescent="0.4">
      <c r="B28" s="55" t="s">
        <v>315</v>
      </c>
      <c r="C28" s="14"/>
      <c r="D28" s="164"/>
      <c r="E28" s="164"/>
      <c r="F28" s="164"/>
      <c r="G28" s="164"/>
      <c r="H28" s="164"/>
      <c r="I28" s="164"/>
      <c r="J28" s="164"/>
      <c r="K28" s="164"/>
      <c r="L28" s="164"/>
      <c r="M28" s="164"/>
      <c r="N28" s="164"/>
      <c r="O28" s="164"/>
      <c r="P28" s="164"/>
      <c r="Q28" s="164"/>
      <c r="R28" s="164"/>
      <c r="S28" s="164"/>
      <c r="T28" s="164"/>
      <c r="U28" s="164"/>
      <c r="V28" s="164"/>
      <c r="W28" s="164"/>
      <c r="X28" s="37"/>
      <c r="Y28" s="37"/>
    </row>
    <row r="29" spans="1:26" x14ac:dyDescent="0.4">
      <c r="B29" s="46" t="s">
        <v>285</v>
      </c>
      <c r="C29" s="14"/>
      <c r="D29" s="253">
        <f>E206</f>
        <v>0</v>
      </c>
      <c r="E29" s="253">
        <f t="shared" ref="E29:S29" si="13">F206</f>
        <v>0</v>
      </c>
      <c r="F29" s="253">
        <f t="shared" si="13"/>
        <v>0</v>
      </c>
      <c r="G29" s="253">
        <f t="shared" si="13"/>
        <v>0</v>
      </c>
      <c r="H29" s="253">
        <f t="shared" si="13"/>
        <v>0</v>
      </c>
      <c r="I29" s="253">
        <f t="shared" si="13"/>
        <v>0</v>
      </c>
      <c r="J29" s="253">
        <f t="shared" si="13"/>
        <v>0</v>
      </c>
      <c r="K29" s="253">
        <f t="shared" si="13"/>
        <v>0</v>
      </c>
      <c r="L29" s="253">
        <f t="shared" si="13"/>
        <v>0</v>
      </c>
      <c r="M29" s="253">
        <f t="shared" si="13"/>
        <v>0</v>
      </c>
      <c r="N29" s="253">
        <f t="shared" si="13"/>
        <v>0</v>
      </c>
      <c r="O29" s="253">
        <f t="shared" si="13"/>
        <v>0</v>
      </c>
      <c r="P29" s="253">
        <f t="shared" si="13"/>
        <v>0</v>
      </c>
      <c r="Q29" s="253">
        <f t="shared" si="13"/>
        <v>0</v>
      </c>
      <c r="R29" s="253">
        <f t="shared" si="13"/>
        <v>0</v>
      </c>
      <c r="S29" s="253">
        <f t="shared" si="13"/>
        <v>0</v>
      </c>
      <c r="T29" s="253" t="s">
        <v>698</v>
      </c>
      <c r="U29" s="253" t="s">
        <v>698</v>
      </c>
      <c r="V29" s="253" t="s">
        <v>698</v>
      </c>
      <c r="W29" s="253" t="s">
        <v>698</v>
      </c>
      <c r="X29" s="37"/>
      <c r="Y29" s="37"/>
      <c r="Z29" s="14"/>
    </row>
    <row r="30" spans="1:26" s="14" customFormat="1" x14ac:dyDescent="0.4">
      <c r="A30"/>
      <c r="B30" s="46" t="s">
        <v>286</v>
      </c>
      <c r="D30" s="253">
        <f t="shared" ref="D30:S30" si="14">E189</f>
        <v>0</v>
      </c>
      <c r="E30" s="253">
        <f t="shared" si="14"/>
        <v>0</v>
      </c>
      <c r="F30" s="253">
        <f t="shared" si="14"/>
        <v>0</v>
      </c>
      <c r="G30" s="253">
        <f t="shared" si="14"/>
        <v>0</v>
      </c>
      <c r="H30" s="253">
        <f t="shared" si="14"/>
        <v>0</v>
      </c>
      <c r="I30" s="253">
        <f t="shared" si="14"/>
        <v>0</v>
      </c>
      <c r="J30" s="253">
        <f t="shared" si="14"/>
        <v>0</v>
      </c>
      <c r="K30" s="253">
        <f t="shared" si="14"/>
        <v>0</v>
      </c>
      <c r="L30" s="253">
        <f t="shared" si="14"/>
        <v>0</v>
      </c>
      <c r="M30" s="253">
        <f t="shared" si="14"/>
        <v>0</v>
      </c>
      <c r="N30" s="253">
        <f t="shared" si="14"/>
        <v>0</v>
      </c>
      <c r="O30" s="253">
        <f t="shared" si="14"/>
        <v>0</v>
      </c>
      <c r="P30" s="253">
        <f t="shared" si="14"/>
        <v>0</v>
      </c>
      <c r="Q30" s="253">
        <f t="shared" si="14"/>
        <v>0</v>
      </c>
      <c r="R30" s="253">
        <f t="shared" si="14"/>
        <v>0</v>
      </c>
      <c r="S30" s="253">
        <f t="shared" si="14"/>
        <v>0</v>
      </c>
      <c r="T30" s="253" t="s">
        <v>698</v>
      </c>
      <c r="U30" s="253" t="s">
        <v>698</v>
      </c>
      <c r="V30" s="253" t="s">
        <v>698</v>
      </c>
      <c r="W30" s="253" t="s">
        <v>698</v>
      </c>
      <c r="X30" s="37"/>
      <c r="Y30" s="37"/>
    </row>
    <row r="31" spans="1:26" s="14" customFormat="1" x14ac:dyDescent="0.4">
      <c r="A31"/>
      <c r="B31" s="46" t="s">
        <v>287</v>
      </c>
      <c r="D31" s="253">
        <f t="shared" ref="D31:S31" si="15">E193</f>
        <v>0</v>
      </c>
      <c r="E31" s="253">
        <f t="shared" si="15"/>
        <v>0</v>
      </c>
      <c r="F31" s="253">
        <f t="shared" si="15"/>
        <v>0</v>
      </c>
      <c r="G31" s="253">
        <f t="shared" si="15"/>
        <v>0</v>
      </c>
      <c r="H31" s="253">
        <f t="shared" si="15"/>
        <v>0</v>
      </c>
      <c r="I31" s="253">
        <f t="shared" si="15"/>
        <v>0</v>
      </c>
      <c r="J31" s="253">
        <f t="shared" si="15"/>
        <v>0</v>
      </c>
      <c r="K31" s="253">
        <f t="shared" si="15"/>
        <v>0</v>
      </c>
      <c r="L31" s="253">
        <f t="shared" si="15"/>
        <v>0</v>
      </c>
      <c r="M31" s="253">
        <f t="shared" si="15"/>
        <v>0</v>
      </c>
      <c r="N31" s="253">
        <f t="shared" si="15"/>
        <v>0</v>
      </c>
      <c r="O31" s="253">
        <f t="shared" si="15"/>
        <v>0</v>
      </c>
      <c r="P31" s="253">
        <f t="shared" si="15"/>
        <v>0</v>
      </c>
      <c r="Q31" s="253">
        <f t="shared" si="15"/>
        <v>0</v>
      </c>
      <c r="R31" s="253">
        <f t="shared" si="15"/>
        <v>0</v>
      </c>
      <c r="S31" s="253">
        <f t="shared" si="15"/>
        <v>0</v>
      </c>
      <c r="T31" s="253" t="s">
        <v>698</v>
      </c>
      <c r="U31" s="253" t="s">
        <v>698</v>
      </c>
      <c r="V31" s="253" t="s">
        <v>698</v>
      </c>
      <c r="W31" s="253" t="s">
        <v>698</v>
      </c>
      <c r="X31" s="37"/>
      <c r="Y31" s="37"/>
    </row>
    <row r="32" spans="1:26" x14ac:dyDescent="0.4">
      <c r="B32" s="46" t="s">
        <v>288</v>
      </c>
      <c r="C32" s="14"/>
      <c r="D32" s="253">
        <f t="shared" ref="D32:S32" si="16">E196</f>
        <v>0</v>
      </c>
      <c r="E32" s="253">
        <f t="shared" si="16"/>
        <v>0</v>
      </c>
      <c r="F32" s="253">
        <f t="shared" si="16"/>
        <v>0</v>
      </c>
      <c r="G32" s="253">
        <f t="shared" si="16"/>
        <v>0</v>
      </c>
      <c r="H32" s="253">
        <f t="shared" si="16"/>
        <v>0</v>
      </c>
      <c r="I32" s="253">
        <f t="shared" si="16"/>
        <v>0</v>
      </c>
      <c r="J32" s="253">
        <f t="shared" si="16"/>
        <v>0</v>
      </c>
      <c r="K32" s="253">
        <f t="shared" si="16"/>
        <v>0</v>
      </c>
      <c r="L32" s="253">
        <f t="shared" si="16"/>
        <v>0</v>
      </c>
      <c r="M32" s="253">
        <f t="shared" si="16"/>
        <v>0</v>
      </c>
      <c r="N32" s="253">
        <f t="shared" si="16"/>
        <v>0</v>
      </c>
      <c r="O32" s="253">
        <f t="shared" si="16"/>
        <v>0</v>
      </c>
      <c r="P32" s="253">
        <f t="shared" si="16"/>
        <v>0</v>
      </c>
      <c r="Q32" s="253">
        <f t="shared" si="16"/>
        <v>0</v>
      </c>
      <c r="R32" s="253">
        <f t="shared" si="16"/>
        <v>0</v>
      </c>
      <c r="S32" s="253">
        <f t="shared" si="16"/>
        <v>0</v>
      </c>
      <c r="T32" s="253" t="s">
        <v>698</v>
      </c>
      <c r="U32" s="253" t="s">
        <v>698</v>
      </c>
      <c r="V32" s="253" t="s">
        <v>698</v>
      </c>
      <c r="W32" s="253" t="s">
        <v>698</v>
      </c>
      <c r="X32" s="37"/>
      <c r="Y32" s="37"/>
      <c r="Z32" s="14"/>
    </row>
    <row r="33" spans="1:26" x14ac:dyDescent="0.4">
      <c r="B33" s="61" t="s">
        <v>355</v>
      </c>
      <c r="C33" s="19"/>
      <c r="D33" s="119">
        <f>E202</f>
        <v>0</v>
      </c>
      <c r="E33" s="164"/>
      <c r="F33" s="164"/>
      <c r="G33" s="164"/>
      <c r="H33" s="164"/>
      <c r="I33" s="164"/>
      <c r="J33" s="164"/>
      <c r="K33" s="164"/>
      <c r="L33" s="164"/>
      <c r="M33" s="164"/>
      <c r="N33" s="164"/>
      <c r="O33" s="164"/>
      <c r="P33" s="164"/>
      <c r="Q33" s="164"/>
      <c r="R33" s="164"/>
      <c r="S33" s="164"/>
      <c r="T33" s="164"/>
      <c r="U33" s="164"/>
      <c r="V33" s="164"/>
      <c r="W33" s="164"/>
      <c r="X33" s="37"/>
      <c r="Y33" s="37"/>
      <c r="Z33" s="14"/>
    </row>
    <row r="34" spans="1:26" x14ac:dyDescent="0.4">
      <c r="B34" s="55"/>
      <c r="C34" s="14"/>
      <c r="D34" s="48"/>
      <c r="E34" s="48"/>
      <c r="F34" s="48"/>
      <c r="G34" s="48"/>
      <c r="H34" s="48"/>
      <c r="I34" s="48"/>
      <c r="J34" s="48"/>
      <c r="K34" s="48"/>
      <c r="L34" s="48"/>
      <c r="M34" s="48"/>
      <c r="N34" s="48"/>
      <c r="O34" s="48"/>
      <c r="P34" s="48"/>
      <c r="Q34" s="48"/>
      <c r="R34" s="48"/>
      <c r="S34" s="48"/>
      <c r="T34" s="48"/>
      <c r="U34" s="48"/>
      <c r="V34" s="48"/>
      <c r="W34" s="48"/>
    </row>
    <row r="35" spans="1:26" ht="18" x14ac:dyDescent="0.55000000000000004">
      <c r="B35" s="50" t="str">
        <f>IF(Receives_reference_trajectory,"Prior guidance: reference trajectory and DSA","Prior guidance: technical information and DSA")</f>
        <v>Prior guidance: reference trajectory and DSA</v>
      </c>
      <c r="D35" s="48"/>
      <c r="E35" s="48"/>
      <c r="F35" s="48"/>
      <c r="G35" s="48"/>
      <c r="H35" s="48"/>
      <c r="I35" s="48"/>
    </row>
    <row r="36" spans="1:26" ht="15.75" x14ac:dyDescent="0.5">
      <c r="B36" s="79" t="s">
        <v>310</v>
      </c>
      <c r="C36" s="14"/>
      <c r="D36" s="48"/>
      <c r="E36" s="48"/>
      <c r="F36" s="48"/>
      <c r="G36" s="48"/>
      <c r="H36" s="48"/>
      <c r="I36" s="48"/>
    </row>
    <row r="37" spans="1:26" s="14" customFormat="1" x14ac:dyDescent="0.4">
      <c r="A37"/>
      <c r="B37" s="39" t="s">
        <v>251</v>
      </c>
      <c r="C37" s="94"/>
      <c r="D37" s="44" cm="1">
        <f t="array" ref="D37:S37">_xlfn.SEQUENCE(1, AdjustmentPeriodEnd+10-MTP_BaseYear+1, MTP_BaseYear)</f>
        <v>2023</v>
      </c>
      <c r="E37" s="60">
        <v>2024</v>
      </c>
      <c r="F37" s="60">
        <v>2025</v>
      </c>
      <c r="G37" s="60">
        <v>2026</v>
      </c>
      <c r="H37" s="60">
        <v>2027</v>
      </c>
      <c r="I37" s="60">
        <v>2028</v>
      </c>
      <c r="J37" s="60">
        <v>2029</v>
      </c>
      <c r="K37" s="60">
        <v>2030</v>
      </c>
      <c r="L37" s="60">
        <v>2031</v>
      </c>
      <c r="M37" s="60">
        <v>2032</v>
      </c>
      <c r="N37" s="60">
        <v>2033</v>
      </c>
      <c r="O37" s="60">
        <v>2034</v>
      </c>
      <c r="P37" s="60">
        <v>2035</v>
      </c>
      <c r="Q37" s="60">
        <v>2036</v>
      </c>
      <c r="R37" s="60">
        <v>2037</v>
      </c>
      <c r="S37" s="60">
        <v>2038</v>
      </c>
      <c r="T37" s="60"/>
      <c r="U37" s="60"/>
      <c r="V37" s="60"/>
      <c r="W37" s="60"/>
    </row>
    <row r="38" spans="1:26" ht="20.65" customHeight="1" x14ac:dyDescent="0.4">
      <c r="B38" s="41" t="s">
        <v>274</v>
      </c>
      <c r="C38" s="19"/>
      <c r="D38" s="47" t="str" cm="1">
        <f t="array" ref="D38:I38">_xlfn.LET(
  _xlpm.n, _xlfn.SEQUENCE(1, MTP_EndYear - MTP_PlanFirstYear + 1, MTP_PlanFirstYear - MTP_YearT),
  CHOOSE(SIGN(_xlpm.n) + 2, "T" &amp; _xlpm.n, "T", "T+" &amp; _xlpm.n)
)</f>
        <v>T-1</v>
      </c>
      <c r="E38" s="47" t="str">
        <v>T</v>
      </c>
      <c r="F38" s="47" t="str">
        <v>T+1</v>
      </c>
      <c r="G38" s="47" t="str">
        <v>T+2</v>
      </c>
      <c r="H38" s="47" t="str">
        <v>T+3</v>
      </c>
      <c r="I38" s="47" t="str">
        <v>T+4</v>
      </c>
      <c r="J38" s="47"/>
      <c r="K38" s="47"/>
      <c r="L38" s="47"/>
      <c r="M38" s="47"/>
      <c r="N38" s="47"/>
      <c r="O38" s="47"/>
      <c r="P38" s="47"/>
      <c r="Q38" s="47"/>
      <c r="R38" s="47"/>
      <c r="S38" s="47"/>
      <c r="T38" s="47"/>
      <c r="U38" s="47"/>
      <c r="V38" s="47"/>
      <c r="W38" s="47"/>
      <c r="X38" s="14"/>
      <c r="Y38" s="14"/>
      <c r="Z38" s="14"/>
    </row>
    <row r="39" spans="1:26" s="14" customFormat="1" x14ac:dyDescent="0.4">
      <c r="A39"/>
      <c r="B39" s="55" t="str">
        <f>"Reference trajectory provided by the Commission"&amp;IF(NOT(Receives_reference_trajectory)," (not applicable)","")</f>
        <v>Reference trajectory provided by the Commission</v>
      </c>
      <c r="D39" s="252"/>
      <c r="E39" s="252"/>
      <c r="F39" s="252"/>
      <c r="G39" s="252"/>
      <c r="H39" s="252"/>
      <c r="I39" s="252"/>
      <c r="J39" s="252"/>
      <c r="K39" s="252"/>
      <c r="L39" s="252"/>
      <c r="M39" s="252"/>
      <c r="N39" s="252"/>
      <c r="O39" s="252"/>
      <c r="P39" s="252"/>
      <c r="Q39" s="252"/>
      <c r="R39" s="252"/>
      <c r="S39" s="252"/>
      <c r="T39" s="252"/>
      <c r="U39" s="252"/>
      <c r="V39" s="252"/>
      <c r="W39" s="252"/>
      <c r="X39" s="84"/>
    </row>
    <row r="40" spans="1:26" s="14" customFormat="1" x14ac:dyDescent="0.4">
      <c r="A40"/>
      <c r="B40" s="55" t="str">
        <f>"Minimum level for the structural primary balance in "&amp;AdjustmentPeriodEnd&amp;IF(Receives_reference_trajectory," (not applicable)","")&amp;", no safeguard"</f>
        <v>Minimum level for the structural primary balance in 2028 (not applicable), no safeguard</v>
      </c>
      <c r="D40" s="253"/>
      <c r="E40" s="253"/>
      <c r="F40" s="253"/>
      <c r="G40" s="253"/>
      <c r="H40" s="253"/>
      <c r="I40" s="253"/>
      <c r="J40" s="253"/>
      <c r="K40" s="253"/>
      <c r="L40" s="253"/>
      <c r="M40" s="253"/>
      <c r="N40" s="253"/>
      <c r="O40" s="253"/>
      <c r="P40" s="253"/>
      <c r="Q40" s="253"/>
      <c r="R40" s="253"/>
      <c r="S40" s="253"/>
      <c r="T40" s="253"/>
      <c r="U40" s="253"/>
      <c r="V40" s="253"/>
      <c r="W40" s="253"/>
    </row>
    <row r="41" spans="1:26" s="14" customFormat="1" x14ac:dyDescent="0.4">
      <c r="A41"/>
      <c r="B41" s="55" t="str">
        <f>"Minimum level for the structural primary balance in "&amp;AdjustmentPeriodEnd&amp;IF(Receives_reference_trajectory," (not applicable)","")&amp;", with safeguard"</f>
        <v>Minimum level for the structural primary balance in 2028 (not applicable), with safeguard</v>
      </c>
      <c r="D41" s="253"/>
      <c r="E41" s="253"/>
      <c r="F41" s="253"/>
      <c r="G41" s="253"/>
      <c r="H41" s="253"/>
      <c r="I41" s="253"/>
      <c r="J41" s="253"/>
      <c r="K41" s="253"/>
      <c r="L41" s="253"/>
      <c r="M41" s="253"/>
      <c r="N41" s="253"/>
      <c r="O41" s="253"/>
      <c r="P41" s="253"/>
      <c r="Q41" s="253"/>
      <c r="R41" s="253"/>
      <c r="S41" s="253"/>
      <c r="T41" s="253"/>
      <c r="U41" s="253"/>
      <c r="V41" s="253"/>
      <c r="W41" s="253"/>
      <c r="X41" s="84"/>
    </row>
    <row r="42" spans="1:26" s="14" customFormat="1" x14ac:dyDescent="0.4">
      <c r="A42"/>
      <c r="B42" s="81" t="str">
        <f>IF(Receives_reference_trajectory,"EC reference trajectory","EC technical information - Path to meet all requirements and safeguard.")</f>
        <v>EC reference trajectory</v>
      </c>
      <c r="D42" s="37"/>
      <c r="E42" s="37"/>
      <c r="F42" s="37"/>
      <c r="G42" s="37"/>
      <c r="H42" s="37"/>
      <c r="I42" s="37"/>
      <c r="J42" s="37"/>
      <c r="K42" s="37"/>
      <c r="L42" s="37"/>
      <c r="M42" s="37"/>
      <c r="N42" s="37"/>
      <c r="O42" s="37"/>
      <c r="P42" s="37"/>
      <c r="Q42" s="37"/>
      <c r="R42" s="37"/>
      <c r="S42" s="37"/>
      <c r="T42" s="37"/>
      <c r="U42" s="37"/>
      <c r="V42" s="37"/>
      <c r="W42" s="37"/>
      <c r="X42"/>
      <c r="Y42"/>
      <c r="Z42"/>
    </row>
    <row r="43" spans="1:26" s="14" customFormat="1" ht="12.4" customHeight="1" x14ac:dyDescent="0.4">
      <c r="A43"/>
      <c r="B43" s="55" t="str">
        <f>"Main budgetary variables ("&amp;AdjustmentPeriod&amp;"-year adjustment period)"</f>
        <v>Main budgetary variables (4-year adjustment period)</v>
      </c>
      <c r="D43" s="37"/>
      <c r="E43" s="37"/>
      <c r="F43" s="37"/>
      <c r="G43" s="37"/>
      <c r="H43" s="37"/>
      <c r="I43" s="37"/>
      <c r="J43" s="37"/>
      <c r="K43" s="37"/>
      <c r="L43" s="37"/>
      <c r="M43" s="37"/>
      <c r="N43" s="37"/>
      <c r="O43" s="37"/>
      <c r="P43" s="37"/>
      <c r="Q43" s="37"/>
      <c r="R43" s="37"/>
      <c r="S43" s="37"/>
      <c r="T43" s="37"/>
      <c r="U43" s="37"/>
      <c r="V43" s="37"/>
      <c r="W43" s="37"/>
      <c r="X43"/>
      <c r="Y43"/>
      <c r="Z43"/>
    </row>
    <row r="44" spans="1:26" x14ac:dyDescent="0.4">
      <c r="B44" s="46" t="str">
        <f>"Net expenditure growth in a plan"&amp;IF(AdjustmentPeriod=4," without extention","with extension")</f>
        <v>Net expenditure growth in a plan without extention</v>
      </c>
      <c r="C44" s="14"/>
      <c r="D44" s="253"/>
      <c r="E44" s="253"/>
      <c r="F44" s="253"/>
      <c r="G44" s="253"/>
      <c r="H44" s="253"/>
      <c r="I44" s="253"/>
      <c r="J44" s="253"/>
      <c r="K44" s="253"/>
      <c r="L44" s="253"/>
      <c r="M44" s="253"/>
      <c r="N44" s="253"/>
      <c r="O44" s="253"/>
      <c r="P44" s="253"/>
      <c r="Q44" s="253"/>
      <c r="R44" s="253"/>
      <c r="S44" s="253"/>
      <c r="T44" s="253"/>
      <c r="U44" s="253"/>
      <c r="V44" s="253"/>
      <c r="W44" s="253"/>
    </row>
    <row r="45" spans="1:26" x14ac:dyDescent="0.4">
      <c r="B45" s="46" t="s">
        <v>206</v>
      </c>
      <c r="C45" s="14"/>
      <c r="D45" s="253"/>
      <c r="E45" s="253"/>
      <c r="F45" s="253"/>
      <c r="G45" s="253"/>
      <c r="H45" s="253"/>
      <c r="I45" s="253"/>
      <c r="J45" s="253"/>
      <c r="K45" s="253"/>
      <c r="L45" s="253"/>
      <c r="M45" s="253"/>
      <c r="N45" s="253"/>
      <c r="O45" s="253"/>
      <c r="P45" s="253"/>
      <c r="Q45" s="253"/>
      <c r="R45" s="253"/>
      <c r="S45" s="253"/>
      <c r="T45" s="253"/>
      <c r="U45" s="253"/>
      <c r="V45" s="253"/>
      <c r="W45" s="253"/>
    </row>
    <row r="46" spans="1:26" x14ac:dyDescent="0.4">
      <c r="B46" s="46" t="s">
        <v>3</v>
      </c>
      <c r="C46" s="14"/>
      <c r="D46" s="253"/>
      <c r="E46" s="253"/>
      <c r="F46" s="253"/>
      <c r="G46" s="253"/>
      <c r="H46" s="253"/>
      <c r="I46" s="253"/>
      <c r="J46" s="253"/>
      <c r="K46" s="253"/>
      <c r="L46" s="253"/>
      <c r="M46" s="253"/>
      <c r="N46" s="253"/>
      <c r="O46" s="253"/>
      <c r="P46" s="253"/>
      <c r="Q46" s="253"/>
      <c r="R46" s="253"/>
      <c r="S46" s="253"/>
      <c r="T46" s="253"/>
      <c r="U46" s="253"/>
      <c r="V46" s="253"/>
      <c r="W46" s="253"/>
    </row>
    <row r="47" spans="1:26" s="14" customFormat="1" x14ac:dyDescent="0.4">
      <c r="A47"/>
      <c r="B47" s="46" t="s">
        <v>1</v>
      </c>
      <c r="D47" s="253"/>
      <c r="E47" s="253"/>
      <c r="F47" s="253"/>
      <c r="G47" s="253"/>
      <c r="H47" s="253"/>
      <c r="I47" s="253"/>
      <c r="J47" s="253"/>
      <c r="K47" s="253"/>
      <c r="L47" s="253"/>
      <c r="M47" s="253"/>
      <c r="N47" s="253"/>
      <c r="O47" s="253"/>
      <c r="P47" s="253"/>
      <c r="Q47" s="253"/>
      <c r="R47" s="253"/>
      <c r="S47" s="253"/>
      <c r="T47" s="253"/>
      <c r="U47" s="253"/>
      <c r="V47" s="253"/>
      <c r="W47" s="253"/>
      <c r="X47"/>
      <c r="Y47"/>
      <c r="Z47"/>
    </row>
    <row r="48" spans="1:26" s="14" customFormat="1" x14ac:dyDescent="0.4">
      <c r="A48"/>
      <c r="B48" s="44" t="str">
        <f>"Debt sustainability assessment ("&amp;AdjustmentPeriod&amp;"-year adjustment period)"</f>
        <v>Debt sustainability assessment (4-year adjustment period)</v>
      </c>
      <c r="D48" s="165"/>
      <c r="E48" s="165"/>
      <c r="F48" s="165"/>
      <c r="G48" s="165"/>
      <c r="H48" s="165"/>
      <c r="I48" s="165"/>
      <c r="J48" s="165"/>
      <c r="K48" s="165"/>
      <c r="L48" s="165"/>
      <c r="M48" s="165"/>
      <c r="N48" s="165"/>
      <c r="O48" s="165"/>
      <c r="P48" s="165"/>
      <c r="Q48" s="165"/>
      <c r="R48" s="165"/>
      <c r="S48" s="165"/>
      <c r="T48" s="165"/>
      <c r="U48" s="165"/>
      <c r="V48" s="165"/>
      <c r="W48" s="165"/>
      <c r="X48"/>
    </row>
    <row r="49" spans="1:26" s="14" customFormat="1" x14ac:dyDescent="0.4">
      <c r="A49"/>
      <c r="B49" s="46" t="s">
        <v>285</v>
      </c>
      <c r="D49" s="119"/>
      <c r="E49" s="119"/>
      <c r="F49" s="119"/>
      <c r="G49" s="119"/>
      <c r="H49" s="119"/>
      <c r="I49" s="119"/>
      <c r="J49" s="119"/>
      <c r="K49" s="119"/>
      <c r="L49" s="119"/>
      <c r="M49" s="119"/>
      <c r="N49" s="119"/>
      <c r="O49" s="119"/>
      <c r="P49" s="119"/>
      <c r="Q49" s="119"/>
      <c r="R49" s="119"/>
      <c r="S49" s="119"/>
      <c r="T49" s="253"/>
      <c r="U49" s="253"/>
      <c r="V49" s="253"/>
      <c r="W49" s="253"/>
      <c r="X49"/>
    </row>
    <row r="50" spans="1:26" s="14" customFormat="1" ht="16.899999999999999" customHeight="1" x14ac:dyDescent="0.4">
      <c r="A50"/>
      <c r="B50" s="46" t="s">
        <v>286</v>
      </c>
      <c r="D50" s="119"/>
      <c r="E50" s="119"/>
      <c r="F50" s="119"/>
      <c r="G50" s="119"/>
      <c r="H50" s="119"/>
      <c r="I50" s="119"/>
      <c r="J50" s="119"/>
      <c r="K50" s="119"/>
      <c r="L50" s="119"/>
      <c r="M50" s="119"/>
      <c r="N50" s="119"/>
      <c r="O50" s="119"/>
      <c r="P50" s="119"/>
      <c r="Q50" s="119"/>
      <c r="R50" s="119"/>
      <c r="S50" s="119"/>
      <c r="T50" s="253"/>
      <c r="U50" s="253"/>
      <c r="V50" s="253"/>
      <c r="W50" s="253"/>
      <c r="X50"/>
    </row>
    <row r="51" spans="1:26" s="14" customFormat="1" x14ac:dyDescent="0.4">
      <c r="A51"/>
      <c r="B51" s="46" t="s">
        <v>287</v>
      </c>
      <c r="D51" s="119"/>
      <c r="E51" s="119"/>
      <c r="F51" s="119"/>
      <c r="G51" s="119"/>
      <c r="H51" s="119"/>
      <c r="I51" s="119"/>
      <c r="J51" s="119"/>
      <c r="K51" s="119"/>
      <c r="L51" s="119"/>
      <c r="M51" s="119"/>
      <c r="N51" s="119"/>
      <c r="O51" s="119"/>
      <c r="P51" s="119"/>
      <c r="Q51" s="119"/>
      <c r="R51" s="119"/>
      <c r="S51" s="119"/>
      <c r="T51" s="253"/>
      <c r="U51" s="253"/>
      <c r="V51" s="253"/>
      <c r="W51" s="253"/>
      <c r="X51"/>
    </row>
    <row r="52" spans="1:26" ht="20.25" customHeight="1" x14ac:dyDescent="0.4">
      <c r="B52" s="46" t="s">
        <v>288</v>
      </c>
      <c r="C52" s="14"/>
      <c r="D52" s="119"/>
      <c r="E52" s="119"/>
      <c r="F52" s="119"/>
      <c r="G52" s="119"/>
      <c r="H52" s="119"/>
      <c r="I52" s="119"/>
      <c r="J52" s="119"/>
      <c r="K52" s="119"/>
      <c r="L52" s="119"/>
      <c r="M52" s="119"/>
      <c r="N52" s="119"/>
      <c r="O52" s="119"/>
      <c r="P52" s="119"/>
      <c r="Q52" s="119"/>
      <c r="R52" s="119"/>
      <c r="S52" s="119"/>
      <c r="T52" s="253"/>
      <c r="U52" s="253"/>
      <c r="V52" s="253"/>
      <c r="W52" s="253"/>
      <c r="Y52" s="14"/>
      <c r="Z52" s="14"/>
    </row>
    <row r="53" spans="1:26" x14ac:dyDescent="0.4">
      <c r="B53" s="46" t="str">
        <f>"Stochastic debt projections, "&amp;AdjustmentPeriodEnd+1&amp;"-"&amp;StochasticLastYear</f>
        <v>Stochastic debt projections, 2029-2033</v>
      </c>
      <c r="C53" s="14"/>
      <c r="D53" s="253"/>
      <c r="E53" s="253"/>
      <c r="F53" s="253"/>
      <c r="G53" s="253"/>
      <c r="H53" s="253"/>
      <c r="I53" s="253"/>
      <c r="J53" s="253"/>
      <c r="K53" s="253"/>
      <c r="L53" s="253"/>
      <c r="M53" s="253"/>
      <c r="N53" s="253"/>
      <c r="O53" s="253"/>
      <c r="P53" s="253"/>
      <c r="Q53" s="253"/>
      <c r="R53" s="253"/>
      <c r="S53" s="253"/>
      <c r="T53" s="253"/>
      <c r="U53" s="253"/>
      <c r="V53" s="253"/>
      <c r="W53" s="253"/>
      <c r="Y53" s="14"/>
      <c r="Z53" s="14"/>
    </row>
    <row r="54" spans="1:26" x14ac:dyDescent="0.4">
      <c r="B54" s="82" t="s">
        <v>317</v>
      </c>
      <c r="C54" s="14"/>
      <c r="D54" s="253"/>
      <c r="E54" s="253"/>
      <c r="F54" s="253"/>
      <c r="G54" s="253"/>
      <c r="H54" s="253"/>
      <c r="I54" s="253"/>
      <c r="J54" s="253"/>
      <c r="K54" s="253"/>
      <c r="L54" s="253"/>
      <c r="M54" s="253"/>
      <c r="N54" s="253"/>
      <c r="O54" s="253"/>
      <c r="P54" s="253"/>
      <c r="Q54" s="253"/>
      <c r="R54" s="253"/>
      <c r="S54" s="253"/>
      <c r="T54" s="253"/>
      <c r="U54" s="253"/>
      <c r="V54" s="253"/>
      <c r="W54" s="253"/>
      <c r="Y54" s="14"/>
      <c r="Z54" s="14"/>
    </row>
    <row r="55" spans="1:26" x14ac:dyDescent="0.4">
      <c r="B55" s="82" t="s">
        <v>318</v>
      </c>
      <c r="C55" s="14"/>
      <c r="D55" s="253"/>
      <c r="E55" s="253"/>
      <c r="F55" s="253"/>
      <c r="G55" s="253"/>
      <c r="H55" s="253"/>
      <c r="I55" s="253"/>
      <c r="J55" s="253"/>
      <c r="K55" s="253"/>
      <c r="L55" s="253"/>
      <c r="M55" s="253"/>
      <c r="N55" s="253"/>
      <c r="O55" s="253"/>
      <c r="P55" s="253"/>
      <c r="Q55" s="253"/>
      <c r="R55" s="253"/>
      <c r="S55" s="253"/>
      <c r="T55" s="253"/>
      <c r="U55" s="253"/>
      <c r="V55" s="253"/>
      <c r="W55" s="253"/>
      <c r="Y55" s="14"/>
      <c r="Z55" s="14"/>
    </row>
    <row r="56" spans="1:26" x14ac:dyDescent="0.4">
      <c r="B56" s="82" t="s">
        <v>319</v>
      </c>
      <c r="C56" s="14"/>
      <c r="D56" s="253"/>
      <c r="E56" s="253"/>
      <c r="F56" s="253"/>
      <c r="G56" s="253"/>
      <c r="H56" s="253"/>
      <c r="I56" s="253"/>
      <c r="J56" s="253"/>
      <c r="K56" s="253"/>
      <c r="L56" s="253"/>
      <c r="M56" s="253"/>
      <c r="N56" s="253"/>
      <c r="O56" s="253"/>
      <c r="P56" s="253"/>
      <c r="Q56" s="253"/>
      <c r="R56" s="253"/>
      <c r="S56" s="253"/>
      <c r="T56" s="253"/>
      <c r="U56" s="253"/>
      <c r="V56" s="253"/>
      <c r="W56" s="253"/>
      <c r="Y56" s="14"/>
      <c r="Z56" s="14"/>
    </row>
    <row r="57" spans="1:26" x14ac:dyDescent="0.4">
      <c r="B57" s="82" t="s">
        <v>320</v>
      </c>
      <c r="C57" s="14"/>
      <c r="D57" s="253"/>
      <c r="E57" s="253"/>
      <c r="F57" s="253"/>
      <c r="G57" s="253"/>
      <c r="H57" s="253"/>
      <c r="I57" s="253"/>
      <c r="J57" s="253"/>
      <c r="K57" s="253"/>
      <c r="L57" s="253"/>
      <c r="M57" s="253"/>
      <c r="N57" s="253"/>
      <c r="O57" s="253"/>
      <c r="P57" s="253"/>
      <c r="Q57" s="253"/>
      <c r="R57" s="253"/>
      <c r="S57" s="253"/>
      <c r="T57" s="253"/>
      <c r="U57" s="253"/>
      <c r="V57" s="253"/>
      <c r="W57" s="253"/>
      <c r="Y57" s="14"/>
      <c r="Z57" s="14"/>
    </row>
    <row r="58" spans="1:26" s="14" customFormat="1" ht="20.25" customHeight="1" x14ac:dyDescent="0.4">
      <c r="A58"/>
      <c r="B58" s="82" t="s">
        <v>321</v>
      </c>
      <c r="D58" s="253"/>
      <c r="E58" s="253"/>
      <c r="F58" s="253"/>
      <c r="G58" s="253"/>
      <c r="H58" s="253"/>
      <c r="I58" s="253"/>
      <c r="J58" s="253"/>
      <c r="K58" s="253"/>
      <c r="L58" s="253"/>
      <c r="M58" s="253"/>
      <c r="N58" s="253"/>
      <c r="O58" s="253"/>
      <c r="P58" s="253"/>
      <c r="Q58" s="253"/>
      <c r="R58" s="253"/>
      <c r="S58" s="253"/>
      <c r="T58" s="253"/>
      <c r="U58" s="253"/>
      <c r="V58" s="253"/>
      <c r="W58" s="253"/>
      <c r="X58"/>
    </row>
    <row r="59" spans="1:26" s="14" customFormat="1" x14ac:dyDescent="0.4">
      <c r="A59"/>
      <c r="B59" s="82" t="s">
        <v>317</v>
      </c>
      <c r="D59" s="253"/>
      <c r="E59" s="253"/>
      <c r="F59" s="253"/>
      <c r="G59" s="253"/>
      <c r="H59" s="253"/>
      <c r="I59" s="253"/>
      <c r="J59" s="253"/>
      <c r="K59" s="253"/>
      <c r="L59" s="253"/>
      <c r="M59" s="253"/>
      <c r="N59" s="253"/>
      <c r="O59" s="253"/>
      <c r="P59" s="253"/>
      <c r="Q59" s="253"/>
      <c r="R59" s="253"/>
      <c r="S59" s="253"/>
      <c r="T59" s="253"/>
      <c r="U59" s="253"/>
      <c r="V59" s="253"/>
      <c r="W59" s="253"/>
      <c r="X59"/>
    </row>
    <row r="60" spans="1:26" s="14" customFormat="1" x14ac:dyDescent="0.4">
      <c r="A60"/>
      <c r="B60" s="82" t="s">
        <v>322</v>
      </c>
      <c r="D60" s="253"/>
      <c r="E60" s="253"/>
      <c r="F60" s="253"/>
      <c r="G60" s="253"/>
      <c r="H60" s="253"/>
      <c r="I60" s="253"/>
      <c r="J60" s="253"/>
      <c r="K60" s="253"/>
      <c r="L60" s="253"/>
      <c r="M60" s="253"/>
      <c r="N60" s="253"/>
      <c r="O60" s="253"/>
      <c r="P60" s="253"/>
      <c r="Q60" s="253"/>
      <c r="R60" s="253"/>
      <c r="S60" s="253"/>
      <c r="T60" s="253"/>
      <c r="U60" s="253"/>
      <c r="V60" s="253"/>
      <c r="W60" s="253"/>
      <c r="X60" s="70"/>
      <c r="Y60"/>
      <c r="Z60"/>
    </row>
    <row r="61" spans="1:26" s="14" customFormat="1" x14ac:dyDescent="0.4">
      <c r="A61"/>
      <c r="B61" s="82" t="s">
        <v>323</v>
      </c>
      <c r="D61" s="253"/>
      <c r="E61" s="253"/>
      <c r="F61" s="253"/>
      <c r="G61" s="253"/>
      <c r="H61" s="253"/>
      <c r="I61" s="253"/>
      <c r="J61" s="253"/>
      <c r="K61" s="253"/>
      <c r="L61" s="253"/>
      <c r="M61" s="253"/>
      <c r="N61" s="253"/>
      <c r="O61" s="253"/>
      <c r="P61" s="253"/>
      <c r="Q61" s="253"/>
      <c r="R61" s="253"/>
      <c r="S61" s="253"/>
      <c r="T61" s="253"/>
      <c r="U61" s="253"/>
      <c r="V61" s="253"/>
      <c r="W61" s="253"/>
      <c r="X61" s="70"/>
      <c r="Y61"/>
      <c r="Z61"/>
    </row>
    <row r="62" spans="1:26" s="14" customFormat="1" x14ac:dyDescent="0.4">
      <c r="A62"/>
      <c r="B62" s="82" t="s">
        <v>324</v>
      </c>
      <c r="D62" s="253"/>
      <c r="E62" s="253"/>
      <c r="F62" s="253"/>
      <c r="G62" s="253"/>
      <c r="H62" s="253"/>
      <c r="I62" s="253"/>
      <c r="J62" s="253"/>
      <c r="K62" s="253"/>
      <c r="L62" s="253"/>
      <c r="M62" s="253"/>
      <c r="N62" s="253"/>
      <c r="O62" s="253"/>
      <c r="P62" s="253"/>
      <c r="Q62" s="253"/>
      <c r="R62" s="253"/>
      <c r="S62" s="253"/>
      <c r="T62" s="253"/>
      <c r="U62" s="253"/>
      <c r="V62" s="253"/>
      <c r="W62" s="253"/>
      <c r="X62" s="70"/>
      <c r="Y62"/>
      <c r="Z62"/>
    </row>
    <row r="63" spans="1:26" s="14" customFormat="1" x14ac:dyDescent="0.4">
      <c r="A63"/>
      <c r="B63" s="83" t="s">
        <v>325</v>
      </c>
      <c r="C63" s="19"/>
      <c r="D63" s="253"/>
      <c r="E63" s="253"/>
      <c r="F63" s="253"/>
      <c r="G63" s="253"/>
      <c r="H63" s="253"/>
      <c r="I63" s="253"/>
      <c r="J63" s="253"/>
      <c r="K63" s="253"/>
      <c r="L63" s="253"/>
      <c r="M63" s="253"/>
      <c r="N63" s="253"/>
      <c r="O63" s="253"/>
      <c r="P63" s="253"/>
      <c r="Q63" s="253"/>
      <c r="R63" s="253"/>
      <c r="S63" s="253"/>
      <c r="T63" s="253"/>
      <c r="U63" s="253"/>
      <c r="V63" s="253"/>
      <c r="W63" s="253"/>
      <c r="X63" s="70"/>
      <c r="Y63"/>
      <c r="Z63"/>
    </row>
    <row r="64" spans="1:26" s="14" customFormat="1" x14ac:dyDescent="0.4">
      <c r="A64"/>
      <c r="B64"/>
      <c r="C64"/>
      <c r="D64"/>
      <c r="E64"/>
      <c r="F64"/>
      <c r="G64"/>
      <c r="H64"/>
      <c r="I64"/>
      <c r="J64"/>
      <c r="K64"/>
      <c r="L64"/>
      <c r="M64"/>
      <c r="N64"/>
      <c r="O64"/>
      <c r="P64"/>
      <c r="Q64"/>
      <c r="R64"/>
      <c r="S64"/>
      <c r="T64"/>
      <c r="U64"/>
      <c r="V64"/>
      <c r="W64"/>
      <c r="X64"/>
      <c r="Y64"/>
      <c r="Z64"/>
    </row>
    <row r="65" spans="1:26" s="14" customFormat="1" x14ac:dyDescent="0.4">
      <c r="A65"/>
      <c r="B65"/>
      <c r="C65"/>
      <c r="D65"/>
      <c r="E65"/>
      <c r="F65"/>
      <c r="G65"/>
      <c r="H65"/>
      <c r="I65"/>
      <c r="J65"/>
      <c r="K65"/>
      <c r="L65"/>
      <c r="M65"/>
      <c r="N65"/>
      <c r="O65"/>
      <c r="P65"/>
      <c r="Q65"/>
      <c r="R65"/>
      <c r="S65"/>
      <c r="T65"/>
      <c r="U65"/>
      <c r="V65"/>
      <c r="W65"/>
      <c r="X65"/>
      <c r="Y65"/>
      <c r="Z65"/>
    </row>
    <row r="66" spans="1:26" s="14" customFormat="1" x14ac:dyDescent="0.4">
      <c r="A66"/>
      <c r="B66"/>
      <c r="C66"/>
      <c r="D66"/>
      <c r="E66"/>
      <c r="F66"/>
      <c r="G66"/>
      <c r="H66"/>
      <c r="I66"/>
      <c r="J66"/>
      <c r="K66"/>
      <c r="L66"/>
      <c r="M66"/>
      <c r="N66"/>
      <c r="O66"/>
      <c r="P66"/>
      <c r="Q66"/>
      <c r="R66"/>
      <c r="S66"/>
      <c r="T66"/>
      <c r="U66"/>
      <c r="V66"/>
      <c r="W66"/>
      <c r="X66"/>
      <c r="Y66"/>
      <c r="Z66"/>
    </row>
    <row r="67" spans="1:26" s="14" customFormat="1" x14ac:dyDescent="0.4">
      <c r="A67"/>
      <c r="B67"/>
      <c r="C67"/>
      <c r="D67"/>
      <c r="E67"/>
      <c r="F67"/>
      <c r="G67"/>
      <c r="H67"/>
      <c r="I67"/>
      <c r="J67"/>
      <c r="K67"/>
      <c r="L67"/>
      <c r="M67"/>
      <c r="N67"/>
      <c r="O67"/>
      <c r="P67"/>
      <c r="Q67"/>
      <c r="R67"/>
      <c r="S67"/>
      <c r="T67"/>
      <c r="U67"/>
      <c r="V67"/>
      <c r="W67"/>
      <c r="X67"/>
      <c r="Y67"/>
      <c r="Z67"/>
    </row>
    <row r="68" spans="1:26" s="14" customFormat="1" ht="18" x14ac:dyDescent="0.55000000000000004">
      <c r="A68" s="50" t="s">
        <v>952</v>
      </c>
      <c r="B68"/>
      <c r="C68"/>
      <c r="D68"/>
      <c r="E68"/>
      <c r="F68"/>
      <c r="G68"/>
      <c r="H68"/>
      <c r="I68"/>
      <c r="J68"/>
      <c r="K68"/>
      <c r="L68"/>
      <c r="M68"/>
      <c r="N68"/>
      <c r="O68"/>
      <c r="P68"/>
      <c r="Q68"/>
      <c r="R68"/>
      <c r="S68"/>
      <c r="T68"/>
      <c r="U68"/>
      <c r="V68"/>
      <c r="W68"/>
      <c r="X68"/>
      <c r="Y68"/>
      <c r="Z68"/>
    </row>
    <row r="69" spans="1:26" s="14" customFormat="1" ht="23.25" x14ac:dyDescent="0.7">
      <c r="A69" s="13" t="s">
        <v>802</v>
      </c>
      <c r="B69"/>
      <c r="C69"/>
      <c r="D69"/>
      <c r="E69"/>
      <c r="F69"/>
      <c r="G69"/>
      <c r="H69"/>
      <c r="I69"/>
      <c r="J69"/>
      <c r="K69"/>
      <c r="L69"/>
      <c r="M69"/>
      <c r="N69"/>
      <c r="O69"/>
      <c r="P69"/>
      <c r="Q69"/>
      <c r="R69"/>
      <c r="S69"/>
      <c r="T69"/>
      <c r="U69"/>
      <c r="V69"/>
      <c r="W69"/>
      <c r="X69"/>
      <c r="Y69"/>
      <c r="Z69"/>
    </row>
    <row r="70" spans="1:26" x14ac:dyDescent="0.4">
      <c r="A70" s="234"/>
      <c r="B70" s="234"/>
      <c r="C70" s="234"/>
      <c r="D70" s="234">
        <f>MTP_BaseYear</f>
        <v>2023</v>
      </c>
      <c r="E70" s="234" cm="1">
        <f t="array" ref="E70:J70">_xlfn.SEQUENCE(1, MTP_EndYear-MTP_BaseYear+1, MTP_BaseYear)</f>
        <v>2023</v>
      </c>
      <c r="F70" s="234">
        <v>2024</v>
      </c>
      <c r="G70" s="234">
        <v>2025</v>
      </c>
      <c r="H70" s="234">
        <v>2026</v>
      </c>
      <c r="I70" s="234">
        <v>2027</v>
      </c>
      <c r="J70" s="234">
        <v>2028</v>
      </c>
    </row>
    <row r="71" spans="1:26" x14ac:dyDescent="0.4">
      <c r="A71" s="212"/>
      <c r="B71" s="212" t="s">
        <v>30</v>
      </c>
      <c r="C71" s="212" t="s">
        <v>31</v>
      </c>
      <c r="D71" s="235" t="s">
        <v>6</v>
      </c>
      <c r="E71" s="235" t="str" cm="1">
        <f t="array" ref="E71:J71">IF(ISNUMBER(_xlfn.ANCHORARRAY(E$70)),"% of GDP","")</f>
        <v>% of GDP</v>
      </c>
      <c r="F71" s="235" t="str">
        <v>% of GDP</v>
      </c>
      <c r="G71" s="235" t="str">
        <v>% of GDP</v>
      </c>
      <c r="H71" s="235" t="str">
        <v>% of GDP</v>
      </c>
      <c r="I71" s="235" t="str">
        <v>% of GDP</v>
      </c>
      <c r="J71" s="235" t="str">
        <v>% of GDP</v>
      </c>
    </row>
    <row r="72" spans="1:26" x14ac:dyDescent="0.4">
      <c r="A72" s="212">
        <v>1</v>
      </c>
      <c r="B72" s="238" t="s">
        <v>32</v>
      </c>
      <c r="C72" s="238" t="s">
        <v>72</v>
      </c>
      <c r="D72" s="4"/>
      <c r="E72" s="4"/>
      <c r="F72" s="4"/>
      <c r="G72" s="4"/>
      <c r="H72" s="4"/>
      <c r="I72" s="4"/>
      <c r="J72" s="4"/>
    </row>
    <row r="73" spans="1:26" x14ac:dyDescent="0.4">
      <c r="A73" s="212">
        <v>2</v>
      </c>
      <c r="B73" s="238" t="s">
        <v>33</v>
      </c>
      <c r="C73" s="238" t="s">
        <v>73</v>
      </c>
      <c r="D73" s="4"/>
      <c r="E73" s="4"/>
      <c r="F73" s="4"/>
      <c r="G73" s="4"/>
      <c r="H73" s="4"/>
      <c r="I73" s="4"/>
      <c r="J73" s="4"/>
    </row>
    <row r="74" spans="1:26" x14ac:dyDescent="0.4">
      <c r="A74" s="212">
        <v>3</v>
      </c>
      <c r="B74" s="238" t="s">
        <v>34</v>
      </c>
      <c r="C74" s="238" t="s">
        <v>74</v>
      </c>
      <c r="D74" s="4"/>
      <c r="E74" s="4"/>
      <c r="F74" s="4"/>
      <c r="G74" s="4"/>
      <c r="H74" s="4"/>
      <c r="I74" s="4"/>
      <c r="J74" s="4"/>
    </row>
    <row r="75" spans="1:26" x14ac:dyDescent="0.4">
      <c r="A75" s="212">
        <v>4</v>
      </c>
      <c r="B75" s="238" t="s">
        <v>36</v>
      </c>
      <c r="C75" s="238" t="s">
        <v>75</v>
      </c>
      <c r="D75" s="4"/>
      <c r="E75" s="4"/>
      <c r="F75" s="4"/>
      <c r="G75" s="4"/>
      <c r="H75" s="4"/>
      <c r="I75" s="4"/>
      <c r="J75" s="4"/>
    </row>
    <row r="76" spans="1:26" x14ac:dyDescent="0.4">
      <c r="A76" s="212">
        <v>5</v>
      </c>
      <c r="B76" s="238" t="s">
        <v>37</v>
      </c>
      <c r="C76" s="238" t="s">
        <v>76</v>
      </c>
      <c r="D76" s="4"/>
      <c r="E76" s="4"/>
      <c r="F76" s="4"/>
      <c r="G76" s="4"/>
      <c r="H76" s="4"/>
      <c r="I76" s="4"/>
      <c r="J76" s="4"/>
    </row>
    <row r="77" spans="1:26" x14ac:dyDescent="0.4">
      <c r="A77" s="212">
        <v>6</v>
      </c>
      <c r="B77" s="238" t="s">
        <v>38</v>
      </c>
      <c r="C77" s="238" t="s">
        <v>77</v>
      </c>
      <c r="D77" s="4"/>
      <c r="E77" s="4"/>
      <c r="F77" s="4"/>
      <c r="G77" s="4"/>
      <c r="H77" s="4"/>
      <c r="I77" s="4"/>
      <c r="J77" s="4"/>
    </row>
    <row r="78" spans="1:26" x14ac:dyDescent="0.4">
      <c r="A78" s="212">
        <v>7</v>
      </c>
      <c r="B78" s="238" t="s">
        <v>39</v>
      </c>
      <c r="C78" s="238" t="s">
        <v>78</v>
      </c>
      <c r="D78" s="238"/>
      <c r="E78" s="238"/>
      <c r="F78" s="238"/>
      <c r="G78" s="238"/>
      <c r="H78" s="238"/>
      <c r="I78" s="238"/>
      <c r="J78" s="238"/>
    </row>
    <row r="79" spans="1:26" x14ac:dyDescent="0.4">
      <c r="A79" s="212">
        <v>8</v>
      </c>
      <c r="B79" s="238" t="s">
        <v>40</v>
      </c>
      <c r="C79" s="238" t="s">
        <v>79</v>
      </c>
      <c r="D79" s="4"/>
      <c r="E79" s="4"/>
      <c r="F79" s="4"/>
      <c r="G79" s="4"/>
      <c r="H79" s="4"/>
      <c r="I79" s="4"/>
      <c r="J79" s="4"/>
    </row>
    <row r="80" spans="1:26" x14ac:dyDescent="0.4">
      <c r="A80" s="212">
        <v>9</v>
      </c>
      <c r="B80" s="238" t="s">
        <v>41</v>
      </c>
      <c r="C80" s="238"/>
      <c r="D80" s="238"/>
      <c r="E80" s="238"/>
      <c r="F80" s="238"/>
      <c r="G80" s="238"/>
      <c r="H80" s="238"/>
      <c r="I80" s="238"/>
      <c r="J80" s="238"/>
    </row>
    <row r="81" spans="1:10" x14ac:dyDescent="0.4">
      <c r="A81" s="212">
        <v>10</v>
      </c>
      <c r="B81" s="238" t="s">
        <v>42</v>
      </c>
      <c r="C81" s="238"/>
      <c r="D81" s="4"/>
      <c r="E81" s="4"/>
      <c r="F81" s="4"/>
      <c r="G81" s="4"/>
      <c r="H81" s="4"/>
      <c r="I81" s="4"/>
      <c r="J81" s="4"/>
    </row>
    <row r="82" spans="1:10" x14ac:dyDescent="0.4">
      <c r="A82" s="212">
        <v>11</v>
      </c>
      <c r="B82" s="238" t="s">
        <v>43</v>
      </c>
      <c r="C82" s="238"/>
      <c r="D82" s="4"/>
      <c r="E82" s="4"/>
      <c r="F82" s="4"/>
      <c r="G82" s="4"/>
      <c r="H82" s="4"/>
      <c r="I82" s="4"/>
      <c r="J82" s="4"/>
    </row>
    <row r="83" spans="1:10" x14ac:dyDescent="0.4">
      <c r="A83" s="212"/>
      <c r="B83" s="212" t="s">
        <v>29</v>
      </c>
      <c r="C83" s="212" t="s">
        <v>31</v>
      </c>
      <c r="D83" s="236" t="s">
        <v>6</v>
      </c>
      <c r="E83" s="236" t="str" cm="1">
        <f t="array" ref="E83:J83">IF(ISNUMBER(_xlfn.ANCHORARRAY(E$70)),"% of GDP","")</f>
        <v>% of GDP</v>
      </c>
      <c r="F83" s="236" t="str">
        <v>% of GDP</v>
      </c>
      <c r="G83" s="236" t="str">
        <v>% of GDP</v>
      </c>
      <c r="H83" s="236" t="str">
        <v>% of GDP</v>
      </c>
      <c r="I83" s="236" t="str">
        <v>% of GDP</v>
      </c>
      <c r="J83" s="236" t="str">
        <v>% of GDP</v>
      </c>
    </row>
    <row r="84" spans="1:10" x14ac:dyDescent="0.4">
      <c r="A84" s="212">
        <v>12</v>
      </c>
      <c r="B84" s="225" t="s">
        <v>44</v>
      </c>
      <c r="C84" s="225" t="s">
        <v>5</v>
      </c>
      <c r="D84" s="4"/>
      <c r="E84" s="4"/>
      <c r="F84" s="4"/>
      <c r="G84" s="4"/>
      <c r="H84" s="4"/>
      <c r="I84" s="4"/>
      <c r="J84" s="4"/>
    </row>
    <row r="85" spans="1:10" x14ac:dyDescent="0.4">
      <c r="A85" s="212">
        <v>13</v>
      </c>
      <c r="B85" s="225" t="s">
        <v>45</v>
      </c>
      <c r="C85" s="225" t="s">
        <v>80</v>
      </c>
      <c r="D85" s="4"/>
      <c r="E85" s="4"/>
      <c r="F85" s="4"/>
      <c r="G85" s="4"/>
      <c r="H85" s="4"/>
      <c r="I85" s="4"/>
      <c r="J85" s="4"/>
    </row>
    <row r="86" spans="1:10" x14ac:dyDescent="0.4">
      <c r="A86" s="212">
        <v>14</v>
      </c>
      <c r="B86" s="225" t="s">
        <v>46</v>
      </c>
      <c r="C86" s="225" t="s">
        <v>28</v>
      </c>
      <c r="D86" s="4"/>
      <c r="E86" s="4"/>
      <c r="F86" s="4"/>
      <c r="G86" s="4"/>
      <c r="H86" s="4"/>
      <c r="I86" s="4"/>
      <c r="J86" s="4"/>
    </row>
    <row r="87" spans="1:10" x14ac:dyDescent="0.4">
      <c r="A87" s="212">
        <v>15</v>
      </c>
      <c r="B87" s="225" t="s">
        <v>47</v>
      </c>
      <c r="C87" s="225" t="s">
        <v>81</v>
      </c>
      <c r="D87" s="4"/>
      <c r="E87" s="4"/>
      <c r="F87" s="4"/>
      <c r="G87" s="4"/>
      <c r="H87" s="4"/>
      <c r="I87" s="4"/>
      <c r="J87" s="4"/>
    </row>
    <row r="88" spans="1:10" x14ac:dyDescent="0.4">
      <c r="A88" s="212">
        <v>16</v>
      </c>
      <c r="B88" s="225" t="s">
        <v>48</v>
      </c>
      <c r="C88" s="225" t="s">
        <v>82</v>
      </c>
      <c r="D88" s="4"/>
      <c r="E88" s="4"/>
      <c r="F88" s="4"/>
      <c r="G88" s="4"/>
      <c r="H88" s="4"/>
      <c r="I88" s="4"/>
      <c r="J88" s="4"/>
    </row>
    <row r="89" spans="1:10" x14ac:dyDescent="0.4">
      <c r="A89" s="212">
        <v>17</v>
      </c>
      <c r="B89" s="225" t="s">
        <v>49</v>
      </c>
      <c r="C89" s="225" t="s">
        <v>83</v>
      </c>
      <c r="D89" s="4"/>
      <c r="E89" s="4"/>
      <c r="F89" s="4"/>
      <c r="G89" s="4"/>
      <c r="H89" s="4"/>
      <c r="I89" s="4"/>
      <c r="J89" s="4"/>
    </row>
    <row r="90" spans="1:10" x14ac:dyDescent="0.4">
      <c r="A90" s="212">
        <v>18</v>
      </c>
      <c r="B90" s="225" t="s">
        <v>50</v>
      </c>
      <c r="C90" s="225" t="s">
        <v>84</v>
      </c>
      <c r="D90" s="4"/>
      <c r="E90" s="4"/>
      <c r="F90" s="4"/>
      <c r="G90" s="4"/>
      <c r="H90" s="4"/>
      <c r="I90" s="4"/>
      <c r="J90" s="4"/>
    </row>
    <row r="91" spans="1:10" x14ac:dyDescent="0.4">
      <c r="A91" s="212">
        <v>19</v>
      </c>
      <c r="B91" s="225" t="s">
        <v>10</v>
      </c>
      <c r="C91" s="225" t="s">
        <v>4</v>
      </c>
      <c r="D91" s="4"/>
      <c r="E91" s="4"/>
      <c r="F91" s="4"/>
      <c r="G91" s="4"/>
      <c r="H91" s="4"/>
      <c r="I91" s="4"/>
      <c r="J91" s="4"/>
    </row>
    <row r="92" spans="1:10" x14ac:dyDescent="0.4">
      <c r="A92" s="212">
        <v>20</v>
      </c>
      <c r="B92" s="225" t="s">
        <v>51</v>
      </c>
      <c r="C92" s="225"/>
      <c r="D92" s="4"/>
      <c r="E92" s="4"/>
      <c r="F92" s="4"/>
      <c r="G92" s="4"/>
      <c r="H92" s="4"/>
      <c r="I92" s="4"/>
      <c r="J92" s="4"/>
    </row>
    <row r="93" spans="1:10" x14ac:dyDescent="0.4">
      <c r="A93" s="212">
        <v>21</v>
      </c>
      <c r="B93" s="225" t="s">
        <v>52</v>
      </c>
      <c r="C93" s="225" t="s">
        <v>85</v>
      </c>
      <c r="D93" s="4"/>
      <c r="E93" s="4"/>
      <c r="F93" s="4"/>
      <c r="G93" s="4"/>
      <c r="H93" s="4"/>
      <c r="I93" s="4"/>
      <c r="J93" s="4"/>
    </row>
    <row r="94" spans="1:10" x14ac:dyDescent="0.4">
      <c r="A94" s="212">
        <v>22</v>
      </c>
      <c r="B94" s="225" t="s">
        <v>53</v>
      </c>
      <c r="C94" s="225" t="s">
        <v>86</v>
      </c>
      <c r="D94" s="4"/>
      <c r="E94" s="4"/>
      <c r="F94" s="4"/>
      <c r="G94" s="4"/>
      <c r="H94" s="4"/>
      <c r="I94" s="4"/>
      <c r="J94" s="4"/>
    </row>
    <row r="95" spans="1:10" x14ac:dyDescent="0.4">
      <c r="A95" s="212">
        <v>23</v>
      </c>
      <c r="B95" s="225" t="s">
        <v>54</v>
      </c>
      <c r="C95" s="225" t="s">
        <v>87</v>
      </c>
      <c r="D95" s="238"/>
      <c r="E95" s="238"/>
      <c r="F95" s="238"/>
      <c r="G95" s="238"/>
      <c r="H95" s="238"/>
      <c r="I95" s="238"/>
      <c r="J95" s="238"/>
    </row>
    <row r="96" spans="1:10" x14ac:dyDescent="0.4">
      <c r="A96" s="212">
        <v>24</v>
      </c>
      <c r="B96" s="225" t="s">
        <v>55</v>
      </c>
      <c r="C96" s="225" t="s">
        <v>79</v>
      </c>
      <c r="D96" s="4"/>
      <c r="E96" s="4"/>
      <c r="F96" s="4"/>
      <c r="G96" s="4"/>
      <c r="H96" s="4"/>
      <c r="I96" s="4"/>
      <c r="J96" s="4"/>
    </row>
    <row r="97" spans="1:10" x14ac:dyDescent="0.4">
      <c r="A97" s="212">
        <v>25</v>
      </c>
      <c r="B97" s="225" t="s">
        <v>56</v>
      </c>
      <c r="C97" s="225"/>
      <c r="D97" s="238"/>
      <c r="E97" s="238"/>
      <c r="F97" s="238"/>
      <c r="G97" s="238"/>
      <c r="H97" s="238"/>
      <c r="I97" s="238"/>
      <c r="J97" s="238"/>
    </row>
    <row r="98" spans="1:10" x14ac:dyDescent="0.4">
      <c r="A98" s="212">
        <v>26</v>
      </c>
      <c r="B98" s="225" t="s">
        <v>751</v>
      </c>
      <c r="C98" s="225"/>
      <c r="D98" s="4"/>
      <c r="E98" s="4"/>
      <c r="F98" s="4"/>
      <c r="G98" s="4"/>
      <c r="H98" s="4"/>
      <c r="I98" s="4"/>
      <c r="J98" s="4"/>
    </row>
    <row r="99" spans="1:10" x14ac:dyDescent="0.4">
      <c r="A99" s="212">
        <v>27</v>
      </c>
      <c r="B99" s="225" t="s">
        <v>57</v>
      </c>
      <c r="C99" s="225"/>
      <c r="D99" s="4"/>
      <c r="E99" s="4"/>
      <c r="F99" s="4"/>
      <c r="G99" s="4"/>
      <c r="H99" s="4"/>
      <c r="I99" s="4"/>
      <c r="J99" s="4"/>
    </row>
    <row r="100" spans="1:10" x14ac:dyDescent="0.4">
      <c r="A100" s="212">
        <v>28</v>
      </c>
      <c r="B100" s="225" t="s">
        <v>58</v>
      </c>
      <c r="C100" s="225"/>
      <c r="D100" s="4"/>
      <c r="E100" s="4"/>
      <c r="F100" s="4"/>
      <c r="G100" s="4"/>
      <c r="H100" s="4"/>
      <c r="I100" s="4"/>
      <c r="J100" s="4"/>
    </row>
    <row r="101" spans="1:10" x14ac:dyDescent="0.4">
      <c r="A101" s="212">
        <v>29</v>
      </c>
      <c r="B101" s="225" t="s">
        <v>59</v>
      </c>
      <c r="C101" s="225"/>
      <c r="D101" s="238"/>
      <c r="E101" s="238"/>
      <c r="F101" s="238"/>
      <c r="G101" s="238"/>
      <c r="H101" s="238"/>
      <c r="I101" s="238"/>
      <c r="J101" s="238"/>
    </row>
    <row r="102" spans="1:10" x14ac:dyDescent="0.4">
      <c r="A102" s="212"/>
      <c r="B102" s="212" t="s">
        <v>35</v>
      </c>
      <c r="C102" s="212"/>
      <c r="D102" s="237"/>
      <c r="E102" s="237" t="str" cm="1">
        <f t="array" ref="E102:J102">IF(ISNUMBER(_xlfn.ANCHORARRAY(E$70)),"growth rate","")</f>
        <v>growth rate</v>
      </c>
      <c r="F102" s="237" t="str">
        <v>growth rate</v>
      </c>
      <c r="G102" s="237" t="str">
        <v>growth rate</v>
      </c>
      <c r="H102" s="237" t="str">
        <v>growth rate</v>
      </c>
      <c r="I102" s="237" t="str">
        <v>growth rate</v>
      </c>
      <c r="J102" s="237" t="str">
        <v>growth rate</v>
      </c>
    </row>
    <row r="103" spans="1:10" ht="14.25" x14ac:dyDescent="0.45">
      <c r="A103" s="212">
        <v>30</v>
      </c>
      <c r="B103" s="225" t="s">
        <v>826</v>
      </c>
      <c r="C103" s="225" t="s">
        <v>752</v>
      </c>
      <c r="D103" s="244"/>
      <c r="E103" s="4"/>
      <c r="F103" s="4"/>
      <c r="G103" s="4"/>
      <c r="H103" s="4"/>
      <c r="I103" s="4"/>
      <c r="J103" s="4"/>
    </row>
    <row r="104" spans="1:10" x14ac:dyDescent="0.4">
      <c r="A104" s="212"/>
      <c r="B104" s="212" t="s">
        <v>60</v>
      </c>
      <c r="C104" s="212"/>
      <c r="D104" s="237" t="s">
        <v>6</v>
      </c>
      <c r="E104" s="237" t="str" cm="1">
        <f t="array" ref="E104:J104">IF(ISNUMBER(_xlfn.ANCHORARRAY(E$70)),"% of GDP","")</f>
        <v>% of GDP</v>
      </c>
      <c r="F104" s="237" t="str">
        <v>% of GDP</v>
      </c>
      <c r="G104" s="237" t="str">
        <v>% of GDP</v>
      </c>
      <c r="H104" s="237" t="str">
        <v>% of GDP</v>
      </c>
      <c r="I104" s="237" t="str">
        <v>% of GDP</v>
      </c>
      <c r="J104" s="237" t="str">
        <v>% of GDP</v>
      </c>
    </row>
    <row r="105" spans="1:10" x14ac:dyDescent="0.4">
      <c r="A105" s="212">
        <v>31</v>
      </c>
      <c r="B105" s="225" t="s">
        <v>61</v>
      </c>
      <c r="C105" s="225" t="s">
        <v>27</v>
      </c>
      <c r="D105" s="4"/>
      <c r="E105" s="4"/>
      <c r="F105" s="4"/>
      <c r="G105" s="4"/>
      <c r="H105" s="4"/>
      <c r="I105" s="4"/>
      <c r="J105" s="4"/>
    </row>
    <row r="106" spans="1:10" x14ac:dyDescent="0.4">
      <c r="A106" s="212">
        <v>32</v>
      </c>
      <c r="B106" s="225" t="s">
        <v>62</v>
      </c>
      <c r="C106" s="225" t="s">
        <v>88</v>
      </c>
      <c r="D106" s="4"/>
      <c r="E106" s="4"/>
      <c r="F106" s="4"/>
      <c r="G106" s="4"/>
      <c r="H106" s="4"/>
      <c r="I106" s="4"/>
      <c r="J106" s="4"/>
    </row>
    <row r="107" spans="1:10" x14ac:dyDescent="0.4">
      <c r="A107" s="212"/>
      <c r="B107" s="212" t="s">
        <v>63</v>
      </c>
      <c r="C107" s="212"/>
      <c r="D107" s="237"/>
      <c r="E107" s="237" t="str" cm="1">
        <f t="array" ref="E107:J107">IF(ISNUMBER(_xlfn.ANCHORARRAY(E$70)),"% of GDP","")</f>
        <v>% of GDP</v>
      </c>
      <c r="F107" s="237" t="str">
        <v>% of GDP</v>
      </c>
      <c r="G107" s="237" t="str">
        <v>% of GDP</v>
      </c>
      <c r="H107" s="237" t="str">
        <v>% of GDP</v>
      </c>
      <c r="I107" s="237" t="str">
        <v>% of GDP</v>
      </c>
      <c r="J107" s="237" t="str">
        <v>% of GDP</v>
      </c>
    </row>
    <row r="108" spans="1:10" ht="14.25" x14ac:dyDescent="0.45">
      <c r="A108" s="212">
        <v>33</v>
      </c>
      <c r="B108" s="239" t="s">
        <v>0</v>
      </c>
      <c r="C108" s="239"/>
      <c r="D108" s="244"/>
      <c r="E108" s="4"/>
      <c r="F108" s="4"/>
      <c r="G108" s="4"/>
      <c r="H108" s="4"/>
      <c r="I108" s="4"/>
      <c r="J108" s="4"/>
    </row>
    <row r="109" spans="1:10" ht="14.25" x14ac:dyDescent="0.45">
      <c r="A109" s="212">
        <v>34</v>
      </c>
      <c r="B109" s="239" t="s">
        <v>3</v>
      </c>
      <c r="C109" s="239"/>
      <c r="D109" s="244"/>
      <c r="E109" s="4"/>
      <c r="F109" s="4"/>
      <c r="G109" s="4"/>
      <c r="H109" s="4"/>
      <c r="I109" s="4"/>
      <c r="J109" s="4"/>
    </row>
    <row r="110" spans="1:10" x14ac:dyDescent="0.4">
      <c r="A110" s="212"/>
      <c r="B110" s="212" t="s">
        <v>20</v>
      </c>
      <c r="C110" s="212"/>
      <c r="D110" s="237" t="s">
        <v>6</v>
      </c>
      <c r="E110" s="237" t="s">
        <v>603</v>
      </c>
      <c r="F110" s="237" t="s">
        <v>603</v>
      </c>
      <c r="G110" s="237" t="s">
        <v>603</v>
      </c>
      <c r="H110" s="237"/>
      <c r="I110" s="237"/>
      <c r="J110" s="237"/>
    </row>
    <row r="111" spans="1:10" x14ac:dyDescent="0.4">
      <c r="A111" s="212">
        <v>35</v>
      </c>
      <c r="B111" s="225" t="s">
        <v>1</v>
      </c>
      <c r="C111" s="225"/>
      <c r="D111" s="4"/>
      <c r="E111" s="4"/>
      <c r="F111" s="4"/>
      <c r="G111" s="4"/>
      <c r="H111" s="4"/>
      <c r="I111" s="4"/>
      <c r="J111" s="4"/>
    </row>
    <row r="112" spans="1:10" x14ac:dyDescent="0.4">
      <c r="A112" s="212">
        <v>36</v>
      </c>
      <c r="B112" s="225" t="s">
        <v>2</v>
      </c>
      <c r="C112" s="225"/>
      <c r="D112" s="4"/>
      <c r="E112" s="4"/>
      <c r="F112" s="4"/>
      <c r="G112" s="4"/>
      <c r="H112" s="4"/>
      <c r="I112" s="4"/>
      <c r="J112" s="4"/>
    </row>
    <row r="113" spans="1:13" x14ac:dyDescent="0.4">
      <c r="A113" s="212">
        <v>37</v>
      </c>
      <c r="B113" s="225" t="s">
        <v>64</v>
      </c>
      <c r="C113" s="225"/>
      <c r="D113" s="242"/>
      <c r="E113" s="242"/>
      <c r="F113" s="242"/>
      <c r="G113" s="242"/>
      <c r="H113" s="238"/>
      <c r="I113" s="238"/>
      <c r="J113" s="238"/>
    </row>
    <row r="114" spans="1:13" ht="14.25" x14ac:dyDescent="0.45">
      <c r="A114" s="212">
        <v>38</v>
      </c>
      <c r="B114" s="240" t="s">
        <v>753</v>
      </c>
      <c r="C114" s="225"/>
      <c r="D114" s="244"/>
      <c r="E114" s="4"/>
      <c r="F114" s="4"/>
      <c r="G114" s="4"/>
      <c r="H114" s="4"/>
      <c r="I114" s="4"/>
      <c r="J114" s="4"/>
    </row>
    <row r="115" spans="1:13" ht="14.25" x14ac:dyDescent="0.45">
      <c r="A115" s="212">
        <v>39</v>
      </c>
      <c r="B115" s="240" t="s">
        <v>754</v>
      </c>
      <c r="C115" s="225"/>
      <c r="D115" s="244"/>
      <c r="E115" s="4"/>
      <c r="F115" s="4"/>
      <c r="G115" s="4"/>
      <c r="H115" s="4"/>
      <c r="I115" s="4"/>
      <c r="J115" s="4"/>
    </row>
    <row r="116" spans="1:13" ht="14.25" x14ac:dyDescent="0.45">
      <c r="A116" s="212">
        <v>40</v>
      </c>
      <c r="B116" s="241" t="s">
        <v>755</v>
      </c>
      <c r="C116" s="225"/>
      <c r="D116" s="244"/>
      <c r="E116" s="4"/>
      <c r="F116" s="4"/>
      <c r="G116" s="4"/>
      <c r="H116" s="4"/>
      <c r="I116" s="4"/>
      <c r="J116" s="4"/>
    </row>
    <row r="117" spans="1:13" ht="14.25" x14ac:dyDescent="0.45">
      <c r="A117" s="212">
        <v>41</v>
      </c>
      <c r="B117" s="241" t="s">
        <v>756</v>
      </c>
      <c r="C117" s="225"/>
      <c r="D117" s="244"/>
      <c r="E117" s="4"/>
      <c r="F117" s="4"/>
      <c r="G117" s="4"/>
      <c r="H117" s="4"/>
      <c r="I117" s="4"/>
      <c r="J117" s="4"/>
    </row>
    <row r="118" spans="1:13" ht="14.25" x14ac:dyDescent="0.45">
      <c r="A118" s="212">
        <v>42</v>
      </c>
      <c r="B118" s="241" t="s">
        <v>757</v>
      </c>
      <c r="C118" s="225"/>
      <c r="D118" s="244"/>
      <c r="E118" s="4"/>
      <c r="F118" s="4"/>
      <c r="G118" s="4"/>
      <c r="H118" s="4"/>
      <c r="I118" s="4"/>
      <c r="J118" s="4"/>
    </row>
    <row r="119" spans="1:13" ht="14.25" x14ac:dyDescent="0.45">
      <c r="A119" s="212">
        <v>43</v>
      </c>
      <c r="B119" s="240" t="s">
        <v>758</v>
      </c>
      <c r="C119" s="225"/>
      <c r="D119" s="244"/>
      <c r="E119" s="4"/>
      <c r="F119" s="4"/>
      <c r="G119" s="4"/>
      <c r="H119" s="4"/>
      <c r="I119" s="4"/>
      <c r="J119" s="4"/>
    </row>
    <row r="120" spans="1:13" x14ac:dyDescent="0.4">
      <c r="A120" s="212"/>
      <c r="B120" s="212"/>
      <c r="C120" s="212"/>
      <c r="D120" s="237"/>
      <c r="E120" s="236" t="str" cm="1">
        <f t="array" ref="E120:J120">IF(ISNUMBER(_xlfn.ANCHORARRAY(E$70)),"%","")</f>
        <v>%</v>
      </c>
      <c r="F120" s="236" t="str">
        <v>%</v>
      </c>
      <c r="G120" s="236" t="str">
        <v>%</v>
      </c>
      <c r="H120" s="236" t="str">
        <v>%</v>
      </c>
      <c r="I120" s="236" t="str">
        <v>%</v>
      </c>
      <c r="J120" s="236" t="str">
        <v>%</v>
      </c>
    </row>
    <row r="121" spans="1:13" ht="14.25" x14ac:dyDescent="0.45">
      <c r="A121" s="212">
        <v>44</v>
      </c>
      <c r="B121" s="227" t="s">
        <v>71</v>
      </c>
      <c r="C121" s="227"/>
      <c r="D121" s="245"/>
      <c r="E121" s="4"/>
      <c r="F121" s="4"/>
      <c r="G121" s="4"/>
      <c r="H121" s="4"/>
      <c r="I121" s="4"/>
      <c r="J121" s="4"/>
      <c r="M121" s="4"/>
    </row>
    <row r="122" spans="1:13" x14ac:dyDescent="0.4">
      <c r="A122" s="212"/>
      <c r="B122" s="212"/>
      <c r="C122" s="212"/>
      <c r="D122" s="237" t="s">
        <v>6</v>
      </c>
      <c r="E122" s="237" t="s">
        <v>603</v>
      </c>
      <c r="F122" s="237" t="s">
        <v>603</v>
      </c>
      <c r="G122" s="237" t="s">
        <v>603</v>
      </c>
      <c r="H122" s="237" t="s">
        <v>603</v>
      </c>
      <c r="I122" s="237" t="s">
        <v>603</v>
      </c>
      <c r="J122" s="237" t="s">
        <v>603</v>
      </c>
    </row>
    <row r="123" spans="1:13" x14ac:dyDescent="0.4">
      <c r="A123" s="212">
        <v>45</v>
      </c>
      <c r="B123" s="239" t="s">
        <v>759</v>
      </c>
      <c r="C123" s="239" t="s">
        <v>760</v>
      </c>
      <c r="D123" s="4"/>
      <c r="E123" s="4"/>
      <c r="F123" s="4"/>
      <c r="G123" s="4"/>
      <c r="H123" s="4"/>
      <c r="I123" s="4"/>
      <c r="J123" s="4"/>
    </row>
    <row r="124" spans="1:13" x14ac:dyDescent="0.4">
      <c r="A124" s="212">
        <v>46</v>
      </c>
      <c r="B124" s="239" t="s">
        <v>761</v>
      </c>
      <c r="C124" s="239" t="s">
        <v>762</v>
      </c>
      <c r="D124" s="4"/>
      <c r="E124" s="4"/>
      <c r="F124" s="4"/>
      <c r="G124" s="4"/>
      <c r="H124" s="4"/>
      <c r="I124" s="4"/>
      <c r="J124" s="4"/>
    </row>
    <row r="127" spans="1:13" ht="23.25" x14ac:dyDescent="0.7">
      <c r="A127" s="13" t="s">
        <v>803</v>
      </c>
    </row>
    <row r="128" spans="1:13" x14ac:dyDescent="0.4">
      <c r="A128" s="234"/>
      <c r="B128" s="234" t="s">
        <v>8</v>
      </c>
      <c r="C128" s="234" t="s">
        <v>31</v>
      </c>
      <c r="D128" s="234">
        <f>MTP_BaseYear</f>
        <v>2023</v>
      </c>
      <c r="E128" s="234" cm="1">
        <f t="array" ref="E128:J128">_xlfn.SEQUENCE(1, MTP_EndYear-MTP_BaseYear+1, MTP_BaseYear)</f>
        <v>2023</v>
      </c>
      <c r="F128" s="234">
        <v>2024</v>
      </c>
      <c r="G128" s="234">
        <v>2025</v>
      </c>
      <c r="H128" s="234">
        <v>2026</v>
      </c>
      <c r="I128" s="234">
        <v>2027</v>
      </c>
      <c r="J128" s="234">
        <v>2028</v>
      </c>
    </row>
    <row r="129" spans="1:10" x14ac:dyDescent="0.4">
      <c r="A129" s="212"/>
      <c r="B129" s="212"/>
      <c r="C129" s="212"/>
      <c r="D129" s="235" t="s">
        <v>6</v>
      </c>
      <c r="E129" s="235" t="str" cm="1">
        <f t="array" ref="E129:J129">IF(ISNUMBER(_xlfn.ANCHORARRAY(E$70)),"growth rate","")</f>
        <v>growth rate</v>
      </c>
      <c r="F129" s="235" t="str">
        <v>growth rate</v>
      </c>
      <c r="G129" s="235" t="str">
        <v>growth rate</v>
      </c>
      <c r="H129" s="235" t="str">
        <v>growth rate</v>
      </c>
      <c r="I129" s="235" t="str">
        <v>growth rate</v>
      </c>
      <c r="J129" s="235" t="str">
        <v>growth rate</v>
      </c>
    </row>
    <row r="130" spans="1:10" ht="14.25" x14ac:dyDescent="0.45">
      <c r="A130" s="212">
        <v>1</v>
      </c>
      <c r="B130" s="225" t="s">
        <v>7</v>
      </c>
      <c r="C130" s="225" t="s">
        <v>763</v>
      </c>
      <c r="D130" s="246"/>
      <c r="H130" s="4"/>
      <c r="I130" s="4"/>
      <c r="J130" s="4"/>
    </row>
    <row r="131" spans="1:10" ht="14.25" x14ac:dyDescent="0.45">
      <c r="A131" s="212">
        <v>2</v>
      </c>
      <c r="B131" s="225" t="s">
        <v>8</v>
      </c>
      <c r="C131" s="225"/>
      <c r="D131" s="246"/>
      <c r="H131" s="4"/>
      <c r="I131" s="4"/>
      <c r="J131" s="4"/>
    </row>
    <row r="132" spans="1:10" x14ac:dyDescent="0.4">
      <c r="A132" s="212">
        <v>3</v>
      </c>
      <c r="B132" s="225" t="s">
        <v>9</v>
      </c>
      <c r="C132" s="225" t="s">
        <v>763</v>
      </c>
      <c r="D132" s="144"/>
      <c r="H132" s="4"/>
      <c r="I132" s="4"/>
      <c r="J132" s="4"/>
    </row>
    <row r="133" spans="1:10" x14ac:dyDescent="0.4">
      <c r="A133" s="212"/>
      <c r="B133" s="212" t="s">
        <v>764</v>
      </c>
      <c r="C133" s="212"/>
      <c r="D133" s="235" t="s">
        <v>6</v>
      </c>
      <c r="E133" s="235" t="str" cm="1">
        <f t="array" ref="E133:J133">IF(ISNUMBER(_xlfn.ANCHORARRAY(E$70)),"growth rate","")</f>
        <v>growth rate</v>
      </c>
      <c r="F133" s="235" t="str">
        <v>growth rate</v>
      </c>
      <c r="G133" s="235" t="str">
        <v>growth rate</v>
      </c>
      <c r="H133" s="236" t="str">
        <v>growth rate</v>
      </c>
      <c r="I133" s="236" t="str">
        <v>growth rate</v>
      </c>
      <c r="J133" s="236" t="str">
        <v>growth rate</v>
      </c>
    </row>
    <row r="134" spans="1:10" ht="14.25" x14ac:dyDescent="0.45">
      <c r="A134" s="212">
        <v>4</v>
      </c>
      <c r="B134" s="225" t="s">
        <v>765</v>
      </c>
      <c r="C134" s="225" t="s">
        <v>766</v>
      </c>
      <c r="D134" s="246"/>
      <c r="H134" s="4"/>
      <c r="I134" s="4"/>
      <c r="J134" s="4"/>
    </row>
    <row r="135" spans="1:10" ht="14.25" x14ac:dyDescent="0.45">
      <c r="A135" s="212">
        <v>5</v>
      </c>
      <c r="B135" s="225" t="s">
        <v>767</v>
      </c>
      <c r="C135" s="225" t="s">
        <v>766</v>
      </c>
      <c r="D135" s="246"/>
      <c r="H135" s="4"/>
      <c r="I135" s="4"/>
      <c r="J135" s="4"/>
    </row>
    <row r="136" spans="1:10" ht="14.25" x14ac:dyDescent="0.45">
      <c r="A136" s="212">
        <v>6</v>
      </c>
      <c r="B136" s="225" t="s">
        <v>10</v>
      </c>
      <c r="C136" s="225" t="s">
        <v>4</v>
      </c>
      <c r="D136" s="246"/>
      <c r="H136" s="4"/>
      <c r="I136" s="4"/>
      <c r="J136" s="4"/>
    </row>
    <row r="137" spans="1:10" ht="14.25" x14ac:dyDescent="0.45">
      <c r="A137" s="212">
        <v>7</v>
      </c>
      <c r="B137" s="225" t="s">
        <v>768</v>
      </c>
      <c r="C137" s="225" t="s">
        <v>769</v>
      </c>
      <c r="D137" s="246"/>
      <c r="E137" s="247"/>
      <c r="F137" s="247"/>
      <c r="G137" s="247"/>
      <c r="H137" s="248"/>
      <c r="I137" s="248"/>
      <c r="J137" s="248"/>
    </row>
    <row r="138" spans="1:10" ht="14.25" x14ac:dyDescent="0.45">
      <c r="A138" s="212">
        <v>8</v>
      </c>
      <c r="B138" s="225" t="s">
        <v>770</v>
      </c>
      <c r="C138" s="225" t="s">
        <v>771</v>
      </c>
      <c r="D138" s="246"/>
      <c r="H138" s="4"/>
      <c r="I138" s="4"/>
      <c r="J138" s="4"/>
    </row>
    <row r="139" spans="1:10" ht="14.25" x14ac:dyDescent="0.45">
      <c r="A139" s="212">
        <v>9</v>
      </c>
      <c r="B139" s="225" t="s">
        <v>772</v>
      </c>
      <c r="C139" s="225" t="s">
        <v>773</v>
      </c>
      <c r="D139" s="246"/>
      <c r="H139" s="4"/>
      <c r="I139" s="4"/>
      <c r="J139" s="4"/>
    </row>
    <row r="140" spans="1:10" x14ac:dyDescent="0.4">
      <c r="A140" s="212"/>
      <c r="B140" s="225" t="s">
        <v>774</v>
      </c>
      <c r="C140" s="225"/>
      <c r="D140" s="225"/>
      <c r="E140" s="225"/>
      <c r="F140" s="225"/>
      <c r="G140" s="225"/>
      <c r="H140" s="242"/>
      <c r="I140" s="242"/>
      <c r="J140" s="242"/>
    </row>
    <row r="141" spans="1:10" ht="14.25" x14ac:dyDescent="0.45">
      <c r="A141" s="212">
        <v>10</v>
      </c>
      <c r="B141" s="243" t="s">
        <v>775</v>
      </c>
      <c r="C141" s="225"/>
      <c r="D141" s="246"/>
      <c r="H141" s="4"/>
      <c r="I141" s="4"/>
      <c r="J141" s="4"/>
    </row>
    <row r="142" spans="1:10" ht="14.25" x14ac:dyDescent="0.45">
      <c r="A142" s="212">
        <v>11</v>
      </c>
      <c r="B142" s="243" t="s">
        <v>776</v>
      </c>
      <c r="C142" s="225" t="s">
        <v>769</v>
      </c>
      <c r="D142" s="246"/>
      <c r="H142" s="4"/>
      <c r="I142" s="4"/>
      <c r="J142" s="4"/>
    </row>
    <row r="143" spans="1:10" ht="14.25" x14ac:dyDescent="0.45">
      <c r="A143" s="212">
        <v>12</v>
      </c>
      <c r="B143" s="243" t="s">
        <v>777</v>
      </c>
      <c r="C143" s="225" t="s">
        <v>778</v>
      </c>
      <c r="D143" s="246"/>
      <c r="H143" s="4"/>
      <c r="I143" s="4"/>
      <c r="J143" s="4"/>
    </row>
    <row r="144" spans="1:10" x14ac:dyDescent="0.4">
      <c r="A144" s="212"/>
      <c r="B144" s="212" t="s">
        <v>779</v>
      </c>
      <c r="C144" s="212"/>
      <c r="D144" s="235"/>
      <c r="E144" s="235" t="str" cm="1">
        <f t="array" ref="E144:J144">IF(ISNUMBER(_xlfn.ANCHORARRAY(E$70)),"growth rate","")</f>
        <v>growth rate</v>
      </c>
      <c r="F144" s="235" t="str">
        <v>growth rate</v>
      </c>
      <c r="G144" s="235" t="str">
        <v>growth rate</v>
      </c>
      <c r="H144" s="236" t="str">
        <v>growth rate</v>
      </c>
      <c r="I144" s="236" t="str">
        <v>growth rate</v>
      </c>
      <c r="J144" s="236" t="str">
        <v>growth rate</v>
      </c>
    </row>
    <row r="145" spans="1:10" ht="14.25" x14ac:dyDescent="0.45">
      <c r="A145" s="212">
        <v>13</v>
      </c>
      <c r="B145" s="225" t="s">
        <v>780</v>
      </c>
      <c r="C145" s="225"/>
      <c r="D145" s="246"/>
      <c r="H145" s="4"/>
      <c r="I145" s="4"/>
      <c r="J145" s="4"/>
    </row>
    <row r="146" spans="1:10" ht="14.25" x14ac:dyDescent="0.45">
      <c r="A146" s="212">
        <v>14</v>
      </c>
      <c r="B146" s="240" t="s">
        <v>781</v>
      </c>
      <c r="C146" s="225"/>
      <c r="D146" s="246"/>
      <c r="H146" s="4"/>
      <c r="I146" s="4"/>
      <c r="J146" s="4"/>
    </row>
    <row r="147" spans="1:10" ht="14.25" x14ac:dyDescent="0.45">
      <c r="A147" s="212">
        <v>15</v>
      </c>
      <c r="B147" s="225" t="s">
        <v>782</v>
      </c>
      <c r="C147" s="225"/>
      <c r="D147" s="246"/>
      <c r="H147" s="4"/>
      <c r="I147" s="4"/>
      <c r="J147" s="4"/>
    </row>
    <row r="148" spans="1:10" ht="14.25" x14ac:dyDescent="0.45">
      <c r="A148" s="212">
        <v>16</v>
      </c>
      <c r="B148" s="225" t="s">
        <v>783</v>
      </c>
      <c r="C148" s="225"/>
      <c r="D148" s="246"/>
      <c r="H148" s="4"/>
      <c r="I148" s="4"/>
      <c r="J148" s="4"/>
    </row>
    <row r="149" spans="1:10" ht="14.25" x14ac:dyDescent="0.45">
      <c r="A149" s="212">
        <v>17</v>
      </c>
      <c r="B149" s="225" t="s">
        <v>784</v>
      </c>
      <c r="C149" s="225"/>
      <c r="D149" s="246"/>
      <c r="H149" s="4"/>
      <c r="I149" s="4"/>
      <c r="J149" s="4"/>
    </row>
    <row r="150" spans="1:10" ht="14.25" x14ac:dyDescent="0.45">
      <c r="A150" s="212">
        <v>18</v>
      </c>
      <c r="B150" s="225" t="s">
        <v>785</v>
      </c>
      <c r="C150" s="225"/>
      <c r="D150" s="246"/>
      <c r="H150" s="4"/>
      <c r="I150" s="4"/>
      <c r="J150" s="4"/>
    </row>
    <row r="151" spans="1:10" x14ac:dyDescent="0.4">
      <c r="A151" s="212"/>
      <c r="B151" s="212" t="s">
        <v>786</v>
      </c>
      <c r="C151" s="212" t="s">
        <v>26</v>
      </c>
      <c r="D151" s="235" t="s">
        <v>787</v>
      </c>
      <c r="E151" s="235" t="str" cm="1">
        <f t="array" ref="E151:J151">IF(ISNUMBER(_xlfn.ANCHORARRAY(E$70)),"growth rate","")</f>
        <v>growth rate</v>
      </c>
      <c r="F151" s="235" t="str">
        <v>growth rate</v>
      </c>
      <c r="G151" s="235" t="str">
        <v>growth rate</v>
      </c>
      <c r="H151" s="236" t="str">
        <v>growth rate</v>
      </c>
      <c r="I151" s="236" t="str">
        <v>growth rate</v>
      </c>
      <c r="J151" s="236" t="str">
        <v>growth rate</v>
      </c>
    </row>
    <row r="152" spans="1:10" x14ac:dyDescent="0.4">
      <c r="A152" s="212">
        <v>19</v>
      </c>
      <c r="B152" s="225" t="s">
        <v>788</v>
      </c>
      <c r="C152" s="225"/>
      <c r="D152" s="144"/>
      <c r="E152" s="3"/>
      <c r="G152" s="3"/>
      <c r="H152" s="64"/>
      <c r="I152" s="64"/>
      <c r="J152" s="64"/>
    </row>
    <row r="153" spans="1:10" x14ac:dyDescent="0.4">
      <c r="A153" s="212">
        <v>20</v>
      </c>
      <c r="B153" s="225" t="s">
        <v>789</v>
      </c>
      <c r="C153" s="225"/>
      <c r="D153" s="144"/>
      <c r="H153" s="4"/>
      <c r="I153" s="4"/>
      <c r="J153" s="4"/>
    </row>
    <row r="154" spans="1:10" ht="14.25" x14ac:dyDescent="0.45">
      <c r="A154" s="212">
        <v>21</v>
      </c>
      <c r="B154" s="225" t="s">
        <v>790</v>
      </c>
      <c r="C154" s="225"/>
      <c r="D154" s="246"/>
      <c r="H154" s="4"/>
      <c r="I154" s="4"/>
      <c r="J154" s="4"/>
    </row>
    <row r="155" spans="1:10" ht="14.25" x14ac:dyDescent="0.45">
      <c r="A155" s="212">
        <v>22</v>
      </c>
      <c r="B155" s="225" t="s">
        <v>791</v>
      </c>
      <c r="C155" s="225"/>
      <c r="D155" s="246"/>
      <c r="H155" s="4"/>
      <c r="I155" s="4"/>
      <c r="J155" s="4"/>
    </row>
    <row r="156" spans="1:10" x14ac:dyDescent="0.4">
      <c r="A156" s="212">
        <v>23</v>
      </c>
      <c r="B156" s="225" t="s">
        <v>792</v>
      </c>
      <c r="C156" s="225" t="s">
        <v>5</v>
      </c>
      <c r="D156" s="144"/>
      <c r="H156" s="4"/>
      <c r="I156" s="4"/>
      <c r="J156" s="4"/>
    </row>
    <row r="157" spans="1:10" x14ac:dyDescent="0.4">
      <c r="A157" s="212">
        <v>24</v>
      </c>
      <c r="B157" s="225" t="s">
        <v>793</v>
      </c>
      <c r="C157" s="225"/>
      <c r="H157" s="4"/>
      <c r="I157" s="4"/>
      <c r="J157" s="4"/>
    </row>
    <row r="158" spans="1:10" x14ac:dyDescent="0.4">
      <c r="A158" s="212"/>
      <c r="B158" s="212"/>
      <c r="C158" s="212"/>
      <c r="D158" s="235"/>
      <c r="E158" s="235" t="str" cm="1">
        <f t="array" ref="E158:J158">IF(ISNUMBER(_xlfn.ANCHORARRAY(E$70)),"%","")</f>
        <v>%</v>
      </c>
      <c r="F158" s="235" t="str">
        <v>%</v>
      </c>
      <c r="G158" s="235" t="str">
        <v>%</v>
      </c>
      <c r="H158" s="236" t="str">
        <v>%</v>
      </c>
      <c r="I158" s="236" t="str">
        <v>%</v>
      </c>
      <c r="J158" s="236" t="str">
        <v>%</v>
      </c>
    </row>
    <row r="159" spans="1:10" ht="14.25" x14ac:dyDescent="0.45">
      <c r="A159" s="212">
        <v>25</v>
      </c>
      <c r="B159" s="225" t="s">
        <v>794</v>
      </c>
      <c r="C159" s="225"/>
      <c r="D159" s="246"/>
      <c r="H159" s="4"/>
      <c r="I159" s="4"/>
      <c r="J159" s="4"/>
    </row>
    <row r="160" spans="1:10" x14ac:dyDescent="0.4">
      <c r="A160" s="212"/>
      <c r="B160" s="212" t="s">
        <v>795</v>
      </c>
      <c r="C160" s="212"/>
      <c r="D160" s="235"/>
      <c r="E160" s="235" t="str" cm="1">
        <f t="array" ref="E160:J160">IF(ISNUMBER(_xlfn.ANCHORARRAY(E$70)),"growth rate","")</f>
        <v>growth rate</v>
      </c>
      <c r="F160" s="235" t="str">
        <v>growth rate</v>
      </c>
      <c r="G160" s="235" t="str">
        <v>growth rate</v>
      </c>
      <c r="H160" s="236" t="str">
        <v>growth rate</v>
      </c>
      <c r="I160" s="236" t="str">
        <v>growth rate</v>
      </c>
      <c r="J160" s="236" t="str">
        <v>growth rate</v>
      </c>
    </row>
    <row r="161" spans="1:26" ht="14.25" x14ac:dyDescent="0.45">
      <c r="A161" s="212">
        <v>26</v>
      </c>
      <c r="B161" s="225" t="s">
        <v>796</v>
      </c>
      <c r="C161" s="225"/>
      <c r="D161" s="246"/>
      <c r="H161" s="4"/>
      <c r="I161" s="4"/>
      <c r="J161" s="4"/>
    </row>
    <row r="162" spans="1:26" x14ac:dyDescent="0.4">
      <c r="A162" s="212"/>
      <c r="B162" s="225" t="s">
        <v>797</v>
      </c>
      <c r="C162" s="225"/>
      <c r="D162" s="225"/>
      <c r="E162" s="225"/>
      <c r="F162" s="225"/>
      <c r="G162" s="225"/>
      <c r="H162" s="242"/>
      <c r="I162" s="242"/>
      <c r="J162" s="242"/>
    </row>
    <row r="163" spans="1:26" ht="14.25" x14ac:dyDescent="0.45">
      <c r="A163" s="212">
        <v>27</v>
      </c>
      <c r="B163" s="240" t="s">
        <v>798</v>
      </c>
      <c r="C163" s="225"/>
      <c r="D163" s="246"/>
      <c r="H163" s="4"/>
      <c r="I163" s="4"/>
      <c r="J163" s="4"/>
    </row>
    <row r="164" spans="1:26" ht="14.25" x14ac:dyDescent="0.45">
      <c r="A164" s="212">
        <v>28</v>
      </c>
      <c r="B164" s="240" t="s">
        <v>799</v>
      </c>
      <c r="C164" s="225"/>
      <c r="D164" s="246"/>
      <c r="H164" s="4"/>
      <c r="I164" s="4"/>
      <c r="J164" s="4"/>
    </row>
    <row r="165" spans="1:26" ht="14.25" x14ac:dyDescent="0.45">
      <c r="A165" s="212">
        <v>29</v>
      </c>
      <c r="B165" s="240" t="s">
        <v>800</v>
      </c>
      <c r="C165" s="225"/>
      <c r="D165" s="246"/>
      <c r="H165" s="4"/>
      <c r="I165" s="4"/>
      <c r="J165" s="4"/>
    </row>
    <row r="166" spans="1:26" x14ac:dyDescent="0.4">
      <c r="A166" s="212"/>
      <c r="B166" s="212"/>
      <c r="C166" s="212"/>
      <c r="D166" s="235"/>
      <c r="E166" s="63" t="str" cm="1">
        <f t="array" ref="E166:J166">IF(ISNUMBER(_xlfn.ANCHORARRAY(E$70)),"% pot. GDP","")</f>
        <v>% pot. GDP</v>
      </c>
      <c r="F166" s="235" t="str">
        <v>% pot. GDP</v>
      </c>
      <c r="G166" s="235" t="str">
        <v>% pot. GDP</v>
      </c>
      <c r="H166" s="236" t="str">
        <v>% pot. GDP</v>
      </c>
      <c r="I166" s="236" t="str">
        <v>% pot. GDP</v>
      </c>
      <c r="J166" s="236" t="str">
        <v>% pot. GDP</v>
      </c>
    </row>
    <row r="167" spans="1:26" ht="14.25" x14ac:dyDescent="0.45">
      <c r="A167" s="212">
        <v>30</v>
      </c>
      <c r="B167" s="225" t="s">
        <v>89</v>
      </c>
      <c r="C167" s="225"/>
      <c r="D167" s="246"/>
      <c r="E167" s="4"/>
      <c r="H167" s="4"/>
      <c r="I167" s="4"/>
      <c r="J167" s="4"/>
    </row>
    <row r="170" spans="1:26" ht="23.25" x14ac:dyDescent="0.6">
      <c r="A170" s="187" t="s">
        <v>833</v>
      </c>
      <c r="B170" s="188"/>
      <c r="C170" s="188"/>
      <c r="D170" s="188"/>
      <c r="E170" s="188"/>
      <c r="F170" s="188"/>
      <c r="G170" s="188"/>
      <c r="H170" s="188"/>
      <c r="I170" s="188"/>
      <c r="J170" s="189"/>
      <c r="K170" s="189"/>
      <c r="L170" s="189"/>
      <c r="M170" s="189"/>
      <c r="N170" s="189"/>
      <c r="O170" s="189"/>
      <c r="P170" s="189"/>
      <c r="Q170" s="189"/>
      <c r="R170" s="189"/>
      <c r="S170" s="189"/>
      <c r="T170" s="189"/>
      <c r="U170" s="189"/>
      <c r="V170" s="189"/>
      <c r="W170" s="189"/>
      <c r="X170" s="189"/>
      <c r="Y170" s="189"/>
      <c r="Z170" s="189"/>
    </row>
    <row r="171" spans="1:26" x14ac:dyDescent="0.4">
      <c r="A171" s="190"/>
      <c r="B171" s="191"/>
      <c r="C171" s="192" t="s">
        <v>834</v>
      </c>
      <c r="D171" s="193"/>
      <c r="E171" s="193" cm="1">
        <f t="array" ref="E171:T171">_xlfn.SEQUENCE(1, AdjustmentPeriodEnd+10-MTP_BaseYear+1, MTP_BaseYear)</f>
        <v>2023</v>
      </c>
      <c r="F171" s="193">
        <v>2024</v>
      </c>
      <c r="G171" s="193">
        <v>2025</v>
      </c>
      <c r="H171" s="193">
        <v>2026</v>
      </c>
      <c r="I171" s="193">
        <v>2027</v>
      </c>
      <c r="J171" s="193">
        <v>2028</v>
      </c>
      <c r="K171" s="193">
        <v>2029</v>
      </c>
      <c r="L171" s="193">
        <v>2030</v>
      </c>
      <c r="M171" s="193">
        <v>2031</v>
      </c>
      <c r="N171" s="193">
        <v>2032</v>
      </c>
      <c r="O171" s="193">
        <v>2033</v>
      </c>
      <c r="P171" s="193">
        <v>2034</v>
      </c>
      <c r="Q171" s="193">
        <v>2035</v>
      </c>
      <c r="R171" s="193">
        <v>2036</v>
      </c>
      <c r="S171" s="193">
        <v>2037</v>
      </c>
      <c r="T171" s="193">
        <v>2038</v>
      </c>
      <c r="U171" s="193"/>
      <c r="V171" s="193"/>
      <c r="W171" s="193"/>
    </row>
    <row r="172" spans="1:26" x14ac:dyDescent="0.4">
      <c r="A172" s="194">
        <v>1</v>
      </c>
      <c r="B172" s="195" t="s">
        <v>1</v>
      </c>
      <c r="C172" s="196" t="s">
        <v>835</v>
      </c>
      <c r="D172" s="196"/>
      <c r="E172" s="197"/>
      <c r="F172" s="197"/>
      <c r="G172" s="197"/>
      <c r="H172" s="197"/>
      <c r="I172" s="197"/>
      <c r="J172" s="197"/>
      <c r="K172" s="198"/>
      <c r="L172" s="198"/>
      <c r="M172" s="198"/>
      <c r="N172" s="198"/>
      <c r="O172" s="198"/>
      <c r="P172" s="198"/>
      <c r="Q172" s="198"/>
      <c r="R172" s="198"/>
      <c r="S172" s="198"/>
      <c r="T172" s="198"/>
      <c r="U172" s="198"/>
      <c r="V172" s="198"/>
      <c r="W172" s="198"/>
    </row>
    <row r="173" spans="1:26" x14ac:dyDescent="0.4">
      <c r="A173" s="194">
        <v>2</v>
      </c>
      <c r="B173" s="195" t="s">
        <v>836</v>
      </c>
      <c r="C173" s="196" t="s">
        <v>837</v>
      </c>
      <c r="D173" s="196"/>
      <c r="E173" s="197"/>
      <c r="F173" s="197"/>
      <c r="G173" s="197"/>
      <c r="H173" s="197"/>
      <c r="I173" s="197"/>
      <c r="J173" s="197"/>
      <c r="K173" s="198"/>
      <c r="L173" s="198"/>
      <c r="M173" s="198"/>
      <c r="N173" s="198"/>
      <c r="O173" s="198"/>
      <c r="P173" s="198"/>
      <c r="Q173" s="198"/>
      <c r="R173" s="198"/>
      <c r="S173" s="198"/>
      <c r="T173" s="198"/>
      <c r="U173" s="198"/>
      <c r="V173" s="198"/>
      <c r="W173" s="198"/>
    </row>
    <row r="174" spans="1:26" x14ac:dyDescent="0.4">
      <c r="A174" s="194">
        <v>3</v>
      </c>
      <c r="B174" s="195" t="s">
        <v>3</v>
      </c>
      <c r="C174" s="196" t="s">
        <v>838</v>
      </c>
      <c r="D174" s="196"/>
      <c r="E174" s="197"/>
      <c r="F174" s="197"/>
      <c r="G174" s="197"/>
      <c r="H174" s="197"/>
      <c r="I174" s="197"/>
      <c r="J174" s="197"/>
      <c r="K174" s="198"/>
      <c r="L174" s="198"/>
      <c r="M174" s="198"/>
      <c r="N174" s="198"/>
      <c r="O174" s="198"/>
      <c r="P174" s="198"/>
      <c r="Q174" s="198"/>
      <c r="R174" s="198"/>
      <c r="S174" s="198"/>
      <c r="T174" s="198"/>
      <c r="U174" s="198"/>
      <c r="V174" s="198"/>
      <c r="W174" s="198"/>
    </row>
    <row r="175" spans="1:26" x14ac:dyDescent="0.4">
      <c r="A175" s="194">
        <v>4</v>
      </c>
      <c r="B175" s="195" t="s">
        <v>839</v>
      </c>
      <c r="C175" s="196"/>
      <c r="D175" s="196"/>
      <c r="E175" s="197"/>
      <c r="F175" s="197"/>
      <c r="G175" s="197"/>
      <c r="H175" s="197"/>
      <c r="I175" s="197"/>
      <c r="J175" s="197"/>
      <c r="K175" s="198"/>
      <c r="L175" s="198"/>
      <c r="M175" s="198"/>
      <c r="N175" s="198"/>
      <c r="O175" s="198"/>
      <c r="P175" s="198"/>
      <c r="Q175" s="198"/>
      <c r="R175" s="198"/>
      <c r="S175" s="198"/>
      <c r="T175" s="198"/>
      <c r="U175" s="198"/>
      <c r="V175" s="198"/>
      <c r="W175" s="198"/>
    </row>
    <row r="176" spans="1:26" x14ac:dyDescent="0.4">
      <c r="A176" s="194">
        <v>5</v>
      </c>
      <c r="B176" s="195" t="s">
        <v>840</v>
      </c>
      <c r="C176" s="196"/>
      <c r="D176" s="196"/>
      <c r="E176" s="197"/>
      <c r="F176" s="197"/>
      <c r="G176" s="197"/>
      <c r="H176" s="197"/>
      <c r="I176" s="197"/>
      <c r="J176" s="197"/>
      <c r="K176" s="197"/>
      <c r="L176" s="197"/>
      <c r="M176" s="197"/>
      <c r="N176" s="197"/>
      <c r="O176" s="197"/>
      <c r="P176" s="197"/>
      <c r="Q176" s="197"/>
      <c r="R176" s="197"/>
      <c r="S176" s="197"/>
      <c r="T176" s="197"/>
      <c r="U176" s="197"/>
      <c r="V176" s="197"/>
      <c r="W176" s="197"/>
    </row>
    <row r="177" spans="1:26" x14ac:dyDescent="0.4">
      <c r="A177" s="194">
        <v>6</v>
      </c>
      <c r="B177" s="195" t="s">
        <v>25</v>
      </c>
      <c r="C177" s="196" t="s">
        <v>841</v>
      </c>
      <c r="D177" s="196"/>
      <c r="E177" s="197"/>
      <c r="F177" s="197"/>
      <c r="G177" s="197"/>
      <c r="H177" s="197"/>
      <c r="I177" s="197"/>
      <c r="J177" s="197"/>
      <c r="K177" s="198"/>
      <c r="L177" s="198"/>
      <c r="M177" s="198"/>
      <c r="N177" s="198"/>
      <c r="O177" s="198"/>
      <c r="P177" s="198"/>
      <c r="Q177" s="198"/>
      <c r="R177" s="198"/>
      <c r="S177" s="198"/>
      <c r="T177" s="198"/>
      <c r="U177" s="198"/>
      <c r="V177" s="198"/>
      <c r="W177" s="198"/>
    </row>
    <row r="178" spans="1:26" x14ac:dyDescent="0.4">
      <c r="A178" s="194">
        <v>7</v>
      </c>
      <c r="B178" s="199" t="s">
        <v>842</v>
      </c>
      <c r="C178" s="196" t="s">
        <v>843</v>
      </c>
      <c r="D178" s="196"/>
      <c r="E178" s="197"/>
      <c r="F178" s="197"/>
      <c r="G178" s="197"/>
      <c r="H178" s="197"/>
      <c r="I178" s="197"/>
      <c r="J178" s="197"/>
      <c r="K178" s="198"/>
      <c r="L178" s="198"/>
      <c r="M178" s="198"/>
      <c r="N178" s="198"/>
      <c r="O178" s="198"/>
      <c r="P178" s="198"/>
      <c r="Q178" s="198"/>
      <c r="R178" s="198"/>
      <c r="S178" s="198"/>
      <c r="T178" s="198"/>
      <c r="U178" s="198"/>
      <c r="V178" s="198"/>
      <c r="W178" s="198"/>
    </row>
    <row r="179" spans="1:26" x14ac:dyDescent="0.4">
      <c r="A179" s="194">
        <v>8</v>
      </c>
      <c r="B179" s="199" t="s">
        <v>844</v>
      </c>
      <c r="C179" s="196" t="s">
        <v>845</v>
      </c>
      <c r="D179" s="196"/>
      <c r="E179" s="197"/>
      <c r="F179" s="197"/>
      <c r="G179" s="197"/>
      <c r="H179" s="197"/>
      <c r="I179" s="197"/>
      <c r="J179" s="197"/>
      <c r="K179" s="198"/>
      <c r="L179" s="198"/>
      <c r="M179" s="198"/>
      <c r="N179" s="198"/>
      <c r="O179" s="198"/>
      <c r="P179" s="198"/>
      <c r="Q179" s="198"/>
      <c r="R179" s="198"/>
      <c r="S179" s="198"/>
      <c r="T179" s="198"/>
      <c r="U179" s="198"/>
      <c r="V179" s="198"/>
      <c r="W179" s="198"/>
    </row>
    <row r="180" spans="1:26" s="189" customFormat="1" ht="16.5" x14ac:dyDescent="0.6">
      <c r="A180" s="194">
        <v>9</v>
      </c>
      <c r="B180" s="195" t="s">
        <v>846</v>
      </c>
      <c r="C180" s="196" t="s">
        <v>847</v>
      </c>
      <c r="D180" s="196"/>
      <c r="E180" s="197"/>
      <c r="F180" s="197"/>
      <c r="G180" s="197"/>
      <c r="H180" s="197"/>
      <c r="I180" s="197"/>
      <c r="J180" s="197"/>
      <c r="K180" s="197"/>
      <c r="L180" s="197"/>
      <c r="M180" s="197"/>
      <c r="N180" s="197"/>
      <c r="O180" s="197"/>
      <c r="P180" s="197"/>
      <c r="Q180" s="197"/>
      <c r="R180" s="197"/>
      <c r="S180" s="197"/>
      <c r="T180" s="197"/>
      <c r="U180" s="197"/>
      <c r="V180" s="197"/>
      <c r="W180" s="197"/>
      <c r="X180"/>
      <c r="Y180"/>
      <c r="Z180"/>
    </row>
    <row r="181" spans="1:26" x14ac:dyDescent="0.4">
      <c r="A181" s="194">
        <v>10</v>
      </c>
      <c r="B181" s="195" t="s">
        <v>848</v>
      </c>
      <c r="C181" s="196" t="s">
        <v>849</v>
      </c>
      <c r="D181" s="196"/>
      <c r="E181" s="197"/>
      <c r="F181" s="197"/>
      <c r="G181" s="197"/>
      <c r="H181" s="197"/>
      <c r="I181" s="197"/>
      <c r="J181" s="197"/>
      <c r="K181" s="198"/>
      <c r="L181" s="198"/>
      <c r="M181" s="198"/>
      <c r="N181" s="198"/>
      <c r="O181" s="198"/>
      <c r="P181" s="198"/>
      <c r="Q181" s="198"/>
      <c r="R181" s="198"/>
      <c r="S181" s="198"/>
      <c r="T181" s="198"/>
      <c r="U181" s="198"/>
      <c r="V181" s="198"/>
      <c r="W181" s="198"/>
    </row>
    <row r="182" spans="1:26" x14ac:dyDescent="0.4">
      <c r="A182" s="194">
        <v>11</v>
      </c>
      <c r="B182" s="200" t="s">
        <v>850</v>
      </c>
      <c r="C182" s="196" t="s">
        <v>851</v>
      </c>
      <c r="D182" s="196"/>
      <c r="E182" s="197"/>
      <c r="F182" s="197"/>
      <c r="G182" s="197"/>
      <c r="H182" s="197"/>
      <c r="I182" s="197"/>
      <c r="J182" s="197"/>
      <c r="K182" s="198"/>
      <c r="L182" s="198"/>
      <c r="M182" s="198"/>
      <c r="N182" s="198"/>
      <c r="O182" s="198"/>
      <c r="P182" s="198"/>
      <c r="Q182" s="198"/>
      <c r="R182" s="198"/>
      <c r="S182" s="198"/>
      <c r="T182" s="198"/>
      <c r="U182" s="198"/>
      <c r="V182" s="198"/>
      <c r="W182" s="198"/>
    </row>
    <row r="183" spans="1:26" x14ac:dyDescent="0.4">
      <c r="A183" s="194">
        <v>12</v>
      </c>
      <c r="B183" s="200" t="s">
        <v>7</v>
      </c>
      <c r="C183" s="196" t="s">
        <v>852</v>
      </c>
      <c r="D183" s="196"/>
      <c r="E183" s="197"/>
      <c r="F183" s="197"/>
      <c r="G183" s="197"/>
      <c r="H183" s="197"/>
      <c r="I183" s="197"/>
      <c r="J183" s="197"/>
      <c r="K183" s="198"/>
      <c r="L183" s="198"/>
      <c r="M183" s="198"/>
      <c r="N183" s="198"/>
      <c r="O183" s="198"/>
      <c r="P183" s="198"/>
      <c r="Q183" s="198"/>
      <c r="R183" s="198"/>
      <c r="S183" s="198"/>
      <c r="T183" s="198"/>
      <c r="U183" s="198"/>
      <c r="V183" s="198"/>
      <c r="W183" s="198"/>
    </row>
    <row r="184" spans="1:26" x14ac:dyDescent="0.4">
      <c r="A184" s="194">
        <v>13</v>
      </c>
      <c r="B184" s="201" t="s">
        <v>8</v>
      </c>
      <c r="C184" s="196" t="s">
        <v>853</v>
      </c>
      <c r="D184" s="196"/>
      <c r="E184" s="197"/>
      <c r="F184" s="197"/>
      <c r="G184" s="197"/>
      <c r="H184" s="197"/>
      <c r="I184" s="197"/>
      <c r="J184" s="197"/>
      <c r="K184" s="198"/>
      <c r="L184" s="198"/>
      <c r="M184" s="198"/>
      <c r="N184" s="198"/>
      <c r="O184" s="198"/>
      <c r="P184" s="198"/>
      <c r="Q184" s="198"/>
      <c r="R184" s="198"/>
      <c r="S184" s="198"/>
      <c r="T184" s="198"/>
      <c r="U184" s="198"/>
      <c r="V184" s="198"/>
      <c r="W184" s="198"/>
    </row>
    <row r="185" spans="1:26" x14ac:dyDescent="0.4">
      <c r="A185" s="202">
        <v>14</v>
      </c>
      <c r="B185" s="203" t="s">
        <v>9</v>
      </c>
      <c r="C185" s="204" t="s">
        <v>854</v>
      </c>
      <c r="D185" s="204"/>
      <c r="E185" s="205"/>
      <c r="F185" s="205"/>
      <c r="G185" s="205"/>
      <c r="H185" s="205"/>
      <c r="I185" s="205"/>
      <c r="J185" s="205"/>
      <c r="K185" s="205"/>
      <c r="L185" s="205"/>
      <c r="M185" s="205"/>
      <c r="N185" s="205"/>
      <c r="O185" s="205"/>
      <c r="P185" s="205"/>
      <c r="Q185" s="205"/>
      <c r="R185" s="205"/>
      <c r="S185" s="205"/>
      <c r="T185" s="205"/>
      <c r="U185" s="205"/>
      <c r="V185" s="205"/>
      <c r="W185" s="205"/>
    </row>
    <row r="186" spans="1:26" x14ac:dyDescent="0.4">
      <c r="H186" s="206"/>
      <c r="I186" s="206"/>
      <c r="J186" s="207"/>
      <c r="K186" s="207"/>
      <c r="L186" s="207"/>
      <c r="M186" s="207"/>
      <c r="N186" s="207"/>
      <c r="O186" s="207"/>
      <c r="P186" s="207"/>
      <c r="Q186" s="207"/>
      <c r="R186" s="207"/>
      <c r="S186" s="207"/>
      <c r="T186" s="207"/>
      <c r="U186" s="207"/>
      <c r="V186" s="207"/>
      <c r="W186" s="207"/>
    </row>
    <row r="187" spans="1:26" ht="23.25" x14ac:dyDescent="0.4">
      <c r="A187" s="187" t="s">
        <v>855</v>
      </c>
      <c r="B187" s="206"/>
      <c r="C187" s="206"/>
      <c r="D187" s="206"/>
      <c r="E187" s="206"/>
      <c r="F187" s="206"/>
      <c r="G187" s="206"/>
      <c r="H187" s="206"/>
      <c r="I187" s="206"/>
      <c r="J187" s="207"/>
      <c r="K187" s="207"/>
      <c r="L187" s="207"/>
      <c r="M187" s="207"/>
      <c r="N187" s="207"/>
      <c r="O187" s="207"/>
      <c r="P187" s="207"/>
      <c r="Q187" s="207"/>
      <c r="R187" s="207"/>
      <c r="S187" s="207"/>
      <c r="T187" s="207"/>
      <c r="U187" s="207"/>
      <c r="V187" s="207"/>
      <c r="W187" s="207"/>
    </row>
    <row r="188" spans="1:26" x14ac:dyDescent="0.4">
      <c r="A188" s="190"/>
      <c r="B188" s="191" t="s">
        <v>207</v>
      </c>
      <c r="C188" s="191"/>
      <c r="D188" s="193"/>
      <c r="E188" s="193" cm="1">
        <f t="array" ref="E188:T188">_xlfn.SEQUENCE(1, AdjustmentPeriodEnd+10-MTP_BaseYear+1, MTP_BaseYear)</f>
        <v>2023</v>
      </c>
      <c r="F188" s="193">
        <v>2024</v>
      </c>
      <c r="G188" s="193">
        <v>2025</v>
      </c>
      <c r="H188" s="193">
        <v>2026</v>
      </c>
      <c r="I188" s="193">
        <v>2027</v>
      </c>
      <c r="J188" s="193">
        <v>2028</v>
      </c>
      <c r="K188" s="193">
        <v>2029</v>
      </c>
      <c r="L188" s="193">
        <v>2030</v>
      </c>
      <c r="M188" s="193">
        <v>2031</v>
      </c>
      <c r="N188" s="193">
        <v>2032</v>
      </c>
      <c r="O188" s="193">
        <v>2033</v>
      </c>
      <c r="P188" s="193">
        <v>2034</v>
      </c>
      <c r="Q188" s="193">
        <v>2035</v>
      </c>
      <c r="R188" s="193">
        <v>2036</v>
      </c>
      <c r="S188" s="193">
        <v>2037</v>
      </c>
      <c r="T188" s="193">
        <v>2038</v>
      </c>
      <c r="U188" s="193"/>
      <c r="V188" s="193"/>
      <c r="W188" s="193"/>
    </row>
    <row r="189" spans="1:26" x14ac:dyDescent="0.4">
      <c r="A189" s="194">
        <v>1</v>
      </c>
      <c r="B189" s="195" t="s">
        <v>1</v>
      </c>
      <c r="C189" s="196" t="s">
        <v>835</v>
      </c>
      <c r="D189" s="196"/>
      <c r="E189" s="208"/>
      <c r="F189" s="208"/>
      <c r="G189" s="208"/>
      <c r="H189" s="208"/>
      <c r="I189" s="208"/>
      <c r="J189" s="208"/>
      <c r="K189" s="208"/>
      <c r="L189" s="208"/>
      <c r="M189" s="208"/>
      <c r="N189" s="208"/>
      <c r="O189" s="208"/>
      <c r="P189" s="208"/>
      <c r="Q189" s="208"/>
      <c r="R189" s="208"/>
      <c r="S189" s="208"/>
      <c r="T189" s="208"/>
      <c r="U189" s="197"/>
      <c r="V189" s="197"/>
      <c r="W189" s="197"/>
    </row>
    <row r="190" spans="1:26" x14ac:dyDescent="0.4">
      <c r="A190" s="194">
        <v>2</v>
      </c>
      <c r="B190" s="195" t="s">
        <v>842</v>
      </c>
      <c r="C190" s="196" t="s">
        <v>843</v>
      </c>
      <c r="D190" s="196"/>
      <c r="E190" s="208"/>
      <c r="F190" s="208"/>
      <c r="G190" s="208"/>
      <c r="H190" s="208"/>
      <c r="I190" s="208"/>
      <c r="J190" s="208"/>
      <c r="K190" s="208"/>
      <c r="L190" s="208"/>
      <c r="M190" s="208"/>
      <c r="N190" s="208"/>
      <c r="O190" s="208"/>
      <c r="P190" s="208"/>
      <c r="Q190" s="208"/>
      <c r="R190" s="208"/>
      <c r="S190" s="208"/>
      <c r="T190" s="208"/>
      <c r="U190" s="197"/>
      <c r="V190" s="197"/>
      <c r="W190" s="197"/>
    </row>
    <row r="191" spans="1:26" x14ac:dyDescent="0.4">
      <c r="A191" s="194">
        <v>3</v>
      </c>
      <c r="B191" s="195" t="s">
        <v>844</v>
      </c>
      <c r="C191" s="196" t="s">
        <v>845</v>
      </c>
      <c r="D191" s="196"/>
      <c r="E191" s="208"/>
      <c r="F191" s="208"/>
      <c r="G191" s="208"/>
      <c r="H191" s="208"/>
      <c r="I191" s="208"/>
      <c r="J191" s="208"/>
      <c r="K191" s="208"/>
      <c r="L191" s="208"/>
      <c r="M191" s="208"/>
      <c r="N191" s="208"/>
      <c r="O191" s="208"/>
      <c r="P191" s="208"/>
      <c r="Q191" s="208"/>
      <c r="R191" s="208"/>
      <c r="S191" s="208"/>
      <c r="T191" s="208"/>
      <c r="U191" s="197"/>
      <c r="V191" s="197"/>
      <c r="W191" s="197"/>
    </row>
    <row r="192" spans="1:26" x14ac:dyDescent="0.4">
      <c r="A192" s="194"/>
      <c r="B192" s="209" t="s">
        <v>208</v>
      </c>
      <c r="C192" s="209"/>
      <c r="D192" s="210"/>
      <c r="E192" s="210" cm="1">
        <f t="array" ref="E192:T192">_xlfn.SEQUENCE(1, AdjustmentPeriodEnd+10-MTP_BaseYear+1, MTP_BaseYear)</f>
        <v>2023</v>
      </c>
      <c r="F192" s="210">
        <v>2024</v>
      </c>
      <c r="G192" s="210">
        <v>2025</v>
      </c>
      <c r="H192" s="210">
        <v>2026</v>
      </c>
      <c r="I192" s="210">
        <v>2027</v>
      </c>
      <c r="J192" s="210">
        <v>2028</v>
      </c>
      <c r="K192" s="210">
        <v>2029</v>
      </c>
      <c r="L192" s="210">
        <v>2030</v>
      </c>
      <c r="M192" s="210">
        <v>2031</v>
      </c>
      <c r="N192" s="210">
        <v>2032</v>
      </c>
      <c r="O192" s="210">
        <v>2033</v>
      </c>
      <c r="P192" s="210">
        <v>2034</v>
      </c>
      <c r="Q192" s="210">
        <v>2035</v>
      </c>
      <c r="R192" s="210">
        <v>2036</v>
      </c>
      <c r="S192" s="210">
        <v>2037</v>
      </c>
      <c r="T192" s="210">
        <v>2038</v>
      </c>
      <c r="U192" s="210"/>
      <c r="V192" s="210"/>
      <c r="W192" s="210"/>
    </row>
    <row r="193" spans="1:23" x14ac:dyDescent="0.4">
      <c r="A193" s="194">
        <v>4</v>
      </c>
      <c r="B193" s="195" t="s">
        <v>1</v>
      </c>
      <c r="C193" s="196" t="s">
        <v>835</v>
      </c>
      <c r="D193" s="196"/>
      <c r="E193" s="208"/>
      <c r="F193" s="208"/>
      <c r="G193" s="208"/>
      <c r="H193" s="208"/>
      <c r="I193" s="208"/>
      <c r="J193" s="208"/>
      <c r="K193" s="208"/>
      <c r="L193" s="208"/>
      <c r="M193" s="208"/>
      <c r="N193" s="208"/>
      <c r="O193" s="208"/>
      <c r="P193" s="208"/>
      <c r="Q193" s="208"/>
      <c r="R193" s="208"/>
      <c r="S193" s="208"/>
      <c r="T193" s="208"/>
      <c r="U193" s="197"/>
      <c r="V193" s="197"/>
      <c r="W193" s="197"/>
    </row>
    <row r="194" spans="1:23" x14ac:dyDescent="0.4">
      <c r="A194" s="194">
        <v>5</v>
      </c>
      <c r="B194" s="195" t="s">
        <v>3</v>
      </c>
      <c r="C194" s="196" t="s">
        <v>838</v>
      </c>
      <c r="D194" s="196"/>
      <c r="E194" s="208"/>
      <c r="F194" s="208"/>
      <c r="G194" s="208"/>
      <c r="H194" s="208"/>
      <c r="I194" s="208"/>
      <c r="J194" s="208"/>
      <c r="K194" s="208"/>
      <c r="L194" s="208"/>
      <c r="M194" s="208"/>
      <c r="N194" s="208"/>
      <c r="O194" s="208"/>
      <c r="P194" s="208"/>
      <c r="Q194" s="208"/>
      <c r="R194" s="208"/>
      <c r="S194" s="208"/>
      <c r="T194" s="208"/>
      <c r="U194" s="197"/>
      <c r="V194" s="197"/>
      <c r="W194" s="197"/>
    </row>
    <row r="195" spans="1:23" x14ac:dyDescent="0.4">
      <c r="A195" s="194"/>
      <c r="B195" s="209" t="s">
        <v>209</v>
      </c>
      <c r="C195" s="209"/>
      <c r="D195" s="210"/>
      <c r="E195" s="210" cm="1">
        <f t="array" ref="E195:T195">_xlfn.SEQUENCE(1, AdjustmentPeriodEnd+10-MTP_BaseYear+1, MTP_BaseYear)</f>
        <v>2023</v>
      </c>
      <c r="F195" s="210">
        <v>2024</v>
      </c>
      <c r="G195" s="210">
        <v>2025</v>
      </c>
      <c r="H195" s="210">
        <v>2026</v>
      </c>
      <c r="I195" s="210">
        <v>2027</v>
      </c>
      <c r="J195" s="210">
        <v>2028</v>
      </c>
      <c r="K195" s="210">
        <v>2029</v>
      </c>
      <c r="L195" s="210">
        <v>2030</v>
      </c>
      <c r="M195" s="210">
        <v>2031</v>
      </c>
      <c r="N195" s="210">
        <v>2032</v>
      </c>
      <c r="O195" s="210">
        <v>2033</v>
      </c>
      <c r="P195" s="210">
        <v>2034</v>
      </c>
      <c r="Q195" s="210">
        <v>2035</v>
      </c>
      <c r="R195" s="210">
        <v>2036</v>
      </c>
      <c r="S195" s="210">
        <v>2037</v>
      </c>
      <c r="T195" s="210">
        <v>2038</v>
      </c>
      <c r="U195" s="210"/>
      <c r="V195" s="210"/>
      <c r="W195" s="210"/>
    </row>
    <row r="196" spans="1:23" x14ac:dyDescent="0.4">
      <c r="A196" s="194">
        <v>6</v>
      </c>
      <c r="B196" s="195" t="s">
        <v>1</v>
      </c>
      <c r="C196" s="196" t="s">
        <v>835</v>
      </c>
      <c r="D196" s="196"/>
      <c r="E196" s="208"/>
      <c r="F196" s="208"/>
      <c r="G196" s="208"/>
      <c r="H196" s="208"/>
      <c r="I196" s="208"/>
      <c r="J196" s="208"/>
      <c r="K196" s="208"/>
      <c r="L196" s="208"/>
      <c r="M196" s="208"/>
      <c r="N196" s="208"/>
      <c r="O196" s="208"/>
      <c r="P196" s="208"/>
      <c r="Q196" s="208"/>
      <c r="R196" s="208"/>
      <c r="S196" s="208"/>
      <c r="T196" s="208"/>
      <c r="U196" s="197"/>
      <c r="V196" s="197"/>
      <c r="W196" s="197"/>
    </row>
    <row r="197" spans="1:23" x14ac:dyDescent="0.4">
      <c r="A197" s="194">
        <v>7</v>
      </c>
      <c r="B197" s="195" t="s">
        <v>842</v>
      </c>
      <c r="C197" s="196" t="s">
        <v>843</v>
      </c>
      <c r="D197" s="196"/>
      <c r="E197" s="208"/>
      <c r="F197" s="208"/>
      <c r="G197" s="208"/>
      <c r="H197" s="208"/>
      <c r="I197" s="208"/>
      <c r="J197" s="208"/>
      <c r="K197" s="208"/>
      <c r="L197" s="208"/>
      <c r="M197" s="208"/>
      <c r="N197" s="208"/>
      <c r="O197" s="208"/>
      <c r="P197" s="208"/>
      <c r="Q197" s="208"/>
      <c r="R197" s="208"/>
      <c r="S197" s="208"/>
      <c r="T197" s="208"/>
      <c r="U197" s="197"/>
      <c r="V197" s="197"/>
      <c r="W197" s="197"/>
    </row>
    <row r="198" spans="1:23" x14ac:dyDescent="0.4">
      <c r="A198" s="194">
        <v>8</v>
      </c>
      <c r="B198" s="195" t="s">
        <v>844</v>
      </c>
      <c r="C198" s="196" t="s">
        <v>845</v>
      </c>
      <c r="D198" s="196"/>
      <c r="E198" s="208"/>
      <c r="F198" s="208"/>
      <c r="G198" s="208"/>
      <c r="H198" s="208"/>
      <c r="I198" s="208"/>
      <c r="J198" s="208"/>
      <c r="K198" s="208"/>
      <c r="L198" s="208"/>
      <c r="M198" s="208"/>
      <c r="N198" s="208"/>
      <c r="O198" s="208"/>
      <c r="P198" s="208"/>
      <c r="Q198" s="208"/>
      <c r="R198" s="208"/>
      <c r="S198" s="208"/>
      <c r="T198" s="208"/>
      <c r="U198" s="197"/>
      <c r="V198" s="197"/>
      <c r="W198" s="197"/>
    </row>
    <row r="199" spans="1:23" x14ac:dyDescent="0.4">
      <c r="A199" s="194">
        <v>9</v>
      </c>
      <c r="B199" s="200" t="s">
        <v>7</v>
      </c>
      <c r="C199" s="196" t="s">
        <v>852</v>
      </c>
      <c r="D199" s="196"/>
      <c r="E199" s="208"/>
      <c r="F199" s="208"/>
      <c r="G199" s="208"/>
      <c r="H199" s="208"/>
      <c r="I199" s="208"/>
      <c r="J199" s="208"/>
      <c r="K199" s="208"/>
      <c r="L199" s="208"/>
      <c r="M199" s="208"/>
      <c r="N199" s="208"/>
      <c r="O199" s="208"/>
      <c r="P199" s="208"/>
      <c r="Q199" s="208"/>
      <c r="R199" s="208"/>
      <c r="S199" s="208"/>
      <c r="T199" s="208"/>
      <c r="U199" s="197"/>
      <c r="V199" s="197"/>
      <c r="W199" s="197"/>
    </row>
    <row r="200" spans="1:23" x14ac:dyDescent="0.4">
      <c r="A200" s="194">
        <v>10</v>
      </c>
      <c r="B200" s="200" t="s">
        <v>850</v>
      </c>
      <c r="C200" s="196" t="s">
        <v>851</v>
      </c>
      <c r="D200" s="196"/>
      <c r="E200" s="208"/>
      <c r="F200" s="208"/>
      <c r="G200" s="208"/>
      <c r="H200" s="208"/>
      <c r="I200" s="208"/>
      <c r="J200" s="208"/>
      <c r="K200" s="208"/>
      <c r="L200" s="208"/>
      <c r="M200" s="208"/>
      <c r="N200" s="208"/>
      <c r="O200" s="208"/>
      <c r="P200" s="208"/>
      <c r="Q200" s="208"/>
      <c r="R200" s="208"/>
      <c r="S200" s="208"/>
      <c r="T200" s="208"/>
      <c r="U200" s="197"/>
      <c r="V200" s="197"/>
      <c r="W200" s="197"/>
    </row>
    <row r="201" spans="1:23" x14ac:dyDescent="0.4">
      <c r="A201" s="194"/>
      <c r="B201" s="209" t="s">
        <v>210</v>
      </c>
      <c r="C201" s="209"/>
      <c r="D201" s="210"/>
      <c r="E201" s="211">
        <f>StochasticLastYear</f>
        <v>2033</v>
      </c>
      <c r="F201" s="212"/>
      <c r="G201" s="212"/>
      <c r="H201" s="212"/>
      <c r="I201" s="212"/>
      <c r="J201" s="212"/>
      <c r="K201" s="212"/>
      <c r="L201" s="212"/>
      <c r="M201" s="212"/>
      <c r="N201" s="212"/>
      <c r="O201" s="212"/>
      <c r="P201" s="212"/>
      <c r="Q201" s="212"/>
      <c r="R201" s="212"/>
      <c r="S201" s="212"/>
      <c r="T201" s="212"/>
      <c r="U201" s="212"/>
      <c r="V201" s="212"/>
      <c r="W201" s="212"/>
    </row>
    <row r="202" spans="1:23" x14ac:dyDescent="0.4">
      <c r="A202" s="202">
        <v>11</v>
      </c>
      <c r="B202" s="213" t="s">
        <v>856</v>
      </c>
      <c r="C202" s="204"/>
      <c r="D202" s="204"/>
      <c r="E202" s="214"/>
      <c r="F202" s="215"/>
      <c r="G202" s="214"/>
      <c r="H202" s="216"/>
      <c r="I202" s="216"/>
      <c r="J202" s="214"/>
      <c r="K202" s="216"/>
      <c r="L202" s="214"/>
      <c r="M202" s="214"/>
      <c r="N202" s="216"/>
      <c r="O202" s="216"/>
      <c r="P202" s="214"/>
      <c r="Q202" s="216"/>
      <c r="R202" s="214"/>
      <c r="S202" s="217"/>
      <c r="T202" s="215"/>
      <c r="U202" s="218"/>
      <c r="V202" s="219"/>
      <c r="W202" s="218"/>
    </row>
    <row r="203" spans="1:23" x14ac:dyDescent="0.4">
      <c r="A203" s="220"/>
      <c r="B203" s="206"/>
      <c r="C203" s="206"/>
      <c r="D203" s="206"/>
      <c r="E203" s="206"/>
      <c r="F203" s="206"/>
      <c r="G203" s="206"/>
      <c r="H203" s="206"/>
      <c r="I203" s="206"/>
      <c r="J203" s="207"/>
      <c r="K203" s="207"/>
      <c r="L203" s="207"/>
      <c r="M203" s="207"/>
      <c r="N203" s="207"/>
      <c r="O203" s="207"/>
      <c r="P203" s="221"/>
      <c r="Q203" s="221"/>
      <c r="R203" s="221"/>
      <c r="S203" s="221"/>
      <c r="T203" s="221"/>
      <c r="U203" s="221"/>
      <c r="V203" s="207"/>
      <c r="W203" s="207"/>
    </row>
    <row r="204" spans="1:23" ht="23.25" x14ac:dyDescent="0.4">
      <c r="A204" s="187" t="s">
        <v>857</v>
      </c>
      <c r="B204" s="206"/>
      <c r="C204" s="206"/>
      <c r="D204" s="206"/>
      <c r="E204" s="206"/>
      <c r="F204" s="206"/>
      <c r="G204" s="206"/>
      <c r="H204" s="206"/>
      <c r="I204" s="206"/>
      <c r="J204" s="207"/>
      <c r="K204" s="207"/>
      <c r="L204" s="207"/>
      <c r="M204" s="207"/>
      <c r="N204" s="207"/>
      <c r="O204" s="207"/>
      <c r="P204" s="207"/>
      <c r="Q204" s="207"/>
      <c r="R204" s="207"/>
      <c r="S204" s="207"/>
      <c r="T204" s="207"/>
      <c r="U204" s="207"/>
      <c r="V204" s="207"/>
      <c r="W204" s="207"/>
    </row>
    <row r="205" spans="1:23" x14ac:dyDescent="0.4">
      <c r="A205" s="222"/>
      <c r="B205" s="223"/>
      <c r="C205" s="223"/>
      <c r="D205" s="223"/>
      <c r="E205" s="223" cm="1">
        <f t="array" ref="E205:T205">_xlfn.SEQUENCE(1, AdjustmentPeriodEnd+10-MTP_BaseYear+1, MTP_BaseYear)</f>
        <v>2023</v>
      </c>
      <c r="F205" s="223">
        <v>2024</v>
      </c>
      <c r="G205" s="223">
        <v>2025</v>
      </c>
      <c r="H205" s="223">
        <v>2026</v>
      </c>
      <c r="I205" s="223">
        <v>2027</v>
      </c>
      <c r="J205" s="223">
        <v>2028</v>
      </c>
      <c r="K205" s="223">
        <v>2029</v>
      </c>
      <c r="L205" s="223">
        <v>2030</v>
      </c>
      <c r="M205" s="223">
        <v>2031</v>
      </c>
      <c r="N205" s="223">
        <v>2032</v>
      </c>
      <c r="O205" s="223">
        <v>2033</v>
      </c>
      <c r="P205" s="223">
        <v>2034</v>
      </c>
      <c r="Q205" s="223">
        <v>2035</v>
      </c>
      <c r="R205" s="223">
        <v>2036</v>
      </c>
      <c r="S205" s="223">
        <v>2037</v>
      </c>
      <c r="T205" s="223">
        <v>2038</v>
      </c>
      <c r="U205" s="223"/>
      <c r="V205" s="223"/>
      <c r="W205" s="223"/>
    </row>
    <row r="206" spans="1:23" x14ac:dyDescent="0.4">
      <c r="A206" s="224">
        <v>1</v>
      </c>
      <c r="B206" s="225" t="s">
        <v>1</v>
      </c>
      <c r="C206" s="225" t="s">
        <v>835</v>
      </c>
      <c r="D206" s="225"/>
    </row>
    <row r="207" spans="1:23" x14ac:dyDescent="0.4">
      <c r="A207" s="224">
        <v>2</v>
      </c>
      <c r="B207" s="225" t="s">
        <v>836</v>
      </c>
      <c r="C207" s="225" t="s">
        <v>837</v>
      </c>
      <c r="D207" s="225"/>
    </row>
    <row r="208" spans="1:23" x14ac:dyDescent="0.4">
      <c r="A208" s="224">
        <v>3</v>
      </c>
      <c r="B208" s="225" t="s">
        <v>3</v>
      </c>
      <c r="C208" s="225" t="s">
        <v>838</v>
      </c>
      <c r="D208" s="225"/>
    </row>
    <row r="209" spans="1:23" x14ac:dyDescent="0.4">
      <c r="A209" s="224">
        <v>4</v>
      </c>
      <c r="B209" s="225" t="s">
        <v>839</v>
      </c>
      <c r="C209" s="225"/>
      <c r="D209" s="225"/>
    </row>
    <row r="210" spans="1:23" x14ac:dyDescent="0.4">
      <c r="A210" s="224">
        <v>5</v>
      </c>
      <c r="B210" s="225" t="s">
        <v>25</v>
      </c>
      <c r="C210" s="225" t="s">
        <v>841</v>
      </c>
      <c r="D210" s="225"/>
    </row>
    <row r="211" spans="1:23" x14ac:dyDescent="0.4">
      <c r="A211" s="224">
        <v>6</v>
      </c>
      <c r="B211" s="225" t="s">
        <v>842</v>
      </c>
      <c r="C211" s="225" t="s">
        <v>843</v>
      </c>
      <c r="D211" s="225"/>
    </row>
    <row r="212" spans="1:23" x14ac:dyDescent="0.4">
      <c r="A212" s="224">
        <v>7</v>
      </c>
      <c r="B212" s="225" t="s">
        <v>844</v>
      </c>
      <c r="C212" s="225" t="s">
        <v>845</v>
      </c>
      <c r="D212" s="225"/>
    </row>
    <row r="213" spans="1:23" x14ac:dyDescent="0.4">
      <c r="A213" s="224">
        <v>8</v>
      </c>
      <c r="B213" s="225" t="s">
        <v>846</v>
      </c>
      <c r="C213" s="225" t="s">
        <v>847</v>
      </c>
      <c r="D213" s="225"/>
    </row>
    <row r="214" spans="1:23" x14ac:dyDescent="0.4">
      <c r="A214" s="224">
        <v>9</v>
      </c>
      <c r="B214" s="225" t="s">
        <v>850</v>
      </c>
      <c r="C214" s="225" t="s">
        <v>851</v>
      </c>
      <c r="D214" s="225"/>
    </row>
    <row r="215" spans="1:23" x14ac:dyDescent="0.4">
      <c r="A215" s="224">
        <v>10</v>
      </c>
      <c r="B215" s="225" t="s">
        <v>7</v>
      </c>
      <c r="C215" s="225" t="s">
        <v>852</v>
      </c>
      <c r="D215" s="225"/>
    </row>
    <row r="216" spans="1:23" x14ac:dyDescent="0.4">
      <c r="A216" s="224">
        <v>11</v>
      </c>
      <c r="B216" s="225" t="s">
        <v>8</v>
      </c>
      <c r="C216" s="225" t="s">
        <v>853</v>
      </c>
      <c r="D216" s="225"/>
    </row>
    <row r="217" spans="1:23" x14ac:dyDescent="0.4">
      <c r="A217" s="224">
        <v>12</v>
      </c>
      <c r="B217" s="225" t="s">
        <v>9</v>
      </c>
      <c r="C217" s="225" t="s">
        <v>854</v>
      </c>
      <c r="D217" s="225"/>
    </row>
    <row r="218" spans="1:23" x14ac:dyDescent="0.4">
      <c r="A218" s="226">
        <v>13</v>
      </c>
      <c r="B218" s="227" t="s">
        <v>858</v>
      </c>
      <c r="C218" s="227"/>
      <c r="D218" s="227"/>
      <c r="E218" s="228"/>
      <c r="F218" s="228"/>
      <c r="G218" s="228"/>
      <c r="H218" s="228"/>
      <c r="I218" s="228"/>
      <c r="J218" s="228"/>
      <c r="K218" s="228"/>
      <c r="L218" s="228"/>
      <c r="M218" s="228"/>
      <c r="N218" s="228"/>
      <c r="O218" s="228"/>
      <c r="P218" s="228"/>
      <c r="Q218" s="228"/>
      <c r="R218" s="228"/>
      <c r="S218" s="228"/>
      <c r="T218" s="228"/>
      <c r="U218" s="228"/>
      <c r="V218" s="228"/>
      <c r="W218" s="228"/>
    </row>
    <row r="219" spans="1:23" x14ac:dyDescent="0.4">
      <c r="A219" s="220"/>
      <c r="B219" s="206"/>
      <c r="C219" s="206"/>
      <c r="D219" s="206"/>
      <c r="E219" s="206"/>
      <c r="F219" s="206"/>
      <c r="G219" s="206"/>
      <c r="H219" s="206"/>
      <c r="I219" s="206"/>
      <c r="J219" s="207"/>
      <c r="K219" s="207"/>
      <c r="L219" s="207"/>
      <c r="M219" s="207"/>
      <c r="N219" s="207"/>
      <c r="O219" s="207"/>
      <c r="P219" s="207"/>
      <c r="Q219" s="207"/>
      <c r="R219" s="207"/>
      <c r="S219" s="207"/>
      <c r="T219" s="207"/>
      <c r="U219" s="207"/>
      <c r="V219" s="207"/>
      <c r="W219" s="207"/>
    </row>
    <row r="220" spans="1:23" ht="23.25" x14ac:dyDescent="0.4">
      <c r="A220" s="187" t="s">
        <v>859</v>
      </c>
      <c r="B220" s="206"/>
      <c r="C220" s="206"/>
      <c r="D220" s="206"/>
      <c r="E220" s="206"/>
      <c r="F220" s="206"/>
      <c r="G220" s="206"/>
      <c r="H220" s="206"/>
      <c r="I220" s="206"/>
      <c r="J220" s="207"/>
      <c r="K220" s="207"/>
      <c r="L220" s="207"/>
      <c r="M220" s="207"/>
      <c r="N220" s="207"/>
      <c r="O220" s="207"/>
      <c r="P220" s="207"/>
      <c r="Q220" s="207"/>
      <c r="R220" s="207"/>
      <c r="S220" s="207"/>
      <c r="T220" s="207"/>
      <c r="U220" s="207"/>
      <c r="V220" s="207"/>
      <c r="W220" s="207"/>
    </row>
    <row r="221" spans="1:23" x14ac:dyDescent="0.4">
      <c r="A221" s="190"/>
      <c r="B221" s="191"/>
      <c r="C221" s="191"/>
      <c r="D221" s="193"/>
      <c r="E221" s="193" cm="1">
        <f t="array" ref="E221:T221">_xlfn.SEQUENCE(1, AdjustmentPeriodEnd+10-MTP_BaseYear+1, MTP_BaseYear)</f>
        <v>2023</v>
      </c>
      <c r="F221" s="193">
        <v>2024</v>
      </c>
      <c r="G221" s="193">
        <v>2025</v>
      </c>
      <c r="H221" s="193">
        <v>2026</v>
      </c>
      <c r="I221" s="193">
        <v>2027</v>
      </c>
      <c r="J221" s="193">
        <v>2028</v>
      </c>
      <c r="K221" s="193">
        <v>2029</v>
      </c>
      <c r="L221" s="193">
        <v>2030</v>
      </c>
      <c r="M221" s="193">
        <v>2031</v>
      </c>
      <c r="N221" s="193">
        <v>2032</v>
      </c>
      <c r="O221" s="193">
        <v>2033</v>
      </c>
      <c r="P221" s="193">
        <v>2034</v>
      </c>
      <c r="Q221" s="193">
        <v>2035</v>
      </c>
      <c r="R221" s="193">
        <v>2036</v>
      </c>
      <c r="S221" s="193">
        <v>2037</v>
      </c>
      <c r="T221" s="193">
        <v>2038</v>
      </c>
      <c r="U221" s="193"/>
      <c r="V221" s="193"/>
      <c r="W221" s="193"/>
    </row>
    <row r="222" spans="1:23" x14ac:dyDescent="0.4">
      <c r="A222" s="194">
        <v>1</v>
      </c>
      <c r="B222" s="195" t="s">
        <v>1</v>
      </c>
      <c r="C222" s="196" t="s">
        <v>835</v>
      </c>
      <c r="D222" s="196"/>
      <c r="E222" s="197"/>
      <c r="F222" s="197"/>
      <c r="G222" s="197"/>
      <c r="H222" s="197"/>
      <c r="I222" s="197"/>
      <c r="J222" s="197"/>
      <c r="K222" s="198"/>
      <c r="L222" s="198"/>
      <c r="M222" s="198"/>
      <c r="N222" s="198"/>
      <c r="O222" s="198"/>
      <c r="P222" s="198"/>
      <c r="Q222" s="198"/>
      <c r="R222" s="198"/>
      <c r="S222" s="198"/>
      <c r="T222" s="198"/>
      <c r="U222" s="198"/>
      <c r="V222" s="198"/>
      <c r="W222" s="198"/>
    </row>
    <row r="223" spans="1:23" x14ac:dyDescent="0.4">
      <c r="A223" s="194">
        <v>2</v>
      </c>
      <c r="B223" s="229" t="s">
        <v>860</v>
      </c>
      <c r="C223" s="230"/>
      <c r="D223" s="196"/>
      <c r="E223" s="197"/>
      <c r="F223" s="197"/>
      <c r="G223" s="197"/>
      <c r="H223" s="197"/>
      <c r="I223" s="197"/>
      <c r="J223" s="197"/>
      <c r="K223" s="198"/>
      <c r="L223" s="198"/>
      <c r="M223" s="198"/>
      <c r="N223" s="198"/>
      <c r="O223" s="198"/>
      <c r="P223" s="198"/>
      <c r="Q223" s="198"/>
      <c r="R223" s="198"/>
      <c r="S223" s="198"/>
      <c r="T223" s="198"/>
      <c r="U223" s="198"/>
      <c r="V223" s="198"/>
      <c r="W223" s="198"/>
    </row>
    <row r="224" spans="1:23" x14ac:dyDescent="0.4">
      <c r="A224" s="194">
        <v>3</v>
      </c>
      <c r="B224" s="229" t="s">
        <v>861</v>
      </c>
      <c r="C224" s="230"/>
      <c r="D224" s="196"/>
      <c r="E224" s="197"/>
      <c r="F224" s="197"/>
      <c r="G224" s="197"/>
      <c r="H224" s="197"/>
      <c r="I224" s="197"/>
      <c r="J224" s="197"/>
      <c r="K224" s="198"/>
      <c r="L224" s="198"/>
      <c r="M224" s="198"/>
      <c r="N224" s="198"/>
      <c r="O224" s="198"/>
      <c r="P224" s="198"/>
      <c r="Q224" s="198"/>
      <c r="R224" s="198"/>
      <c r="S224" s="198"/>
      <c r="T224" s="198"/>
      <c r="U224" s="198"/>
      <c r="V224" s="198"/>
      <c r="W224" s="198"/>
    </row>
    <row r="225" spans="1:23" x14ac:dyDescent="0.4">
      <c r="A225" s="194">
        <v>4</v>
      </c>
      <c r="B225" s="229" t="s">
        <v>862</v>
      </c>
      <c r="C225" s="230"/>
      <c r="D225" s="196"/>
      <c r="E225" s="197"/>
      <c r="F225" s="197"/>
      <c r="G225" s="197"/>
      <c r="H225" s="197"/>
      <c r="I225" s="197"/>
      <c r="J225" s="197"/>
      <c r="K225" s="198"/>
      <c r="L225" s="198"/>
      <c r="M225" s="198"/>
      <c r="N225" s="198"/>
      <c r="O225" s="198"/>
      <c r="P225" s="198"/>
      <c r="Q225" s="198"/>
      <c r="R225" s="198"/>
      <c r="S225" s="198"/>
      <c r="T225" s="198"/>
      <c r="U225" s="198"/>
      <c r="V225" s="198"/>
      <c r="W225" s="198"/>
    </row>
    <row r="226" spans="1:23" x14ac:dyDescent="0.4">
      <c r="A226" s="202">
        <v>5</v>
      </c>
      <c r="B226" s="231" t="s">
        <v>863</v>
      </c>
      <c r="C226" s="232"/>
      <c r="D226" s="204"/>
      <c r="E226" s="205"/>
      <c r="F226" s="205"/>
      <c r="G226" s="205"/>
      <c r="H226" s="205"/>
      <c r="I226" s="205"/>
      <c r="J226" s="205"/>
      <c r="K226" s="233"/>
      <c r="L226" s="233"/>
      <c r="M226" s="233"/>
      <c r="N226" s="233"/>
      <c r="O226" s="233"/>
      <c r="P226" s="233"/>
      <c r="Q226" s="233"/>
      <c r="R226" s="233"/>
      <c r="S226" s="233"/>
      <c r="T226" s="233"/>
      <c r="U226" s="233"/>
      <c r="V226" s="233"/>
      <c r="W226" s="233"/>
    </row>
    <row r="228" spans="1:23" ht="24.4" customHeight="1" x14ac:dyDescent="0.55000000000000004">
      <c r="A228" s="50"/>
    </row>
  </sheetData>
  <dataConsolidate/>
  <conditionalFormatting sqref="D5:N6">
    <cfRule type="expression" dxfId="130" priority="21">
      <formula>ISNUMBER(D4)</formula>
    </cfRule>
  </conditionalFormatting>
  <conditionalFormatting sqref="D4:N4">
    <cfRule type="expression" dxfId="129" priority="20">
      <formula>ISNUMBER(D4)</formula>
    </cfRule>
  </conditionalFormatting>
  <conditionalFormatting sqref="D19:K19">
    <cfRule type="expression" dxfId="128" priority="19">
      <formula>ISNUMBER(D$4)</formula>
    </cfRule>
  </conditionalFormatting>
  <conditionalFormatting sqref="D63:W63">
    <cfRule type="expression" dxfId="127" priority="18">
      <formula>ISNUMBER(D37)</formula>
    </cfRule>
  </conditionalFormatting>
  <conditionalFormatting sqref="D37:W37">
    <cfRule type="expression" dxfId="126" priority="17">
      <formula>ISNUMBER(D37)</formula>
    </cfRule>
  </conditionalFormatting>
  <conditionalFormatting sqref="D22:W22 D38:W38">
    <cfRule type="expression" dxfId="125" priority="16">
      <formula>ISNUMBER(D21)</formula>
    </cfRule>
  </conditionalFormatting>
  <conditionalFormatting sqref="D21:W21">
    <cfRule type="expression" dxfId="124" priority="15">
      <formula>ISNUMBER(D21)</formula>
    </cfRule>
  </conditionalFormatting>
  <conditionalFormatting sqref="D33:W33">
    <cfRule type="expression" dxfId="123" priority="14">
      <formula>ISNUMBER(D$21)</formula>
    </cfRule>
  </conditionalFormatting>
  <conditionalFormatting sqref="D40:Z41">
    <cfRule type="expression" dxfId="122" priority="13">
      <formula>AND(D$37=AdjustmentPeriodEnd, Receives_reference_trajectory=FALSE)</formula>
    </cfRule>
  </conditionalFormatting>
  <conditionalFormatting sqref="D25:Z25 D27:Z27 D44:Z47">
    <cfRule type="expression" dxfId="121" priority="12">
      <formula>AND(D$37&lt;&gt;"", Receives_reference_trajectory=FALSE)</formula>
    </cfRule>
  </conditionalFormatting>
  <conditionalFormatting sqref="D33">
    <cfRule type="expression" dxfId="120" priority="9">
      <formula>AND(Receives_reference_trajectory=TRUE,D$21&lt;&gt;"")</formula>
    </cfRule>
  </conditionalFormatting>
  <conditionalFormatting sqref="D25:Z25 D29:Z32 D27:Z27">
    <cfRule type="expression" dxfId="119" priority="8">
      <formula>AND(Receives_reference_trajectory=TRUE,D$21&lt;&gt;"")</formula>
    </cfRule>
  </conditionalFormatting>
  <conditionalFormatting sqref="D49:Z52 D29:S32 D44:Z47">
    <cfRule type="expression" dxfId="118" priority="7">
      <formula>AND(Receives_reference_trajectory,D$37&lt;&gt;"")</formula>
    </cfRule>
  </conditionalFormatting>
  <conditionalFormatting sqref="F39:L39">
    <cfRule type="expression" dxfId="117" priority="6">
      <formula>AND(Receives_reference_trajectory,F$38&lt;&gt;"")</formula>
    </cfRule>
  </conditionalFormatting>
  <conditionalFormatting sqref="D54:Z62">
    <cfRule type="expression" dxfId="116" priority="5">
      <formula>AND(D$37&gt;AdjustmentPeriodEnd,D$37&lt;=StochasticLastYear,Receives_reference_trajectory)</formula>
    </cfRule>
  </conditionalFormatting>
  <conditionalFormatting sqref="D63:Z63">
    <cfRule type="expression" dxfId="115" priority="4">
      <formula>AND(D$37&gt;AdjustmentPeriodEnd,D$37&lt;=StochasticLastYear,Receives_reference_trajectory)</formula>
    </cfRule>
  </conditionalFormatting>
  <conditionalFormatting sqref="O6">
    <cfRule type="expression" dxfId="114" priority="760">
      <formula>ISNUMBER(AA14)</formula>
    </cfRule>
  </conditionalFormatting>
  <conditionalFormatting sqref="D29:W33">
    <cfRule type="expression" dxfId="113" priority="2">
      <formula>NOT(Receives_reference_trajectory)</formula>
    </cfRule>
  </conditionalFormatting>
  <conditionalFormatting sqref="G6:M16">
    <cfRule type="expression" dxfId="112" priority="1">
      <formula>NOT(ISNUMBER(G$4))</formula>
    </cfRule>
  </conditionalFormatting>
  <pageMargins left="0.7" right="0.7" top="0.75" bottom="0.75" header="0.3" footer="0.3"/>
  <drawing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EE93E1-2DBE-4910-9D79-E02F79FD0FCE}">
  <sheetPr codeName="Sheet8">
    <tabColor theme="8" tint="-0.249977111117893"/>
  </sheetPr>
  <dimension ref="B2:E46"/>
  <sheetViews>
    <sheetView showGridLines="0" zoomScaleNormal="100" workbookViewId="0"/>
  </sheetViews>
  <sheetFormatPr defaultRowHeight="13.15" outlineLevelCol="1" x14ac:dyDescent="0.4"/>
  <cols>
    <col min="1" max="1" width="5.28515625" customWidth="1"/>
    <col min="2" max="2" width="214.140625" customWidth="1"/>
    <col min="3" max="3" width="33.85546875" bestFit="1" customWidth="1" outlineLevel="1"/>
    <col min="4" max="4" width="12.42578125" customWidth="1"/>
    <col min="5" max="5" width="4" customWidth="1"/>
  </cols>
  <sheetData>
    <row r="2" spans="2:5" ht="18" x14ac:dyDescent="0.55000000000000004">
      <c r="B2" s="50" t="s">
        <v>643</v>
      </c>
      <c r="D2" s="3"/>
    </row>
    <row r="3" spans="2:5" ht="15" customHeight="1" x14ac:dyDescent="0.4">
      <c r="B3" t="s">
        <v>328</v>
      </c>
      <c r="C3" t="s">
        <v>329</v>
      </c>
      <c r="D3" s="52" t="s">
        <v>23</v>
      </c>
      <c r="E3" s="10" t="str">
        <f t="shared" ref="E3:E5" si="0">HYPERLINK("#"&amp;ADDRESS(ROW(),COLUMN()-1),CHAR(128))</f>
        <v>€</v>
      </c>
    </row>
    <row r="4" spans="2:5" x14ac:dyDescent="0.4">
      <c r="B4" t="s">
        <v>889</v>
      </c>
      <c r="D4" s="52" t="s">
        <v>23</v>
      </c>
      <c r="E4" s="10" t="str">
        <f t="shared" si="0"/>
        <v>€</v>
      </c>
    </row>
    <row r="5" spans="2:5" x14ac:dyDescent="0.4">
      <c r="B5" t="s">
        <v>896</v>
      </c>
      <c r="D5" s="52" t="s">
        <v>23</v>
      </c>
      <c r="E5" s="10" t="str">
        <f t="shared" si="0"/>
        <v>€</v>
      </c>
    </row>
    <row r="6" spans="2:5" x14ac:dyDescent="0.4">
      <c r="D6" s="53"/>
    </row>
    <row r="7" spans="2:5" ht="18" x14ac:dyDescent="0.55000000000000004">
      <c r="B7" s="50" t="s">
        <v>644</v>
      </c>
      <c r="D7" s="53"/>
    </row>
    <row r="8" spans="2:5" ht="15" customHeight="1" x14ac:dyDescent="0.4">
      <c r="B8" t="s">
        <v>178</v>
      </c>
      <c r="C8" t="s">
        <v>179</v>
      </c>
      <c r="D8" s="52" t="b">
        <v>1</v>
      </c>
      <c r="E8" s="10" t="str">
        <f t="shared" ref="E8:E28" si="1">HYPERLINK("#"&amp;ADDRESS(ROW(),COLUMN()-1),CHAR(128))</f>
        <v>€</v>
      </c>
    </row>
    <row r="9" spans="2:5" x14ac:dyDescent="0.4">
      <c r="B9" s="12" t="s">
        <v>180</v>
      </c>
      <c r="C9" t="s">
        <v>181</v>
      </c>
      <c r="D9" s="52" t="b">
        <v>1</v>
      </c>
      <c r="E9" s="10" t="str">
        <f t="shared" si="1"/>
        <v>€</v>
      </c>
    </row>
    <row r="10" spans="2:5" x14ac:dyDescent="0.4">
      <c r="B10" s="12" t="s">
        <v>182</v>
      </c>
      <c r="C10" t="s">
        <v>181</v>
      </c>
      <c r="D10" s="52" t="b">
        <v>1</v>
      </c>
      <c r="E10" s="10" t="str">
        <f t="shared" si="1"/>
        <v>€</v>
      </c>
    </row>
    <row r="11" spans="2:5" x14ac:dyDescent="0.4">
      <c r="B11" t="s">
        <v>183</v>
      </c>
      <c r="C11" t="s">
        <v>184</v>
      </c>
      <c r="D11" s="52" t="b">
        <v>1</v>
      </c>
      <c r="E11" s="10" t="str">
        <f t="shared" si="1"/>
        <v>€</v>
      </c>
    </row>
    <row r="12" spans="2:5" x14ac:dyDescent="0.4">
      <c r="B12" t="s">
        <v>185</v>
      </c>
      <c r="C12" t="s">
        <v>184</v>
      </c>
      <c r="D12" s="52" t="b">
        <v>1</v>
      </c>
      <c r="E12" s="10" t="str">
        <f t="shared" si="1"/>
        <v>€</v>
      </c>
    </row>
    <row r="13" spans="2:5" x14ac:dyDescent="0.4">
      <c r="B13" t="s">
        <v>186</v>
      </c>
      <c r="C13" t="s">
        <v>187</v>
      </c>
      <c r="D13" s="52" t="b">
        <v>1</v>
      </c>
      <c r="E13" s="10" t="str">
        <f t="shared" si="1"/>
        <v>€</v>
      </c>
    </row>
    <row r="14" spans="2:5" x14ac:dyDescent="0.4">
      <c r="B14" t="s">
        <v>188</v>
      </c>
      <c r="C14" t="s">
        <v>189</v>
      </c>
      <c r="D14" s="52" t="b">
        <v>1</v>
      </c>
      <c r="E14" s="10" t="str">
        <f t="shared" si="1"/>
        <v>€</v>
      </c>
    </row>
    <row r="15" spans="2:5" x14ac:dyDescent="0.4">
      <c r="B15" t="s">
        <v>190</v>
      </c>
      <c r="C15" t="s">
        <v>191</v>
      </c>
      <c r="D15" s="52" t="b">
        <v>1</v>
      </c>
      <c r="E15" s="10" t="str">
        <f t="shared" si="1"/>
        <v>€</v>
      </c>
    </row>
    <row r="16" spans="2:5" x14ac:dyDescent="0.4">
      <c r="B16" t="s">
        <v>192</v>
      </c>
      <c r="C16" t="s">
        <v>341</v>
      </c>
      <c r="D16" s="52" t="b">
        <v>1</v>
      </c>
      <c r="E16" s="10" t="str">
        <f t="shared" si="1"/>
        <v>€</v>
      </c>
    </row>
    <row r="17" spans="2:5" x14ac:dyDescent="0.4">
      <c r="B17" s="2" t="s">
        <v>193</v>
      </c>
      <c r="C17" t="s">
        <v>342</v>
      </c>
      <c r="D17" s="52" t="b">
        <v>1</v>
      </c>
      <c r="E17" s="10" t="str">
        <f t="shared" si="1"/>
        <v>€</v>
      </c>
    </row>
    <row r="18" spans="2:5" x14ac:dyDescent="0.4">
      <c r="B18" s="2" t="s">
        <v>336</v>
      </c>
      <c r="C18" t="s">
        <v>343</v>
      </c>
      <c r="D18" s="52" t="s">
        <v>271</v>
      </c>
      <c r="E18" s="10" t="str">
        <f t="shared" si="1"/>
        <v>€</v>
      </c>
    </row>
    <row r="19" spans="2:5" x14ac:dyDescent="0.4">
      <c r="B19" s="2" t="s">
        <v>337</v>
      </c>
      <c r="C19" t="s">
        <v>344</v>
      </c>
      <c r="D19" s="52" t="b">
        <v>1</v>
      </c>
      <c r="E19" s="10" t="str">
        <f t="shared" si="1"/>
        <v>€</v>
      </c>
    </row>
    <row r="20" spans="2:5" x14ac:dyDescent="0.4">
      <c r="B20" s="2" t="s">
        <v>338</v>
      </c>
      <c r="C20" t="s">
        <v>345</v>
      </c>
      <c r="D20" s="52" t="b">
        <v>1</v>
      </c>
      <c r="E20" s="10" t="str">
        <f t="shared" si="1"/>
        <v>€</v>
      </c>
    </row>
    <row r="21" spans="2:5" x14ac:dyDescent="0.4">
      <c r="B21" s="2" t="s">
        <v>334</v>
      </c>
      <c r="C21" t="s">
        <v>335</v>
      </c>
      <c r="D21" s="52" t="b">
        <v>1</v>
      </c>
      <c r="E21" s="10" t="str">
        <f t="shared" si="1"/>
        <v>€</v>
      </c>
    </row>
    <row r="22" spans="2:5" x14ac:dyDescent="0.4">
      <c r="B22" s="2" t="s">
        <v>339</v>
      </c>
      <c r="C22" t="s">
        <v>340</v>
      </c>
      <c r="D22" s="52" t="b">
        <v>1</v>
      </c>
      <c r="E22" s="10" t="str">
        <f t="shared" si="1"/>
        <v>€</v>
      </c>
    </row>
    <row r="23" spans="2:5" x14ac:dyDescent="0.4">
      <c r="B23" t="s">
        <v>194</v>
      </c>
      <c r="C23" t="s">
        <v>195</v>
      </c>
      <c r="D23" s="52" t="b">
        <v>1</v>
      </c>
      <c r="E23" s="10" t="str">
        <f t="shared" si="1"/>
        <v>€</v>
      </c>
    </row>
    <row r="24" spans="2:5" x14ac:dyDescent="0.4">
      <c r="B24" t="s">
        <v>196</v>
      </c>
      <c r="C24" t="s">
        <v>197</v>
      </c>
      <c r="D24" s="52" t="b">
        <v>1</v>
      </c>
      <c r="E24" s="10" t="str">
        <f t="shared" si="1"/>
        <v>€</v>
      </c>
    </row>
    <row r="25" spans="2:5" x14ac:dyDescent="0.4">
      <c r="B25" s="2" t="s">
        <v>198</v>
      </c>
      <c r="C25" t="s">
        <v>205</v>
      </c>
      <c r="D25" s="52" t="b">
        <v>1</v>
      </c>
      <c r="E25" s="10" t="str">
        <f t="shared" si="1"/>
        <v>€</v>
      </c>
    </row>
    <row r="26" spans="2:5" x14ac:dyDescent="0.4">
      <c r="B26" t="s">
        <v>199</v>
      </c>
      <c r="C26" t="s">
        <v>200</v>
      </c>
      <c r="D26" s="52" t="b">
        <v>1</v>
      </c>
      <c r="E26" s="10" t="str">
        <f t="shared" si="1"/>
        <v>€</v>
      </c>
    </row>
    <row r="27" spans="2:5" x14ac:dyDescent="0.4">
      <c r="B27" t="s">
        <v>201</v>
      </c>
      <c r="C27" t="s">
        <v>202</v>
      </c>
      <c r="D27" s="52" t="b">
        <v>1</v>
      </c>
      <c r="E27" s="10" t="str">
        <f t="shared" si="1"/>
        <v>€</v>
      </c>
    </row>
    <row r="28" spans="2:5" x14ac:dyDescent="0.4">
      <c r="B28" t="s">
        <v>203</v>
      </c>
      <c r="C28" t="s">
        <v>204</v>
      </c>
      <c r="D28" s="52" t="b">
        <v>1</v>
      </c>
      <c r="E28" s="10" t="str">
        <f t="shared" si="1"/>
        <v>€</v>
      </c>
    </row>
    <row r="30" spans="2:5" ht="18" x14ac:dyDescent="0.55000000000000004">
      <c r="B30" s="50" t="s">
        <v>645</v>
      </c>
    </row>
    <row r="31" spans="2:5" ht="15" customHeight="1" x14ac:dyDescent="0.4">
      <c r="B31" s="133" t="s">
        <v>531</v>
      </c>
      <c r="C31" s="133" t="s">
        <v>532</v>
      </c>
      <c r="D31" s="52" t="b">
        <v>0</v>
      </c>
      <c r="E31" s="10" t="str">
        <f t="shared" ref="E31:E43" si="2">HYPERLINK("#"&amp;ADDRESS(ROW(),COLUMN()-1),CHAR(128))</f>
        <v>€</v>
      </c>
    </row>
    <row r="32" spans="2:5" x14ac:dyDescent="0.4">
      <c r="B32" s="133" t="s">
        <v>533</v>
      </c>
      <c r="C32" s="133" t="s">
        <v>534</v>
      </c>
      <c r="D32" s="52" t="s">
        <v>271</v>
      </c>
      <c r="E32" s="10" t="str">
        <f t="shared" si="2"/>
        <v>€</v>
      </c>
    </row>
    <row r="33" spans="2:5" x14ac:dyDescent="0.4">
      <c r="B33" s="133" t="s">
        <v>535</v>
      </c>
      <c r="C33" s="133" t="s">
        <v>536</v>
      </c>
      <c r="D33" s="52" t="s">
        <v>271</v>
      </c>
      <c r="E33" s="10" t="str">
        <f t="shared" si="2"/>
        <v>€</v>
      </c>
    </row>
    <row r="34" spans="2:5" x14ac:dyDescent="0.4">
      <c r="B34" s="133" t="s">
        <v>537</v>
      </c>
      <c r="C34" s="133" t="s">
        <v>538</v>
      </c>
      <c r="D34" s="52" t="s">
        <v>271</v>
      </c>
      <c r="E34" s="10" t="str">
        <f t="shared" si="2"/>
        <v>€</v>
      </c>
    </row>
    <row r="35" spans="2:5" x14ac:dyDescent="0.4">
      <c r="B35" s="133" t="s">
        <v>539</v>
      </c>
      <c r="C35" s="133" t="s">
        <v>540</v>
      </c>
      <c r="D35" s="52" t="s">
        <v>271</v>
      </c>
      <c r="E35" s="10" t="str">
        <f t="shared" si="2"/>
        <v>€</v>
      </c>
    </row>
    <row r="36" spans="2:5" x14ac:dyDescent="0.4">
      <c r="B36" s="133" t="s">
        <v>541</v>
      </c>
      <c r="C36" s="133" t="s">
        <v>542</v>
      </c>
      <c r="D36" s="52" t="s">
        <v>271</v>
      </c>
      <c r="E36" s="10" t="str">
        <f t="shared" si="2"/>
        <v>€</v>
      </c>
    </row>
    <row r="37" spans="2:5" x14ac:dyDescent="0.4">
      <c r="B37" s="133" t="s">
        <v>543</v>
      </c>
      <c r="C37" s="133" t="s">
        <v>544</v>
      </c>
      <c r="D37" s="52" t="s">
        <v>271</v>
      </c>
      <c r="E37" s="10" t="str">
        <f t="shared" si="2"/>
        <v>€</v>
      </c>
    </row>
    <row r="38" spans="2:5" x14ac:dyDescent="0.4">
      <c r="B38" s="133" t="s">
        <v>545</v>
      </c>
      <c r="C38" s="133" t="s">
        <v>546</v>
      </c>
      <c r="D38" s="52" t="s">
        <v>271</v>
      </c>
      <c r="E38" s="10" t="str">
        <f t="shared" si="2"/>
        <v>€</v>
      </c>
    </row>
    <row r="39" spans="2:5" x14ac:dyDescent="0.4">
      <c r="B39" s="133" t="s">
        <v>547</v>
      </c>
      <c r="C39" s="133" t="s">
        <v>548</v>
      </c>
      <c r="D39" s="52" t="s">
        <v>271</v>
      </c>
      <c r="E39" s="10" t="str">
        <f t="shared" si="2"/>
        <v>€</v>
      </c>
    </row>
    <row r="40" spans="2:5" x14ac:dyDescent="0.4">
      <c r="B40" s="133" t="s">
        <v>549</v>
      </c>
      <c r="C40" s="133" t="s">
        <v>550</v>
      </c>
      <c r="D40" s="52" t="s">
        <v>271</v>
      </c>
      <c r="E40" s="10" t="str">
        <f t="shared" si="2"/>
        <v>€</v>
      </c>
    </row>
    <row r="41" spans="2:5" x14ac:dyDescent="0.4">
      <c r="B41" s="133" t="s">
        <v>551</v>
      </c>
      <c r="C41" s="133" t="s">
        <v>552</v>
      </c>
      <c r="D41" s="52" t="s">
        <v>271</v>
      </c>
      <c r="E41" s="10" t="str">
        <f t="shared" si="2"/>
        <v>€</v>
      </c>
    </row>
    <row r="42" spans="2:5" x14ac:dyDescent="0.4">
      <c r="B42" s="133" t="s">
        <v>553</v>
      </c>
      <c r="C42" s="133" t="s">
        <v>552</v>
      </c>
      <c r="D42" s="52" t="s">
        <v>271</v>
      </c>
      <c r="E42" s="10" t="str">
        <f t="shared" si="2"/>
        <v>€</v>
      </c>
    </row>
    <row r="43" spans="2:5" x14ac:dyDescent="0.4">
      <c r="B43" s="133" t="s">
        <v>554</v>
      </c>
      <c r="C43" s="133" t="s">
        <v>555</v>
      </c>
      <c r="D43" s="52" t="s">
        <v>271</v>
      </c>
      <c r="E43" s="10" t="str">
        <f t="shared" si="2"/>
        <v>€</v>
      </c>
    </row>
    <row r="44" spans="2:5" ht="18" x14ac:dyDescent="0.55000000000000004">
      <c r="B44" s="50"/>
    </row>
    <row r="45" spans="2:5" ht="18" x14ac:dyDescent="0.55000000000000004">
      <c r="B45" s="50" t="s">
        <v>646</v>
      </c>
    </row>
    <row r="46" spans="2:5" x14ac:dyDescent="0.4">
      <c r="B46" s="137" t="s">
        <v>460</v>
      </c>
      <c r="D46" s="52" t="s">
        <v>23</v>
      </c>
      <c r="E46" s="10" t="str">
        <f t="shared" ref="E46" si="3">HYPERLINK("#"&amp;ADDRESS(ROW(),COLUMN()-1),CHAR(128))</f>
        <v>€</v>
      </c>
    </row>
  </sheetData>
  <pageMargins left="0.7" right="0.7" top="0.75" bottom="0.75" header="0.3" footer="0.3"/>
  <drawing r:id="rId1"/>
  <extLst>
    <ext xmlns:x14="http://schemas.microsoft.com/office/spreadsheetml/2009/9/main" uri="{CCE6A557-97BC-4b89-ADB6-D9C93CAAB3DF}">
      <x14:dataValidations xmlns:xm="http://schemas.microsoft.com/office/excel/2006/main" count="3">
        <x14:dataValidation type="list" allowBlank="1" showInputMessage="1" showErrorMessage="1" xr:uid="{45220E43-D1A0-4E7A-804F-8A1EA3514C29}">
          <x14:formula1>
            <xm:f>Validation!$D$3:$D$5</xm:f>
          </x14:formula1>
          <xm:sqref>D46 D3:D5</xm:sqref>
        </x14:dataValidation>
        <x14:dataValidation type="list" allowBlank="1" showInputMessage="1" showErrorMessage="1" xr:uid="{84432622-41E7-4A98-B45C-0CE41F521885}">
          <x14:formula1>
            <xm:f>Validation!$F$3:$F$4</xm:f>
          </x14:formula1>
          <xm:sqref>D31 D8:D17 D19:D28</xm:sqref>
        </x14:dataValidation>
        <x14:dataValidation type="list" allowBlank="1" showInputMessage="1" showErrorMessage="1" xr:uid="{DC58A366-AE19-438B-9E43-813774766B98}">
          <x14:formula1>
            <xm:f>Validation!$F$3:$F$5</xm:f>
          </x14:formula1>
          <xm:sqref>D32:D43 D18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7BEC11-D9AD-4C2E-9FB3-E962BD5E5CD4}">
  <sheetPr codeName="Sheet18">
    <tabColor theme="8" tint="-0.249977111117893"/>
    <pageSetUpPr autoPageBreaks="0" fitToPage="1"/>
  </sheetPr>
  <dimension ref="A1:AH42"/>
  <sheetViews>
    <sheetView showGridLines="0" zoomScaleNormal="100" zoomScalePageLayoutView="55" workbookViewId="0"/>
  </sheetViews>
  <sheetFormatPr defaultColWidth="9" defaultRowHeight="14.25" x14ac:dyDescent="0.45"/>
  <cols>
    <col min="1" max="1" width="7.42578125" style="22" customWidth="1"/>
    <col min="2" max="2" width="68.7109375" style="22" customWidth="1"/>
    <col min="3" max="3" width="19.0703125" style="22" customWidth="1"/>
    <col min="4" max="4" width="5.640625" style="22" customWidth="1"/>
    <col min="5" max="5" width="15.140625" style="22" customWidth="1"/>
    <col min="6" max="7" width="10.5703125" style="22" customWidth="1"/>
    <col min="8" max="20" width="9.7109375" style="22" customWidth="1"/>
    <col min="21" max="16384" width="9" style="22"/>
  </cols>
  <sheetData>
    <row r="1" spans="1:27" ht="48.75" customHeight="1" x14ac:dyDescent="1">
      <c r="A1" s="20"/>
      <c r="B1" s="77" t="str">
        <f>Country&amp;"'s adherence to Regulation (EU) 2024/1263 and associated guidance"</f>
        <v>Select country's adherence to Regulation (EU) 2024/1263 and associated guidance</v>
      </c>
      <c r="C1" s="77"/>
      <c r="D1" s="34"/>
      <c r="F1" s="34"/>
      <c r="G1" s="113"/>
      <c r="H1" s="34"/>
      <c r="I1"/>
      <c r="J1"/>
      <c r="K1"/>
      <c r="L1"/>
      <c r="M1"/>
      <c r="N1"/>
      <c r="O1"/>
      <c r="P1"/>
      <c r="Q1"/>
      <c r="R1"/>
      <c r="S1"/>
      <c r="T1"/>
      <c r="U1"/>
      <c r="V1"/>
      <c r="W1"/>
      <c r="X1"/>
      <c r="Y1"/>
      <c r="Z1"/>
      <c r="AA1" s="3"/>
    </row>
    <row r="2" spans="1:27" ht="18" x14ac:dyDescent="0.55000000000000004">
      <c r="A2" s="25"/>
      <c r="Q2" s="23"/>
      <c r="R2" s="23"/>
      <c r="S2" s="23"/>
      <c r="T2" s="23"/>
      <c r="U2" s="23"/>
      <c r="V2" s="21"/>
      <c r="W2" s="21"/>
      <c r="X2" s="21"/>
      <c r="Y2" s="21"/>
      <c r="Z2"/>
      <c r="AA2" s="3"/>
    </row>
    <row r="3" spans="1:27" ht="23.25" x14ac:dyDescent="0.7">
      <c r="A3" s="20"/>
      <c r="B3" s="13" t="str">
        <f>"Assessing a new or revised MTP"&amp;IF(Receives_reference_trajectory," under Article 5 pathway (receiving a reference trajectory)","under Article 9(3) pathway (receiving technical information)")</f>
        <v>Assessing a new or revised MTP under Article 5 pathway (receiving a reference trajectory)</v>
      </c>
      <c r="C3" s="13"/>
      <c r="Q3" s="26"/>
      <c r="R3" s="26"/>
      <c r="S3" s="26"/>
      <c r="T3" s="26"/>
      <c r="U3" s="26"/>
      <c r="V3" s="28"/>
      <c r="W3" s="28"/>
      <c r="X3" s="28"/>
    </row>
    <row r="4" spans="1:27" x14ac:dyDescent="0.45">
      <c r="A4" s="21"/>
      <c r="B4" s="134" t="str">
        <f>CHAR(149)&amp;IF(AssessmentRound="Implementation of an endorsed MTP"," The net expenditure path in the Medium-Term Plan under assessment was endorsed by the European Council; the below is for information only"," A new or revised MTP has been submitted for assessment")</f>
        <v>• A new or revised MTP has been submitted for assessment</v>
      </c>
      <c r="C4" s="134"/>
      <c r="L4" s="158"/>
    </row>
    <row r="5" spans="1:27" x14ac:dyDescent="0.45">
      <c r="A5" s="20"/>
      <c r="B5" s="134" t="str">
        <f>CHAR(149)&amp;" "&amp;MTP_Requirement</f>
        <v>• Select country's gross debt was above 60% of GDP in 2023 (T-1), therefore it must adhere to an MTP with a planned net expenditure path that does not exceed the Commission's reference trajectory (or an alternative path that meets all criteria). If the planned net expenditure path exceeds the reference trajectory, Select country must provide sound and data-driven economic arguments explaining the difference.</v>
      </c>
      <c r="C5" s="134"/>
      <c r="D5" s="31"/>
      <c r="E5" s="31"/>
      <c r="F5" s="31"/>
      <c r="G5" s="31"/>
      <c r="H5" s="31"/>
      <c r="I5" s="31"/>
      <c r="J5" s="31"/>
      <c r="K5" s="31"/>
      <c r="L5" s="173"/>
      <c r="M5" s="20"/>
      <c r="Q5" s="26"/>
      <c r="R5" s="26"/>
      <c r="S5" s="26"/>
      <c r="T5" s="26"/>
      <c r="U5" s="26"/>
      <c r="V5" s="26"/>
      <c r="W5" s="26"/>
      <c r="X5" s="26"/>
      <c r="Y5" s="21"/>
      <c r="Z5" s="21"/>
    </row>
    <row r="6" spans="1:27" x14ac:dyDescent="0.45">
      <c r="A6" s="20"/>
      <c r="B6" s="134" t="str">
        <f>CHAR(149)&amp;" "&amp;Country&amp;IF(AdjustmentPeriod=4," has not requested an extension of the adjustment period; the adjustment period is the four years "&amp;MTP_YearT+1&amp;" to "&amp;AdjustmentPeriodEnd&amp;"."," has requested an extension of the adjustment period; the adjustment period is the seven years "&amp;MTP_YearT+1&amp;" to "&amp;AdjustmentPeriodEnd&amp;".")</f>
        <v>• Select country has not requested an extension of the adjustment period; the adjustment period is the four years 2025 to 2028.</v>
      </c>
      <c r="C6" s="134"/>
      <c r="D6" s="31"/>
      <c r="E6" s="31"/>
      <c r="F6" s="31"/>
      <c r="G6" s="31"/>
      <c r="H6" s="31"/>
      <c r="I6" s="31"/>
      <c r="J6" s="31"/>
      <c r="K6" s="31"/>
      <c r="L6" s="173"/>
      <c r="M6" s="20"/>
      <c r="Q6" s="26"/>
      <c r="R6" s="26"/>
      <c r="S6" s="26"/>
      <c r="T6" s="26"/>
      <c r="U6" s="26"/>
      <c r="V6" s="26"/>
      <c r="W6" s="26"/>
      <c r="X6" s="26"/>
      <c r="Y6" s="21"/>
      <c r="Z6" s="21"/>
    </row>
    <row r="7" spans="1:27" x14ac:dyDescent="0.45">
      <c r="A7" s="20"/>
      <c r="B7" s="134" t="str" cm="1">
        <f t="array" ref="B7">CHAR(149)&amp;" "&amp;
_xlfn.LET(
  _xlpm.rng, 'Step 1 - Set global parameters'!B22:H22,
  _xlpm.anyGeneral, COUNTIF(_xlpm.rng,"General")+COUNTIF(_xlpm.rng,"Both")&gt;0,
  _xlpm.anyCountry, COUNTIF(_xlpm.rng,"Country")+COUNTIF(_xlpm.rng,"Both")&gt;0,
  _xlfn.IFS(
    AND(_xlpm.anyGeneral, _xlpm.anyCountry), "Both the general and country-specific escape clauses have been activated.",
    _xlpm.anyGeneral, "The general escape clause has been activated.",
    _xlpm.anyCountry, "A country-specific escape clause has been activated.",
    TRUE, "No escape clauses are currently activated."
  )
)</f>
        <v>• No escape clauses are currently activated.</v>
      </c>
      <c r="C7" s="134"/>
      <c r="D7" s="31"/>
      <c r="E7" s="31"/>
      <c r="F7" s="31"/>
      <c r="G7" s="31"/>
      <c r="H7" s="31"/>
      <c r="I7" s="31"/>
      <c r="J7" s="31"/>
      <c r="K7" s="31"/>
      <c r="L7" s="173"/>
      <c r="M7" s="20"/>
      <c r="Q7" s="26"/>
      <c r="R7" s="26"/>
      <c r="S7" s="26"/>
      <c r="T7" s="26"/>
      <c r="U7" s="26"/>
      <c r="V7" s="26"/>
      <c r="W7" s="26"/>
      <c r="X7" s="26"/>
      <c r="Y7" s="21"/>
      <c r="Z7" s="21"/>
    </row>
    <row r="8" spans="1:27" x14ac:dyDescent="0.45">
      <c r="A8" s="21"/>
      <c r="B8" s="134" t="str">
        <f>CHAR(149)&amp;" "&amp;IF('Step 1 - Set global parameters'!B30,
  IF('Step 1 - Set global parameters'!B32,
    Country&amp;" is subject to both an excessive deficit procedure and an excessive debt procedure.",
    Country&amp;" is subject to an excessive deficit procedure."),
  IF('Step 1 - Set global parameters'!B32,
    Country&amp;" is subject to an excessive debt procedure.",
    Country&amp;" is not currently subject to any excessive deficit or debt procedure."))</f>
        <v>• Select country is not currently subject to any excessive deficit or debt procedure.</v>
      </c>
    </row>
    <row r="9" spans="1:27" ht="25.9" customHeight="1" x14ac:dyDescent="0.7">
      <c r="A9" s="112"/>
      <c r="B9" s="50" t="s">
        <v>906</v>
      </c>
      <c r="C9" s="50"/>
      <c r="D9" s="75"/>
      <c r="E9" s="27"/>
    </row>
    <row r="10" spans="1:27" ht="19.149999999999999" customHeight="1" x14ac:dyDescent="0.7">
      <c r="A10" s="112" t="s">
        <v>394</v>
      </c>
      <c r="B10" s="78" t="s">
        <v>887</v>
      </c>
      <c r="C10" s="78" t="s">
        <v>903</v>
      </c>
      <c r="D10" s="75" t="str">
        <f>IF(E10="At risk","⚠",IF(E10="Compliant","☑",IF(E10="Breach","⮽","☐")))</f>
        <v>☑</v>
      </c>
      <c r="E10" s="27" t="str">
        <f>IF(Assessment!$C$216,"Compliant","Breach")</f>
        <v>Compliant</v>
      </c>
      <c r="F10" s="22" t="str">
        <f>Assessment!C217</f>
        <v>The Select IFI has concluded that the MTP's alternative macroeconomic assumptions are based on sound and data-driven arguments and are plausible.</v>
      </c>
    </row>
    <row r="11" spans="1:27" ht="19.149999999999999" customHeight="1" x14ac:dyDescent="0.7">
      <c r="A11" s="112" t="s">
        <v>395</v>
      </c>
      <c r="B11" s="78" t="s">
        <v>518</v>
      </c>
      <c r="C11" s="78" t="s">
        <v>901</v>
      </c>
      <c r="D11" s="75" t="str">
        <f>IF(E11="At risk","⚠",IF(E11="Compliant","☑",IF(E11="Breach","⮽","☐")))</f>
        <v>☑</v>
      </c>
      <c r="E11" s="27" t="str">
        <f>IF(Assessment!$C$220,"Compliant","Breach")</f>
        <v>Compliant</v>
      </c>
      <c r="F11" s="22" t="str">
        <f>Assessment!C221</f>
        <v>The Select IFI has concluded that the plan contains all information required by Article 13 of Regulation (EU) 2024/1263.</v>
      </c>
    </row>
    <row r="12" spans="1:27" ht="19.149999999999999" customHeight="1" x14ac:dyDescent="0.7">
      <c r="A12" s="112" t="s">
        <v>396</v>
      </c>
      <c r="B12" s="78" t="s">
        <v>530</v>
      </c>
      <c r="C12" s="78" t="s">
        <v>902</v>
      </c>
      <c r="D12" s="75" t="str">
        <f>IF(E12="At risk","⚠",IF(E12="Compliant","☑",IF(E12="Breach","⮽","☐")))</f>
        <v>☐</v>
      </c>
      <c r="E12" s="27" t="str">
        <f>IF(
  AdjustmentPeriod=7,
  IF(Assessment!C225, "Compliant", "Breach"),
  "N/A"
)</f>
        <v>N/A</v>
      </c>
      <c r="F12" s="22" t="str">
        <f>Assessment!C226</f>
        <v>Not applicable. Select country has not requested an extension of the adjustment period.</v>
      </c>
    </row>
    <row r="13" spans="1:27" ht="19.149999999999999" customHeight="1" x14ac:dyDescent="0.7">
      <c r="A13" s="112"/>
      <c r="B13" s="250" t="s">
        <v>921</v>
      </c>
      <c r="D13" s="75"/>
      <c r="E13" s="27"/>
    </row>
    <row r="14" spans="1:27" ht="19.149999999999999" customHeight="1" x14ac:dyDescent="0.7">
      <c r="A14" s="112" t="s">
        <v>397</v>
      </c>
      <c r="B14" s="78" t="s">
        <v>517</v>
      </c>
      <c r="C14" s="78" t="s">
        <v>922</v>
      </c>
      <c r="D14" s="75" t="str">
        <f>IF(E14="At risk","⚠",IF(E14="Compliant","☑",IF(E14="Breach","⮽","☐")))</f>
        <v>☐</v>
      </c>
      <c r="E14" s="27" t="str">
        <f>_xlfn.IFNA(
  IF(
    NOT(Receives_reference_trajectory),
    "N/A",
    IF(
      NOT(Assessment!$C$234),
      "Compliant",
      IF(
        Assessment!$C$235,
        "Compliant",
        "Breach"
      )
    )
  ),
  "N/A"
)</f>
        <v>N/A</v>
      </c>
      <c r="F14" s="22" t="str">
        <f>Assessment!C236</f>
        <v>N/A</v>
      </c>
    </row>
    <row r="15" spans="1:27" ht="19.149999999999999" customHeight="1" x14ac:dyDescent="0.7">
      <c r="A15" s="112" t="s">
        <v>398</v>
      </c>
      <c r="B15" s="78" t="s">
        <v>916</v>
      </c>
      <c r="C15" s="78" t="s">
        <v>922</v>
      </c>
      <c r="D15" s="75" t="str">
        <f>IF(E15="At risk","⚠",IF(E15="Compliant","☑",IF(E15="Breach","⮽","☐")))</f>
        <v>☑</v>
      </c>
      <c r="E15" s="27" t="str">
        <f>IF(Receives_reference_trajectory,IF(Assessment!C242,"Compliant","Breach"),IF(Assessment!C252,"Compliant","Breach"))</f>
        <v>Compliant</v>
      </c>
      <c r="F15" s="22" t="str">
        <f>IF(Receives_reference_trajectory,Assessment!C243,Assessment!C253)</f>
        <v>The net expenditure path in Select country's latest MTP adheres to the Commission's reference trajectory.</v>
      </c>
    </row>
    <row r="16" spans="1:27" ht="19.149999999999999" customHeight="1" x14ac:dyDescent="0.7">
      <c r="A16" s="112" t="s">
        <v>399</v>
      </c>
      <c r="B16" s="78" t="s">
        <v>583</v>
      </c>
      <c r="C16" s="78" t="s">
        <v>917</v>
      </c>
      <c r="D16" s="75" t="str">
        <f t="shared" ref="D16:D19" si="0">IF(E16="At risk","⚠",IF(E16="Compliant","☑",IF(E16="Breach","⮽","☐")))</f>
        <v>☑</v>
      </c>
      <c r="E16" s="27" t="str">
        <f>IF(Receives_reference_trajectory,IF(Assessment!C265,"Compliant","Breach"),IF(Assessment!C269,"Compliant","Breach"))</f>
        <v>Compliant</v>
      </c>
      <c r="F16" s="22" t="str">
        <f>IF(Receives_reference_trajectory,Assessment!$C$266,Assessment!$C$270)</f>
        <v>Select country's planned net expenditure ensures gross government debt remains at prudent levels below 60% over the medium-term.</v>
      </c>
    </row>
    <row r="17" spans="1:34" ht="19.149999999999999" customHeight="1" x14ac:dyDescent="0.7">
      <c r="A17" s="112" t="s">
        <v>400</v>
      </c>
      <c r="B17" s="78" t="s">
        <v>584</v>
      </c>
      <c r="C17" s="78" t="s">
        <v>917</v>
      </c>
      <c r="D17" s="75" t="str">
        <f t="shared" si="0"/>
        <v>☑</v>
      </c>
      <c r="E17" s="27" t="str">
        <f>IF(Receives_reference_trajectory,IF(Assessment!C275,"Compliant","Breach"),IF(Assessment!C279,"Compliant","Breach"))</f>
        <v>Compliant</v>
      </c>
      <c r="F17" s="22" t="str">
        <f>IF(Receives_reference_trajectory,Assessment!$C$276,Assessment!$C$283)</f>
        <v>Select country's net expenditure path maintains the government deficit below 3% of GDP throughout the adjustment period and over the medium term.</v>
      </c>
    </row>
    <row r="18" spans="1:34" ht="19.149999999999999" customHeight="1" x14ac:dyDescent="0.7">
      <c r="A18" s="112" t="s">
        <v>401</v>
      </c>
      <c r="B18" s="78" t="s">
        <v>500</v>
      </c>
      <c r="C18" s="78" t="s">
        <v>923</v>
      </c>
      <c r="D18" s="75" t="str">
        <f t="shared" si="0"/>
        <v>☑</v>
      </c>
      <c r="E18" s="27" t="str">
        <f>IF(Receives_reference_trajectory,IF(Assessment!C294,"Compliant","Breach"),"N/A")</f>
        <v>Compliant</v>
      </c>
      <c r="F18" s="22" t="str">
        <f>Assessment!C296</f>
        <v>The time profile of the fiscal adjustment, measured as the change in the structural primary balance, is linear. The adjustment effort does not rise over the adjustment period, and it is proportional to the total effort over the adjustment period. Therefore the net expenditure path put forward in Select country's latest MTP is consistent with the no backloading safeguard clause.</v>
      </c>
    </row>
    <row r="19" spans="1:34" ht="19.149999999999999" customHeight="1" x14ac:dyDescent="0.7">
      <c r="A19" s="112" t="s">
        <v>402</v>
      </c>
      <c r="B19" s="78" t="s">
        <v>290</v>
      </c>
      <c r="C19" s="78" t="s">
        <v>918</v>
      </c>
      <c r="D19" s="75" t="str">
        <f t="shared" si="0"/>
        <v>☐</v>
      </c>
      <c r="E19" s="78" t="str">
        <f>_xlfn.IFNA(IF(Assessment!C307,"Compliant",IF(NOT(Assessment!C316),"Breach")),"N/A")</f>
        <v>N/A</v>
      </c>
      <c r="F19" s="22" t="str">
        <f>Assessment!C308</f>
        <v>The Council has not opened an excessive deficit procedure against Select country.</v>
      </c>
    </row>
    <row r="20" spans="1:34" ht="19.149999999999999" customHeight="1" x14ac:dyDescent="0.7">
      <c r="A20" s="112"/>
      <c r="B20" s="250" t="s">
        <v>888</v>
      </c>
      <c r="C20" s="250"/>
      <c r="D20" s="75"/>
      <c r="E20" s="78"/>
    </row>
    <row r="21" spans="1:34" ht="19.149999999999999" customHeight="1" x14ac:dyDescent="0.7">
      <c r="A21" s="112" t="s">
        <v>403</v>
      </c>
      <c r="B21" s="78" t="s">
        <v>459</v>
      </c>
      <c r="C21" s="78" t="s">
        <v>919</v>
      </c>
      <c r="D21" s="75" t="str">
        <f t="shared" ref="D21:D22" si="1">IF(E21="At risk","⚠",IF(E21="Compliant","☑",IF(E21="Breach","⮽","☐")))</f>
        <v>☐</v>
      </c>
      <c r="E21" s="27" t="str">
        <f>IF(
  NOT(Receives_reference_trajectory),
  "N/A",
  IF(
    OR(Assessment!C313, Assessment!C314),
    IF(
      OR(
        IF(Assessment!C313,NOT(Assessment!C315), FALSE),
        IF(Assessment!C314,NOT(Assessment!C316), FALSE)
      ),
      "Breach",
      "Compliant"
    ),
    "The debt sustainability safeguard does not apply."
  )
)</f>
        <v>The debt sustainability safeguard does not apply.</v>
      </c>
      <c r="F21" s="22" t="str">
        <f>Assessment!C319</f>
        <v>The debt sustainability safeguard does not apply as Select country's debt is below 60%.</v>
      </c>
    </row>
    <row r="22" spans="1:34" ht="19.149999999999999" customHeight="1" x14ac:dyDescent="0.7">
      <c r="A22" s="112" t="s">
        <v>404</v>
      </c>
      <c r="B22" s="78" t="s">
        <v>592</v>
      </c>
      <c r="C22" s="78" t="s">
        <v>920</v>
      </c>
      <c r="D22" s="75" t="str">
        <f t="shared" si="1"/>
        <v>☐</v>
      </c>
      <c r="E22" s="27" t="str">
        <f>IF(
  NOT(Receives_reference_trajectory),
  "N/A",
  IF(
    OR(Assessment!C328=FALSE, ISNA(Assessment!C330)),
    "N/A",
    IF(Assessment!C330, "Compliant", "Breach")
  )
)</f>
        <v>N/A</v>
      </c>
      <c r="F22" s="22" t="str">
        <f>Assessment!C332</f>
        <v>The deficit resilience safeguard does not apply, as the structural deficit does not exceed 1.5% of GDP during the adjustment period.</v>
      </c>
    </row>
    <row r="23" spans="1:34" ht="19.149999999999999" customHeight="1" x14ac:dyDescent="0.7">
      <c r="A23" s="112" t="s">
        <v>461</v>
      </c>
      <c r="B23" s="78" t="s">
        <v>704</v>
      </c>
      <c r="C23" s="78" t="s">
        <v>924</v>
      </c>
      <c r="D23" s="75" t="str">
        <f>IF(E23="At risk","⚠",IF(E23="Compliant","☑",IF(E23="Breach","⮽","☐")))</f>
        <v>☑</v>
      </c>
      <c r="E23" s="78" t="str">
        <f>IF(
  Receives_reference_trajectory,
  IF(
    OR(ISNA(Assessment!C336), ISNA(Assessment!C337)),
    "N/A",
    IF(
      Assessment!C337 &gt;= Assessment!C336,
      "Compliant",
      IF(
        EscapeClauseActivated,
        "At risk",
        "At risk"
      )
    )
  ),
  IF(
    ISNA(Assessment!$C$348),
    "N/A",
    IF(
      Assessment!$C$348,
      "Compliant",
      "Breach"
    )
  )
)</f>
        <v>Compliant</v>
      </c>
      <c r="F23" s="22" t="str">
        <f>_xlfn.IFNA(IF(Receives_reference_trajectory,Assessment!C342,Assessment!C351),"N/A")</f>
        <v>N/A</v>
      </c>
    </row>
    <row r="24" spans="1:34" ht="19.149999999999999" customHeight="1" x14ac:dyDescent="0.7">
      <c r="A24" s="112"/>
      <c r="B24" s="250" t="s">
        <v>897</v>
      </c>
      <c r="C24" s="250"/>
      <c r="D24" s="75"/>
      <c r="E24" s="78"/>
    </row>
    <row r="25" spans="1:34" ht="23.65" thickBot="1" x14ac:dyDescent="0.75">
      <c r="A25" s="112"/>
      <c r="B25" s="73" t="s">
        <v>509</v>
      </c>
      <c r="C25" s="73"/>
      <c r="D25" s="74" t="str">
        <f>IF(E23="At risk","⚠",IF(E23="Compliant","☑",IF(E23="Breach","⮽","☐")))</f>
        <v>☑</v>
      </c>
      <c r="E25" s="73" t="str">
        <f>IF(COUNTIF(E11:E22,"Breach")&gt;0,"Breach",IF(COUNTIF(E14:E22,"At risk")&gt;0,"At risk","Compliant"))</f>
        <v>Compliant</v>
      </c>
      <c r="F25" s="73" t="str">
        <f>IF(Receives_reference_trajectory,Assessment!C356,Assessment!C360)</f>
        <v>The net expenditure path in Select country's latest MTP adheres to the Commission's reference trajectory and it meets all requirements of Regulation (EU) 2024/1263.</v>
      </c>
      <c r="G25" s="73"/>
      <c r="H25" s="73"/>
      <c r="I25" s="73"/>
      <c r="J25" s="73"/>
      <c r="K25" s="73"/>
      <c r="L25" s="73"/>
      <c r="M25" s="73"/>
      <c r="N25" s="73"/>
      <c r="O25" s="73"/>
      <c r="P25" s="73"/>
      <c r="Q25" s="73"/>
      <c r="R25" s="73"/>
      <c r="S25" s="73"/>
      <c r="T25" s="73"/>
      <c r="U25" s="73"/>
      <c r="V25" s="73"/>
      <c r="W25" s="73"/>
      <c r="X25" s="73"/>
      <c r="Y25" s="73"/>
      <c r="Z25" s="73"/>
      <c r="AA25" s="73"/>
      <c r="AB25" s="73"/>
      <c r="AC25" s="73"/>
      <c r="AD25" s="73"/>
      <c r="AE25" s="73"/>
      <c r="AF25" s="73"/>
      <c r="AG25" s="73"/>
      <c r="AH25" s="73"/>
    </row>
    <row r="26" spans="1:34" customFormat="1" ht="19.149999999999999" customHeight="1" thickTop="1" x14ac:dyDescent="0.4"/>
    <row r="27" spans="1:34" customFormat="1" ht="19.149999999999999" customHeight="1" x14ac:dyDescent="0.45">
      <c r="J27" s="22"/>
      <c r="K27" s="22"/>
      <c r="L27" s="22"/>
      <c r="M27" s="22"/>
      <c r="N27" s="22"/>
      <c r="O27" s="22"/>
      <c r="P27" s="22"/>
      <c r="Q27" s="22"/>
      <c r="R27" s="22"/>
      <c r="S27" s="22"/>
      <c r="T27" s="22"/>
      <c r="U27" s="22"/>
      <c r="V27" s="22"/>
    </row>
    <row r="28" spans="1:34" customFormat="1" ht="19.149999999999999" customHeight="1" x14ac:dyDescent="0.45">
      <c r="B28" s="22"/>
      <c r="C28" s="22"/>
      <c r="J28" s="22"/>
      <c r="K28" s="22"/>
      <c r="L28" s="22"/>
      <c r="M28" s="22"/>
      <c r="N28" s="22"/>
      <c r="O28" s="22"/>
      <c r="P28" s="22"/>
      <c r="Q28" s="22"/>
      <c r="R28" s="22"/>
      <c r="S28" s="22"/>
      <c r="T28" s="22"/>
      <c r="U28" s="22"/>
      <c r="V28" s="22"/>
    </row>
    <row r="29" spans="1:34" customFormat="1" ht="19.149999999999999" customHeight="1" x14ac:dyDescent="0.45">
      <c r="J29" s="22"/>
      <c r="K29" s="22"/>
      <c r="L29" s="22"/>
      <c r="M29" s="22"/>
      <c r="N29" s="22"/>
      <c r="O29" s="22"/>
      <c r="P29" s="22"/>
      <c r="Q29" s="22"/>
      <c r="R29" s="22"/>
      <c r="S29" s="22"/>
      <c r="T29" s="22"/>
      <c r="U29" s="22"/>
      <c r="V29" s="22"/>
    </row>
    <row r="30" spans="1:34" customFormat="1" ht="19.149999999999999" customHeight="1" x14ac:dyDescent="0.45">
      <c r="J30" s="22"/>
      <c r="K30" s="22"/>
      <c r="L30" s="22"/>
      <c r="M30" s="22"/>
      <c r="N30" s="22"/>
      <c r="O30" s="22"/>
      <c r="P30" s="22"/>
      <c r="Q30" s="22"/>
      <c r="R30" s="22"/>
      <c r="S30" s="22"/>
      <c r="T30" s="22"/>
      <c r="U30" s="22"/>
      <c r="V30" s="22"/>
    </row>
    <row r="31" spans="1:34" customFormat="1" ht="19.149999999999999" customHeight="1" x14ac:dyDescent="0.45">
      <c r="J31" s="22"/>
      <c r="K31" s="22"/>
      <c r="L31" s="22"/>
      <c r="M31" s="22"/>
      <c r="N31" s="22"/>
      <c r="O31" s="22"/>
      <c r="P31" s="22"/>
      <c r="Q31" s="22"/>
      <c r="R31" s="22"/>
      <c r="S31" s="22"/>
      <c r="T31" s="22"/>
      <c r="U31" s="22"/>
      <c r="V31" s="22"/>
    </row>
    <row r="32" spans="1:34" customFormat="1" ht="19.149999999999999" customHeight="1" x14ac:dyDescent="0.45">
      <c r="J32" s="22"/>
      <c r="K32" s="22"/>
      <c r="L32" s="22"/>
      <c r="M32" s="22"/>
      <c r="N32" s="22"/>
      <c r="O32" s="22"/>
      <c r="P32" s="22"/>
      <c r="Q32" s="22"/>
      <c r="R32" s="22"/>
      <c r="S32" s="22"/>
      <c r="T32" s="22"/>
      <c r="U32" s="22"/>
      <c r="V32" s="22"/>
    </row>
    <row r="33" spans="2:22" customFormat="1" ht="19.149999999999999" customHeight="1" x14ac:dyDescent="0.45">
      <c r="J33" s="22"/>
      <c r="K33" s="22"/>
      <c r="L33" s="22"/>
      <c r="M33" s="22"/>
      <c r="N33" s="22"/>
      <c r="O33" s="22"/>
      <c r="P33" s="22"/>
      <c r="Q33" s="22"/>
      <c r="R33" s="22"/>
      <c r="S33" s="22"/>
      <c r="T33" s="22"/>
      <c r="U33" s="22"/>
      <c r="V33" s="22"/>
    </row>
    <row r="34" spans="2:22" customFormat="1" ht="19.350000000000001" customHeight="1" x14ac:dyDescent="0.45">
      <c r="J34" s="22"/>
      <c r="K34" s="22"/>
      <c r="L34" s="22"/>
      <c r="M34" s="22"/>
      <c r="N34" s="22"/>
      <c r="O34" s="22"/>
      <c r="P34" s="22"/>
      <c r="Q34" s="22"/>
      <c r="R34" s="22"/>
      <c r="S34" s="22"/>
      <c r="T34" s="22"/>
      <c r="U34" s="22"/>
      <c r="V34" s="22"/>
    </row>
    <row r="35" spans="2:22" customFormat="1" x14ac:dyDescent="0.45">
      <c r="J35" s="22"/>
      <c r="K35" s="22"/>
      <c r="L35" s="22"/>
      <c r="M35" s="22"/>
      <c r="N35" s="22"/>
      <c r="O35" s="22"/>
      <c r="P35" s="22"/>
      <c r="Q35" s="22"/>
      <c r="R35" s="22"/>
      <c r="S35" s="22"/>
      <c r="T35" s="22"/>
      <c r="U35" s="22"/>
      <c r="V35" s="22"/>
    </row>
    <row r="36" spans="2:22" customFormat="1" ht="19.350000000000001" customHeight="1" x14ac:dyDescent="0.45">
      <c r="B36" s="22"/>
      <c r="C36" s="22"/>
      <c r="D36" s="22"/>
      <c r="E36" s="22"/>
      <c r="F36" s="22"/>
      <c r="G36" s="22"/>
      <c r="H36" s="22"/>
      <c r="I36" s="22"/>
      <c r="J36" s="22"/>
      <c r="K36" s="22"/>
      <c r="L36" s="22"/>
      <c r="M36" s="22"/>
      <c r="N36" s="22"/>
      <c r="O36" s="22"/>
      <c r="P36" s="22"/>
      <c r="Q36" s="22"/>
      <c r="R36" s="22"/>
      <c r="S36" s="22"/>
      <c r="T36" s="22"/>
      <c r="U36" s="22"/>
      <c r="V36" s="22"/>
    </row>
    <row r="37" spans="2:22" customFormat="1" ht="14.65" customHeight="1" x14ac:dyDescent="0.45">
      <c r="B37" s="22"/>
      <c r="C37" s="22"/>
      <c r="D37" s="22"/>
      <c r="E37" s="22"/>
      <c r="F37" s="22"/>
      <c r="G37" s="22"/>
      <c r="H37" s="22"/>
      <c r="I37" s="22"/>
      <c r="J37" s="22"/>
      <c r="K37" s="22"/>
      <c r="L37" s="22"/>
      <c r="M37" s="22"/>
      <c r="N37" s="22"/>
      <c r="O37" s="22"/>
      <c r="P37" s="22"/>
      <c r="Q37" s="22"/>
      <c r="R37" s="22"/>
      <c r="S37" s="22"/>
      <c r="T37" s="22"/>
      <c r="U37" s="22"/>
      <c r="V37" s="22"/>
    </row>
    <row r="38" spans="2:22" customFormat="1" ht="14.65" customHeight="1" x14ac:dyDescent="0.45">
      <c r="B38" s="22"/>
      <c r="C38" s="22"/>
      <c r="D38" s="22"/>
      <c r="E38" s="22"/>
      <c r="F38" s="22"/>
      <c r="G38" s="22"/>
      <c r="H38" s="22"/>
      <c r="I38" s="22"/>
      <c r="J38" s="22"/>
      <c r="K38" s="22"/>
      <c r="L38" s="22"/>
      <c r="M38" s="22"/>
      <c r="N38" s="22"/>
      <c r="O38" s="22"/>
      <c r="P38" s="22"/>
      <c r="Q38" s="22"/>
      <c r="R38" s="22"/>
      <c r="S38" s="22"/>
      <c r="T38" s="22"/>
      <c r="U38" s="22"/>
      <c r="V38" s="22"/>
    </row>
    <row r="39" spans="2:22" customFormat="1" ht="16.149999999999999" customHeight="1" x14ac:dyDescent="0.45">
      <c r="B39" s="22"/>
      <c r="C39" s="22"/>
      <c r="D39" s="22"/>
      <c r="E39" s="22"/>
      <c r="F39" s="22"/>
      <c r="G39" s="22"/>
      <c r="H39" s="22"/>
      <c r="I39" s="22"/>
      <c r="J39" s="22"/>
      <c r="K39" s="22"/>
      <c r="L39" s="22"/>
      <c r="M39" s="22"/>
      <c r="N39" s="22"/>
      <c r="O39" s="22"/>
      <c r="P39" s="22"/>
      <c r="Q39" s="22"/>
      <c r="R39" s="22"/>
      <c r="S39" s="22"/>
      <c r="T39" s="22"/>
      <c r="U39" s="22"/>
      <c r="V39" s="22"/>
    </row>
    <row r="40" spans="2:22" customFormat="1" ht="14.65" customHeight="1" x14ac:dyDescent="0.45">
      <c r="B40" s="22"/>
      <c r="C40" s="22"/>
      <c r="D40" s="22"/>
      <c r="E40" s="22"/>
      <c r="F40" s="22"/>
      <c r="G40" s="22"/>
      <c r="H40" s="22"/>
      <c r="I40" s="22"/>
      <c r="J40" s="22"/>
      <c r="K40" s="22"/>
      <c r="L40" s="22"/>
      <c r="M40" s="22"/>
      <c r="N40" s="22"/>
      <c r="O40" s="22"/>
      <c r="P40" s="22"/>
      <c r="Q40" s="22"/>
      <c r="R40" s="22"/>
      <c r="S40" s="22"/>
      <c r="T40" s="22"/>
      <c r="U40" s="22"/>
      <c r="V40" s="22"/>
    </row>
    <row r="41" spans="2:22" customFormat="1" ht="14.65" customHeight="1" x14ac:dyDescent="0.45">
      <c r="B41" s="22"/>
      <c r="C41" s="22"/>
      <c r="D41" s="22"/>
      <c r="E41" s="22"/>
      <c r="F41" s="22"/>
      <c r="G41" s="22"/>
      <c r="H41" s="22"/>
      <c r="I41" s="22"/>
      <c r="J41" s="22"/>
      <c r="K41" s="22"/>
      <c r="L41" s="22"/>
      <c r="M41" s="22"/>
      <c r="N41" s="22"/>
      <c r="O41" s="22"/>
      <c r="P41" s="22"/>
      <c r="Q41" s="22"/>
      <c r="R41" s="22"/>
      <c r="S41" s="22"/>
      <c r="T41" s="22"/>
      <c r="U41" s="22"/>
      <c r="V41" s="22"/>
    </row>
    <row r="42" spans="2:22" customFormat="1" ht="26.25" customHeight="1" x14ac:dyDescent="0.45">
      <c r="B42" s="22"/>
      <c r="C42" s="22"/>
      <c r="D42" s="22"/>
      <c r="E42" s="22"/>
      <c r="F42" s="22"/>
      <c r="G42" s="22"/>
      <c r="H42" s="22"/>
      <c r="I42" s="22"/>
      <c r="J42" s="22"/>
      <c r="K42" s="22"/>
      <c r="L42" s="22"/>
      <c r="M42" s="22"/>
      <c r="N42" s="22"/>
      <c r="O42" s="22"/>
      <c r="P42" s="22"/>
      <c r="Q42" s="22"/>
      <c r="R42" s="22"/>
      <c r="S42" s="22"/>
      <c r="T42" s="22"/>
      <c r="U42" s="22"/>
      <c r="V42" s="22"/>
    </row>
  </sheetData>
  <phoneticPr fontId="5" type="noConversion"/>
  <conditionalFormatting sqref="D10:D24">
    <cfRule type="expression" dxfId="111" priority="782">
      <formula>E10="Caution"</formula>
    </cfRule>
    <cfRule type="expression" dxfId="110" priority="783">
      <formula>E10="Breach"</formula>
    </cfRule>
    <cfRule type="expression" dxfId="109" priority="784">
      <formula>E10="Compliant"</formula>
    </cfRule>
    <cfRule type="expression" dxfId="108" priority="785">
      <formula>AND(E10&lt;&gt;"Compliant", E10&lt;&gt;"Caution", E10&lt;&gt;"Breach")</formula>
    </cfRule>
  </conditionalFormatting>
  <conditionalFormatting sqref="B25:AH25">
    <cfRule type="expression" dxfId="107" priority="790">
      <formula>$E$25="Compliant"</formula>
    </cfRule>
    <cfRule type="expression" dxfId="106" priority="791">
      <formula>$E$25="Caution"</formula>
    </cfRule>
    <cfRule type="expression" dxfId="105" priority="792">
      <formula>$E$25="Breach"</formula>
    </cfRule>
  </conditionalFormatting>
  <conditionalFormatting sqref="D9:D10">
    <cfRule type="expression" dxfId="104" priority="848">
      <formula>#REF!="No"</formula>
    </cfRule>
    <cfRule type="expression" dxfId="103" priority="849">
      <formula>#REF!="Yes"</formula>
    </cfRule>
  </conditionalFormatting>
  <pageMargins left="0.23622047244094491" right="0.23622047244094491" top="0" bottom="0" header="0.31496062992125984" footer="0.31496062992125984"/>
  <pageSetup paperSize="9" scale="45" fitToHeight="0" orientation="landscape" r:id="rId1"/>
  <colBreaks count="1" manualBreakCount="1">
    <brk id="24" max="1048575" man="1"/>
  </col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7770FA-E9DB-4FA8-A18C-7725FF5DC06B}">
  <sheetPr codeName="Sheet10">
    <tabColor rgb="FF007635"/>
  </sheetPr>
  <dimension ref="A1:N102"/>
  <sheetViews>
    <sheetView showGridLines="0" zoomScaleNormal="100" workbookViewId="0"/>
  </sheetViews>
  <sheetFormatPr defaultRowHeight="13.15" x14ac:dyDescent="0.4"/>
  <cols>
    <col min="2" max="2" width="63.2109375" customWidth="1"/>
    <col min="15" max="15" width="9.140625" customWidth="1"/>
  </cols>
  <sheetData>
    <row r="1" spans="1:14" ht="31.9" x14ac:dyDescent="1">
      <c r="A1" s="77" t="s">
        <v>813</v>
      </c>
      <c r="C1" s="7"/>
    </row>
    <row r="2" spans="1:14" x14ac:dyDescent="0.4">
      <c r="B2" s="3" t="s">
        <v>955</v>
      </c>
      <c r="C2" s="179">
        <v>2023</v>
      </c>
    </row>
    <row r="4" spans="1:14" ht="23.25" x14ac:dyDescent="0.7">
      <c r="A4" s="13" t="s">
        <v>802</v>
      </c>
    </row>
    <row r="5" spans="1:14" x14ac:dyDescent="0.4">
      <c r="A5" s="234"/>
      <c r="B5" s="234"/>
      <c r="C5" s="234"/>
      <c r="D5" s="272">
        <f>C2</f>
        <v>2023</v>
      </c>
      <c r="E5" s="272" cm="1">
        <f t="array" ref="E5:G5">_xlfn.SEQUENCE(1, AssessmentEnd-C2+1, C2)</f>
        <v>2023</v>
      </c>
      <c r="F5" s="272">
        <v>2024</v>
      </c>
      <c r="G5" s="272">
        <v>2025</v>
      </c>
      <c r="H5" s="272"/>
      <c r="I5" s="272"/>
      <c r="J5" s="272"/>
      <c r="K5" s="272"/>
      <c r="L5" s="272"/>
      <c r="M5" s="272"/>
    </row>
    <row r="6" spans="1:14" x14ac:dyDescent="0.4">
      <c r="A6" s="212"/>
      <c r="B6" s="212" t="s">
        <v>30</v>
      </c>
      <c r="C6" s="212" t="s">
        <v>31</v>
      </c>
      <c r="D6" s="272" t="s">
        <v>6</v>
      </c>
      <c r="E6" s="272" t="str" cm="1">
        <f t="array" ref="E6:G6">IF(ISNUMBER(_xlfn.ANCHORARRAY(E$5)),"% of GDP","")</f>
        <v>% of GDP</v>
      </c>
      <c r="F6" s="272" t="str">
        <v>% of GDP</v>
      </c>
      <c r="G6" s="272" t="str">
        <v>% of GDP</v>
      </c>
      <c r="H6" s="272"/>
      <c r="I6" s="272"/>
      <c r="J6" s="272"/>
      <c r="K6" s="272"/>
      <c r="L6" s="272"/>
      <c r="M6" s="272"/>
    </row>
    <row r="7" spans="1:14" x14ac:dyDescent="0.4">
      <c r="A7" s="212">
        <v>1</v>
      </c>
      <c r="B7" s="238" t="s">
        <v>32</v>
      </c>
      <c r="C7" s="238" t="s">
        <v>72</v>
      </c>
      <c r="D7" s="271"/>
      <c r="E7" s="271"/>
      <c r="F7" s="271"/>
      <c r="G7" s="271"/>
      <c r="H7" s="271"/>
      <c r="I7" s="271"/>
      <c r="J7" s="271"/>
      <c r="K7" s="271"/>
      <c r="L7" s="271"/>
      <c r="M7" s="271"/>
    </row>
    <row r="8" spans="1:14" x14ac:dyDescent="0.4">
      <c r="A8" s="212">
        <v>2</v>
      </c>
      <c r="B8" s="238" t="s">
        <v>33</v>
      </c>
      <c r="C8" s="238" t="s">
        <v>73</v>
      </c>
      <c r="D8" s="271"/>
      <c r="E8" s="271"/>
      <c r="F8" s="271"/>
      <c r="G8" s="271"/>
      <c r="H8" s="271"/>
      <c r="I8" s="271"/>
      <c r="J8" s="271"/>
      <c r="K8" s="271"/>
      <c r="L8" s="271"/>
      <c r="M8" s="271"/>
    </row>
    <row r="9" spans="1:14" x14ac:dyDescent="0.4">
      <c r="A9" s="212">
        <v>3</v>
      </c>
      <c r="B9" s="238" t="s">
        <v>34</v>
      </c>
      <c r="C9" s="238" t="s">
        <v>74</v>
      </c>
      <c r="D9" s="271"/>
      <c r="E9" s="271"/>
      <c r="F9" s="271"/>
      <c r="G9" s="271"/>
      <c r="H9" s="271"/>
      <c r="I9" s="271"/>
      <c r="J9" s="271"/>
      <c r="K9" s="271"/>
      <c r="L9" s="271"/>
      <c r="M9" s="271"/>
    </row>
    <row r="10" spans="1:14" x14ac:dyDescent="0.4">
      <c r="A10" s="212">
        <v>4</v>
      </c>
      <c r="B10" s="238" t="s">
        <v>36</v>
      </c>
      <c r="C10" s="238" t="s">
        <v>75</v>
      </c>
      <c r="D10" s="271"/>
      <c r="E10" s="271"/>
      <c r="F10" s="271"/>
      <c r="G10" s="271"/>
      <c r="H10" s="271"/>
      <c r="I10" s="271"/>
      <c r="J10" s="271"/>
      <c r="K10" s="271"/>
      <c r="L10" s="271"/>
      <c r="M10" s="271"/>
    </row>
    <row r="11" spans="1:14" x14ac:dyDescent="0.4">
      <c r="A11" s="212">
        <v>5</v>
      </c>
      <c r="B11" s="238" t="s">
        <v>37</v>
      </c>
      <c r="C11" s="238" t="s">
        <v>76</v>
      </c>
      <c r="D11" s="271"/>
      <c r="E11" s="271"/>
      <c r="F11" s="271"/>
      <c r="G11" s="271"/>
      <c r="H11" s="271"/>
      <c r="I11" s="271"/>
      <c r="J11" s="271"/>
      <c r="K11" s="271"/>
      <c r="L11" s="271"/>
      <c r="M11" s="271"/>
    </row>
    <row r="12" spans="1:14" x14ac:dyDescent="0.4">
      <c r="A12" s="212">
        <v>6</v>
      </c>
      <c r="B12" s="238" t="s">
        <v>38</v>
      </c>
      <c r="C12" s="238" t="s">
        <v>77</v>
      </c>
      <c r="D12" s="271"/>
      <c r="E12" s="271"/>
      <c r="F12" s="271"/>
      <c r="G12" s="271"/>
      <c r="H12" s="271"/>
      <c r="I12" s="271"/>
      <c r="J12" s="271"/>
      <c r="K12" s="271"/>
      <c r="L12" s="271"/>
      <c r="M12" s="271"/>
    </row>
    <row r="13" spans="1:14" x14ac:dyDescent="0.4">
      <c r="A13" s="212">
        <v>7</v>
      </c>
      <c r="B13" s="238" t="s">
        <v>39</v>
      </c>
      <c r="C13" s="238" t="s">
        <v>78</v>
      </c>
      <c r="D13" s="275">
        <f>D7+D8+D9+D10+D11+D12</f>
        <v>0</v>
      </c>
      <c r="E13" s="275">
        <f t="shared" ref="E13:J13" si="0">E7+E8+E9+E10+E11+E12</f>
        <v>0</v>
      </c>
      <c r="F13" s="275">
        <f t="shared" si="0"/>
        <v>0</v>
      </c>
      <c r="G13" s="275">
        <f t="shared" si="0"/>
        <v>0</v>
      </c>
      <c r="H13" s="275">
        <f t="shared" si="0"/>
        <v>0</v>
      </c>
      <c r="I13" s="275">
        <f t="shared" si="0"/>
        <v>0</v>
      </c>
      <c r="J13" s="275">
        <f t="shared" si="0"/>
        <v>0</v>
      </c>
      <c r="K13" s="275">
        <f t="shared" ref="K13" si="1">K7+K8+K9+K10+K11+K12</f>
        <v>0</v>
      </c>
      <c r="L13" s="275">
        <f t="shared" ref="L13" si="2">L7+L8+L9+L10+L11+L12</f>
        <v>0</v>
      </c>
      <c r="M13" s="275">
        <f t="shared" ref="M13" si="3">M7+M8+M9+M10+M11+M12</f>
        <v>0</v>
      </c>
      <c r="N13" s="44"/>
    </row>
    <row r="14" spans="1:14" x14ac:dyDescent="0.4">
      <c r="A14" s="212">
        <v>8</v>
      </c>
      <c r="B14" s="238" t="s">
        <v>40</v>
      </c>
      <c r="C14" s="238" t="s">
        <v>79</v>
      </c>
      <c r="D14" s="271"/>
      <c r="E14" s="271"/>
      <c r="F14" s="271"/>
      <c r="G14" s="271"/>
      <c r="H14" s="271"/>
      <c r="I14" s="271"/>
      <c r="J14" s="271"/>
      <c r="K14" s="271"/>
      <c r="L14" s="271"/>
      <c r="M14" s="271"/>
    </row>
    <row r="15" spans="1:14" x14ac:dyDescent="0.4">
      <c r="A15" s="212">
        <v>9</v>
      </c>
      <c r="B15" s="238" t="s">
        <v>41</v>
      </c>
      <c r="C15" s="238"/>
      <c r="D15" s="275">
        <f>D13-D14</f>
        <v>0</v>
      </c>
      <c r="E15" s="275">
        <f t="shared" ref="E15:J15" si="4">E13-E14</f>
        <v>0</v>
      </c>
      <c r="F15" s="275">
        <f t="shared" si="4"/>
        <v>0</v>
      </c>
      <c r="G15" s="275">
        <f t="shared" si="4"/>
        <v>0</v>
      </c>
      <c r="H15" s="275">
        <f t="shared" si="4"/>
        <v>0</v>
      </c>
      <c r="I15" s="275">
        <f t="shared" si="4"/>
        <v>0</v>
      </c>
      <c r="J15" s="275">
        <f t="shared" si="4"/>
        <v>0</v>
      </c>
      <c r="K15" s="275">
        <f t="shared" ref="K15" si="5">K13-K14</f>
        <v>0</v>
      </c>
      <c r="L15" s="275">
        <f t="shared" ref="L15" si="6">L13-L14</f>
        <v>0</v>
      </c>
      <c r="M15" s="275">
        <f t="shared" ref="M15" si="7">M13-M14</f>
        <v>0</v>
      </c>
    </row>
    <row r="16" spans="1:14" x14ac:dyDescent="0.4">
      <c r="A16" s="212">
        <v>10</v>
      </c>
      <c r="B16" s="238" t="s">
        <v>42</v>
      </c>
      <c r="C16" s="238"/>
      <c r="D16" s="271"/>
      <c r="E16" s="271"/>
      <c r="F16" s="271"/>
      <c r="G16" s="271"/>
      <c r="H16" s="271"/>
      <c r="I16" s="271"/>
      <c r="J16" s="271"/>
      <c r="K16" s="271"/>
      <c r="L16" s="271"/>
      <c r="M16" s="271"/>
    </row>
    <row r="17" spans="1:13" x14ac:dyDescent="0.4">
      <c r="A17" s="212">
        <v>11</v>
      </c>
      <c r="B17" s="238" t="s">
        <v>43</v>
      </c>
      <c r="C17" s="238"/>
      <c r="D17" s="271"/>
      <c r="E17" s="271"/>
      <c r="F17" s="271"/>
      <c r="G17" s="271"/>
      <c r="H17" s="271"/>
      <c r="I17" s="271"/>
      <c r="J17" s="271"/>
      <c r="K17" s="271"/>
      <c r="L17" s="271"/>
      <c r="M17" s="271"/>
    </row>
    <row r="18" spans="1:13" x14ac:dyDescent="0.4">
      <c r="A18" s="212"/>
      <c r="B18" s="212" t="s">
        <v>29</v>
      </c>
      <c r="C18" s="212" t="s">
        <v>31</v>
      </c>
      <c r="D18" s="272" t="s">
        <v>6</v>
      </c>
      <c r="E18" s="272" t="str" cm="1">
        <f t="array" ref="E18:G18">IF(ISNUMBER(_xlfn.ANCHORARRAY(E$5)),"% of GDP","")</f>
        <v>% of GDP</v>
      </c>
      <c r="F18" s="272" t="str">
        <v>% of GDP</v>
      </c>
      <c r="G18" s="272" t="str">
        <v>% of GDP</v>
      </c>
      <c r="H18" s="272"/>
      <c r="I18" s="272"/>
      <c r="J18" s="272"/>
      <c r="K18" s="272"/>
      <c r="L18" s="272"/>
      <c r="M18" s="272"/>
    </row>
    <row r="19" spans="1:13" x14ac:dyDescent="0.4">
      <c r="A19" s="212">
        <v>12</v>
      </c>
      <c r="B19" s="225" t="s">
        <v>44</v>
      </c>
      <c r="C19" s="225" t="s">
        <v>5</v>
      </c>
      <c r="D19" s="271"/>
      <c r="E19" s="271"/>
      <c r="F19" s="271"/>
      <c r="G19" s="271"/>
      <c r="H19" s="271"/>
      <c r="I19" s="271"/>
      <c r="J19" s="271"/>
      <c r="K19" s="271"/>
      <c r="L19" s="271"/>
      <c r="M19" s="271"/>
    </row>
    <row r="20" spans="1:13" x14ac:dyDescent="0.4">
      <c r="A20" s="212">
        <v>13</v>
      </c>
      <c r="B20" s="225" t="s">
        <v>45</v>
      </c>
      <c r="C20" s="225" t="s">
        <v>80</v>
      </c>
      <c r="D20" s="271"/>
      <c r="E20" s="271"/>
      <c r="F20" s="271"/>
      <c r="G20" s="271"/>
      <c r="H20" s="271"/>
      <c r="I20" s="271"/>
      <c r="J20" s="271"/>
      <c r="K20" s="271"/>
      <c r="L20" s="271"/>
      <c r="M20" s="271"/>
    </row>
    <row r="21" spans="1:13" x14ac:dyDescent="0.4">
      <c r="A21" s="212">
        <v>14</v>
      </c>
      <c r="B21" s="225" t="s">
        <v>46</v>
      </c>
      <c r="C21" s="225" t="s">
        <v>28</v>
      </c>
      <c r="D21" s="271"/>
      <c r="E21" s="271"/>
      <c r="F21" s="271"/>
      <c r="G21" s="271"/>
      <c r="H21" s="271"/>
      <c r="I21" s="271"/>
      <c r="J21" s="271"/>
      <c r="K21" s="271"/>
      <c r="L21" s="271"/>
      <c r="M21" s="271"/>
    </row>
    <row r="22" spans="1:13" x14ac:dyDescent="0.4">
      <c r="A22" s="212">
        <v>15</v>
      </c>
      <c r="B22" s="225" t="s">
        <v>47</v>
      </c>
      <c r="C22" s="225" t="s">
        <v>81</v>
      </c>
      <c r="D22" s="271"/>
      <c r="E22" s="271"/>
      <c r="F22" s="271"/>
      <c r="G22" s="271"/>
      <c r="H22" s="271"/>
      <c r="I22" s="271"/>
      <c r="J22" s="271"/>
      <c r="K22" s="271"/>
      <c r="L22" s="271"/>
      <c r="M22" s="271"/>
    </row>
    <row r="23" spans="1:13" x14ac:dyDescent="0.4">
      <c r="A23" s="212">
        <v>16</v>
      </c>
      <c r="B23" s="225" t="s">
        <v>48</v>
      </c>
      <c r="C23" s="225" t="s">
        <v>82</v>
      </c>
      <c r="D23" s="271"/>
      <c r="E23" s="271"/>
      <c r="F23" s="271"/>
      <c r="G23" s="271"/>
      <c r="H23" s="271"/>
      <c r="I23" s="271"/>
      <c r="J23" s="271"/>
      <c r="K23" s="271"/>
      <c r="L23" s="271"/>
      <c r="M23" s="271"/>
    </row>
    <row r="24" spans="1:13" x14ac:dyDescent="0.4">
      <c r="A24" s="212">
        <v>17</v>
      </c>
      <c r="B24" s="225" t="s">
        <v>49</v>
      </c>
      <c r="C24" s="225" t="s">
        <v>83</v>
      </c>
      <c r="D24" s="271"/>
      <c r="E24" s="271"/>
      <c r="F24" s="271"/>
      <c r="G24" s="271"/>
      <c r="H24" s="271"/>
      <c r="I24" s="271"/>
      <c r="J24" s="271"/>
      <c r="K24" s="271"/>
      <c r="L24" s="271"/>
      <c r="M24" s="271"/>
    </row>
    <row r="25" spans="1:13" x14ac:dyDescent="0.4">
      <c r="A25" s="212">
        <v>18</v>
      </c>
      <c r="B25" s="225" t="s">
        <v>50</v>
      </c>
      <c r="C25" s="225" t="s">
        <v>84</v>
      </c>
      <c r="D25" s="271"/>
      <c r="E25" s="271"/>
      <c r="F25" s="271"/>
      <c r="G25" s="271"/>
      <c r="H25" s="271"/>
      <c r="I25" s="271"/>
      <c r="J25" s="271"/>
      <c r="K25" s="271"/>
      <c r="L25" s="271"/>
      <c r="M25" s="271"/>
    </row>
    <row r="26" spans="1:13" x14ac:dyDescent="0.4">
      <c r="A26" s="212">
        <v>19</v>
      </c>
      <c r="B26" s="225" t="s">
        <v>10</v>
      </c>
      <c r="C26" s="225" t="s">
        <v>4</v>
      </c>
      <c r="D26" s="271"/>
      <c r="E26" s="271"/>
      <c r="F26" s="271"/>
      <c r="G26" s="271"/>
      <c r="H26" s="271"/>
      <c r="I26" s="271"/>
      <c r="J26" s="271"/>
      <c r="K26" s="271"/>
      <c r="L26" s="271"/>
      <c r="M26" s="271"/>
    </row>
    <row r="27" spans="1:13" x14ac:dyDescent="0.4">
      <c r="A27" s="212">
        <v>20</v>
      </c>
      <c r="B27" s="225" t="s">
        <v>51</v>
      </c>
      <c r="C27" s="225"/>
      <c r="D27" s="271"/>
      <c r="E27" s="271"/>
      <c r="F27" s="271"/>
      <c r="G27" s="271"/>
      <c r="H27" s="271"/>
      <c r="I27" s="271"/>
      <c r="J27" s="271"/>
      <c r="K27" s="271"/>
      <c r="L27" s="271"/>
      <c r="M27" s="271"/>
    </row>
    <row r="28" spans="1:13" x14ac:dyDescent="0.4">
      <c r="A28" s="212">
        <v>21</v>
      </c>
      <c r="B28" s="225" t="s">
        <v>52</v>
      </c>
      <c r="C28" s="225" t="s">
        <v>85</v>
      </c>
      <c r="D28" s="271"/>
      <c r="E28" s="271"/>
      <c r="F28" s="271"/>
      <c r="G28" s="271"/>
      <c r="H28" s="271"/>
      <c r="I28" s="271"/>
      <c r="J28" s="271"/>
      <c r="K28" s="271"/>
      <c r="L28" s="271"/>
      <c r="M28" s="271"/>
    </row>
    <row r="29" spans="1:13" x14ac:dyDescent="0.4">
      <c r="A29" s="212">
        <v>22</v>
      </c>
      <c r="B29" s="225" t="s">
        <v>53</v>
      </c>
      <c r="C29" s="225" t="s">
        <v>86</v>
      </c>
      <c r="D29" s="271"/>
      <c r="E29" s="271"/>
      <c r="F29" s="271"/>
      <c r="G29" s="271"/>
      <c r="H29" s="271"/>
      <c r="I29" s="271"/>
      <c r="J29" s="271"/>
      <c r="K29" s="271"/>
      <c r="L29" s="271"/>
      <c r="M29" s="271"/>
    </row>
    <row r="30" spans="1:13" x14ac:dyDescent="0.4">
      <c r="A30" s="212">
        <v>23</v>
      </c>
      <c r="B30" s="225" t="s">
        <v>54</v>
      </c>
      <c r="C30" s="225" t="s">
        <v>87</v>
      </c>
      <c r="D30" s="275">
        <f>D19+D20+D21+D22+D23+D24+D25+D26+D28+D29</f>
        <v>0</v>
      </c>
      <c r="E30" s="275">
        <f t="shared" ref="E30:J30" si="8">E19+E20+E21+E22+E23+E24+E25+E26+E28+E29</f>
        <v>0</v>
      </c>
      <c r="F30" s="275">
        <f t="shared" si="8"/>
        <v>0</v>
      </c>
      <c r="G30" s="275">
        <f t="shared" si="8"/>
        <v>0</v>
      </c>
      <c r="H30" s="275">
        <f t="shared" si="8"/>
        <v>0</v>
      </c>
      <c r="I30" s="275">
        <f t="shared" si="8"/>
        <v>0</v>
      </c>
      <c r="J30" s="275">
        <f t="shared" si="8"/>
        <v>0</v>
      </c>
      <c r="K30" s="275">
        <f t="shared" ref="K30" si="9">K19+K20+K21+K22+K23+K24+K25+K26+K28+K29</f>
        <v>0</v>
      </c>
      <c r="L30" s="275">
        <f t="shared" ref="L30" si="10">L19+L20+L21+L22+L23+L24+L25+L26+L28+L29</f>
        <v>0</v>
      </c>
      <c r="M30" s="275">
        <f t="shared" ref="M30" si="11">M19+M20+M21+M22+M23+M24+M25+M26+M28+M29</f>
        <v>0</v>
      </c>
    </row>
    <row r="31" spans="1:13" x14ac:dyDescent="0.4">
      <c r="A31" s="212">
        <v>24</v>
      </c>
      <c r="B31" s="225" t="s">
        <v>55</v>
      </c>
      <c r="C31" s="225" t="s">
        <v>79</v>
      </c>
      <c r="D31" s="271"/>
      <c r="E31" s="271"/>
      <c r="F31" s="271"/>
      <c r="G31" s="271"/>
      <c r="H31" s="271"/>
      <c r="I31" s="271"/>
      <c r="J31" s="271"/>
      <c r="K31" s="271"/>
      <c r="L31" s="271"/>
      <c r="M31" s="271"/>
    </row>
    <row r="32" spans="1:13" x14ac:dyDescent="0.4">
      <c r="A32" s="212">
        <v>25</v>
      </c>
      <c r="B32" s="225" t="s">
        <v>56</v>
      </c>
      <c r="C32" s="225"/>
      <c r="D32" s="275">
        <f>D30-D31</f>
        <v>0</v>
      </c>
      <c r="E32" s="275">
        <f t="shared" ref="E32:J32" si="12">E30-E31</f>
        <v>0</v>
      </c>
      <c r="F32" s="275">
        <f t="shared" si="12"/>
        <v>0</v>
      </c>
      <c r="G32" s="275">
        <f t="shared" si="12"/>
        <v>0</v>
      </c>
      <c r="H32" s="275">
        <f t="shared" si="12"/>
        <v>0</v>
      </c>
      <c r="I32" s="275">
        <f t="shared" si="12"/>
        <v>0</v>
      </c>
      <c r="J32" s="275">
        <f t="shared" si="12"/>
        <v>0</v>
      </c>
      <c r="K32" s="275">
        <f t="shared" ref="K32" si="13">K30-K31</f>
        <v>0</v>
      </c>
      <c r="L32" s="275">
        <f t="shared" ref="L32" si="14">L30-L31</f>
        <v>0</v>
      </c>
      <c r="M32" s="275">
        <f t="shared" ref="M32" si="15">M30-M31</f>
        <v>0</v>
      </c>
    </row>
    <row r="33" spans="1:13" x14ac:dyDescent="0.4">
      <c r="A33" s="212">
        <v>26</v>
      </c>
      <c r="B33" s="225" t="s">
        <v>751</v>
      </c>
      <c r="C33" s="225"/>
      <c r="D33" s="4">
        <f>D14</f>
        <v>0</v>
      </c>
      <c r="E33" s="4">
        <f t="shared" ref="E33:J33" si="16">E14</f>
        <v>0</v>
      </c>
      <c r="F33" s="4">
        <f t="shared" si="16"/>
        <v>0</v>
      </c>
      <c r="G33" s="4">
        <f t="shared" si="16"/>
        <v>0</v>
      </c>
      <c r="H33" s="4">
        <f t="shared" si="16"/>
        <v>0</v>
      </c>
      <c r="I33" s="4">
        <f t="shared" si="16"/>
        <v>0</v>
      </c>
      <c r="J33" s="4">
        <f t="shared" si="16"/>
        <v>0</v>
      </c>
      <c r="K33" s="4">
        <f t="shared" ref="K33:M33" si="17">K14</f>
        <v>0</v>
      </c>
      <c r="L33" s="4">
        <f t="shared" si="17"/>
        <v>0</v>
      </c>
      <c r="M33" s="4">
        <f t="shared" si="17"/>
        <v>0</v>
      </c>
    </row>
    <row r="34" spans="1:13" x14ac:dyDescent="0.4">
      <c r="A34" s="212">
        <v>27</v>
      </c>
      <c r="B34" s="225" t="s">
        <v>57</v>
      </c>
      <c r="C34" s="225"/>
      <c r="D34" s="271"/>
      <c r="E34" s="271"/>
      <c r="F34" s="271"/>
      <c r="G34" s="271"/>
      <c r="H34" s="271"/>
      <c r="I34" s="271"/>
      <c r="J34" s="271"/>
      <c r="K34" s="271"/>
      <c r="L34" s="271"/>
      <c r="M34" s="271"/>
    </row>
    <row r="35" spans="1:13" x14ac:dyDescent="0.4">
      <c r="A35" s="212">
        <v>28</v>
      </c>
      <c r="B35" s="225" t="s">
        <v>58</v>
      </c>
      <c r="C35" s="225"/>
      <c r="D35" s="271"/>
      <c r="E35" s="271"/>
      <c r="F35" s="271"/>
      <c r="G35" s="271"/>
      <c r="H35" s="271"/>
      <c r="I35" s="271"/>
      <c r="J35" s="271"/>
      <c r="K35" s="271"/>
      <c r="L35" s="271"/>
      <c r="M35" s="271"/>
    </row>
    <row r="36" spans="1:13" x14ac:dyDescent="0.4">
      <c r="A36" s="212">
        <v>29</v>
      </c>
      <c r="B36" s="225" t="s">
        <v>59</v>
      </c>
      <c r="C36" s="225"/>
      <c r="D36" s="275">
        <f>D32-D33-D34-D35-D21</f>
        <v>0</v>
      </c>
      <c r="E36" s="275">
        <f t="shared" ref="E36:J36" si="18">E32-E33-E34-E35-E21</f>
        <v>0</v>
      </c>
      <c r="F36" s="275">
        <f t="shared" si="18"/>
        <v>0</v>
      </c>
      <c r="G36" s="275">
        <f t="shared" si="18"/>
        <v>0</v>
      </c>
      <c r="H36" s="275">
        <f t="shared" si="18"/>
        <v>0</v>
      </c>
      <c r="I36" s="275">
        <f t="shared" si="18"/>
        <v>0</v>
      </c>
      <c r="J36" s="275">
        <f t="shared" si="18"/>
        <v>0</v>
      </c>
      <c r="K36" s="275">
        <f t="shared" ref="K36" si="19">K32-K33-K34-K35-K21</f>
        <v>0</v>
      </c>
      <c r="L36" s="275">
        <f t="shared" ref="L36" si="20">L32-L33-L34-L35-L21</f>
        <v>0</v>
      </c>
      <c r="M36" s="275">
        <f t="shared" ref="M36" si="21">M32-M33-M34-M35-M21</f>
        <v>0</v>
      </c>
    </row>
    <row r="37" spans="1:13" x14ac:dyDescent="0.4">
      <c r="A37" s="212"/>
      <c r="B37" s="212" t="s">
        <v>35</v>
      </c>
      <c r="C37" s="212"/>
      <c r="D37" s="272"/>
      <c r="E37" s="272" t="str" cm="1">
        <f t="array" ref="E37:G37">IF(ISNUMBER(_xlfn.ANCHORARRAY(E$5)),"growth rate","")</f>
        <v>growth rate</v>
      </c>
      <c r="F37" s="272" t="str">
        <v>growth rate</v>
      </c>
      <c r="G37" s="272" t="str">
        <v>growth rate</v>
      </c>
      <c r="H37" s="272"/>
      <c r="I37" s="272"/>
      <c r="J37" s="272"/>
      <c r="K37" s="272"/>
      <c r="L37" s="272"/>
      <c r="M37" s="272"/>
    </row>
    <row r="38" spans="1:13" ht="14.25" x14ac:dyDescent="0.45">
      <c r="A38" s="212">
        <v>30</v>
      </c>
      <c r="B38" s="225" t="s">
        <v>826</v>
      </c>
      <c r="C38" s="225" t="s">
        <v>752</v>
      </c>
      <c r="D38" s="268"/>
      <c r="E38" s="271"/>
      <c r="F38" s="271"/>
      <c r="G38" s="271"/>
      <c r="H38" s="271"/>
      <c r="I38" s="271"/>
      <c r="J38" s="271"/>
      <c r="K38" s="271"/>
      <c r="L38" s="271"/>
      <c r="M38" s="271"/>
    </row>
    <row r="39" spans="1:13" x14ac:dyDescent="0.4">
      <c r="A39" s="212"/>
      <c r="B39" s="212" t="s">
        <v>60</v>
      </c>
      <c r="C39" s="212"/>
      <c r="D39" s="272" t="s">
        <v>6</v>
      </c>
      <c r="E39" s="272" t="s">
        <v>603</v>
      </c>
      <c r="F39" s="272" t="s">
        <v>603</v>
      </c>
      <c r="G39" s="272" t="s">
        <v>603</v>
      </c>
      <c r="H39" s="272" t="s">
        <v>603</v>
      </c>
      <c r="I39" s="272" t="s">
        <v>603</v>
      </c>
      <c r="J39" s="272" t="s">
        <v>603</v>
      </c>
      <c r="K39" s="272" t="s">
        <v>603</v>
      </c>
      <c r="L39" s="272" t="s">
        <v>603</v>
      </c>
      <c r="M39" s="272" t="s">
        <v>603</v>
      </c>
    </row>
    <row r="40" spans="1:13" x14ac:dyDescent="0.4">
      <c r="A40" s="212">
        <v>31</v>
      </c>
      <c r="B40" s="225" t="s">
        <v>61</v>
      </c>
      <c r="C40" s="225" t="s">
        <v>27</v>
      </c>
      <c r="D40" s="4">
        <f>D13-D30</f>
        <v>0</v>
      </c>
      <c r="E40" s="4">
        <f t="shared" ref="E40:J40" si="22">E13-E30</f>
        <v>0</v>
      </c>
      <c r="F40" s="4">
        <f t="shared" si="22"/>
        <v>0</v>
      </c>
      <c r="G40" s="4">
        <f t="shared" si="22"/>
        <v>0</v>
      </c>
      <c r="H40" s="4">
        <f t="shared" si="22"/>
        <v>0</v>
      </c>
      <c r="I40" s="4">
        <f t="shared" si="22"/>
        <v>0</v>
      </c>
      <c r="J40" s="4">
        <f t="shared" si="22"/>
        <v>0</v>
      </c>
      <c r="K40" s="4">
        <f t="shared" ref="K40:M40" si="23">K13-K30</f>
        <v>0</v>
      </c>
      <c r="L40" s="4">
        <f t="shared" si="23"/>
        <v>0</v>
      </c>
      <c r="M40" s="4">
        <f t="shared" si="23"/>
        <v>0</v>
      </c>
    </row>
    <row r="41" spans="1:13" x14ac:dyDescent="0.4">
      <c r="A41" s="212">
        <v>32</v>
      </c>
      <c r="B41" s="225" t="s">
        <v>62</v>
      </c>
      <c r="C41" s="225" t="s">
        <v>88</v>
      </c>
      <c r="D41" s="4">
        <f>D40-D21</f>
        <v>0</v>
      </c>
      <c r="E41" s="4">
        <f t="shared" ref="E41:J41" si="24">E40-E21</f>
        <v>0</v>
      </c>
      <c r="F41" s="4">
        <f t="shared" si="24"/>
        <v>0</v>
      </c>
      <c r="G41" s="4">
        <f t="shared" si="24"/>
        <v>0</v>
      </c>
      <c r="H41" s="4">
        <f t="shared" si="24"/>
        <v>0</v>
      </c>
      <c r="I41" s="4">
        <f t="shared" si="24"/>
        <v>0</v>
      </c>
      <c r="J41" s="4">
        <f t="shared" si="24"/>
        <v>0</v>
      </c>
      <c r="K41" s="4">
        <f t="shared" ref="K41" si="25">K40-K21</f>
        <v>0</v>
      </c>
      <c r="L41" s="4">
        <f t="shared" ref="L41" si="26">L40-L21</f>
        <v>0</v>
      </c>
      <c r="M41" s="4">
        <f t="shared" ref="M41" si="27">M40-M21</f>
        <v>0</v>
      </c>
    </row>
    <row r="42" spans="1:13" x14ac:dyDescent="0.4">
      <c r="A42" s="212"/>
      <c r="B42" s="212" t="s">
        <v>63</v>
      </c>
      <c r="C42" s="212"/>
      <c r="D42" s="272"/>
      <c r="E42" s="272" t="s">
        <v>603</v>
      </c>
      <c r="F42" s="272" t="s">
        <v>603</v>
      </c>
      <c r="G42" s="272" t="s">
        <v>603</v>
      </c>
      <c r="H42" s="272" t="s">
        <v>603</v>
      </c>
      <c r="I42" s="272" t="s">
        <v>603</v>
      </c>
      <c r="J42" s="272" t="s">
        <v>603</v>
      </c>
      <c r="K42" s="272" t="s">
        <v>603</v>
      </c>
      <c r="L42" s="272" t="s">
        <v>603</v>
      </c>
      <c r="M42" s="272" t="s">
        <v>603</v>
      </c>
    </row>
    <row r="43" spans="1:13" ht="14.25" x14ac:dyDescent="0.45">
      <c r="A43" s="212">
        <v>33</v>
      </c>
      <c r="B43" s="239" t="s">
        <v>0</v>
      </c>
      <c r="C43" s="239"/>
      <c r="D43" s="268"/>
      <c r="E43" s="271"/>
      <c r="F43" s="271"/>
      <c r="G43" s="271"/>
      <c r="H43" s="271"/>
      <c r="I43" s="271"/>
      <c r="J43" s="271"/>
      <c r="K43" s="271"/>
      <c r="L43" s="271"/>
      <c r="M43" s="271"/>
    </row>
    <row r="44" spans="1:13" ht="14.25" x14ac:dyDescent="0.45">
      <c r="A44" s="212">
        <v>34</v>
      </c>
      <c r="B44" s="239" t="s">
        <v>3</v>
      </c>
      <c r="C44" s="239"/>
      <c r="D44" s="268"/>
      <c r="E44" s="271"/>
      <c r="F44" s="271"/>
      <c r="G44" s="271"/>
      <c r="H44" s="271"/>
      <c r="I44" s="271"/>
      <c r="J44" s="271"/>
      <c r="K44" s="271"/>
      <c r="L44" s="271"/>
      <c r="M44" s="271"/>
    </row>
    <row r="45" spans="1:13" x14ac:dyDescent="0.4">
      <c r="A45" s="212"/>
      <c r="B45" s="212" t="s">
        <v>20</v>
      </c>
      <c r="C45" s="212"/>
      <c r="D45" s="272" t="s">
        <v>6</v>
      </c>
      <c r="E45" s="272" t="s">
        <v>603</v>
      </c>
      <c r="F45" s="272" t="s">
        <v>603</v>
      </c>
      <c r="G45" s="272" t="s">
        <v>603</v>
      </c>
      <c r="H45" s="272" t="s">
        <v>603</v>
      </c>
      <c r="I45" s="272" t="s">
        <v>603</v>
      </c>
      <c r="J45" s="272" t="s">
        <v>603</v>
      </c>
      <c r="K45" s="272" t="s">
        <v>603</v>
      </c>
      <c r="L45" s="272" t="s">
        <v>603</v>
      </c>
      <c r="M45" s="272" t="s">
        <v>603</v>
      </c>
    </row>
    <row r="46" spans="1:13" x14ac:dyDescent="0.4">
      <c r="A46" s="212">
        <v>35</v>
      </c>
      <c r="B46" s="225" t="s">
        <v>1</v>
      </c>
      <c r="C46" s="225"/>
      <c r="D46" s="271"/>
      <c r="E46" s="271"/>
      <c r="F46" s="271"/>
      <c r="G46" s="271"/>
      <c r="H46" s="271"/>
      <c r="I46" s="271"/>
      <c r="J46" s="271"/>
      <c r="K46" s="271"/>
      <c r="L46" s="271"/>
      <c r="M46" s="271"/>
    </row>
    <row r="47" spans="1:13" x14ac:dyDescent="0.4">
      <c r="A47" s="212">
        <v>36</v>
      </c>
      <c r="B47" s="225" t="s">
        <v>2</v>
      </c>
      <c r="C47" s="225"/>
      <c r="D47" s="271"/>
      <c r="E47" s="271"/>
      <c r="F47" s="271"/>
      <c r="G47" s="271"/>
      <c r="H47" s="271"/>
      <c r="I47" s="271"/>
      <c r="J47" s="271"/>
      <c r="K47" s="271"/>
      <c r="L47" s="271"/>
      <c r="M47" s="271"/>
    </row>
    <row r="48" spans="1:13" x14ac:dyDescent="0.4">
      <c r="A48" s="212">
        <v>37</v>
      </c>
      <c r="B48" s="225" t="s">
        <v>64</v>
      </c>
      <c r="C48" s="225"/>
      <c r="D48" s="273"/>
      <c r="E48" s="273"/>
      <c r="F48" s="273"/>
      <c r="G48" s="273"/>
      <c r="H48" s="274"/>
      <c r="I48" s="274"/>
      <c r="J48" s="274"/>
      <c r="K48" s="274"/>
      <c r="L48" s="274"/>
      <c r="M48" s="274"/>
    </row>
    <row r="49" spans="1:13" ht="14.25" x14ac:dyDescent="0.45">
      <c r="A49" s="212">
        <v>38</v>
      </c>
      <c r="B49" s="240" t="s">
        <v>753</v>
      </c>
      <c r="C49" s="225"/>
      <c r="D49" s="244">
        <f>D41</f>
        <v>0</v>
      </c>
      <c r="E49" s="4">
        <f t="shared" ref="E49:M49" si="28">E41</f>
        <v>0</v>
      </c>
      <c r="F49" s="4">
        <f t="shared" si="28"/>
        <v>0</v>
      </c>
      <c r="G49" s="4">
        <f t="shared" si="28"/>
        <v>0</v>
      </c>
      <c r="H49" s="4">
        <f t="shared" si="28"/>
        <v>0</v>
      </c>
      <c r="I49" s="4">
        <f t="shared" si="28"/>
        <v>0</v>
      </c>
      <c r="J49" s="4">
        <f t="shared" si="28"/>
        <v>0</v>
      </c>
      <c r="K49" s="4">
        <f t="shared" si="28"/>
        <v>0</v>
      </c>
      <c r="L49" s="4">
        <f t="shared" si="28"/>
        <v>0</v>
      </c>
      <c r="M49" s="4">
        <f t="shared" si="28"/>
        <v>0</v>
      </c>
    </row>
    <row r="50" spans="1:13" ht="14.25" x14ac:dyDescent="0.45">
      <c r="A50" s="212">
        <v>39</v>
      </c>
      <c r="B50" s="240" t="s">
        <v>754</v>
      </c>
      <c r="C50" s="225"/>
      <c r="D50" s="268"/>
      <c r="E50" s="271"/>
      <c r="F50" s="271"/>
      <c r="G50" s="271"/>
      <c r="H50" s="271"/>
      <c r="I50" s="271"/>
      <c r="J50" s="271"/>
      <c r="K50" s="271"/>
      <c r="L50" s="271"/>
      <c r="M50" s="271"/>
    </row>
    <row r="51" spans="1:13" ht="14.25" x14ac:dyDescent="0.45">
      <c r="A51" s="212">
        <v>40</v>
      </c>
      <c r="B51" s="241" t="s">
        <v>755</v>
      </c>
      <c r="C51" s="225"/>
      <c r="D51" s="244">
        <f>D21</f>
        <v>0</v>
      </c>
      <c r="E51" s="4">
        <f t="shared" ref="E51:M51" si="29">E21</f>
        <v>0</v>
      </c>
      <c r="F51" s="4">
        <f t="shared" si="29"/>
        <v>0</v>
      </c>
      <c r="G51" s="4">
        <f t="shared" si="29"/>
        <v>0</v>
      </c>
      <c r="H51" s="4">
        <f t="shared" si="29"/>
        <v>0</v>
      </c>
      <c r="I51" s="4">
        <f t="shared" si="29"/>
        <v>0</v>
      </c>
      <c r="J51" s="4">
        <f t="shared" si="29"/>
        <v>0</v>
      </c>
      <c r="K51" s="4">
        <f t="shared" si="29"/>
        <v>0</v>
      </c>
      <c r="L51" s="4">
        <f t="shared" si="29"/>
        <v>0</v>
      </c>
      <c r="M51" s="4">
        <f t="shared" si="29"/>
        <v>0</v>
      </c>
    </row>
    <row r="52" spans="1:13" ht="14.25" x14ac:dyDescent="0.45">
      <c r="A52" s="212">
        <v>41</v>
      </c>
      <c r="B52" s="241" t="s">
        <v>756</v>
      </c>
      <c r="C52" s="225"/>
      <c r="D52" s="268"/>
      <c r="E52" s="271"/>
      <c r="F52" s="271"/>
      <c r="G52" s="271"/>
      <c r="H52" s="271"/>
      <c r="I52" s="271"/>
      <c r="J52" s="271"/>
      <c r="K52" s="271"/>
      <c r="L52" s="271"/>
      <c r="M52" s="271"/>
    </row>
    <row r="53" spans="1:13" ht="14.25" x14ac:dyDescent="0.45">
      <c r="A53" s="212">
        <v>42</v>
      </c>
      <c r="B53" s="241" t="s">
        <v>757</v>
      </c>
      <c r="C53" s="225"/>
      <c r="D53" s="268"/>
      <c r="E53" s="271"/>
      <c r="F53" s="271"/>
      <c r="G53" s="271"/>
      <c r="H53" s="271"/>
      <c r="I53" s="271"/>
      <c r="J53" s="271"/>
      <c r="K53" s="271"/>
      <c r="L53" s="271"/>
      <c r="M53" s="271"/>
    </row>
    <row r="54" spans="1:13" ht="14.25" x14ac:dyDescent="0.45">
      <c r="A54" s="212">
        <v>43</v>
      </c>
      <c r="B54" s="240" t="s">
        <v>758</v>
      </c>
      <c r="C54" s="225"/>
      <c r="D54" s="244">
        <f>D47-D49-D50</f>
        <v>0</v>
      </c>
      <c r="E54" s="4">
        <f t="shared" ref="E54:M54" si="30">E47-E49-E50</f>
        <v>0</v>
      </c>
      <c r="F54" s="4">
        <f t="shared" si="30"/>
        <v>0</v>
      </c>
      <c r="G54" s="4">
        <f t="shared" si="30"/>
        <v>0</v>
      </c>
      <c r="H54" s="4">
        <f t="shared" si="30"/>
        <v>0</v>
      </c>
      <c r="I54" s="4">
        <f t="shared" si="30"/>
        <v>0</v>
      </c>
      <c r="J54" s="4">
        <f t="shared" si="30"/>
        <v>0</v>
      </c>
      <c r="K54" s="4">
        <f t="shared" si="30"/>
        <v>0</v>
      </c>
      <c r="L54" s="4">
        <f t="shared" si="30"/>
        <v>0</v>
      </c>
      <c r="M54" s="4">
        <f t="shared" si="30"/>
        <v>0</v>
      </c>
    </row>
    <row r="55" spans="1:13" x14ac:dyDescent="0.4">
      <c r="A55" s="212"/>
      <c r="B55" s="212"/>
      <c r="C55" s="212"/>
      <c r="D55" s="272"/>
      <c r="E55" s="272" t="str" cm="1">
        <f t="array" ref="E55:G55">IF(ISNUMBER(_xlfn.ANCHORARRAY(E$37)),"%","")</f>
        <v/>
      </c>
      <c r="F55" s="272" t="str">
        <v/>
      </c>
      <c r="G55" s="272" t="str">
        <v/>
      </c>
      <c r="H55" s="272"/>
      <c r="I55" s="272"/>
      <c r="J55" s="272"/>
      <c r="K55" s="272"/>
      <c r="L55" s="272"/>
      <c r="M55" s="272"/>
    </row>
    <row r="56" spans="1:13" ht="14.25" x14ac:dyDescent="0.45">
      <c r="A56" s="212">
        <v>44</v>
      </c>
      <c r="B56" s="227" t="s">
        <v>71</v>
      </c>
      <c r="C56" s="227"/>
      <c r="D56" s="269"/>
      <c r="E56" s="271"/>
      <c r="F56" s="271"/>
      <c r="G56" s="271"/>
      <c r="H56" s="271"/>
      <c r="I56" s="271"/>
      <c r="J56" s="271"/>
      <c r="K56" s="271"/>
      <c r="L56" s="271"/>
      <c r="M56" s="271"/>
    </row>
    <row r="57" spans="1:13" x14ac:dyDescent="0.4">
      <c r="A57" s="212"/>
      <c r="B57" s="212"/>
      <c r="C57" s="212"/>
      <c r="D57" s="272"/>
      <c r="E57" s="272" t="s">
        <v>603</v>
      </c>
      <c r="F57" s="272" t="s">
        <v>603</v>
      </c>
      <c r="G57" s="272" t="s">
        <v>603</v>
      </c>
      <c r="H57" s="272" t="s">
        <v>603</v>
      </c>
      <c r="I57" s="272" t="s">
        <v>603</v>
      </c>
      <c r="J57" s="272" t="s">
        <v>603</v>
      </c>
      <c r="K57" s="272" t="s">
        <v>603</v>
      </c>
      <c r="L57" s="272" t="s">
        <v>603</v>
      </c>
      <c r="M57" s="272" t="s">
        <v>603</v>
      </c>
    </row>
    <row r="58" spans="1:13" x14ac:dyDescent="0.4">
      <c r="A58" s="212">
        <v>45</v>
      </c>
      <c r="B58" s="239" t="s">
        <v>759</v>
      </c>
      <c r="C58" s="239" t="s">
        <v>760</v>
      </c>
      <c r="D58" s="271"/>
      <c r="E58" s="271"/>
      <c r="F58" s="271"/>
      <c r="G58" s="271"/>
      <c r="H58" s="271"/>
      <c r="I58" s="271"/>
      <c r="J58" s="271"/>
      <c r="K58" s="271"/>
      <c r="L58" s="271"/>
      <c r="M58" s="271"/>
    </row>
    <row r="59" spans="1:13" x14ac:dyDescent="0.4">
      <c r="A59" s="212">
        <v>46</v>
      </c>
      <c r="B59" s="239" t="s">
        <v>761</v>
      </c>
      <c r="C59" s="239" t="s">
        <v>762</v>
      </c>
      <c r="D59" s="271"/>
      <c r="E59" s="271"/>
      <c r="F59" s="271"/>
      <c r="G59" s="271"/>
      <c r="H59" s="271"/>
      <c r="I59" s="271"/>
      <c r="J59" s="271"/>
      <c r="K59" s="271"/>
      <c r="L59" s="271"/>
      <c r="M59" s="271"/>
    </row>
    <row r="60" spans="1:13" x14ac:dyDescent="0.4">
      <c r="D60" s="271"/>
      <c r="E60" s="271"/>
      <c r="F60" s="271"/>
      <c r="G60" s="271"/>
      <c r="H60" s="271"/>
      <c r="I60" s="271"/>
      <c r="J60" s="271"/>
      <c r="K60" s="271"/>
      <c r="L60" s="271"/>
      <c r="M60" s="271"/>
    </row>
    <row r="61" spans="1:13" x14ac:dyDescent="0.4">
      <c r="D61" s="271"/>
      <c r="E61" s="271"/>
      <c r="F61" s="271"/>
      <c r="G61" s="271"/>
      <c r="H61" s="271"/>
      <c r="I61" s="271"/>
      <c r="J61" s="271"/>
      <c r="K61" s="271"/>
      <c r="L61" s="271"/>
      <c r="M61" s="271"/>
    </row>
    <row r="62" spans="1:13" ht="23.25" x14ac:dyDescent="0.7">
      <c r="A62" s="13" t="s">
        <v>803</v>
      </c>
      <c r="D62" s="271"/>
      <c r="E62" s="271"/>
      <c r="F62" s="271"/>
      <c r="G62" s="271"/>
      <c r="H62" s="271"/>
      <c r="I62" s="271"/>
      <c r="J62" s="271"/>
      <c r="K62" s="271"/>
      <c r="L62" s="271"/>
      <c r="M62" s="271"/>
    </row>
    <row r="63" spans="1:13" x14ac:dyDescent="0.4">
      <c r="A63" s="234"/>
      <c r="B63" s="234" t="s">
        <v>8</v>
      </c>
      <c r="C63" s="234" t="s">
        <v>31</v>
      </c>
      <c r="D63" s="272">
        <f>C2</f>
        <v>2023</v>
      </c>
      <c r="E63" s="272" cm="1">
        <f t="array" ref="E63:G63">_xlfn.SEQUENCE(1, AssessmentEnd-C2+1, C2)</f>
        <v>2023</v>
      </c>
      <c r="F63" s="272">
        <v>2024</v>
      </c>
      <c r="G63" s="272">
        <v>2025</v>
      </c>
      <c r="H63" s="272"/>
      <c r="I63" s="272"/>
      <c r="J63" s="272"/>
      <c r="K63" s="272"/>
      <c r="L63" s="272"/>
      <c r="M63" s="272"/>
    </row>
    <row r="64" spans="1:13" x14ac:dyDescent="0.4">
      <c r="A64" s="212"/>
      <c r="B64" s="212"/>
      <c r="C64" s="212"/>
      <c r="D64" s="272" t="s">
        <v>6</v>
      </c>
      <c r="E64" s="272" t="str" cm="1">
        <f t="array" ref="E64:G64">IF(ISNUMBER(_xlfn.ANCHORARRAY(E$37)),"growth rate","")</f>
        <v/>
      </c>
      <c r="F64" s="272" t="str">
        <v/>
      </c>
      <c r="G64" s="272" t="str">
        <v/>
      </c>
      <c r="H64" s="272"/>
      <c r="I64" s="272"/>
      <c r="J64" s="272"/>
      <c r="K64" s="272"/>
      <c r="L64" s="272"/>
      <c r="M64" s="272"/>
    </row>
    <row r="65" spans="1:13" ht="14.25" x14ac:dyDescent="0.45">
      <c r="A65" s="212">
        <v>1</v>
      </c>
      <c r="B65" s="225" t="s">
        <v>7</v>
      </c>
      <c r="C65" s="225" t="s">
        <v>763</v>
      </c>
      <c r="D65" s="270"/>
      <c r="E65" s="271"/>
      <c r="F65" s="271"/>
      <c r="G65" s="271"/>
      <c r="H65" s="271"/>
      <c r="I65" s="271"/>
      <c r="J65" s="271"/>
      <c r="K65" s="271"/>
      <c r="L65" s="271"/>
      <c r="M65" s="271"/>
    </row>
    <row r="66" spans="1:13" ht="14.25" x14ac:dyDescent="0.45">
      <c r="A66" s="212">
        <v>2</v>
      </c>
      <c r="B66" s="225" t="s">
        <v>8</v>
      </c>
      <c r="C66" s="225"/>
      <c r="D66" s="270"/>
      <c r="E66" s="271"/>
      <c r="F66" s="271"/>
      <c r="G66" s="271"/>
      <c r="H66" s="271"/>
      <c r="I66" s="271"/>
      <c r="J66" s="271"/>
      <c r="K66" s="271"/>
      <c r="L66" s="271"/>
      <c r="M66" s="271"/>
    </row>
    <row r="67" spans="1:13" x14ac:dyDescent="0.4">
      <c r="A67" s="212">
        <v>3</v>
      </c>
      <c r="B67" s="225" t="s">
        <v>9</v>
      </c>
      <c r="C67" s="225" t="s">
        <v>763</v>
      </c>
      <c r="D67" s="271"/>
      <c r="E67" s="271"/>
      <c r="F67" s="271"/>
      <c r="G67" s="271"/>
      <c r="H67" s="271"/>
      <c r="I67" s="271"/>
      <c r="J67" s="271"/>
      <c r="K67" s="271"/>
      <c r="L67" s="271"/>
      <c r="M67" s="271"/>
    </row>
    <row r="68" spans="1:13" x14ac:dyDescent="0.4">
      <c r="A68" s="212"/>
      <c r="B68" s="212" t="s">
        <v>764</v>
      </c>
      <c r="C68" s="212"/>
      <c r="D68" s="272" t="s">
        <v>6</v>
      </c>
      <c r="E68" s="272" t="str" cm="1">
        <f t="array" ref="E68:G68">IF(ISNUMBER(_xlfn.ANCHORARRAY(E$37)),"growth rate","")</f>
        <v/>
      </c>
      <c r="F68" s="272" t="str">
        <v/>
      </c>
      <c r="G68" s="272" t="str">
        <v/>
      </c>
      <c r="H68" s="272"/>
      <c r="I68" s="272"/>
      <c r="J68" s="272"/>
      <c r="K68" s="272"/>
      <c r="L68" s="272"/>
      <c r="M68" s="272"/>
    </row>
    <row r="69" spans="1:13" ht="14.25" x14ac:dyDescent="0.45">
      <c r="A69" s="212">
        <v>4</v>
      </c>
      <c r="B69" s="225" t="s">
        <v>765</v>
      </c>
      <c r="C69" s="225" t="s">
        <v>766</v>
      </c>
      <c r="D69" s="270"/>
      <c r="E69" s="271"/>
      <c r="F69" s="271"/>
      <c r="G69" s="271"/>
      <c r="H69" s="271"/>
      <c r="I69" s="271"/>
      <c r="J69" s="271"/>
      <c r="K69" s="271"/>
      <c r="L69" s="271"/>
      <c r="M69" s="271"/>
    </row>
    <row r="70" spans="1:13" ht="14.25" x14ac:dyDescent="0.45">
      <c r="A70" s="212">
        <v>5</v>
      </c>
      <c r="B70" s="225" t="s">
        <v>767</v>
      </c>
      <c r="C70" s="225" t="s">
        <v>766</v>
      </c>
      <c r="D70" s="270"/>
      <c r="E70" s="271"/>
      <c r="F70" s="271"/>
      <c r="G70" s="271"/>
      <c r="H70" s="271"/>
      <c r="I70" s="271"/>
      <c r="J70" s="271"/>
      <c r="K70" s="271"/>
      <c r="L70" s="271"/>
      <c r="M70" s="271"/>
    </row>
    <row r="71" spans="1:13" ht="14.25" x14ac:dyDescent="0.45">
      <c r="A71" s="212">
        <v>6</v>
      </c>
      <c r="B71" s="225" t="s">
        <v>10</v>
      </c>
      <c r="C71" s="225" t="s">
        <v>4</v>
      </c>
      <c r="D71" s="270"/>
      <c r="E71" s="271"/>
      <c r="F71" s="271"/>
      <c r="G71" s="271"/>
      <c r="H71" s="271"/>
      <c r="I71" s="271"/>
      <c r="J71" s="271"/>
      <c r="K71" s="271"/>
      <c r="L71" s="271"/>
      <c r="M71" s="271"/>
    </row>
    <row r="72" spans="1:13" ht="14.25" x14ac:dyDescent="0.45">
      <c r="A72" s="212">
        <v>7</v>
      </c>
      <c r="B72" s="225" t="s">
        <v>768</v>
      </c>
      <c r="C72" s="225" t="s">
        <v>769</v>
      </c>
      <c r="D72" s="270"/>
      <c r="E72" s="276"/>
      <c r="F72" s="276"/>
      <c r="G72" s="276"/>
      <c r="H72" s="277"/>
      <c r="I72" s="277"/>
      <c r="J72" s="277"/>
      <c r="K72" s="277"/>
      <c r="L72" s="277"/>
      <c r="M72" s="277"/>
    </row>
    <row r="73" spans="1:13" ht="14.25" x14ac:dyDescent="0.45">
      <c r="A73" s="212">
        <v>8</v>
      </c>
      <c r="B73" s="225" t="s">
        <v>770</v>
      </c>
      <c r="C73" s="225" t="s">
        <v>771</v>
      </c>
      <c r="D73" s="270"/>
      <c r="E73" s="271"/>
      <c r="F73" s="271"/>
      <c r="G73" s="271"/>
      <c r="H73" s="271"/>
      <c r="I73" s="271"/>
      <c r="J73" s="271"/>
      <c r="K73" s="271"/>
      <c r="L73" s="271"/>
      <c r="M73" s="271"/>
    </row>
    <row r="74" spans="1:13" ht="14.25" x14ac:dyDescent="0.45">
      <c r="A74" s="212">
        <v>9</v>
      </c>
      <c r="B74" s="225" t="s">
        <v>772</v>
      </c>
      <c r="C74" s="225" t="s">
        <v>773</v>
      </c>
      <c r="D74" s="270"/>
      <c r="E74" s="271"/>
      <c r="F74" s="271"/>
      <c r="G74" s="271"/>
      <c r="H74" s="271"/>
      <c r="I74" s="271"/>
      <c r="J74" s="271"/>
      <c r="K74" s="271"/>
      <c r="L74" s="271"/>
      <c r="M74" s="271"/>
    </row>
    <row r="75" spans="1:13" x14ac:dyDescent="0.4">
      <c r="A75" s="212"/>
      <c r="B75" s="225" t="s">
        <v>774</v>
      </c>
      <c r="C75" s="225"/>
      <c r="D75" s="273"/>
      <c r="E75" s="273"/>
      <c r="F75" s="273"/>
      <c r="G75" s="273"/>
      <c r="H75" s="274"/>
      <c r="I75" s="274"/>
      <c r="J75" s="274"/>
      <c r="K75" s="274"/>
      <c r="L75" s="274"/>
      <c r="M75" s="274"/>
    </row>
    <row r="76" spans="1:13" ht="14.25" x14ac:dyDescent="0.45">
      <c r="A76" s="212">
        <v>10</v>
      </c>
      <c r="B76" s="243" t="s">
        <v>775</v>
      </c>
      <c r="C76" s="225"/>
      <c r="D76" s="270"/>
      <c r="E76" s="271"/>
      <c r="F76" s="271"/>
      <c r="G76" s="271"/>
      <c r="H76" s="271"/>
      <c r="I76" s="271"/>
      <c r="J76" s="271"/>
      <c r="K76" s="271"/>
      <c r="L76" s="271"/>
      <c r="M76" s="271"/>
    </row>
    <row r="77" spans="1:13" ht="14.25" x14ac:dyDescent="0.45">
      <c r="A77" s="212">
        <v>11</v>
      </c>
      <c r="B77" s="243" t="s">
        <v>776</v>
      </c>
      <c r="C77" s="225" t="s">
        <v>769</v>
      </c>
      <c r="D77" s="270"/>
      <c r="E77" s="271"/>
      <c r="F77" s="271"/>
      <c r="G77" s="271"/>
      <c r="H77" s="271"/>
      <c r="I77" s="271"/>
      <c r="J77" s="271"/>
      <c r="K77" s="271"/>
      <c r="L77" s="271"/>
      <c r="M77" s="271"/>
    </row>
    <row r="78" spans="1:13" ht="14.25" x14ac:dyDescent="0.45">
      <c r="A78" s="212">
        <v>12</v>
      </c>
      <c r="B78" s="243" t="s">
        <v>777</v>
      </c>
      <c r="C78" s="225" t="s">
        <v>778</v>
      </c>
      <c r="D78" s="270"/>
      <c r="E78" s="271"/>
      <c r="F78" s="271"/>
      <c r="G78" s="271"/>
      <c r="H78" s="271"/>
      <c r="I78" s="271"/>
      <c r="J78" s="271"/>
      <c r="K78" s="271"/>
      <c r="L78" s="271"/>
      <c r="M78" s="271"/>
    </row>
    <row r="79" spans="1:13" x14ac:dyDescent="0.4">
      <c r="A79" s="212"/>
      <c r="B79" s="212" t="s">
        <v>779</v>
      </c>
      <c r="C79" s="212"/>
      <c r="D79" s="272"/>
      <c r="E79" s="272" t="str" cm="1">
        <f t="array" ref="E79:G79">IF(ISNUMBER(_xlfn.ANCHORARRAY(E$37)),"growth rate","")</f>
        <v/>
      </c>
      <c r="F79" s="272" t="str">
        <v/>
      </c>
      <c r="G79" s="272" t="str">
        <v/>
      </c>
      <c r="H79" s="272"/>
      <c r="I79" s="272"/>
      <c r="J79" s="272"/>
      <c r="K79" s="272"/>
      <c r="L79" s="272"/>
      <c r="M79" s="272"/>
    </row>
    <row r="80" spans="1:13" ht="14.25" x14ac:dyDescent="0.45">
      <c r="A80" s="212">
        <v>13</v>
      </c>
      <c r="B80" s="225" t="s">
        <v>780</v>
      </c>
      <c r="C80" s="225"/>
      <c r="D80" s="270"/>
      <c r="E80" s="271"/>
      <c r="F80" s="271"/>
      <c r="G80" s="271"/>
      <c r="H80" s="271"/>
      <c r="I80" s="271"/>
      <c r="J80" s="271"/>
      <c r="K80" s="271"/>
      <c r="L80" s="271"/>
      <c r="M80" s="271"/>
    </row>
    <row r="81" spans="1:13" ht="14.25" x14ac:dyDescent="0.45">
      <c r="A81" s="212">
        <v>14</v>
      </c>
      <c r="B81" s="240" t="s">
        <v>781</v>
      </c>
      <c r="C81" s="225"/>
      <c r="D81" s="270"/>
      <c r="E81" s="271"/>
      <c r="F81" s="271"/>
      <c r="G81" s="271"/>
      <c r="H81" s="271"/>
      <c r="I81" s="271"/>
      <c r="J81" s="271"/>
      <c r="K81" s="271"/>
      <c r="L81" s="271"/>
      <c r="M81" s="271"/>
    </row>
    <row r="82" spans="1:13" ht="14.25" x14ac:dyDescent="0.45">
      <c r="A82" s="212">
        <v>15</v>
      </c>
      <c r="B82" s="225" t="s">
        <v>782</v>
      </c>
      <c r="C82" s="225"/>
      <c r="D82" s="270"/>
      <c r="E82" s="271"/>
      <c r="F82" s="271"/>
      <c r="G82" s="271"/>
      <c r="H82" s="271"/>
      <c r="I82" s="271"/>
      <c r="J82" s="271"/>
      <c r="K82" s="271"/>
      <c r="L82" s="271"/>
      <c r="M82" s="271"/>
    </row>
    <row r="83" spans="1:13" ht="14.25" x14ac:dyDescent="0.45">
      <c r="A83" s="212">
        <v>16</v>
      </c>
      <c r="B83" s="225" t="s">
        <v>783</v>
      </c>
      <c r="C83" s="225"/>
      <c r="D83" s="270"/>
      <c r="E83" s="271"/>
      <c r="F83" s="271"/>
      <c r="G83" s="271"/>
      <c r="H83" s="271"/>
      <c r="I83" s="271"/>
      <c r="J83" s="271"/>
      <c r="K83" s="271"/>
      <c r="L83" s="271"/>
      <c r="M83" s="271"/>
    </row>
    <row r="84" spans="1:13" ht="14.25" x14ac:dyDescent="0.45">
      <c r="A84" s="212">
        <v>17</v>
      </c>
      <c r="B84" s="225" t="s">
        <v>784</v>
      </c>
      <c r="C84" s="225"/>
      <c r="D84" s="270"/>
      <c r="E84" s="271"/>
      <c r="F84" s="271"/>
      <c r="G84" s="271"/>
      <c r="H84" s="271"/>
      <c r="I84" s="271"/>
      <c r="J84" s="271"/>
      <c r="K84" s="271"/>
      <c r="L84" s="271"/>
      <c r="M84" s="271"/>
    </row>
    <row r="85" spans="1:13" ht="14.25" x14ac:dyDescent="0.45">
      <c r="A85" s="212">
        <v>18</v>
      </c>
      <c r="B85" s="225" t="s">
        <v>785</v>
      </c>
      <c r="C85" s="225"/>
      <c r="D85" s="270"/>
      <c r="E85" s="271"/>
      <c r="F85" s="271"/>
      <c r="G85" s="271"/>
      <c r="H85" s="271"/>
      <c r="I85" s="271"/>
      <c r="J85" s="271"/>
      <c r="K85" s="271"/>
      <c r="L85" s="271"/>
      <c r="M85" s="271"/>
    </row>
    <row r="86" spans="1:13" x14ac:dyDescent="0.4">
      <c r="A86" s="212"/>
      <c r="B86" s="212" t="s">
        <v>786</v>
      </c>
      <c r="C86" s="212" t="s">
        <v>26</v>
      </c>
      <c r="D86" s="272" t="s">
        <v>787</v>
      </c>
      <c r="E86" s="272" t="str" cm="1">
        <f t="array" ref="E86:G86">IF(ISNUMBER(_xlfn.ANCHORARRAY(E$37)),"growth rate","")</f>
        <v/>
      </c>
      <c r="F86" s="272" t="str">
        <v/>
      </c>
      <c r="G86" s="272" t="str">
        <v/>
      </c>
      <c r="H86" s="272"/>
      <c r="I86" s="272"/>
      <c r="J86" s="272"/>
      <c r="K86" s="272"/>
      <c r="L86" s="272"/>
      <c r="M86" s="272"/>
    </row>
    <row r="87" spans="1:13" x14ac:dyDescent="0.4">
      <c r="A87" s="212">
        <v>19</v>
      </c>
      <c r="B87" s="225" t="s">
        <v>788</v>
      </c>
      <c r="C87" s="225"/>
      <c r="D87" s="279"/>
      <c r="E87" s="271"/>
      <c r="F87" s="271"/>
      <c r="G87" s="271"/>
      <c r="H87" s="271"/>
      <c r="I87" s="271"/>
      <c r="J87" s="271"/>
      <c r="K87" s="271"/>
      <c r="L87" s="271"/>
      <c r="M87" s="271"/>
    </row>
    <row r="88" spans="1:13" x14ac:dyDescent="0.4">
      <c r="A88" s="212">
        <v>20</v>
      </c>
      <c r="B88" s="225" t="s">
        <v>789</v>
      </c>
      <c r="C88" s="225"/>
      <c r="D88" s="279"/>
      <c r="E88" s="271"/>
      <c r="F88" s="271"/>
      <c r="G88" s="271"/>
      <c r="H88" s="271"/>
      <c r="I88" s="271"/>
      <c r="J88" s="271"/>
      <c r="K88" s="271"/>
      <c r="L88" s="271"/>
      <c r="M88" s="271"/>
    </row>
    <row r="89" spans="1:13" ht="14.25" x14ac:dyDescent="0.45">
      <c r="A89" s="212">
        <v>21</v>
      </c>
      <c r="B89" s="225" t="s">
        <v>790</v>
      </c>
      <c r="C89" s="225"/>
      <c r="D89" s="270"/>
      <c r="E89" s="271"/>
      <c r="F89" s="271"/>
      <c r="G89" s="271"/>
      <c r="H89" s="271"/>
      <c r="I89" s="271"/>
      <c r="J89" s="271"/>
      <c r="K89" s="271"/>
      <c r="L89" s="271"/>
      <c r="M89" s="271"/>
    </row>
    <row r="90" spans="1:13" ht="14.25" x14ac:dyDescent="0.45">
      <c r="A90" s="212">
        <v>22</v>
      </c>
      <c r="B90" s="225" t="s">
        <v>791</v>
      </c>
      <c r="C90" s="225"/>
      <c r="D90" s="270"/>
      <c r="E90" s="271"/>
      <c r="F90" s="271"/>
      <c r="G90" s="271"/>
      <c r="H90" s="271"/>
      <c r="I90" s="271"/>
      <c r="J90" s="271"/>
      <c r="K90" s="271"/>
      <c r="L90" s="271"/>
      <c r="M90" s="271"/>
    </row>
    <row r="91" spans="1:13" x14ac:dyDescent="0.4">
      <c r="A91" s="212">
        <v>23</v>
      </c>
      <c r="B91" s="225" t="s">
        <v>792</v>
      </c>
      <c r="C91" s="225" t="s">
        <v>5</v>
      </c>
      <c r="D91" s="271"/>
      <c r="E91" s="271"/>
      <c r="F91" s="271"/>
      <c r="G91" s="271"/>
      <c r="H91" s="271"/>
      <c r="I91" s="271"/>
      <c r="J91" s="271"/>
      <c r="K91" s="271"/>
      <c r="L91" s="271"/>
      <c r="M91" s="271"/>
    </row>
    <row r="92" spans="1:13" x14ac:dyDescent="0.4">
      <c r="A92" s="212">
        <v>24</v>
      </c>
      <c r="B92" s="225" t="s">
        <v>793</v>
      </c>
      <c r="C92" s="225"/>
      <c r="D92" s="271"/>
      <c r="E92" s="271"/>
      <c r="F92" s="271"/>
      <c r="G92" s="271"/>
      <c r="H92" s="271"/>
      <c r="I92" s="271"/>
      <c r="J92" s="271"/>
      <c r="K92" s="271"/>
      <c r="L92" s="271"/>
      <c r="M92" s="271"/>
    </row>
    <row r="93" spans="1:13" x14ac:dyDescent="0.4">
      <c r="A93" s="212"/>
      <c r="B93" s="212"/>
      <c r="C93" s="212"/>
      <c r="D93" s="272"/>
      <c r="E93" s="272" t="str" cm="1">
        <f t="array" ref="E93:G93">IF(ISNUMBER(_xlfn.ANCHORARRAY(E$37)),"%","")</f>
        <v/>
      </c>
      <c r="F93" s="272" t="str">
        <v/>
      </c>
      <c r="G93" s="272" t="str">
        <v/>
      </c>
      <c r="H93" s="272"/>
      <c r="I93" s="272"/>
      <c r="J93" s="272"/>
      <c r="K93" s="272"/>
      <c r="L93" s="272"/>
      <c r="M93" s="272"/>
    </row>
    <row r="94" spans="1:13" ht="14.25" x14ac:dyDescent="0.45">
      <c r="A94" s="212">
        <v>25</v>
      </c>
      <c r="B94" s="225" t="s">
        <v>794</v>
      </c>
      <c r="C94" s="225"/>
      <c r="D94" s="270"/>
      <c r="E94" s="271"/>
      <c r="F94" s="271"/>
      <c r="G94" s="271"/>
      <c r="H94" s="271"/>
      <c r="I94" s="271"/>
      <c r="J94" s="271"/>
      <c r="K94" s="271"/>
      <c r="L94" s="271"/>
      <c r="M94" s="271"/>
    </row>
    <row r="95" spans="1:13" x14ac:dyDescent="0.4">
      <c r="A95" s="212"/>
      <c r="B95" s="212" t="s">
        <v>795</v>
      </c>
      <c r="C95" s="212"/>
      <c r="D95" s="272"/>
      <c r="E95" s="272" t="str" cm="1">
        <f t="array" ref="E95:G95">IF(ISNUMBER(_xlfn.ANCHORARRAY(E$37)),"growth rate","")</f>
        <v/>
      </c>
      <c r="F95" s="272" t="str">
        <v/>
      </c>
      <c r="G95" s="272" t="str">
        <v/>
      </c>
      <c r="H95" s="272"/>
      <c r="I95" s="272"/>
      <c r="J95" s="272"/>
      <c r="K95" s="272"/>
      <c r="L95" s="272"/>
      <c r="M95" s="272"/>
    </row>
    <row r="96" spans="1:13" ht="14.25" x14ac:dyDescent="0.45">
      <c r="A96" s="212">
        <v>26</v>
      </c>
      <c r="B96" s="225" t="s">
        <v>796</v>
      </c>
      <c r="C96" s="225"/>
      <c r="D96" s="270"/>
      <c r="E96" s="271"/>
      <c r="F96" s="271"/>
      <c r="G96" s="271"/>
      <c r="H96" s="271"/>
      <c r="I96" s="271"/>
      <c r="J96" s="271"/>
      <c r="K96" s="271"/>
      <c r="L96" s="271"/>
      <c r="M96" s="271"/>
    </row>
    <row r="97" spans="1:13" x14ac:dyDescent="0.4">
      <c r="A97" s="212"/>
      <c r="B97" s="225" t="s">
        <v>797</v>
      </c>
      <c r="C97" s="225"/>
      <c r="D97" s="273"/>
      <c r="E97" s="273"/>
      <c r="F97" s="273"/>
      <c r="G97" s="273"/>
      <c r="H97" s="274"/>
      <c r="I97" s="274"/>
      <c r="J97" s="274"/>
      <c r="K97" s="274"/>
      <c r="L97" s="274"/>
      <c r="M97" s="274"/>
    </row>
    <row r="98" spans="1:13" ht="14.25" x14ac:dyDescent="0.45">
      <c r="A98" s="212">
        <v>27</v>
      </c>
      <c r="B98" s="240" t="s">
        <v>798</v>
      </c>
      <c r="C98" s="225"/>
      <c r="D98" s="270"/>
      <c r="E98" s="271"/>
      <c r="F98" s="271"/>
      <c r="G98" s="271"/>
      <c r="H98" s="271"/>
      <c r="I98" s="271"/>
      <c r="J98" s="271"/>
      <c r="K98" s="271"/>
      <c r="L98" s="271"/>
      <c r="M98" s="271"/>
    </row>
    <row r="99" spans="1:13" ht="14.25" x14ac:dyDescent="0.45">
      <c r="A99" s="212">
        <v>28</v>
      </c>
      <c r="B99" s="240" t="s">
        <v>799</v>
      </c>
      <c r="C99" s="225"/>
      <c r="D99" s="270"/>
      <c r="E99" s="271"/>
      <c r="F99" s="271"/>
      <c r="G99" s="271"/>
      <c r="H99" s="271"/>
      <c r="I99" s="271"/>
      <c r="J99" s="271"/>
      <c r="K99" s="271"/>
      <c r="L99" s="271"/>
      <c r="M99" s="271"/>
    </row>
    <row r="100" spans="1:13" ht="14.25" x14ac:dyDescent="0.45">
      <c r="A100" s="212">
        <v>29</v>
      </c>
      <c r="B100" s="240" t="s">
        <v>800</v>
      </c>
      <c r="C100" s="225"/>
      <c r="D100" s="270"/>
      <c r="E100" s="271"/>
      <c r="F100" s="271"/>
      <c r="G100" s="271"/>
      <c r="H100" s="271"/>
      <c r="I100" s="271"/>
      <c r="J100" s="271"/>
      <c r="K100" s="271"/>
      <c r="L100" s="271"/>
      <c r="M100" s="271"/>
    </row>
    <row r="101" spans="1:13" x14ac:dyDescent="0.4">
      <c r="A101" s="212"/>
      <c r="B101" s="212"/>
      <c r="C101" s="212"/>
      <c r="D101" s="272"/>
      <c r="E101" s="272" t="str" cm="1">
        <f t="array" ref="E101:G101">IF(ISNUMBER(_xlfn.ANCHORARRAY(E$37)),"% pot. GDP","")</f>
        <v/>
      </c>
      <c r="F101" s="272" t="str">
        <v/>
      </c>
      <c r="G101" s="272" t="str">
        <v/>
      </c>
      <c r="H101" s="272"/>
      <c r="I101" s="272"/>
      <c r="J101" s="272"/>
      <c r="K101" s="272"/>
      <c r="L101" s="272"/>
      <c r="M101" s="272"/>
    </row>
    <row r="102" spans="1:13" ht="14.25" x14ac:dyDescent="0.45">
      <c r="A102" s="212">
        <v>30</v>
      </c>
      <c r="B102" s="225" t="s">
        <v>89</v>
      </c>
      <c r="C102" s="225"/>
      <c r="D102" s="270"/>
      <c r="E102" s="271"/>
      <c r="F102" s="271"/>
      <c r="G102" s="271"/>
      <c r="H102" s="271"/>
      <c r="I102" s="271"/>
      <c r="J102" s="271"/>
      <c r="K102" s="271"/>
      <c r="L102" s="271"/>
      <c r="M102" s="271"/>
    </row>
  </sheetData>
  <conditionalFormatting sqref="D7:M12">
    <cfRule type="expression" dxfId="102" priority="95">
      <formula>ISNUMBER(D$5)</formula>
    </cfRule>
  </conditionalFormatting>
  <conditionalFormatting sqref="D14:M14">
    <cfRule type="expression" dxfId="101" priority="69">
      <formula>ISNUMBER(D$5)</formula>
    </cfRule>
  </conditionalFormatting>
  <conditionalFormatting sqref="D16:M17">
    <cfRule type="expression" dxfId="100" priority="68">
      <formula>ISNUMBER(D$5)</formula>
    </cfRule>
  </conditionalFormatting>
  <conditionalFormatting sqref="D19:M29">
    <cfRule type="expression" dxfId="99" priority="67">
      <formula>ISNUMBER(D$5)</formula>
    </cfRule>
  </conditionalFormatting>
  <conditionalFormatting sqref="D31:M31">
    <cfRule type="expression" dxfId="98" priority="66">
      <formula>ISNUMBER(D$5)</formula>
    </cfRule>
  </conditionalFormatting>
  <conditionalFormatting sqref="D34:M35">
    <cfRule type="expression" dxfId="97" priority="65">
      <formula>ISNUMBER(D$5)</formula>
    </cfRule>
  </conditionalFormatting>
  <conditionalFormatting sqref="E38:M38">
    <cfRule type="expression" dxfId="96" priority="64">
      <formula>ISNUMBER(E$5)</formula>
    </cfRule>
  </conditionalFormatting>
  <conditionalFormatting sqref="E43:M44">
    <cfRule type="expression" dxfId="95" priority="63">
      <formula>ISNUMBER(E$5)</formula>
    </cfRule>
  </conditionalFormatting>
  <conditionalFormatting sqref="D46:M47">
    <cfRule type="expression" dxfId="94" priority="62">
      <formula>ISNUMBER(D$5)</formula>
    </cfRule>
  </conditionalFormatting>
  <conditionalFormatting sqref="E50:M50">
    <cfRule type="expression" dxfId="93" priority="61">
      <formula>ISNUMBER(E$5)</formula>
    </cfRule>
  </conditionalFormatting>
  <conditionalFormatting sqref="E52:M53">
    <cfRule type="expression" dxfId="92" priority="60">
      <formula>ISNUMBER(E$5)</formula>
    </cfRule>
  </conditionalFormatting>
  <conditionalFormatting sqref="E56:M56">
    <cfRule type="expression" dxfId="91" priority="59">
      <formula>ISNUMBER(E$5)</formula>
    </cfRule>
  </conditionalFormatting>
  <conditionalFormatting sqref="D58:M59 J60:M62">
    <cfRule type="expression" dxfId="90" priority="58">
      <formula>ISNUMBER(D$5)</formula>
    </cfRule>
  </conditionalFormatting>
  <conditionalFormatting sqref="E65:M67">
    <cfRule type="expression" dxfId="89" priority="57">
      <formula>ISNUMBER(E$5)</formula>
    </cfRule>
  </conditionalFormatting>
  <conditionalFormatting sqref="D67">
    <cfRule type="expression" dxfId="88" priority="56">
      <formula>ISNUMBER(D$5)</formula>
    </cfRule>
  </conditionalFormatting>
  <conditionalFormatting sqref="E69:M71">
    <cfRule type="expression" dxfId="87" priority="55">
      <formula>ISNUMBER(E$5)</formula>
    </cfRule>
  </conditionalFormatting>
  <conditionalFormatting sqref="E73:M74">
    <cfRule type="expression" dxfId="86" priority="54">
      <formula>ISNUMBER(E$5)</formula>
    </cfRule>
  </conditionalFormatting>
  <conditionalFormatting sqref="E76:M78">
    <cfRule type="expression" dxfId="85" priority="53">
      <formula>ISNUMBER(E$5)</formula>
    </cfRule>
  </conditionalFormatting>
  <conditionalFormatting sqref="E80:M85">
    <cfRule type="expression" dxfId="84" priority="52">
      <formula>ISNUMBER(E$5)</formula>
    </cfRule>
  </conditionalFormatting>
  <conditionalFormatting sqref="D87:M88">
    <cfRule type="expression" dxfId="83" priority="51">
      <formula>ISNUMBER(D$5)</formula>
    </cfRule>
  </conditionalFormatting>
  <conditionalFormatting sqref="E89:M90">
    <cfRule type="expression" dxfId="82" priority="50">
      <formula>ISNUMBER(E$5)</formula>
    </cfRule>
  </conditionalFormatting>
  <conditionalFormatting sqref="D91:M92">
    <cfRule type="expression" dxfId="81" priority="49">
      <formula>ISNUMBER(D$5)</formula>
    </cfRule>
  </conditionalFormatting>
  <conditionalFormatting sqref="E94:M94">
    <cfRule type="expression" dxfId="80" priority="48">
      <formula>ISNUMBER(E$5)</formula>
    </cfRule>
  </conditionalFormatting>
  <conditionalFormatting sqref="E96:M96">
    <cfRule type="expression" dxfId="79" priority="47">
      <formula>ISNUMBER(E$5)</formula>
    </cfRule>
  </conditionalFormatting>
  <conditionalFormatting sqref="E98:M100">
    <cfRule type="expression" dxfId="78" priority="46">
      <formula>ISNUMBER(E$5)</formula>
    </cfRule>
  </conditionalFormatting>
  <conditionalFormatting sqref="E102:M102">
    <cfRule type="expression" dxfId="77" priority="45">
      <formula>ISNUMBER(E$5)</formula>
    </cfRule>
  </conditionalFormatting>
  <conditionalFormatting sqref="D5:J6 K6:M6">
    <cfRule type="expression" dxfId="76" priority="44">
      <formula>ISNUMBER(D$5)</formula>
    </cfRule>
  </conditionalFormatting>
  <conditionalFormatting sqref="D18:M18">
    <cfRule type="expression" dxfId="75" priority="43">
      <formula>ISNUMBER(D$5)</formula>
    </cfRule>
  </conditionalFormatting>
  <conditionalFormatting sqref="D37:M37">
    <cfRule type="expression" dxfId="74" priority="42">
      <formula>ISNUMBER(D$5)</formula>
    </cfRule>
  </conditionalFormatting>
  <conditionalFormatting sqref="D39:M39">
    <cfRule type="expression" dxfId="73" priority="40">
      <formula>ISNUMBER(D$5)</formula>
    </cfRule>
  </conditionalFormatting>
  <conditionalFormatting sqref="D42:M42">
    <cfRule type="expression" dxfId="72" priority="39">
      <formula>ISNUMBER(D$5)</formula>
    </cfRule>
  </conditionalFormatting>
  <conditionalFormatting sqref="D45:M45">
    <cfRule type="expression" dxfId="71" priority="38">
      <formula>ISNUMBER(D$5)</formula>
    </cfRule>
  </conditionalFormatting>
  <conditionalFormatting sqref="D55:M55">
    <cfRule type="expression" dxfId="70" priority="37">
      <formula>ISNUMBER(D$5)</formula>
    </cfRule>
  </conditionalFormatting>
  <conditionalFormatting sqref="D57:M57">
    <cfRule type="expression" dxfId="69" priority="36">
      <formula>ISNUMBER(D$5)</formula>
    </cfRule>
  </conditionalFormatting>
  <conditionalFormatting sqref="D63:J64">
    <cfRule type="expression" dxfId="68" priority="35">
      <formula>ISNUMBER(D$5)</formula>
    </cfRule>
  </conditionalFormatting>
  <conditionalFormatting sqref="D68:M68">
    <cfRule type="expression" dxfId="67" priority="34">
      <formula>ISNUMBER(D$5)</formula>
    </cfRule>
  </conditionalFormatting>
  <conditionalFormatting sqref="D79:M79">
    <cfRule type="expression" dxfId="66" priority="33">
      <formula>ISNUMBER(D$5)</formula>
    </cfRule>
  </conditionalFormatting>
  <conditionalFormatting sqref="D86:M86">
    <cfRule type="expression" dxfId="65" priority="32">
      <formula>ISNUMBER(D$5)</formula>
    </cfRule>
  </conditionalFormatting>
  <conditionalFormatting sqref="D93:M93">
    <cfRule type="expression" dxfId="64" priority="31">
      <formula>ISNUMBER(D$5)</formula>
    </cfRule>
  </conditionalFormatting>
  <conditionalFormatting sqref="D95:M95">
    <cfRule type="expression" dxfId="63" priority="30">
      <formula>ISNUMBER(D$5)</formula>
    </cfRule>
  </conditionalFormatting>
  <conditionalFormatting sqref="D101:M101">
    <cfRule type="expression" dxfId="62" priority="29">
      <formula>ISNUMBER(D$5)</formula>
    </cfRule>
  </conditionalFormatting>
  <conditionalFormatting sqref="D97:M97">
    <cfRule type="expression" dxfId="61" priority="28">
      <formula>ISNUMBER(D$5)</formula>
    </cfRule>
  </conditionalFormatting>
  <conditionalFormatting sqref="D75:M75">
    <cfRule type="expression" dxfId="60" priority="27">
      <formula>ISNUMBER(D$5)</formula>
    </cfRule>
  </conditionalFormatting>
  <conditionalFormatting sqref="D48:M48">
    <cfRule type="expression" dxfId="59" priority="26">
      <formula>ISNUMBER(D$5)</formula>
    </cfRule>
  </conditionalFormatting>
  <conditionalFormatting sqref="D13:M13">
    <cfRule type="expression" dxfId="58" priority="15">
      <formula>NOT(ISNUMBER(D$5))</formula>
    </cfRule>
    <cfRule type="expression" dxfId="57" priority="21">
      <formula>ISNUMBER(D$5)</formula>
    </cfRule>
  </conditionalFormatting>
  <conditionalFormatting sqref="K5:M5">
    <cfRule type="expression" dxfId="56" priority="20">
      <formula>ISNUMBER(K$5)</formula>
    </cfRule>
  </conditionalFormatting>
  <conditionalFormatting sqref="K63:M64">
    <cfRule type="expression" dxfId="55" priority="19">
      <formula>ISNUMBER(K$5)</formula>
    </cfRule>
  </conditionalFormatting>
  <conditionalFormatting sqref="D72:M72">
    <cfRule type="expression" dxfId="54" priority="17">
      <formula>ISNUMBER(D$5)</formula>
    </cfRule>
  </conditionalFormatting>
  <conditionalFormatting sqref="D15:M15">
    <cfRule type="expression" dxfId="53" priority="13">
      <formula>NOT(ISNUMBER(D$5))</formula>
    </cfRule>
    <cfRule type="expression" dxfId="52" priority="14">
      <formula>ISNUMBER(D$5)</formula>
    </cfRule>
  </conditionalFormatting>
  <conditionalFormatting sqref="D30:M30">
    <cfRule type="expression" dxfId="51" priority="11">
      <formula>NOT(ISNUMBER(D$5))</formula>
    </cfRule>
    <cfRule type="expression" dxfId="50" priority="12">
      <formula>ISNUMBER(D$5)</formula>
    </cfRule>
  </conditionalFormatting>
  <conditionalFormatting sqref="D32:M32">
    <cfRule type="expression" dxfId="49" priority="9">
      <formula>NOT(ISNUMBER(D$5))</formula>
    </cfRule>
    <cfRule type="expression" dxfId="48" priority="10">
      <formula>ISNUMBER(D$5)</formula>
    </cfRule>
  </conditionalFormatting>
  <conditionalFormatting sqref="D36:M36">
    <cfRule type="expression" dxfId="47" priority="7">
      <formula>NOT(ISNUMBER(D$5))</formula>
    </cfRule>
    <cfRule type="expression" dxfId="46" priority="8">
      <formula>ISNUMBER(D$5)</formula>
    </cfRule>
  </conditionalFormatting>
  <conditionalFormatting sqref="D33:M33">
    <cfRule type="expression" dxfId="45" priority="5">
      <formula>NOT(ISNUMBER(D$5))</formula>
    </cfRule>
  </conditionalFormatting>
  <conditionalFormatting sqref="D40:M41">
    <cfRule type="expression" dxfId="44" priority="4">
      <formula>NOT(ISNUMBER(D$5))</formula>
    </cfRule>
  </conditionalFormatting>
  <conditionalFormatting sqref="D49:M49">
    <cfRule type="expression" dxfId="43" priority="3">
      <formula>NOT(ISNUMBER(D$5))</formula>
    </cfRule>
  </conditionalFormatting>
  <conditionalFormatting sqref="D51:M51">
    <cfRule type="expression" dxfId="42" priority="2">
      <formula>NOT(ISNUMBER(D$5))</formula>
    </cfRule>
  </conditionalFormatting>
  <conditionalFormatting sqref="D54:M54">
    <cfRule type="expression" dxfId="41" priority="1">
      <formula>NOT(ISNUMBER(D$5))</formula>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6E07BE-58AB-439B-939C-C4F401A0326F}">
  <sheetPr codeName="Sheet3"/>
  <dimension ref="A1:AI360"/>
  <sheetViews>
    <sheetView showGridLines="0" zoomScaleNormal="100" workbookViewId="0"/>
  </sheetViews>
  <sheetFormatPr defaultColWidth="9" defaultRowHeight="13.15" x14ac:dyDescent="0.4"/>
  <cols>
    <col min="1" max="1" width="5.7109375" customWidth="1"/>
    <col min="2" max="2" width="70.5703125" style="14" customWidth="1"/>
    <col min="3" max="3" width="30.28515625" style="14" customWidth="1"/>
    <col min="4" max="4" width="9" style="14" customWidth="1"/>
    <col min="5" max="5" width="9.5703125" style="14" bestFit="1" customWidth="1"/>
    <col min="6" max="16384" width="9" style="14"/>
  </cols>
  <sheetData>
    <row r="1" spans="2:23" customFormat="1" ht="28.5" customHeight="1" x14ac:dyDescent="0.4">
      <c r="B1" s="98" t="s">
        <v>831</v>
      </c>
    </row>
    <row r="2" spans="2:23" customFormat="1" ht="23.25" x14ac:dyDescent="0.7">
      <c r="B2" s="13" t="str">
        <f>"Latest outturn data to "&amp;OutturnThrough&amp;IF(OutturnThrough=AssessmentEnd,""," and "&amp;ScenarioName)</f>
        <v>Latest outturn data to 2025</v>
      </c>
    </row>
    <row r="3" spans="2:23" customFormat="1" ht="15.75" x14ac:dyDescent="0.5">
      <c r="B3" s="79"/>
    </row>
    <row r="4" spans="2:23" customFormat="1" ht="14.65" customHeight="1" x14ac:dyDescent="0.4">
      <c r="B4" s="39" t="s">
        <v>251</v>
      </c>
      <c r="C4" s="94"/>
      <c r="D4" s="44" cm="1">
        <f t="array" ref="D4:F4">_xlfn.SEQUENCE(1, AssessmentEnd-MTP_BaseYear+1, MTP_BaseYear)</f>
        <v>2023</v>
      </c>
      <c r="E4" s="44">
        <v>2024</v>
      </c>
      <c r="F4" s="44">
        <v>2025</v>
      </c>
      <c r="G4" s="44"/>
      <c r="H4" s="44"/>
      <c r="I4" s="44"/>
      <c r="J4" s="44"/>
      <c r="K4" s="44"/>
      <c r="L4" s="44"/>
      <c r="M4" s="44"/>
      <c r="N4" s="44"/>
      <c r="O4" s="44"/>
      <c r="P4" s="44"/>
      <c r="Q4" s="44"/>
      <c r="R4" s="44"/>
      <c r="S4" s="44"/>
      <c r="T4" s="44"/>
      <c r="U4" s="44"/>
      <c r="V4" s="44"/>
      <c r="W4" s="44"/>
    </row>
    <row r="5" spans="2:23" customFormat="1" ht="14.65" customHeight="1" x14ac:dyDescent="0.4">
      <c r="B5" s="41" t="s">
        <v>274</v>
      </c>
      <c r="C5" s="19"/>
      <c r="D5" s="47" t="str" cm="1">
        <f t="array" ref="D5:F5">IF(
  AND(_xlfn.ANCHORARRAY(D4)&gt;=MTP_YearT-1,_xlfn.ANCHORARRAY( D4)&lt;=MTP_EndYear),
  CHOOSE(SIGN(_xlfn.ANCHORARRAY(D4)-MTP_YearT)+2, "T-1", "T", "T+"&amp;(_xlfn.ANCHORARRAY(D4)-MTP_YearT)),
  ""
)</f>
        <v>T-1</v>
      </c>
      <c r="E5" s="47" t="str">
        <v>T</v>
      </c>
      <c r="F5" s="47" t="str">
        <v>T+1</v>
      </c>
      <c r="G5" s="47"/>
      <c r="H5" s="47"/>
      <c r="I5" s="47"/>
      <c r="J5" s="47"/>
      <c r="K5" s="47"/>
      <c r="L5" s="47"/>
      <c r="M5" s="47"/>
      <c r="N5" s="47"/>
      <c r="O5" s="47"/>
      <c r="P5" s="47"/>
      <c r="Q5" s="47"/>
      <c r="R5" s="47"/>
      <c r="S5" s="47"/>
      <c r="T5" s="47"/>
      <c r="U5" s="47"/>
      <c r="V5" s="47"/>
      <c r="W5" s="47"/>
    </row>
    <row r="6" spans="2:23" customFormat="1" ht="14.65" customHeight="1" x14ac:dyDescent="0.4">
      <c r="B6" s="59" t="s">
        <v>257</v>
      </c>
      <c r="C6" s="44" t="s">
        <v>6</v>
      </c>
      <c r="D6" s="155">
        <f>IF(D$4&lt;=OutturnThrough,IF(ISNUMBER('Step 2 - Update outturn data'!E6),'Step 2 - Update outturn data'!E6,""),IF(ISNUMBER('Step 3 (IMPL) - Enter outlook'!D8),'Step 3 (IMPL) - Enter outlook'!D8,""))</f>
        <v>0</v>
      </c>
      <c r="E6" s="155">
        <f>IF(E$4&lt;=OutturnThrough,IF(ISNUMBER('Step 2 - Update outturn data'!F6),'Step 2 - Update outturn data'!F6,""),IF(ISNUMBER('Step 3 (IMPL) - Enter outlook'!E8),'Step 3 (IMPL) - Enter outlook'!E8,""))</f>
        <v>0</v>
      </c>
      <c r="F6" s="155">
        <f>IF(F$4&lt;=OutturnThrough,IF(ISNUMBER('Step 2 - Update outturn data'!G6),'Step 2 - Update outturn data'!G6,""),IF(ISNUMBER('Step 3 (IMPL) - Enter outlook'!F8),'Step 3 (IMPL) - Enter outlook'!F8,""))</f>
        <v>0</v>
      </c>
      <c r="G6" s="155" t="str">
        <f>IF(G$4&lt;=OutturnThrough,IF(ISNUMBER('Step 2 - Update outturn data'!H6),'Step 2 - Update outturn data'!H6,""),IF(ISNUMBER('Step 3 (IMPL) - Enter outlook'!G8),'Step 3 (IMPL) - Enter outlook'!G8,""))</f>
        <v/>
      </c>
      <c r="H6" s="155" t="str">
        <f>IF(H$4&lt;=OutturnThrough,IF(ISNUMBER('Step 2 - Update outturn data'!I6),'Step 2 - Update outturn data'!I6,""),IF(ISNUMBER('Step 3 (IMPL) - Enter outlook'!H8),'Step 3 (IMPL) - Enter outlook'!H8,""))</f>
        <v/>
      </c>
      <c r="I6" s="155" t="str">
        <f>IF(I$4&lt;=OutturnThrough,IF(ISNUMBER('Step 2 - Update outturn data'!J6),'Step 2 - Update outturn data'!J6,""),IF(ISNUMBER('Step 3 (IMPL) - Enter outlook'!I8),'Step 3 (IMPL) - Enter outlook'!I8,""))</f>
        <v/>
      </c>
      <c r="J6" s="155" t="str">
        <f>IF(J$4&lt;=OutturnThrough,IF(ISNUMBER('Step 2 - Update outturn data'!K6),'Step 2 - Update outturn data'!K6,""),IF(ISNUMBER('Step 3 (IMPL) - Enter outlook'!J8),'Step 3 (IMPL) - Enter outlook'!J8,""))</f>
        <v/>
      </c>
      <c r="K6" s="155" t="str">
        <f>IF(K$4&lt;=OutturnThrough,IF(ISNUMBER('Step 2 - Update outturn data'!L6),'Step 2 - Update outturn data'!L6,""),IF(ISNUMBER('Step 3 (IMPL) - Enter outlook'!K8),'Step 3 (IMPL) - Enter outlook'!K8,""))</f>
        <v/>
      </c>
      <c r="L6" s="69"/>
      <c r="M6" s="69"/>
      <c r="N6" s="62"/>
      <c r="O6" s="62"/>
      <c r="P6" s="62"/>
      <c r="Q6" s="62"/>
      <c r="R6" s="62"/>
      <c r="S6" s="62"/>
      <c r="T6" s="62"/>
      <c r="U6" s="62"/>
      <c r="V6" s="62"/>
      <c r="W6" s="62"/>
    </row>
    <row r="7" spans="2:23" customFormat="1" ht="14.65" customHeight="1" x14ac:dyDescent="0.4">
      <c r="B7" s="59" t="s">
        <v>25</v>
      </c>
      <c r="C7" s="44" t="s">
        <v>6</v>
      </c>
      <c r="D7" s="155">
        <f>IF(D$4&lt;=OutturnThrough,IF(ISNUMBER('Step 2 - Update outturn data'!E7),'Step 2 - Update outturn data'!E7,""),IF(ISNUMBER('Step 3 (IMPL) - Enter outlook'!D9),'Step 3 (IMPL) - Enter outlook'!D9,""))</f>
        <v>0</v>
      </c>
      <c r="E7" s="155">
        <f>IF(E$4&lt;=OutturnThrough,IF(ISNUMBER('Step 2 - Update outturn data'!F7),'Step 2 - Update outturn data'!F7,""),IF(ISNUMBER('Step 3 (IMPL) - Enter outlook'!E9),'Step 3 (IMPL) - Enter outlook'!E9,""))</f>
        <v>0</v>
      </c>
      <c r="F7" s="155">
        <f>IF(F$4&lt;=OutturnThrough,IF(ISNUMBER('Step 2 - Update outturn data'!G7),'Step 2 - Update outturn data'!G7,""),IF(ISNUMBER('Step 3 (IMPL) - Enter outlook'!F9),'Step 3 (IMPL) - Enter outlook'!F9,""))</f>
        <v>0</v>
      </c>
      <c r="G7" s="155" t="str">
        <f>IF(G$4&lt;=OutturnThrough,IF(ISNUMBER('Step 2 - Update outturn data'!H7),'Step 2 - Update outturn data'!H7,""),IF(ISNUMBER('Step 3 (IMPL) - Enter outlook'!G9),'Step 3 (IMPL) - Enter outlook'!G9,""))</f>
        <v/>
      </c>
      <c r="H7" s="155" t="str">
        <f>IF(H$4&lt;=OutturnThrough,IF(ISNUMBER('Step 2 - Update outturn data'!I7),'Step 2 - Update outturn data'!I7,""),IF(ISNUMBER('Step 3 (IMPL) - Enter outlook'!H9),'Step 3 (IMPL) - Enter outlook'!H9,""))</f>
        <v/>
      </c>
      <c r="I7" s="155" t="str">
        <f>IF(I$4&lt;=OutturnThrough,IF(ISNUMBER('Step 2 - Update outturn data'!J7),'Step 2 - Update outturn data'!J7,""),IF(ISNUMBER('Step 3 (IMPL) - Enter outlook'!I9),'Step 3 (IMPL) - Enter outlook'!I9,""))</f>
        <v/>
      </c>
      <c r="J7" s="155" t="str">
        <f>IF(J$4&lt;=OutturnThrough,IF(ISNUMBER('Step 2 - Update outturn data'!K7),'Step 2 - Update outturn data'!K7,""),IF(ISNUMBER('Step 3 (IMPL) - Enter outlook'!J9),'Step 3 (IMPL) - Enter outlook'!J9,""))</f>
        <v/>
      </c>
      <c r="K7" s="155" t="str">
        <f>IF(K$4&lt;=OutturnThrough,IF(ISNUMBER('Step 2 - Update outturn data'!L7),'Step 2 - Update outturn data'!L7,""),IF(ISNUMBER('Step 3 (IMPL) - Enter outlook'!K9),'Step 3 (IMPL) - Enter outlook'!K9,""))</f>
        <v/>
      </c>
      <c r="L7" s="69"/>
      <c r="M7" s="69"/>
      <c r="N7" s="62"/>
      <c r="O7" s="62"/>
      <c r="P7" s="62"/>
      <c r="Q7" s="62"/>
      <c r="R7" s="62"/>
      <c r="S7" s="62"/>
      <c r="T7" s="62"/>
      <c r="U7" s="62"/>
      <c r="V7" s="62"/>
      <c r="W7" s="62"/>
    </row>
    <row r="8" spans="2:23" customFormat="1" ht="14.65" customHeight="1" x14ac:dyDescent="0.4">
      <c r="B8" s="59" t="s">
        <v>276</v>
      </c>
      <c r="C8" s="44" t="s">
        <v>6</v>
      </c>
      <c r="D8" s="155">
        <f>IF(D$4&lt;=OutturnThrough,IF(ISNUMBER('Step 2 - Update outturn data'!E8),'Step 2 - Update outturn data'!E8,""),IF(ISNUMBER('Step 3 (IMPL) - Enter outlook'!D10),'Step 3 (IMPL) - Enter outlook'!D10,""))</f>
        <v>0</v>
      </c>
      <c r="E8" s="155">
        <f>IF(E$4&lt;=OutturnThrough,IF(ISNUMBER('Step 2 - Update outturn data'!F8),'Step 2 - Update outturn data'!F8,""),IF(ISNUMBER('Step 3 (IMPL) - Enter outlook'!E10),'Step 3 (IMPL) - Enter outlook'!E10,""))</f>
        <v>0</v>
      </c>
      <c r="F8" s="155">
        <f>IF(F$4&lt;=OutturnThrough,IF(ISNUMBER('Step 2 - Update outturn data'!G8),'Step 2 - Update outturn data'!G8,""),IF(ISNUMBER('Step 3 (IMPL) - Enter outlook'!F10),'Step 3 (IMPL) - Enter outlook'!F10,""))</f>
        <v>0</v>
      </c>
      <c r="G8" s="155" t="str">
        <f>IF(G$4&lt;=OutturnThrough,IF(ISNUMBER('Step 2 - Update outturn data'!H8),'Step 2 - Update outturn data'!H8,""),IF(ISNUMBER('Step 3 (IMPL) - Enter outlook'!G10),'Step 3 (IMPL) - Enter outlook'!G10,""))</f>
        <v/>
      </c>
      <c r="H8" s="155" t="str">
        <f>IF(H$4&lt;=OutturnThrough,IF(ISNUMBER('Step 2 - Update outturn data'!I8),'Step 2 - Update outturn data'!I8,""),IF(ISNUMBER('Step 3 (IMPL) - Enter outlook'!H10),'Step 3 (IMPL) - Enter outlook'!H10,""))</f>
        <v/>
      </c>
      <c r="I8" s="155" t="str">
        <f>IF(I$4&lt;=OutturnThrough,IF(ISNUMBER('Step 2 - Update outturn data'!J8),'Step 2 - Update outturn data'!J8,""),IF(ISNUMBER('Step 3 (IMPL) - Enter outlook'!I10),'Step 3 (IMPL) - Enter outlook'!I10,""))</f>
        <v/>
      </c>
      <c r="J8" s="155" t="str">
        <f>IF(J$4&lt;=OutturnThrough,IF(ISNUMBER('Step 2 - Update outturn data'!K8),'Step 2 - Update outturn data'!K8,""),IF(ISNUMBER('Step 3 (IMPL) - Enter outlook'!J10),'Step 3 (IMPL) - Enter outlook'!J10,""))</f>
        <v/>
      </c>
      <c r="K8" s="155" t="str">
        <f>IF(K$4&lt;=OutturnThrough,IF(ISNUMBER('Step 2 - Update outturn data'!L8),'Step 2 - Update outturn data'!L8,""),IF(ISNUMBER('Step 3 (IMPL) - Enter outlook'!K10),'Step 3 (IMPL) - Enter outlook'!K10,""))</f>
        <v/>
      </c>
      <c r="L8" s="69"/>
      <c r="M8" s="69"/>
      <c r="N8" s="62"/>
      <c r="O8" s="62"/>
      <c r="P8" s="62"/>
      <c r="Q8" s="62"/>
      <c r="R8" s="62"/>
      <c r="S8" s="62"/>
      <c r="T8" s="62"/>
      <c r="U8" s="62"/>
      <c r="V8" s="62"/>
      <c r="W8" s="62"/>
    </row>
    <row r="9" spans="2:23" customFormat="1" ht="14.65" customHeight="1" x14ac:dyDescent="0.4">
      <c r="B9" s="59" t="s">
        <v>277</v>
      </c>
      <c r="C9" s="44" t="s">
        <v>6</v>
      </c>
      <c r="D9" s="155">
        <f>IF(D$4&lt;=OutturnThrough,IF(ISNUMBER('Step 2 - Update outturn data'!E9),'Step 2 - Update outturn data'!E9,""),IF(ISNUMBER('Step 3 (IMPL) - Enter outlook'!D11),'Step 3 (IMPL) - Enter outlook'!D11,""))</f>
        <v>0</v>
      </c>
      <c r="E9" s="155">
        <f>IF(E$4&lt;=OutturnThrough,IF(ISNUMBER('Step 2 - Update outturn data'!F9),'Step 2 - Update outturn data'!F9,""),IF(ISNUMBER('Step 3 (IMPL) - Enter outlook'!E11),'Step 3 (IMPL) - Enter outlook'!E11,""))</f>
        <v>0</v>
      </c>
      <c r="F9" s="155">
        <f>IF(F$4&lt;=OutturnThrough,IF(ISNUMBER('Step 2 - Update outturn data'!G9),'Step 2 - Update outturn data'!G9,""),IF(ISNUMBER('Step 3 (IMPL) - Enter outlook'!F11),'Step 3 (IMPL) - Enter outlook'!F11,""))</f>
        <v>0</v>
      </c>
      <c r="G9" s="155" t="str">
        <f>IF(G$4&lt;=OutturnThrough,IF(ISNUMBER('Step 2 - Update outturn data'!H9),'Step 2 - Update outturn data'!H9,""),IF(ISNUMBER('Step 3 (IMPL) - Enter outlook'!G11),'Step 3 (IMPL) - Enter outlook'!G11,""))</f>
        <v/>
      </c>
      <c r="H9" s="155" t="str">
        <f>IF(H$4&lt;=OutturnThrough,IF(ISNUMBER('Step 2 - Update outturn data'!I9),'Step 2 - Update outturn data'!I9,""),IF(ISNUMBER('Step 3 (IMPL) - Enter outlook'!H11),'Step 3 (IMPL) - Enter outlook'!H11,""))</f>
        <v/>
      </c>
      <c r="I9" s="155" t="str">
        <f>IF(I$4&lt;=OutturnThrough,IF(ISNUMBER('Step 2 - Update outturn data'!J9),'Step 2 - Update outturn data'!J9,""),IF(ISNUMBER('Step 3 (IMPL) - Enter outlook'!I11),'Step 3 (IMPL) - Enter outlook'!I11,""))</f>
        <v/>
      </c>
      <c r="J9" s="155" t="str">
        <f>IF(J$4&lt;=OutturnThrough,IF(ISNUMBER('Step 2 - Update outturn data'!K9),'Step 2 - Update outturn data'!K9,""),IF(ISNUMBER('Step 3 (IMPL) - Enter outlook'!J11),'Step 3 (IMPL) - Enter outlook'!J11,""))</f>
        <v/>
      </c>
      <c r="K9" s="155" t="str">
        <f>IF(K$4&lt;=OutturnThrough,IF(ISNUMBER('Step 2 - Update outturn data'!L9),'Step 2 - Update outturn data'!L9,""),IF(ISNUMBER('Step 3 (IMPL) - Enter outlook'!K11),'Step 3 (IMPL) - Enter outlook'!K11,""))</f>
        <v/>
      </c>
      <c r="L9" s="69"/>
      <c r="M9" s="69"/>
      <c r="N9" s="62"/>
      <c r="O9" s="62"/>
      <c r="P9" s="62"/>
      <c r="Q9" s="62"/>
      <c r="R9" s="62"/>
      <c r="S9" s="62"/>
      <c r="T9" s="62"/>
      <c r="U9" s="62"/>
      <c r="V9" s="62"/>
      <c r="W9" s="62"/>
    </row>
    <row r="10" spans="2:23" customFormat="1" ht="14.65" customHeight="1" x14ac:dyDescent="0.4">
      <c r="B10" s="59" t="s">
        <v>278</v>
      </c>
      <c r="C10" s="44" t="s">
        <v>6</v>
      </c>
      <c r="D10" s="155">
        <f>IF(D$4&lt;=OutturnThrough,IF(ISNUMBER('Step 2 - Update outturn data'!E10),'Step 2 - Update outturn data'!E10,""),IF(ISNUMBER('Step 3 (IMPL) - Enter outlook'!D12),'Step 3 (IMPL) - Enter outlook'!D12,""))</f>
        <v>0</v>
      </c>
      <c r="E10" s="155">
        <f>IF(E$4&lt;=OutturnThrough,IF(ISNUMBER('Step 2 - Update outturn data'!F10),'Step 2 - Update outturn data'!F10,""),IF(ISNUMBER('Step 3 (IMPL) - Enter outlook'!E12),'Step 3 (IMPL) - Enter outlook'!E12,""))</f>
        <v>0</v>
      </c>
      <c r="F10" s="155">
        <f>IF(F$4&lt;=OutturnThrough,IF(ISNUMBER('Step 2 - Update outturn data'!G10),'Step 2 - Update outturn data'!G10,""),IF(ISNUMBER('Step 3 (IMPL) - Enter outlook'!F12),'Step 3 (IMPL) - Enter outlook'!F12,""))</f>
        <v>0</v>
      </c>
      <c r="G10" s="155" t="str">
        <f>IF(G$4&lt;=OutturnThrough,IF(ISNUMBER('Step 2 - Update outturn data'!H10),'Step 2 - Update outturn data'!H10,""),IF(ISNUMBER('Step 3 (IMPL) - Enter outlook'!G12),'Step 3 (IMPL) - Enter outlook'!G12,""))</f>
        <v/>
      </c>
      <c r="H10" s="155" t="str">
        <f>IF(H$4&lt;=OutturnThrough,IF(ISNUMBER('Step 2 - Update outturn data'!I10),'Step 2 - Update outturn data'!I10,""),IF(ISNUMBER('Step 3 (IMPL) - Enter outlook'!H12),'Step 3 (IMPL) - Enter outlook'!H12,""))</f>
        <v/>
      </c>
      <c r="I10" s="155" t="str">
        <f>IF(I$4&lt;=OutturnThrough,IF(ISNUMBER('Step 2 - Update outturn data'!J10),'Step 2 - Update outturn data'!J10,""),IF(ISNUMBER('Step 3 (IMPL) - Enter outlook'!I12),'Step 3 (IMPL) - Enter outlook'!I12,""))</f>
        <v/>
      </c>
      <c r="J10" s="155" t="str">
        <f>IF(J$4&lt;=OutturnThrough,IF(ISNUMBER('Step 2 - Update outturn data'!K10),'Step 2 - Update outturn data'!K10,""),IF(ISNUMBER('Step 3 (IMPL) - Enter outlook'!J12),'Step 3 (IMPL) - Enter outlook'!J12,""))</f>
        <v/>
      </c>
      <c r="K10" s="155" t="str">
        <f>IF(K$4&lt;=OutturnThrough,IF(ISNUMBER('Step 2 - Update outturn data'!L10),'Step 2 - Update outturn data'!L10,""),IF(ISNUMBER('Step 3 (IMPL) - Enter outlook'!K12),'Step 3 (IMPL) - Enter outlook'!K12,""))</f>
        <v/>
      </c>
      <c r="L10" s="69"/>
      <c r="M10" s="69"/>
      <c r="N10" s="62"/>
      <c r="O10" s="62"/>
      <c r="P10" s="62"/>
      <c r="Q10" s="62"/>
      <c r="R10" s="62"/>
      <c r="S10" s="62"/>
      <c r="T10" s="62"/>
      <c r="U10" s="62"/>
      <c r="V10" s="62"/>
      <c r="W10" s="62"/>
    </row>
    <row r="11" spans="2:23" customFormat="1" ht="14.65" customHeight="1" x14ac:dyDescent="0.4">
      <c r="B11" s="59" t="s">
        <v>386</v>
      </c>
      <c r="C11" s="44" t="s">
        <v>6</v>
      </c>
      <c r="D11" s="155">
        <f>IF(D$4&lt;=OutturnThrough,IF(ISNUMBER('Step 2 - Update outturn data'!E11),'Step 2 - Update outturn data'!E11,""),IF(ISNUMBER('Step 3 (IMPL) - Enter outlook'!D13),'Step 3 (IMPL) - Enter outlook'!D13,""))</f>
        <v>0</v>
      </c>
      <c r="E11" s="155">
        <f>IF(E$4&lt;=OutturnThrough,IF(ISNUMBER('Step 2 - Update outturn data'!F11),'Step 2 - Update outturn data'!F11,""),IF(ISNUMBER('Step 3 (IMPL) - Enter outlook'!E13),'Step 3 (IMPL) - Enter outlook'!E13,""))</f>
        <v>0</v>
      </c>
      <c r="F11" s="155">
        <f>IF(F$4&lt;=OutturnThrough,IF(ISNUMBER('Step 2 - Update outturn data'!G11),'Step 2 - Update outturn data'!G11,""),IF(ISNUMBER('Step 3 (IMPL) - Enter outlook'!F13),'Step 3 (IMPL) - Enter outlook'!F13,""))</f>
        <v>0</v>
      </c>
      <c r="G11" s="155" t="str">
        <f>IF(G$4&lt;=OutturnThrough,IF(ISNUMBER('Step 2 - Update outturn data'!H11),'Step 2 - Update outturn data'!H11,""),IF(ISNUMBER('Step 3 (IMPL) - Enter outlook'!G13),'Step 3 (IMPL) - Enter outlook'!G13,""))</f>
        <v/>
      </c>
      <c r="H11" s="155" t="str">
        <f>IF(H$4&lt;=OutturnThrough,IF(ISNUMBER('Step 2 - Update outturn data'!I11),'Step 2 - Update outturn data'!I11,""),IF(ISNUMBER('Step 3 (IMPL) - Enter outlook'!H13),'Step 3 (IMPL) - Enter outlook'!H13,""))</f>
        <v/>
      </c>
      <c r="I11" s="155" t="str">
        <f>IF(I$4&lt;=OutturnThrough,IF(ISNUMBER('Step 2 - Update outturn data'!J11),'Step 2 - Update outturn data'!J11,""),IF(ISNUMBER('Step 3 (IMPL) - Enter outlook'!I13),'Step 3 (IMPL) - Enter outlook'!I13,""))</f>
        <v/>
      </c>
      <c r="J11" s="155" t="str">
        <f>IF(J$4&lt;=OutturnThrough,IF(ISNUMBER('Step 2 - Update outturn data'!K11),'Step 2 - Update outturn data'!K11,""),IF(ISNUMBER('Step 3 (IMPL) - Enter outlook'!J13),'Step 3 (IMPL) - Enter outlook'!J13,""))</f>
        <v/>
      </c>
      <c r="K11" s="155" t="str">
        <f>IF(K$4&lt;=OutturnThrough,IF(ISNUMBER('Step 2 - Update outturn data'!L11),'Step 2 - Update outturn data'!L11,""),IF(ISNUMBER('Step 3 (IMPL) - Enter outlook'!K13),'Step 3 (IMPL) - Enter outlook'!K13,""))</f>
        <v/>
      </c>
      <c r="L11" s="69"/>
      <c r="M11" s="69"/>
      <c r="N11" s="62"/>
      <c r="O11" s="62"/>
      <c r="P11" s="62"/>
      <c r="Q11" s="62"/>
      <c r="R11" s="62"/>
      <c r="S11" s="62"/>
      <c r="T11" s="62"/>
      <c r="U11" s="62"/>
      <c r="V11" s="62"/>
      <c r="W11" s="62"/>
    </row>
    <row r="12" spans="2:23" customFormat="1" ht="14.65" customHeight="1" x14ac:dyDescent="0.4">
      <c r="B12" s="59" t="s">
        <v>307</v>
      </c>
      <c r="C12" s="44" t="s">
        <v>6</v>
      </c>
      <c r="D12" s="155">
        <f>IF(D$4&lt;=OutturnThrough,IF(ISNUMBER('Step 2 - Update outturn data'!E12),'Step 2 - Update outturn data'!E12,""),IF(ISNUMBER('Step 3 (IMPL) - Enter outlook'!D14),'Step 3 (IMPL) - Enter outlook'!D14,""))</f>
        <v>0</v>
      </c>
      <c r="E12" s="155">
        <f>IF(E$4&lt;=OutturnThrough,IF(ISNUMBER('Step 2 - Update outturn data'!F12),'Step 2 - Update outturn data'!F12,""),IF(ISNUMBER('Step 3 (IMPL) - Enter outlook'!E14),'Step 3 (IMPL) - Enter outlook'!E14,""))</f>
        <v>0</v>
      </c>
      <c r="F12" s="155">
        <f>IF(F$4&lt;=OutturnThrough,IF(ISNUMBER('Step 2 - Update outturn data'!G12),'Step 2 - Update outturn data'!G12,""),IF(ISNUMBER('Step 3 (IMPL) - Enter outlook'!F14),'Step 3 (IMPL) - Enter outlook'!F14,""))</f>
        <v>0</v>
      </c>
      <c r="G12" s="155" t="str">
        <f>IF(G$4&lt;=OutturnThrough,IF(ISNUMBER('Step 2 - Update outturn data'!H12),'Step 2 - Update outturn data'!H12,""),IF(ISNUMBER('Step 3 (IMPL) - Enter outlook'!G14),'Step 3 (IMPL) - Enter outlook'!G14,""))</f>
        <v/>
      </c>
      <c r="H12" s="155" t="str">
        <f>IF(H$4&lt;=OutturnThrough,IF(ISNUMBER('Step 2 - Update outturn data'!I12),'Step 2 - Update outturn data'!I12,""),IF(ISNUMBER('Step 3 (IMPL) - Enter outlook'!H14),'Step 3 (IMPL) - Enter outlook'!H14,""))</f>
        <v/>
      </c>
      <c r="I12" s="155" t="str">
        <f>IF(I$4&lt;=OutturnThrough,IF(ISNUMBER('Step 2 - Update outturn data'!J12),'Step 2 - Update outturn data'!J12,""),IF(ISNUMBER('Step 3 (IMPL) - Enter outlook'!I14),'Step 3 (IMPL) - Enter outlook'!I14,""))</f>
        <v/>
      </c>
      <c r="J12" s="155" t="str">
        <f>IF(J$4&lt;=OutturnThrough,IF(ISNUMBER('Step 2 - Update outturn data'!K12),'Step 2 - Update outturn data'!K12,""),IF(ISNUMBER('Step 3 (IMPL) - Enter outlook'!J14),'Step 3 (IMPL) - Enter outlook'!J14,""))</f>
        <v/>
      </c>
      <c r="K12" s="155" t="str">
        <f>IF(K$4&lt;=OutturnThrough,IF(ISNUMBER('Step 2 - Update outturn data'!L12),'Step 2 - Update outturn data'!L12,""),IF(ISNUMBER('Step 3 (IMPL) - Enter outlook'!K14),'Step 3 (IMPL) - Enter outlook'!K14,""))</f>
        <v/>
      </c>
      <c r="L12" s="69"/>
      <c r="M12" s="69"/>
      <c r="N12" s="62"/>
      <c r="O12" s="62"/>
      <c r="P12" s="62"/>
      <c r="Q12" s="62"/>
      <c r="R12" s="62"/>
      <c r="S12" s="62"/>
      <c r="T12" s="62"/>
      <c r="U12" s="62"/>
      <c r="V12" s="62"/>
      <c r="W12" s="62"/>
    </row>
    <row r="13" spans="2:23" customFormat="1" ht="14.65" customHeight="1" x14ac:dyDescent="0.4">
      <c r="B13" s="59" t="s">
        <v>596</v>
      </c>
      <c r="C13" s="44" t="s">
        <v>6</v>
      </c>
      <c r="D13" s="155">
        <f>IF(D$4&lt;=OutturnThrough,IF(ISNUMBER('Step 2 - Update outturn data'!E13),'Step 2 - Update outturn data'!E13,""),IF(ISNUMBER('Step 3 (IMPL) - Enter outlook'!D15),'Step 3 (IMPL) - Enter outlook'!D15,""))</f>
        <v>0</v>
      </c>
      <c r="E13" s="155">
        <f>IF(E$4&lt;=OutturnThrough,IF(ISNUMBER('Step 2 - Update outturn data'!F13),'Step 2 - Update outturn data'!F13,""),IF(ISNUMBER('Step 3 (IMPL) - Enter outlook'!E15),'Step 3 (IMPL) - Enter outlook'!E15,""))</f>
        <v>0</v>
      </c>
      <c r="F13" s="155">
        <f>IF(F$4&lt;=OutturnThrough,IF(ISNUMBER('Step 2 - Update outturn data'!G13),'Step 2 - Update outturn data'!G13,""),IF(ISNUMBER('Step 3 (IMPL) - Enter outlook'!F15),'Step 3 (IMPL) - Enter outlook'!F15,""))</f>
        <v>0</v>
      </c>
      <c r="G13" s="155" t="str">
        <f>IF(G$4&lt;=OutturnThrough,IF(ISNUMBER('Step 2 - Update outturn data'!H13),'Step 2 - Update outturn data'!H13,""),IF(ISNUMBER('Step 3 (IMPL) - Enter outlook'!G15),'Step 3 (IMPL) - Enter outlook'!G15,""))</f>
        <v/>
      </c>
      <c r="H13" s="155" t="str">
        <f>IF(H$4&lt;=OutturnThrough,IF(ISNUMBER('Step 2 - Update outturn data'!I13),'Step 2 - Update outturn data'!I13,""),IF(ISNUMBER('Step 3 (IMPL) - Enter outlook'!H15),'Step 3 (IMPL) - Enter outlook'!H15,""))</f>
        <v/>
      </c>
      <c r="I13" s="155" t="str">
        <f>IF(I$4&lt;=OutturnThrough,IF(ISNUMBER('Step 2 - Update outturn data'!J13),'Step 2 - Update outturn data'!J13,""),IF(ISNUMBER('Step 3 (IMPL) - Enter outlook'!I15),'Step 3 (IMPL) - Enter outlook'!I15,""))</f>
        <v/>
      </c>
      <c r="J13" s="155" t="str">
        <f>IF(J$4&lt;=OutturnThrough,IF(ISNUMBER('Step 2 - Update outturn data'!K13),'Step 2 - Update outturn data'!K13,""),IF(ISNUMBER('Step 3 (IMPL) - Enter outlook'!J15),'Step 3 (IMPL) - Enter outlook'!J15,""))</f>
        <v/>
      </c>
      <c r="K13" s="155" t="str">
        <f>IF(K$4&lt;=OutturnThrough,IF(ISNUMBER('Step 2 - Update outturn data'!L13),'Step 2 - Update outturn data'!L13,""),IF(ISNUMBER('Step 3 (IMPL) - Enter outlook'!K15),'Step 3 (IMPL) - Enter outlook'!K15,""))</f>
        <v/>
      </c>
      <c r="L13" s="69"/>
      <c r="M13" s="69"/>
      <c r="N13" s="62"/>
      <c r="O13" s="62"/>
      <c r="P13" s="62"/>
      <c r="Q13" s="62"/>
      <c r="R13" s="62"/>
      <c r="S13" s="62"/>
      <c r="T13" s="62"/>
      <c r="U13" s="62"/>
      <c r="V13" s="62"/>
      <c r="W13" s="62"/>
    </row>
    <row r="14" spans="2:23" customFormat="1" ht="14.65" customHeight="1" x14ac:dyDescent="0.4">
      <c r="B14" s="59" t="s">
        <v>598</v>
      </c>
      <c r="C14" s="44" t="s">
        <v>6</v>
      </c>
      <c r="D14" s="155">
        <f>IF(D$4&lt;=OutturnThrough,IF(ISNUMBER('Step 2 - Update outturn data'!E14),'Step 2 - Update outturn data'!E14,""),IF(ISNUMBER('Step 3 (IMPL) - Enter outlook'!D16),'Step 3 (IMPL) - Enter outlook'!D16,""))</f>
        <v>0</v>
      </c>
      <c r="E14" s="155">
        <f>IF(E$4&lt;=OutturnThrough,IF(ISNUMBER('Step 2 - Update outturn data'!F14),'Step 2 - Update outturn data'!F14,""),IF(ISNUMBER('Step 3 (IMPL) - Enter outlook'!E16),'Step 3 (IMPL) - Enter outlook'!E16,""))</f>
        <v>0</v>
      </c>
      <c r="F14" s="155">
        <f>IF(F$4&lt;=OutturnThrough,IF(ISNUMBER('Step 2 - Update outturn data'!G14),'Step 2 - Update outturn data'!G14,""),IF(ISNUMBER('Step 3 (IMPL) - Enter outlook'!F16),'Step 3 (IMPL) - Enter outlook'!F16,""))</f>
        <v>0</v>
      </c>
      <c r="G14" s="155" t="str">
        <f>IF(G$4&lt;=OutturnThrough,IF(ISNUMBER('Step 2 - Update outturn data'!H14),'Step 2 - Update outturn data'!H14,""),IF(ISNUMBER('Step 3 (IMPL) - Enter outlook'!G16),'Step 3 (IMPL) - Enter outlook'!G16,""))</f>
        <v/>
      </c>
      <c r="H14" s="155" t="str">
        <f>IF(H$4&lt;=OutturnThrough,IF(ISNUMBER('Step 2 - Update outturn data'!I14),'Step 2 - Update outturn data'!I14,""),IF(ISNUMBER('Step 3 (IMPL) - Enter outlook'!H16),'Step 3 (IMPL) - Enter outlook'!H16,""))</f>
        <v/>
      </c>
      <c r="I14" s="155" t="str">
        <f>IF(I$4&lt;=OutturnThrough,IF(ISNUMBER('Step 2 - Update outturn data'!J14),'Step 2 - Update outturn data'!J14,""),IF(ISNUMBER('Step 3 (IMPL) - Enter outlook'!I16),'Step 3 (IMPL) - Enter outlook'!I16,""))</f>
        <v/>
      </c>
      <c r="J14" s="155" t="str">
        <f>IF(J$4&lt;=OutturnThrough,IF(ISNUMBER('Step 2 - Update outturn data'!K14),'Step 2 - Update outturn data'!K14,""),IF(ISNUMBER('Step 3 (IMPL) - Enter outlook'!J16),'Step 3 (IMPL) - Enter outlook'!J16,""))</f>
        <v/>
      </c>
      <c r="K14" s="155" t="str">
        <f>IF(K$4&lt;=OutturnThrough,IF(ISNUMBER('Step 2 - Update outturn data'!L14),'Step 2 - Update outturn data'!L14,""),IF(ISNUMBER('Step 3 (IMPL) - Enter outlook'!K16),'Step 3 (IMPL) - Enter outlook'!K16,""))</f>
        <v/>
      </c>
      <c r="L14" s="69"/>
      <c r="M14" s="69"/>
      <c r="N14" s="62"/>
      <c r="O14" s="62"/>
      <c r="P14" s="62"/>
      <c r="Q14" s="62"/>
      <c r="R14" s="62"/>
      <c r="S14" s="62"/>
      <c r="T14" s="62"/>
      <c r="U14" s="62"/>
      <c r="V14" s="62"/>
      <c r="W14" s="62"/>
    </row>
    <row r="15" spans="2:23" customFormat="1" ht="20.25" customHeight="1" x14ac:dyDescent="0.4">
      <c r="B15" s="59" t="s">
        <v>309</v>
      </c>
      <c r="C15" s="44" t="s">
        <v>634</v>
      </c>
      <c r="D15" s="155" t="str">
        <f>IF(D$4&lt;=OutturnThrough,IF(ISNUMBER('Step 2 - Update outturn data'!E15),'Step 2 - Update outturn data'!E15,""),IF(ISNUMBER('Step 3 (IMPL) - Enter outlook'!D17),'Step 3 (IMPL) - Enter outlook'!D17,""))</f>
        <v/>
      </c>
      <c r="E15" s="155" t="str">
        <f>IF(E$4&lt;=OutturnThrough,IF(ISNUMBER('Step 2 - Update outturn data'!F15),'Step 2 - Update outturn data'!F15,""),IF(ISNUMBER('Step 3 (IMPL) - Enter outlook'!E17),'Step 3 (IMPL) - Enter outlook'!E17,""))</f>
        <v/>
      </c>
      <c r="F15" s="155" t="str">
        <f>IF(F$4&lt;=OutturnThrough,IF(ISNUMBER('Step 2 - Update outturn data'!G15),'Step 2 - Update outturn data'!G15,""),IF(ISNUMBER('Step 3 (IMPL) - Enter outlook'!F17),'Step 3 (IMPL) - Enter outlook'!F17,""))</f>
        <v/>
      </c>
      <c r="G15" s="155" t="str">
        <f>IF(G$4&lt;=OutturnThrough,IF(ISNUMBER('Step 2 - Update outturn data'!H15),'Step 2 - Update outturn data'!H15,""),IF(ISNUMBER('Step 3 (IMPL) - Enter outlook'!G17),'Step 3 (IMPL) - Enter outlook'!G17,""))</f>
        <v/>
      </c>
      <c r="H15" s="155" t="str">
        <f>IF(H$4&lt;=OutturnThrough,IF(ISNUMBER('Step 2 - Update outturn data'!I15),'Step 2 - Update outturn data'!I15,""),IF(ISNUMBER('Step 3 (IMPL) - Enter outlook'!H17),'Step 3 (IMPL) - Enter outlook'!H17,""))</f>
        <v/>
      </c>
      <c r="I15" s="155" t="str">
        <f>IF(I$4&lt;=OutturnThrough,IF(ISNUMBER('Step 2 - Update outturn data'!J15),'Step 2 - Update outturn data'!J15,""),IF(ISNUMBER('Step 3 (IMPL) - Enter outlook'!I17),'Step 3 (IMPL) - Enter outlook'!I17,""))</f>
        <v/>
      </c>
      <c r="J15" s="155" t="str">
        <f>IF(J$4&lt;=OutturnThrough,IF(ISNUMBER('Step 2 - Update outturn data'!K15),'Step 2 - Update outturn data'!K15,""),IF(ISNUMBER('Step 3 (IMPL) - Enter outlook'!J17),'Step 3 (IMPL) - Enter outlook'!J17,""))</f>
        <v/>
      </c>
      <c r="K15" s="155" t="str">
        <f>IF(K$4&lt;=OutturnThrough,IF(ISNUMBER('Step 2 - Update outturn data'!L15),'Step 2 - Update outturn data'!L15,""),IF(ISNUMBER('Step 3 (IMPL) - Enter outlook'!K17),'Step 3 (IMPL) - Enter outlook'!K17,""))</f>
        <v/>
      </c>
      <c r="L15" s="155"/>
      <c r="M15" s="69"/>
      <c r="N15" s="62"/>
      <c r="O15" s="62"/>
      <c r="P15" s="62"/>
      <c r="Q15" s="62"/>
      <c r="R15" s="62"/>
      <c r="S15" s="62"/>
      <c r="T15" s="62"/>
      <c r="U15" s="62"/>
      <c r="V15" s="62"/>
      <c r="W15" s="62"/>
    </row>
    <row r="16" spans="2:23" customFormat="1" ht="14.65" customHeight="1" x14ac:dyDescent="0.4">
      <c r="B16" s="59" t="s">
        <v>308</v>
      </c>
      <c r="C16" s="44" t="s">
        <v>634</v>
      </c>
      <c r="D16" s="155" t="str">
        <f>IF(D$4&lt;=OutturnThrough,IF(ISNUMBER('Step 2 - Update outturn data'!E16),'Step 2 - Update outturn data'!E16,""),IF(ISNUMBER('Step 3 (IMPL) - Enter outlook'!D18),'Step 3 (IMPL) - Enter outlook'!D18,""))</f>
        <v/>
      </c>
      <c r="E16" s="155">
        <f>IF(E$4&lt;=OutturnThrough,IF(ISNUMBER('Step 2 - Update outturn data'!F16),'Step 2 - Update outturn data'!F16,""),IF(ISNUMBER('Step 3 (IMPL) - Enter outlook'!E18),'Step 3 (IMPL) - Enter outlook'!E18,""))</f>
        <v>0</v>
      </c>
      <c r="F16" s="155">
        <f>IF(F$4&lt;=OutturnThrough,IF(ISNUMBER('Step 2 - Update outturn data'!G16),'Step 2 - Update outturn data'!G16,""),IF(ISNUMBER('Step 3 (IMPL) - Enter outlook'!F18),'Step 3 (IMPL) - Enter outlook'!F18,""))</f>
        <v>0</v>
      </c>
      <c r="G16" s="155" t="str">
        <f>IF(G$4&lt;=OutturnThrough,IF(ISNUMBER('Step 2 - Update outturn data'!H16),'Step 2 - Update outturn data'!H16,""),IF(ISNUMBER('Step 3 (IMPL) - Enter outlook'!G18),'Step 3 (IMPL) - Enter outlook'!G18,""))</f>
        <v/>
      </c>
      <c r="H16" s="155" t="str">
        <f>IF(H$4&lt;=OutturnThrough,IF(ISNUMBER('Step 2 - Update outturn data'!I16),'Step 2 - Update outturn data'!I16,""),IF(ISNUMBER('Step 3 (IMPL) - Enter outlook'!H18),'Step 3 (IMPL) - Enter outlook'!H18,""))</f>
        <v/>
      </c>
      <c r="I16" s="155" t="str">
        <f>IF(I$4&lt;=OutturnThrough,IF(ISNUMBER('Step 2 - Update outturn data'!J16),'Step 2 - Update outturn data'!J16,""),IF(ISNUMBER('Step 3 (IMPL) - Enter outlook'!I18),'Step 3 (IMPL) - Enter outlook'!I18,""))</f>
        <v/>
      </c>
      <c r="J16" s="155" t="str">
        <f>IF(J$4&lt;=OutturnThrough,IF(ISNUMBER('Step 2 - Update outturn data'!K16),'Step 2 - Update outturn data'!K16,""),IF(ISNUMBER('Step 3 (IMPL) - Enter outlook'!J18),'Step 3 (IMPL) - Enter outlook'!J18,""))</f>
        <v/>
      </c>
      <c r="K16" s="155" t="str">
        <f>IF(K$4&lt;=OutturnThrough,IF(ISNUMBER('Step 2 - Update outturn data'!L16),'Step 2 - Update outturn data'!L16,""),IF(ISNUMBER('Step 3 (IMPL) - Enter outlook'!K18),'Step 3 (IMPL) - Enter outlook'!K18,""))</f>
        <v/>
      </c>
      <c r="L16" s="69"/>
      <c r="M16" s="69"/>
      <c r="N16" s="62"/>
      <c r="O16" s="62"/>
      <c r="P16" s="62"/>
      <c r="Q16" s="62"/>
      <c r="R16" s="62"/>
      <c r="S16" s="62"/>
      <c r="T16" s="62"/>
      <c r="U16" s="62"/>
      <c r="V16" s="62"/>
      <c r="W16" s="62"/>
    </row>
    <row r="17" spans="2:23" customFormat="1" ht="20.25" customHeight="1" x14ac:dyDescent="0.4">
      <c r="B17" s="55" t="s">
        <v>206</v>
      </c>
      <c r="C17" s="44" t="s">
        <v>603</v>
      </c>
      <c r="D17" s="155" t="str">
        <f>IF(D$4&lt;=OutturnThrough,IF(ISNUMBER('Step 2 - Update outturn data'!E17),'Step 2 - Update outturn data'!E17,""),IF(ISNUMBER('Step 3 (IMPL) - Enter outlook'!D19),'Step 3 (IMPL) - Enter outlook'!D19,""))</f>
        <v/>
      </c>
      <c r="E17" s="155" t="str">
        <f>IF(E$4&lt;=OutturnThrough,IF(ISNUMBER('Step 2 - Update outturn data'!F17),'Step 2 - Update outturn data'!F17,""),IF(ISNUMBER('Step 3 (IMPL) - Enter outlook'!E19),'Step 3 (IMPL) - Enter outlook'!E19,""))</f>
        <v/>
      </c>
      <c r="F17" s="155" t="str">
        <f>IF(F$4&lt;=OutturnThrough,IF(ISNUMBER('Step 2 - Update outturn data'!G17),'Step 2 - Update outturn data'!G17,""),IF(ISNUMBER('Step 3 (IMPL) - Enter outlook'!F19),'Step 3 (IMPL) - Enter outlook'!F19,""))</f>
        <v/>
      </c>
      <c r="G17" s="155" t="str">
        <f>IF(G$4&lt;=OutturnThrough,IF(ISNUMBER('Step 2 - Update outturn data'!H17),'Step 2 - Update outturn data'!H17,""),IF(ISNUMBER('Step 3 (IMPL) - Enter outlook'!G19),'Step 3 (IMPL) - Enter outlook'!G19,""))</f>
        <v/>
      </c>
      <c r="H17" s="155" t="str">
        <f>IF(H$4&lt;=OutturnThrough,IF(ISNUMBER('Step 2 - Update outturn data'!I17),'Step 2 - Update outturn data'!I17,""),IF(ISNUMBER('Step 3 (IMPL) - Enter outlook'!H19),'Step 3 (IMPL) - Enter outlook'!H19,""))</f>
        <v/>
      </c>
      <c r="I17" s="155" t="str">
        <f>IF(I$4&lt;=OutturnThrough,IF(ISNUMBER('Step 2 - Update outturn data'!J17),'Step 2 - Update outturn data'!J17,""),IF(ISNUMBER('Step 3 (IMPL) - Enter outlook'!I19),'Step 3 (IMPL) - Enter outlook'!I19,""))</f>
        <v/>
      </c>
      <c r="J17" s="155" t="str">
        <f>IF(J$4&lt;=OutturnThrough,IF(ISNUMBER('Step 2 - Update outturn data'!K17),'Step 2 - Update outturn data'!K17,""),IF(ISNUMBER('Step 3 (IMPL) - Enter outlook'!J19),'Step 3 (IMPL) - Enter outlook'!J19,""))</f>
        <v/>
      </c>
      <c r="K17" s="155" t="str">
        <f>IF(K$4&lt;=OutturnThrough,IF(ISNUMBER('Step 2 - Update outturn data'!L17),'Step 2 - Update outturn data'!L17,""),IF(ISNUMBER('Step 3 (IMPL) - Enter outlook'!K19),'Step 3 (IMPL) - Enter outlook'!K19,""))</f>
        <v/>
      </c>
      <c r="L17" s="69"/>
      <c r="M17" s="69"/>
      <c r="N17" s="62"/>
      <c r="O17" s="62"/>
      <c r="P17" s="62"/>
      <c r="Q17" s="62"/>
      <c r="R17" s="62"/>
      <c r="S17" s="62"/>
      <c r="T17" s="62"/>
      <c r="U17" s="62"/>
      <c r="V17" s="62"/>
      <c r="W17" s="62"/>
    </row>
    <row r="18" spans="2:23" customFormat="1" ht="14.65" customHeight="1" x14ac:dyDescent="0.4">
      <c r="B18" s="55" t="s">
        <v>0</v>
      </c>
      <c r="C18" s="44" t="s">
        <v>603</v>
      </c>
      <c r="D18" s="155">
        <f>IF(D$4&lt;=OutturnThrough,IF(ISNUMBER('Step 2 - Update outturn data'!E18),'Step 2 - Update outturn data'!E18,""),IF(ISNUMBER('Step 3 (IMPL) - Enter outlook'!D20),'Step 3 (IMPL) - Enter outlook'!D20,""))</f>
        <v>0</v>
      </c>
      <c r="E18" s="155">
        <f>IF(E$4&lt;=OutturnThrough,IF(ISNUMBER('Step 2 - Update outturn data'!F18),'Step 2 - Update outturn data'!F18,""),IF(ISNUMBER('Step 3 (IMPL) - Enter outlook'!E20),'Step 3 (IMPL) - Enter outlook'!E20,""))</f>
        <v>0</v>
      </c>
      <c r="F18" s="155">
        <f>IF(F$4&lt;=OutturnThrough,IF(ISNUMBER('Step 2 - Update outturn data'!G18),'Step 2 - Update outturn data'!G18,""),IF(ISNUMBER('Step 3 (IMPL) - Enter outlook'!F20),'Step 3 (IMPL) - Enter outlook'!F20,""))</f>
        <v>0</v>
      </c>
      <c r="G18" s="155" t="str">
        <f>IF(G$4&lt;=OutturnThrough,IF(ISNUMBER('Step 2 - Update outturn data'!H18),'Step 2 - Update outturn data'!H18,""),IF(ISNUMBER('Step 3 (IMPL) - Enter outlook'!G20),'Step 3 (IMPL) - Enter outlook'!G20,""))</f>
        <v/>
      </c>
      <c r="H18" s="155" t="str">
        <f>IF(H$4&lt;=OutturnThrough,IF(ISNUMBER('Step 2 - Update outturn data'!I18),'Step 2 - Update outturn data'!I18,""),IF(ISNUMBER('Step 3 (IMPL) - Enter outlook'!H20),'Step 3 (IMPL) - Enter outlook'!H20,""))</f>
        <v/>
      </c>
      <c r="I18" s="155" t="str">
        <f>IF(I$4&lt;=OutturnThrough,IF(ISNUMBER('Step 2 - Update outturn data'!J18),'Step 2 - Update outturn data'!J18,""),IF(ISNUMBER('Step 3 (IMPL) - Enter outlook'!I20),'Step 3 (IMPL) - Enter outlook'!I20,""))</f>
        <v/>
      </c>
      <c r="J18" s="155" t="str">
        <f>IF(J$4&lt;=OutturnThrough,IF(ISNUMBER('Step 2 - Update outturn data'!K18),'Step 2 - Update outturn data'!K18,""),IF(ISNUMBER('Step 3 (IMPL) - Enter outlook'!J20),'Step 3 (IMPL) - Enter outlook'!J20,""))</f>
        <v/>
      </c>
      <c r="K18" s="155" t="str">
        <f>IF(K$4&lt;=OutturnThrough,IF(ISNUMBER('Step 2 - Update outturn data'!L18),'Step 2 - Update outturn data'!L18,""),IF(ISNUMBER('Step 3 (IMPL) - Enter outlook'!K20),'Step 3 (IMPL) - Enter outlook'!K20,""))</f>
        <v/>
      </c>
      <c r="L18" s="69"/>
      <c r="M18" s="69"/>
      <c r="N18" s="62"/>
      <c r="O18" s="62"/>
      <c r="P18" s="62"/>
      <c r="Q18" s="62"/>
      <c r="R18" s="62"/>
      <c r="S18" s="62"/>
      <c r="T18" s="62"/>
      <c r="U18" s="62"/>
      <c r="V18" s="62"/>
      <c r="W18" s="62"/>
    </row>
    <row r="19" spans="2:23" customFormat="1" ht="14.65" customHeight="1" x14ac:dyDescent="0.4">
      <c r="B19" s="55" t="s">
        <v>3</v>
      </c>
      <c r="C19" s="44" t="s">
        <v>603</v>
      </c>
      <c r="D19" s="155">
        <f>IF(D$4&lt;=OutturnThrough,IF(ISNUMBER('Step 2 - Update outturn data'!E19),'Step 2 - Update outturn data'!E19,""),IF(ISNUMBER('Step 3 (IMPL) - Enter outlook'!D21),'Step 3 (IMPL) - Enter outlook'!D21,""))</f>
        <v>0</v>
      </c>
      <c r="E19" s="155">
        <f>IF(E$4&lt;=OutturnThrough,IF(ISNUMBER('Step 2 - Update outturn data'!F19),'Step 2 - Update outturn data'!F19,""),IF(ISNUMBER('Step 3 (IMPL) - Enter outlook'!E21),'Step 3 (IMPL) - Enter outlook'!E21,""))</f>
        <v>0</v>
      </c>
      <c r="F19" s="155">
        <f>IF(F$4&lt;=OutturnThrough,IF(ISNUMBER('Step 2 - Update outturn data'!G19),'Step 2 - Update outturn data'!G19,""),IF(ISNUMBER('Step 3 (IMPL) - Enter outlook'!F21),'Step 3 (IMPL) - Enter outlook'!F21,""))</f>
        <v>0</v>
      </c>
      <c r="G19" s="155" t="str">
        <f>IF(G$4&lt;=OutturnThrough,IF(ISNUMBER('Step 2 - Update outturn data'!H19),'Step 2 - Update outturn data'!H19,""),IF(ISNUMBER('Step 3 (IMPL) - Enter outlook'!G21),'Step 3 (IMPL) - Enter outlook'!G21,""))</f>
        <v/>
      </c>
      <c r="H19" s="155" t="str">
        <f>IF(H$4&lt;=OutturnThrough,IF(ISNUMBER('Step 2 - Update outturn data'!I19),'Step 2 - Update outturn data'!I19,""),IF(ISNUMBER('Step 3 (IMPL) - Enter outlook'!H21),'Step 3 (IMPL) - Enter outlook'!H21,""))</f>
        <v/>
      </c>
      <c r="I19" s="155" t="str">
        <f>IF(I$4&lt;=OutturnThrough,IF(ISNUMBER('Step 2 - Update outturn data'!J19),'Step 2 - Update outturn data'!J19,""),IF(ISNUMBER('Step 3 (IMPL) - Enter outlook'!I21),'Step 3 (IMPL) - Enter outlook'!I21,""))</f>
        <v/>
      </c>
      <c r="J19" s="155" t="str">
        <f>IF(J$4&lt;=OutturnThrough,IF(ISNUMBER('Step 2 - Update outturn data'!K19),'Step 2 - Update outturn data'!K19,""),IF(ISNUMBER('Step 3 (IMPL) - Enter outlook'!J21),'Step 3 (IMPL) - Enter outlook'!J21,""))</f>
        <v/>
      </c>
      <c r="K19" s="155" t="str">
        <f>IF(K$4&lt;=OutturnThrough,IF(ISNUMBER('Step 2 - Update outturn data'!L19),'Step 2 - Update outturn data'!L19,""),IF(ISNUMBER('Step 3 (IMPL) - Enter outlook'!K21),'Step 3 (IMPL) - Enter outlook'!K21,""))</f>
        <v/>
      </c>
      <c r="L19" s="69"/>
      <c r="M19" s="69"/>
      <c r="N19" s="62"/>
      <c r="O19" s="62"/>
      <c r="P19" s="62"/>
      <c r="Q19" s="62"/>
      <c r="R19" s="62"/>
      <c r="S19" s="62"/>
      <c r="T19" s="62"/>
      <c r="U19" s="62"/>
      <c r="V19" s="62"/>
      <c r="W19" s="62"/>
    </row>
    <row r="20" spans="2:23" customFormat="1" ht="14.65" customHeight="1" x14ac:dyDescent="0.4">
      <c r="B20" s="55" t="s">
        <v>1</v>
      </c>
      <c r="C20" s="44" t="s">
        <v>603</v>
      </c>
      <c r="D20" s="155" t="str">
        <f>IF(D$4&lt;=OutturnThrough,IF(ISNUMBER('Step 2 - Update outturn data'!E20),'Step 2 - Update outturn data'!E20,""),IF(ISNUMBER('Step 3 (IMPL) - Enter outlook'!D22),'Step 3 (IMPL) - Enter outlook'!D22,""))</f>
        <v/>
      </c>
      <c r="E20" s="155" t="str">
        <f>IF(E$4&lt;=OutturnThrough,IF(ISNUMBER('Step 2 - Update outturn data'!F20),'Step 2 - Update outturn data'!F20,""),IF(ISNUMBER('Step 3 (IMPL) - Enter outlook'!E22),'Step 3 (IMPL) - Enter outlook'!E22,""))</f>
        <v/>
      </c>
      <c r="F20" s="155" t="str">
        <f>IF(F$4&lt;=OutturnThrough,IF(ISNUMBER('Step 2 - Update outturn data'!G20),'Step 2 - Update outturn data'!G20,""),IF(ISNUMBER('Step 3 (IMPL) - Enter outlook'!F22),'Step 3 (IMPL) - Enter outlook'!F22,""))</f>
        <v/>
      </c>
      <c r="G20" s="155" t="str">
        <f>IF(G$4&lt;=OutturnThrough,IF(ISNUMBER('Step 2 - Update outturn data'!H20),'Step 2 - Update outturn data'!H20,""),IF(ISNUMBER('Step 3 (IMPL) - Enter outlook'!G22),'Step 3 (IMPL) - Enter outlook'!G22,""))</f>
        <v/>
      </c>
      <c r="H20" s="155" t="str">
        <f>IF(H$4&lt;=OutturnThrough,IF(ISNUMBER('Step 2 - Update outturn data'!I20),'Step 2 - Update outturn data'!I20,""),IF(ISNUMBER('Step 3 (IMPL) - Enter outlook'!H22),'Step 3 (IMPL) - Enter outlook'!H22,""))</f>
        <v/>
      </c>
      <c r="I20" s="155" t="str">
        <f>IF(I$4&lt;=OutturnThrough,IF(ISNUMBER('Step 2 - Update outturn data'!J20),'Step 2 - Update outturn data'!J20,""),IF(ISNUMBER('Step 3 (IMPL) - Enter outlook'!I22),'Step 3 (IMPL) - Enter outlook'!I22,""))</f>
        <v/>
      </c>
      <c r="J20" s="155" t="str">
        <f>IF(J$4&lt;=OutturnThrough,IF(ISNUMBER('Step 2 - Update outturn data'!K20),'Step 2 - Update outturn data'!K20,""),IF(ISNUMBER('Step 3 (IMPL) - Enter outlook'!J22),'Step 3 (IMPL) - Enter outlook'!J22,""))</f>
        <v/>
      </c>
      <c r="K20" s="155" t="str">
        <f>IF(K$4&lt;=OutturnThrough,IF(ISNUMBER('Step 2 - Update outturn data'!L20),'Step 2 - Update outturn data'!L20,""),IF(ISNUMBER('Step 3 (IMPL) - Enter outlook'!K22),'Step 3 (IMPL) - Enter outlook'!K22,""))</f>
        <v/>
      </c>
      <c r="L20" s="69"/>
      <c r="M20" s="69"/>
      <c r="N20" s="62"/>
      <c r="O20" s="62"/>
      <c r="P20" s="62"/>
      <c r="Q20" s="62"/>
      <c r="R20" s="62"/>
      <c r="S20" s="62"/>
      <c r="T20" s="62"/>
      <c r="U20" s="62"/>
      <c r="V20" s="62"/>
      <c r="W20" s="62"/>
    </row>
    <row r="21" spans="2:23" customFormat="1" ht="14.65" customHeight="1" x14ac:dyDescent="0.4">
      <c r="B21" s="55" t="s">
        <v>2</v>
      </c>
      <c r="C21" s="44" t="s">
        <v>603</v>
      </c>
      <c r="D21" s="155" t="str">
        <f>IF(D$4&lt;=OutturnThrough,IF(ISNUMBER('Step 2 - Update outturn data'!E21),'Step 2 - Update outturn data'!E21,""),IF(ISNUMBER('Step 3 (IMPL) - Enter outlook'!D23),'Step 3 (IMPL) - Enter outlook'!D23,""))</f>
        <v/>
      </c>
      <c r="E21" s="155" t="str">
        <f>IF(E$4&lt;=OutturnThrough,IF(ISNUMBER('Step 2 - Update outturn data'!F21),'Step 2 - Update outturn data'!F21,""),IF(ISNUMBER('Step 3 (IMPL) - Enter outlook'!E23),'Step 3 (IMPL) - Enter outlook'!E23,""))</f>
        <v/>
      </c>
      <c r="F21" s="155" t="str">
        <f>IF(F$4&lt;=OutturnThrough,IF(ISNUMBER('Step 2 - Update outturn data'!G21),'Step 2 - Update outturn data'!G21,""),IF(ISNUMBER('Step 3 (IMPL) - Enter outlook'!F23),'Step 3 (IMPL) - Enter outlook'!F23,""))</f>
        <v/>
      </c>
      <c r="G21" s="155" t="str">
        <f>IF(G$4&lt;=OutturnThrough,IF(ISNUMBER('Step 2 - Update outturn data'!H21),'Step 2 - Update outturn data'!H21,""),IF(ISNUMBER('Step 3 (IMPL) - Enter outlook'!G23),'Step 3 (IMPL) - Enter outlook'!G23,""))</f>
        <v/>
      </c>
      <c r="H21" s="155" t="str">
        <f>IF(H$4&lt;=OutturnThrough,IF(ISNUMBER('Step 2 - Update outturn data'!I21),'Step 2 - Update outturn data'!I21,""),IF(ISNUMBER('Step 3 (IMPL) - Enter outlook'!H23),'Step 3 (IMPL) - Enter outlook'!H23,""))</f>
        <v/>
      </c>
      <c r="I21" s="155" t="str">
        <f>IF(I$4&lt;=OutturnThrough,IF(ISNUMBER('Step 2 - Update outturn data'!J21),'Step 2 - Update outturn data'!J21,""),IF(ISNUMBER('Step 3 (IMPL) - Enter outlook'!I23),'Step 3 (IMPL) - Enter outlook'!I23,""))</f>
        <v/>
      </c>
      <c r="J21" s="155" t="str">
        <f>IF(J$4&lt;=OutturnThrough,IF(ISNUMBER('Step 2 - Update outturn data'!K21),'Step 2 - Update outturn data'!K21,""),IF(ISNUMBER('Step 3 (IMPL) - Enter outlook'!J23),'Step 3 (IMPL) - Enter outlook'!J23,""))</f>
        <v/>
      </c>
      <c r="K21" s="155" t="str">
        <f>IF(K$4&lt;=OutturnThrough,IF(ISNUMBER('Step 2 - Update outturn data'!L21),'Step 2 - Update outturn data'!L21,""),IF(ISNUMBER('Step 3 (IMPL) - Enter outlook'!K23),'Step 3 (IMPL) - Enter outlook'!K23,""))</f>
        <v/>
      </c>
      <c r="L21" s="69"/>
      <c r="M21" s="69"/>
      <c r="N21" s="62"/>
      <c r="O21" s="62"/>
      <c r="P21" s="62"/>
      <c r="Q21" s="62"/>
      <c r="R21" s="62"/>
      <c r="S21" s="62"/>
      <c r="T21" s="62"/>
      <c r="U21" s="62"/>
      <c r="V21" s="62"/>
      <c r="W21" s="62"/>
    </row>
    <row r="22" spans="2:23" customFormat="1" ht="20.25" customHeight="1" x14ac:dyDescent="0.4">
      <c r="B22" s="55" t="s">
        <v>280</v>
      </c>
      <c r="C22" s="44" t="s">
        <v>633</v>
      </c>
      <c r="D22" s="155" t="str">
        <f>IF(D$4&lt;=OutturnThrough,IF(ISNUMBER('Step 2 - Update outturn data'!E22),'Step 2 - Update outturn data'!E22,""),IF(ISNUMBER('Step 3 (IMPL) - Enter outlook'!D24),'Step 3 (IMPL) - Enter outlook'!D24,""))</f>
        <v/>
      </c>
      <c r="E22" s="155" t="str">
        <f>IF(E$4&lt;=OutturnThrough,IF(ISNUMBER('Step 2 - Update outturn data'!F22),'Step 2 - Update outturn data'!F22,""),IF(ISNUMBER('Step 3 (IMPL) - Enter outlook'!E24),'Step 3 (IMPL) - Enter outlook'!E24,""))</f>
        <v/>
      </c>
      <c r="F22" s="155" t="str">
        <f>IF(F$4&lt;=OutturnThrough,IF(ISNUMBER('Step 2 - Update outturn data'!G22),'Step 2 - Update outturn data'!G22,""),IF(ISNUMBER('Step 3 (IMPL) - Enter outlook'!F24),'Step 3 (IMPL) - Enter outlook'!F24,""))</f>
        <v/>
      </c>
      <c r="G22" s="155" t="str">
        <f>IF(G$4&lt;=OutturnThrough,IF(ISNUMBER('Step 2 - Update outturn data'!H22),'Step 2 - Update outturn data'!H22,""),IF(ISNUMBER('Step 3 (IMPL) - Enter outlook'!G24),'Step 3 (IMPL) - Enter outlook'!G24,""))</f>
        <v/>
      </c>
      <c r="H22" s="155" t="str">
        <f>IF(H$4&lt;=OutturnThrough,IF(ISNUMBER('Step 2 - Update outturn data'!I22),'Step 2 - Update outturn data'!I22,""),IF(ISNUMBER('Step 3 (IMPL) - Enter outlook'!H24),'Step 3 (IMPL) - Enter outlook'!H24,""))</f>
        <v/>
      </c>
      <c r="I22" s="155" t="str">
        <f>IF(I$4&lt;=OutturnThrough,IF(ISNUMBER('Step 2 - Update outturn data'!J22),'Step 2 - Update outturn data'!J22,""),IF(ISNUMBER('Step 3 (IMPL) - Enter outlook'!I24),'Step 3 (IMPL) - Enter outlook'!I24,""))</f>
        <v/>
      </c>
      <c r="J22" s="155" t="str">
        <f>IF(J$4&lt;=OutturnThrough,IF(ISNUMBER('Step 2 - Update outturn data'!K22),'Step 2 - Update outturn data'!K22,""),IF(ISNUMBER('Step 3 (IMPL) - Enter outlook'!J24),'Step 3 (IMPL) - Enter outlook'!J24,""))</f>
        <v/>
      </c>
      <c r="K22" s="155" t="str">
        <f>IF(K$4&lt;=OutturnThrough,IF(ISNUMBER('Step 2 - Update outturn data'!L22),'Step 2 - Update outturn data'!L22,""),IF(ISNUMBER('Step 3 (IMPL) - Enter outlook'!K24),'Step 3 (IMPL) - Enter outlook'!K24,""))</f>
        <v/>
      </c>
      <c r="L22" s="69"/>
      <c r="M22" s="69"/>
      <c r="N22" s="62"/>
      <c r="O22" s="62"/>
      <c r="P22" s="62"/>
      <c r="Q22" s="62"/>
      <c r="R22" s="62"/>
      <c r="S22" s="62"/>
      <c r="T22" s="62"/>
      <c r="U22" s="62"/>
      <c r="V22" s="62"/>
      <c r="W22" s="62"/>
    </row>
    <row r="23" spans="2:23" customFormat="1" ht="14.65" customHeight="1" x14ac:dyDescent="0.4">
      <c r="B23" s="55" t="s">
        <v>281</v>
      </c>
      <c r="C23" s="44" t="s">
        <v>633</v>
      </c>
      <c r="D23" s="155" t="str">
        <f>IF(D$4&lt;=OutturnThrough,IF(ISNUMBER('Step 2 - Update outturn data'!E23),'Step 2 - Update outturn data'!E23,""),IF(ISNUMBER('Step 3 (IMPL) - Enter outlook'!D25),'Step 3 (IMPL) - Enter outlook'!D25,""))</f>
        <v/>
      </c>
      <c r="E23" s="155" t="str">
        <f>IF(E$4&lt;=OutturnThrough,IF(ISNUMBER('Step 2 - Update outturn data'!F23),'Step 2 - Update outturn data'!F23,""),IF(ISNUMBER('Step 3 (IMPL) - Enter outlook'!E25),'Step 3 (IMPL) - Enter outlook'!E25,""))</f>
        <v/>
      </c>
      <c r="F23" s="155" t="str">
        <f>IF(F$4&lt;=OutturnThrough,IF(ISNUMBER('Step 2 - Update outturn data'!G23),'Step 2 - Update outturn data'!G23,""),IF(ISNUMBER('Step 3 (IMPL) - Enter outlook'!F25),'Step 3 (IMPL) - Enter outlook'!F25,""))</f>
        <v/>
      </c>
      <c r="G23" s="155" t="str">
        <f>IF(G$4&lt;=OutturnThrough,IF(ISNUMBER('Step 2 - Update outturn data'!H23),'Step 2 - Update outturn data'!H23,""),IF(ISNUMBER('Step 3 (IMPL) - Enter outlook'!G25),'Step 3 (IMPL) - Enter outlook'!G25,""))</f>
        <v/>
      </c>
      <c r="H23" s="155" t="str">
        <f>IF(H$4&lt;=OutturnThrough,IF(ISNUMBER('Step 2 - Update outturn data'!I23),'Step 2 - Update outturn data'!I23,""),IF(ISNUMBER('Step 3 (IMPL) - Enter outlook'!H25),'Step 3 (IMPL) - Enter outlook'!H25,""))</f>
        <v/>
      </c>
      <c r="I23" s="155" t="str">
        <f>IF(I$4&lt;=OutturnThrough,IF(ISNUMBER('Step 2 - Update outturn data'!J23),'Step 2 - Update outturn data'!J23,""),IF(ISNUMBER('Step 3 (IMPL) - Enter outlook'!I25),'Step 3 (IMPL) - Enter outlook'!I25,""))</f>
        <v/>
      </c>
      <c r="J23" s="155" t="str">
        <f>IF(J$4&lt;=OutturnThrough,IF(ISNUMBER('Step 2 - Update outturn data'!K23),'Step 2 - Update outturn data'!K23,""),IF(ISNUMBER('Step 3 (IMPL) - Enter outlook'!J25),'Step 3 (IMPL) - Enter outlook'!J25,""))</f>
        <v/>
      </c>
      <c r="K23" s="155" t="str">
        <f>IF(K$4&lt;=OutturnThrough,IF(ISNUMBER('Step 2 - Update outturn data'!L23),'Step 2 - Update outturn data'!L23,""),IF(ISNUMBER('Step 3 (IMPL) - Enter outlook'!K25),'Step 3 (IMPL) - Enter outlook'!K25,""))</f>
        <v/>
      </c>
      <c r="L23" s="69"/>
      <c r="M23" s="69"/>
      <c r="N23" s="62"/>
      <c r="O23" s="62"/>
      <c r="P23" s="62"/>
      <c r="Q23" s="62"/>
      <c r="R23" s="62"/>
      <c r="S23" s="62"/>
      <c r="T23" s="62"/>
      <c r="U23" s="62"/>
      <c r="V23" s="62"/>
      <c r="W23" s="62"/>
    </row>
    <row r="24" spans="2:23" customFormat="1" ht="14.65" customHeight="1" x14ac:dyDescent="0.4">
      <c r="B24" s="55" t="s">
        <v>282</v>
      </c>
      <c r="C24" s="44" t="s">
        <v>633</v>
      </c>
      <c r="D24" s="155" t="str">
        <f>IF(D$4&lt;=OutturnThrough,IF(ISNUMBER('Step 2 - Update outturn data'!E24),'Step 2 - Update outturn data'!E24,""),IF(ISNUMBER('Step 3 (IMPL) - Enter outlook'!D26),'Step 3 (IMPL) - Enter outlook'!D26,""))</f>
        <v/>
      </c>
      <c r="E24" s="155" t="str">
        <f>IF(E$4&lt;=OutturnThrough,IF(ISNUMBER('Step 2 - Update outturn data'!F24),'Step 2 - Update outturn data'!F24,""),IF(ISNUMBER('Step 3 (IMPL) - Enter outlook'!E26),'Step 3 (IMPL) - Enter outlook'!E26,""))</f>
        <v/>
      </c>
      <c r="F24" s="155" t="str">
        <f>IF(F$4&lt;=OutturnThrough,IF(ISNUMBER('Step 2 - Update outturn data'!G24),'Step 2 - Update outturn data'!G24,""),IF(ISNUMBER('Step 3 (IMPL) - Enter outlook'!F26),'Step 3 (IMPL) - Enter outlook'!F26,""))</f>
        <v/>
      </c>
      <c r="G24" s="155" t="str">
        <f>IF(G$4&lt;=OutturnThrough,IF(ISNUMBER('Step 2 - Update outturn data'!H24),'Step 2 - Update outturn data'!H24,""),IF(ISNUMBER('Step 3 (IMPL) - Enter outlook'!G26),'Step 3 (IMPL) - Enter outlook'!G26,""))</f>
        <v/>
      </c>
      <c r="H24" s="155" t="str">
        <f>IF(H$4&lt;=OutturnThrough,IF(ISNUMBER('Step 2 - Update outturn data'!I24),'Step 2 - Update outturn data'!I24,""),IF(ISNUMBER('Step 3 (IMPL) - Enter outlook'!H26),'Step 3 (IMPL) - Enter outlook'!H26,""))</f>
        <v/>
      </c>
      <c r="I24" s="155" t="str">
        <f>IF(I$4&lt;=OutturnThrough,IF(ISNUMBER('Step 2 - Update outturn data'!J24),'Step 2 - Update outturn data'!J24,""),IF(ISNUMBER('Step 3 (IMPL) - Enter outlook'!I26),'Step 3 (IMPL) - Enter outlook'!I26,""))</f>
        <v/>
      </c>
      <c r="J24" s="155" t="str">
        <f>IF(J$4&lt;=OutturnThrough,IF(ISNUMBER('Step 2 - Update outturn data'!K24),'Step 2 - Update outturn data'!K24,""),IF(ISNUMBER('Step 3 (IMPL) - Enter outlook'!J26),'Step 3 (IMPL) - Enter outlook'!J26,""))</f>
        <v/>
      </c>
      <c r="K24" s="155" t="str">
        <f>IF(K$4&lt;=OutturnThrough,IF(ISNUMBER('Step 2 - Update outturn data'!L24),'Step 2 - Update outturn data'!L24,""),IF(ISNUMBER('Step 3 (IMPL) - Enter outlook'!K26),'Step 3 (IMPL) - Enter outlook'!K26,""))</f>
        <v/>
      </c>
      <c r="L24" s="69"/>
      <c r="M24" s="69"/>
      <c r="N24" s="62"/>
      <c r="O24" s="62"/>
      <c r="P24" s="62"/>
      <c r="Q24" s="62"/>
      <c r="R24" s="62"/>
      <c r="S24" s="62"/>
      <c r="T24" s="62"/>
      <c r="U24" s="62"/>
      <c r="V24" s="62"/>
      <c r="W24" s="62"/>
    </row>
    <row r="25" spans="2:23" customFormat="1" ht="14.65" customHeight="1" x14ac:dyDescent="0.4">
      <c r="B25" s="55" t="s">
        <v>283</v>
      </c>
      <c r="C25" s="44" t="s">
        <v>633</v>
      </c>
      <c r="D25" s="155" t="str">
        <f>IF(D$4&lt;=OutturnThrough,IF(ISNUMBER('Step 2 - Update outturn data'!E25),'Step 2 - Update outturn data'!E25,""),IF(ISNUMBER('Step 3 (IMPL) - Enter outlook'!D27),'Step 3 (IMPL) - Enter outlook'!D27,""))</f>
        <v/>
      </c>
      <c r="E25" s="155" t="str">
        <f>IF(E$4&lt;=OutturnThrough,IF(ISNUMBER('Step 2 - Update outturn data'!F25),'Step 2 - Update outturn data'!F25,""),IF(ISNUMBER('Step 3 (IMPL) - Enter outlook'!E27),'Step 3 (IMPL) - Enter outlook'!E27,""))</f>
        <v/>
      </c>
      <c r="F25" s="155" t="str">
        <f>IF(F$4&lt;=OutturnThrough,IF(ISNUMBER('Step 2 - Update outturn data'!G25),'Step 2 - Update outturn data'!G25,""),IF(ISNUMBER('Step 3 (IMPL) - Enter outlook'!F27),'Step 3 (IMPL) - Enter outlook'!F27,""))</f>
        <v/>
      </c>
      <c r="G25" s="155" t="str">
        <f>IF(G$4&lt;=OutturnThrough,IF(ISNUMBER('Step 2 - Update outturn data'!H25),'Step 2 - Update outturn data'!H25,""),IF(ISNUMBER('Step 3 (IMPL) - Enter outlook'!G27),'Step 3 (IMPL) - Enter outlook'!G27,""))</f>
        <v/>
      </c>
      <c r="H25" s="155" t="str">
        <f>IF(H$4&lt;=OutturnThrough,IF(ISNUMBER('Step 2 - Update outturn data'!I25),'Step 2 - Update outturn data'!I25,""),IF(ISNUMBER('Step 3 (IMPL) - Enter outlook'!H27),'Step 3 (IMPL) - Enter outlook'!H27,""))</f>
        <v/>
      </c>
      <c r="I25" s="155" t="str">
        <f>IF(I$4&lt;=OutturnThrough,IF(ISNUMBER('Step 2 - Update outturn data'!J25),'Step 2 - Update outturn data'!J25,""),IF(ISNUMBER('Step 3 (IMPL) - Enter outlook'!I27),'Step 3 (IMPL) - Enter outlook'!I27,""))</f>
        <v/>
      </c>
      <c r="J25" s="155" t="str">
        <f>IF(J$4&lt;=OutturnThrough,IF(ISNUMBER('Step 2 - Update outturn data'!K25),'Step 2 - Update outturn data'!K25,""),IF(ISNUMBER('Step 3 (IMPL) - Enter outlook'!J27),'Step 3 (IMPL) - Enter outlook'!J27,""))</f>
        <v/>
      </c>
      <c r="K25" s="155" t="str">
        <f>IF(K$4&lt;=OutturnThrough,IF(ISNUMBER('Step 2 - Update outturn data'!L25),'Step 2 - Update outturn data'!L25,""),IF(ISNUMBER('Step 3 (IMPL) - Enter outlook'!K27),'Step 3 (IMPL) - Enter outlook'!K27,""))</f>
        <v/>
      </c>
      <c r="L25" s="69"/>
      <c r="M25" s="69"/>
      <c r="N25" s="62"/>
      <c r="O25" s="62"/>
      <c r="P25" s="62"/>
      <c r="Q25" s="62"/>
      <c r="R25" s="62"/>
      <c r="S25" s="62"/>
      <c r="T25" s="62"/>
      <c r="U25" s="62"/>
      <c r="V25" s="62"/>
      <c r="W25" s="62"/>
    </row>
    <row r="26" spans="2:23" customFormat="1" ht="14.65" customHeight="1" x14ac:dyDescent="0.4">
      <c r="B26" s="55" t="s">
        <v>272</v>
      </c>
      <c r="C26" s="44" t="s">
        <v>599</v>
      </c>
      <c r="D26" s="155" t="str">
        <f>IF(D$4&lt;=OutturnThrough,IF(ISNUMBER('Step 2 - Update outturn data'!E26),'Step 2 - Update outturn data'!E26,""),IF(ISNUMBER('Step 3 (IMPL) - Enter outlook'!D28),'Step 3 (IMPL) - Enter outlook'!D28,""))</f>
        <v/>
      </c>
      <c r="E26" s="155" t="str">
        <f>IF(E$4&lt;=OutturnThrough,IF(ISNUMBER('Step 2 - Update outturn data'!F26),'Step 2 - Update outturn data'!F26,""),IF(ISNUMBER('Step 3 (IMPL) - Enter outlook'!E28),'Step 3 (IMPL) - Enter outlook'!E28,""))</f>
        <v/>
      </c>
      <c r="F26" s="155" t="str">
        <f>IF(F$4&lt;=OutturnThrough,IF(ISNUMBER('Step 2 - Update outturn data'!G26),'Step 2 - Update outturn data'!G26,""),IF(ISNUMBER('Step 3 (IMPL) - Enter outlook'!F28),'Step 3 (IMPL) - Enter outlook'!F28,""))</f>
        <v/>
      </c>
      <c r="G26" s="155" t="str">
        <f>IF(G$4&lt;=OutturnThrough,IF(ISNUMBER('Step 2 - Update outturn data'!H26),'Step 2 - Update outturn data'!H26,""),IF(ISNUMBER('Step 3 (IMPL) - Enter outlook'!G28),'Step 3 (IMPL) - Enter outlook'!G28,""))</f>
        <v/>
      </c>
      <c r="H26" s="155" t="str">
        <f>IF(H$4&lt;=OutturnThrough,IF(ISNUMBER('Step 2 - Update outturn data'!I26),'Step 2 - Update outturn data'!I26,""),IF(ISNUMBER('Step 3 (IMPL) - Enter outlook'!H28),'Step 3 (IMPL) - Enter outlook'!H28,""))</f>
        <v/>
      </c>
      <c r="I26" s="155" t="str">
        <f>IF(I$4&lt;=OutturnThrough,IF(ISNUMBER('Step 2 - Update outturn data'!J26),'Step 2 - Update outturn data'!J26,""),IF(ISNUMBER('Step 3 (IMPL) - Enter outlook'!I28),'Step 3 (IMPL) - Enter outlook'!I28,""))</f>
        <v/>
      </c>
      <c r="J26" s="155" t="str">
        <f>IF(J$4&lt;=OutturnThrough,IF(ISNUMBER('Step 2 - Update outturn data'!K26),'Step 2 - Update outturn data'!K26,""),IF(ISNUMBER('Step 3 (IMPL) - Enter outlook'!J28),'Step 3 (IMPL) - Enter outlook'!J28,""))</f>
        <v/>
      </c>
      <c r="K26" s="155" t="str">
        <f>IF(K$4&lt;=OutturnThrough,IF(ISNUMBER('Step 2 - Update outturn data'!L26),'Step 2 - Update outturn data'!L26,""),IF(ISNUMBER('Step 3 (IMPL) - Enter outlook'!K28),'Step 3 (IMPL) - Enter outlook'!K28,""))</f>
        <v/>
      </c>
      <c r="L26" s="69"/>
      <c r="M26" s="69"/>
      <c r="N26" s="62"/>
      <c r="O26" s="62"/>
      <c r="P26" s="62"/>
      <c r="Q26" s="62"/>
      <c r="R26" s="62"/>
      <c r="S26" s="62"/>
      <c r="T26" s="62"/>
      <c r="U26" s="62"/>
      <c r="V26" s="62"/>
      <c r="W26" s="62"/>
    </row>
    <row r="27" spans="2:23" customFormat="1" ht="14.65" customHeight="1" x14ac:dyDescent="0.4">
      <c r="B27" s="61" t="s">
        <v>289</v>
      </c>
      <c r="C27" s="42" t="s">
        <v>635</v>
      </c>
      <c r="D27" s="156">
        <f>IF(D$4&lt;=OutturnThrough,IF(ISNUMBER('Step 2 - Update outturn data'!E27),'Step 2 - Update outturn data'!E27,""),IF(ISNUMBER('Step 3 (IMPL) - Enter outlook'!D29),'Step 3 (IMPL) - Enter outlook'!D29,""))</f>
        <v>0</v>
      </c>
      <c r="E27" s="156">
        <f>IF(E$4&lt;=OutturnThrough,IF(ISNUMBER('Step 2 - Update outturn data'!F27),'Step 2 - Update outturn data'!F27,""),IF(ISNUMBER('Step 3 (IMPL) - Enter outlook'!E29),'Step 3 (IMPL) - Enter outlook'!E29,""))</f>
        <v>0</v>
      </c>
      <c r="F27" s="156">
        <f>IF(F$4&lt;=OutturnThrough,IF(ISNUMBER('Step 2 - Update outturn data'!G27),'Step 2 - Update outturn data'!G27,""),IF(ISNUMBER('Step 3 (IMPL) - Enter outlook'!F29),'Step 3 (IMPL) - Enter outlook'!F29,""))</f>
        <v>0</v>
      </c>
      <c r="G27" s="156" t="str">
        <f>IF(G$4&lt;=OutturnThrough,IF(ISNUMBER('Step 2 - Update outturn data'!H27),'Step 2 - Update outturn data'!H27,""),IF(ISNUMBER('Step 3 (IMPL) - Enter outlook'!G29),'Step 3 (IMPL) - Enter outlook'!G29,""))</f>
        <v/>
      </c>
      <c r="H27" s="156" t="str">
        <f>IF(H$4&lt;=OutturnThrough,IF(ISNUMBER('Step 2 - Update outturn data'!I27),'Step 2 - Update outturn data'!I27,""),IF(ISNUMBER('Step 3 (IMPL) - Enter outlook'!H29),'Step 3 (IMPL) - Enter outlook'!H29,""))</f>
        <v/>
      </c>
      <c r="I27" s="156" t="str">
        <f>IF(I$4&lt;=OutturnThrough,IF(ISNUMBER('Step 2 - Update outturn data'!J27),'Step 2 - Update outturn data'!J27,""),IF(ISNUMBER('Step 3 (IMPL) - Enter outlook'!I29),'Step 3 (IMPL) - Enter outlook'!I29,""))</f>
        <v/>
      </c>
      <c r="J27" s="156" t="str">
        <f>IF(J$4&lt;=OutturnThrough,IF(ISNUMBER('Step 2 - Update outturn data'!K27),'Step 2 - Update outturn data'!K27,""),IF(ISNUMBER('Step 3 (IMPL) - Enter outlook'!J29),'Step 3 (IMPL) - Enter outlook'!J29,""))</f>
        <v/>
      </c>
      <c r="K27" s="156" t="str">
        <f>IF(K$4&lt;=OutturnThrough,IF(ISNUMBER('Step 2 - Update outturn data'!L27),'Step 2 - Update outturn data'!L27,""),IF(ISNUMBER('Step 3 (IMPL) - Enter outlook'!K29),'Step 3 (IMPL) - Enter outlook'!K29,""))</f>
        <v/>
      </c>
      <c r="L27" s="99"/>
      <c r="M27" s="99"/>
      <c r="N27" s="99"/>
      <c r="O27" s="99"/>
      <c r="P27" s="99"/>
      <c r="Q27" s="99"/>
      <c r="R27" s="99"/>
      <c r="S27" s="99"/>
      <c r="T27" s="99"/>
      <c r="U27" s="99"/>
      <c r="V27" s="99"/>
      <c r="W27" s="99"/>
    </row>
    <row r="28" spans="2:23" customFormat="1" x14ac:dyDescent="0.4">
      <c r="C28" s="14"/>
    </row>
    <row r="29" spans="2:23" customFormat="1" ht="23.25" x14ac:dyDescent="0.7">
      <c r="B29" s="13" t="str">
        <f>"Medium-term fiscal-structural plan "&amp;IF(MTP_Council_Endorsed," (endorsed by Council)"," (not yet endorsed by Council)")&amp;", EC prior guidance and DSA (Adjustment period currently set to "&amp;AdjustmentPeriod&amp;" years)"</f>
        <v>Medium-term fiscal-structural plan  (endorsed by Council), EC prior guidance and DSA (Adjustment period currently set to 4 years)</v>
      </c>
      <c r="C29" s="14"/>
    </row>
    <row r="30" spans="2:23" customFormat="1" ht="18" x14ac:dyDescent="0.55000000000000004">
      <c r="B30" s="50" t="s">
        <v>312</v>
      </c>
      <c r="C30" s="14"/>
    </row>
    <row r="31" spans="2:23" customFormat="1" ht="15.75" x14ac:dyDescent="0.5">
      <c r="B31" s="79" t="s">
        <v>310</v>
      </c>
      <c r="C31" s="14"/>
      <c r="D31" s="44"/>
      <c r="E31" s="44"/>
      <c r="F31" s="44"/>
      <c r="G31" s="44"/>
      <c r="H31" s="44"/>
      <c r="I31" s="44"/>
      <c r="J31" s="44"/>
      <c r="K31" s="44"/>
      <c r="L31" s="44"/>
      <c r="M31" s="44"/>
      <c r="N31" s="44"/>
      <c r="O31" s="44"/>
      <c r="P31" s="44"/>
      <c r="Q31" s="44"/>
      <c r="R31" s="44"/>
      <c r="S31" s="44"/>
      <c r="T31" s="44"/>
      <c r="U31" s="44"/>
    </row>
    <row r="32" spans="2:23" customFormat="1" x14ac:dyDescent="0.4">
      <c r="B32" s="39" t="s">
        <v>251</v>
      </c>
      <c r="C32" s="94"/>
      <c r="D32" s="44" cm="1">
        <f t="array" ref="D32:I32">_xlfn.SEQUENCE(1, MTP_EndYear-MTP_BaseYear+1, MTP_BaseYear)</f>
        <v>2023</v>
      </c>
      <c r="E32" s="44">
        <v>2024</v>
      </c>
      <c r="F32" s="44">
        <v>2025</v>
      </c>
      <c r="G32" s="44">
        <v>2026</v>
      </c>
      <c r="H32" s="44">
        <v>2027</v>
      </c>
      <c r="I32" s="44">
        <v>2028</v>
      </c>
      <c r="J32" s="44"/>
      <c r="K32" s="44"/>
      <c r="L32" s="44"/>
      <c r="M32" s="44"/>
      <c r="N32" s="44"/>
      <c r="O32" s="44"/>
      <c r="P32" s="44"/>
      <c r="Q32" s="44"/>
      <c r="R32" s="44"/>
      <c r="S32" s="44"/>
      <c r="T32" s="44"/>
      <c r="U32" s="44"/>
    </row>
    <row r="33" spans="2:23" customFormat="1" x14ac:dyDescent="0.4">
      <c r="B33" s="41" t="s">
        <v>274</v>
      </c>
      <c r="C33" s="19"/>
      <c r="D33" s="47" t="str" cm="1">
        <f t="array" ref="D33:I33">CHOOSE(
  SIGN(_xlfn.SEQUENCE(1, MTP_PlanningHorizon+2, -1)) + 2,
  "T" &amp; _xlfn.SEQUENCE(1, MTP_PlanningHorizon+2, -1),
  "T",
  "T+" &amp; _xlfn.SEQUENCE(1, MTP_PlanningHorizon+2, -1)
)</f>
        <v>T-1</v>
      </c>
      <c r="E33" s="47" t="str">
        <v>T</v>
      </c>
      <c r="F33" s="47" t="str">
        <v>T+1</v>
      </c>
      <c r="G33" s="47" t="str">
        <v>T+2</v>
      </c>
      <c r="H33" s="47" t="str">
        <v>T+3</v>
      </c>
      <c r="I33" s="47" t="str">
        <v>T+4</v>
      </c>
      <c r="J33" s="47"/>
      <c r="K33" s="47"/>
      <c r="L33" s="47"/>
      <c r="M33" s="47"/>
      <c r="N33" s="47"/>
      <c r="O33" s="44"/>
      <c r="P33" s="44"/>
      <c r="Q33" s="44"/>
      <c r="R33" s="44"/>
      <c r="S33" s="44"/>
      <c r="T33" s="44"/>
      <c r="U33" s="44"/>
    </row>
    <row r="34" spans="2:23" customFormat="1" x14ac:dyDescent="0.4">
      <c r="B34" s="44" t="s">
        <v>213</v>
      </c>
      <c r="C34" s="14"/>
      <c r="D34" s="44" t="str">
        <f>IF(ISNUMBER('Step 3 (MTP) - Plan and prior'!D6),'Step 3 (MTP) - Plan and prior'!D6,"")</f>
        <v/>
      </c>
      <c r="E34" s="44">
        <f>IF(ISNUMBER('Step 3 (MTP) - Plan and prior'!E6),'Step 3 (MTP) - Plan and prior'!E6,"")</f>
        <v>0</v>
      </c>
      <c r="F34" s="44">
        <f>IF(ISNUMBER('Step 3 (MTP) - Plan and prior'!F6),'Step 3 (MTP) - Plan and prior'!F6,"")</f>
        <v>0</v>
      </c>
      <c r="G34" s="44">
        <f>IF(ISNUMBER('Step 3 (MTP) - Plan and prior'!G6),'Step 3 (MTP) - Plan and prior'!G6,"")</f>
        <v>0</v>
      </c>
      <c r="H34" s="44">
        <f>IF(ISNUMBER('Step 3 (MTP) - Plan and prior'!H6),'Step 3 (MTP) - Plan and prior'!H6,"")</f>
        <v>0</v>
      </c>
      <c r="I34" s="44">
        <f>IF(ISNUMBER('Step 3 (MTP) - Plan and prior'!I6),'Step 3 (MTP) - Plan and prior'!I6,"")</f>
        <v>0</v>
      </c>
      <c r="J34" s="44" t="str">
        <f>IF(ISNUMBER('Step 3 (MTP) - Plan and prior'!J6),'Step 3 (MTP) - Plan and prior'!J6,"")</f>
        <v/>
      </c>
      <c r="K34" s="44" t="str">
        <f>IF(ISNUMBER('Step 3 (MTP) - Plan and prior'!K6),'Step 3 (MTP) - Plan and prior'!K6,"")</f>
        <v/>
      </c>
      <c r="L34" s="44" t="str">
        <f>IF(ISNUMBER('Step 3 (MTP) - Plan and prior'!L6),'Step 3 (MTP) - Plan and prior'!L6,"")</f>
        <v/>
      </c>
      <c r="M34" s="44" t="str">
        <f>IF(ISNUMBER('Step 3 (MTP) - Plan and prior'!M6),'Step 3 (MTP) - Plan and prior'!M6,"")</f>
        <v/>
      </c>
      <c r="N34" s="44" t="str">
        <f>IF(ISNUMBER('Step 3 (MTP) - Plan and prior'!N6),'Step 3 (MTP) - Plan and prior'!N6,"")</f>
        <v/>
      </c>
      <c r="O34" s="44"/>
      <c r="P34" s="44"/>
      <c r="Q34" s="44"/>
      <c r="R34" s="44"/>
      <c r="S34" s="44"/>
      <c r="T34" s="44"/>
      <c r="U34" s="44"/>
      <c r="V34" s="44"/>
      <c r="W34" s="44"/>
    </row>
    <row r="35" spans="2:23" customFormat="1" ht="20.25" customHeight="1" x14ac:dyDescent="0.4">
      <c r="B35" s="55" t="s">
        <v>206</v>
      </c>
      <c r="C35" s="14"/>
      <c r="D35" s="58">
        <f>IF(ISNUMBER('Step 3 (MTP) - Plan and prior'!D7),'Step 3 (MTP) - Plan and prior'!D7,"")</f>
        <v>0</v>
      </c>
      <c r="E35" s="58">
        <f>IF(ISNUMBER('Step 3 (MTP) - Plan and prior'!E7),'Step 3 (MTP) - Plan and prior'!E7,"")</f>
        <v>0</v>
      </c>
      <c r="F35" s="58">
        <f>IF(ISNUMBER('Step 3 (MTP) - Plan and prior'!F7),'Step 3 (MTP) - Plan and prior'!F7,"")</f>
        <v>0</v>
      </c>
      <c r="G35" s="58">
        <f>IF(ISNUMBER('Step 3 (MTP) - Plan and prior'!G7),'Step 3 (MTP) - Plan and prior'!G7,"")</f>
        <v>0</v>
      </c>
      <c r="H35" s="58">
        <f>IF(ISNUMBER('Step 3 (MTP) - Plan and prior'!H7),'Step 3 (MTP) - Plan and prior'!H7,"")</f>
        <v>0</v>
      </c>
      <c r="I35" s="58">
        <f>IF(ISNUMBER('Step 3 (MTP) - Plan and prior'!I7),'Step 3 (MTP) - Plan and prior'!I7,"")</f>
        <v>0</v>
      </c>
      <c r="J35" s="58" t="str">
        <f>IF(ISNUMBER('Step 3 (MTP) - Plan and prior'!J7),'Step 3 (MTP) - Plan and prior'!J7,"")</f>
        <v/>
      </c>
      <c r="K35" s="58" t="str">
        <f>IF(ISNUMBER('Step 3 (MTP) - Plan and prior'!K7),'Step 3 (MTP) - Plan and prior'!K7,"")</f>
        <v/>
      </c>
      <c r="L35" s="58" t="str">
        <f>IF(ISNUMBER('Step 3 (MTP) - Plan and prior'!L7),'Step 3 (MTP) - Plan and prior'!L7,"")</f>
        <v/>
      </c>
      <c r="M35" s="58" t="str">
        <f>IF(ISNUMBER('Step 3 (MTP) - Plan and prior'!M7),'Step 3 (MTP) - Plan and prior'!M7,"")</f>
        <v/>
      </c>
      <c r="N35" s="58" t="str">
        <f>IF(ISNUMBER('Step 3 (MTP) - Plan and prior'!N7),'Step 3 (MTP) - Plan and prior'!N7,"")</f>
        <v/>
      </c>
      <c r="O35" s="58"/>
      <c r="P35" s="58"/>
      <c r="Q35" s="58"/>
      <c r="R35" s="58"/>
      <c r="S35" s="58"/>
      <c r="T35" s="58"/>
      <c r="U35" s="58"/>
      <c r="V35" s="58"/>
      <c r="W35" s="58"/>
    </row>
    <row r="36" spans="2:23" customFormat="1" x14ac:dyDescent="0.4">
      <c r="B36" s="55" t="s">
        <v>0</v>
      </c>
      <c r="C36" s="14"/>
      <c r="D36" s="58">
        <f>IF(ISNUMBER('Step 3 (MTP) - Plan and prior'!D8),'Step 3 (MTP) - Plan and prior'!D8,"")</f>
        <v>0</v>
      </c>
      <c r="E36" s="58">
        <f>IF(ISNUMBER('Step 3 (MTP) - Plan and prior'!E8),'Step 3 (MTP) - Plan and prior'!E8,"")</f>
        <v>0</v>
      </c>
      <c r="F36" s="58">
        <f>IF(ISNUMBER('Step 3 (MTP) - Plan and prior'!F8),'Step 3 (MTP) - Plan and prior'!F8,"")</f>
        <v>0</v>
      </c>
      <c r="G36" s="58">
        <f>IF(ISNUMBER('Step 3 (MTP) - Plan and prior'!G8),'Step 3 (MTP) - Plan and prior'!G8,"")</f>
        <v>0</v>
      </c>
      <c r="H36" s="58">
        <f>IF(ISNUMBER('Step 3 (MTP) - Plan and prior'!H8),'Step 3 (MTP) - Plan and prior'!H8,"")</f>
        <v>0</v>
      </c>
      <c r="I36" s="58">
        <f>IF(ISNUMBER('Step 3 (MTP) - Plan and prior'!I8),'Step 3 (MTP) - Plan and prior'!I8,"")</f>
        <v>0</v>
      </c>
      <c r="J36" s="58" t="str">
        <f>IF(ISNUMBER('Step 3 (MTP) - Plan and prior'!J8),'Step 3 (MTP) - Plan and prior'!J8,"")</f>
        <v/>
      </c>
      <c r="K36" s="58" t="str">
        <f>IF(ISNUMBER('Step 3 (MTP) - Plan and prior'!K8),'Step 3 (MTP) - Plan and prior'!K8,"")</f>
        <v/>
      </c>
      <c r="L36" s="58" t="str">
        <f>IF(ISNUMBER('Step 3 (MTP) - Plan and prior'!L8),'Step 3 (MTP) - Plan and prior'!L8,"")</f>
        <v/>
      </c>
      <c r="M36" s="58" t="str">
        <f>IF(ISNUMBER('Step 3 (MTP) - Plan and prior'!M8),'Step 3 (MTP) - Plan and prior'!M8,"")</f>
        <v/>
      </c>
      <c r="N36" s="58" t="str">
        <f>IF(ISNUMBER('Step 3 (MTP) - Plan and prior'!N8),'Step 3 (MTP) - Plan and prior'!N8,"")</f>
        <v/>
      </c>
      <c r="O36" s="58"/>
      <c r="P36" s="58"/>
      <c r="Q36" s="58"/>
      <c r="R36" s="58"/>
      <c r="S36" s="58"/>
      <c r="T36" s="58"/>
      <c r="U36" s="58"/>
      <c r="V36" s="58"/>
      <c r="W36" s="58"/>
    </row>
    <row r="37" spans="2:23" customFormat="1" x14ac:dyDescent="0.4">
      <c r="B37" s="55" t="s">
        <v>3</v>
      </c>
      <c r="C37" s="14"/>
      <c r="D37" s="58">
        <f>IF(ISNUMBER('Step 3 (MTP) - Plan and prior'!D9),'Step 3 (MTP) - Plan and prior'!D9,"")</f>
        <v>0</v>
      </c>
      <c r="E37" s="58">
        <f>IF(ISNUMBER('Step 3 (MTP) - Plan and prior'!E9),'Step 3 (MTP) - Plan and prior'!E9,"")</f>
        <v>0</v>
      </c>
      <c r="F37" s="58">
        <f>IF(ISNUMBER('Step 3 (MTP) - Plan and prior'!F9),'Step 3 (MTP) - Plan and prior'!F9,"")</f>
        <v>0</v>
      </c>
      <c r="G37" s="58">
        <f>IF(ISNUMBER('Step 3 (MTP) - Plan and prior'!G9),'Step 3 (MTP) - Plan and prior'!G9,"")</f>
        <v>0</v>
      </c>
      <c r="H37" s="58">
        <f>IF(ISNUMBER('Step 3 (MTP) - Plan and prior'!H9),'Step 3 (MTP) - Plan and prior'!H9,"")</f>
        <v>0</v>
      </c>
      <c r="I37" s="58">
        <f>IF(ISNUMBER('Step 3 (MTP) - Plan and prior'!I9),'Step 3 (MTP) - Plan and prior'!I9,"")</f>
        <v>0</v>
      </c>
      <c r="J37" s="58" t="str">
        <f>IF(ISNUMBER('Step 3 (MTP) - Plan and prior'!J9),'Step 3 (MTP) - Plan and prior'!J9,"")</f>
        <v/>
      </c>
      <c r="K37" s="58" t="str">
        <f>IF(ISNUMBER('Step 3 (MTP) - Plan and prior'!K9),'Step 3 (MTP) - Plan and prior'!K9,"")</f>
        <v/>
      </c>
      <c r="L37" s="58" t="str">
        <f>IF(ISNUMBER('Step 3 (MTP) - Plan and prior'!L9),'Step 3 (MTP) - Plan and prior'!L9,"")</f>
        <v/>
      </c>
      <c r="M37" s="58" t="str">
        <f>IF(ISNUMBER('Step 3 (MTP) - Plan and prior'!M9),'Step 3 (MTP) - Plan and prior'!M9,"")</f>
        <v/>
      </c>
      <c r="N37" s="58" t="str">
        <f>IF(ISNUMBER('Step 3 (MTP) - Plan and prior'!N9),'Step 3 (MTP) - Plan and prior'!N9,"")</f>
        <v/>
      </c>
      <c r="O37" s="58"/>
      <c r="P37" s="58"/>
      <c r="Q37" s="58"/>
      <c r="R37" s="58"/>
      <c r="S37" s="58"/>
      <c r="T37" s="58"/>
      <c r="U37" s="58"/>
      <c r="V37" s="58"/>
      <c r="W37" s="58"/>
    </row>
    <row r="38" spans="2:23" customFormat="1" x14ac:dyDescent="0.4">
      <c r="B38" s="55" t="s">
        <v>1</v>
      </c>
      <c r="C38" s="14"/>
      <c r="D38" s="58">
        <f>IF(ISNUMBER('Step 3 (MTP) - Plan and prior'!D10),'Step 3 (MTP) - Plan and prior'!D10,"")</f>
        <v>0</v>
      </c>
      <c r="E38" s="58">
        <f>IF(ISNUMBER('Step 3 (MTP) - Plan and prior'!E10),'Step 3 (MTP) - Plan and prior'!E10,"")</f>
        <v>0</v>
      </c>
      <c r="F38" s="58">
        <f>IF(ISNUMBER('Step 3 (MTP) - Plan and prior'!F10),'Step 3 (MTP) - Plan and prior'!F10,"")</f>
        <v>0</v>
      </c>
      <c r="G38" s="58">
        <f>IF(ISNUMBER('Step 3 (MTP) - Plan and prior'!G10),'Step 3 (MTP) - Plan and prior'!G10,"")</f>
        <v>0</v>
      </c>
      <c r="H38" s="58">
        <f>IF(ISNUMBER('Step 3 (MTP) - Plan and prior'!H10),'Step 3 (MTP) - Plan and prior'!H10,"")</f>
        <v>0</v>
      </c>
      <c r="I38" s="58">
        <f>IF(ISNUMBER('Step 3 (MTP) - Plan and prior'!I10),'Step 3 (MTP) - Plan and prior'!I10,"")</f>
        <v>0</v>
      </c>
      <c r="J38" s="58" t="str">
        <f>IF(ISNUMBER('Step 3 (MTP) - Plan and prior'!J10),'Step 3 (MTP) - Plan and prior'!J10,"")</f>
        <v/>
      </c>
      <c r="K38" s="58" t="str">
        <f>IF(ISNUMBER('Step 3 (MTP) - Plan and prior'!K10),'Step 3 (MTP) - Plan and prior'!K10,"")</f>
        <v/>
      </c>
      <c r="L38" s="58" t="str">
        <f>IF(ISNUMBER('Step 3 (MTP) - Plan and prior'!L10),'Step 3 (MTP) - Plan and prior'!L10,"")</f>
        <v/>
      </c>
      <c r="M38" s="58" t="str">
        <f>IF(ISNUMBER('Step 3 (MTP) - Plan and prior'!M10),'Step 3 (MTP) - Plan and prior'!M10,"")</f>
        <v/>
      </c>
      <c r="N38" s="58" t="str">
        <f>IF(ISNUMBER('Step 3 (MTP) - Plan and prior'!N10),'Step 3 (MTP) - Plan and prior'!N10,"")</f>
        <v/>
      </c>
      <c r="O38" s="58"/>
      <c r="P38" s="58"/>
      <c r="Q38" s="58"/>
      <c r="R38" s="58"/>
      <c r="S38" s="58"/>
      <c r="T38" s="58"/>
      <c r="U38" s="58"/>
      <c r="V38" s="58"/>
      <c r="W38" s="58"/>
    </row>
    <row r="39" spans="2:23" customFormat="1" x14ac:dyDescent="0.4">
      <c r="B39" s="55" t="s">
        <v>2</v>
      </c>
      <c r="C39" s="14"/>
      <c r="D39" s="58">
        <f>IF(ISNUMBER('Step 3 (MTP) - Plan and prior'!D11),'Step 3 (MTP) - Plan and prior'!D11,"")</f>
        <v>0</v>
      </c>
      <c r="E39" s="58">
        <f>IF(ISNUMBER('Step 3 (MTP) - Plan and prior'!E11),'Step 3 (MTP) - Plan and prior'!E11,"")</f>
        <v>0</v>
      </c>
      <c r="F39" s="58">
        <f>IF(ISNUMBER('Step 3 (MTP) - Plan and prior'!F11),'Step 3 (MTP) - Plan and prior'!F11,"")</f>
        <v>0</v>
      </c>
      <c r="G39" s="58">
        <f>IF(ISNUMBER('Step 3 (MTP) - Plan and prior'!G11),'Step 3 (MTP) - Plan and prior'!G11,"")</f>
        <v>0</v>
      </c>
      <c r="H39" s="58">
        <f>IF(ISNUMBER('Step 3 (MTP) - Plan and prior'!H11),'Step 3 (MTP) - Plan and prior'!H11,"")</f>
        <v>0</v>
      </c>
      <c r="I39" s="58">
        <f>IF(ISNUMBER('Step 3 (MTP) - Plan and prior'!I11),'Step 3 (MTP) - Plan and prior'!I11,"")</f>
        <v>0</v>
      </c>
      <c r="J39" s="58" t="str">
        <f>IF(ISNUMBER('Step 3 (MTP) - Plan and prior'!J11),'Step 3 (MTP) - Plan and prior'!J11,"")</f>
        <v/>
      </c>
      <c r="K39" s="58" t="str">
        <f>IF(ISNUMBER('Step 3 (MTP) - Plan and prior'!K11),'Step 3 (MTP) - Plan and prior'!K11,"")</f>
        <v/>
      </c>
      <c r="L39" s="58" t="str">
        <f>IF(ISNUMBER('Step 3 (MTP) - Plan and prior'!L11),'Step 3 (MTP) - Plan and prior'!L11,"")</f>
        <v/>
      </c>
      <c r="M39" s="58" t="str">
        <f>IF(ISNUMBER('Step 3 (MTP) - Plan and prior'!M11),'Step 3 (MTP) - Plan and prior'!M11,"")</f>
        <v/>
      </c>
      <c r="N39" s="58" t="str">
        <f>IF(ISNUMBER('Step 3 (MTP) - Plan and prior'!N11),'Step 3 (MTP) - Plan and prior'!N11,"")</f>
        <v/>
      </c>
      <c r="O39" s="58"/>
      <c r="P39" s="58"/>
      <c r="Q39" s="58"/>
      <c r="R39" s="58"/>
      <c r="S39" s="58"/>
      <c r="T39" s="58"/>
      <c r="U39" s="58"/>
      <c r="V39" s="58"/>
      <c r="W39" s="58"/>
    </row>
    <row r="40" spans="2:23" customFormat="1" ht="20.25" customHeight="1" x14ac:dyDescent="0.4">
      <c r="B40" s="55" t="s">
        <v>7</v>
      </c>
      <c r="C40" s="14"/>
      <c r="D40" s="58">
        <f>IF(ISNUMBER('Step 3 (MTP) - Plan and prior'!D12),'Step 3 (MTP) - Plan and prior'!D12,"")</f>
        <v>0</v>
      </c>
      <c r="E40" s="58">
        <f>IF(ISNUMBER('Step 3 (MTP) - Plan and prior'!E12),'Step 3 (MTP) - Plan and prior'!E12,"")</f>
        <v>0</v>
      </c>
      <c r="F40" s="58">
        <f>IF(ISNUMBER('Step 3 (MTP) - Plan and prior'!F12),'Step 3 (MTP) - Plan and prior'!F12,"")</f>
        <v>0</v>
      </c>
      <c r="G40" s="58">
        <f>IF(ISNUMBER('Step 3 (MTP) - Plan and prior'!G12),'Step 3 (MTP) - Plan and prior'!G12,"")</f>
        <v>0</v>
      </c>
      <c r="H40" s="58">
        <f>IF(ISNUMBER('Step 3 (MTP) - Plan and prior'!H12),'Step 3 (MTP) - Plan and prior'!H12,"")</f>
        <v>0</v>
      </c>
      <c r="I40" s="58">
        <f>IF(ISNUMBER('Step 3 (MTP) - Plan and prior'!I12),'Step 3 (MTP) - Plan and prior'!I12,"")</f>
        <v>0</v>
      </c>
      <c r="J40" s="58" t="str">
        <f>IF(ISNUMBER('Step 3 (MTP) - Plan and prior'!J12),'Step 3 (MTP) - Plan and prior'!J12,"")</f>
        <v/>
      </c>
      <c r="K40" s="58" t="str">
        <f>IF(ISNUMBER('Step 3 (MTP) - Plan and prior'!K12),'Step 3 (MTP) - Plan and prior'!K12,"")</f>
        <v/>
      </c>
      <c r="L40" s="58" t="str">
        <f>IF(ISNUMBER('Step 3 (MTP) - Plan and prior'!L12),'Step 3 (MTP) - Plan and prior'!L12,"")</f>
        <v/>
      </c>
      <c r="M40" s="58" t="str">
        <f>IF(ISNUMBER('Step 3 (MTP) - Plan and prior'!M12),'Step 3 (MTP) - Plan and prior'!M12,"")</f>
        <v/>
      </c>
      <c r="N40" s="58" t="str">
        <f>IF(ISNUMBER('Step 3 (MTP) - Plan and prior'!N12),'Step 3 (MTP) - Plan and prior'!N12,"")</f>
        <v/>
      </c>
      <c r="O40" s="58"/>
      <c r="P40" s="58"/>
      <c r="Q40" s="58"/>
      <c r="R40" s="58"/>
      <c r="S40" s="58"/>
      <c r="T40" s="58"/>
      <c r="U40" s="58"/>
      <c r="V40" s="58"/>
      <c r="W40" s="58"/>
    </row>
    <row r="41" spans="2:23" customFormat="1" x14ac:dyDescent="0.4">
      <c r="B41" s="55" t="s">
        <v>8</v>
      </c>
      <c r="C41" s="14"/>
      <c r="D41" s="58">
        <f>IF(ISNUMBER('Step 3 (MTP) - Plan and prior'!D13),'Step 3 (MTP) - Plan and prior'!D13,"")</f>
        <v>0</v>
      </c>
      <c r="E41" s="58">
        <f>IF(ISNUMBER('Step 3 (MTP) - Plan and prior'!E13),'Step 3 (MTP) - Plan and prior'!E13,"")</f>
        <v>0</v>
      </c>
      <c r="F41" s="58">
        <f>IF(ISNUMBER('Step 3 (MTP) - Plan and prior'!F13),'Step 3 (MTP) - Plan and prior'!F13,"")</f>
        <v>0</v>
      </c>
      <c r="G41" s="58">
        <f>IF(ISNUMBER('Step 3 (MTP) - Plan and prior'!G13),'Step 3 (MTP) - Plan and prior'!G13,"")</f>
        <v>0</v>
      </c>
      <c r="H41" s="58">
        <f>IF(ISNUMBER('Step 3 (MTP) - Plan and prior'!H13),'Step 3 (MTP) - Plan and prior'!H13,"")</f>
        <v>0</v>
      </c>
      <c r="I41" s="58">
        <f>IF(ISNUMBER('Step 3 (MTP) - Plan and prior'!I13),'Step 3 (MTP) - Plan and prior'!I13,"")</f>
        <v>0</v>
      </c>
      <c r="J41" s="58" t="str">
        <f>IF(ISNUMBER('Step 3 (MTP) - Plan and prior'!J13),'Step 3 (MTP) - Plan and prior'!J13,"")</f>
        <v/>
      </c>
      <c r="K41" s="58" t="str">
        <f>IF(ISNUMBER('Step 3 (MTP) - Plan and prior'!K13),'Step 3 (MTP) - Plan and prior'!K13,"")</f>
        <v/>
      </c>
      <c r="L41" s="58" t="str">
        <f>IF(ISNUMBER('Step 3 (MTP) - Plan and prior'!L13),'Step 3 (MTP) - Plan and prior'!L13,"")</f>
        <v/>
      </c>
      <c r="M41" s="58" t="str">
        <f>IF(ISNUMBER('Step 3 (MTP) - Plan and prior'!M13),'Step 3 (MTP) - Plan and prior'!M13,"")</f>
        <v/>
      </c>
      <c r="N41" s="58" t="str">
        <f>IF(ISNUMBER('Step 3 (MTP) - Plan and prior'!N13),'Step 3 (MTP) - Plan and prior'!N13,"")</f>
        <v/>
      </c>
      <c r="O41" s="58"/>
      <c r="P41" s="58"/>
      <c r="Q41" s="58"/>
      <c r="R41" s="58"/>
      <c r="S41" s="58"/>
      <c r="T41" s="58"/>
      <c r="U41" s="58"/>
      <c r="V41" s="58"/>
      <c r="W41" s="58"/>
    </row>
    <row r="42" spans="2:23" customFormat="1" x14ac:dyDescent="0.4">
      <c r="B42" s="55" t="s">
        <v>9</v>
      </c>
      <c r="C42" s="14"/>
      <c r="D42" s="58">
        <f>IF(ISNUMBER('Step 3 (MTP) - Plan and prior'!D14),'Step 3 (MTP) - Plan and prior'!D14,"")</f>
        <v>0</v>
      </c>
      <c r="E42" s="58">
        <f>IF(ISNUMBER('Step 3 (MTP) - Plan and prior'!E14),'Step 3 (MTP) - Plan and prior'!E14,"")</f>
        <v>0</v>
      </c>
      <c r="F42" s="58">
        <f>IF(ISNUMBER('Step 3 (MTP) - Plan and prior'!F14),'Step 3 (MTP) - Plan and prior'!F14,"")</f>
        <v>0</v>
      </c>
      <c r="G42" s="58">
        <f>IF(ISNUMBER('Step 3 (MTP) - Plan and prior'!G14),'Step 3 (MTP) - Plan and prior'!G14,"")</f>
        <v>0</v>
      </c>
      <c r="H42" s="58">
        <f>IF(ISNUMBER('Step 3 (MTP) - Plan and prior'!H14),'Step 3 (MTP) - Plan and prior'!H14,"")</f>
        <v>0</v>
      </c>
      <c r="I42" s="58">
        <f>IF(ISNUMBER('Step 3 (MTP) - Plan and prior'!I14),'Step 3 (MTP) - Plan and prior'!I14,"")</f>
        <v>0</v>
      </c>
      <c r="J42" s="58" t="str">
        <f>IF(ISNUMBER('Step 3 (MTP) - Plan and prior'!J14),'Step 3 (MTP) - Plan and prior'!J14,"")</f>
        <v/>
      </c>
      <c r="K42" s="58" t="str">
        <f>IF(ISNUMBER('Step 3 (MTP) - Plan and prior'!K14),'Step 3 (MTP) - Plan and prior'!K14,"")</f>
        <v/>
      </c>
      <c r="L42" s="58" t="str">
        <f>IF(ISNUMBER('Step 3 (MTP) - Plan and prior'!L14),'Step 3 (MTP) - Plan and prior'!L14,"")</f>
        <v/>
      </c>
      <c r="M42" s="58" t="str">
        <f>IF(ISNUMBER('Step 3 (MTP) - Plan and prior'!M14),'Step 3 (MTP) - Plan and prior'!M14,"")</f>
        <v/>
      </c>
      <c r="N42" s="58" t="str">
        <f>IF(ISNUMBER('Step 3 (MTP) - Plan and prior'!N14),'Step 3 (MTP) - Plan and prior'!N14,"")</f>
        <v/>
      </c>
      <c r="O42" s="58"/>
      <c r="P42" s="58"/>
      <c r="Q42" s="58"/>
      <c r="R42" s="58"/>
      <c r="S42" s="58"/>
      <c r="T42" s="58"/>
      <c r="U42" s="58"/>
      <c r="V42" s="58"/>
      <c r="W42" s="58"/>
    </row>
    <row r="43" spans="2:23" customFormat="1" x14ac:dyDescent="0.4">
      <c r="B43" s="55" t="s">
        <v>275</v>
      </c>
      <c r="C43" s="14"/>
      <c r="D43" s="44">
        <f>IF(ISNUMBER('Step 3 (MTP) - Plan and prior'!D15),'Step 3 (MTP) - Plan and prior'!D15,"")</f>
        <v>0</v>
      </c>
      <c r="E43" s="44">
        <f>IF(ISNUMBER('Step 3 (MTP) - Plan and prior'!E15),'Step 3 (MTP) - Plan and prior'!E15,"")</f>
        <v>0</v>
      </c>
      <c r="F43" s="44">
        <f>IF(ISNUMBER('Step 3 (MTP) - Plan and prior'!F15),'Step 3 (MTP) - Plan and prior'!F15,"")</f>
        <v>0</v>
      </c>
      <c r="G43" s="44">
        <f>IF(ISNUMBER('Step 3 (MTP) - Plan and prior'!G15),'Step 3 (MTP) - Plan and prior'!G15,"")</f>
        <v>0</v>
      </c>
      <c r="H43" s="44">
        <f>IF(ISNUMBER('Step 3 (MTP) - Plan and prior'!H15),'Step 3 (MTP) - Plan and prior'!H15,"")</f>
        <v>0</v>
      </c>
      <c r="I43" s="44">
        <f>IF(ISNUMBER('Step 3 (MTP) - Plan and prior'!I15),'Step 3 (MTP) - Plan and prior'!I15,"")</f>
        <v>0</v>
      </c>
      <c r="J43" s="44" t="str">
        <f>IF(ISNUMBER('Step 3 (MTP) - Plan and prior'!J15),'Step 3 (MTP) - Plan and prior'!J15,"")</f>
        <v/>
      </c>
      <c r="K43" s="44" t="str">
        <f>IF(ISNUMBER('Step 3 (MTP) - Plan and prior'!K15),'Step 3 (MTP) - Plan and prior'!K15,"")</f>
        <v/>
      </c>
      <c r="L43" s="44" t="str">
        <f>IF(ISNUMBER('Step 3 (MTP) - Plan and prior'!L15),'Step 3 (MTP) - Plan and prior'!L15,"")</f>
        <v/>
      </c>
      <c r="M43" s="44" t="str">
        <f>IF(ISNUMBER('Step 3 (MTP) - Plan and prior'!M15),'Step 3 (MTP) - Plan and prior'!M15,"")</f>
        <v/>
      </c>
      <c r="N43" s="44" t="str">
        <f>IF(ISNUMBER('Step 3 (MTP) - Plan and prior'!N15),'Step 3 (MTP) - Plan and prior'!N15,"")</f>
        <v/>
      </c>
      <c r="O43" s="44"/>
      <c r="P43" s="44"/>
      <c r="Q43" s="44"/>
      <c r="R43" s="44"/>
      <c r="S43" s="44"/>
      <c r="T43" s="44"/>
      <c r="U43" s="44"/>
      <c r="V43" s="44"/>
      <c r="W43" s="44"/>
    </row>
    <row r="44" spans="2:23" customFormat="1" x14ac:dyDescent="0.4">
      <c r="B44" s="61" t="s">
        <v>89</v>
      </c>
      <c r="C44" s="14"/>
      <c r="D44" s="48">
        <f>IF(ISNUMBER('Step 3 (MTP) - Plan and prior'!D16),'Step 3 (MTP) - Plan and prior'!D16,"")</f>
        <v>0</v>
      </c>
      <c r="E44" s="48">
        <f>IF(ISNUMBER('Step 3 (MTP) - Plan and prior'!E16),'Step 3 (MTP) - Plan and prior'!E16,"")</f>
        <v>0</v>
      </c>
      <c r="F44" s="48">
        <f>IF(ISNUMBER('Step 3 (MTP) - Plan and prior'!F16),'Step 3 (MTP) - Plan and prior'!F16,"")</f>
        <v>0</v>
      </c>
      <c r="G44" s="48">
        <f>IF(ISNUMBER('Step 3 (MTP) - Plan and prior'!G16),'Step 3 (MTP) - Plan and prior'!G16,"")</f>
        <v>0</v>
      </c>
      <c r="H44" s="48">
        <f>IF(ISNUMBER('Step 3 (MTP) - Plan and prior'!H16),'Step 3 (MTP) - Plan and prior'!H16,"")</f>
        <v>0</v>
      </c>
      <c r="I44" s="48">
        <f>IF(ISNUMBER('Step 3 (MTP) - Plan and prior'!I16),'Step 3 (MTP) - Plan and prior'!I16,"")</f>
        <v>0</v>
      </c>
      <c r="J44" s="48" t="str">
        <f>IF(ISNUMBER('Step 3 (MTP) - Plan and prior'!J16),'Step 3 (MTP) - Plan and prior'!J16,"")</f>
        <v/>
      </c>
      <c r="K44" s="48" t="str">
        <f>IF(ISNUMBER('Step 3 (MTP) - Plan and prior'!K16),'Step 3 (MTP) - Plan and prior'!K16,"")</f>
        <v/>
      </c>
      <c r="L44" s="48" t="str">
        <f>IF(ISNUMBER('Step 3 (MTP) - Plan and prior'!L16),'Step 3 (MTP) - Plan and prior'!L16,"")</f>
        <v/>
      </c>
      <c r="M44" s="48" t="str">
        <f>IF(ISNUMBER('Step 3 (MTP) - Plan and prior'!M16),'Step 3 (MTP) - Plan and prior'!M16,"")</f>
        <v/>
      </c>
      <c r="N44" s="48" t="str">
        <f>IF(ISNUMBER('Step 3 (MTP) - Plan and prior'!N16),'Step 3 (MTP) - Plan and prior'!N16,"")</f>
        <v/>
      </c>
      <c r="O44" s="48"/>
      <c r="P44" s="48"/>
      <c r="Q44" s="48"/>
      <c r="R44" s="48"/>
      <c r="S44" s="48"/>
      <c r="T44" s="48"/>
      <c r="U44" s="48"/>
      <c r="V44" s="48"/>
      <c r="W44" s="48"/>
    </row>
    <row r="45" spans="2:23" customFormat="1" x14ac:dyDescent="0.4">
      <c r="B45" s="55"/>
      <c r="C45" s="116"/>
      <c r="D45" s="48"/>
      <c r="E45" s="48"/>
      <c r="F45" s="48"/>
      <c r="G45" s="48"/>
      <c r="H45" s="48"/>
      <c r="I45" s="48"/>
      <c r="J45" s="48"/>
      <c r="K45" s="48"/>
      <c r="L45" s="48"/>
      <c r="M45" s="48"/>
      <c r="N45" s="48"/>
      <c r="O45" s="48"/>
      <c r="P45" s="48"/>
      <c r="Q45" s="48"/>
      <c r="R45" s="48"/>
      <c r="S45" s="48"/>
      <c r="T45" s="48"/>
      <c r="U45" s="48"/>
      <c r="V45" s="48"/>
      <c r="W45" s="48"/>
    </row>
    <row r="46" spans="2:23" x14ac:dyDescent="0.4">
      <c r="B46" s="39" t="s">
        <v>251</v>
      </c>
      <c r="D46" s="44" cm="1">
        <f t="array" ref="D46:S46">_xlfn.SEQUENCE(1, AdjustmentPeriodEnd+10-MTP_BaseYear+1, MTP_BaseYear)</f>
        <v>2023</v>
      </c>
      <c r="E46" s="60">
        <v>2024</v>
      </c>
      <c r="F46" s="60">
        <v>2025</v>
      </c>
      <c r="G46" s="60">
        <v>2026</v>
      </c>
      <c r="H46" s="60">
        <v>2027</v>
      </c>
      <c r="I46" s="60">
        <v>2028</v>
      </c>
      <c r="J46" s="60">
        <v>2029</v>
      </c>
      <c r="K46" s="60">
        <v>2030</v>
      </c>
      <c r="L46" s="60">
        <v>2031</v>
      </c>
      <c r="M46" s="60">
        <v>2032</v>
      </c>
      <c r="N46" s="60">
        <v>2033</v>
      </c>
      <c r="O46" s="60">
        <v>2034</v>
      </c>
      <c r="P46" s="60">
        <v>2035</v>
      </c>
      <c r="Q46" s="60">
        <v>2036</v>
      </c>
      <c r="R46" s="60">
        <v>2037</v>
      </c>
      <c r="S46" s="60">
        <v>2038</v>
      </c>
      <c r="T46" s="60"/>
      <c r="U46" s="60"/>
      <c r="V46" s="60"/>
      <c r="W46" s="60"/>
    </row>
    <row r="47" spans="2:23" x14ac:dyDescent="0.4">
      <c r="B47" s="41" t="s">
        <v>274</v>
      </c>
      <c r="C47" s="19"/>
      <c r="D47" s="47" t="str">
        <f t="shared" ref="D47:W47" si="0">IF(AND(D$46&gt;=MTP_YearT-1, D$46&lt;=AdjustmentPeriodEnd), IF(D$46=MTP_YearT-1, "T-1", IF(D$46=MTP_YearT, "T", "T+"&amp;(D$46-MTP_YearT))), "")</f>
        <v>T-1</v>
      </c>
      <c r="E47" s="47" t="str">
        <f t="shared" si="0"/>
        <v>T</v>
      </c>
      <c r="F47" s="47" t="str">
        <f t="shared" si="0"/>
        <v>T+1</v>
      </c>
      <c r="G47" s="47" t="str">
        <f t="shared" si="0"/>
        <v>T+2</v>
      </c>
      <c r="H47" s="47" t="str">
        <f t="shared" si="0"/>
        <v>T+3</v>
      </c>
      <c r="I47" s="47" t="str">
        <f t="shared" si="0"/>
        <v>T+4</v>
      </c>
      <c r="J47" s="47" t="str">
        <f t="shared" si="0"/>
        <v/>
      </c>
      <c r="K47" s="47" t="str">
        <f t="shared" si="0"/>
        <v/>
      </c>
      <c r="L47" s="47" t="str">
        <f t="shared" si="0"/>
        <v/>
      </c>
      <c r="M47" s="47" t="str">
        <f t="shared" si="0"/>
        <v/>
      </c>
      <c r="N47" s="47" t="str">
        <f t="shared" si="0"/>
        <v/>
      </c>
      <c r="O47" s="47" t="str">
        <f t="shared" si="0"/>
        <v/>
      </c>
      <c r="P47" s="47" t="str">
        <f t="shared" si="0"/>
        <v/>
      </c>
      <c r="Q47" s="47" t="str">
        <f t="shared" si="0"/>
        <v/>
      </c>
      <c r="R47" s="47" t="str">
        <f t="shared" si="0"/>
        <v/>
      </c>
      <c r="S47" s="47" t="str">
        <f t="shared" si="0"/>
        <v/>
      </c>
      <c r="T47" s="47" t="str">
        <f t="shared" si="0"/>
        <v/>
      </c>
      <c r="U47" s="47" t="str">
        <f t="shared" si="0"/>
        <v/>
      </c>
      <c r="V47" s="47" t="str">
        <f t="shared" si="0"/>
        <v/>
      </c>
      <c r="W47" s="47" t="str">
        <f t="shared" si="0"/>
        <v/>
      </c>
    </row>
    <row r="48" spans="2:23" customFormat="1" x14ac:dyDescent="0.4">
      <c r="B48" s="55" t="str">
        <f>'Step 3 (MTP) - Plan and prior'!B43</f>
        <v>Main budgetary variables (4-year adjustment period)</v>
      </c>
      <c r="C48" s="14"/>
    </row>
    <row r="49" spans="2:24" customFormat="1" x14ac:dyDescent="0.4">
      <c r="B49" s="46" t="s">
        <v>311</v>
      </c>
      <c r="C49" s="14"/>
      <c r="D49" s="68" t="str">
        <f>IF(ISNUMBER('Step 3 (MTP) - Plan and prior'!D24),'Step 3 (MTP) - Plan and prior'!D24,"")</f>
        <v/>
      </c>
      <c r="E49" s="68" t="str">
        <f>IF(ISNUMBER('Step 3 (MTP) - Plan and prior'!E24),'Step 3 (MTP) - Plan and prior'!E24,"")</f>
        <v/>
      </c>
      <c r="F49" s="68" t="str">
        <f>IF(ISNUMBER('Step 3 (MTP) - Plan and prior'!F24),'Step 3 (MTP) - Plan and prior'!F24,"")</f>
        <v/>
      </c>
      <c r="G49" s="68" t="str">
        <f>IF(ISNUMBER('Step 3 (MTP) - Plan and prior'!G24),'Step 3 (MTP) - Plan and prior'!G24,"")</f>
        <v/>
      </c>
      <c r="H49" s="68" t="str">
        <f>IF(ISNUMBER('Step 3 (MTP) - Plan and prior'!H24),'Step 3 (MTP) - Plan and prior'!H24,"")</f>
        <v/>
      </c>
      <c r="I49" s="68" t="str">
        <f>IF(ISNUMBER('Step 3 (MTP) - Plan and prior'!I24),'Step 3 (MTP) - Plan and prior'!I24,"")</f>
        <v/>
      </c>
      <c r="J49" s="68" t="str">
        <f>IF(ISNUMBER('Step 3 (MTP) - Plan and prior'!J24),'Step 3 (MTP) - Plan and prior'!J24,"")</f>
        <v/>
      </c>
      <c r="K49" s="68" t="str">
        <f>IF(ISNUMBER('Step 3 (MTP) - Plan and prior'!K24),'Step 3 (MTP) - Plan and prior'!K24,"")</f>
        <v/>
      </c>
      <c r="L49" s="68" t="str">
        <f>IF(ISNUMBER('Step 3 (MTP) - Plan and prior'!L24),'Step 3 (MTP) - Plan and prior'!L24,"")</f>
        <v/>
      </c>
      <c r="M49" s="68" t="str">
        <f>IF(ISNUMBER('Step 3 (MTP) - Plan and prior'!M24),'Step 3 (MTP) - Plan and prior'!M24,"")</f>
        <v/>
      </c>
      <c r="N49" s="68" t="str">
        <f>IF(ISNUMBER('Step 3 (MTP) - Plan and prior'!N24),'Step 3 (MTP) - Plan and prior'!N24,"")</f>
        <v/>
      </c>
      <c r="O49" s="68" t="str">
        <f>IF(ISNUMBER('Step 3 (MTP) - Plan and prior'!O24),'Step 3 (MTP) - Plan and prior'!O24,"")</f>
        <v/>
      </c>
      <c r="P49" s="68" t="str">
        <f>IF(ISNUMBER('Step 3 (MTP) - Plan and prior'!P24),'Step 3 (MTP) - Plan and prior'!P24,"")</f>
        <v/>
      </c>
      <c r="Q49" s="68" t="str">
        <f>IF(ISNUMBER('Step 3 (MTP) - Plan and prior'!Q24),'Step 3 (MTP) - Plan and prior'!Q24,"")</f>
        <v/>
      </c>
      <c r="R49" s="68" t="str">
        <f>IF(ISNUMBER('Step 3 (MTP) - Plan and prior'!R24),'Step 3 (MTP) - Plan and prior'!R24,"")</f>
        <v/>
      </c>
      <c r="S49" s="68" t="str">
        <f>IF(ISNUMBER('Step 3 (MTP) - Plan and prior'!S24),'Step 3 (MTP) - Plan and prior'!S24,"")</f>
        <v/>
      </c>
      <c r="T49" s="68" t="str">
        <f>IF(ISNUMBER('Step 3 (MTP) - Plan and prior'!T24),'Step 3 (MTP) - Plan and prior'!T24,"")</f>
        <v/>
      </c>
      <c r="U49" s="68" t="str">
        <f>IF(ISNUMBER('Step 3 (MTP) - Plan and prior'!U24),'Step 3 (MTP) - Plan and prior'!U24,"")</f>
        <v/>
      </c>
      <c r="V49" s="68" t="str">
        <f>IF(ISNUMBER('Step 3 (MTP) - Plan and prior'!V24),'Step 3 (MTP) - Plan and prior'!V24,"")</f>
        <v/>
      </c>
      <c r="W49" s="68" t="str">
        <f>IF(ISNUMBER('Step 3 (MTP) - Plan and prior'!W24),'Step 3 (MTP) - Plan and prior'!W24,"")</f>
        <v/>
      </c>
    </row>
    <row r="50" spans="2:24" customFormat="1" x14ac:dyDescent="0.4">
      <c r="B50" s="46" t="s">
        <v>206</v>
      </c>
      <c r="C50" s="14"/>
      <c r="D50" s="68">
        <f>IF(ISNUMBER('Step 3 (MTP) - Plan and prior'!D25),'Step 3 (MTP) - Plan and prior'!D25,"")</f>
        <v>0</v>
      </c>
      <c r="E50" s="68">
        <f>IF(ISNUMBER('Step 3 (MTP) - Plan and prior'!E25),'Step 3 (MTP) - Plan and prior'!E25,"")</f>
        <v>0</v>
      </c>
      <c r="F50" s="68">
        <f>IF(ISNUMBER('Step 3 (MTP) - Plan and prior'!F25),'Step 3 (MTP) - Plan and prior'!F25,"")</f>
        <v>0</v>
      </c>
      <c r="G50" s="68">
        <f>IF(ISNUMBER('Step 3 (MTP) - Plan and prior'!G25),'Step 3 (MTP) - Plan and prior'!G25,"")</f>
        <v>0</v>
      </c>
      <c r="H50" s="68">
        <f>IF(ISNUMBER('Step 3 (MTP) - Plan and prior'!H25),'Step 3 (MTP) - Plan and prior'!H25,"")</f>
        <v>0</v>
      </c>
      <c r="I50" s="68">
        <f>IF(ISNUMBER('Step 3 (MTP) - Plan and prior'!I25),'Step 3 (MTP) - Plan and prior'!I25,"")</f>
        <v>0</v>
      </c>
      <c r="J50" s="68">
        <f>IF(ISNUMBER('Step 3 (MTP) - Plan and prior'!J25),'Step 3 (MTP) - Plan and prior'!J25,"")</f>
        <v>0</v>
      </c>
      <c r="K50" s="68">
        <f>IF(ISNUMBER('Step 3 (MTP) - Plan and prior'!K25),'Step 3 (MTP) - Plan and prior'!K25,"")</f>
        <v>0</v>
      </c>
      <c r="L50" s="68">
        <f>IF(ISNUMBER('Step 3 (MTP) - Plan and prior'!L25),'Step 3 (MTP) - Plan and prior'!L25,"")</f>
        <v>0</v>
      </c>
      <c r="M50" s="68">
        <f>IF(ISNUMBER('Step 3 (MTP) - Plan and prior'!M25),'Step 3 (MTP) - Plan and prior'!M25,"")</f>
        <v>0</v>
      </c>
      <c r="N50" s="68">
        <f>IF(ISNUMBER('Step 3 (MTP) - Plan and prior'!N25),'Step 3 (MTP) - Plan and prior'!N25,"")</f>
        <v>0</v>
      </c>
      <c r="O50" s="68">
        <f>IF(ISNUMBER('Step 3 (MTP) - Plan and prior'!O25),'Step 3 (MTP) - Plan and prior'!O25,"")</f>
        <v>0</v>
      </c>
      <c r="P50" s="68">
        <f>IF(ISNUMBER('Step 3 (MTP) - Plan and prior'!P25),'Step 3 (MTP) - Plan and prior'!P25,"")</f>
        <v>0</v>
      </c>
      <c r="Q50" s="68">
        <f>IF(ISNUMBER('Step 3 (MTP) - Plan and prior'!Q25),'Step 3 (MTP) - Plan and prior'!Q25,"")</f>
        <v>0</v>
      </c>
      <c r="R50" s="68">
        <f>IF(ISNUMBER('Step 3 (MTP) - Plan and prior'!R25),'Step 3 (MTP) - Plan and prior'!R25,"")</f>
        <v>0</v>
      </c>
      <c r="S50" s="68">
        <f>IF(ISNUMBER('Step 3 (MTP) - Plan and prior'!S25),'Step 3 (MTP) - Plan and prior'!S25,"")</f>
        <v>0</v>
      </c>
      <c r="T50" s="68" t="str">
        <f>IF(ISNUMBER('Step 3 (MTP) - Plan and prior'!T25),'Step 3 (MTP) - Plan and prior'!T25,"")</f>
        <v/>
      </c>
      <c r="U50" s="68" t="str">
        <f>IF(ISNUMBER('Step 3 (MTP) - Plan and prior'!U25),'Step 3 (MTP) - Plan and prior'!U25,"")</f>
        <v/>
      </c>
      <c r="V50" s="68" t="str">
        <f>IF(ISNUMBER('Step 3 (MTP) - Plan and prior'!V25),'Step 3 (MTP) - Plan and prior'!V25,"")</f>
        <v/>
      </c>
      <c r="W50" s="68" t="str">
        <f>IF(ISNUMBER('Step 3 (MTP) - Plan and prior'!W25),'Step 3 (MTP) - Plan and prior'!W25,"")</f>
        <v/>
      </c>
    </row>
    <row r="51" spans="2:24" customFormat="1" x14ac:dyDescent="0.4">
      <c r="B51" s="46" t="s">
        <v>0</v>
      </c>
      <c r="C51" s="14"/>
      <c r="D51" s="68" t="str">
        <f>IF(ISNUMBER('Step 3 (MTP) - Plan and prior'!D26),'Step 3 (MTP) - Plan and prior'!D26,"")</f>
        <v/>
      </c>
      <c r="E51" s="68" t="str">
        <f>IF(ISNUMBER('Step 3 (MTP) - Plan and prior'!E26),'Step 3 (MTP) - Plan and prior'!E26,"")</f>
        <v/>
      </c>
      <c r="F51" s="68" t="str">
        <f>IF(ISNUMBER('Step 3 (MTP) - Plan and prior'!F26),'Step 3 (MTP) - Plan and prior'!F26,"")</f>
        <v/>
      </c>
      <c r="G51" s="68" t="str">
        <f>IF(ISNUMBER('Step 3 (MTP) - Plan and prior'!G26),'Step 3 (MTP) - Plan and prior'!G26,"")</f>
        <v/>
      </c>
      <c r="H51" s="68" t="str">
        <f>IF(ISNUMBER('Step 3 (MTP) - Plan and prior'!H26),'Step 3 (MTP) - Plan and prior'!H26,"")</f>
        <v/>
      </c>
      <c r="I51" s="68" t="str">
        <f>IF(ISNUMBER('Step 3 (MTP) - Plan and prior'!I26),'Step 3 (MTP) - Plan and prior'!I26,"")</f>
        <v/>
      </c>
      <c r="J51" s="68" t="str">
        <f>IF(ISNUMBER('Step 3 (MTP) - Plan and prior'!J26),'Step 3 (MTP) - Plan and prior'!J26,"")</f>
        <v/>
      </c>
      <c r="K51" s="68" t="str">
        <f>IF(ISNUMBER('Step 3 (MTP) - Plan and prior'!K26),'Step 3 (MTP) - Plan and prior'!K26,"")</f>
        <v/>
      </c>
      <c r="L51" s="68" t="str">
        <f>IF(ISNUMBER('Step 3 (MTP) - Plan and prior'!L26),'Step 3 (MTP) - Plan and prior'!L26,"")</f>
        <v/>
      </c>
      <c r="M51" s="68" t="str">
        <f>IF(ISNUMBER('Step 3 (MTP) - Plan and prior'!M26),'Step 3 (MTP) - Plan and prior'!M26,"")</f>
        <v/>
      </c>
      <c r="N51" s="68" t="str">
        <f>IF(ISNUMBER('Step 3 (MTP) - Plan and prior'!N26),'Step 3 (MTP) - Plan and prior'!N26,"")</f>
        <v/>
      </c>
      <c r="O51" s="68" t="str">
        <f>IF(ISNUMBER('Step 3 (MTP) - Plan and prior'!O26),'Step 3 (MTP) - Plan and prior'!O26,"")</f>
        <v/>
      </c>
      <c r="P51" s="68" t="str">
        <f>IF(ISNUMBER('Step 3 (MTP) - Plan and prior'!P26),'Step 3 (MTP) - Plan and prior'!P26,"")</f>
        <v/>
      </c>
      <c r="Q51" s="68" t="str">
        <f>IF(ISNUMBER('Step 3 (MTP) - Plan and prior'!Q26),'Step 3 (MTP) - Plan and prior'!Q26,"")</f>
        <v/>
      </c>
      <c r="R51" s="68" t="str">
        <f>IF(ISNUMBER('Step 3 (MTP) - Plan and prior'!R26),'Step 3 (MTP) - Plan and prior'!R26,"")</f>
        <v/>
      </c>
      <c r="S51" s="68" t="str">
        <f>IF(ISNUMBER('Step 3 (MTP) - Plan and prior'!S26),'Step 3 (MTP) - Plan and prior'!S26,"")</f>
        <v/>
      </c>
      <c r="T51" s="68" t="str">
        <f>IF(ISNUMBER('Step 3 (MTP) - Plan and prior'!T26),'Step 3 (MTP) - Plan and prior'!T26,"")</f>
        <v/>
      </c>
      <c r="U51" s="68" t="str">
        <f>IF(ISNUMBER('Step 3 (MTP) - Plan and prior'!U26),'Step 3 (MTP) - Plan and prior'!U26,"")</f>
        <v/>
      </c>
      <c r="V51" s="68" t="str">
        <f>IF(ISNUMBER('Step 3 (MTP) - Plan and prior'!V26),'Step 3 (MTP) - Plan and prior'!V26,"")</f>
        <v/>
      </c>
      <c r="W51" s="68" t="str">
        <f>IF(ISNUMBER('Step 3 (MTP) - Plan and prior'!W26),'Step 3 (MTP) - Plan and prior'!W26,"")</f>
        <v/>
      </c>
    </row>
    <row r="52" spans="2:24" x14ac:dyDescent="0.4">
      <c r="B52" s="46" t="s">
        <v>1</v>
      </c>
      <c r="D52" s="68">
        <f>IF(ISNUMBER('Step 3 (MTP) - Plan and prior'!D27),'Step 3 (MTP) - Plan and prior'!D27,"")</f>
        <v>0</v>
      </c>
      <c r="E52" s="68">
        <f>IF(ISNUMBER('Step 3 (MTP) - Plan and prior'!E27),'Step 3 (MTP) - Plan and prior'!E27,"")</f>
        <v>0</v>
      </c>
      <c r="F52" s="68">
        <f>IF(ISNUMBER('Step 3 (MTP) - Plan and prior'!F27),'Step 3 (MTP) - Plan and prior'!F27,"")</f>
        <v>0</v>
      </c>
      <c r="G52" s="68">
        <f>IF(ISNUMBER('Step 3 (MTP) - Plan and prior'!G27),'Step 3 (MTP) - Plan and prior'!G27,"")</f>
        <v>0</v>
      </c>
      <c r="H52" s="68">
        <f>IF(ISNUMBER('Step 3 (MTP) - Plan and prior'!H27),'Step 3 (MTP) - Plan and prior'!H27,"")</f>
        <v>0</v>
      </c>
      <c r="I52" s="68">
        <f>IF(ISNUMBER('Step 3 (MTP) - Plan and prior'!I27),'Step 3 (MTP) - Plan and prior'!I27,"")</f>
        <v>0</v>
      </c>
      <c r="J52" s="68">
        <f>IF(ISNUMBER('Step 3 (MTP) - Plan and prior'!J27),'Step 3 (MTP) - Plan and prior'!J27,"")</f>
        <v>0</v>
      </c>
      <c r="K52" s="68">
        <f>IF(ISNUMBER('Step 3 (MTP) - Plan and prior'!K27),'Step 3 (MTP) - Plan and prior'!K27,"")</f>
        <v>0</v>
      </c>
      <c r="L52" s="68">
        <f>IF(ISNUMBER('Step 3 (MTP) - Plan and prior'!L27),'Step 3 (MTP) - Plan and prior'!L27,"")</f>
        <v>0</v>
      </c>
      <c r="M52" s="68">
        <f>IF(ISNUMBER('Step 3 (MTP) - Plan and prior'!M27),'Step 3 (MTP) - Plan and prior'!M27,"")</f>
        <v>0</v>
      </c>
      <c r="N52" s="68">
        <f>IF(ISNUMBER('Step 3 (MTP) - Plan and prior'!N27),'Step 3 (MTP) - Plan and prior'!N27,"")</f>
        <v>0</v>
      </c>
      <c r="O52" s="68">
        <f>IF(ISNUMBER('Step 3 (MTP) - Plan and prior'!O27),'Step 3 (MTP) - Plan and prior'!O27,"")</f>
        <v>0</v>
      </c>
      <c r="P52" s="68">
        <f>IF(ISNUMBER('Step 3 (MTP) - Plan and prior'!P27),'Step 3 (MTP) - Plan and prior'!P27,"")</f>
        <v>0</v>
      </c>
      <c r="Q52" s="68">
        <f>IF(ISNUMBER('Step 3 (MTP) - Plan and prior'!Q27),'Step 3 (MTP) - Plan and prior'!Q27,"")</f>
        <v>0</v>
      </c>
      <c r="R52" s="68">
        <f>IF(ISNUMBER('Step 3 (MTP) - Plan and prior'!R27),'Step 3 (MTP) - Plan and prior'!R27,"")</f>
        <v>0</v>
      </c>
      <c r="S52" s="68">
        <f>IF(ISNUMBER('Step 3 (MTP) - Plan and prior'!S27),'Step 3 (MTP) - Plan and prior'!S27,"")</f>
        <v>0</v>
      </c>
      <c r="T52" s="68" t="str">
        <f>IF(ISNUMBER('Step 3 (MTP) - Plan and prior'!T27),'Step 3 (MTP) - Plan and prior'!T27,"")</f>
        <v/>
      </c>
      <c r="U52" s="68" t="str">
        <f>IF(ISNUMBER('Step 3 (MTP) - Plan and prior'!U27),'Step 3 (MTP) - Plan and prior'!U27,"")</f>
        <v/>
      </c>
      <c r="V52" s="68" t="str">
        <f>IF(ISNUMBER('Step 3 (MTP) - Plan and prior'!V27),'Step 3 (MTP) - Plan and prior'!V27,"")</f>
        <v/>
      </c>
      <c r="W52" s="68" t="str">
        <f>IF(ISNUMBER('Step 3 (MTP) - Plan and prior'!W27),'Step 3 (MTP) - Plan and prior'!W27,"")</f>
        <v/>
      </c>
      <c r="X52"/>
    </row>
    <row r="53" spans="2:24" customFormat="1" x14ac:dyDescent="0.4">
      <c r="B53" s="55" t="s">
        <v>315</v>
      </c>
      <c r="C53" s="14"/>
      <c r="D53" s="48"/>
      <c r="E53" s="48"/>
      <c r="F53" s="48"/>
      <c r="G53" s="48"/>
      <c r="H53" s="48"/>
      <c r="I53" s="48"/>
      <c r="J53" s="48"/>
      <c r="K53" s="48"/>
      <c r="L53" s="48"/>
      <c r="M53" s="48"/>
      <c r="N53" s="48"/>
      <c r="O53" s="48"/>
      <c r="P53" s="48"/>
      <c r="Q53" s="48"/>
      <c r="R53" s="48"/>
      <c r="S53" s="48"/>
      <c r="T53" s="48"/>
      <c r="U53" s="48"/>
      <c r="V53" s="48"/>
      <c r="W53" s="48"/>
    </row>
    <row r="54" spans="2:24" x14ac:dyDescent="0.4">
      <c r="B54" s="46" t="s">
        <v>285</v>
      </c>
      <c r="D54" s="68" t="str">
        <f>IF(ISNUMBER('Step 3 (MTP) - Plan and prior'!#REF!),'Step 3 (MTP) - Plan and prior'!#REF!,"")</f>
        <v/>
      </c>
      <c r="E54" s="68" t="str">
        <f>IF(ISNUMBER('Step 3 (MTP) - Plan and prior'!#REF!),'Step 3 (MTP) - Plan and prior'!#REF!,"")</f>
        <v/>
      </c>
      <c r="F54" s="68" t="str">
        <f>IF(ISNUMBER('Step 3 (MTP) - Plan and prior'!#REF!),'Step 3 (MTP) - Plan and prior'!#REF!,"")</f>
        <v/>
      </c>
      <c r="G54" s="68" t="str">
        <f>IF(ISNUMBER('Step 3 (MTP) - Plan and prior'!#REF!),'Step 3 (MTP) - Plan and prior'!#REF!,"")</f>
        <v/>
      </c>
      <c r="H54" s="68" t="str">
        <f>IF(ISNUMBER('Step 3 (MTP) - Plan and prior'!#REF!),'Step 3 (MTP) - Plan and prior'!#REF!,"")</f>
        <v/>
      </c>
      <c r="I54" s="68" t="str">
        <f>IF(ISNUMBER('Step 3 (MTP) - Plan and prior'!#REF!),'Step 3 (MTP) - Plan and prior'!#REF!,"")</f>
        <v/>
      </c>
      <c r="J54" s="68" t="str">
        <f>IF(ISNUMBER('Step 3 (MTP) - Plan and prior'!#REF!),'Step 3 (MTP) - Plan and prior'!#REF!,"")</f>
        <v/>
      </c>
      <c r="K54" s="68" t="str">
        <f>IF(ISNUMBER('Step 3 (MTP) - Plan and prior'!#REF!),'Step 3 (MTP) - Plan and prior'!#REF!,"")</f>
        <v/>
      </c>
      <c r="L54" s="68" t="str">
        <f>IF(ISNUMBER('Step 3 (MTP) - Plan and prior'!#REF!),'Step 3 (MTP) - Plan and prior'!#REF!,"")</f>
        <v/>
      </c>
      <c r="M54" s="68" t="str">
        <f>IF(ISNUMBER('Step 3 (MTP) - Plan and prior'!#REF!),'Step 3 (MTP) - Plan and prior'!#REF!,"")</f>
        <v/>
      </c>
      <c r="N54" s="68" t="str">
        <f>IF(ISNUMBER('Step 3 (MTP) - Plan and prior'!#REF!),'Step 3 (MTP) - Plan and prior'!#REF!,"")</f>
        <v/>
      </c>
      <c r="O54" s="68" t="str">
        <f>IF(ISNUMBER('Step 3 (MTP) - Plan and prior'!#REF!),'Step 3 (MTP) - Plan and prior'!#REF!,"")</f>
        <v/>
      </c>
      <c r="P54" s="68" t="str">
        <f>IF(ISNUMBER('Step 3 (MTP) - Plan and prior'!#REF!),'Step 3 (MTP) - Plan and prior'!#REF!,"")</f>
        <v/>
      </c>
      <c r="Q54" s="68" t="str">
        <f>IF(ISNUMBER('Step 3 (MTP) - Plan and prior'!#REF!),'Step 3 (MTP) - Plan and prior'!#REF!,"")</f>
        <v/>
      </c>
      <c r="R54" s="68" t="str">
        <f>IF(ISNUMBER('Step 3 (MTP) - Plan and prior'!#REF!),'Step 3 (MTP) - Plan and prior'!#REF!,"")</f>
        <v/>
      </c>
      <c r="S54" s="68" t="str">
        <f>IF(ISNUMBER('Step 3 (MTP) - Plan and prior'!#REF!),'Step 3 (MTP) - Plan and prior'!#REF!,"")</f>
        <v/>
      </c>
      <c r="T54" s="68" t="str">
        <f>IF(ISNUMBER('Step 3 (MTP) - Plan and prior'!T29),'Step 3 (MTP) - Plan and prior'!T29,"")</f>
        <v/>
      </c>
      <c r="U54" s="68" t="str">
        <f>IF(ISNUMBER('Step 3 (MTP) - Plan and prior'!U29),'Step 3 (MTP) - Plan and prior'!U29,"")</f>
        <v/>
      </c>
      <c r="V54" s="68" t="str">
        <f>IF(ISNUMBER('Step 3 (MTP) - Plan and prior'!V29),'Step 3 (MTP) - Plan and prior'!V29,"")</f>
        <v/>
      </c>
      <c r="W54" s="68" t="str">
        <f>IF(ISNUMBER('Step 3 (MTP) - Plan and prior'!W29),'Step 3 (MTP) - Plan and prior'!W29,"")</f>
        <v/>
      </c>
      <c r="X54"/>
    </row>
    <row r="55" spans="2:24" x14ac:dyDescent="0.4">
      <c r="B55" s="46" t="s">
        <v>286</v>
      </c>
      <c r="D55" s="68" t="str">
        <f>IF(ISNUMBER('Step 3 (MTP) - Plan and prior'!#REF!),'Step 3 (MTP) - Plan and prior'!#REF!,"")</f>
        <v/>
      </c>
      <c r="E55" s="68" t="str">
        <f>IF(ISNUMBER('Step 3 (MTP) - Plan and prior'!#REF!),'Step 3 (MTP) - Plan and prior'!#REF!,"")</f>
        <v/>
      </c>
      <c r="F55" s="68" t="str">
        <f>IF(ISNUMBER('Step 3 (MTP) - Plan and prior'!#REF!),'Step 3 (MTP) - Plan and prior'!#REF!,"")</f>
        <v/>
      </c>
      <c r="G55" s="68" t="str">
        <f>IF(ISNUMBER('Step 3 (MTP) - Plan and prior'!#REF!),'Step 3 (MTP) - Plan and prior'!#REF!,"")</f>
        <v/>
      </c>
      <c r="H55" s="68" t="str">
        <f>IF(ISNUMBER('Step 3 (MTP) - Plan and prior'!#REF!),'Step 3 (MTP) - Plan and prior'!#REF!,"")</f>
        <v/>
      </c>
      <c r="I55" s="68" t="str">
        <f>IF(ISNUMBER('Step 3 (MTP) - Plan and prior'!#REF!),'Step 3 (MTP) - Plan and prior'!#REF!,"")</f>
        <v/>
      </c>
      <c r="J55" s="68" t="str">
        <f>IF(ISNUMBER('Step 3 (MTP) - Plan and prior'!#REF!),'Step 3 (MTP) - Plan and prior'!#REF!,"")</f>
        <v/>
      </c>
      <c r="K55" s="68" t="str">
        <f>IF(ISNUMBER('Step 3 (MTP) - Plan and prior'!#REF!),'Step 3 (MTP) - Plan and prior'!#REF!,"")</f>
        <v/>
      </c>
      <c r="L55" s="68" t="str">
        <f>IF(ISNUMBER('Step 3 (MTP) - Plan and prior'!#REF!),'Step 3 (MTP) - Plan and prior'!#REF!,"")</f>
        <v/>
      </c>
      <c r="M55" s="68" t="str">
        <f>IF(ISNUMBER('Step 3 (MTP) - Plan and prior'!#REF!),'Step 3 (MTP) - Plan and prior'!#REF!,"")</f>
        <v/>
      </c>
      <c r="N55" s="68" t="str">
        <f>IF(ISNUMBER('Step 3 (MTP) - Plan and prior'!#REF!),'Step 3 (MTP) - Plan and prior'!#REF!,"")</f>
        <v/>
      </c>
      <c r="O55" s="68" t="str">
        <f>IF(ISNUMBER('Step 3 (MTP) - Plan and prior'!#REF!),'Step 3 (MTP) - Plan and prior'!#REF!,"")</f>
        <v/>
      </c>
      <c r="P55" s="68" t="str">
        <f>IF(ISNUMBER('Step 3 (MTP) - Plan and prior'!#REF!),'Step 3 (MTP) - Plan and prior'!#REF!,"")</f>
        <v/>
      </c>
      <c r="Q55" s="68" t="str">
        <f>IF(ISNUMBER('Step 3 (MTP) - Plan and prior'!#REF!),'Step 3 (MTP) - Plan and prior'!#REF!,"")</f>
        <v/>
      </c>
      <c r="R55" s="68" t="str">
        <f>IF(ISNUMBER('Step 3 (MTP) - Plan and prior'!#REF!),'Step 3 (MTP) - Plan and prior'!#REF!,"")</f>
        <v/>
      </c>
      <c r="S55" s="68" t="str">
        <f>IF(ISNUMBER('Step 3 (MTP) - Plan and prior'!#REF!),'Step 3 (MTP) - Plan and prior'!#REF!,"")</f>
        <v/>
      </c>
      <c r="T55" s="68" t="str">
        <f>IF(ISNUMBER('Step 3 (MTP) - Plan and prior'!T30),'Step 3 (MTP) - Plan and prior'!T30,"")</f>
        <v/>
      </c>
      <c r="U55" s="68" t="str">
        <f>IF(ISNUMBER('Step 3 (MTP) - Plan and prior'!U30),'Step 3 (MTP) - Plan and prior'!U30,"")</f>
        <v/>
      </c>
      <c r="V55" s="68" t="str">
        <f>IF(ISNUMBER('Step 3 (MTP) - Plan and prior'!V30),'Step 3 (MTP) - Plan and prior'!V30,"")</f>
        <v/>
      </c>
      <c r="W55" s="68" t="str">
        <f>IF(ISNUMBER('Step 3 (MTP) - Plan and prior'!W30),'Step 3 (MTP) - Plan and prior'!W30,"")</f>
        <v/>
      </c>
      <c r="X55"/>
    </row>
    <row r="56" spans="2:24" x14ac:dyDescent="0.4">
      <c r="B56" s="46" t="s">
        <v>287</v>
      </c>
      <c r="D56" s="68" t="str">
        <f>IF(ISNUMBER('Step 3 (MTP) - Plan and prior'!#REF!),'Step 3 (MTP) - Plan and prior'!#REF!,"")</f>
        <v/>
      </c>
      <c r="E56" s="68" t="str">
        <f>IF(ISNUMBER('Step 3 (MTP) - Plan and prior'!#REF!),'Step 3 (MTP) - Plan and prior'!#REF!,"")</f>
        <v/>
      </c>
      <c r="F56" s="68" t="str">
        <f>IF(ISNUMBER('Step 3 (MTP) - Plan and prior'!#REF!),'Step 3 (MTP) - Plan and prior'!#REF!,"")</f>
        <v/>
      </c>
      <c r="G56" s="68" t="str">
        <f>IF(ISNUMBER('Step 3 (MTP) - Plan and prior'!#REF!),'Step 3 (MTP) - Plan and prior'!#REF!,"")</f>
        <v/>
      </c>
      <c r="H56" s="68" t="str">
        <f>IF(ISNUMBER('Step 3 (MTP) - Plan and prior'!#REF!),'Step 3 (MTP) - Plan and prior'!#REF!,"")</f>
        <v/>
      </c>
      <c r="I56" s="68" t="str">
        <f>IF(ISNUMBER('Step 3 (MTP) - Plan and prior'!#REF!),'Step 3 (MTP) - Plan and prior'!#REF!,"")</f>
        <v/>
      </c>
      <c r="J56" s="68" t="str">
        <f>IF(ISNUMBER('Step 3 (MTP) - Plan and prior'!#REF!),'Step 3 (MTP) - Plan and prior'!#REF!,"")</f>
        <v/>
      </c>
      <c r="K56" s="68" t="str">
        <f>IF(ISNUMBER('Step 3 (MTP) - Plan and prior'!#REF!),'Step 3 (MTP) - Plan and prior'!#REF!,"")</f>
        <v/>
      </c>
      <c r="L56" s="68" t="str">
        <f>IF(ISNUMBER('Step 3 (MTP) - Plan and prior'!#REF!),'Step 3 (MTP) - Plan and prior'!#REF!,"")</f>
        <v/>
      </c>
      <c r="M56" s="68" t="str">
        <f>IF(ISNUMBER('Step 3 (MTP) - Plan and prior'!#REF!),'Step 3 (MTP) - Plan and prior'!#REF!,"")</f>
        <v/>
      </c>
      <c r="N56" s="68" t="str">
        <f>IF(ISNUMBER('Step 3 (MTP) - Plan and prior'!#REF!),'Step 3 (MTP) - Plan and prior'!#REF!,"")</f>
        <v/>
      </c>
      <c r="O56" s="68" t="str">
        <f>IF(ISNUMBER('Step 3 (MTP) - Plan and prior'!#REF!),'Step 3 (MTP) - Plan and prior'!#REF!,"")</f>
        <v/>
      </c>
      <c r="P56" s="68" t="str">
        <f>IF(ISNUMBER('Step 3 (MTP) - Plan and prior'!#REF!),'Step 3 (MTP) - Plan and prior'!#REF!,"")</f>
        <v/>
      </c>
      <c r="Q56" s="68" t="str">
        <f>IF(ISNUMBER('Step 3 (MTP) - Plan and prior'!#REF!),'Step 3 (MTP) - Plan and prior'!#REF!,"")</f>
        <v/>
      </c>
      <c r="R56" s="68" t="str">
        <f>IF(ISNUMBER('Step 3 (MTP) - Plan and prior'!#REF!),'Step 3 (MTP) - Plan and prior'!#REF!,"")</f>
        <v/>
      </c>
      <c r="S56" s="68" t="str">
        <f>IF(ISNUMBER('Step 3 (MTP) - Plan and prior'!#REF!),'Step 3 (MTP) - Plan and prior'!#REF!,"")</f>
        <v/>
      </c>
      <c r="T56" s="68" t="str">
        <f>IF(ISNUMBER('Step 3 (MTP) - Plan and prior'!T31),'Step 3 (MTP) - Plan and prior'!T31,"")</f>
        <v/>
      </c>
      <c r="U56" s="68" t="str">
        <f>IF(ISNUMBER('Step 3 (MTP) - Plan and prior'!U31),'Step 3 (MTP) - Plan and prior'!U31,"")</f>
        <v/>
      </c>
      <c r="V56" s="68" t="str">
        <f>IF(ISNUMBER('Step 3 (MTP) - Plan and prior'!V31),'Step 3 (MTP) - Plan and prior'!V31,"")</f>
        <v/>
      </c>
      <c r="W56" s="68" t="str">
        <f>IF(ISNUMBER('Step 3 (MTP) - Plan and prior'!W31),'Step 3 (MTP) - Plan and prior'!W31,"")</f>
        <v/>
      </c>
      <c r="X56"/>
    </row>
    <row r="57" spans="2:24" x14ac:dyDescent="0.4">
      <c r="B57" s="46" t="s">
        <v>288</v>
      </c>
      <c r="D57" s="68" t="str">
        <f>IF(ISNUMBER('Step 3 (MTP) - Plan and prior'!#REF!),'Step 3 (MTP) - Plan and prior'!#REF!,"")</f>
        <v/>
      </c>
      <c r="E57" s="68" t="str">
        <f>IF(ISNUMBER('Step 3 (MTP) - Plan and prior'!#REF!),'Step 3 (MTP) - Plan and prior'!#REF!,"")</f>
        <v/>
      </c>
      <c r="F57" s="68" t="str">
        <f>IF(ISNUMBER('Step 3 (MTP) - Plan and prior'!#REF!),'Step 3 (MTP) - Plan and prior'!#REF!,"")</f>
        <v/>
      </c>
      <c r="G57" s="68" t="str">
        <f>IF(ISNUMBER('Step 3 (MTP) - Plan and prior'!#REF!),'Step 3 (MTP) - Plan and prior'!#REF!,"")</f>
        <v/>
      </c>
      <c r="H57" s="68" t="str">
        <f>IF(ISNUMBER('Step 3 (MTP) - Plan and prior'!#REF!),'Step 3 (MTP) - Plan and prior'!#REF!,"")</f>
        <v/>
      </c>
      <c r="I57" s="68" t="str">
        <f>IF(ISNUMBER('Step 3 (MTP) - Plan and prior'!#REF!),'Step 3 (MTP) - Plan and prior'!#REF!,"")</f>
        <v/>
      </c>
      <c r="J57" s="68" t="str">
        <f>IF(ISNUMBER('Step 3 (MTP) - Plan and prior'!#REF!),'Step 3 (MTP) - Plan and prior'!#REF!,"")</f>
        <v/>
      </c>
      <c r="K57" s="68" t="str">
        <f>IF(ISNUMBER('Step 3 (MTP) - Plan and prior'!#REF!),'Step 3 (MTP) - Plan and prior'!#REF!,"")</f>
        <v/>
      </c>
      <c r="L57" s="68" t="str">
        <f>IF(ISNUMBER('Step 3 (MTP) - Plan and prior'!#REF!),'Step 3 (MTP) - Plan and prior'!#REF!,"")</f>
        <v/>
      </c>
      <c r="M57" s="68" t="str">
        <f>IF(ISNUMBER('Step 3 (MTP) - Plan and prior'!#REF!),'Step 3 (MTP) - Plan and prior'!#REF!,"")</f>
        <v/>
      </c>
      <c r="N57" s="68" t="str">
        <f>IF(ISNUMBER('Step 3 (MTP) - Plan and prior'!#REF!),'Step 3 (MTP) - Plan and prior'!#REF!,"")</f>
        <v/>
      </c>
      <c r="O57" s="68" t="str">
        <f>IF(ISNUMBER('Step 3 (MTP) - Plan and prior'!#REF!),'Step 3 (MTP) - Plan and prior'!#REF!,"")</f>
        <v/>
      </c>
      <c r="P57" s="68" t="str">
        <f>IF(ISNUMBER('Step 3 (MTP) - Plan and prior'!#REF!),'Step 3 (MTP) - Plan and prior'!#REF!,"")</f>
        <v/>
      </c>
      <c r="Q57" s="68" t="str">
        <f>IF(ISNUMBER('Step 3 (MTP) - Plan and prior'!#REF!),'Step 3 (MTP) - Plan and prior'!#REF!,"")</f>
        <v/>
      </c>
      <c r="R57" s="68" t="str">
        <f>IF(ISNUMBER('Step 3 (MTP) - Plan and prior'!#REF!),'Step 3 (MTP) - Plan and prior'!#REF!,"")</f>
        <v/>
      </c>
      <c r="S57" s="68" t="str">
        <f>IF(ISNUMBER('Step 3 (MTP) - Plan and prior'!#REF!),'Step 3 (MTP) - Plan and prior'!#REF!,"")</f>
        <v/>
      </c>
      <c r="T57" s="68" t="str">
        <f>IF(ISNUMBER('Step 3 (MTP) - Plan and prior'!T32),'Step 3 (MTP) - Plan and prior'!T32,"")</f>
        <v/>
      </c>
      <c r="U57" s="68" t="str">
        <f>IF(ISNUMBER('Step 3 (MTP) - Plan and prior'!U32),'Step 3 (MTP) - Plan and prior'!U32,"")</f>
        <v/>
      </c>
      <c r="V57" s="68" t="str">
        <f>IF(ISNUMBER('Step 3 (MTP) - Plan and prior'!V32),'Step 3 (MTP) - Plan and prior'!V32,"")</f>
        <v/>
      </c>
      <c r="W57" s="68" t="str">
        <f>IF(ISNUMBER('Step 3 (MTP) - Plan and prior'!W32),'Step 3 (MTP) - Plan and prior'!W32,"")</f>
        <v/>
      </c>
      <c r="X57"/>
    </row>
    <row r="58" spans="2:24" ht="12.4" customHeight="1" x14ac:dyDescent="0.4">
      <c r="B58" s="61" t="s">
        <v>355</v>
      </c>
      <c r="C58" s="19"/>
      <c r="D58" s="48">
        <f>IF(ISNUMBER('Step 3 (MTP) - Plan and prior'!D33),'Step 3 (MTP) - Plan and prior'!D33,"")</f>
        <v>0</v>
      </c>
      <c r="E58" s="48" t="str">
        <f>IF(ISNUMBER('Step 3 (MTP) - Plan and prior'!E33),'Step 3 (MTP) - Plan and prior'!E33,"")</f>
        <v/>
      </c>
      <c r="F58" s="48" t="str">
        <f>IF(ISNUMBER('Step 3 (MTP) - Plan and prior'!F33),'Step 3 (MTP) - Plan and prior'!F33,"")</f>
        <v/>
      </c>
      <c r="G58" s="48" t="str">
        <f>IF(ISNUMBER('Step 3 (MTP) - Plan and prior'!G33),'Step 3 (MTP) - Plan and prior'!G33,"")</f>
        <v/>
      </c>
      <c r="H58" s="48" t="str">
        <f>IF(ISNUMBER('Step 3 (MTP) - Plan and prior'!H33),'Step 3 (MTP) - Plan and prior'!H33,"")</f>
        <v/>
      </c>
      <c r="I58" s="48" t="str">
        <f>IF(ISNUMBER('Step 3 (MTP) - Plan and prior'!I33),'Step 3 (MTP) - Plan and prior'!I33,"")</f>
        <v/>
      </c>
      <c r="J58" s="48" t="str">
        <f>IF(ISNUMBER('Step 3 (MTP) - Plan and prior'!J33),'Step 3 (MTP) - Plan and prior'!J33,"")</f>
        <v/>
      </c>
      <c r="K58" s="48" t="str">
        <f>IF(ISNUMBER('Step 3 (MTP) - Plan and prior'!K33),'Step 3 (MTP) - Plan and prior'!K33,"")</f>
        <v/>
      </c>
      <c r="L58" s="48" t="str">
        <f>IF(ISNUMBER('Step 3 (MTP) - Plan and prior'!L33),'Step 3 (MTP) - Plan and prior'!L33,"")</f>
        <v/>
      </c>
      <c r="M58" s="48" t="str">
        <f>IF(ISNUMBER('Step 3 (MTP) - Plan and prior'!M33),'Step 3 (MTP) - Plan and prior'!M33,"")</f>
        <v/>
      </c>
      <c r="N58" s="48" t="str">
        <f>IF(ISNUMBER('Step 3 (MTP) - Plan and prior'!N33),'Step 3 (MTP) - Plan and prior'!N33,"")</f>
        <v/>
      </c>
      <c r="O58" s="48" t="str">
        <f>IF(ISNUMBER('Step 3 (MTP) - Plan and prior'!O33),'Step 3 (MTP) - Plan and prior'!O33,"")</f>
        <v/>
      </c>
      <c r="P58" s="48" t="str">
        <f>IF(ISNUMBER('Step 3 (MTP) - Plan and prior'!P33),'Step 3 (MTP) - Plan and prior'!P33,"")</f>
        <v/>
      </c>
      <c r="Q58" s="48" t="str">
        <f>IF(ISNUMBER('Step 3 (MTP) - Plan and prior'!Q33),'Step 3 (MTP) - Plan and prior'!Q33,"")</f>
        <v/>
      </c>
      <c r="R58" s="48" t="str">
        <f>IF(ISNUMBER('Step 3 (MTP) - Plan and prior'!R33),'Step 3 (MTP) - Plan and prior'!R33,"")</f>
        <v/>
      </c>
      <c r="S58" s="48" t="str">
        <f>IF(ISNUMBER('Step 3 (MTP) - Plan and prior'!S33),'Step 3 (MTP) - Plan and prior'!S33,"")</f>
        <v/>
      </c>
      <c r="T58" s="48" t="str">
        <f>IF(ISNUMBER('Step 3 (MTP) - Plan and prior'!T33),'Step 3 (MTP) - Plan and prior'!T33,"")</f>
        <v/>
      </c>
      <c r="U58" s="48" t="str">
        <f>IF(ISNUMBER('Step 3 (MTP) - Plan and prior'!U33),'Step 3 (MTP) - Plan and prior'!U33,"")</f>
        <v/>
      </c>
      <c r="V58" s="48" t="str">
        <f>IF(ISNUMBER('Step 3 (MTP) - Plan and prior'!V33),'Step 3 (MTP) - Plan and prior'!V33,"")</f>
        <v/>
      </c>
      <c r="W58" s="48" t="str">
        <f>IF(ISNUMBER('Step 3 (MTP) - Plan and prior'!W33),'Step 3 (MTP) - Plan and prior'!W33,"")</f>
        <v/>
      </c>
      <c r="X58"/>
    </row>
    <row r="59" spans="2:24" customFormat="1" x14ac:dyDescent="0.4">
      <c r="B59" s="55"/>
      <c r="C59" s="14"/>
      <c r="D59" s="48"/>
      <c r="E59" s="48"/>
      <c r="F59" s="48"/>
      <c r="G59" s="48"/>
      <c r="H59" s="48"/>
      <c r="I59" s="48"/>
      <c r="J59" s="48"/>
      <c r="K59" s="48"/>
      <c r="L59" s="48"/>
      <c r="M59" s="48"/>
      <c r="N59" s="48"/>
      <c r="O59" s="48"/>
      <c r="P59" s="48"/>
      <c r="Q59" s="48"/>
      <c r="R59" s="48"/>
      <c r="S59" s="48"/>
      <c r="T59" s="48"/>
      <c r="U59" s="48"/>
      <c r="V59" s="48"/>
      <c r="W59" s="48"/>
    </row>
    <row r="60" spans="2:24" customFormat="1" ht="18" x14ac:dyDescent="0.55000000000000004">
      <c r="B60" s="50" t="str">
        <f>IF(Receives_reference_trajectory,"Prior guidance: reference trajectory and DSA","Prior guidance: technical information and DSA")</f>
        <v>Prior guidance: reference trajectory and DSA</v>
      </c>
      <c r="C60" s="14"/>
      <c r="D60" s="48"/>
      <c r="E60" s="48"/>
      <c r="F60" s="48"/>
      <c r="G60" s="48"/>
      <c r="H60" s="48"/>
      <c r="I60" s="48"/>
    </row>
    <row r="61" spans="2:24" customFormat="1" ht="15.75" x14ac:dyDescent="0.5">
      <c r="B61" s="79" t="s">
        <v>310</v>
      </c>
      <c r="C61" s="14"/>
      <c r="D61" s="48"/>
      <c r="E61" s="48"/>
      <c r="F61" s="48"/>
      <c r="G61" s="48"/>
      <c r="H61" s="48"/>
      <c r="I61" s="48"/>
    </row>
    <row r="62" spans="2:24" x14ac:dyDescent="0.4">
      <c r="B62" s="39" t="s">
        <v>251</v>
      </c>
      <c r="C62" s="94"/>
      <c r="D62" s="44" cm="1">
        <f t="array" ref="D62:S62">_xlfn.SEQUENCE(1, AdjustmentPeriodEnd+10-MTP_BaseYear+1, MTP_BaseYear)</f>
        <v>2023</v>
      </c>
      <c r="E62" s="60">
        <v>2024</v>
      </c>
      <c r="F62" s="60">
        <v>2025</v>
      </c>
      <c r="G62" s="60">
        <v>2026</v>
      </c>
      <c r="H62" s="60">
        <v>2027</v>
      </c>
      <c r="I62" s="60">
        <v>2028</v>
      </c>
      <c r="J62" s="60">
        <v>2029</v>
      </c>
      <c r="K62" s="60">
        <v>2030</v>
      </c>
      <c r="L62" s="60">
        <v>2031</v>
      </c>
      <c r="M62" s="60">
        <v>2032</v>
      </c>
      <c r="N62" s="60">
        <v>2033</v>
      </c>
      <c r="O62" s="60">
        <v>2034</v>
      </c>
      <c r="P62" s="60">
        <v>2035</v>
      </c>
      <c r="Q62" s="60">
        <v>2036</v>
      </c>
      <c r="R62" s="60">
        <v>2037</v>
      </c>
      <c r="S62" s="60">
        <v>2038</v>
      </c>
      <c r="T62" s="60"/>
      <c r="U62" s="60"/>
      <c r="V62" s="60"/>
      <c r="W62" s="60"/>
    </row>
    <row r="63" spans="2:24" x14ac:dyDescent="0.4">
      <c r="B63" s="41" t="s">
        <v>274</v>
      </c>
      <c r="C63" s="19"/>
      <c r="D63" s="47" t="str">
        <f t="shared" ref="D63:W63" si="1">IF(AND(D$62&gt;=MTP_YearT-1, D$62&lt;=AdjustmentPeriodEnd), IF(D$62=MTP_YearT-1, "T-1", IF(D$62=MTP_YearT, "T", "T+"&amp;(D$62-MTP_YearT))), "")</f>
        <v>T-1</v>
      </c>
      <c r="E63" s="47" t="str">
        <f t="shared" si="1"/>
        <v>T</v>
      </c>
      <c r="F63" s="47" t="str">
        <f t="shared" si="1"/>
        <v>T+1</v>
      </c>
      <c r="G63" s="47" t="str">
        <f t="shared" si="1"/>
        <v>T+2</v>
      </c>
      <c r="H63" s="47" t="str">
        <f t="shared" si="1"/>
        <v>T+3</v>
      </c>
      <c r="I63" s="47" t="str">
        <f t="shared" si="1"/>
        <v>T+4</v>
      </c>
      <c r="J63" s="47" t="str">
        <f t="shared" si="1"/>
        <v/>
      </c>
      <c r="K63" s="47" t="str">
        <f t="shared" si="1"/>
        <v/>
      </c>
      <c r="L63" s="47" t="str">
        <f t="shared" si="1"/>
        <v/>
      </c>
      <c r="M63" s="47" t="str">
        <f t="shared" si="1"/>
        <v/>
      </c>
      <c r="N63" s="47" t="str">
        <f t="shared" si="1"/>
        <v/>
      </c>
      <c r="O63" s="47" t="str">
        <f t="shared" si="1"/>
        <v/>
      </c>
      <c r="P63" s="47" t="str">
        <f t="shared" si="1"/>
        <v/>
      </c>
      <c r="Q63" s="47" t="str">
        <f t="shared" si="1"/>
        <v/>
      </c>
      <c r="R63" s="47" t="str">
        <f t="shared" si="1"/>
        <v/>
      </c>
      <c r="S63" s="47" t="str">
        <f t="shared" si="1"/>
        <v/>
      </c>
      <c r="T63" s="47" t="str">
        <f t="shared" si="1"/>
        <v/>
      </c>
      <c r="U63" s="47" t="str">
        <f t="shared" si="1"/>
        <v/>
      </c>
      <c r="V63" s="47" t="str">
        <f t="shared" si="1"/>
        <v/>
      </c>
      <c r="W63" s="47" t="str">
        <f t="shared" si="1"/>
        <v/>
      </c>
    </row>
    <row r="64" spans="2:24" x14ac:dyDescent="0.4">
      <c r="B64" s="55" t="str">
        <f>'Step 3 (MTP) - Plan and prior'!B39</f>
        <v>Reference trajectory provided by the Commission</v>
      </c>
      <c r="D64" s="84" t="str">
        <f>IF(ISNUMBER('Step 3 (MTP) - Plan and prior'!D39),'Step 3 (MTP) - Plan and prior'!D39,"")</f>
        <v/>
      </c>
      <c r="E64" s="84" t="str">
        <f>IF(ISNUMBER('Step 3 (MTP) - Plan and prior'!E39),'Step 3 (MTP) - Plan and prior'!E39,"")</f>
        <v/>
      </c>
      <c r="F64" s="84" t="str">
        <f>IF(ISNUMBER('Step 3 (MTP) - Plan and prior'!F39),'Step 3 (MTP) - Plan and prior'!F39,"")</f>
        <v/>
      </c>
      <c r="G64" s="84" t="str">
        <f>IF(ISNUMBER('Step 3 (MTP) - Plan and prior'!G39),'Step 3 (MTP) - Plan and prior'!G39,"")</f>
        <v/>
      </c>
      <c r="H64" s="84" t="str">
        <f>IF(ISNUMBER('Step 3 (MTP) - Plan and prior'!H39),'Step 3 (MTP) - Plan and prior'!H39,"")</f>
        <v/>
      </c>
      <c r="I64" s="84" t="str">
        <f>IF(ISNUMBER('Step 3 (MTP) - Plan and prior'!I39),'Step 3 (MTP) - Plan and prior'!I39,"")</f>
        <v/>
      </c>
      <c r="J64" s="84" t="str">
        <f>IF(ISNUMBER('Step 3 (MTP) - Plan and prior'!J39),'Step 3 (MTP) - Plan and prior'!J39,"")</f>
        <v/>
      </c>
      <c r="K64" s="84" t="str">
        <f>IF(ISNUMBER('Step 3 (MTP) - Plan and prior'!K39),'Step 3 (MTP) - Plan and prior'!K39,"")</f>
        <v/>
      </c>
      <c r="L64" s="84" t="str">
        <f>IF(ISNUMBER('Step 3 (MTP) - Plan and prior'!L39),'Step 3 (MTP) - Plan and prior'!L39,"")</f>
        <v/>
      </c>
      <c r="M64" s="84" t="str">
        <f>IF(ISNUMBER('Step 3 (MTP) - Plan and prior'!M39),'Step 3 (MTP) - Plan and prior'!M39,"")</f>
        <v/>
      </c>
      <c r="N64" s="84" t="str">
        <f>IF(ISNUMBER('Step 3 (MTP) - Plan and prior'!N39),'Step 3 (MTP) - Plan and prior'!N39,"")</f>
        <v/>
      </c>
      <c r="O64" s="84" t="str">
        <f>IF(ISNUMBER('Step 3 (MTP) - Plan and prior'!O39),'Step 3 (MTP) - Plan and prior'!O39,"")</f>
        <v/>
      </c>
      <c r="P64" s="84" t="str">
        <f>IF(ISNUMBER('Step 3 (MTP) - Plan and prior'!P39),'Step 3 (MTP) - Plan and prior'!P39,"")</f>
        <v/>
      </c>
      <c r="Q64" s="84" t="str">
        <f>IF(ISNUMBER('Step 3 (MTP) - Plan and prior'!Q39),'Step 3 (MTP) - Plan and prior'!Q39,"")</f>
        <v/>
      </c>
      <c r="R64" s="84" t="str">
        <f>IF(ISNUMBER('Step 3 (MTP) - Plan and prior'!R39),'Step 3 (MTP) - Plan and prior'!R39,"")</f>
        <v/>
      </c>
      <c r="S64" s="84" t="str">
        <f>IF(ISNUMBER('Step 3 (MTP) - Plan and prior'!S39),'Step 3 (MTP) - Plan and prior'!S39,"")</f>
        <v/>
      </c>
      <c r="T64" s="84" t="str">
        <f>IF(ISNUMBER('Step 3 (MTP) - Plan and prior'!T39),'Step 3 (MTP) - Plan and prior'!T39,"")</f>
        <v/>
      </c>
      <c r="U64" s="84" t="str">
        <f>IF(ISNUMBER('Step 3 (MTP) - Plan and prior'!U39),'Step 3 (MTP) - Plan and prior'!U39,"")</f>
        <v/>
      </c>
      <c r="V64" s="84" t="str">
        <f>IF(ISNUMBER('Step 3 (MTP) - Plan and prior'!V39),'Step 3 (MTP) - Plan and prior'!V39,"")</f>
        <v/>
      </c>
      <c r="W64" s="84" t="str">
        <f>IF(ISNUMBER('Step 3 (MTP) - Plan and prior'!W39),'Step 3 (MTP) - Plan and prior'!W39,"")</f>
        <v/>
      </c>
      <c r="X64" s="84" t="str">
        <f>IF(ISNUMBER('Step 3 (MTP) - Plan and prior'!X39),'Step 3 (MTP) - Plan and prior'!X39,"")</f>
        <v/>
      </c>
    </row>
    <row r="65" spans="2:24" ht="16.899999999999999" customHeight="1" x14ac:dyDescent="0.4">
      <c r="B65" s="55" t="str">
        <f>'Step 3 (MTP) - Plan and prior'!B40</f>
        <v>Minimum level for the structural primary balance in 2028 (not applicable), no safeguard</v>
      </c>
      <c r="D65" s="68" t="str">
        <f>IF(ISNUMBER('Step 3 (MTP) - Plan and prior'!D40),'Step 3 (MTP) - Plan and prior'!D40,"")</f>
        <v/>
      </c>
      <c r="E65" s="68" t="str">
        <f>IF(ISNUMBER('Step 3 (MTP) - Plan and prior'!E40),'Step 3 (MTP) - Plan and prior'!E40,"")</f>
        <v/>
      </c>
      <c r="F65" s="68" t="str">
        <f>IF(ISNUMBER('Step 3 (MTP) - Plan and prior'!F40),'Step 3 (MTP) - Plan and prior'!F40,"")</f>
        <v/>
      </c>
      <c r="G65" s="68" t="str">
        <f>IF(ISNUMBER('Step 3 (MTP) - Plan and prior'!G40),'Step 3 (MTP) - Plan and prior'!G40,"")</f>
        <v/>
      </c>
      <c r="H65" s="68" t="str">
        <f>IF(ISNUMBER('Step 3 (MTP) - Plan and prior'!H40),'Step 3 (MTP) - Plan and prior'!H40,"")</f>
        <v/>
      </c>
      <c r="I65" s="68" t="str">
        <f>IF(ISNUMBER('Step 3 (MTP) - Plan and prior'!I40),'Step 3 (MTP) - Plan and prior'!I40,"")</f>
        <v/>
      </c>
      <c r="J65" s="68" t="str">
        <f>IF(ISNUMBER('Step 3 (MTP) - Plan and prior'!J40),'Step 3 (MTP) - Plan and prior'!J40,"")</f>
        <v/>
      </c>
      <c r="K65" s="68" t="str">
        <f>IF(ISNUMBER('Step 3 (MTP) - Plan and prior'!K40),'Step 3 (MTP) - Plan and prior'!K40,"")</f>
        <v/>
      </c>
      <c r="L65" s="68" t="str">
        <f>IF(ISNUMBER('Step 3 (MTP) - Plan and prior'!L40),'Step 3 (MTP) - Plan and prior'!L40,"")</f>
        <v/>
      </c>
      <c r="M65" s="68" t="str">
        <f>IF(ISNUMBER('Step 3 (MTP) - Plan and prior'!M40),'Step 3 (MTP) - Plan and prior'!M40,"")</f>
        <v/>
      </c>
      <c r="N65" s="68" t="str">
        <f>IF(ISNUMBER('Step 3 (MTP) - Plan and prior'!N40),'Step 3 (MTP) - Plan and prior'!N40,"")</f>
        <v/>
      </c>
      <c r="O65" s="68" t="str">
        <f>IF(ISNUMBER('Step 3 (MTP) - Plan and prior'!O40),'Step 3 (MTP) - Plan and prior'!O40,"")</f>
        <v/>
      </c>
      <c r="P65" s="68" t="str">
        <f>IF(ISNUMBER('Step 3 (MTP) - Plan and prior'!P40),'Step 3 (MTP) - Plan and prior'!P40,"")</f>
        <v/>
      </c>
      <c r="Q65" s="68" t="str">
        <f>IF(ISNUMBER('Step 3 (MTP) - Plan and prior'!Q40),'Step 3 (MTP) - Plan and prior'!Q40,"")</f>
        <v/>
      </c>
      <c r="R65" s="68" t="str">
        <f>IF(ISNUMBER('Step 3 (MTP) - Plan and prior'!R40),'Step 3 (MTP) - Plan and prior'!R40,"")</f>
        <v/>
      </c>
      <c r="S65" s="68" t="str">
        <f>IF(ISNUMBER('Step 3 (MTP) - Plan and prior'!S40),'Step 3 (MTP) - Plan and prior'!S40,"")</f>
        <v/>
      </c>
      <c r="T65" s="68" t="str">
        <f>IF(ISNUMBER('Step 3 (MTP) - Plan and prior'!T40),'Step 3 (MTP) - Plan and prior'!T40,"")</f>
        <v/>
      </c>
      <c r="U65" s="68" t="str">
        <f>IF(ISNUMBER('Step 3 (MTP) - Plan and prior'!U40),'Step 3 (MTP) - Plan and prior'!U40,"")</f>
        <v/>
      </c>
      <c r="V65" s="68" t="str">
        <f>IF(ISNUMBER('Step 3 (MTP) - Plan and prior'!V40),'Step 3 (MTP) - Plan and prior'!V40,"")</f>
        <v/>
      </c>
      <c r="W65" s="68" t="str">
        <f>IF(ISNUMBER('Step 3 (MTP) - Plan and prior'!W40),'Step 3 (MTP) - Plan and prior'!W40,"")</f>
        <v/>
      </c>
      <c r="X65" s="14" t="str">
        <f>IF(ISNUMBER('Step 3 (MTP) - Plan and prior'!X40),'Step 3 (MTP) - Plan and prior'!X40,"")</f>
        <v/>
      </c>
    </row>
    <row r="66" spans="2:24" x14ac:dyDescent="0.4">
      <c r="B66" s="55" t="str">
        <f>'Step 3 (MTP) - Plan and prior'!B41</f>
        <v>Minimum level for the structural primary balance in 2028 (not applicable), with safeguard</v>
      </c>
      <c r="D66" s="68" t="str">
        <f>IF(ISNUMBER('Step 3 (MTP) - Plan and prior'!D41),'Step 3 (MTP) - Plan and prior'!D41,"")</f>
        <v/>
      </c>
      <c r="E66" s="68" t="str">
        <f>IF(ISNUMBER('Step 3 (MTP) - Plan and prior'!E41),'Step 3 (MTP) - Plan and prior'!E41,"")</f>
        <v/>
      </c>
      <c r="F66" s="68" t="str">
        <f>IF(ISNUMBER('Step 3 (MTP) - Plan and prior'!F41),'Step 3 (MTP) - Plan and prior'!F41,"")</f>
        <v/>
      </c>
      <c r="G66" s="68" t="str">
        <f>IF(ISNUMBER('Step 3 (MTP) - Plan and prior'!G41),'Step 3 (MTP) - Plan and prior'!G41,"")</f>
        <v/>
      </c>
      <c r="H66" s="68" t="str">
        <f>IF(ISNUMBER('Step 3 (MTP) - Plan and prior'!H41),'Step 3 (MTP) - Plan and prior'!H41,"")</f>
        <v/>
      </c>
      <c r="I66" s="68" t="str">
        <f>IF(ISNUMBER('Step 3 (MTP) - Plan and prior'!I41),'Step 3 (MTP) - Plan and prior'!I41,"")</f>
        <v/>
      </c>
      <c r="J66" s="68" t="str">
        <f>IF(ISNUMBER('Step 3 (MTP) - Plan and prior'!J41),'Step 3 (MTP) - Plan and prior'!J41,"")</f>
        <v/>
      </c>
      <c r="K66" s="68" t="str">
        <f>IF(ISNUMBER('Step 3 (MTP) - Plan and prior'!K41),'Step 3 (MTP) - Plan and prior'!K41,"")</f>
        <v/>
      </c>
      <c r="L66" s="68" t="str">
        <f>IF(ISNUMBER('Step 3 (MTP) - Plan and prior'!L41),'Step 3 (MTP) - Plan and prior'!L41,"")</f>
        <v/>
      </c>
      <c r="M66" s="68" t="str">
        <f>IF(ISNUMBER('Step 3 (MTP) - Plan and prior'!M41),'Step 3 (MTP) - Plan and prior'!M41,"")</f>
        <v/>
      </c>
      <c r="N66" s="68" t="str">
        <f>IF(ISNUMBER('Step 3 (MTP) - Plan and prior'!N41),'Step 3 (MTP) - Plan and prior'!N41,"")</f>
        <v/>
      </c>
      <c r="O66" s="68" t="str">
        <f>IF(ISNUMBER('Step 3 (MTP) - Plan and prior'!O41),'Step 3 (MTP) - Plan and prior'!O41,"")</f>
        <v/>
      </c>
      <c r="P66" s="68" t="str">
        <f>IF(ISNUMBER('Step 3 (MTP) - Plan and prior'!P41),'Step 3 (MTP) - Plan and prior'!P41,"")</f>
        <v/>
      </c>
      <c r="Q66" s="68" t="str">
        <f>IF(ISNUMBER('Step 3 (MTP) - Plan and prior'!Q41),'Step 3 (MTP) - Plan and prior'!Q41,"")</f>
        <v/>
      </c>
      <c r="R66" s="68" t="str">
        <f>IF(ISNUMBER('Step 3 (MTP) - Plan and prior'!R41),'Step 3 (MTP) - Plan and prior'!R41,"")</f>
        <v/>
      </c>
      <c r="S66" s="68" t="str">
        <f>IF(ISNUMBER('Step 3 (MTP) - Plan and prior'!S41),'Step 3 (MTP) - Plan and prior'!S41,"")</f>
        <v/>
      </c>
      <c r="T66" s="68" t="str">
        <f>IF(ISNUMBER('Step 3 (MTP) - Plan and prior'!T41),'Step 3 (MTP) - Plan and prior'!T41,"")</f>
        <v/>
      </c>
      <c r="U66" s="68" t="str">
        <f>IF(ISNUMBER('Step 3 (MTP) - Plan and prior'!U41),'Step 3 (MTP) - Plan and prior'!U41,"")</f>
        <v/>
      </c>
      <c r="V66" s="68" t="str">
        <f>IF(ISNUMBER('Step 3 (MTP) - Plan and prior'!V41),'Step 3 (MTP) - Plan and prior'!V41,"")</f>
        <v/>
      </c>
      <c r="W66" s="68" t="str">
        <f>IF(ISNUMBER('Step 3 (MTP) - Plan and prior'!W41),'Step 3 (MTP) - Plan and prior'!W41,"")</f>
        <v/>
      </c>
      <c r="X66" s="84" t="str">
        <f>IF(ISNUMBER('Step 3 (MTP) - Plan and prior'!X41),'Step 3 (MTP) - Plan and prior'!X41,"")</f>
        <v/>
      </c>
    </row>
    <row r="67" spans="2:24" customFormat="1" ht="20.25" customHeight="1" x14ac:dyDescent="0.4">
      <c r="B67" s="81" t="s">
        <v>699</v>
      </c>
      <c r="C67" s="14"/>
      <c r="D67" t="str">
        <f>IF(ISNUMBER('Step 3 (MTP) - Plan and prior'!D42),'Step 3 (MTP) - Plan and prior'!D42,"")</f>
        <v/>
      </c>
      <c r="E67" t="str">
        <f>IF(ISNUMBER('Step 3 (MTP) - Plan and prior'!E42),'Step 3 (MTP) - Plan and prior'!E42,"")</f>
        <v/>
      </c>
      <c r="F67" t="str">
        <f>IF(ISNUMBER('Step 3 (MTP) - Plan and prior'!F42),'Step 3 (MTP) - Plan and prior'!F42,"")</f>
        <v/>
      </c>
      <c r="G67" t="str">
        <f>IF(ISNUMBER('Step 3 (MTP) - Plan and prior'!G42),'Step 3 (MTP) - Plan and prior'!G42,"")</f>
        <v/>
      </c>
      <c r="H67" t="str">
        <f>IF(ISNUMBER('Step 3 (MTP) - Plan and prior'!H42),'Step 3 (MTP) - Plan and prior'!H42,"")</f>
        <v/>
      </c>
      <c r="I67" t="str">
        <f>IF(ISNUMBER('Step 3 (MTP) - Plan and prior'!I42),'Step 3 (MTP) - Plan and prior'!I42,"")</f>
        <v/>
      </c>
      <c r="J67" t="str">
        <f>IF(ISNUMBER('Step 3 (MTP) - Plan and prior'!J42),'Step 3 (MTP) - Plan and prior'!J42,"")</f>
        <v/>
      </c>
      <c r="K67" t="str">
        <f>IF(ISNUMBER('Step 3 (MTP) - Plan and prior'!K42),'Step 3 (MTP) - Plan and prior'!K42,"")</f>
        <v/>
      </c>
      <c r="L67" t="str">
        <f>IF(ISNUMBER('Step 3 (MTP) - Plan and prior'!L42),'Step 3 (MTP) - Plan and prior'!L42,"")</f>
        <v/>
      </c>
      <c r="M67" t="str">
        <f>IF(ISNUMBER('Step 3 (MTP) - Plan and prior'!M42),'Step 3 (MTP) - Plan and prior'!M42,"")</f>
        <v/>
      </c>
      <c r="N67" t="str">
        <f>IF(ISNUMBER('Step 3 (MTP) - Plan and prior'!N42),'Step 3 (MTP) - Plan and prior'!N42,"")</f>
        <v/>
      </c>
      <c r="O67" t="str">
        <f>IF(ISNUMBER('Step 3 (MTP) - Plan and prior'!O42),'Step 3 (MTP) - Plan and prior'!O42,"")</f>
        <v/>
      </c>
      <c r="P67" t="str">
        <f>IF(ISNUMBER('Step 3 (MTP) - Plan and prior'!P42),'Step 3 (MTP) - Plan and prior'!P42,"")</f>
        <v/>
      </c>
      <c r="Q67" t="str">
        <f>IF(ISNUMBER('Step 3 (MTP) - Plan and prior'!Q42),'Step 3 (MTP) - Plan and prior'!Q42,"")</f>
        <v/>
      </c>
      <c r="R67" t="str">
        <f>IF(ISNUMBER('Step 3 (MTP) - Plan and prior'!R42),'Step 3 (MTP) - Plan and prior'!R42,"")</f>
        <v/>
      </c>
      <c r="S67" t="str">
        <f>IF(ISNUMBER('Step 3 (MTP) - Plan and prior'!S42),'Step 3 (MTP) - Plan and prior'!S42,"")</f>
        <v/>
      </c>
      <c r="T67" t="str">
        <f>IF(ISNUMBER('Step 3 (MTP) - Plan and prior'!T42),'Step 3 (MTP) - Plan and prior'!T42,"")</f>
        <v/>
      </c>
      <c r="U67" t="str">
        <f>IF(ISNUMBER('Step 3 (MTP) - Plan and prior'!U42),'Step 3 (MTP) - Plan and prior'!U42,"")</f>
        <v/>
      </c>
      <c r="V67" t="str">
        <f>IF(ISNUMBER('Step 3 (MTP) - Plan and prior'!V42),'Step 3 (MTP) - Plan and prior'!V42,"")</f>
        <v/>
      </c>
      <c r="W67" t="str">
        <f>IF(ISNUMBER('Step 3 (MTP) - Plan and prior'!W42),'Step 3 (MTP) - Plan and prior'!W42,"")</f>
        <v/>
      </c>
      <c r="X67" t="str">
        <f>IF(ISNUMBER('Step 3 (MTP) - Plan and prior'!X42),'Step 3 (MTP) - Plan and prior'!X42,"")</f>
        <v/>
      </c>
    </row>
    <row r="68" spans="2:24" customFormat="1" x14ac:dyDescent="0.4">
      <c r="B68" s="55" t="str">
        <f>'Step 3 (MTP) - Plan and prior'!B43</f>
        <v>Main budgetary variables (4-year adjustment period)</v>
      </c>
      <c r="C68" s="14"/>
      <c r="D68" t="str">
        <f>IF(ISNUMBER('Step 3 (MTP) - Plan and prior'!D43),'Step 3 (MTP) - Plan and prior'!D43,"")</f>
        <v/>
      </c>
      <c r="E68" t="str">
        <f>IF(ISNUMBER('Step 3 (MTP) - Plan and prior'!E43),'Step 3 (MTP) - Plan and prior'!E43,"")</f>
        <v/>
      </c>
      <c r="F68" t="str">
        <f>IF(ISNUMBER('Step 3 (MTP) - Plan and prior'!F43),'Step 3 (MTP) - Plan and prior'!F43,"")</f>
        <v/>
      </c>
      <c r="G68" t="str">
        <f>IF(ISNUMBER('Step 3 (MTP) - Plan and prior'!G43),'Step 3 (MTP) - Plan and prior'!G43,"")</f>
        <v/>
      </c>
      <c r="H68" t="str">
        <f>IF(ISNUMBER('Step 3 (MTP) - Plan and prior'!H43),'Step 3 (MTP) - Plan and prior'!H43,"")</f>
        <v/>
      </c>
      <c r="I68" t="str">
        <f>IF(ISNUMBER('Step 3 (MTP) - Plan and prior'!I43),'Step 3 (MTP) - Plan and prior'!I43,"")</f>
        <v/>
      </c>
      <c r="J68" t="str">
        <f>IF(ISNUMBER('Step 3 (MTP) - Plan and prior'!J43),'Step 3 (MTP) - Plan and prior'!J43,"")</f>
        <v/>
      </c>
      <c r="K68" t="str">
        <f>IF(ISNUMBER('Step 3 (MTP) - Plan and prior'!K43),'Step 3 (MTP) - Plan and prior'!K43,"")</f>
        <v/>
      </c>
      <c r="L68" t="str">
        <f>IF(ISNUMBER('Step 3 (MTP) - Plan and prior'!L43),'Step 3 (MTP) - Plan and prior'!L43,"")</f>
        <v/>
      </c>
      <c r="M68" t="str">
        <f>IF(ISNUMBER('Step 3 (MTP) - Plan and prior'!M43),'Step 3 (MTP) - Plan and prior'!M43,"")</f>
        <v/>
      </c>
      <c r="N68" t="str">
        <f>IF(ISNUMBER('Step 3 (MTP) - Plan and prior'!N43),'Step 3 (MTP) - Plan and prior'!N43,"")</f>
        <v/>
      </c>
      <c r="O68" t="str">
        <f>IF(ISNUMBER('Step 3 (MTP) - Plan and prior'!O43),'Step 3 (MTP) - Plan and prior'!O43,"")</f>
        <v/>
      </c>
      <c r="P68" t="str">
        <f>IF(ISNUMBER('Step 3 (MTP) - Plan and prior'!P43),'Step 3 (MTP) - Plan and prior'!P43,"")</f>
        <v/>
      </c>
      <c r="Q68" t="str">
        <f>IF(ISNUMBER('Step 3 (MTP) - Plan and prior'!Q43),'Step 3 (MTP) - Plan and prior'!Q43,"")</f>
        <v/>
      </c>
      <c r="R68" t="str">
        <f>IF(ISNUMBER('Step 3 (MTP) - Plan and prior'!R43),'Step 3 (MTP) - Plan and prior'!R43,"")</f>
        <v/>
      </c>
      <c r="S68" t="str">
        <f>IF(ISNUMBER('Step 3 (MTP) - Plan and prior'!S43),'Step 3 (MTP) - Plan and prior'!S43,"")</f>
        <v/>
      </c>
      <c r="T68" t="str">
        <f>IF(ISNUMBER('Step 3 (MTP) - Plan and prior'!T43),'Step 3 (MTP) - Plan and prior'!T43,"")</f>
        <v/>
      </c>
      <c r="U68" t="str">
        <f>IF(ISNUMBER('Step 3 (MTP) - Plan and prior'!U43),'Step 3 (MTP) - Plan and prior'!U43,"")</f>
        <v/>
      </c>
      <c r="V68" t="str">
        <f>IF(ISNUMBER('Step 3 (MTP) - Plan and prior'!V43),'Step 3 (MTP) - Plan and prior'!V43,"")</f>
        <v/>
      </c>
      <c r="W68" t="str">
        <f>IF(ISNUMBER('Step 3 (MTP) - Plan and prior'!W43),'Step 3 (MTP) - Plan and prior'!W43,"")</f>
        <v/>
      </c>
      <c r="X68" t="str">
        <f>IF(ISNUMBER('Step 3 (MTP) - Plan and prior'!X43),'Step 3 (MTP) - Plan and prior'!X43,"")</f>
        <v/>
      </c>
    </row>
    <row r="69" spans="2:24" customFormat="1" x14ac:dyDescent="0.4">
      <c r="B69" s="46" t="s">
        <v>326</v>
      </c>
      <c r="C69" s="14"/>
      <c r="D69" s="68" t="str">
        <f>IF(ISNUMBER('Step 3 (MTP) - Plan and prior'!D44),'Step 3 (MTP) - Plan and prior'!D44,"")</f>
        <v/>
      </c>
      <c r="E69" s="68" t="str">
        <f>IF(ISNUMBER('Step 3 (MTP) - Plan and prior'!E44),'Step 3 (MTP) - Plan and prior'!E44,"")</f>
        <v/>
      </c>
      <c r="F69" s="68" t="str">
        <f>IF(ISNUMBER('Step 3 (MTP) - Plan and prior'!F44),'Step 3 (MTP) - Plan and prior'!F44,"")</f>
        <v/>
      </c>
      <c r="G69" s="68" t="str">
        <f>IF(ISNUMBER('Step 3 (MTP) - Plan and prior'!G44),'Step 3 (MTP) - Plan and prior'!G44,"")</f>
        <v/>
      </c>
      <c r="H69" s="68" t="str">
        <f>IF(ISNUMBER('Step 3 (MTP) - Plan and prior'!H44),'Step 3 (MTP) - Plan and prior'!H44,"")</f>
        <v/>
      </c>
      <c r="I69" s="68" t="str">
        <f>IF(ISNUMBER('Step 3 (MTP) - Plan and prior'!I44),'Step 3 (MTP) - Plan and prior'!I44,"")</f>
        <v/>
      </c>
      <c r="J69" s="68" t="str">
        <f>IF(ISNUMBER('Step 3 (MTP) - Plan and prior'!J44),'Step 3 (MTP) - Plan and prior'!J44,"")</f>
        <v/>
      </c>
      <c r="K69" s="68" t="str">
        <f>IF(ISNUMBER('Step 3 (MTP) - Plan and prior'!K44),'Step 3 (MTP) - Plan and prior'!K44,"")</f>
        <v/>
      </c>
      <c r="L69" s="68" t="str">
        <f>IF(ISNUMBER('Step 3 (MTP) - Plan and prior'!L44),'Step 3 (MTP) - Plan and prior'!L44,"")</f>
        <v/>
      </c>
      <c r="M69" s="68" t="str">
        <f>IF(ISNUMBER('Step 3 (MTP) - Plan and prior'!M44),'Step 3 (MTP) - Plan and prior'!M44,"")</f>
        <v/>
      </c>
      <c r="N69" s="68" t="str">
        <f>IF(ISNUMBER('Step 3 (MTP) - Plan and prior'!N44),'Step 3 (MTP) - Plan and prior'!N44,"")</f>
        <v/>
      </c>
      <c r="O69" s="68" t="str">
        <f>IF(ISNUMBER('Step 3 (MTP) - Plan and prior'!O44),'Step 3 (MTP) - Plan and prior'!O44,"")</f>
        <v/>
      </c>
      <c r="P69" s="68" t="str">
        <f>IF(ISNUMBER('Step 3 (MTP) - Plan and prior'!P44),'Step 3 (MTP) - Plan and prior'!P44,"")</f>
        <v/>
      </c>
      <c r="Q69" s="68" t="str">
        <f>IF(ISNUMBER('Step 3 (MTP) - Plan and prior'!Q44),'Step 3 (MTP) - Plan and prior'!Q44,"")</f>
        <v/>
      </c>
      <c r="R69" s="68" t="str">
        <f>IF(ISNUMBER('Step 3 (MTP) - Plan and prior'!R44),'Step 3 (MTP) - Plan and prior'!R44,"")</f>
        <v/>
      </c>
      <c r="S69" s="68" t="str">
        <f>IF(ISNUMBER('Step 3 (MTP) - Plan and prior'!S44),'Step 3 (MTP) - Plan and prior'!S44,"")</f>
        <v/>
      </c>
      <c r="T69" s="68" t="str">
        <f>IF(ISNUMBER('Step 3 (MTP) - Plan and prior'!T44),'Step 3 (MTP) - Plan and prior'!T44,"")</f>
        <v/>
      </c>
      <c r="U69" s="68" t="str">
        <f>IF(ISNUMBER('Step 3 (MTP) - Plan and prior'!U44),'Step 3 (MTP) - Plan and prior'!U44,"")</f>
        <v/>
      </c>
      <c r="V69" s="68" t="str">
        <f>IF(ISNUMBER('Step 3 (MTP) - Plan and prior'!V44),'Step 3 (MTP) - Plan and prior'!V44,"")</f>
        <v/>
      </c>
      <c r="W69" s="68" t="str">
        <f>IF(ISNUMBER('Step 3 (MTP) - Plan and prior'!W44),'Step 3 (MTP) - Plan and prior'!W44,"")</f>
        <v/>
      </c>
      <c r="X69" t="str">
        <f>IF(ISNUMBER('Step 3 (MTP) - Plan and prior'!X44),'Step 3 (MTP) - Plan and prior'!X44,"")</f>
        <v/>
      </c>
    </row>
    <row r="70" spans="2:24" customFormat="1" x14ac:dyDescent="0.4">
      <c r="B70" s="46" t="s">
        <v>0</v>
      </c>
      <c r="C70" s="14"/>
      <c r="D70" s="68" t="str">
        <f>IF(ISNUMBER('Step 3 (MTP) - Plan and prior'!#REF!),'Step 3 (MTP) - Plan and prior'!#REF!,"")</f>
        <v/>
      </c>
      <c r="E70" s="68" t="str">
        <f>IF(ISNUMBER('Step 3 (MTP) - Plan and prior'!#REF!),'Step 3 (MTP) - Plan and prior'!#REF!,"")</f>
        <v/>
      </c>
      <c r="F70" s="68" t="str">
        <f>IF(ISNUMBER('Step 3 (MTP) - Plan and prior'!#REF!),'Step 3 (MTP) - Plan and prior'!#REF!,"")</f>
        <v/>
      </c>
      <c r="G70" s="68" t="str">
        <f>IF(ISNUMBER('Step 3 (MTP) - Plan and prior'!#REF!),'Step 3 (MTP) - Plan and prior'!#REF!,"")</f>
        <v/>
      </c>
      <c r="H70" s="68" t="str">
        <f>IF(ISNUMBER('Step 3 (MTP) - Plan and prior'!#REF!),'Step 3 (MTP) - Plan and prior'!#REF!,"")</f>
        <v/>
      </c>
      <c r="I70" s="68" t="str">
        <f>IF(ISNUMBER('Step 3 (MTP) - Plan and prior'!#REF!),'Step 3 (MTP) - Plan and prior'!#REF!,"")</f>
        <v/>
      </c>
      <c r="J70" s="68" t="str">
        <f>IF(ISNUMBER('Step 3 (MTP) - Plan and prior'!#REF!),'Step 3 (MTP) - Plan and prior'!#REF!,"")</f>
        <v/>
      </c>
      <c r="K70" s="68" t="str">
        <f>IF(ISNUMBER('Step 3 (MTP) - Plan and prior'!#REF!),'Step 3 (MTP) - Plan and prior'!#REF!,"")</f>
        <v/>
      </c>
      <c r="L70" s="68" t="str">
        <f>IF(ISNUMBER('Step 3 (MTP) - Plan and prior'!#REF!),'Step 3 (MTP) - Plan and prior'!#REF!,"")</f>
        <v/>
      </c>
      <c r="M70" s="68" t="str">
        <f>IF(ISNUMBER('Step 3 (MTP) - Plan and prior'!#REF!),'Step 3 (MTP) - Plan and prior'!#REF!,"")</f>
        <v/>
      </c>
      <c r="N70" s="68" t="str">
        <f>IF(ISNUMBER('Step 3 (MTP) - Plan and prior'!#REF!),'Step 3 (MTP) - Plan and prior'!#REF!,"")</f>
        <v/>
      </c>
      <c r="O70" s="68" t="str">
        <f>IF(ISNUMBER('Step 3 (MTP) - Plan and prior'!#REF!),'Step 3 (MTP) - Plan and prior'!#REF!,"")</f>
        <v/>
      </c>
      <c r="P70" s="68" t="str">
        <f>IF(ISNUMBER('Step 3 (MTP) - Plan and prior'!#REF!),'Step 3 (MTP) - Plan and prior'!#REF!,"")</f>
        <v/>
      </c>
      <c r="Q70" s="68" t="str">
        <f>IF(ISNUMBER('Step 3 (MTP) - Plan and prior'!#REF!),'Step 3 (MTP) - Plan and prior'!#REF!,"")</f>
        <v/>
      </c>
      <c r="R70" s="68" t="str">
        <f>IF(ISNUMBER('Step 3 (MTP) - Plan and prior'!#REF!),'Step 3 (MTP) - Plan and prior'!#REF!,"")</f>
        <v/>
      </c>
      <c r="S70" s="68" t="str">
        <f>IF(ISNUMBER('Step 3 (MTP) - Plan and prior'!#REF!),'Step 3 (MTP) - Plan and prior'!#REF!,"")</f>
        <v/>
      </c>
      <c r="T70" s="68" t="str">
        <f>IF(ISNUMBER('Step 3 (MTP) - Plan and prior'!#REF!),'Step 3 (MTP) - Plan and prior'!#REF!,"")</f>
        <v/>
      </c>
      <c r="U70" s="68" t="str">
        <f>IF(ISNUMBER('Step 3 (MTP) - Plan and prior'!#REF!),'Step 3 (MTP) - Plan and prior'!#REF!,"")</f>
        <v/>
      </c>
      <c r="V70" s="68" t="str">
        <f>IF(ISNUMBER('Step 3 (MTP) - Plan and prior'!#REF!),'Step 3 (MTP) - Plan and prior'!#REF!,"")</f>
        <v/>
      </c>
      <c r="W70" s="68" t="str">
        <f>IF(ISNUMBER('Step 3 (MTP) - Plan and prior'!#REF!),'Step 3 (MTP) - Plan and prior'!#REF!,"")</f>
        <v/>
      </c>
      <c r="X70" t="str">
        <f>IF(ISNUMBER('Step 3 (MTP) - Plan and prior'!#REF!),'Step 3 (MTP) - Plan and prior'!#REF!,"")</f>
        <v/>
      </c>
    </row>
    <row r="71" spans="2:24" customFormat="1" x14ac:dyDescent="0.4">
      <c r="B71" s="46" t="s">
        <v>3</v>
      </c>
      <c r="C71" s="14"/>
      <c r="D71" s="68" t="str">
        <f>IF(ISNUMBER('Step 3 (MTP) - Plan and prior'!D46),'Step 3 (MTP) - Plan and prior'!D46,"")</f>
        <v/>
      </c>
      <c r="E71" s="68" t="str">
        <f>IF(ISNUMBER('Step 3 (MTP) - Plan and prior'!E46),'Step 3 (MTP) - Plan and prior'!E46,"")</f>
        <v/>
      </c>
      <c r="F71" s="68" t="str">
        <f>IF(ISNUMBER('Step 3 (MTP) - Plan and prior'!F46),'Step 3 (MTP) - Plan and prior'!F46,"")</f>
        <v/>
      </c>
      <c r="G71" s="68" t="str">
        <f>IF(ISNUMBER('Step 3 (MTP) - Plan and prior'!G46),'Step 3 (MTP) - Plan and prior'!G46,"")</f>
        <v/>
      </c>
      <c r="H71" s="68" t="str">
        <f>IF(ISNUMBER('Step 3 (MTP) - Plan and prior'!H46),'Step 3 (MTP) - Plan and prior'!H46,"")</f>
        <v/>
      </c>
      <c r="I71" s="68" t="str">
        <f>IF(ISNUMBER('Step 3 (MTP) - Plan and prior'!I46),'Step 3 (MTP) - Plan and prior'!I46,"")</f>
        <v/>
      </c>
      <c r="J71" s="68" t="str">
        <f>IF(ISNUMBER('Step 3 (MTP) - Plan and prior'!J46),'Step 3 (MTP) - Plan and prior'!J46,"")</f>
        <v/>
      </c>
      <c r="K71" s="68" t="str">
        <f>IF(ISNUMBER('Step 3 (MTP) - Plan and prior'!K46),'Step 3 (MTP) - Plan and prior'!K46,"")</f>
        <v/>
      </c>
      <c r="L71" s="68" t="str">
        <f>IF(ISNUMBER('Step 3 (MTP) - Plan and prior'!L46),'Step 3 (MTP) - Plan and prior'!L46,"")</f>
        <v/>
      </c>
      <c r="M71" s="68" t="str">
        <f>IF(ISNUMBER('Step 3 (MTP) - Plan and prior'!M46),'Step 3 (MTP) - Plan and prior'!M46,"")</f>
        <v/>
      </c>
      <c r="N71" s="68" t="str">
        <f>IF(ISNUMBER('Step 3 (MTP) - Plan and prior'!N46),'Step 3 (MTP) - Plan and prior'!N46,"")</f>
        <v/>
      </c>
      <c r="O71" s="68" t="str">
        <f>IF(ISNUMBER('Step 3 (MTP) - Plan and prior'!O46),'Step 3 (MTP) - Plan and prior'!O46,"")</f>
        <v/>
      </c>
      <c r="P71" s="68" t="str">
        <f>IF(ISNUMBER('Step 3 (MTP) - Plan and prior'!P46),'Step 3 (MTP) - Plan and prior'!P46,"")</f>
        <v/>
      </c>
      <c r="Q71" s="68" t="str">
        <f>IF(ISNUMBER('Step 3 (MTP) - Plan and prior'!Q46),'Step 3 (MTP) - Plan and prior'!Q46,"")</f>
        <v/>
      </c>
      <c r="R71" s="68" t="str">
        <f>IF(ISNUMBER('Step 3 (MTP) - Plan and prior'!R46),'Step 3 (MTP) - Plan and prior'!R46,"")</f>
        <v/>
      </c>
      <c r="S71" s="68" t="str">
        <f>IF(ISNUMBER('Step 3 (MTP) - Plan and prior'!S46),'Step 3 (MTP) - Plan and prior'!S46,"")</f>
        <v/>
      </c>
      <c r="T71" s="68" t="str">
        <f>IF(ISNUMBER('Step 3 (MTP) - Plan and prior'!T46),'Step 3 (MTP) - Plan and prior'!T46,"")</f>
        <v/>
      </c>
      <c r="U71" s="68" t="str">
        <f>IF(ISNUMBER('Step 3 (MTP) - Plan and prior'!U46),'Step 3 (MTP) - Plan and prior'!U46,"")</f>
        <v/>
      </c>
      <c r="V71" s="68" t="str">
        <f>IF(ISNUMBER('Step 3 (MTP) - Plan and prior'!V46),'Step 3 (MTP) - Plan and prior'!V46,"")</f>
        <v/>
      </c>
      <c r="W71" s="68" t="str">
        <f>IF(ISNUMBER('Step 3 (MTP) - Plan and prior'!W46),'Step 3 (MTP) - Plan and prior'!W46,"")</f>
        <v/>
      </c>
      <c r="X71" t="str">
        <f>IF(ISNUMBER('Step 3 (MTP) - Plan and prior'!X46),'Step 3 (MTP) - Plan and prior'!X46,"")</f>
        <v/>
      </c>
    </row>
    <row r="72" spans="2:24" customFormat="1" x14ac:dyDescent="0.4">
      <c r="B72" s="46" t="s">
        <v>1</v>
      </c>
      <c r="C72" s="14"/>
      <c r="D72" s="68" t="str">
        <f>IF(ISNUMBER('Step 3 (MTP) - Plan and prior'!D47),'Step 3 (MTP) - Plan and prior'!D47,"")</f>
        <v/>
      </c>
      <c r="E72" s="68" t="str">
        <f>IF(ISNUMBER('Step 3 (MTP) - Plan and prior'!E47),'Step 3 (MTP) - Plan and prior'!E47,"")</f>
        <v/>
      </c>
      <c r="F72" s="68" t="str">
        <f>IF(ISNUMBER('Step 3 (MTP) - Plan and prior'!F47),'Step 3 (MTP) - Plan and prior'!F47,"")</f>
        <v/>
      </c>
      <c r="G72" s="68" t="str">
        <f>IF(ISNUMBER('Step 3 (MTP) - Plan and prior'!G47),'Step 3 (MTP) - Plan and prior'!G47,"")</f>
        <v/>
      </c>
      <c r="H72" s="68" t="str">
        <f>IF(ISNUMBER('Step 3 (MTP) - Plan and prior'!H47),'Step 3 (MTP) - Plan and prior'!H47,"")</f>
        <v/>
      </c>
      <c r="I72" s="68" t="str">
        <f>IF(ISNUMBER('Step 3 (MTP) - Plan and prior'!I47),'Step 3 (MTP) - Plan and prior'!I47,"")</f>
        <v/>
      </c>
      <c r="J72" s="68" t="str">
        <f>IF(ISNUMBER('Step 3 (MTP) - Plan and prior'!J47),'Step 3 (MTP) - Plan and prior'!J47,"")</f>
        <v/>
      </c>
      <c r="K72" s="68" t="str">
        <f>IF(ISNUMBER('Step 3 (MTP) - Plan and prior'!K47),'Step 3 (MTP) - Plan and prior'!K47,"")</f>
        <v/>
      </c>
      <c r="L72" s="68" t="str">
        <f>IF(ISNUMBER('Step 3 (MTP) - Plan and prior'!L47),'Step 3 (MTP) - Plan and prior'!L47,"")</f>
        <v/>
      </c>
      <c r="M72" s="68" t="str">
        <f>IF(ISNUMBER('Step 3 (MTP) - Plan and prior'!M47),'Step 3 (MTP) - Plan and prior'!M47,"")</f>
        <v/>
      </c>
      <c r="N72" s="68" t="str">
        <f>IF(ISNUMBER('Step 3 (MTP) - Plan and prior'!N47),'Step 3 (MTP) - Plan and prior'!N47,"")</f>
        <v/>
      </c>
      <c r="O72" s="68" t="str">
        <f>IF(ISNUMBER('Step 3 (MTP) - Plan and prior'!O47),'Step 3 (MTP) - Plan and prior'!O47,"")</f>
        <v/>
      </c>
      <c r="P72" s="68" t="str">
        <f>IF(ISNUMBER('Step 3 (MTP) - Plan and prior'!P47),'Step 3 (MTP) - Plan and prior'!P47,"")</f>
        <v/>
      </c>
      <c r="Q72" s="68" t="str">
        <f>IF(ISNUMBER('Step 3 (MTP) - Plan and prior'!Q47),'Step 3 (MTP) - Plan and prior'!Q47,"")</f>
        <v/>
      </c>
      <c r="R72" s="68" t="str">
        <f>IF(ISNUMBER('Step 3 (MTP) - Plan and prior'!R47),'Step 3 (MTP) - Plan and prior'!R47,"")</f>
        <v/>
      </c>
      <c r="S72" s="68" t="str">
        <f>IF(ISNUMBER('Step 3 (MTP) - Plan and prior'!S47),'Step 3 (MTP) - Plan and prior'!S47,"")</f>
        <v/>
      </c>
      <c r="T72" s="68" t="str">
        <f>IF(ISNUMBER('Step 3 (MTP) - Plan and prior'!T47),'Step 3 (MTP) - Plan and prior'!T47,"")</f>
        <v/>
      </c>
      <c r="U72" s="68" t="str">
        <f>IF(ISNUMBER('Step 3 (MTP) - Plan and prior'!U47),'Step 3 (MTP) - Plan and prior'!U47,"")</f>
        <v/>
      </c>
      <c r="V72" s="68" t="str">
        <f>IF(ISNUMBER('Step 3 (MTP) - Plan and prior'!V47),'Step 3 (MTP) - Plan and prior'!V47,"")</f>
        <v/>
      </c>
      <c r="W72" s="68" t="str">
        <f>IF(ISNUMBER('Step 3 (MTP) - Plan and prior'!W47),'Step 3 (MTP) - Plan and prior'!W47,"")</f>
        <v/>
      </c>
      <c r="X72" t="str">
        <f>IF(ISNUMBER('Step 3 (MTP) - Plan and prior'!X47),'Step 3 (MTP) - Plan and prior'!X47,"")</f>
        <v/>
      </c>
    </row>
    <row r="73" spans="2:24" ht="20.25" customHeight="1" x14ac:dyDescent="0.4">
      <c r="B73" s="44" t="str">
        <f>'Step 3 (MTP) - Plan and prior'!B48</f>
        <v>Debt sustainability assessment (4-year adjustment period)</v>
      </c>
      <c r="D73" s="58" t="str">
        <f>IF(ISNUMBER('Step 3 (MTP) - Plan and prior'!D48),'Step 3 (MTP) - Plan and prior'!D48,"")</f>
        <v/>
      </c>
      <c r="E73" s="58" t="str">
        <f>IF(ISNUMBER('Step 3 (MTP) - Plan and prior'!E48),'Step 3 (MTP) - Plan and prior'!E48,"")</f>
        <v/>
      </c>
      <c r="F73" s="58" t="str">
        <f>IF(ISNUMBER('Step 3 (MTP) - Plan and prior'!F48),'Step 3 (MTP) - Plan and prior'!F48,"")</f>
        <v/>
      </c>
      <c r="G73" s="58" t="str">
        <f>IF(ISNUMBER('Step 3 (MTP) - Plan and prior'!G48),'Step 3 (MTP) - Plan and prior'!G48,"")</f>
        <v/>
      </c>
      <c r="H73" s="58" t="str">
        <f>IF(ISNUMBER('Step 3 (MTP) - Plan and prior'!H48),'Step 3 (MTP) - Plan and prior'!H48,"")</f>
        <v/>
      </c>
      <c r="I73" s="58" t="str">
        <f>IF(ISNUMBER('Step 3 (MTP) - Plan and prior'!I48),'Step 3 (MTP) - Plan and prior'!I48,"")</f>
        <v/>
      </c>
      <c r="J73" s="58" t="str">
        <f>IF(ISNUMBER('Step 3 (MTP) - Plan and prior'!J48),'Step 3 (MTP) - Plan and prior'!J48,"")</f>
        <v/>
      </c>
      <c r="K73" s="58" t="str">
        <f>IF(ISNUMBER('Step 3 (MTP) - Plan and prior'!K48),'Step 3 (MTP) - Plan and prior'!K48,"")</f>
        <v/>
      </c>
      <c r="L73" s="58" t="str">
        <f>IF(ISNUMBER('Step 3 (MTP) - Plan and prior'!L48),'Step 3 (MTP) - Plan and prior'!L48,"")</f>
        <v/>
      </c>
      <c r="M73" s="58" t="str">
        <f>IF(ISNUMBER('Step 3 (MTP) - Plan and prior'!M48),'Step 3 (MTP) - Plan and prior'!M48,"")</f>
        <v/>
      </c>
      <c r="N73" s="58" t="str">
        <f>IF(ISNUMBER('Step 3 (MTP) - Plan and prior'!N48),'Step 3 (MTP) - Plan and prior'!N48,"")</f>
        <v/>
      </c>
      <c r="O73" s="58" t="str">
        <f>IF(ISNUMBER('Step 3 (MTP) - Plan and prior'!O48),'Step 3 (MTP) - Plan and prior'!O48,"")</f>
        <v/>
      </c>
      <c r="P73" s="58" t="str">
        <f>IF(ISNUMBER('Step 3 (MTP) - Plan and prior'!P48),'Step 3 (MTP) - Plan and prior'!P48,"")</f>
        <v/>
      </c>
      <c r="Q73" s="58" t="str">
        <f>IF(ISNUMBER('Step 3 (MTP) - Plan and prior'!Q48),'Step 3 (MTP) - Plan and prior'!Q48,"")</f>
        <v/>
      </c>
      <c r="R73" s="58" t="str">
        <f>IF(ISNUMBER('Step 3 (MTP) - Plan and prior'!R48),'Step 3 (MTP) - Plan and prior'!R48,"")</f>
        <v/>
      </c>
      <c r="S73" s="58" t="str">
        <f>IF(ISNUMBER('Step 3 (MTP) - Plan and prior'!S48),'Step 3 (MTP) - Plan and prior'!S48,"")</f>
        <v/>
      </c>
      <c r="T73" s="58" t="str">
        <f>IF(ISNUMBER('Step 3 (MTP) - Plan and prior'!T48),'Step 3 (MTP) - Plan and prior'!T48,"")</f>
        <v/>
      </c>
      <c r="U73" s="58" t="str">
        <f>IF(ISNUMBER('Step 3 (MTP) - Plan and prior'!U48),'Step 3 (MTP) - Plan and prior'!U48,"")</f>
        <v/>
      </c>
      <c r="V73" s="58" t="str">
        <f>IF(ISNUMBER('Step 3 (MTP) - Plan and prior'!V48),'Step 3 (MTP) - Plan and prior'!V48,"")</f>
        <v/>
      </c>
      <c r="W73" s="58" t="str">
        <f>IF(ISNUMBER('Step 3 (MTP) - Plan and prior'!W48),'Step 3 (MTP) - Plan and prior'!W48,"")</f>
        <v/>
      </c>
      <c r="X73" t="str">
        <f>IF(ISNUMBER('Step 3 (MTP) - Plan and prior'!X48),'Step 3 (MTP) - Plan and prior'!X48,"")</f>
        <v/>
      </c>
    </row>
    <row r="74" spans="2:24" x14ac:dyDescent="0.4">
      <c r="B74" s="46" t="s">
        <v>285</v>
      </c>
      <c r="D74" s="68">
        <f>IF(ISNUMBER('Step 3 (MTP) - Plan and prior'!D29),'Step 3 (MTP) - Plan and prior'!D29,"")</f>
        <v>0</v>
      </c>
      <c r="E74" s="68">
        <f>IF(ISNUMBER('Step 3 (MTP) - Plan and prior'!E29),'Step 3 (MTP) - Plan and prior'!E29,"")</f>
        <v>0</v>
      </c>
      <c r="F74" s="68">
        <f>IF(ISNUMBER('Step 3 (MTP) - Plan and prior'!F29),'Step 3 (MTP) - Plan and prior'!F29,"")</f>
        <v>0</v>
      </c>
      <c r="G74" s="68">
        <f>IF(ISNUMBER('Step 3 (MTP) - Plan and prior'!G29),'Step 3 (MTP) - Plan and prior'!G29,"")</f>
        <v>0</v>
      </c>
      <c r="H74" s="68">
        <f>IF(ISNUMBER('Step 3 (MTP) - Plan and prior'!H29),'Step 3 (MTP) - Plan and prior'!H29,"")</f>
        <v>0</v>
      </c>
      <c r="I74" s="68">
        <f>IF(ISNUMBER('Step 3 (MTP) - Plan and prior'!I29),'Step 3 (MTP) - Plan and prior'!I29,"")</f>
        <v>0</v>
      </c>
      <c r="J74" s="68">
        <f>IF(ISNUMBER('Step 3 (MTP) - Plan and prior'!J29),'Step 3 (MTP) - Plan and prior'!J29,"")</f>
        <v>0</v>
      </c>
      <c r="K74" s="68">
        <f>IF(ISNUMBER('Step 3 (MTP) - Plan and prior'!K29),'Step 3 (MTP) - Plan and prior'!K29,"")</f>
        <v>0</v>
      </c>
      <c r="L74" s="68">
        <f>IF(ISNUMBER('Step 3 (MTP) - Plan and prior'!L29),'Step 3 (MTP) - Plan and prior'!L29,"")</f>
        <v>0</v>
      </c>
      <c r="M74" s="68">
        <f>IF(ISNUMBER('Step 3 (MTP) - Plan and prior'!M29),'Step 3 (MTP) - Plan and prior'!M29,"")</f>
        <v>0</v>
      </c>
      <c r="N74" s="68">
        <f>IF(ISNUMBER('Step 3 (MTP) - Plan and prior'!N29),'Step 3 (MTP) - Plan and prior'!N29,"")</f>
        <v>0</v>
      </c>
      <c r="O74" s="68">
        <f>IF(ISNUMBER('Step 3 (MTP) - Plan and prior'!O29),'Step 3 (MTP) - Plan and prior'!O29,"")</f>
        <v>0</v>
      </c>
      <c r="P74" s="68">
        <f>IF(ISNUMBER('Step 3 (MTP) - Plan and prior'!P29),'Step 3 (MTP) - Plan and prior'!P29,"")</f>
        <v>0</v>
      </c>
      <c r="Q74" s="68">
        <f>IF(ISNUMBER('Step 3 (MTP) - Plan and prior'!Q29),'Step 3 (MTP) - Plan and prior'!Q29,"")</f>
        <v>0</v>
      </c>
      <c r="R74" s="68">
        <f>IF(ISNUMBER('Step 3 (MTP) - Plan and prior'!R29),'Step 3 (MTP) - Plan and prior'!R29,"")</f>
        <v>0</v>
      </c>
      <c r="S74" s="68">
        <f>IF(ISNUMBER('Step 3 (MTP) - Plan and prior'!S29),'Step 3 (MTP) - Plan and prior'!S29,"")</f>
        <v>0</v>
      </c>
      <c r="T74" s="68" t="str">
        <f>IF(ISNUMBER('Step 3 (MTP) - Plan and prior'!T49),'Step 3 (MTP) - Plan and prior'!T49,"")</f>
        <v/>
      </c>
      <c r="U74" s="68" t="str">
        <f>IF(ISNUMBER('Step 3 (MTP) - Plan and prior'!U49),'Step 3 (MTP) - Plan and prior'!U49,"")</f>
        <v/>
      </c>
      <c r="V74" s="68" t="str">
        <f>IF(ISNUMBER('Step 3 (MTP) - Plan and prior'!V49),'Step 3 (MTP) - Plan and prior'!V49,"")</f>
        <v/>
      </c>
      <c r="W74" s="68" t="str">
        <f>IF(ISNUMBER('Step 3 (MTP) - Plan and prior'!W49),'Step 3 (MTP) - Plan and prior'!W49,"")</f>
        <v/>
      </c>
      <c r="X74" t="str">
        <f>IF(ISNUMBER('Step 3 (MTP) - Plan and prior'!X49),'Step 3 (MTP) - Plan and prior'!X49,"")</f>
        <v/>
      </c>
    </row>
    <row r="75" spans="2:24" x14ac:dyDescent="0.4">
      <c r="B75" s="46" t="s">
        <v>286</v>
      </c>
      <c r="D75" s="68">
        <f>IF(ISNUMBER('Step 3 (MTP) - Plan and prior'!D30),'Step 3 (MTP) - Plan and prior'!D30,"")</f>
        <v>0</v>
      </c>
      <c r="E75" s="68">
        <f>IF(ISNUMBER('Step 3 (MTP) - Plan and prior'!E30),'Step 3 (MTP) - Plan and prior'!E30,"")</f>
        <v>0</v>
      </c>
      <c r="F75" s="68">
        <f>IF(ISNUMBER('Step 3 (MTP) - Plan and prior'!F30),'Step 3 (MTP) - Plan and prior'!F30,"")</f>
        <v>0</v>
      </c>
      <c r="G75" s="68">
        <f>IF(ISNUMBER('Step 3 (MTP) - Plan and prior'!G30),'Step 3 (MTP) - Plan and prior'!G30,"")</f>
        <v>0</v>
      </c>
      <c r="H75" s="68">
        <f>IF(ISNUMBER('Step 3 (MTP) - Plan and prior'!H30),'Step 3 (MTP) - Plan and prior'!H30,"")</f>
        <v>0</v>
      </c>
      <c r="I75" s="68">
        <f>IF(ISNUMBER('Step 3 (MTP) - Plan and prior'!I30),'Step 3 (MTP) - Plan and prior'!I30,"")</f>
        <v>0</v>
      </c>
      <c r="J75" s="68">
        <f>IF(ISNUMBER('Step 3 (MTP) - Plan and prior'!J30),'Step 3 (MTP) - Plan and prior'!J30,"")</f>
        <v>0</v>
      </c>
      <c r="K75" s="68">
        <f>IF(ISNUMBER('Step 3 (MTP) - Plan and prior'!K30),'Step 3 (MTP) - Plan and prior'!K30,"")</f>
        <v>0</v>
      </c>
      <c r="L75" s="68">
        <f>IF(ISNUMBER('Step 3 (MTP) - Plan and prior'!L30),'Step 3 (MTP) - Plan and prior'!L30,"")</f>
        <v>0</v>
      </c>
      <c r="M75" s="68">
        <f>IF(ISNUMBER('Step 3 (MTP) - Plan and prior'!M30),'Step 3 (MTP) - Plan and prior'!M30,"")</f>
        <v>0</v>
      </c>
      <c r="N75" s="68">
        <f>IF(ISNUMBER('Step 3 (MTP) - Plan and prior'!N30),'Step 3 (MTP) - Plan and prior'!N30,"")</f>
        <v>0</v>
      </c>
      <c r="O75" s="68">
        <f>IF(ISNUMBER('Step 3 (MTP) - Plan and prior'!O30),'Step 3 (MTP) - Plan and prior'!O30,"")</f>
        <v>0</v>
      </c>
      <c r="P75" s="68">
        <f>IF(ISNUMBER('Step 3 (MTP) - Plan and prior'!P30),'Step 3 (MTP) - Plan and prior'!P30,"")</f>
        <v>0</v>
      </c>
      <c r="Q75" s="68">
        <f>IF(ISNUMBER('Step 3 (MTP) - Plan and prior'!Q30),'Step 3 (MTP) - Plan and prior'!Q30,"")</f>
        <v>0</v>
      </c>
      <c r="R75" s="68">
        <f>IF(ISNUMBER('Step 3 (MTP) - Plan and prior'!R30),'Step 3 (MTP) - Plan and prior'!R30,"")</f>
        <v>0</v>
      </c>
      <c r="S75" s="68">
        <f>IF(ISNUMBER('Step 3 (MTP) - Plan and prior'!S30),'Step 3 (MTP) - Plan and prior'!S30,"")</f>
        <v>0</v>
      </c>
      <c r="T75" s="68" t="str">
        <f>IF(ISNUMBER('Step 3 (MTP) - Plan and prior'!T50),'Step 3 (MTP) - Plan and prior'!T50,"")</f>
        <v/>
      </c>
      <c r="U75" s="68" t="str">
        <f>IF(ISNUMBER('Step 3 (MTP) - Plan and prior'!U50),'Step 3 (MTP) - Plan and prior'!U50,"")</f>
        <v/>
      </c>
      <c r="V75" s="68" t="str">
        <f>IF(ISNUMBER('Step 3 (MTP) - Plan and prior'!V50),'Step 3 (MTP) - Plan and prior'!V50,"")</f>
        <v/>
      </c>
      <c r="W75" s="68" t="str">
        <f>IF(ISNUMBER('Step 3 (MTP) - Plan and prior'!W50),'Step 3 (MTP) - Plan and prior'!W50,"")</f>
        <v/>
      </c>
      <c r="X75" t="str">
        <f>IF(ISNUMBER('Step 3 (MTP) - Plan and prior'!X50),'Step 3 (MTP) - Plan and prior'!X50,"")</f>
        <v/>
      </c>
    </row>
    <row r="76" spans="2:24" x14ac:dyDescent="0.4">
      <c r="B76" s="46" t="s">
        <v>287</v>
      </c>
      <c r="D76" s="68">
        <f>IF(ISNUMBER('Step 3 (MTP) - Plan and prior'!D31),'Step 3 (MTP) - Plan and prior'!D31,"")</f>
        <v>0</v>
      </c>
      <c r="E76" s="68">
        <f>IF(ISNUMBER('Step 3 (MTP) - Plan and prior'!E31),'Step 3 (MTP) - Plan and prior'!E31,"")</f>
        <v>0</v>
      </c>
      <c r="F76" s="68">
        <f>IF(ISNUMBER('Step 3 (MTP) - Plan and prior'!F31),'Step 3 (MTP) - Plan and prior'!F31,"")</f>
        <v>0</v>
      </c>
      <c r="G76" s="68">
        <f>IF(ISNUMBER('Step 3 (MTP) - Plan and prior'!G31),'Step 3 (MTP) - Plan and prior'!G31,"")</f>
        <v>0</v>
      </c>
      <c r="H76" s="68">
        <f>IF(ISNUMBER('Step 3 (MTP) - Plan and prior'!H31),'Step 3 (MTP) - Plan and prior'!H31,"")</f>
        <v>0</v>
      </c>
      <c r="I76" s="68">
        <f>IF(ISNUMBER('Step 3 (MTP) - Plan and prior'!I31),'Step 3 (MTP) - Plan and prior'!I31,"")</f>
        <v>0</v>
      </c>
      <c r="J76" s="68">
        <f>IF(ISNUMBER('Step 3 (MTP) - Plan and prior'!J31),'Step 3 (MTP) - Plan and prior'!J31,"")</f>
        <v>0</v>
      </c>
      <c r="K76" s="68">
        <f>IF(ISNUMBER('Step 3 (MTP) - Plan and prior'!K31),'Step 3 (MTP) - Plan and prior'!K31,"")</f>
        <v>0</v>
      </c>
      <c r="L76" s="68">
        <f>IF(ISNUMBER('Step 3 (MTP) - Plan and prior'!L31),'Step 3 (MTP) - Plan and prior'!L31,"")</f>
        <v>0</v>
      </c>
      <c r="M76" s="68">
        <f>IF(ISNUMBER('Step 3 (MTP) - Plan and prior'!M31),'Step 3 (MTP) - Plan and prior'!M31,"")</f>
        <v>0</v>
      </c>
      <c r="N76" s="68">
        <f>IF(ISNUMBER('Step 3 (MTP) - Plan and prior'!N31),'Step 3 (MTP) - Plan and prior'!N31,"")</f>
        <v>0</v>
      </c>
      <c r="O76" s="68">
        <f>IF(ISNUMBER('Step 3 (MTP) - Plan and prior'!O31),'Step 3 (MTP) - Plan and prior'!O31,"")</f>
        <v>0</v>
      </c>
      <c r="P76" s="68">
        <f>IF(ISNUMBER('Step 3 (MTP) - Plan and prior'!P31),'Step 3 (MTP) - Plan and prior'!P31,"")</f>
        <v>0</v>
      </c>
      <c r="Q76" s="68">
        <f>IF(ISNUMBER('Step 3 (MTP) - Plan and prior'!Q31),'Step 3 (MTP) - Plan and prior'!Q31,"")</f>
        <v>0</v>
      </c>
      <c r="R76" s="68">
        <f>IF(ISNUMBER('Step 3 (MTP) - Plan and prior'!R31),'Step 3 (MTP) - Plan and prior'!R31,"")</f>
        <v>0</v>
      </c>
      <c r="S76" s="68">
        <f>IF(ISNUMBER('Step 3 (MTP) - Plan and prior'!S31),'Step 3 (MTP) - Plan and prior'!S31,"")</f>
        <v>0</v>
      </c>
      <c r="T76" s="68" t="str">
        <f>IF(ISNUMBER('Step 3 (MTP) - Plan and prior'!T51),'Step 3 (MTP) - Plan and prior'!T51,"")</f>
        <v/>
      </c>
      <c r="U76" s="68" t="str">
        <f>IF(ISNUMBER('Step 3 (MTP) - Plan and prior'!U51),'Step 3 (MTP) - Plan and prior'!U51,"")</f>
        <v/>
      </c>
      <c r="V76" s="68" t="str">
        <f>IF(ISNUMBER('Step 3 (MTP) - Plan and prior'!V51),'Step 3 (MTP) - Plan and prior'!V51,"")</f>
        <v/>
      </c>
      <c r="W76" s="68" t="str">
        <f>IF(ISNUMBER('Step 3 (MTP) - Plan and prior'!W51),'Step 3 (MTP) - Plan and prior'!W51,"")</f>
        <v/>
      </c>
      <c r="X76" t="str">
        <f>IF(ISNUMBER('Step 3 (MTP) - Plan and prior'!X51),'Step 3 (MTP) - Plan and prior'!X51,"")</f>
        <v/>
      </c>
    </row>
    <row r="77" spans="2:24" x14ac:dyDescent="0.4">
      <c r="B77" s="46" t="s">
        <v>288</v>
      </c>
      <c r="D77" s="68">
        <f>IF(ISNUMBER('Step 3 (MTP) - Plan and prior'!D32),'Step 3 (MTP) - Plan and prior'!D32,"")</f>
        <v>0</v>
      </c>
      <c r="E77" s="68">
        <f>IF(ISNUMBER('Step 3 (MTP) - Plan and prior'!E32),'Step 3 (MTP) - Plan and prior'!E32,"")</f>
        <v>0</v>
      </c>
      <c r="F77" s="68">
        <f>IF(ISNUMBER('Step 3 (MTP) - Plan and prior'!F32),'Step 3 (MTP) - Plan and prior'!F32,"")</f>
        <v>0</v>
      </c>
      <c r="G77" s="68">
        <f>IF(ISNUMBER('Step 3 (MTP) - Plan and prior'!G32),'Step 3 (MTP) - Plan and prior'!G32,"")</f>
        <v>0</v>
      </c>
      <c r="H77" s="68">
        <f>IF(ISNUMBER('Step 3 (MTP) - Plan and prior'!H32),'Step 3 (MTP) - Plan and prior'!H32,"")</f>
        <v>0</v>
      </c>
      <c r="I77" s="68">
        <f>IF(ISNUMBER('Step 3 (MTP) - Plan and prior'!I32),'Step 3 (MTP) - Plan and prior'!I32,"")</f>
        <v>0</v>
      </c>
      <c r="J77" s="68">
        <f>IF(ISNUMBER('Step 3 (MTP) - Plan and prior'!J32),'Step 3 (MTP) - Plan and prior'!J32,"")</f>
        <v>0</v>
      </c>
      <c r="K77" s="68">
        <f>IF(ISNUMBER('Step 3 (MTP) - Plan and prior'!K32),'Step 3 (MTP) - Plan and prior'!K32,"")</f>
        <v>0</v>
      </c>
      <c r="L77" s="68">
        <f>IF(ISNUMBER('Step 3 (MTP) - Plan and prior'!L32),'Step 3 (MTP) - Plan and prior'!L32,"")</f>
        <v>0</v>
      </c>
      <c r="M77" s="68">
        <f>IF(ISNUMBER('Step 3 (MTP) - Plan and prior'!M32),'Step 3 (MTP) - Plan and prior'!M32,"")</f>
        <v>0</v>
      </c>
      <c r="N77" s="68">
        <f>IF(ISNUMBER('Step 3 (MTP) - Plan and prior'!N32),'Step 3 (MTP) - Plan and prior'!N32,"")</f>
        <v>0</v>
      </c>
      <c r="O77" s="68">
        <f>IF(ISNUMBER('Step 3 (MTP) - Plan and prior'!O32),'Step 3 (MTP) - Plan and prior'!O32,"")</f>
        <v>0</v>
      </c>
      <c r="P77" s="68">
        <f>IF(ISNUMBER('Step 3 (MTP) - Plan and prior'!P32),'Step 3 (MTP) - Plan and prior'!P32,"")</f>
        <v>0</v>
      </c>
      <c r="Q77" s="68">
        <f>IF(ISNUMBER('Step 3 (MTP) - Plan and prior'!Q32),'Step 3 (MTP) - Plan and prior'!Q32,"")</f>
        <v>0</v>
      </c>
      <c r="R77" s="68">
        <f>IF(ISNUMBER('Step 3 (MTP) - Plan and prior'!R32),'Step 3 (MTP) - Plan and prior'!R32,"")</f>
        <v>0</v>
      </c>
      <c r="S77" s="68">
        <f>IF(ISNUMBER('Step 3 (MTP) - Plan and prior'!S32),'Step 3 (MTP) - Plan and prior'!S32,"")</f>
        <v>0</v>
      </c>
      <c r="T77" s="68" t="str">
        <f>IF(ISNUMBER('Step 3 (MTP) - Plan and prior'!T52),'Step 3 (MTP) - Plan and prior'!T52,"")</f>
        <v/>
      </c>
      <c r="U77" s="68" t="str">
        <f>IF(ISNUMBER('Step 3 (MTP) - Plan and prior'!U52),'Step 3 (MTP) - Plan and prior'!U52,"")</f>
        <v/>
      </c>
      <c r="V77" s="68" t="str">
        <f>IF(ISNUMBER('Step 3 (MTP) - Plan and prior'!V52),'Step 3 (MTP) - Plan and prior'!V52,"")</f>
        <v/>
      </c>
      <c r="W77" s="68" t="str">
        <f>IF(ISNUMBER('Step 3 (MTP) - Plan and prior'!W52),'Step 3 (MTP) - Plan and prior'!W52,"")</f>
        <v/>
      </c>
      <c r="X77" t="str">
        <f>IF(ISNUMBER('Step 3 (MTP) - Plan and prior'!X52),'Step 3 (MTP) - Plan and prior'!X52,"")</f>
        <v/>
      </c>
    </row>
    <row r="78" spans="2:24" x14ac:dyDescent="0.4">
      <c r="B78" s="46" t="str">
        <f>'Step 3 (MTP) - Plan and prior'!B53</f>
        <v>Stochastic debt projections, 2029-2033</v>
      </c>
      <c r="D78" s="68" t="str">
        <f>IF(ISNUMBER('Step 3 (MTP) - Plan and prior'!D53),'Step 3 (MTP) - Plan and prior'!D53,"")</f>
        <v/>
      </c>
      <c r="E78" s="68" t="str">
        <f>IF(ISNUMBER('Step 3 (MTP) - Plan and prior'!E53),'Step 3 (MTP) - Plan and prior'!E53,"")</f>
        <v/>
      </c>
      <c r="F78" s="68" t="str">
        <f>IF(ISNUMBER('Step 3 (MTP) - Plan and prior'!F53),'Step 3 (MTP) - Plan and prior'!F53,"")</f>
        <v/>
      </c>
      <c r="G78" s="68" t="str">
        <f>IF(ISNUMBER('Step 3 (MTP) - Plan and prior'!G53),'Step 3 (MTP) - Plan and prior'!G53,"")</f>
        <v/>
      </c>
      <c r="H78" s="68" t="str">
        <f>IF(ISNUMBER('Step 3 (MTP) - Plan and prior'!H53),'Step 3 (MTP) - Plan and prior'!H53,"")</f>
        <v/>
      </c>
      <c r="I78" s="68" t="str">
        <f>IF(ISNUMBER('Step 3 (MTP) - Plan and prior'!I53),'Step 3 (MTP) - Plan and prior'!I53,"")</f>
        <v/>
      </c>
      <c r="J78" s="68" t="str">
        <f>IF(ISNUMBER('Step 3 (MTP) - Plan and prior'!J53),'Step 3 (MTP) - Plan and prior'!J53,"")</f>
        <v/>
      </c>
      <c r="K78" s="68" t="str">
        <f>IF(ISNUMBER('Step 3 (MTP) - Plan and prior'!K53),'Step 3 (MTP) - Plan and prior'!K53,"")</f>
        <v/>
      </c>
      <c r="L78" s="68" t="str">
        <f>IF(ISNUMBER('Step 3 (MTP) - Plan and prior'!L53),'Step 3 (MTP) - Plan and prior'!L53,"")</f>
        <v/>
      </c>
      <c r="M78" s="68" t="str">
        <f>IF(ISNUMBER('Step 3 (MTP) - Plan and prior'!M53),'Step 3 (MTP) - Plan and prior'!M53,"")</f>
        <v/>
      </c>
      <c r="N78" s="68" t="str">
        <f>IF(ISNUMBER('Step 3 (MTP) - Plan and prior'!N53),'Step 3 (MTP) - Plan and prior'!N53,"")</f>
        <v/>
      </c>
      <c r="O78" s="68" t="str">
        <f>IF(ISNUMBER('Step 3 (MTP) - Plan and prior'!O53),'Step 3 (MTP) - Plan and prior'!O53,"")</f>
        <v/>
      </c>
      <c r="P78" s="68" t="str">
        <f>IF(ISNUMBER('Step 3 (MTP) - Plan and prior'!P53),'Step 3 (MTP) - Plan and prior'!P53,"")</f>
        <v/>
      </c>
      <c r="Q78" s="68" t="str">
        <f>IF(ISNUMBER('Step 3 (MTP) - Plan and prior'!Q53),'Step 3 (MTP) - Plan and prior'!Q53,"")</f>
        <v/>
      </c>
      <c r="R78" s="68" t="str">
        <f>IF(ISNUMBER('Step 3 (MTP) - Plan and prior'!R53),'Step 3 (MTP) - Plan and prior'!R53,"")</f>
        <v/>
      </c>
      <c r="S78" s="68" t="str">
        <f>IF(ISNUMBER('Step 3 (MTP) - Plan and prior'!S53),'Step 3 (MTP) - Plan and prior'!S53,"")</f>
        <v/>
      </c>
      <c r="T78" s="68" t="str">
        <f>IF(ISNUMBER('Step 3 (MTP) - Plan and prior'!T53),'Step 3 (MTP) - Plan and prior'!T53,"")</f>
        <v/>
      </c>
      <c r="U78" s="68" t="str">
        <f>IF(ISNUMBER('Step 3 (MTP) - Plan and prior'!U53),'Step 3 (MTP) - Plan and prior'!U53,"")</f>
        <v/>
      </c>
      <c r="V78" s="68" t="str">
        <f>IF(ISNUMBER('Step 3 (MTP) - Plan and prior'!V53),'Step 3 (MTP) - Plan and prior'!V53,"")</f>
        <v/>
      </c>
      <c r="W78" s="68" t="str">
        <f>IF(ISNUMBER('Step 3 (MTP) - Plan and prior'!W53),'Step 3 (MTP) - Plan and prior'!W53,"")</f>
        <v/>
      </c>
      <c r="X78" t="str">
        <f>IF(ISNUMBER('Step 3 (MTP) - Plan and prior'!X53),'Step 3 (MTP) - Plan and prior'!X53,"")</f>
        <v/>
      </c>
    </row>
    <row r="79" spans="2:24" x14ac:dyDescent="0.4">
      <c r="B79" s="82" t="s">
        <v>317</v>
      </c>
      <c r="D79" s="68" t="str">
        <f>IF(ISNUMBER('Step 3 (MTP) - Plan and prior'!D54),'Step 3 (MTP) - Plan and prior'!D54,"")</f>
        <v/>
      </c>
      <c r="E79" s="68" t="str">
        <f>IF(ISNUMBER('Step 3 (MTP) - Plan and prior'!E54),'Step 3 (MTP) - Plan and prior'!E54,"")</f>
        <v/>
      </c>
      <c r="F79" s="68" t="str">
        <f>IF(ISNUMBER('Step 3 (MTP) - Plan and prior'!F54),'Step 3 (MTP) - Plan and prior'!F54,"")</f>
        <v/>
      </c>
      <c r="G79" s="68" t="str">
        <f>IF(ISNUMBER('Step 3 (MTP) - Plan and prior'!G54),'Step 3 (MTP) - Plan and prior'!G54,"")</f>
        <v/>
      </c>
      <c r="H79" s="68" t="str">
        <f>IF(ISNUMBER('Step 3 (MTP) - Plan and prior'!H54),'Step 3 (MTP) - Plan and prior'!H54,"")</f>
        <v/>
      </c>
      <c r="I79" s="68" t="str">
        <f>IF(ISNUMBER('Step 3 (MTP) - Plan and prior'!I54),'Step 3 (MTP) - Plan and prior'!I54,"")</f>
        <v/>
      </c>
      <c r="J79" s="68" t="str">
        <f>IF(ISNUMBER('Step 3 (MTP) - Plan and prior'!J54),'Step 3 (MTP) - Plan and prior'!J54,"")</f>
        <v/>
      </c>
      <c r="K79" s="68" t="str">
        <f>IF(ISNUMBER('Step 3 (MTP) - Plan and prior'!K54),'Step 3 (MTP) - Plan and prior'!K54,"")</f>
        <v/>
      </c>
      <c r="L79" s="68" t="str">
        <f>IF(ISNUMBER('Step 3 (MTP) - Plan and prior'!L54),'Step 3 (MTP) - Plan and prior'!L54,"")</f>
        <v/>
      </c>
      <c r="M79" s="68" t="str">
        <f>IF(ISNUMBER('Step 3 (MTP) - Plan and prior'!M54),'Step 3 (MTP) - Plan and prior'!M54,"")</f>
        <v/>
      </c>
      <c r="N79" s="68" t="str">
        <f>IF(ISNUMBER('Step 3 (MTP) - Plan and prior'!N54),'Step 3 (MTP) - Plan and prior'!N54,"")</f>
        <v/>
      </c>
      <c r="O79" s="68" t="str">
        <f>IF(ISNUMBER('Step 3 (MTP) - Plan and prior'!O54),'Step 3 (MTP) - Plan and prior'!O54,"")</f>
        <v/>
      </c>
      <c r="P79" s="68" t="str">
        <f>IF(ISNUMBER('Step 3 (MTP) - Plan and prior'!P54),'Step 3 (MTP) - Plan and prior'!P54,"")</f>
        <v/>
      </c>
      <c r="Q79" s="68" t="str">
        <f>IF(ISNUMBER('Step 3 (MTP) - Plan and prior'!Q54),'Step 3 (MTP) - Plan and prior'!Q54,"")</f>
        <v/>
      </c>
      <c r="R79" s="68" t="str">
        <f>IF(ISNUMBER('Step 3 (MTP) - Plan and prior'!R54),'Step 3 (MTP) - Plan and prior'!R54,"")</f>
        <v/>
      </c>
      <c r="S79" s="68" t="str">
        <f>IF(ISNUMBER('Step 3 (MTP) - Plan and prior'!S54),'Step 3 (MTP) - Plan and prior'!S54,"")</f>
        <v/>
      </c>
      <c r="T79" s="68" t="str">
        <f>IF(ISNUMBER('Step 3 (MTP) - Plan and prior'!T54),'Step 3 (MTP) - Plan and prior'!T54,"")</f>
        <v/>
      </c>
      <c r="U79" s="68" t="str">
        <f>IF(ISNUMBER('Step 3 (MTP) - Plan and prior'!U54),'Step 3 (MTP) - Plan and prior'!U54,"")</f>
        <v/>
      </c>
      <c r="V79" s="68" t="str">
        <f>IF(ISNUMBER('Step 3 (MTP) - Plan and prior'!V54),'Step 3 (MTP) - Plan and prior'!V54,"")</f>
        <v/>
      </c>
      <c r="W79" s="68" t="str">
        <f>IF(ISNUMBER('Step 3 (MTP) - Plan and prior'!W54),'Step 3 (MTP) - Plan and prior'!W54,"")</f>
        <v/>
      </c>
      <c r="X79" t="str">
        <f>IF(ISNUMBER('Step 3 (MTP) - Plan and prior'!X54),'Step 3 (MTP) - Plan and prior'!X54,"")</f>
        <v/>
      </c>
    </row>
    <row r="80" spans="2:24" x14ac:dyDescent="0.4">
      <c r="B80" s="82" t="s">
        <v>318</v>
      </c>
      <c r="D80" s="68" t="str">
        <f>IF(ISNUMBER('Step 3 (MTP) - Plan and prior'!D55),'Step 3 (MTP) - Plan and prior'!D55,"")</f>
        <v/>
      </c>
      <c r="E80" s="68" t="str">
        <f>IF(ISNUMBER('Step 3 (MTP) - Plan and prior'!E55),'Step 3 (MTP) - Plan and prior'!E55,"")</f>
        <v/>
      </c>
      <c r="F80" s="68" t="str">
        <f>IF(ISNUMBER('Step 3 (MTP) - Plan and prior'!F55),'Step 3 (MTP) - Plan and prior'!F55,"")</f>
        <v/>
      </c>
      <c r="G80" s="68" t="str">
        <f>IF(ISNUMBER('Step 3 (MTP) - Plan and prior'!G55),'Step 3 (MTP) - Plan and prior'!G55,"")</f>
        <v/>
      </c>
      <c r="H80" s="68" t="str">
        <f>IF(ISNUMBER('Step 3 (MTP) - Plan and prior'!H55),'Step 3 (MTP) - Plan and prior'!H55,"")</f>
        <v/>
      </c>
      <c r="I80" s="68" t="str">
        <f>IF(ISNUMBER('Step 3 (MTP) - Plan and prior'!I55),'Step 3 (MTP) - Plan and prior'!I55,"")</f>
        <v/>
      </c>
      <c r="J80" s="68" t="str">
        <f>IF(ISNUMBER('Step 3 (MTP) - Plan and prior'!J55),'Step 3 (MTP) - Plan and prior'!J55,"")</f>
        <v/>
      </c>
      <c r="K80" s="68" t="str">
        <f>IF(ISNUMBER('Step 3 (MTP) - Plan and prior'!K55),'Step 3 (MTP) - Plan and prior'!K55,"")</f>
        <v/>
      </c>
      <c r="L80" s="68" t="str">
        <f>IF(ISNUMBER('Step 3 (MTP) - Plan and prior'!L55),'Step 3 (MTP) - Plan and prior'!L55,"")</f>
        <v/>
      </c>
      <c r="M80" s="68" t="str">
        <f>IF(ISNUMBER('Step 3 (MTP) - Plan and prior'!M55),'Step 3 (MTP) - Plan and prior'!M55,"")</f>
        <v/>
      </c>
      <c r="N80" s="68" t="str">
        <f>IF(ISNUMBER('Step 3 (MTP) - Plan and prior'!N55),'Step 3 (MTP) - Plan and prior'!N55,"")</f>
        <v/>
      </c>
      <c r="O80" s="68" t="str">
        <f>IF(ISNUMBER('Step 3 (MTP) - Plan and prior'!O55),'Step 3 (MTP) - Plan and prior'!O55,"")</f>
        <v/>
      </c>
      <c r="P80" s="68" t="str">
        <f>IF(ISNUMBER('Step 3 (MTP) - Plan and prior'!P55),'Step 3 (MTP) - Plan and prior'!P55,"")</f>
        <v/>
      </c>
      <c r="Q80" s="68" t="str">
        <f>IF(ISNUMBER('Step 3 (MTP) - Plan and prior'!Q55),'Step 3 (MTP) - Plan and prior'!Q55,"")</f>
        <v/>
      </c>
      <c r="R80" s="68" t="str">
        <f>IF(ISNUMBER('Step 3 (MTP) - Plan and prior'!R55),'Step 3 (MTP) - Plan and prior'!R55,"")</f>
        <v/>
      </c>
      <c r="S80" s="68" t="str">
        <f>IF(ISNUMBER('Step 3 (MTP) - Plan and prior'!S55),'Step 3 (MTP) - Plan and prior'!S55,"")</f>
        <v/>
      </c>
      <c r="T80" s="68" t="str">
        <f>IF(ISNUMBER('Step 3 (MTP) - Plan and prior'!T55),'Step 3 (MTP) - Plan and prior'!T55,"")</f>
        <v/>
      </c>
      <c r="U80" s="68" t="str">
        <f>IF(ISNUMBER('Step 3 (MTP) - Plan and prior'!U55),'Step 3 (MTP) - Plan and prior'!U55,"")</f>
        <v/>
      </c>
      <c r="V80" s="68" t="str">
        <f>IF(ISNUMBER('Step 3 (MTP) - Plan and prior'!V55),'Step 3 (MTP) - Plan and prior'!V55,"")</f>
        <v/>
      </c>
      <c r="W80" s="68" t="str">
        <f>IF(ISNUMBER('Step 3 (MTP) - Plan and prior'!W55),'Step 3 (MTP) - Plan and prior'!W55,"")</f>
        <v/>
      </c>
      <c r="X80" t="str">
        <f>IF(ISNUMBER('Step 3 (MTP) - Plan and prior'!X55),'Step 3 (MTP) - Plan and prior'!X55,"")</f>
        <v/>
      </c>
    </row>
    <row r="81" spans="2:35" x14ac:dyDescent="0.4">
      <c r="B81" s="82" t="s">
        <v>319</v>
      </c>
      <c r="D81" s="68" t="str">
        <f>IF(ISNUMBER('Step 3 (MTP) - Plan and prior'!D56),'Step 3 (MTP) - Plan and prior'!D56,"")</f>
        <v/>
      </c>
      <c r="E81" s="68" t="str">
        <f>IF(ISNUMBER('Step 3 (MTP) - Plan and prior'!E56),'Step 3 (MTP) - Plan and prior'!E56,"")</f>
        <v/>
      </c>
      <c r="F81" s="68" t="str">
        <f>IF(ISNUMBER('Step 3 (MTP) - Plan and prior'!F56),'Step 3 (MTP) - Plan and prior'!F56,"")</f>
        <v/>
      </c>
      <c r="G81" s="68" t="str">
        <f>IF(ISNUMBER('Step 3 (MTP) - Plan and prior'!G56),'Step 3 (MTP) - Plan and prior'!G56,"")</f>
        <v/>
      </c>
      <c r="H81" s="68" t="str">
        <f>IF(ISNUMBER('Step 3 (MTP) - Plan and prior'!H56),'Step 3 (MTP) - Plan and prior'!H56,"")</f>
        <v/>
      </c>
      <c r="I81" s="68" t="str">
        <f>IF(ISNUMBER('Step 3 (MTP) - Plan and prior'!I56),'Step 3 (MTP) - Plan and prior'!I56,"")</f>
        <v/>
      </c>
      <c r="J81" s="68" t="str">
        <f>IF(ISNUMBER('Step 3 (MTP) - Plan and prior'!J56),'Step 3 (MTP) - Plan and prior'!J56,"")</f>
        <v/>
      </c>
      <c r="K81" s="68" t="str">
        <f>IF(ISNUMBER('Step 3 (MTP) - Plan and prior'!K56),'Step 3 (MTP) - Plan and prior'!K56,"")</f>
        <v/>
      </c>
      <c r="L81" s="68" t="str">
        <f>IF(ISNUMBER('Step 3 (MTP) - Plan and prior'!L56),'Step 3 (MTP) - Plan and prior'!L56,"")</f>
        <v/>
      </c>
      <c r="M81" s="68" t="str">
        <f>IF(ISNUMBER('Step 3 (MTP) - Plan and prior'!M56),'Step 3 (MTP) - Plan and prior'!M56,"")</f>
        <v/>
      </c>
      <c r="N81" s="68" t="str">
        <f>IF(ISNUMBER('Step 3 (MTP) - Plan and prior'!N56),'Step 3 (MTP) - Plan and prior'!N56,"")</f>
        <v/>
      </c>
      <c r="O81" s="68" t="str">
        <f>IF(ISNUMBER('Step 3 (MTP) - Plan and prior'!O56),'Step 3 (MTP) - Plan and prior'!O56,"")</f>
        <v/>
      </c>
      <c r="P81" s="68" t="str">
        <f>IF(ISNUMBER('Step 3 (MTP) - Plan and prior'!P56),'Step 3 (MTP) - Plan and prior'!P56,"")</f>
        <v/>
      </c>
      <c r="Q81" s="68" t="str">
        <f>IF(ISNUMBER('Step 3 (MTP) - Plan and prior'!Q56),'Step 3 (MTP) - Plan and prior'!Q56,"")</f>
        <v/>
      </c>
      <c r="R81" s="68" t="str">
        <f>IF(ISNUMBER('Step 3 (MTP) - Plan and prior'!R56),'Step 3 (MTP) - Plan and prior'!R56,"")</f>
        <v/>
      </c>
      <c r="S81" s="68" t="str">
        <f>IF(ISNUMBER('Step 3 (MTP) - Plan and prior'!S56),'Step 3 (MTP) - Plan and prior'!S56,"")</f>
        <v/>
      </c>
      <c r="T81" s="68" t="str">
        <f>IF(ISNUMBER('Step 3 (MTP) - Plan and prior'!T56),'Step 3 (MTP) - Plan and prior'!T56,"")</f>
        <v/>
      </c>
      <c r="U81" s="68" t="str">
        <f>IF(ISNUMBER('Step 3 (MTP) - Plan and prior'!U56),'Step 3 (MTP) - Plan and prior'!U56,"")</f>
        <v/>
      </c>
      <c r="V81" s="68" t="str">
        <f>IF(ISNUMBER('Step 3 (MTP) - Plan and prior'!V56),'Step 3 (MTP) - Plan and prior'!V56,"")</f>
        <v/>
      </c>
      <c r="W81" s="68" t="str">
        <f>IF(ISNUMBER('Step 3 (MTP) - Plan and prior'!W56),'Step 3 (MTP) - Plan and prior'!W56,"")</f>
        <v/>
      </c>
      <c r="X81" t="str">
        <f>IF(ISNUMBER('Step 3 (MTP) - Plan and prior'!X56),'Step 3 (MTP) - Plan and prior'!X56,"")</f>
        <v/>
      </c>
    </row>
    <row r="82" spans="2:35" x14ac:dyDescent="0.4">
      <c r="B82" s="82" t="s">
        <v>320</v>
      </c>
      <c r="D82" s="68" t="str">
        <f>IF(ISNUMBER('Step 3 (MTP) - Plan and prior'!D57),'Step 3 (MTP) - Plan and prior'!D57,"")</f>
        <v/>
      </c>
      <c r="E82" s="68" t="str">
        <f>IF(ISNUMBER('Step 3 (MTP) - Plan and prior'!E57),'Step 3 (MTP) - Plan and prior'!E57,"")</f>
        <v/>
      </c>
      <c r="F82" s="68" t="str">
        <f>IF(ISNUMBER('Step 3 (MTP) - Plan and prior'!F57),'Step 3 (MTP) - Plan and prior'!F57,"")</f>
        <v/>
      </c>
      <c r="G82" s="68" t="str">
        <f>IF(ISNUMBER('Step 3 (MTP) - Plan and prior'!G57),'Step 3 (MTP) - Plan and prior'!G57,"")</f>
        <v/>
      </c>
      <c r="H82" s="68" t="str">
        <f>IF(ISNUMBER('Step 3 (MTP) - Plan and prior'!H57),'Step 3 (MTP) - Plan and prior'!H57,"")</f>
        <v/>
      </c>
      <c r="I82" s="68" t="str">
        <f>IF(ISNUMBER('Step 3 (MTP) - Plan and prior'!I57),'Step 3 (MTP) - Plan and prior'!I57,"")</f>
        <v/>
      </c>
      <c r="J82" s="68" t="str">
        <f>IF(ISNUMBER('Step 3 (MTP) - Plan and prior'!J57),'Step 3 (MTP) - Plan and prior'!J57,"")</f>
        <v/>
      </c>
      <c r="K82" s="68" t="str">
        <f>IF(ISNUMBER('Step 3 (MTP) - Plan and prior'!K57),'Step 3 (MTP) - Plan and prior'!K57,"")</f>
        <v/>
      </c>
      <c r="L82" s="68" t="str">
        <f>IF(ISNUMBER('Step 3 (MTP) - Plan and prior'!L57),'Step 3 (MTP) - Plan and prior'!L57,"")</f>
        <v/>
      </c>
      <c r="M82" s="68" t="str">
        <f>IF(ISNUMBER('Step 3 (MTP) - Plan and prior'!M57),'Step 3 (MTP) - Plan and prior'!M57,"")</f>
        <v/>
      </c>
      <c r="N82" s="68" t="str">
        <f>IF(ISNUMBER('Step 3 (MTP) - Plan and prior'!N57),'Step 3 (MTP) - Plan and prior'!N57,"")</f>
        <v/>
      </c>
      <c r="O82" s="68" t="str">
        <f>IF(ISNUMBER('Step 3 (MTP) - Plan and prior'!O57),'Step 3 (MTP) - Plan and prior'!O57,"")</f>
        <v/>
      </c>
      <c r="P82" s="68" t="str">
        <f>IF(ISNUMBER('Step 3 (MTP) - Plan and prior'!P57),'Step 3 (MTP) - Plan and prior'!P57,"")</f>
        <v/>
      </c>
      <c r="Q82" s="68" t="str">
        <f>IF(ISNUMBER('Step 3 (MTP) - Plan and prior'!Q57),'Step 3 (MTP) - Plan and prior'!Q57,"")</f>
        <v/>
      </c>
      <c r="R82" s="68" t="str">
        <f>IF(ISNUMBER('Step 3 (MTP) - Plan and prior'!R57),'Step 3 (MTP) - Plan and prior'!R57,"")</f>
        <v/>
      </c>
      <c r="S82" s="68" t="str">
        <f>IF(ISNUMBER('Step 3 (MTP) - Plan and prior'!S57),'Step 3 (MTP) - Plan and prior'!S57,"")</f>
        <v/>
      </c>
      <c r="T82" s="68" t="str">
        <f>IF(ISNUMBER('Step 3 (MTP) - Plan and prior'!T57),'Step 3 (MTP) - Plan and prior'!T57,"")</f>
        <v/>
      </c>
      <c r="U82" s="68" t="str">
        <f>IF(ISNUMBER('Step 3 (MTP) - Plan and prior'!U57),'Step 3 (MTP) - Plan and prior'!U57,"")</f>
        <v/>
      </c>
      <c r="V82" s="68" t="str">
        <f>IF(ISNUMBER('Step 3 (MTP) - Plan and prior'!V57),'Step 3 (MTP) - Plan and prior'!V57,"")</f>
        <v/>
      </c>
      <c r="W82" s="68" t="str">
        <f>IF(ISNUMBER('Step 3 (MTP) - Plan and prior'!W57),'Step 3 (MTP) - Plan and prior'!W57,"")</f>
        <v/>
      </c>
      <c r="X82" t="str">
        <f>IF(ISNUMBER('Step 3 (MTP) - Plan and prior'!X57),'Step 3 (MTP) - Plan and prior'!X57,"")</f>
        <v/>
      </c>
    </row>
    <row r="83" spans="2:35" x14ac:dyDescent="0.4">
      <c r="B83" s="82" t="s">
        <v>321</v>
      </c>
      <c r="D83" s="68" t="str">
        <f>IF(ISNUMBER('Step 3 (MTP) - Plan and prior'!D58),'Step 3 (MTP) - Plan and prior'!D58,"")</f>
        <v/>
      </c>
      <c r="E83" s="68" t="str">
        <f>IF(ISNUMBER('Step 3 (MTP) - Plan and prior'!E58),'Step 3 (MTP) - Plan and prior'!E58,"")</f>
        <v/>
      </c>
      <c r="F83" s="68" t="str">
        <f>IF(ISNUMBER('Step 3 (MTP) - Plan and prior'!F58),'Step 3 (MTP) - Plan and prior'!F58,"")</f>
        <v/>
      </c>
      <c r="G83" s="68" t="str">
        <f>IF(ISNUMBER('Step 3 (MTP) - Plan and prior'!G58),'Step 3 (MTP) - Plan and prior'!G58,"")</f>
        <v/>
      </c>
      <c r="H83" s="68" t="str">
        <f>IF(ISNUMBER('Step 3 (MTP) - Plan and prior'!H58),'Step 3 (MTP) - Plan and prior'!H58,"")</f>
        <v/>
      </c>
      <c r="I83" s="68" t="str">
        <f>IF(ISNUMBER('Step 3 (MTP) - Plan and prior'!I58),'Step 3 (MTP) - Plan and prior'!I58,"")</f>
        <v/>
      </c>
      <c r="J83" s="68" t="str">
        <f>IF(ISNUMBER('Step 3 (MTP) - Plan and prior'!J58),'Step 3 (MTP) - Plan and prior'!J58,"")</f>
        <v/>
      </c>
      <c r="K83" s="68" t="str">
        <f>IF(ISNUMBER('Step 3 (MTP) - Plan and prior'!K58),'Step 3 (MTP) - Plan and prior'!K58,"")</f>
        <v/>
      </c>
      <c r="L83" s="68" t="str">
        <f>IF(ISNUMBER('Step 3 (MTP) - Plan and prior'!L58),'Step 3 (MTP) - Plan and prior'!L58,"")</f>
        <v/>
      </c>
      <c r="M83" s="68" t="str">
        <f>IF(ISNUMBER('Step 3 (MTP) - Plan and prior'!M58),'Step 3 (MTP) - Plan and prior'!M58,"")</f>
        <v/>
      </c>
      <c r="N83" s="68" t="str">
        <f>IF(ISNUMBER('Step 3 (MTP) - Plan and prior'!N58),'Step 3 (MTP) - Plan and prior'!N58,"")</f>
        <v/>
      </c>
      <c r="O83" s="68" t="str">
        <f>IF(ISNUMBER('Step 3 (MTP) - Plan and prior'!O58),'Step 3 (MTP) - Plan and prior'!O58,"")</f>
        <v/>
      </c>
      <c r="P83" s="68" t="str">
        <f>IF(ISNUMBER('Step 3 (MTP) - Plan and prior'!P58),'Step 3 (MTP) - Plan and prior'!P58,"")</f>
        <v/>
      </c>
      <c r="Q83" s="68" t="str">
        <f>IF(ISNUMBER('Step 3 (MTP) - Plan and prior'!Q58),'Step 3 (MTP) - Plan and prior'!Q58,"")</f>
        <v/>
      </c>
      <c r="R83" s="68" t="str">
        <f>IF(ISNUMBER('Step 3 (MTP) - Plan and prior'!R58),'Step 3 (MTP) - Plan and prior'!R58,"")</f>
        <v/>
      </c>
      <c r="S83" s="68" t="str">
        <f>IF(ISNUMBER('Step 3 (MTP) - Plan and prior'!S58),'Step 3 (MTP) - Plan and prior'!S58,"")</f>
        <v/>
      </c>
      <c r="T83" s="68" t="str">
        <f>IF(ISNUMBER('Step 3 (MTP) - Plan and prior'!T58),'Step 3 (MTP) - Plan and prior'!T58,"")</f>
        <v/>
      </c>
      <c r="U83" s="68" t="str">
        <f>IF(ISNUMBER('Step 3 (MTP) - Plan and prior'!U58),'Step 3 (MTP) - Plan and prior'!U58,"")</f>
        <v/>
      </c>
      <c r="V83" s="68" t="str">
        <f>IF(ISNUMBER('Step 3 (MTP) - Plan and prior'!V58),'Step 3 (MTP) - Plan and prior'!V58,"")</f>
        <v/>
      </c>
      <c r="W83" s="68" t="str">
        <f>IF(ISNUMBER('Step 3 (MTP) - Plan and prior'!W58),'Step 3 (MTP) - Plan and prior'!W58,"")</f>
        <v/>
      </c>
      <c r="X83" t="str">
        <f>IF(ISNUMBER('Step 3 (MTP) - Plan and prior'!X58),'Step 3 (MTP) - Plan and prior'!X58,"")</f>
        <v/>
      </c>
    </row>
    <row r="84" spans="2:35" x14ac:dyDescent="0.4">
      <c r="B84" s="82" t="s">
        <v>317</v>
      </c>
      <c r="D84" s="68" t="str">
        <f>IF(ISNUMBER('Step 3 (MTP) - Plan and prior'!D59),'Step 3 (MTP) - Plan and prior'!D59,"")</f>
        <v/>
      </c>
      <c r="E84" s="68" t="str">
        <f>IF(ISNUMBER('Step 3 (MTP) - Plan and prior'!E59),'Step 3 (MTP) - Plan and prior'!E59,"")</f>
        <v/>
      </c>
      <c r="F84" s="68" t="str">
        <f>IF(ISNUMBER('Step 3 (MTP) - Plan and prior'!F59),'Step 3 (MTP) - Plan and prior'!F59,"")</f>
        <v/>
      </c>
      <c r="G84" s="68" t="str">
        <f>IF(ISNUMBER('Step 3 (MTP) - Plan and prior'!G59),'Step 3 (MTP) - Plan and prior'!G59,"")</f>
        <v/>
      </c>
      <c r="H84" s="68" t="str">
        <f>IF(ISNUMBER('Step 3 (MTP) - Plan and prior'!H59),'Step 3 (MTP) - Plan and prior'!H59,"")</f>
        <v/>
      </c>
      <c r="I84" s="68" t="str">
        <f>IF(ISNUMBER('Step 3 (MTP) - Plan and prior'!I59),'Step 3 (MTP) - Plan and prior'!I59,"")</f>
        <v/>
      </c>
      <c r="J84" s="68" t="str">
        <f>IF(ISNUMBER('Step 3 (MTP) - Plan and prior'!J59),'Step 3 (MTP) - Plan and prior'!J59,"")</f>
        <v/>
      </c>
      <c r="K84" s="68" t="str">
        <f>IF(ISNUMBER('Step 3 (MTP) - Plan and prior'!K59),'Step 3 (MTP) - Plan and prior'!K59,"")</f>
        <v/>
      </c>
      <c r="L84" s="68" t="str">
        <f>IF(ISNUMBER('Step 3 (MTP) - Plan and prior'!L59),'Step 3 (MTP) - Plan and prior'!L59,"")</f>
        <v/>
      </c>
      <c r="M84" s="68" t="str">
        <f>IF(ISNUMBER('Step 3 (MTP) - Plan and prior'!M59),'Step 3 (MTP) - Plan and prior'!M59,"")</f>
        <v/>
      </c>
      <c r="N84" s="68" t="str">
        <f>IF(ISNUMBER('Step 3 (MTP) - Plan and prior'!N59),'Step 3 (MTP) - Plan and prior'!N59,"")</f>
        <v/>
      </c>
      <c r="O84" s="68" t="str">
        <f>IF(ISNUMBER('Step 3 (MTP) - Plan and prior'!O59),'Step 3 (MTP) - Plan and prior'!O59,"")</f>
        <v/>
      </c>
      <c r="P84" s="68" t="str">
        <f>IF(ISNUMBER('Step 3 (MTP) - Plan and prior'!P59),'Step 3 (MTP) - Plan and prior'!P59,"")</f>
        <v/>
      </c>
      <c r="Q84" s="68" t="str">
        <f>IF(ISNUMBER('Step 3 (MTP) - Plan and prior'!Q59),'Step 3 (MTP) - Plan and prior'!Q59,"")</f>
        <v/>
      </c>
      <c r="R84" s="68" t="str">
        <f>IF(ISNUMBER('Step 3 (MTP) - Plan and prior'!R59),'Step 3 (MTP) - Plan and prior'!R59,"")</f>
        <v/>
      </c>
      <c r="S84" s="68" t="str">
        <f>IF(ISNUMBER('Step 3 (MTP) - Plan and prior'!S59),'Step 3 (MTP) - Plan and prior'!S59,"")</f>
        <v/>
      </c>
      <c r="T84" s="68" t="str">
        <f>IF(ISNUMBER('Step 3 (MTP) - Plan and prior'!T59),'Step 3 (MTP) - Plan and prior'!T59,"")</f>
        <v/>
      </c>
      <c r="U84" s="68" t="str">
        <f>IF(ISNUMBER('Step 3 (MTP) - Plan and prior'!U59),'Step 3 (MTP) - Plan and prior'!U59,"")</f>
        <v/>
      </c>
      <c r="V84" s="68" t="str">
        <f>IF(ISNUMBER('Step 3 (MTP) - Plan and prior'!V59),'Step 3 (MTP) - Plan and prior'!V59,"")</f>
        <v/>
      </c>
      <c r="W84" s="68" t="str">
        <f>IF(ISNUMBER('Step 3 (MTP) - Plan and prior'!W59),'Step 3 (MTP) - Plan and prior'!W59,"")</f>
        <v/>
      </c>
      <c r="X84" t="str">
        <f>IF(ISNUMBER('Step 3 (MTP) - Plan and prior'!X59),'Step 3 (MTP) - Plan and prior'!X59,"")</f>
        <v/>
      </c>
    </row>
    <row r="85" spans="2:35" customFormat="1" x14ac:dyDescent="0.4">
      <c r="B85" s="82" t="s">
        <v>322</v>
      </c>
      <c r="C85" s="14"/>
      <c r="D85" s="68" t="str">
        <f>IF(ISNUMBER('Step 3 (MTP) - Plan and prior'!D60),'Step 3 (MTP) - Plan and prior'!D60,"")</f>
        <v/>
      </c>
      <c r="E85" s="68" t="str">
        <f>IF(ISNUMBER('Step 3 (MTP) - Plan and prior'!E60),'Step 3 (MTP) - Plan and prior'!E60,"")</f>
        <v/>
      </c>
      <c r="F85" s="68" t="str">
        <f>IF(ISNUMBER('Step 3 (MTP) - Plan and prior'!F60),'Step 3 (MTP) - Plan and prior'!F60,"")</f>
        <v/>
      </c>
      <c r="G85" s="68" t="str">
        <f>IF(ISNUMBER('Step 3 (MTP) - Plan and prior'!G60),'Step 3 (MTP) - Plan and prior'!G60,"")</f>
        <v/>
      </c>
      <c r="H85" s="68" t="str">
        <f>IF(ISNUMBER('Step 3 (MTP) - Plan and prior'!H60),'Step 3 (MTP) - Plan and prior'!H60,"")</f>
        <v/>
      </c>
      <c r="I85" s="68" t="str">
        <f>IF(ISNUMBER('Step 3 (MTP) - Plan and prior'!I60),'Step 3 (MTP) - Plan and prior'!I60,"")</f>
        <v/>
      </c>
      <c r="J85" s="68" t="str">
        <f>IF(ISNUMBER('Step 3 (MTP) - Plan and prior'!J60),'Step 3 (MTP) - Plan and prior'!J60,"")</f>
        <v/>
      </c>
      <c r="K85" s="68" t="str">
        <f>IF(ISNUMBER('Step 3 (MTP) - Plan and prior'!K60),'Step 3 (MTP) - Plan and prior'!K60,"")</f>
        <v/>
      </c>
      <c r="L85" s="68" t="str">
        <f>IF(ISNUMBER('Step 3 (MTP) - Plan and prior'!L60),'Step 3 (MTP) - Plan and prior'!L60,"")</f>
        <v/>
      </c>
      <c r="M85" s="68" t="str">
        <f>IF(ISNUMBER('Step 3 (MTP) - Plan and prior'!M60),'Step 3 (MTP) - Plan and prior'!M60,"")</f>
        <v/>
      </c>
      <c r="N85" s="68" t="str">
        <f>IF(ISNUMBER('Step 3 (MTP) - Plan and prior'!N60),'Step 3 (MTP) - Plan and prior'!N60,"")</f>
        <v/>
      </c>
      <c r="O85" s="68" t="str">
        <f>IF(ISNUMBER('Step 3 (MTP) - Plan and prior'!O60),'Step 3 (MTP) - Plan and prior'!O60,"")</f>
        <v/>
      </c>
      <c r="P85" s="68" t="str">
        <f>IF(ISNUMBER('Step 3 (MTP) - Plan and prior'!P60),'Step 3 (MTP) - Plan and prior'!P60,"")</f>
        <v/>
      </c>
      <c r="Q85" s="68" t="str">
        <f>IF(ISNUMBER('Step 3 (MTP) - Plan and prior'!Q60),'Step 3 (MTP) - Plan and prior'!Q60,"")</f>
        <v/>
      </c>
      <c r="R85" s="68" t="str">
        <f>IF(ISNUMBER('Step 3 (MTP) - Plan and prior'!R60),'Step 3 (MTP) - Plan and prior'!R60,"")</f>
        <v/>
      </c>
      <c r="S85" s="68" t="str">
        <f>IF(ISNUMBER('Step 3 (MTP) - Plan and prior'!S60),'Step 3 (MTP) - Plan and prior'!S60,"")</f>
        <v/>
      </c>
      <c r="T85" s="68" t="str">
        <f>IF(ISNUMBER('Step 3 (MTP) - Plan and prior'!T60),'Step 3 (MTP) - Plan and prior'!T60,"")</f>
        <v/>
      </c>
      <c r="U85" s="68" t="str">
        <f>IF(ISNUMBER('Step 3 (MTP) - Plan and prior'!U60),'Step 3 (MTP) - Plan and prior'!U60,"")</f>
        <v/>
      </c>
      <c r="V85" s="68" t="str">
        <f>IF(ISNUMBER('Step 3 (MTP) - Plan and prior'!V60),'Step 3 (MTP) - Plan and prior'!V60,"")</f>
        <v/>
      </c>
      <c r="W85" s="68" t="str">
        <f>IF(ISNUMBER('Step 3 (MTP) - Plan and prior'!W60),'Step 3 (MTP) - Plan and prior'!W60,"")</f>
        <v/>
      </c>
      <c r="X85" s="70" t="str">
        <f>IF(ISNUMBER('Step 3 (MTP) - Plan and prior'!X60),'Step 3 (MTP) - Plan and prior'!X60,"")</f>
        <v/>
      </c>
    </row>
    <row r="86" spans="2:35" customFormat="1" x14ac:dyDescent="0.4">
      <c r="B86" s="82" t="s">
        <v>323</v>
      </c>
      <c r="C86" s="14"/>
      <c r="D86" s="68" t="str">
        <f>IF(ISNUMBER('Step 3 (MTP) - Plan and prior'!D61),'Step 3 (MTP) - Plan and prior'!D61,"")</f>
        <v/>
      </c>
      <c r="E86" s="68" t="str">
        <f>IF(ISNUMBER('Step 3 (MTP) - Plan and prior'!E61),'Step 3 (MTP) - Plan and prior'!E61,"")</f>
        <v/>
      </c>
      <c r="F86" s="68" t="str">
        <f>IF(ISNUMBER('Step 3 (MTP) - Plan and prior'!F61),'Step 3 (MTP) - Plan and prior'!F61,"")</f>
        <v/>
      </c>
      <c r="G86" s="68" t="str">
        <f>IF(ISNUMBER('Step 3 (MTP) - Plan and prior'!G61),'Step 3 (MTP) - Plan and prior'!G61,"")</f>
        <v/>
      </c>
      <c r="H86" s="68" t="str">
        <f>IF(ISNUMBER('Step 3 (MTP) - Plan and prior'!H61),'Step 3 (MTP) - Plan and prior'!H61,"")</f>
        <v/>
      </c>
      <c r="I86" s="68" t="str">
        <f>IF(ISNUMBER('Step 3 (MTP) - Plan and prior'!I61),'Step 3 (MTP) - Plan and prior'!I61,"")</f>
        <v/>
      </c>
      <c r="J86" s="68" t="str">
        <f>IF(ISNUMBER('Step 3 (MTP) - Plan and prior'!J61),'Step 3 (MTP) - Plan and prior'!J61,"")</f>
        <v/>
      </c>
      <c r="K86" s="68" t="str">
        <f>IF(ISNUMBER('Step 3 (MTP) - Plan and prior'!K61),'Step 3 (MTP) - Plan and prior'!K61,"")</f>
        <v/>
      </c>
      <c r="L86" s="68" t="str">
        <f>IF(ISNUMBER('Step 3 (MTP) - Plan and prior'!L61),'Step 3 (MTP) - Plan and prior'!L61,"")</f>
        <v/>
      </c>
      <c r="M86" s="68" t="str">
        <f>IF(ISNUMBER('Step 3 (MTP) - Plan and prior'!M61),'Step 3 (MTP) - Plan and prior'!M61,"")</f>
        <v/>
      </c>
      <c r="N86" s="68" t="str">
        <f>IF(ISNUMBER('Step 3 (MTP) - Plan and prior'!N61),'Step 3 (MTP) - Plan and prior'!N61,"")</f>
        <v/>
      </c>
      <c r="O86" s="68" t="str">
        <f>IF(ISNUMBER('Step 3 (MTP) - Plan and prior'!O61),'Step 3 (MTP) - Plan and prior'!O61,"")</f>
        <v/>
      </c>
      <c r="P86" s="68" t="str">
        <f>IF(ISNUMBER('Step 3 (MTP) - Plan and prior'!P61),'Step 3 (MTP) - Plan and prior'!P61,"")</f>
        <v/>
      </c>
      <c r="Q86" s="68" t="str">
        <f>IF(ISNUMBER('Step 3 (MTP) - Plan and prior'!Q61),'Step 3 (MTP) - Plan and prior'!Q61,"")</f>
        <v/>
      </c>
      <c r="R86" s="68" t="str">
        <f>IF(ISNUMBER('Step 3 (MTP) - Plan and prior'!R61),'Step 3 (MTP) - Plan and prior'!R61,"")</f>
        <v/>
      </c>
      <c r="S86" s="68" t="str">
        <f>IF(ISNUMBER('Step 3 (MTP) - Plan and prior'!S61),'Step 3 (MTP) - Plan and prior'!S61,"")</f>
        <v/>
      </c>
      <c r="T86" s="68" t="str">
        <f>IF(ISNUMBER('Step 3 (MTP) - Plan and prior'!T61),'Step 3 (MTP) - Plan and prior'!T61,"")</f>
        <v/>
      </c>
      <c r="U86" s="68" t="str">
        <f>IF(ISNUMBER('Step 3 (MTP) - Plan and prior'!U61),'Step 3 (MTP) - Plan and prior'!U61,"")</f>
        <v/>
      </c>
      <c r="V86" s="68" t="str">
        <f>IF(ISNUMBER('Step 3 (MTP) - Plan and prior'!V61),'Step 3 (MTP) - Plan and prior'!V61,"")</f>
        <v/>
      </c>
      <c r="W86" s="68" t="str">
        <f>IF(ISNUMBER('Step 3 (MTP) - Plan and prior'!W61),'Step 3 (MTP) - Plan and prior'!W61,"")</f>
        <v/>
      </c>
      <c r="X86" s="70" t="str">
        <f>IF(ISNUMBER('Step 3 (MTP) - Plan and prior'!X61),'Step 3 (MTP) - Plan and prior'!X61,"")</f>
        <v/>
      </c>
    </row>
    <row r="87" spans="2:35" customFormat="1" x14ac:dyDescent="0.4">
      <c r="B87" s="82" t="s">
        <v>324</v>
      </c>
      <c r="C87" s="14"/>
      <c r="D87" s="68" t="str">
        <f>IF(ISNUMBER('Step 3 (MTP) - Plan and prior'!D62),'Step 3 (MTP) - Plan and prior'!D62,"")</f>
        <v/>
      </c>
      <c r="E87" s="68" t="str">
        <f>IF(ISNUMBER('Step 3 (MTP) - Plan and prior'!E62),'Step 3 (MTP) - Plan and prior'!E62,"")</f>
        <v/>
      </c>
      <c r="F87" s="68" t="str">
        <f>IF(ISNUMBER('Step 3 (MTP) - Plan and prior'!F62),'Step 3 (MTP) - Plan and prior'!F62,"")</f>
        <v/>
      </c>
      <c r="G87" s="68" t="str">
        <f>IF(ISNUMBER('Step 3 (MTP) - Plan and prior'!G62),'Step 3 (MTP) - Plan and prior'!G62,"")</f>
        <v/>
      </c>
      <c r="H87" s="68" t="str">
        <f>IF(ISNUMBER('Step 3 (MTP) - Plan and prior'!H62),'Step 3 (MTP) - Plan and prior'!H62,"")</f>
        <v/>
      </c>
      <c r="I87" s="68" t="str">
        <f>IF(ISNUMBER('Step 3 (MTP) - Plan and prior'!I62),'Step 3 (MTP) - Plan and prior'!I62,"")</f>
        <v/>
      </c>
      <c r="J87" s="68" t="str">
        <f>IF(ISNUMBER('Step 3 (MTP) - Plan and prior'!J62),'Step 3 (MTP) - Plan and prior'!J62,"")</f>
        <v/>
      </c>
      <c r="K87" s="68" t="str">
        <f>IF(ISNUMBER('Step 3 (MTP) - Plan and prior'!K62),'Step 3 (MTP) - Plan and prior'!K62,"")</f>
        <v/>
      </c>
      <c r="L87" s="68" t="str">
        <f>IF(ISNUMBER('Step 3 (MTP) - Plan and prior'!L62),'Step 3 (MTP) - Plan and prior'!L62,"")</f>
        <v/>
      </c>
      <c r="M87" s="68" t="str">
        <f>IF(ISNUMBER('Step 3 (MTP) - Plan and prior'!M62),'Step 3 (MTP) - Plan and prior'!M62,"")</f>
        <v/>
      </c>
      <c r="N87" s="68" t="str">
        <f>IF(ISNUMBER('Step 3 (MTP) - Plan and prior'!N62),'Step 3 (MTP) - Plan and prior'!N62,"")</f>
        <v/>
      </c>
      <c r="O87" s="68" t="str">
        <f>IF(ISNUMBER('Step 3 (MTP) - Plan and prior'!O62),'Step 3 (MTP) - Plan and prior'!O62,"")</f>
        <v/>
      </c>
      <c r="P87" s="68" t="str">
        <f>IF(ISNUMBER('Step 3 (MTP) - Plan and prior'!P62),'Step 3 (MTP) - Plan and prior'!P62,"")</f>
        <v/>
      </c>
      <c r="Q87" s="68" t="str">
        <f>IF(ISNUMBER('Step 3 (MTP) - Plan and prior'!Q62),'Step 3 (MTP) - Plan and prior'!Q62,"")</f>
        <v/>
      </c>
      <c r="R87" s="68" t="str">
        <f>IF(ISNUMBER('Step 3 (MTP) - Plan and prior'!R62),'Step 3 (MTP) - Plan and prior'!R62,"")</f>
        <v/>
      </c>
      <c r="S87" s="68" t="str">
        <f>IF(ISNUMBER('Step 3 (MTP) - Plan and prior'!S62),'Step 3 (MTP) - Plan and prior'!S62,"")</f>
        <v/>
      </c>
      <c r="T87" s="68" t="str">
        <f>IF(ISNUMBER('Step 3 (MTP) - Plan and prior'!T62),'Step 3 (MTP) - Plan and prior'!T62,"")</f>
        <v/>
      </c>
      <c r="U87" s="68" t="str">
        <f>IF(ISNUMBER('Step 3 (MTP) - Plan and prior'!U62),'Step 3 (MTP) - Plan and prior'!U62,"")</f>
        <v/>
      </c>
      <c r="V87" s="68" t="str">
        <f>IF(ISNUMBER('Step 3 (MTP) - Plan and prior'!V62),'Step 3 (MTP) - Plan and prior'!V62,"")</f>
        <v/>
      </c>
      <c r="W87" s="68" t="str">
        <f>IF(ISNUMBER('Step 3 (MTP) - Plan and prior'!W62),'Step 3 (MTP) - Plan and prior'!W62,"")</f>
        <v/>
      </c>
      <c r="X87" s="70" t="str">
        <f>IF(ISNUMBER('Step 3 (MTP) - Plan and prior'!X62),'Step 3 (MTP) - Plan and prior'!X62,"")</f>
        <v/>
      </c>
    </row>
    <row r="88" spans="2:35" customFormat="1" x14ac:dyDescent="0.4">
      <c r="B88" s="83" t="s">
        <v>325</v>
      </c>
      <c r="C88" s="19"/>
      <c r="D88" s="68" t="str">
        <f>IF(ISNUMBER('Step 3 (MTP) - Plan and prior'!D63),'Step 3 (MTP) - Plan and prior'!D63,"")</f>
        <v/>
      </c>
      <c r="E88" s="68" t="str">
        <f>IF(ISNUMBER('Step 3 (MTP) - Plan and prior'!E63),'Step 3 (MTP) - Plan and prior'!E63,"")</f>
        <v/>
      </c>
      <c r="F88" s="68" t="str">
        <f>IF(ISNUMBER('Step 3 (MTP) - Plan and prior'!F63),'Step 3 (MTP) - Plan and prior'!F63,"")</f>
        <v/>
      </c>
      <c r="G88" s="68" t="str">
        <f>IF(ISNUMBER('Step 3 (MTP) - Plan and prior'!G63),'Step 3 (MTP) - Plan and prior'!G63,"")</f>
        <v/>
      </c>
      <c r="H88" s="68" t="str">
        <f>IF(ISNUMBER('Step 3 (MTP) - Plan and prior'!H63),'Step 3 (MTP) - Plan and prior'!H63,"")</f>
        <v/>
      </c>
      <c r="I88" s="68" t="str">
        <f>IF(ISNUMBER('Step 3 (MTP) - Plan and prior'!I63),'Step 3 (MTP) - Plan and prior'!I63,"")</f>
        <v/>
      </c>
      <c r="J88" s="68" t="str">
        <f>IF(ISNUMBER('Step 3 (MTP) - Plan and prior'!J63),'Step 3 (MTP) - Plan and prior'!J63,"")</f>
        <v/>
      </c>
      <c r="K88" s="68" t="str">
        <f>IF(ISNUMBER('Step 3 (MTP) - Plan and prior'!K63),'Step 3 (MTP) - Plan and prior'!K63,"")</f>
        <v/>
      </c>
      <c r="L88" s="68" t="str">
        <f>IF(ISNUMBER('Step 3 (MTP) - Plan and prior'!L63),'Step 3 (MTP) - Plan and prior'!L63,"")</f>
        <v/>
      </c>
      <c r="M88" s="68" t="str">
        <f>IF(ISNUMBER('Step 3 (MTP) - Plan and prior'!M63),'Step 3 (MTP) - Plan and prior'!M63,"")</f>
        <v/>
      </c>
      <c r="N88" s="68" t="str">
        <f>IF(ISNUMBER('Step 3 (MTP) - Plan and prior'!N63),'Step 3 (MTP) - Plan and prior'!N63,"")</f>
        <v/>
      </c>
      <c r="O88" s="68" t="str">
        <f>IF(ISNUMBER('Step 3 (MTP) - Plan and prior'!O63),'Step 3 (MTP) - Plan and prior'!O63,"")</f>
        <v/>
      </c>
      <c r="P88" s="68" t="str">
        <f>IF(ISNUMBER('Step 3 (MTP) - Plan and prior'!P63),'Step 3 (MTP) - Plan and prior'!P63,"")</f>
        <v/>
      </c>
      <c r="Q88" s="68" t="str">
        <f>IF(ISNUMBER('Step 3 (MTP) - Plan and prior'!Q63),'Step 3 (MTP) - Plan and prior'!Q63,"")</f>
        <v/>
      </c>
      <c r="R88" s="68" t="str">
        <f>IF(ISNUMBER('Step 3 (MTP) - Plan and prior'!R63),'Step 3 (MTP) - Plan and prior'!R63,"")</f>
        <v/>
      </c>
      <c r="S88" s="68" t="str">
        <f>IF(ISNUMBER('Step 3 (MTP) - Plan and prior'!S63),'Step 3 (MTP) - Plan and prior'!S63,"")</f>
        <v/>
      </c>
      <c r="T88" s="68" t="str">
        <f>IF(ISNUMBER('Step 3 (MTP) - Plan and prior'!T63),'Step 3 (MTP) - Plan and prior'!T63,"")</f>
        <v/>
      </c>
      <c r="U88" s="68" t="str">
        <f>IF(ISNUMBER('Step 3 (MTP) - Plan and prior'!U63),'Step 3 (MTP) - Plan and prior'!U63,"")</f>
        <v/>
      </c>
      <c r="V88" s="68" t="str">
        <f>IF(ISNUMBER('Step 3 (MTP) - Plan and prior'!V63),'Step 3 (MTP) - Plan and prior'!V63,"")</f>
        <v/>
      </c>
      <c r="W88" s="68" t="str">
        <f>IF(ISNUMBER('Step 3 (MTP) - Plan and prior'!W63),'Step 3 (MTP) - Plan and prior'!W63,"")</f>
        <v/>
      </c>
      <c r="X88" s="70" t="str">
        <f>IF(ISNUMBER('Step 3 (MTP) - Plan and prior'!X63),'Step 3 (MTP) - Plan and prior'!X63,"")</f>
        <v/>
      </c>
    </row>
    <row r="89" spans="2:35" customFormat="1" x14ac:dyDescent="0.4">
      <c r="B89" s="46"/>
      <c r="F89" s="70"/>
      <c r="G89" s="70"/>
      <c r="H89" s="70"/>
      <c r="I89" s="70"/>
      <c r="J89" s="70"/>
      <c r="K89" s="70"/>
      <c r="L89" s="70"/>
      <c r="M89" s="70"/>
      <c r="N89" s="70"/>
      <c r="O89" s="70"/>
      <c r="P89" s="70"/>
      <c r="Q89" s="70"/>
      <c r="R89" s="70"/>
      <c r="S89" s="70"/>
      <c r="T89" s="70"/>
      <c r="U89" s="70"/>
      <c r="V89" s="70"/>
      <c r="W89" s="70"/>
    </row>
    <row r="90" spans="2:35" ht="31.9" x14ac:dyDescent="1">
      <c r="B90" s="77" t="s">
        <v>458</v>
      </c>
    </row>
    <row r="91" spans="2:35" ht="18" x14ac:dyDescent="0.55000000000000004">
      <c r="B91" s="50" t="s">
        <v>470</v>
      </c>
      <c r="D91" s="17"/>
      <c r="J91" s="71"/>
      <c r="K91" s="71"/>
      <c r="L91" s="71"/>
      <c r="M91" s="71"/>
      <c r="N91" s="71"/>
      <c r="O91" s="71"/>
      <c r="P91" s="71"/>
      <c r="Q91" s="71"/>
      <c r="R91" s="71"/>
      <c r="S91" s="71"/>
      <c r="T91" s="71"/>
      <c r="U91" s="71"/>
      <c r="V91" s="71"/>
      <c r="W91" s="71"/>
      <c r="X91" s="71"/>
      <c r="Y91" s="71"/>
      <c r="Z91" s="71"/>
      <c r="AA91" s="71"/>
      <c r="AB91" s="71"/>
      <c r="AC91" s="71"/>
      <c r="AD91" s="71"/>
      <c r="AE91" s="71"/>
      <c r="AF91" s="71"/>
      <c r="AG91" s="71"/>
      <c r="AH91" s="71"/>
      <c r="AI91" s="71"/>
    </row>
    <row r="92" spans="2:35" ht="15.75" x14ac:dyDescent="0.5">
      <c r="B92" s="79" t="s">
        <v>465</v>
      </c>
      <c r="D92" s="17"/>
      <c r="J92" s="71"/>
      <c r="K92" s="71"/>
      <c r="L92" s="71"/>
      <c r="M92" s="71"/>
      <c r="N92" s="71"/>
      <c r="O92" s="71"/>
      <c r="P92" s="71"/>
      <c r="Q92" s="71"/>
      <c r="R92" s="71"/>
      <c r="S92" s="71"/>
      <c r="T92" s="71"/>
      <c r="U92" s="71"/>
      <c r="V92" s="71"/>
      <c r="W92" s="71"/>
      <c r="X92" s="71"/>
      <c r="Y92" s="71"/>
      <c r="Z92" s="71"/>
      <c r="AA92" s="71"/>
      <c r="AB92" s="71"/>
      <c r="AC92" s="71"/>
      <c r="AD92" s="71"/>
      <c r="AE92" s="71"/>
      <c r="AF92" s="71"/>
      <c r="AG92" s="71"/>
      <c r="AH92" s="71"/>
      <c r="AI92" s="71"/>
    </row>
    <row r="93" spans="2:35" ht="14.25" x14ac:dyDescent="0.45">
      <c r="B93" t="s">
        <v>469</v>
      </c>
      <c r="C93" s="15" t="b" cm="1">
        <f t="array" ref="C93">IF(OutturnThrough&lt;MTP_YearT,"Not yet assessable", SUMPRODUCT(((4:4&gt;=MTP_YearT)*(4:4&lt;=OutturnThrough)*(34:34&lt;15:15)))=0)</f>
        <v>0</v>
      </c>
      <c r="E93" s="105" t="s">
        <v>467</v>
      </c>
      <c r="J93" s="71"/>
      <c r="K93" s="71"/>
      <c r="L93" s="71"/>
      <c r="M93" s="71"/>
      <c r="N93" s="71"/>
      <c r="O93" s="71"/>
      <c r="P93" s="71"/>
      <c r="Q93" s="71"/>
      <c r="R93" s="71"/>
      <c r="S93" s="71"/>
      <c r="T93" s="71"/>
      <c r="U93" s="71"/>
      <c r="V93" s="71"/>
      <c r="W93" s="71"/>
      <c r="X93" s="71"/>
      <c r="Y93" s="71"/>
      <c r="Z93" s="71"/>
      <c r="AA93" s="71"/>
      <c r="AB93" s="71"/>
      <c r="AC93" s="71" t="s">
        <v>259</v>
      </c>
      <c r="AD93" s="71"/>
      <c r="AE93" s="71"/>
      <c r="AF93" s="71"/>
      <c r="AG93" s="71"/>
      <c r="AH93" s="71"/>
      <c r="AI93" s="71"/>
    </row>
    <row r="94" spans="2:35" ht="14.25" x14ac:dyDescent="0.45">
      <c r="B94" t="s">
        <v>466</v>
      </c>
      <c r="C94" s="15" t="e" cm="1">
        <f t="array" ref="C94">IF(
   AssessmentEnd &lt;= OutturnThrough,
   NA(),
   SUMPRODUCT(
      (4:4 &gt;= OutturnThrough+1) *
      (4:4 &lt;= AssessmentEnd) *
      (34:34 &lt; 15:15)
   ) = 0
)</f>
        <v>#N/A</v>
      </c>
      <c r="E94" s="105" t="s">
        <v>468</v>
      </c>
      <c r="J94" s="71"/>
      <c r="K94" s="71"/>
      <c r="L94" s="71"/>
      <c r="M94" s="71"/>
      <c r="N94" s="71"/>
      <c r="O94" s="71"/>
      <c r="P94" s="71"/>
      <c r="Q94" s="71"/>
      <c r="R94" s="71"/>
      <c r="S94" s="71"/>
      <c r="T94" s="71"/>
      <c r="U94" s="71"/>
      <c r="V94" s="71"/>
      <c r="W94" s="71"/>
      <c r="X94" s="71"/>
      <c r="Y94" s="71"/>
      <c r="Z94" s="71"/>
      <c r="AA94" s="71"/>
      <c r="AB94" s="71"/>
      <c r="AC94" s="71" t="s">
        <v>259</v>
      </c>
      <c r="AD94" s="71"/>
      <c r="AE94" s="71"/>
      <c r="AF94" s="71"/>
      <c r="AG94" s="71"/>
      <c r="AH94" s="71"/>
      <c r="AI94" s="71"/>
    </row>
    <row r="95" spans="2:35" x14ac:dyDescent="0.4">
      <c r="B95" t="s">
        <v>956</v>
      </c>
      <c r="C95" s="15" t="b" cm="1">
        <f t="array" ref="C95">IF(
  SUMPRODUCT(
    (4:4&gt;=MTP_YearT+1)*
    (4:4&lt;=OutturnThrough)*
    (34:34&lt;15:15)
  )=0,
  "Not applicable (all years adhere to the net expenditure path)",
  SUMPRODUCT(
    (4:4&gt;=MTP_YearT+1)*
    (4:4&lt;=OutturnThrough)*
    (34:34&lt;15:15)*
    (1-IFERROR(--INDEX('Step 1 - Set global parameters'!$21:$21, MATCH(4:4, 'Step 1 - Set global parameters'!$19:$19, 0)),0))
  )=0
)</f>
        <v>0</v>
      </c>
      <c r="J95" s="71"/>
      <c r="K95" s="71"/>
      <c r="L95" s="71"/>
      <c r="M95" s="71"/>
      <c r="N95" s="71"/>
      <c r="O95" s="71"/>
      <c r="P95" s="71"/>
      <c r="Q95" s="71"/>
      <c r="R95" s="71"/>
      <c r="S95" s="71"/>
      <c r="T95" s="71"/>
      <c r="U95" s="71"/>
      <c r="V95" s="71"/>
      <c r="W95" s="71"/>
      <c r="X95" s="71"/>
      <c r="Y95" s="71"/>
      <c r="Z95" s="71"/>
      <c r="AA95" s="71"/>
      <c r="AB95" s="71"/>
      <c r="AC95" s="71"/>
      <c r="AD95" s="71"/>
      <c r="AE95" s="71"/>
      <c r="AF95" s="71"/>
      <c r="AG95" s="71"/>
      <c r="AH95" s="71"/>
      <c r="AI95" s="71"/>
    </row>
    <row r="96" spans="2:35" x14ac:dyDescent="0.4">
      <c r="B96" t="s">
        <v>958</v>
      </c>
      <c r="C96" s="15" t="b" cm="1">
        <f t="array" ref="C96">IF(
  OutturnThrough &lt;= MTP_YearT,
  NA(),
  SUMPRODUCT(
    (4:4 &gt;= MTP_YearT+1) *
    (4:4 &lt;= OutturnThrough) *
    (34:34 &lt; 15:15) *
    (1 - (
      IFERROR(--INDEX('Step 1 - Set global parameters'!$21:$21, MATCH(4:4, 'Step 1 - Set global parameters'!$19:$19, 0)),0) *
      IFERROR(--(INDEX('Step 1 - Set global parameters'!$22:$22, MATCH(4:4, 'Step 1 - Set global parameters'!$19:$19, 0)) = "Country"),0) *
      IFERROR(--(INDEX('Step 1 - Set global parameters'!$23:$23, MATCH(4:4, 'Step 1 - Set global parameters'!$19:$19, 0)) = "Defence"),0)
    ))
  ) = 0
)</f>
        <v>0</v>
      </c>
      <c r="J96" s="71"/>
      <c r="K96" s="71"/>
      <c r="L96" s="71"/>
      <c r="M96" s="71"/>
      <c r="N96" s="71"/>
      <c r="O96" s="71"/>
      <c r="P96" s="71"/>
      <c r="Q96" s="71"/>
      <c r="R96" s="71"/>
      <c r="S96" s="71"/>
      <c r="T96" s="71"/>
      <c r="U96" s="71"/>
      <c r="V96" s="71"/>
      <c r="W96" s="71"/>
      <c r="X96" s="71"/>
      <c r="Y96" s="71"/>
      <c r="Z96" s="71"/>
      <c r="AA96" s="71"/>
      <c r="AB96" s="71"/>
      <c r="AC96" s="71"/>
      <c r="AD96" s="71"/>
      <c r="AE96" s="71"/>
      <c r="AF96" s="71"/>
      <c r="AG96" s="71"/>
      <c r="AH96" s="71"/>
      <c r="AI96" s="71"/>
    </row>
    <row r="97" spans="1:35" x14ac:dyDescent="0.4">
      <c r="B97" t="s">
        <v>957</v>
      </c>
      <c r="C97" s="15" t="str" cm="1">
        <f t="array" ref="C97">IF(
  SUMPRODUCT(
    (4:4&gt;=OutturnThrough+1)*
    (4:4&lt;=AssessmentEnd)*
    (34:34&lt;15:15)
  )=0,
  "Not applicable (all years adhere to the net expenditure path)",
  SUMPRODUCT(
    (4:4&gt;=OutturnThrough+1)*
    (4:4&lt;=AssessmentEnd)*
    (34:34&lt;15:15)*
    (1-IFERROR(--INDEX('Step 1 - Set global parameters'!$21:$21, MATCH(4:4, 'Step 1 - Set global parameters'!$19:$19, 0)),0))
  )=0
)</f>
        <v>Not applicable (all years adhere to the net expenditure path)</v>
      </c>
      <c r="J97" s="71"/>
      <c r="K97" s="71"/>
      <c r="L97" s="71"/>
      <c r="M97" s="71"/>
      <c r="N97" s="71"/>
      <c r="O97" s="71"/>
      <c r="P97" s="71"/>
      <c r="Q97" s="71"/>
      <c r="R97" s="71"/>
      <c r="S97" s="71"/>
      <c r="T97" s="71"/>
      <c r="U97" s="71"/>
      <c r="V97" s="71"/>
      <c r="W97" s="71"/>
      <c r="X97" s="71"/>
      <c r="Y97" s="71"/>
      <c r="Z97" s="71"/>
      <c r="AA97" s="71"/>
      <c r="AB97" s="71"/>
      <c r="AC97" s="71"/>
      <c r="AD97" s="71"/>
      <c r="AE97" s="71"/>
      <c r="AF97" s="71"/>
      <c r="AG97" s="71"/>
      <c r="AH97" s="71"/>
      <c r="AI97" s="71"/>
    </row>
    <row r="98" spans="1:35" x14ac:dyDescent="0.4">
      <c r="B98" t="s">
        <v>959</v>
      </c>
      <c r="C98" s="15" t="e" cm="1">
        <f t="array" ref="C98">IF(
  AssessmentEnd &lt;= OutturnThrough,
  NA(),
  SUMPRODUCT(
    (4:4 &gt;= OutturnThrough+1) *
    (4:4 &lt;= AssessmentEnd) *
    (34:34 &lt; 15:15) *
    (1 - (
      IFERROR(--INDEX('Step 1 - Set global parameters'!$21:$21, MATCH(4:4, 'Step 1 - Set global parameters'!$19:$19, 0)),0) *
      IFERROR(--(INDEX('Step 1 - Set global parameters'!$22:$22, MATCH(4:4, 'Step 1 - Set global parameters'!$19:$19, 0)) = "Country"),0) *
      IFERROR(--(INDEX('Step 1 - Set global parameters'!$23:$23, MATCH(4:4, 'Step 1 - Set global parameters'!$19:$19, 0)) = "Defence"),0)
    ))
  ) = 0
)</f>
        <v>#N/A</v>
      </c>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row>
    <row r="99" spans="1:35" x14ac:dyDescent="0.4">
      <c r="B99" t="s">
        <v>960</v>
      </c>
      <c r="C99" s="15" t="str">
        <f>IF(AssessmentRound="New or revised MTP","N/A",
  _xlfn.LET(
    _xlpm.outturnStatus,
      IF(ISTEXT(Assessment!C93), "Compliant",
        IF(Assessment!C93=TRUE, "Compliant",
          IF(Assessment!C95="Not applicable (all years adhere to the net expenditure path)", "Breach",
            IF(Assessment!C95=TRUE,
              IF(Assessment!C96=TRUE, Assessment!C159, "Compliant"),
              "Breach"
            )
          )
        )
      ),
    _xlpm.plannedStatus,
      IF(Assessment!C97="Not applicable (all years adhere to the net expenditure path)", "Compliant",
        IF(Assessment!C97=TRUE,
          IF(Assessment!C98=TRUE, Assessment!C159, "Compliant"),
          "At risk"
        )
      ),
    IF(OR(_xlpm.outturnStatus="Breach", _xlpm.plannedStatus="Breach"), "Breach",
      IF(OR(_xlpm.outturnStatus="At risk", _xlpm.plannedStatus="At risk"), "At risk",
        "Compliant"
      )
    )
  )
)</f>
        <v>N/A</v>
      </c>
      <c r="J99" s="71"/>
      <c r="K99" s="71"/>
      <c r="L99" s="71"/>
      <c r="M99" s="71"/>
      <c r="N99" s="71"/>
      <c r="O99" s="71"/>
      <c r="P99" s="71"/>
      <c r="Q99" s="71"/>
      <c r="R99" s="71"/>
      <c r="S99" s="71"/>
      <c r="T99" s="71"/>
      <c r="U99" s="71"/>
      <c r="V99" s="71"/>
      <c r="W99" s="71"/>
      <c r="X99" s="71"/>
      <c r="Y99" s="71"/>
      <c r="Z99" s="71"/>
      <c r="AA99" s="71"/>
      <c r="AB99" s="71"/>
      <c r="AC99" s="71"/>
      <c r="AD99" s="71"/>
      <c r="AE99" s="71"/>
      <c r="AF99" s="71"/>
      <c r="AG99" s="71"/>
      <c r="AH99" s="71"/>
      <c r="AI99" s="71"/>
    </row>
    <row r="100" spans="1:35" x14ac:dyDescent="0.4">
      <c r="C100" s="15"/>
      <c r="J100" s="71"/>
      <c r="K100" s="71"/>
      <c r="L100" s="71"/>
      <c r="M100" s="71"/>
      <c r="N100" s="71"/>
      <c r="O100" s="71"/>
      <c r="P100" s="71"/>
      <c r="Q100" s="71"/>
      <c r="R100" s="71"/>
      <c r="S100" s="71"/>
      <c r="T100" s="71"/>
      <c r="U100" s="71"/>
      <c r="V100" s="71"/>
      <c r="W100" s="71"/>
      <c r="X100" s="71"/>
      <c r="Y100" s="71"/>
      <c r="Z100" s="71"/>
      <c r="AA100" s="71"/>
      <c r="AB100" s="71"/>
      <c r="AC100" s="71"/>
      <c r="AD100" s="71"/>
      <c r="AE100" s="71"/>
      <c r="AF100" s="71"/>
      <c r="AG100" s="71"/>
      <c r="AH100" s="71"/>
      <c r="AI100" s="71"/>
    </row>
    <row r="101" spans="1:35" x14ac:dyDescent="0.4">
      <c r="B101" s="14" t="s">
        <v>258</v>
      </c>
      <c r="C101" s="102" t="e" cm="1">
        <f t="array" ref="C101">_xlfn.LET(
  _xlpm.outturnEscapeText,
    IF(C95=TRUE,
      IF(C96=TRUE,
        " Deviations occur only in years covered by a country-specific escape clause related to defence spending. The augmented control account assessment is currently """ &amp; C159 &amp; """.",
        " Deviations occur only in years covered by an escape clause."
      ),
      " At least one year of deviation is not covered by an escape clause."
    ),
  _xlpm.plannedEscapeText,
    IF(C97=TRUE,
      IF(C98=TRUE,
        " Deviations occur only in years covered by a country-specific escape clause related to defence spending. The augmented control account assessment is currently """ &amp; C159 &amp; """.",
        " Deviations occur only in years covered by an escape clause."
      ),
      " At least one year of deviation is not covered by an escape clause."
    ),
  _xlfn.IFS(
    ISTEXT(C93),
      Country &amp; "'s observed net expenditure cannot yet be assessed against its latest Council-endorsed MTP — no plan year has closed (most recent outturn year is " &amp; OutturnThrough &amp; "; first plan year is " &amp; MTP_YearT+1 &amp; "). " &amp;
      IF(ISNA(C94), "",
        IF(C94=TRUE,
          "Planned net expenditure to " &amp; AssessmentEnd &amp; " adheres to the net expenditure path in the MTP.",
          "Planned net expenditure to " &amp; AssessmentEnd &amp; " does not adhere to the net expenditure path in the MTP." &amp; _xlpm.plannedEscapeText
        )
      ),
    AND(C93=TRUE, OR(ISNA(C94), C94=TRUE)),
      Country &amp; "'s observed net expenditure to " &amp; OutturnThrough &amp;
        IF(ISNA(C94), "", " and planned net expenditure to " &amp; AssessmentEnd) &amp;
        " adheres to the net expenditure path in its latest Council-endorsed MTP.",
    AND(C93=TRUE, C94=FALSE),
      Country &amp; "'s observed net expenditure to " &amp; OutturnThrough &amp;
        " adheres to the net expenditure path in its latest Council-endorsed MTP," &amp;
        " but planned net expenditure to " &amp; AssessmentEnd &amp; " does not." &amp; _xlpm.plannedEscapeText,
    AND(C93=FALSE, C94=TRUE),
      Country &amp; "'s observed net expenditure to " &amp; OutturnThrough &amp;
        " does not adhere to the net expenditure path in its latest Council-endorsed MTP," &amp;
        " but planned net expenditure to " &amp; AssessmentEnd &amp; " does." &amp; _xlpm.outturnEscapeText,
    AND(C93=FALSE, ISNA(C94)),
      Country &amp; "'s observed net expenditure to " &amp; OutturnThrough &amp;
        " does not adhere to the net expenditure path in its latest Council-endorsed MTP." &amp; _xlpm.outturnEscapeText,
    AND(C93=FALSE, C94=FALSE),
      Country &amp; "'s observed net expenditure to " &amp; OutturnThrough &amp;
        " and planned net expenditure to " &amp; AssessmentEnd &amp;
        " do not adhere to the net expenditure path in its latest Council-endorsed MTP." &amp;
        _xlpm.outturnEscapeText &amp; _xlpm.plannedEscapeText,
    TRUE, ""
  )
)</f>
        <v>#N/A</v>
      </c>
      <c r="J101" s="71"/>
      <c r="K101" s="71"/>
      <c r="L101" s="71"/>
      <c r="M101" s="71"/>
      <c r="N101" s="71"/>
      <c r="O101" s="71"/>
      <c r="P101" s="71"/>
      <c r="Q101" s="71"/>
      <c r="R101" s="71"/>
      <c r="S101" s="71"/>
      <c r="T101" s="71"/>
      <c r="U101" s="71"/>
      <c r="V101" s="71"/>
      <c r="W101" s="71"/>
      <c r="X101" s="71"/>
      <c r="Y101" s="71"/>
      <c r="Z101" s="71"/>
      <c r="AA101" s="71"/>
      <c r="AB101" s="71"/>
      <c r="AC101" s="71"/>
      <c r="AD101" s="71"/>
      <c r="AE101" s="71"/>
      <c r="AF101" s="71"/>
      <c r="AG101" s="71"/>
      <c r="AH101" s="71"/>
      <c r="AI101" s="71"/>
    </row>
    <row r="102" spans="1:35" x14ac:dyDescent="0.4">
      <c r="C102" s="102"/>
      <c r="J102" s="71"/>
      <c r="K102" s="71"/>
      <c r="L102" s="71"/>
      <c r="M102" s="71"/>
      <c r="N102" s="71"/>
      <c r="O102" s="71"/>
      <c r="P102" s="71"/>
      <c r="Q102" s="71"/>
      <c r="R102" s="71"/>
      <c r="S102" s="71"/>
      <c r="T102" s="71"/>
      <c r="U102" s="71"/>
      <c r="V102" s="71"/>
      <c r="W102" s="71"/>
      <c r="X102" s="71"/>
      <c r="Y102" s="71"/>
      <c r="Z102" s="71"/>
      <c r="AA102" s="71"/>
      <c r="AB102" s="71"/>
      <c r="AC102" s="71"/>
      <c r="AD102" s="71"/>
      <c r="AE102" s="71"/>
      <c r="AF102" s="71"/>
      <c r="AG102" s="71"/>
      <c r="AH102" s="71"/>
      <c r="AI102" s="71"/>
    </row>
    <row r="103" spans="1:35" ht="18" x14ac:dyDescent="0.55000000000000004">
      <c r="B103" s="50" t="s">
        <v>457</v>
      </c>
      <c r="D103" s="17"/>
      <c r="J103" s="71"/>
      <c r="K103" s="71"/>
      <c r="L103" s="71"/>
      <c r="M103" s="71"/>
      <c r="N103" s="71"/>
      <c r="O103" s="71"/>
      <c r="P103" s="71"/>
      <c r="Q103" s="71"/>
      <c r="R103" s="71"/>
      <c r="S103" s="71"/>
      <c r="T103" s="71"/>
      <c r="U103" s="71"/>
      <c r="V103" s="71"/>
      <c r="W103" s="71"/>
      <c r="X103" s="71"/>
      <c r="Y103" s="71"/>
      <c r="Z103" s="71"/>
      <c r="AA103" s="71"/>
      <c r="AB103" s="71"/>
      <c r="AC103" s="71"/>
      <c r="AD103" s="71"/>
      <c r="AE103" s="71"/>
      <c r="AF103" s="71"/>
      <c r="AG103" s="71"/>
      <c r="AH103" s="71"/>
      <c r="AI103" s="71"/>
    </row>
    <row r="104" spans="1:35" ht="14.25" x14ac:dyDescent="0.45">
      <c r="B104" s="105" t="s">
        <v>640</v>
      </c>
      <c r="D104" s="17"/>
      <c r="J104" s="71"/>
      <c r="K104" s="71"/>
      <c r="L104" s="71"/>
      <c r="M104" s="71"/>
      <c r="N104" s="71"/>
      <c r="O104" s="71"/>
      <c r="P104" s="71"/>
      <c r="Q104" s="71"/>
      <c r="R104" s="71"/>
      <c r="S104" s="71"/>
      <c r="T104" s="71"/>
      <c r="U104" s="71"/>
      <c r="V104" s="71"/>
      <c r="W104" s="71"/>
      <c r="X104" s="71"/>
      <c r="Y104" s="71"/>
      <c r="Z104" s="71"/>
      <c r="AA104" s="71"/>
      <c r="AB104" s="71"/>
      <c r="AC104" s="71"/>
      <c r="AD104" s="71"/>
      <c r="AE104" s="71"/>
      <c r="AF104" s="71"/>
      <c r="AG104" s="71"/>
      <c r="AH104" s="71"/>
      <c r="AI104" s="71"/>
    </row>
    <row r="105" spans="1:35" x14ac:dyDescent="0.4">
      <c r="B105" s="89"/>
      <c r="C105" s="89"/>
      <c r="D105" s="3" cm="1">
        <f t="array" ref="D105:F105">_xlfn.SEQUENCE(1, AssessmentEnd-MTP_BaseYear+1, MTP_BaseYear)</f>
        <v>2023</v>
      </c>
      <c r="E105" s="3">
        <v>2024</v>
      </c>
      <c r="F105" s="3">
        <v>2025</v>
      </c>
      <c r="G105" s="3"/>
      <c r="H105" s="3"/>
      <c r="I105" s="3"/>
      <c r="J105" s="3"/>
      <c r="K105" s="3"/>
      <c r="L105"/>
      <c r="M105"/>
      <c r="N105"/>
      <c r="O105"/>
      <c r="P105"/>
      <c r="Q105"/>
      <c r="R105" s="71"/>
      <c r="S105" s="71"/>
      <c r="T105" s="71"/>
      <c r="U105" s="71"/>
      <c r="V105" s="71"/>
      <c r="W105" s="71"/>
      <c r="X105" s="71"/>
      <c r="Y105" s="71"/>
      <c r="Z105" s="71"/>
      <c r="AA105" s="71"/>
      <c r="AB105" s="71"/>
      <c r="AC105" s="71"/>
      <c r="AD105" s="71"/>
      <c r="AE105" s="71"/>
      <c r="AF105" s="71"/>
      <c r="AG105" s="71"/>
      <c r="AH105" s="71"/>
      <c r="AI105" s="71"/>
    </row>
    <row r="106" spans="1:35" x14ac:dyDescent="0.4">
      <c r="B106" s="7"/>
      <c r="C106" s="7"/>
      <c r="D106" s="3" t="str" cm="1">
        <f t="array" ref="D106:F106">IF(_xlfn.SEQUENCE(1,COLUMNS(_xlfn.ANCHORARRAY(D105)),-1)=-1,"T-1",IF(_xlfn.SEQUENCE(1,COLUMNS(_xlfn.ANCHORARRAY(D105)),-1)=0,"T","T+"&amp;_xlfn.SEQUENCE(1,COLUMNS(_xlfn.ANCHORARRAY(D105)),-1)))</f>
        <v>T-1</v>
      </c>
      <c r="E106" s="3" t="str">
        <v>T</v>
      </c>
      <c r="F106" s="3" t="str">
        <v>T+1</v>
      </c>
      <c r="G106" s="3"/>
      <c r="H106" s="3"/>
      <c r="I106" s="3"/>
      <c r="J106" s="3"/>
      <c r="K106" s="3"/>
      <c r="L106"/>
      <c r="M106"/>
      <c r="N106"/>
      <c r="O106"/>
      <c r="P106"/>
      <c r="Q106"/>
      <c r="R106" s="71"/>
      <c r="S106" s="71"/>
      <c r="T106" s="71"/>
      <c r="U106" s="71"/>
      <c r="V106" s="71"/>
      <c r="W106" s="71"/>
      <c r="X106" s="71"/>
      <c r="Y106" s="71"/>
      <c r="Z106" s="71"/>
      <c r="AA106" s="71"/>
      <c r="AB106" s="71"/>
      <c r="AC106" s="71"/>
      <c r="AD106" s="71"/>
      <c r="AE106" s="71"/>
      <c r="AF106" s="71"/>
      <c r="AG106" s="71"/>
      <c r="AH106" s="71"/>
      <c r="AI106" s="71"/>
    </row>
    <row r="107" spans="1:35" x14ac:dyDescent="0.4">
      <c r="B107" s="124" t="s">
        <v>624</v>
      </c>
      <c r="C107"/>
      <c r="D107"/>
      <c r="E107"/>
      <c r="F107"/>
      <c r="G107"/>
      <c r="H107"/>
      <c r="I107"/>
      <c r="J107"/>
      <c r="K107"/>
      <c r="L107"/>
      <c r="M107"/>
      <c r="N107"/>
      <c r="O107"/>
      <c r="P107"/>
      <c r="Q107"/>
      <c r="R107" s="71"/>
      <c r="S107" s="71"/>
      <c r="T107" s="71"/>
      <c r="U107" s="71"/>
      <c r="V107" s="71"/>
      <c r="W107" s="71"/>
      <c r="X107" s="71"/>
      <c r="Y107" s="71"/>
      <c r="Z107" s="71"/>
      <c r="AA107" s="71"/>
      <c r="AB107" s="71"/>
      <c r="AC107" s="71"/>
      <c r="AD107" s="71"/>
      <c r="AE107" s="71"/>
      <c r="AF107" s="71"/>
      <c r="AG107" s="71"/>
      <c r="AH107" s="71"/>
      <c r="AI107" s="71"/>
    </row>
    <row r="108" spans="1:35" x14ac:dyDescent="0.4">
      <c r="A108" s="3">
        <v>1</v>
      </c>
      <c r="B108" s="5" t="s">
        <v>257</v>
      </c>
      <c r="C108" t="s">
        <v>6</v>
      </c>
      <c r="D108" s="144">
        <f t="shared" ref="D108:J108" si="2">IF(ISNUMBER(D105),D6,"")</f>
        <v>0</v>
      </c>
      <c r="E108" s="144">
        <f t="shared" si="2"/>
        <v>0</v>
      </c>
      <c r="F108" s="144">
        <f t="shared" si="2"/>
        <v>0</v>
      </c>
      <c r="G108" s="144" t="str">
        <f t="shared" si="2"/>
        <v/>
      </c>
      <c r="H108" s="144" t="str">
        <f t="shared" si="2"/>
        <v/>
      </c>
      <c r="I108" s="144" t="str">
        <f t="shared" si="2"/>
        <v/>
      </c>
      <c r="J108" s="144" t="str">
        <f t="shared" si="2"/>
        <v/>
      </c>
      <c r="K108" s="144"/>
      <c r="L108"/>
      <c r="M108"/>
      <c r="N108"/>
      <c r="O108"/>
      <c r="P108"/>
      <c r="Q108"/>
      <c r="R108" s="71"/>
      <c r="S108" s="71"/>
      <c r="T108" s="71"/>
      <c r="U108" s="71"/>
      <c r="V108" s="71"/>
      <c r="W108" s="71"/>
      <c r="X108" s="71"/>
      <c r="Y108" s="71"/>
      <c r="Z108" s="71"/>
      <c r="AA108" s="71"/>
      <c r="AB108" s="71"/>
      <c r="AC108" s="71"/>
      <c r="AD108" s="71"/>
      <c r="AE108" s="71"/>
      <c r="AF108" s="71"/>
      <c r="AG108" s="71"/>
      <c r="AH108" s="71"/>
      <c r="AI108" s="71"/>
    </row>
    <row r="109" spans="1:35" x14ac:dyDescent="0.4">
      <c r="A109" s="3">
        <v>2</v>
      </c>
      <c r="B109" s="5" t="s">
        <v>25</v>
      </c>
      <c r="C109" t="s">
        <v>6</v>
      </c>
      <c r="D109" s="144">
        <f t="shared" ref="D109:J109" si="3">IF(ISNUMBER(D105),D7,"")</f>
        <v>0</v>
      </c>
      <c r="E109" s="144">
        <f t="shared" si="3"/>
        <v>0</v>
      </c>
      <c r="F109" s="144">
        <f t="shared" si="3"/>
        <v>0</v>
      </c>
      <c r="G109" s="144" t="str">
        <f t="shared" si="3"/>
        <v/>
      </c>
      <c r="H109" s="144" t="str">
        <f t="shared" si="3"/>
        <v/>
      </c>
      <c r="I109" s="144" t="str">
        <f t="shared" si="3"/>
        <v/>
      </c>
      <c r="J109" s="144" t="str">
        <f t="shared" si="3"/>
        <v/>
      </c>
      <c r="K109" s="144"/>
      <c r="L109"/>
      <c r="M109"/>
      <c r="N109"/>
      <c r="O109"/>
      <c r="P109"/>
      <c r="Q109"/>
      <c r="R109" s="71"/>
      <c r="S109" s="71"/>
      <c r="T109" s="71"/>
      <c r="U109" s="71"/>
      <c r="V109" s="71"/>
      <c r="W109" s="71"/>
      <c r="X109" s="71"/>
      <c r="Y109" s="71"/>
      <c r="Z109" s="71"/>
      <c r="AA109" s="71"/>
      <c r="AB109" s="71"/>
      <c r="AC109" s="71"/>
      <c r="AD109" s="71"/>
      <c r="AE109" s="71"/>
      <c r="AF109" s="71"/>
      <c r="AG109" s="71"/>
      <c r="AH109" s="71"/>
      <c r="AI109" s="71"/>
    </row>
    <row r="110" spans="1:35" x14ac:dyDescent="0.4">
      <c r="A110" s="3">
        <v>3</v>
      </c>
      <c r="B110" s="5" t="s">
        <v>276</v>
      </c>
      <c r="C110" t="s">
        <v>6</v>
      </c>
      <c r="D110" s="144">
        <f t="shared" ref="D110:J110" si="4">IF(ISNUMBER(D105),D8,"")</f>
        <v>0</v>
      </c>
      <c r="E110" s="144">
        <f t="shared" si="4"/>
        <v>0</v>
      </c>
      <c r="F110" s="144">
        <f t="shared" si="4"/>
        <v>0</v>
      </c>
      <c r="G110" s="144" t="str">
        <f t="shared" si="4"/>
        <v/>
      </c>
      <c r="H110" s="144" t="str">
        <f t="shared" si="4"/>
        <v/>
      </c>
      <c r="I110" s="144" t="str">
        <f t="shared" si="4"/>
        <v/>
      </c>
      <c r="J110" s="144" t="str">
        <f t="shared" si="4"/>
        <v/>
      </c>
      <c r="K110" s="144"/>
      <c r="L110"/>
      <c r="M110"/>
      <c r="N110"/>
      <c r="O110"/>
      <c r="P110"/>
      <c r="Q110"/>
      <c r="R110" s="71"/>
      <c r="S110" s="71"/>
      <c r="T110" s="71"/>
      <c r="U110" s="71"/>
      <c r="V110" s="71"/>
      <c r="W110" s="71"/>
      <c r="X110" s="71"/>
      <c r="Y110" s="71"/>
      <c r="Z110" s="71"/>
      <c r="AA110" s="71"/>
      <c r="AB110" s="71"/>
      <c r="AC110" s="71"/>
      <c r="AD110" s="71"/>
      <c r="AE110" s="71"/>
      <c r="AF110" s="71"/>
      <c r="AG110" s="71"/>
      <c r="AH110" s="71"/>
      <c r="AI110" s="71"/>
    </row>
    <row r="111" spans="1:35" x14ac:dyDescent="0.4">
      <c r="A111" s="3">
        <v>4</v>
      </c>
      <c r="B111" s="5" t="s">
        <v>625</v>
      </c>
      <c r="C111" t="s">
        <v>6</v>
      </c>
      <c r="D111" s="144">
        <f t="shared" ref="D111:J111" si="5">IF(ISNUMBER(D105),D9,"")</f>
        <v>0</v>
      </c>
      <c r="E111" s="144">
        <f t="shared" si="5"/>
        <v>0</v>
      </c>
      <c r="F111" s="144">
        <f t="shared" si="5"/>
        <v>0</v>
      </c>
      <c r="G111" s="144" t="str">
        <f t="shared" si="5"/>
        <v/>
      </c>
      <c r="H111" s="144" t="str">
        <f t="shared" si="5"/>
        <v/>
      </c>
      <c r="I111" s="144" t="str">
        <f t="shared" si="5"/>
        <v/>
      </c>
      <c r="J111" s="144" t="str">
        <f t="shared" si="5"/>
        <v/>
      </c>
      <c r="K111" s="144"/>
      <c r="L111"/>
      <c r="M111"/>
      <c r="N111"/>
      <c r="O111"/>
      <c r="P111"/>
      <c r="Q111"/>
      <c r="R111" s="71"/>
      <c r="S111" s="71"/>
      <c r="T111" s="71"/>
      <c r="U111" s="71"/>
      <c r="V111" s="71"/>
      <c r="W111" s="71"/>
      <c r="X111" s="71"/>
      <c r="Y111" s="71"/>
      <c r="Z111" s="71"/>
      <c r="AA111" s="71"/>
      <c r="AB111" s="71"/>
      <c r="AC111" s="71"/>
      <c r="AD111" s="71"/>
      <c r="AE111" s="71"/>
      <c r="AF111" s="71"/>
      <c r="AG111" s="71"/>
      <c r="AH111" s="71"/>
      <c r="AI111" s="71"/>
    </row>
    <row r="112" spans="1:35" x14ac:dyDescent="0.4">
      <c r="A112" s="3">
        <v>5</v>
      </c>
      <c r="B112" s="5" t="s">
        <v>278</v>
      </c>
      <c r="C112" t="s">
        <v>6</v>
      </c>
      <c r="D112" s="144">
        <f t="shared" ref="D112:J112" si="6">IF(ISNUMBER(D105),D10,"")</f>
        <v>0</v>
      </c>
      <c r="E112" s="144">
        <f t="shared" si="6"/>
        <v>0</v>
      </c>
      <c r="F112" s="144">
        <f t="shared" si="6"/>
        <v>0</v>
      </c>
      <c r="G112" s="144" t="str">
        <f t="shared" si="6"/>
        <v/>
      </c>
      <c r="H112" s="144" t="str">
        <f t="shared" si="6"/>
        <v/>
      </c>
      <c r="I112" s="144" t="str">
        <f t="shared" si="6"/>
        <v/>
      </c>
      <c r="J112" s="144" t="str">
        <f t="shared" si="6"/>
        <v/>
      </c>
      <c r="K112" s="144"/>
      <c r="L112"/>
      <c r="M112"/>
      <c r="N112"/>
      <c r="O112"/>
      <c r="P112"/>
      <c r="Q112"/>
      <c r="R112" s="71"/>
      <c r="S112" s="71"/>
      <c r="T112" s="71"/>
      <c r="U112" s="71"/>
      <c r="V112" s="71"/>
      <c r="W112" s="71"/>
      <c r="X112" s="71"/>
      <c r="Y112" s="71"/>
      <c r="Z112" s="71"/>
      <c r="AA112" s="71"/>
      <c r="AB112" s="71"/>
      <c r="AC112" s="71"/>
      <c r="AD112" s="71"/>
      <c r="AE112" s="71"/>
      <c r="AF112" s="71"/>
      <c r="AG112" s="71"/>
      <c r="AH112" s="71"/>
      <c r="AI112" s="71"/>
    </row>
    <row r="113" spans="1:35" x14ac:dyDescent="0.4">
      <c r="A113" s="3">
        <v>6</v>
      </c>
      <c r="B113" s="5" t="s">
        <v>626</v>
      </c>
      <c r="C113" t="s">
        <v>6</v>
      </c>
      <c r="D113" s="144">
        <f t="shared" ref="D113:J113" si="7">IF(ISNUMBER(D105),D11,"")</f>
        <v>0</v>
      </c>
      <c r="E113" s="144">
        <f t="shared" si="7"/>
        <v>0</v>
      </c>
      <c r="F113" s="144">
        <f t="shared" si="7"/>
        <v>0</v>
      </c>
      <c r="G113" s="144" t="str">
        <f t="shared" si="7"/>
        <v/>
      </c>
      <c r="H113" s="144" t="str">
        <f t="shared" si="7"/>
        <v/>
      </c>
      <c r="I113" s="144" t="str">
        <f t="shared" si="7"/>
        <v/>
      </c>
      <c r="J113" s="144" t="str">
        <f t="shared" si="7"/>
        <v/>
      </c>
      <c r="K113" s="144"/>
      <c r="L113"/>
      <c r="M113"/>
      <c r="N113"/>
      <c r="O113"/>
      <c r="P113"/>
      <c r="Q113"/>
      <c r="R113" s="71"/>
      <c r="S113" s="71"/>
      <c r="T113" s="71"/>
      <c r="U113" s="71"/>
      <c r="V113" s="71"/>
      <c r="W113" s="71"/>
      <c r="X113" s="71"/>
      <c r="Y113" s="71"/>
      <c r="Z113" s="71"/>
      <c r="AA113" s="71"/>
      <c r="AB113" s="71"/>
      <c r="AC113" s="71"/>
      <c r="AD113" s="71"/>
      <c r="AE113" s="71"/>
      <c r="AF113" s="71"/>
      <c r="AG113" s="71"/>
      <c r="AH113" s="71"/>
      <c r="AI113" s="71"/>
    </row>
    <row r="114" spans="1:35" x14ac:dyDescent="0.4">
      <c r="A114" s="3">
        <v>7</v>
      </c>
      <c r="B114" s="5" t="s">
        <v>627</v>
      </c>
      <c r="C114" t="s">
        <v>6</v>
      </c>
      <c r="D114" s="144">
        <f t="shared" ref="D114:J114" si="8">IF(ISNUMBER(D105),D12,"")</f>
        <v>0</v>
      </c>
      <c r="E114" s="144">
        <f t="shared" si="8"/>
        <v>0</v>
      </c>
      <c r="F114" s="144">
        <f t="shared" si="8"/>
        <v>0</v>
      </c>
      <c r="G114" s="144" t="str">
        <f t="shared" si="8"/>
        <v/>
      </c>
      <c r="H114" s="144" t="str">
        <f t="shared" si="8"/>
        <v/>
      </c>
      <c r="I114" s="144" t="str">
        <f t="shared" si="8"/>
        <v/>
      </c>
      <c r="J114" s="144" t="str">
        <f t="shared" si="8"/>
        <v/>
      </c>
      <c r="K114" s="144"/>
      <c r="L114"/>
      <c r="M114"/>
      <c r="N114"/>
      <c r="O114"/>
      <c r="P114"/>
      <c r="Q114"/>
      <c r="R114" s="71"/>
      <c r="S114" s="71"/>
      <c r="T114" s="71"/>
      <c r="U114" s="71"/>
      <c r="V114" s="71"/>
      <c r="W114" s="71"/>
      <c r="X114" s="71"/>
      <c r="Y114" s="71"/>
      <c r="Z114" s="71"/>
      <c r="AA114" s="71"/>
      <c r="AB114" s="71"/>
      <c r="AC114" s="71"/>
      <c r="AD114" s="71"/>
      <c r="AE114" s="71"/>
      <c r="AF114" s="71"/>
      <c r="AG114" s="71"/>
      <c r="AH114" s="71"/>
      <c r="AI114" s="71"/>
    </row>
    <row r="115" spans="1:35" x14ac:dyDescent="0.4">
      <c r="A115" s="3">
        <v>8</v>
      </c>
      <c r="B115" s="5" t="s">
        <v>628</v>
      </c>
      <c r="C115" t="s">
        <v>6</v>
      </c>
      <c r="E115" s="91">
        <f>IF(ISNUMBER(E105),E114-D114,"")</f>
        <v>0</v>
      </c>
      <c r="F115" s="91">
        <f t="shared" ref="F115:J115" si="9">IF(ISNUMBER(F105),F114-E114,"")</f>
        <v>0</v>
      </c>
      <c r="G115" s="91" t="str">
        <f t="shared" si="9"/>
        <v/>
      </c>
      <c r="H115" s="91" t="str">
        <f t="shared" si="9"/>
        <v/>
      </c>
      <c r="I115" s="91" t="str">
        <f t="shared" si="9"/>
        <v/>
      </c>
      <c r="J115" s="91" t="str">
        <f t="shared" si="9"/>
        <v/>
      </c>
      <c r="K115" s="91"/>
      <c r="L115" s="91"/>
      <c r="M115"/>
      <c r="N115"/>
      <c r="O115"/>
      <c r="P115"/>
      <c r="Q115"/>
      <c r="R115" s="71"/>
      <c r="S115" s="71"/>
      <c r="T115" s="71"/>
      <c r="U115" s="71"/>
      <c r="V115" s="71"/>
      <c r="W115" s="71"/>
      <c r="X115" s="71"/>
      <c r="Y115" s="71"/>
      <c r="Z115" s="71"/>
      <c r="AA115" s="71"/>
      <c r="AB115" s="71"/>
      <c r="AC115" s="71"/>
      <c r="AD115" s="71"/>
      <c r="AE115" s="71"/>
      <c r="AF115" s="71"/>
      <c r="AG115" s="71"/>
      <c r="AH115" s="71"/>
      <c r="AI115" s="71"/>
    </row>
    <row r="116" spans="1:35" x14ac:dyDescent="0.4">
      <c r="A116" s="3">
        <v>9</v>
      </c>
      <c r="B116" s="5" t="s">
        <v>629</v>
      </c>
      <c r="C116" t="s">
        <v>6</v>
      </c>
      <c r="D116" s="144"/>
      <c r="E116" s="144">
        <f t="shared" ref="E116:J116" si="10">IF(ISNUMBER(E105),E13,"")</f>
        <v>0</v>
      </c>
      <c r="F116" s="144">
        <f t="shared" si="10"/>
        <v>0</v>
      </c>
      <c r="G116" s="144" t="str">
        <f t="shared" si="10"/>
        <v/>
      </c>
      <c r="H116" s="144" t="str">
        <f t="shared" si="10"/>
        <v/>
      </c>
      <c r="I116" s="144" t="str">
        <f t="shared" si="10"/>
        <v/>
      </c>
      <c r="J116" s="144" t="str">
        <f t="shared" si="10"/>
        <v/>
      </c>
      <c r="K116" s="144"/>
      <c r="L116"/>
      <c r="M116"/>
      <c r="N116"/>
      <c r="O116"/>
      <c r="P116"/>
      <c r="Q116"/>
      <c r="R116" s="71"/>
      <c r="S116" s="71"/>
      <c r="T116" s="71"/>
      <c r="U116" s="71"/>
      <c r="V116" s="71"/>
      <c r="W116" s="71"/>
      <c r="X116" s="71"/>
      <c r="Y116" s="71"/>
      <c r="Z116" s="71"/>
      <c r="AA116" s="71"/>
      <c r="AB116" s="71"/>
      <c r="AC116" s="71"/>
      <c r="AD116" s="71"/>
      <c r="AE116" s="71"/>
      <c r="AF116" s="71"/>
      <c r="AG116" s="71"/>
      <c r="AH116" s="71"/>
      <c r="AI116" s="71"/>
    </row>
    <row r="117" spans="1:35" x14ac:dyDescent="0.4">
      <c r="A117" s="3">
        <v>10</v>
      </c>
      <c r="B117" s="5" t="s">
        <v>630</v>
      </c>
      <c r="C117" t="s">
        <v>6</v>
      </c>
      <c r="D117" s="144"/>
      <c r="E117" s="144">
        <f>IF(ISNUMBER(E105),E115-E116,"")</f>
        <v>0</v>
      </c>
      <c r="F117" s="144">
        <f t="shared" ref="F117:J117" si="11">IF(ISNUMBER(F105),F115-F116,"")</f>
        <v>0</v>
      </c>
      <c r="G117" s="144" t="str">
        <f t="shared" si="11"/>
        <v/>
      </c>
      <c r="H117" s="144" t="str">
        <f t="shared" si="11"/>
        <v/>
      </c>
      <c r="I117" s="144" t="str">
        <f t="shared" si="11"/>
        <v/>
      </c>
      <c r="J117" s="144" t="str">
        <f t="shared" si="11"/>
        <v/>
      </c>
      <c r="K117" s="144"/>
      <c r="L117"/>
      <c r="M117"/>
      <c r="N117"/>
      <c r="O117"/>
      <c r="P117"/>
      <c r="Q117"/>
      <c r="R117" s="71"/>
      <c r="S117" s="71"/>
      <c r="T117" s="71"/>
      <c r="U117" s="71"/>
      <c r="V117" s="71"/>
      <c r="W117" s="71"/>
      <c r="X117" s="71"/>
      <c r="Y117" s="71"/>
      <c r="Z117" s="71"/>
      <c r="AA117" s="71"/>
      <c r="AB117" s="71"/>
      <c r="AC117" s="71"/>
      <c r="AD117" s="71"/>
      <c r="AE117" s="71"/>
      <c r="AF117" s="71"/>
      <c r="AG117" s="71"/>
      <c r="AH117" s="71"/>
      <c r="AI117" s="71"/>
    </row>
    <row r="118" spans="1:35" x14ac:dyDescent="0.4">
      <c r="A118" s="3"/>
      <c r="B118" s="124" t="s">
        <v>928</v>
      </c>
      <c r="C118"/>
      <c r="D118" s="144"/>
      <c r="E118" s="144"/>
      <c r="F118" s="144"/>
      <c r="G118" s="144"/>
      <c r="H118" s="144"/>
      <c r="I118" s="144"/>
      <c r="J118" s="144"/>
      <c r="K118" s="144"/>
      <c r="L118"/>
      <c r="M118"/>
      <c r="N118"/>
      <c r="O118"/>
      <c r="P118"/>
      <c r="Q118"/>
      <c r="R118" s="71"/>
      <c r="S118" s="71"/>
      <c r="T118" s="71"/>
      <c r="U118" s="71"/>
      <c r="V118" s="71"/>
      <c r="W118" s="71"/>
      <c r="X118" s="71"/>
      <c r="Y118" s="71"/>
      <c r="Z118" s="71"/>
      <c r="AA118" s="71"/>
      <c r="AB118" s="71"/>
      <c r="AC118" s="71"/>
      <c r="AD118" s="71"/>
      <c r="AE118" s="71"/>
      <c r="AF118" s="71"/>
      <c r="AG118" s="71"/>
      <c r="AH118" s="71"/>
      <c r="AI118" s="71"/>
    </row>
    <row r="119" spans="1:35" x14ac:dyDescent="0.4">
      <c r="A119" s="3">
        <v>11</v>
      </c>
      <c r="B119" s="5" t="s">
        <v>632</v>
      </c>
      <c r="C119" t="s">
        <v>601</v>
      </c>
      <c r="D119" s="144"/>
      <c r="E119" s="144" t="e">
        <f>IF(ISNUMBER(E105),E117/D114*100,"")</f>
        <v>#DIV/0!</v>
      </c>
      <c r="F119" s="144" t="e">
        <f t="shared" ref="F119:J119" si="12">IF(ISNUMBER(F105),F117/E114*100,"")</f>
        <v>#DIV/0!</v>
      </c>
      <c r="G119" s="144" t="str">
        <f t="shared" si="12"/>
        <v/>
      </c>
      <c r="H119" s="144" t="str">
        <f t="shared" si="12"/>
        <v/>
      </c>
      <c r="I119" s="144" t="str">
        <f t="shared" si="12"/>
        <v/>
      </c>
      <c r="J119" s="144" t="str">
        <f t="shared" si="12"/>
        <v/>
      </c>
      <c r="K119" s="144"/>
      <c r="L119"/>
      <c r="M119"/>
      <c r="N119"/>
      <c r="O119"/>
      <c r="P119"/>
      <c r="Q119"/>
      <c r="R119" s="71"/>
      <c r="S119" s="71"/>
      <c r="T119" s="71"/>
      <c r="U119" s="71"/>
      <c r="V119" s="71"/>
      <c r="W119" s="71"/>
      <c r="X119" s="71"/>
      <c r="Y119" s="71"/>
      <c r="Z119" s="71"/>
      <c r="AA119" s="71"/>
      <c r="AB119" s="71"/>
      <c r="AC119" s="71"/>
      <c r="AD119" s="71"/>
      <c r="AE119" s="71"/>
      <c r="AF119" s="71"/>
      <c r="AG119" s="71"/>
      <c r="AH119" s="71"/>
      <c r="AI119" s="71"/>
    </row>
    <row r="120" spans="1:35" x14ac:dyDescent="0.4">
      <c r="A120" s="3">
        <v>12</v>
      </c>
      <c r="B120" s="5" t="s">
        <v>946</v>
      </c>
      <c r="C120" t="s">
        <v>601</v>
      </c>
      <c r="D120" s="144"/>
      <c r="E120" s="259">
        <f t="shared" ref="E120:J120" si="13">IF(ISNUMBER(E105),E34,"")</f>
        <v>0</v>
      </c>
      <c r="F120" s="144">
        <f t="shared" si="13"/>
        <v>0</v>
      </c>
      <c r="G120" s="144" t="str">
        <f t="shared" si="13"/>
        <v/>
      </c>
      <c r="H120" s="144" t="str">
        <f t="shared" si="13"/>
        <v/>
      </c>
      <c r="I120" s="144" t="str">
        <f t="shared" si="13"/>
        <v/>
      </c>
      <c r="J120" s="144" t="str">
        <f t="shared" si="13"/>
        <v/>
      </c>
      <c r="K120" s="144"/>
      <c r="L120"/>
      <c r="M120"/>
      <c r="N120"/>
      <c r="O120"/>
      <c r="P120"/>
      <c r="Q120"/>
      <c r="R120" s="71"/>
      <c r="S120" s="71"/>
      <c r="T120" s="71"/>
      <c r="U120" s="71"/>
      <c r="V120" s="71"/>
      <c r="W120" s="71"/>
      <c r="X120" s="71"/>
      <c r="Y120" s="71"/>
      <c r="Z120" s="71"/>
      <c r="AA120" s="71"/>
      <c r="AB120" s="71"/>
      <c r="AC120" s="71"/>
      <c r="AD120" s="71"/>
      <c r="AE120" s="71"/>
      <c r="AF120" s="71"/>
      <c r="AG120" s="71"/>
      <c r="AH120" s="71"/>
      <c r="AI120" s="71"/>
    </row>
    <row r="121" spans="1:35" x14ac:dyDescent="0.4">
      <c r="A121" s="3">
        <v>13</v>
      </c>
      <c r="B121" s="5" t="s">
        <v>929</v>
      </c>
      <c r="C121" t="s">
        <v>6</v>
      </c>
      <c r="D121" s="144"/>
      <c r="E121" s="259" t="e">
        <f>IF(ISNUMBER(E105),((E119-E120)/100)*D114,"")</f>
        <v>#DIV/0!</v>
      </c>
      <c r="F121" s="144" t="e">
        <f t="shared" ref="F121:J121" si="14">IF(ISNUMBER(F105),((F119-F120)/100)*E114,"")</f>
        <v>#DIV/0!</v>
      </c>
      <c r="G121" s="144" t="str">
        <f t="shared" si="14"/>
        <v/>
      </c>
      <c r="H121" s="144" t="str">
        <f t="shared" si="14"/>
        <v/>
      </c>
      <c r="I121" s="144" t="str">
        <f t="shared" si="14"/>
        <v/>
      </c>
      <c r="J121" s="144" t="str">
        <f t="shared" si="14"/>
        <v/>
      </c>
      <c r="K121" s="144"/>
      <c r="L121"/>
      <c r="M121"/>
      <c r="N121"/>
      <c r="O121"/>
      <c r="P121"/>
      <c r="Q121"/>
      <c r="R121" s="71"/>
      <c r="S121" s="71"/>
      <c r="T121" s="71"/>
      <c r="U121" s="71"/>
      <c r="V121" s="71"/>
      <c r="W121" s="71"/>
      <c r="X121" s="71"/>
      <c r="Y121" s="71"/>
      <c r="Z121" s="71"/>
      <c r="AA121" s="71"/>
      <c r="AB121" s="71"/>
      <c r="AC121" s="71"/>
      <c r="AD121" s="71"/>
      <c r="AE121" s="71"/>
      <c r="AF121" s="71"/>
      <c r="AG121" s="71"/>
      <c r="AH121" s="71"/>
      <c r="AI121" s="71"/>
    </row>
    <row r="122" spans="1:35" x14ac:dyDescent="0.4">
      <c r="A122" s="3">
        <v>14</v>
      </c>
      <c r="B122" s="143" t="s">
        <v>930</v>
      </c>
      <c r="C122" s="7" t="s">
        <v>6</v>
      </c>
      <c r="D122" s="144"/>
      <c r="E122" s="259" t="e">
        <f>IF(ISNUMBER(E105),E121+IF(ISNUMBER(D105),D122,0),"")</f>
        <v>#DIV/0!</v>
      </c>
      <c r="F122" s="144" t="e">
        <f t="shared" ref="F122:J122" si="15">IF(ISNUMBER(F105),F121+IF(ISNUMBER(E105),E122,0),"")</f>
        <v>#DIV/0!</v>
      </c>
      <c r="G122" s="144" t="str">
        <f t="shared" si="15"/>
        <v/>
      </c>
      <c r="H122" s="144" t="str">
        <f t="shared" si="15"/>
        <v/>
      </c>
      <c r="I122" s="144" t="str">
        <f t="shared" si="15"/>
        <v/>
      </c>
      <c r="J122" s="144" t="str">
        <f t="shared" si="15"/>
        <v/>
      </c>
      <c r="K122" s="144"/>
      <c r="L122"/>
      <c r="M122"/>
      <c r="N122"/>
      <c r="O122"/>
      <c r="P122"/>
      <c r="Q122"/>
      <c r="R122" s="71"/>
      <c r="S122" s="71"/>
      <c r="T122" s="71"/>
      <c r="U122" s="71"/>
      <c r="V122" s="71"/>
      <c r="W122" s="71"/>
      <c r="X122" s="71"/>
      <c r="Y122" s="71"/>
      <c r="Z122" s="71"/>
      <c r="AA122" s="71"/>
      <c r="AB122" s="71"/>
      <c r="AC122" s="71"/>
      <c r="AD122" s="71"/>
      <c r="AE122" s="71"/>
      <c r="AF122" s="71"/>
      <c r="AG122" s="71"/>
      <c r="AH122" s="71"/>
      <c r="AI122" s="71"/>
    </row>
    <row r="123" spans="1:35" x14ac:dyDescent="0.4">
      <c r="A123" s="3">
        <v>15</v>
      </c>
      <c r="B123" s="5" t="s">
        <v>9</v>
      </c>
      <c r="C123" t="s">
        <v>6</v>
      </c>
      <c r="D123" s="144">
        <f t="shared" ref="D123:J123" si="16">IF(ISNUMBER(D105),D27,"")</f>
        <v>0</v>
      </c>
      <c r="E123" s="144">
        <f t="shared" si="16"/>
        <v>0</v>
      </c>
      <c r="F123" s="144">
        <f t="shared" si="16"/>
        <v>0</v>
      </c>
      <c r="G123" s="144" t="str">
        <f t="shared" si="16"/>
        <v/>
      </c>
      <c r="H123" s="144" t="str">
        <f t="shared" si="16"/>
        <v/>
      </c>
      <c r="I123" s="144" t="str">
        <f t="shared" si="16"/>
        <v/>
      </c>
      <c r="J123" s="144" t="str">
        <f t="shared" si="16"/>
        <v/>
      </c>
      <c r="K123" s="144"/>
      <c r="L123" s="9"/>
      <c r="M123" s="9"/>
      <c r="N123"/>
      <c r="O123"/>
      <c r="P123"/>
      <c r="Q123"/>
      <c r="R123" s="71"/>
      <c r="S123" s="71"/>
      <c r="T123" s="71"/>
      <c r="U123" s="71"/>
      <c r="V123" s="71"/>
      <c r="W123" s="71"/>
      <c r="X123" s="71"/>
      <c r="Y123" s="71"/>
      <c r="Z123" s="71"/>
      <c r="AA123" s="71"/>
      <c r="AB123" s="71"/>
      <c r="AC123" s="71"/>
      <c r="AD123" s="71"/>
      <c r="AE123" s="71"/>
      <c r="AF123" s="71"/>
      <c r="AG123" s="71"/>
      <c r="AH123" s="71"/>
      <c r="AI123" s="71"/>
    </row>
    <row r="124" spans="1:35" ht="21.4" customHeight="1" x14ac:dyDescent="0.4">
      <c r="B124" s="7" t="s">
        <v>641</v>
      </c>
      <c r="C124" s="19"/>
      <c r="D124" s="3"/>
      <c r="E124" s="3"/>
      <c r="F124" s="3"/>
      <c r="G124" s="3"/>
      <c r="H124" s="3"/>
      <c r="I124" s="3"/>
      <c r="J124" s="3"/>
      <c r="K124" s="3"/>
      <c r="L124"/>
      <c r="M124"/>
      <c r="N124"/>
      <c r="O124"/>
      <c r="P124"/>
      <c r="Q124"/>
      <c r="R124" s="71"/>
      <c r="S124" s="71"/>
      <c r="T124" s="71"/>
      <c r="U124" s="71"/>
      <c r="V124" s="71"/>
      <c r="W124" s="71"/>
      <c r="X124" s="71"/>
      <c r="Y124" s="71"/>
      <c r="Z124" s="71"/>
      <c r="AA124" s="71"/>
      <c r="AB124" s="71"/>
      <c r="AC124" s="71"/>
      <c r="AD124" s="71"/>
      <c r="AE124" s="71"/>
      <c r="AF124" s="71"/>
      <c r="AG124" s="71"/>
      <c r="AH124" s="71"/>
      <c r="AI124" s="71"/>
    </row>
    <row r="125" spans="1:35" x14ac:dyDescent="0.4">
      <c r="A125" s="3">
        <v>16</v>
      </c>
      <c r="B125" s="5" t="s">
        <v>602</v>
      </c>
      <c r="C125" t="s">
        <v>603</v>
      </c>
      <c r="D125"/>
      <c r="E125" s="258" t="e">
        <f>IF(ISNUMBER(E105),E121/E$123*100,"")</f>
        <v>#DIV/0!</v>
      </c>
      <c r="F125" s="4" t="e">
        <f t="shared" ref="F125:J125" si="17">IF(ISNUMBER(F105),F121/F$123*100,"")</f>
        <v>#DIV/0!</v>
      </c>
      <c r="G125" s="4" t="str">
        <f t="shared" si="17"/>
        <v/>
      </c>
      <c r="H125" s="4" t="str">
        <f t="shared" si="17"/>
        <v/>
      </c>
      <c r="I125" s="4" t="str">
        <f t="shared" si="17"/>
        <v/>
      </c>
      <c r="J125" s="4" t="str">
        <f t="shared" si="17"/>
        <v/>
      </c>
      <c r="K125" s="4"/>
      <c r="L125"/>
      <c r="M125"/>
      <c r="N125"/>
      <c r="O125"/>
      <c r="P125"/>
      <c r="Q125"/>
      <c r="R125" s="71"/>
      <c r="S125" s="71"/>
      <c r="T125" s="71"/>
      <c r="U125" s="71"/>
      <c r="V125" s="71"/>
      <c r="W125" s="71"/>
      <c r="X125" s="71"/>
      <c r="Y125" s="71"/>
      <c r="Z125" s="71"/>
      <c r="AA125" s="71"/>
      <c r="AB125" s="71"/>
      <c r="AC125" s="71"/>
      <c r="AD125" s="71"/>
      <c r="AE125" s="71"/>
      <c r="AF125" s="71"/>
      <c r="AG125" s="71"/>
      <c r="AH125" s="71"/>
      <c r="AI125" s="71"/>
    </row>
    <row r="126" spans="1:35" x14ac:dyDescent="0.4">
      <c r="A126" s="3">
        <v>17</v>
      </c>
      <c r="B126" s="5" t="s">
        <v>945</v>
      </c>
      <c r="C126" t="s">
        <v>603</v>
      </c>
      <c r="D126"/>
      <c r="E126" s="258" t="e">
        <f>IF(ISNUMBER(E105),E122/E$123*100,"")</f>
        <v>#DIV/0!</v>
      </c>
      <c r="F126" s="4" t="e">
        <f t="shared" ref="F126:J126" si="18">IF(ISNUMBER(F105),F122/F$123*100,"")</f>
        <v>#DIV/0!</v>
      </c>
      <c r="G126" s="4" t="str">
        <f t="shared" si="18"/>
        <v/>
      </c>
      <c r="H126" s="4" t="str">
        <f t="shared" si="18"/>
        <v/>
      </c>
      <c r="I126" s="4" t="str">
        <f t="shared" si="18"/>
        <v/>
      </c>
      <c r="J126" s="4" t="str">
        <f t="shared" si="18"/>
        <v/>
      </c>
      <c r="K126" s="4"/>
      <c r="L126"/>
      <c r="M126"/>
      <c r="N126"/>
      <c r="O126"/>
      <c r="P126"/>
      <c r="Q126"/>
      <c r="R126" s="71"/>
      <c r="S126" s="71"/>
      <c r="T126" s="71"/>
      <c r="U126" s="71"/>
      <c r="V126" s="71"/>
      <c r="W126" s="71"/>
      <c r="X126" s="71"/>
      <c r="Y126" s="71"/>
      <c r="Z126" s="71"/>
      <c r="AA126" s="71"/>
      <c r="AB126" s="71"/>
      <c r="AC126" s="71"/>
      <c r="AD126" s="71"/>
      <c r="AE126" s="71"/>
      <c r="AF126" s="71"/>
      <c r="AG126" s="71"/>
      <c r="AH126" s="71"/>
      <c r="AI126" s="71"/>
    </row>
    <row r="127" spans="1:35" ht="20.85" customHeight="1" x14ac:dyDescent="0.4">
      <c r="A127" s="3"/>
      <c r="B127" s="7" t="s">
        <v>931</v>
      </c>
      <c r="C127" s="19"/>
      <c r="D127" s="3"/>
      <c r="E127" s="3"/>
      <c r="F127" s="3"/>
      <c r="G127" s="3"/>
      <c r="H127" s="3"/>
      <c r="I127" s="3"/>
      <c r="J127" s="3"/>
      <c r="K127" s="3"/>
      <c r="L127"/>
      <c r="M127"/>
      <c r="N127"/>
      <c r="O127"/>
      <c r="P127"/>
      <c r="Q127"/>
      <c r="R127" s="71"/>
      <c r="S127" s="71"/>
      <c r="T127" s="71"/>
      <c r="U127" s="71"/>
      <c r="V127" s="71"/>
      <c r="W127" s="71"/>
      <c r="X127" s="71"/>
      <c r="Y127" s="71"/>
      <c r="Z127" s="71"/>
      <c r="AA127" s="71"/>
      <c r="AB127" s="71"/>
      <c r="AC127" s="71"/>
      <c r="AD127" s="71"/>
      <c r="AE127" s="71"/>
      <c r="AF127" s="71"/>
      <c r="AG127" s="71"/>
      <c r="AH127" s="71"/>
      <c r="AI127" s="71"/>
    </row>
    <row r="128" spans="1:35" x14ac:dyDescent="0.4">
      <c r="A128" s="3" t="s">
        <v>648</v>
      </c>
      <c r="B128" s="5" t="s">
        <v>602</v>
      </c>
      <c r="C128" t="s">
        <v>603</v>
      </c>
      <c r="D128"/>
      <c r="E128" s="4" t="e">
        <f>IF(ISNUMBER(E105),E121/E$123*100,"")</f>
        <v>#DIV/0!</v>
      </c>
      <c r="F128" s="4" t="e">
        <f t="shared" ref="F128:J128" si="19">IF(ISNUMBER(F105),F121/F$123*100,"")</f>
        <v>#DIV/0!</v>
      </c>
      <c r="G128" s="4" t="str">
        <f t="shared" si="19"/>
        <v/>
      </c>
      <c r="H128" s="4" t="str">
        <f t="shared" si="19"/>
        <v/>
      </c>
      <c r="I128" s="4" t="str">
        <f t="shared" si="19"/>
        <v/>
      </c>
      <c r="J128" s="4" t="str">
        <f t="shared" si="19"/>
        <v/>
      </c>
      <c r="K128" s="4"/>
      <c r="L128"/>
      <c r="M128"/>
      <c r="N128"/>
      <c r="O128"/>
      <c r="P128"/>
      <c r="Q128"/>
      <c r="R128" s="71"/>
      <c r="S128" s="71"/>
      <c r="T128" s="71"/>
      <c r="U128" s="71"/>
      <c r="V128" s="71"/>
      <c r="W128" s="71"/>
      <c r="X128" s="71"/>
      <c r="Y128" s="71"/>
      <c r="Z128" s="71"/>
      <c r="AA128" s="71"/>
      <c r="AB128" s="71"/>
      <c r="AC128" s="71"/>
      <c r="AD128" s="71"/>
      <c r="AE128" s="71"/>
      <c r="AF128" s="71"/>
      <c r="AG128" s="71"/>
      <c r="AH128" s="71"/>
      <c r="AI128" s="71"/>
    </row>
    <row r="129" spans="1:35" x14ac:dyDescent="0.4">
      <c r="A129" s="3"/>
      <c r="B129" s="5" t="s">
        <v>598</v>
      </c>
      <c r="C129" t="s">
        <v>6</v>
      </c>
      <c r="D129" s="144">
        <f t="shared" ref="D129:J129" si="20">IF(ISNUMBER(D105),D14,"")</f>
        <v>0</v>
      </c>
      <c r="E129" s="144">
        <f t="shared" si="20"/>
        <v>0</v>
      </c>
      <c r="F129" s="144">
        <f t="shared" si="20"/>
        <v>0</v>
      </c>
      <c r="G129" s="144" t="str">
        <f t="shared" si="20"/>
        <v/>
      </c>
      <c r="H129" s="144" t="str">
        <f t="shared" si="20"/>
        <v/>
      </c>
      <c r="I129" s="144" t="str">
        <f t="shared" si="20"/>
        <v/>
      </c>
      <c r="J129" s="144" t="str">
        <f t="shared" si="20"/>
        <v/>
      </c>
      <c r="K129" s="144"/>
      <c r="L129"/>
      <c r="M129"/>
      <c r="N129"/>
      <c r="O129"/>
      <c r="P129"/>
      <c r="Q129"/>
      <c r="R129" s="71"/>
      <c r="S129" s="71"/>
      <c r="T129" s="71"/>
      <c r="U129" s="71"/>
      <c r="V129" s="71"/>
      <c r="W129" s="71"/>
      <c r="X129" s="71"/>
      <c r="Y129" s="71"/>
      <c r="Z129" s="71"/>
      <c r="AA129" s="71"/>
      <c r="AB129" s="71"/>
      <c r="AC129" s="71"/>
      <c r="AD129" s="71"/>
      <c r="AE129" s="71"/>
      <c r="AF129" s="71"/>
      <c r="AG129" s="71"/>
      <c r="AH129" s="71"/>
      <c r="AI129" s="71"/>
    </row>
    <row r="130" spans="1:35" x14ac:dyDescent="0.4">
      <c r="A130" s="3"/>
      <c r="B130" s="5" t="s">
        <v>598</v>
      </c>
      <c r="C130" t="s">
        <v>603</v>
      </c>
      <c r="D130" s="4" t="e">
        <f t="shared" ref="D130:J130" si="21">IF(ISNUMBER(D105),D14/D123*100,"")</f>
        <v>#DIV/0!</v>
      </c>
      <c r="E130" s="4" t="e">
        <f t="shared" si="21"/>
        <v>#DIV/0!</v>
      </c>
      <c r="F130" s="4" t="e">
        <f t="shared" si="21"/>
        <v>#DIV/0!</v>
      </c>
      <c r="G130" s="4" t="str">
        <f t="shared" si="21"/>
        <v/>
      </c>
      <c r="H130" s="4" t="str">
        <f t="shared" si="21"/>
        <v/>
      </c>
      <c r="I130" s="4" t="str">
        <f t="shared" si="21"/>
        <v/>
      </c>
      <c r="J130" s="4" t="str">
        <f t="shared" si="21"/>
        <v/>
      </c>
      <c r="K130" s="4"/>
      <c r="L130"/>
      <c r="M130"/>
      <c r="N130"/>
      <c r="O130"/>
      <c r="P130"/>
      <c r="Q130"/>
      <c r="R130" s="71"/>
      <c r="S130" s="71"/>
      <c r="T130" s="71"/>
      <c r="U130" s="71"/>
      <c r="V130" s="71"/>
      <c r="W130" s="71"/>
      <c r="X130" s="71"/>
      <c r="Y130" s="71"/>
      <c r="Z130" s="71"/>
      <c r="AA130" s="71"/>
      <c r="AB130" s="71"/>
      <c r="AC130" s="71"/>
      <c r="AD130" s="71"/>
      <c r="AE130" s="71"/>
      <c r="AF130" s="71"/>
      <c r="AG130" s="71"/>
      <c r="AH130" s="71"/>
      <c r="AI130" s="71"/>
    </row>
    <row r="131" spans="1:35" x14ac:dyDescent="0.4">
      <c r="A131" s="3"/>
      <c r="B131" s="5" t="s">
        <v>647</v>
      </c>
      <c r="C131" t="s">
        <v>6</v>
      </c>
      <c r="D131" s="4"/>
      <c r="E131" s="4">
        <f>IF(ISNUMBER(E105),E129-D129,"")</f>
        <v>0</v>
      </c>
      <c r="F131" s="4">
        <f t="shared" ref="F131:J131" si="22">IF(ISNUMBER(F105),F129-E129,"")</f>
        <v>0</v>
      </c>
      <c r="G131" s="4" t="str">
        <f t="shared" si="22"/>
        <v/>
      </c>
      <c r="H131" s="4" t="str">
        <f t="shared" si="22"/>
        <v/>
      </c>
      <c r="I131" s="4" t="str">
        <f t="shared" si="22"/>
        <v/>
      </c>
      <c r="J131" s="4" t="str">
        <f t="shared" si="22"/>
        <v/>
      </c>
      <c r="K131" s="4"/>
      <c r="L131"/>
      <c r="M131"/>
      <c r="N131"/>
      <c r="O131"/>
      <c r="P131"/>
      <c r="Q131"/>
      <c r="R131" s="71"/>
      <c r="S131" s="71"/>
      <c r="T131" s="71"/>
      <c r="U131" s="71"/>
      <c r="V131" s="71"/>
      <c r="W131" s="71"/>
      <c r="X131" s="71"/>
      <c r="Y131" s="71"/>
      <c r="Z131" s="71"/>
      <c r="AA131" s="71"/>
      <c r="AB131" s="71"/>
      <c r="AC131" s="71"/>
      <c r="AD131" s="71"/>
      <c r="AE131" s="71"/>
      <c r="AF131" s="71"/>
      <c r="AG131" s="71"/>
      <c r="AH131" s="71"/>
      <c r="AI131" s="71"/>
    </row>
    <row r="132" spans="1:35" x14ac:dyDescent="0.4">
      <c r="B132" s="5" t="s">
        <v>647</v>
      </c>
      <c r="C132" t="s">
        <v>603</v>
      </c>
      <c r="E132" s="4" t="e">
        <f>IF(ISNUMBER(E105),E131/E$27*100,"")</f>
        <v>#DIV/0!</v>
      </c>
      <c r="F132" s="4" t="e">
        <f>IF(ISNUMBER(F105),F131/F$27*100,"")</f>
        <v>#DIV/0!</v>
      </c>
      <c r="G132" s="4" t="str">
        <f t="shared" ref="G132:J132" si="23">IF(ISNUMBER(G105),G131/G$27*100,"")</f>
        <v/>
      </c>
      <c r="H132" s="4" t="str">
        <f t="shared" si="23"/>
        <v/>
      </c>
      <c r="I132" s="4" t="str">
        <f t="shared" si="23"/>
        <v/>
      </c>
      <c r="J132" s="4" t="str">
        <f t="shared" si="23"/>
        <v/>
      </c>
      <c r="K132" s="4"/>
    </row>
    <row r="133" spans="1:35" x14ac:dyDescent="0.4">
      <c r="B133" s="5" t="str">
        <f>"Growth of defence expenditure since "&amp;'Step 1 - Set global parameters'!B26&amp;""</f>
        <v>Growth of defence expenditure since Enter year</v>
      </c>
      <c r="C133" t="s">
        <v>6</v>
      </c>
      <c r="E133" s="4" t="e">
        <f>IF(ISNUMBER(E105),E134/100*E$27,"")</f>
        <v>#DIV/0!</v>
      </c>
      <c r="F133" s="4" t="e">
        <f t="shared" ref="F133:G133" si="24">IF(ISNUMBER(F105),F134/100*F$27,"")</f>
        <v>#DIV/0!</v>
      </c>
      <c r="G133" s="4" t="str">
        <f t="shared" si="24"/>
        <v/>
      </c>
      <c r="H133" s="4"/>
      <c r="I133" s="4"/>
      <c r="J133" s="4"/>
      <c r="K133" s="4"/>
    </row>
    <row r="134" spans="1:35" x14ac:dyDescent="0.4">
      <c r="B134" s="5" t="str">
        <f>"Growth of defence expenditure since "&amp;'Step 1 - Set global parameters'!B26&amp;""</f>
        <v>Growth of defence expenditure since Enter year</v>
      </c>
      <c r="C134" t="s">
        <v>603</v>
      </c>
      <c r="E134" s="4" t="e">
        <f>IF(ISNUMBER(E105),E130-'Step 1 - Set global parameters'!$B$27,"")</f>
        <v>#DIV/0!</v>
      </c>
      <c r="F134" s="4" t="e">
        <f>IF(ISNUMBER(F105),F130-'Step 1 - Set global parameters'!$B$27,"")</f>
        <v>#DIV/0!</v>
      </c>
      <c r="G134" s="4" t="str">
        <f>IF(ISNUMBER(G105),G130-'Step 1 - Set global parameters'!$B$27,"")</f>
        <v/>
      </c>
      <c r="H134" s="4" t="str">
        <f>IF(ISNUMBER(H105),H130-'Step 1 - Set global parameters'!$B$27,"")</f>
        <v/>
      </c>
      <c r="I134" s="4" t="str">
        <f>IF(ISNUMBER(I105),I130-'Step 1 - Set global parameters'!$B$27,"")</f>
        <v/>
      </c>
      <c r="J134" s="4" t="str">
        <f>IF(ISNUMBER(J105),J130-'Step 1 - Set global parameters'!$B$27,"")</f>
        <v/>
      </c>
      <c r="K134" s="4"/>
    </row>
    <row r="135" spans="1:35" x14ac:dyDescent="0.4">
      <c r="B135" s="5" t="s">
        <v>650</v>
      </c>
      <c r="C135" s="14" t="s">
        <v>603</v>
      </c>
      <c r="E135" s="117" t="e">
        <f t="shared" ref="E135:J135" si="25">IF(ISNUMBER(E105),IF((E128-E134)&gt;0,E128-E134,0),"")</f>
        <v>#DIV/0!</v>
      </c>
      <c r="F135" s="117" t="e">
        <f t="shared" si="25"/>
        <v>#DIV/0!</v>
      </c>
      <c r="G135" s="117" t="str">
        <f t="shared" si="25"/>
        <v/>
      </c>
      <c r="H135" s="117" t="str">
        <f t="shared" si="25"/>
        <v/>
      </c>
      <c r="I135" s="117" t="str">
        <f t="shared" si="25"/>
        <v/>
      </c>
      <c r="J135" s="117" t="str">
        <f t="shared" si="25"/>
        <v/>
      </c>
      <c r="K135" s="117"/>
    </row>
    <row r="136" spans="1:35" s="44" customFormat="1" x14ac:dyDescent="0.4">
      <c r="B136" s="82" t="s">
        <v>652</v>
      </c>
      <c r="C136" s="44" t="s">
        <v>651</v>
      </c>
      <c r="E136" s="48" t="e">
        <f>IF(ISNUMBER(E105),E121,"")</f>
        <v>#DIV/0!</v>
      </c>
      <c r="F136" s="48" t="e">
        <f t="shared" ref="F136:J136" si="26">IF(ISNUMBER(F105),F121,"")</f>
        <v>#DIV/0!</v>
      </c>
      <c r="G136" s="48" t="str">
        <f t="shared" si="26"/>
        <v/>
      </c>
      <c r="H136" s="48" t="str">
        <f t="shared" si="26"/>
        <v/>
      </c>
      <c r="I136" s="48" t="str">
        <f t="shared" si="26"/>
        <v/>
      </c>
      <c r="J136" s="48" t="str">
        <f t="shared" si="26"/>
        <v/>
      </c>
      <c r="K136" s="48"/>
    </row>
    <row r="137" spans="1:35" s="44" customFormat="1" x14ac:dyDescent="0.4">
      <c r="B137" s="90" t="s">
        <v>249</v>
      </c>
      <c r="C137" s="44" t="s">
        <v>651</v>
      </c>
      <c r="D137" s="48"/>
      <c r="E137" s="48" t="e">
        <f>IF(ISNUMBER(E105),IF(OR(E136="",ISNA(E136)),"",MAX(E136,0)),"")</f>
        <v>#DIV/0!</v>
      </c>
      <c r="F137" s="48" t="e">
        <f t="shared" ref="F137:J137" si="27">IF(ISNUMBER(F105),IF(OR(F136="",ISNA(F136)),"",MAX(F136,0)),"")</f>
        <v>#DIV/0!</v>
      </c>
      <c r="G137" s="48" t="str">
        <f t="shared" si="27"/>
        <v/>
      </c>
      <c r="H137" s="48" t="str">
        <f t="shared" si="27"/>
        <v/>
      </c>
      <c r="I137" s="48" t="str">
        <f t="shared" si="27"/>
        <v/>
      </c>
      <c r="J137" s="48" t="str">
        <f t="shared" si="27"/>
        <v/>
      </c>
      <c r="K137" s="48"/>
    </row>
    <row r="138" spans="1:35" s="44" customFormat="1" x14ac:dyDescent="0.4">
      <c r="B138" s="90" t="s">
        <v>649</v>
      </c>
      <c r="C138" s="44" t="s">
        <v>651</v>
      </c>
      <c r="E138" s="48" t="e">
        <f>IF(ISNUMBER(E105),IF((E137-MAX(E133,0))&gt;0,E137-MAX(E133,0),0),"")</f>
        <v>#DIV/0!</v>
      </c>
      <c r="F138" s="48" t="e">
        <f t="shared" ref="F138:G138" si="28">IF(ISNUMBER(F105),IF((F137-MAX(F133,0))&gt;0,F137-MAX(F133,0),0),"")</f>
        <v>#DIV/0!</v>
      </c>
      <c r="G138" s="48" t="str">
        <f t="shared" si="28"/>
        <v/>
      </c>
      <c r="H138" s="48" t="str">
        <f t="shared" ref="H138:J138" si="29">IF(ISNUMBER(H105),IF((H137-MAX(H131,0))&gt;0,H137-MAX(H131,0),0),"")</f>
        <v/>
      </c>
      <c r="I138" s="48" t="str">
        <f t="shared" si="29"/>
        <v/>
      </c>
      <c r="J138" s="48" t="str">
        <f t="shared" si="29"/>
        <v/>
      </c>
      <c r="K138" s="48"/>
    </row>
    <row r="139" spans="1:35" s="44" customFormat="1" x14ac:dyDescent="0.4">
      <c r="B139" s="90" t="s">
        <v>250</v>
      </c>
      <c r="C139" s="44" t="s">
        <v>651</v>
      </c>
      <c r="D139" s="48"/>
      <c r="E139" s="48" t="e">
        <f>IF(ISNUMBER(E105),IF(OR(E136="",ISNA(E136)),"",ABS(MIN(E136,0))),"")</f>
        <v>#DIV/0!</v>
      </c>
      <c r="F139" s="48" t="e">
        <f t="shared" ref="F139:J139" si="30">IF(ISNUMBER(F105),IF(OR(F136="",ISNA(F136)),"",ABS(MIN(F136,0))),"")</f>
        <v>#DIV/0!</v>
      </c>
      <c r="G139" s="48" t="str">
        <f t="shared" si="30"/>
        <v/>
      </c>
      <c r="H139" s="48" t="str">
        <f t="shared" si="30"/>
        <v/>
      </c>
      <c r="I139" s="48" t="str">
        <f t="shared" si="30"/>
        <v/>
      </c>
      <c r="J139" s="48" t="str">
        <f t="shared" si="30"/>
        <v/>
      </c>
      <c r="K139" s="48"/>
    </row>
    <row r="140" spans="1:35" s="44" customFormat="1" x14ac:dyDescent="0.4">
      <c r="B140" s="55" t="s">
        <v>653</v>
      </c>
      <c r="C140" s="44" t="s">
        <v>651</v>
      </c>
      <c r="E140" s="48" t="e">
        <f>IF(ISNUMBER(E105),IF(E145=FALSE,E137-E139,IF(E146=TRUE,E138-E139,E139)),"")</f>
        <v>#DIV/0!</v>
      </c>
      <c r="F140" s="48" t="e">
        <f t="shared" ref="F140:J140" si="31">IF(ISNUMBER(F105),IF(F145=FALSE,F137-F139,IF(F146=TRUE,F138-F139,F139)),"")</f>
        <v>#DIV/0!</v>
      </c>
      <c r="G140" s="48" t="str">
        <f t="shared" si="31"/>
        <v/>
      </c>
      <c r="H140" s="48" t="str">
        <f t="shared" si="31"/>
        <v/>
      </c>
      <c r="I140" s="48" t="str">
        <f t="shared" si="31"/>
        <v/>
      </c>
      <c r="J140" s="48" t="str">
        <f t="shared" si="31"/>
        <v/>
      </c>
      <c r="K140" s="48"/>
    </row>
    <row r="141" spans="1:35" s="44" customFormat="1" x14ac:dyDescent="0.4">
      <c r="B141" s="55" t="s">
        <v>697</v>
      </c>
      <c r="C141" s="44" t="s">
        <v>651</v>
      </c>
      <c r="E141" s="48" t="e">
        <f>IF(ISNUMBER(E105),E140+IF(ISNUMBER(D105),D141,0),"")</f>
        <v>#DIV/0!</v>
      </c>
      <c r="F141" s="48" t="e">
        <f>IF(ISNUMBER(F105),F140+IF(ISNUMBER(E105),E141,0),"")</f>
        <v>#DIV/0!</v>
      </c>
      <c r="G141" s="48" t="str">
        <f>IF(ISNUMBER(G105),G140+IF(ISNUMBER(F105),F141,0),"")</f>
        <v/>
      </c>
      <c r="H141" s="48" t="str">
        <f t="shared" ref="H141:J141" si="32">IF(ISNUMBER(H105),H140+IF(ISNUMBER(G105),G141,0),"")</f>
        <v/>
      </c>
      <c r="I141" s="48" t="str">
        <f t="shared" si="32"/>
        <v/>
      </c>
      <c r="J141" s="48" t="str">
        <f t="shared" si="32"/>
        <v/>
      </c>
      <c r="K141" s="48"/>
    </row>
    <row r="142" spans="1:35" x14ac:dyDescent="0.4">
      <c r="A142" s="3"/>
      <c r="B142" s="5" t="s">
        <v>653</v>
      </c>
      <c r="C142" t="s">
        <v>603</v>
      </c>
      <c r="D142"/>
      <c r="E142" s="4" t="e">
        <f>IF(ISNUMBER(E105),E140/E123*100,"")</f>
        <v>#DIV/0!</v>
      </c>
      <c r="F142" s="4" t="e">
        <f t="shared" ref="F142:J142" si="33">IF(ISNUMBER(F105),F140/F123*100,"")</f>
        <v>#DIV/0!</v>
      </c>
      <c r="G142" s="4" t="str">
        <f t="shared" si="33"/>
        <v/>
      </c>
      <c r="H142" s="4" t="str">
        <f t="shared" si="33"/>
        <v/>
      </c>
      <c r="I142" s="4" t="str">
        <f t="shared" si="33"/>
        <v/>
      </c>
      <c r="J142" s="4" t="str">
        <f t="shared" si="33"/>
        <v/>
      </c>
      <c r="K142" s="4"/>
      <c r="L142"/>
      <c r="M142"/>
      <c r="N142"/>
      <c r="O142"/>
      <c r="P142"/>
      <c r="Q142"/>
      <c r="R142" s="71"/>
      <c r="S142" s="71"/>
      <c r="T142" s="71"/>
      <c r="U142" s="71"/>
      <c r="V142" s="71"/>
      <c r="W142" s="71"/>
      <c r="X142" s="71"/>
      <c r="Y142" s="71"/>
      <c r="Z142" s="71"/>
      <c r="AA142" s="71"/>
      <c r="AB142" s="71"/>
      <c r="AC142" s="71"/>
      <c r="AD142" s="71"/>
      <c r="AE142" s="71"/>
      <c r="AF142" s="71"/>
      <c r="AG142" s="71"/>
      <c r="AH142" s="71"/>
      <c r="AI142" s="71"/>
    </row>
    <row r="143" spans="1:35" x14ac:dyDescent="0.4">
      <c r="A143" s="3"/>
      <c r="B143" s="5" t="s">
        <v>936</v>
      </c>
      <c r="C143" t="s">
        <v>603</v>
      </c>
      <c r="D143"/>
      <c r="E143" s="4" t="e">
        <f>IF(ISNUMBER(E105),E141/E$123*100,"")</f>
        <v>#DIV/0!</v>
      </c>
      <c r="F143" s="4" t="e">
        <f t="shared" ref="F143:J143" si="34">IF(ISNUMBER(F105),F141/F$123*100,"")</f>
        <v>#DIV/0!</v>
      </c>
      <c r="G143" s="4" t="str">
        <f t="shared" si="34"/>
        <v/>
      </c>
      <c r="H143" s="4" t="str">
        <f t="shared" si="34"/>
        <v/>
      </c>
      <c r="I143" s="4" t="str">
        <f t="shared" si="34"/>
        <v/>
      </c>
      <c r="J143" s="4" t="str">
        <f t="shared" si="34"/>
        <v/>
      </c>
      <c r="K143" s="4"/>
      <c r="L143"/>
      <c r="M143"/>
      <c r="N143"/>
      <c r="O143"/>
      <c r="P143"/>
      <c r="Q143"/>
      <c r="R143" s="71"/>
      <c r="S143" s="71"/>
      <c r="T143" s="71"/>
      <c r="U143" s="71"/>
      <c r="V143" s="71"/>
      <c r="W143" s="71"/>
      <c r="X143" s="71"/>
      <c r="Y143" s="71"/>
      <c r="Z143" s="71"/>
      <c r="AA143" s="71"/>
      <c r="AB143" s="71"/>
      <c r="AC143" s="71"/>
      <c r="AD143" s="71"/>
      <c r="AE143" s="71"/>
      <c r="AF143" s="71"/>
      <c r="AG143" s="71"/>
      <c r="AH143" s="71"/>
      <c r="AI143" s="71"/>
    </row>
    <row r="144" spans="1:35" x14ac:dyDescent="0.4">
      <c r="A144" s="3"/>
      <c r="B144" s="5" t="s">
        <v>937</v>
      </c>
      <c r="C144"/>
      <c r="D144"/>
      <c r="E144" s="4" t="e">
        <f>IF(ISNUMBER(E105),E126-E134,"")</f>
        <v>#DIV/0!</v>
      </c>
      <c r="F144" s="4" t="e">
        <f t="shared" ref="F144:J144" si="35">IF(ISNUMBER(F105),F126-F134,"")</f>
        <v>#DIV/0!</v>
      </c>
      <c r="G144" s="4" t="str">
        <f t="shared" si="35"/>
        <v/>
      </c>
      <c r="H144" s="4" t="str">
        <f t="shared" si="35"/>
        <v/>
      </c>
      <c r="I144" s="4" t="str">
        <f t="shared" si="35"/>
        <v/>
      </c>
      <c r="J144" s="4" t="str">
        <f t="shared" si="35"/>
        <v/>
      </c>
      <c r="K144" s="4"/>
      <c r="L144"/>
      <c r="M144"/>
      <c r="N144"/>
      <c r="O144"/>
      <c r="P144"/>
      <c r="Q144"/>
      <c r="R144" s="71"/>
      <c r="S144" s="71"/>
      <c r="T144" s="71"/>
      <c r="U144" s="71"/>
      <c r="V144" s="71"/>
      <c r="W144" s="71"/>
      <c r="X144" s="71"/>
      <c r="Y144" s="71"/>
      <c r="Z144" s="71"/>
      <c r="AA144" s="71"/>
      <c r="AB144" s="71"/>
      <c r="AC144" s="71"/>
      <c r="AD144" s="71"/>
      <c r="AE144" s="71"/>
      <c r="AF144" s="71"/>
      <c r="AG144" s="71"/>
      <c r="AH144" s="71"/>
      <c r="AI144" s="71"/>
    </row>
    <row r="145" spans="1:35" x14ac:dyDescent="0.4">
      <c r="B145" s="55" t="str">
        <f>'Step 1 - Set global parameters'!A21</f>
        <v>Years for which an escape clause has been activated</v>
      </c>
      <c r="C145" s="44"/>
      <c r="D145" s="148"/>
      <c r="E145" s="148" t="b">
        <f>'Step 1 - Set global parameters'!B21</f>
        <v>0</v>
      </c>
      <c r="F145" s="148" t="b">
        <f>'Step 1 - Set global parameters'!C21</f>
        <v>0</v>
      </c>
      <c r="G145" s="148" t="b">
        <f>'Step 1 - Set global parameters'!D21</f>
        <v>0</v>
      </c>
      <c r="H145" s="148" t="b">
        <f>'Step 1 - Set global parameters'!E21</f>
        <v>0</v>
      </c>
      <c r="I145" s="148" t="b">
        <f>'Step 1 - Set global parameters'!F21</f>
        <v>0</v>
      </c>
      <c r="J145" s="148" t="b">
        <f>'Step 1 - Set global parameters'!G21</f>
        <v>0</v>
      </c>
      <c r="K145" s="148"/>
      <c r="L145" s="95"/>
      <c r="M145" s="95"/>
      <c r="N145" s="95"/>
      <c r="O145" s="95"/>
      <c r="P145" s="95"/>
      <c r="Q145" s="95"/>
      <c r="R145" s="58"/>
      <c r="S145" s="58"/>
    </row>
    <row r="146" spans="1:35" x14ac:dyDescent="0.4">
      <c r="B146" s="55" t="s">
        <v>638</v>
      </c>
      <c r="C146" s="44"/>
      <c r="D146" s="95"/>
      <c r="E146" s="148" t="e">
        <f>IF('Step 1 - Set global parameters'!B21,IF('Step 1 - Set global parameters'!B23="Defence", TRUE, FALSE),NA())</f>
        <v>#N/A</v>
      </c>
      <c r="F146" s="148" t="e">
        <f>IF('Step 1 - Set global parameters'!C21,IF('Step 1 - Set global parameters'!C23="Defence", TRUE, FALSE),NA())</f>
        <v>#N/A</v>
      </c>
      <c r="G146" s="148" t="e">
        <f>IF('Step 1 - Set global parameters'!D21,IF('Step 1 - Set global parameters'!D23="Defence", TRUE, FALSE),NA())</f>
        <v>#N/A</v>
      </c>
      <c r="H146" s="148" t="e">
        <f>IF('Step 1 - Set global parameters'!E21,IF('Step 1 - Set global parameters'!E23="Defence", TRUE, FALSE),NA())</f>
        <v>#N/A</v>
      </c>
      <c r="I146" s="148" t="e">
        <f>IF('Step 1 - Set global parameters'!F21,IF('Step 1 - Set global parameters'!F23="Defence", TRUE, FALSE),NA())</f>
        <v>#N/A</v>
      </c>
      <c r="J146" s="148" t="e">
        <f>IF('Step 1 - Set global parameters'!G21,IF('Step 1 - Set global parameters'!G23="Defence", TRUE, FALSE),NA())</f>
        <v>#N/A</v>
      </c>
      <c r="K146" s="148"/>
      <c r="L146" s="148"/>
      <c r="M146" s="148"/>
      <c r="N146" s="95"/>
      <c r="O146" s="95"/>
      <c r="P146" s="95"/>
      <c r="Q146" s="95"/>
      <c r="R146" s="58"/>
      <c r="S146" s="58"/>
    </row>
    <row r="147" spans="1:35" x14ac:dyDescent="0.4">
      <c r="B147" s="55" t="s">
        <v>934</v>
      </c>
      <c r="C147" s="44" t="s">
        <v>603</v>
      </c>
      <c r="D147" s="95"/>
      <c r="E147" s="148" t="e">
        <f>IF('Step 1 - Set global parameters'!B21,'Step 1 - Set global parameters'!B24,NA())</f>
        <v>#N/A</v>
      </c>
      <c r="F147" s="148" t="e">
        <f>IF('Step 1 - Set global parameters'!C21,'Step 1 - Set global parameters'!C24,NA())</f>
        <v>#N/A</v>
      </c>
      <c r="G147" s="148" t="e">
        <f>IF('Step 1 - Set global parameters'!D21,'Step 1 - Set global parameters'!D24,NA())</f>
        <v>#N/A</v>
      </c>
      <c r="H147" s="148" t="e">
        <f>IF('Step 1 - Set global parameters'!E21,'Step 1 - Set global parameters'!E24,NA())</f>
        <v>#N/A</v>
      </c>
      <c r="I147" s="148" t="e">
        <f>IF('Step 1 - Set global parameters'!F21,'Step 1 - Set global parameters'!F24,NA())</f>
        <v>#N/A</v>
      </c>
      <c r="J147" s="148" t="e">
        <f>IF('Step 1 - Set global parameters'!G21,'Step 1 - Set global parameters'!G24,NA())</f>
        <v>#N/A</v>
      </c>
      <c r="K147" s="148"/>
      <c r="L147" s="148"/>
      <c r="M147" s="148"/>
      <c r="N147" s="95"/>
      <c r="O147" s="95"/>
      <c r="P147" s="95"/>
      <c r="Q147" s="95"/>
      <c r="R147" s="58"/>
      <c r="S147" s="58"/>
    </row>
    <row r="148" spans="1:35" x14ac:dyDescent="0.4">
      <c r="B148" t="s">
        <v>471</v>
      </c>
      <c r="C148" s="37"/>
      <c r="D148" s="76"/>
      <c r="E148" s="76"/>
      <c r="F148" s="76" t="e">
        <f>F142 &gt; 0.3</f>
        <v>#DIV/0!</v>
      </c>
      <c r="G148" s="76" t="b">
        <f>G142 &gt; 0.3</f>
        <v>1</v>
      </c>
      <c r="H148" s="76" t="b">
        <f>H142 &gt; 0.3</f>
        <v>1</v>
      </c>
      <c r="I148" s="76" t="b">
        <f>I142 &gt; 0.3</f>
        <v>1</v>
      </c>
      <c r="J148" s="76" t="b">
        <f>J142 &gt; 0.3</f>
        <v>1</v>
      </c>
      <c r="K148" s="76"/>
      <c r="L148" s="76"/>
      <c r="M148" s="37"/>
      <c r="N148" s="37"/>
      <c r="O148" s="71"/>
      <c r="P148" s="71"/>
      <c r="Q148" s="71"/>
      <c r="R148" s="71"/>
      <c r="S148" s="71"/>
      <c r="T148" s="71"/>
      <c r="U148" s="71"/>
      <c r="V148" s="71"/>
      <c r="W148" s="71"/>
      <c r="X148" s="71"/>
      <c r="Y148" s="71"/>
      <c r="Z148" s="71"/>
      <c r="AA148" s="71"/>
      <c r="AB148" s="71"/>
      <c r="AC148" s="71"/>
      <c r="AD148" s="71"/>
      <c r="AE148" s="71"/>
      <c r="AF148" s="71"/>
      <c r="AG148" s="71"/>
      <c r="AH148" s="71"/>
      <c r="AI148" s="71"/>
    </row>
    <row r="149" spans="1:35" x14ac:dyDescent="0.4">
      <c r="B149" s="7" t="s">
        <v>472</v>
      </c>
      <c r="C149" s="93"/>
      <c r="D149" s="120"/>
      <c r="E149" s="119"/>
      <c r="F149" s="119" t="e">
        <f>IF(F143 &gt; 0.6, TRUE, FALSE)</f>
        <v>#DIV/0!</v>
      </c>
      <c r="G149" s="119" t="b">
        <f>IF(G143 &gt; 0.6, TRUE, FALSE)</f>
        <v>1</v>
      </c>
      <c r="H149" s="119" t="b">
        <f>IF(H143 &gt; 0.6, TRUE, FALSE)</f>
        <v>1</v>
      </c>
      <c r="I149" s="119" t="b">
        <f>IF(I143 &gt; 0.6, TRUE, FALSE)</f>
        <v>1</v>
      </c>
      <c r="J149" s="119" t="b">
        <f>IF(J143 &gt; 0.6, TRUE, FALSE)</f>
        <v>1</v>
      </c>
      <c r="K149" s="119"/>
      <c r="L149" s="119"/>
      <c r="M149" s="37"/>
      <c r="N149" s="37"/>
      <c r="O149" s="71"/>
      <c r="P149" s="71"/>
      <c r="Q149" s="71"/>
      <c r="R149" s="71"/>
      <c r="S149" s="71"/>
      <c r="T149" s="71"/>
      <c r="U149" s="71"/>
      <c r="V149" s="71"/>
      <c r="W149" s="71"/>
      <c r="X149" s="71"/>
      <c r="Y149" s="71"/>
      <c r="Z149" s="71"/>
      <c r="AA149" s="71"/>
      <c r="AB149" s="71"/>
      <c r="AC149" s="71"/>
      <c r="AD149" s="71"/>
      <c r="AE149" s="71"/>
      <c r="AF149" s="71"/>
      <c r="AG149" s="71"/>
      <c r="AH149" s="71"/>
      <c r="AI149" s="71"/>
    </row>
    <row r="150" spans="1:35" x14ac:dyDescent="0.4">
      <c r="A150" s="3"/>
      <c r="B150" s="5"/>
      <c r="D150"/>
      <c r="E150" s="4"/>
      <c r="F150" s="4"/>
      <c r="G150" s="4"/>
      <c r="H150" s="4"/>
      <c r="I150" s="4"/>
      <c r="J150"/>
      <c r="K150"/>
      <c r="L150"/>
      <c r="M150"/>
      <c r="N150"/>
      <c r="O150"/>
      <c r="P150"/>
      <c r="Q150"/>
      <c r="R150" s="71"/>
      <c r="S150" s="71"/>
      <c r="T150" s="71"/>
      <c r="U150" s="71"/>
      <c r="V150" s="71"/>
      <c r="W150" s="71"/>
      <c r="X150" s="71"/>
      <c r="Y150" s="71"/>
      <c r="Z150" s="71"/>
      <c r="AA150" s="71"/>
      <c r="AB150" s="71"/>
      <c r="AC150" s="71"/>
      <c r="AD150" s="71"/>
      <c r="AE150" s="71"/>
      <c r="AF150" s="71"/>
      <c r="AG150" s="71"/>
      <c r="AH150" s="71"/>
      <c r="AI150" s="71"/>
    </row>
    <row r="151" spans="1:35" x14ac:dyDescent="0.4">
      <c r="B151" s="46" t="s">
        <v>654</v>
      </c>
      <c r="C151" s="46" t="e">
        <f>MAX(INDEX(142:142,_xlfn.XMATCH(MTP_YearT,105:105,0)):INDEX(142:142,_xlfn.XMATCH(AssessmentEnd,105:105,0)))&gt;0.3</f>
        <v>#DIV/0!</v>
      </c>
      <c r="D151" s="58"/>
      <c r="E151" s="58"/>
      <c r="F151" s="58"/>
      <c r="G151" s="58"/>
      <c r="H151" s="58"/>
      <c r="I151" s="58"/>
      <c r="J151" s="58"/>
      <c r="K151" s="58"/>
      <c r="L151" s="58"/>
      <c r="M151" s="58"/>
      <c r="N151" s="58"/>
      <c r="O151" s="58"/>
      <c r="P151" s="58"/>
      <c r="Q151" s="58"/>
      <c r="R151" s="58"/>
      <c r="S151" s="58"/>
      <c r="T151" s="58"/>
    </row>
    <row r="152" spans="1:35" x14ac:dyDescent="0.4">
      <c r="B152" s="46" t="s">
        <v>661</v>
      </c>
      <c r="C152" s="46" t="e">
        <f>MAX(INDEX(143:143,_xlfn.XMATCH(MTP_YearT,105:105,0)):INDEX(143:143,_xlfn.XMATCH(AssessmentEnd,105:105,0)))&gt;0.6</f>
        <v>#DIV/0!</v>
      </c>
      <c r="D152" s="58"/>
      <c r="E152" s="58"/>
      <c r="F152" s="58"/>
      <c r="G152" s="58"/>
      <c r="H152" s="58"/>
      <c r="I152" s="58"/>
      <c r="J152" s="58"/>
      <c r="K152" s="58"/>
      <c r="L152" s="58"/>
      <c r="M152" s="58"/>
      <c r="N152" s="58"/>
      <c r="O152" s="58"/>
      <c r="P152" s="58"/>
      <c r="Q152" s="58"/>
      <c r="R152" s="58"/>
      <c r="S152" s="58"/>
      <c r="T152" s="58"/>
    </row>
    <row r="153" spans="1:35" x14ac:dyDescent="0.4">
      <c r="B153" s="46" t="s">
        <v>655</v>
      </c>
      <c r="C153" s="46" t="e">
        <f>MAX(INDEX(142:142,_xlfn.XMATCH(MTP_YearT,105:105,0)):INDEX(142:142,_xlfn.XMATCH(OutturnThrough,105:105,0)))&gt;0.3</f>
        <v>#DIV/0!</v>
      </c>
      <c r="D153" s="58"/>
      <c r="E153" s="58"/>
      <c r="F153" s="58"/>
      <c r="G153" s="58"/>
      <c r="H153" s="58"/>
      <c r="I153" s="58"/>
      <c r="J153" s="58"/>
      <c r="K153" s="58"/>
      <c r="L153" s="58"/>
      <c r="M153" s="58"/>
      <c r="N153" s="58"/>
      <c r="O153" s="58"/>
      <c r="P153" s="58"/>
      <c r="Q153" s="58"/>
      <c r="R153" s="58"/>
      <c r="S153" s="58"/>
      <c r="T153" s="58"/>
    </row>
    <row r="154" spans="1:35" x14ac:dyDescent="0.4">
      <c r="B154" s="46" t="s">
        <v>662</v>
      </c>
      <c r="C154" s="46" t="e">
        <f>MAX(INDEX(143:143,_xlfn.XMATCH(MTP_YearT,105:105,0)):INDEX(143:143,_xlfn.XMATCH(OutturnThrough,105:105,0)))&gt;0.6</f>
        <v>#DIV/0!</v>
      </c>
      <c r="D154" s="58"/>
      <c r="E154" s="58"/>
      <c r="F154" s="58"/>
      <c r="G154" s="58"/>
      <c r="H154" s="58"/>
      <c r="I154" s="58"/>
      <c r="J154" s="58"/>
      <c r="K154" s="58"/>
      <c r="L154" s="58"/>
      <c r="M154" s="58"/>
      <c r="N154" s="58"/>
      <c r="O154" s="58"/>
      <c r="P154" s="58"/>
      <c r="Q154" s="58"/>
      <c r="R154" s="58"/>
      <c r="S154" s="58"/>
      <c r="T154" s="58"/>
    </row>
    <row r="155" spans="1:35" x14ac:dyDescent="0.4">
      <c r="B155" s="46" t="s">
        <v>657</v>
      </c>
      <c r="C155" s="46" t="e" cm="1">
        <f t="array" ref="C155">IF(SUMPRODUCT((INDEX(145:145,_xlfn.XMATCH(MTP_YearT,105:105,0)+_xlfn.SEQUENCE(1,AssessmentEnd-MTP_YearT+1)-1)=TRUE)*1)=0,NA(),ISNUMBER(MATCH(TRUE,IF(INDEX(145:145,_xlfn.XMATCH(MTP_YearT,105:105,0)+_xlfn.SEQUENCE(1,AssessmentEnd-MTP_YearT+1)-1)=TRUE,INDEX(143:143,_xlfn.XMATCH(MTP_YearT,105:105,0)+_xlfn.SEQUENCE(1,AssessmentEnd-MTP_YearT+1)-1)&gt;INDEX(147:147,_xlfn.XMATCH(MTP_YearT,105:105,0)+_xlfn.SEQUENCE(1,AssessmentEnd-MTP_YearT+1)-1),FALSE),0)))</f>
        <v>#N/A</v>
      </c>
      <c r="D155" s="58"/>
      <c r="E155" s="58"/>
      <c r="F155" s="58"/>
      <c r="G155" s="58"/>
      <c r="H155" s="58"/>
      <c r="I155" s="58"/>
      <c r="J155" s="58"/>
      <c r="K155" s="58"/>
      <c r="L155" s="58"/>
      <c r="M155" s="58"/>
      <c r="N155" s="58"/>
      <c r="O155" s="58"/>
      <c r="P155" s="58"/>
      <c r="Q155" s="58"/>
      <c r="R155" s="58"/>
      <c r="S155" s="58"/>
      <c r="T155" s="58"/>
    </row>
    <row r="156" spans="1:35" x14ac:dyDescent="0.4">
      <c r="B156" s="46" t="s">
        <v>658</v>
      </c>
      <c r="C156" s="46" t="e" cm="1">
        <f t="array" ref="C156">IF(SUMPRODUCT((INDEX(145:145,_xlfn.XMATCH(MTP_YearT,105:105,0)+_xlfn.SEQUENCE(1,OutturnThrough-MTP_YearT+1)-1)=TRUE)*1)=0,NA(),ISNUMBER(MATCH(TRUE,IF(INDEX(145:145,_xlfn.XMATCH(MTP_YearT,105:105,0)+_xlfn.SEQUENCE(1,OutturnThrough-MTP_YearT+1)-1)=TRUE,INDEX(125:125,_xlfn.XMATCH(MTP_YearT,105:105,0)+_xlfn.SEQUENCE(1,OutturnThrough-MTP_YearT+1)-1)&gt;INDEX(147:147,_xlfn.XMATCH(MTP_YearT,105:105,0)+_xlfn.SEQUENCE(1,OutturnThrough-MTP_YearT+1)-1),FALSE),0)))</f>
        <v>#N/A</v>
      </c>
      <c r="D156" s="58"/>
      <c r="E156" s="58"/>
      <c r="F156" s="58"/>
      <c r="G156" s="58"/>
      <c r="H156" s="58"/>
      <c r="I156" s="58"/>
      <c r="J156" s="58"/>
      <c r="K156" s="58"/>
      <c r="L156" s="58"/>
      <c r="M156" s="58"/>
      <c r="N156" s="58"/>
      <c r="O156" s="58"/>
      <c r="P156" s="58"/>
      <c r="Q156" s="58"/>
      <c r="R156" s="58"/>
      <c r="S156" s="58"/>
      <c r="T156" s="58"/>
    </row>
    <row r="157" spans="1:35" x14ac:dyDescent="0.4">
      <c r="B157" s="46" t="s">
        <v>694</v>
      </c>
      <c r="C157" s="46" t="e" cm="1">
        <f t="array" ref="C157">IF(SUMPRODUCT(((INDEX(142:142,_xlfn.XMATCH(MTP_YearT,105:105,0)+_xlfn.SEQUENCE(1,AssessmentEnd-MTP_YearT+1)-1)&gt;0.3)+(INDEX(143:143,_xlfn.XMATCH(MTP_YearT,105:105,0)+_xlfn.SEQUENCE(1,AssessmentEnd-MTP_YearT+1)-1)&gt;0.6))*1)=0,FALSE,SUMPRODUCT(((INDEX(142:142,_xlfn.XMATCH(MTP_YearT,105:105,0)+_xlfn.SEQUENCE(1,AssessmentEnd-MTP_YearT+1)-1)&gt;0.3)+(INDEX(143:143,_xlfn.XMATCH(MTP_YearT,105:105,0)+_xlfn.SEQUENCE(1,AssessmentEnd-MTP_YearT+1)-1)&gt;0.6))*(INDEX(145:145,_xlfn.XMATCH(MTP_YearT,105:105,0)+_xlfn.SEQUENCE(1,AssessmentEnd-MTP_YearT+1)-1)=TRUE)*1)=SUMPRODUCT(((INDEX(142:142,_xlfn.XMATCH(MTP_YearT,105:105,0)+_xlfn.SEQUENCE(1,AssessmentEnd-MTP_YearT+1)-1)&gt;0.3)+(INDEX(143:143,_xlfn.XMATCH(MTP_YearT,105:105,0)+_xlfn.SEQUENCE(1,AssessmentEnd-MTP_YearT+1)-1)&gt;0.6))*1))</f>
        <v>#DIV/0!</v>
      </c>
      <c r="D157" s="58"/>
      <c r="E157" s="58"/>
      <c r="F157" s="58"/>
      <c r="G157" s="58"/>
      <c r="H157" s="58"/>
      <c r="I157" s="58"/>
      <c r="J157" s="58"/>
      <c r="K157" s="58"/>
      <c r="L157" s="58"/>
      <c r="M157" s="58"/>
      <c r="N157" s="58"/>
      <c r="O157" s="58"/>
      <c r="P157" s="58"/>
      <c r="Q157" s="58"/>
      <c r="R157" s="58"/>
      <c r="S157" s="58"/>
      <c r="T157" s="58"/>
    </row>
    <row r="158" spans="1:35" x14ac:dyDescent="0.4">
      <c r="B158" s="46" t="s">
        <v>695</v>
      </c>
      <c r="C158" s="46" t="e" cm="1">
        <f t="array" ref="C158">IF(SUMPRODUCT(((INDEX(142:142,_xlfn.XMATCH(MTP_YearT,105:105,0)+_xlfn.SEQUENCE(1,AssessmentEnd-MTP_YearT+1)-1)&gt;0.3)+(INDEX(143:143,_xlfn.XMATCH(MTP_YearT,105:105,0)+_xlfn.SEQUENCE(1,AssessmentEnd-MTP_YearT+1)-1)&gt;0.6))*(IFERROR(INDEX(146:146,_xlfn.XMATCH(MTP_YearT,105:105,0)+_xlfn.SEQUENCE(1,AssessmentEnd-MTP_YearT+1)-1)=TRUE,FALSE))*1)&gt;0,TRUE,FALSE)</f>
        <v>#DIV/0!</v>
      </c>
      <c r="D158" s="58"/>
      <c r="E158" s="58"/>
      <c r="F158" s="58"/>
      <c r="G158" s="58"/>
      <c r="H158" s="58"/>
      <c r="I158" s="58"/>
      <c r="J158" s="58"/>
      <c r="K158" s="58"/>
      <c r="L158" s="58"/>
      <c r="M158" s="58"/>
      <c r="N158" s="58"/>
      <c r="O158" s="58"/>
      <c r="P158" s="58"/>
      <c r="Q158" s="58"/>
      <c r="R158" s="58"/>
      <c r="S158" s="58"/>
      <c r="T158" s="58"/>
    </row>
    <row r="159" spans="1:35" x14ac:dyDescent="0.4">
      <c r="B159" s="46" t="s">
        <v>962</v>
      </c>
      <c r="C159" s="46" t="str">
        <f>IF(
  AssessmentRound="New or revised MTP",
  "N/A",
  IF(
    OR(IF(ISNA(Assessment!C155),FALSE,Assessment!C155),
       IF(ISNA(Assessment!C156),FALSE,Assessment!C156)),
    "Breach",
    IF(
      AND(OR(Assessment!C153,Assessment!C154),
          NOT(Assessment!C157)),
      "Breach",
      IF(
        AND(OR(Assessment!C151,Assessment!C152),
            NOT(Assessment!C157)),
        "At risk",
        "Compliant"
      )
    )
  )
)</f>
        <v>N/A</v>
      </c>
      <c r="D159" s="58"/>
      <c r="E159" s="58"/>
      <c r="F159" s="58"/>
      <c r="G159" s="58"/>
      <c r="H159" s="58"/>
      <c r="I159" s="58"/>
      <c r="J159" s="58"/>
      <c r="K159" s="58"/>
      <c r="L159" s="58"/>
      <c r="M159" s="58"/>
      <c r="N159" s="58"/>
      <c r="O159" s="58"/>
      <c r="P159" s="58"/>
      <c r="Q159" s="58"/>
      <c r="R159" s="58"/>
      <c r="S159" s="58"/>
      <c r="T159" s="58"/>
    </row>
    <row r="160" spans="1:35" x14ac:dyDescent="0.4">
      <c r="B160" s="46"/>
      <c r="C160" s="44"/>
      <c r="D160" s="58"/>
      <c r="E160" s="58"/>
      <c r="F160" s="58"/>
      <c r="G160" s="58"/>
      <c r="H160" s="58"/>
      <c r="I160" s="58"/>
      <c r="J160" s="58"/>
      <c r="K160" s="58"/>
      <c r="L160" s="58"/>
      <c r="M160" s="58"/>
      <c r="N160" s="58"/>
      <c r="O160" s="58"/>
      <c r="P160" s="58"/>
      <c r="Q160" s="58"/>
      <c r="R160" s="58"/>
      <c r="S160" s="58"/>
      <c r="T160" s="58"/>
    </row>
    <row r="161" spans="2:35" x14ac:dyDescent="0.4">
      <c r="B161" s="14" t="s">
        <v>266</v>
      </c>
      <c r="C161" s="102" t="e">
        <f>_xlfn.LET(
  _xlpm.bal, INDEX(143:143, MATCH(AssessmentEnd,105:105,0)),
  _xlpm.balText,
    IF(_xlpm.bal&gt;0,
       "a debit (overspend) of " &amp; TEXT(_xlpm.bal,"0.0"),
       IF(_xlpm.bal&lt;0,
          "a credit (underspend) of " &amp; TEXT(-_xlpm.bal,"0.0"),
          "zero"
       )
    ),
  _xlpm.annOut, C153,
  _xlpm.cumOut, C154,
  _xlpm.threshOut, IF(ISNA(C156), FALSE, C156),
  _xlpm.threshPlan, IF(ISNA(C155), FALSE, AND(C155, NOT(_xlpm.threshOut))),
  _xlpm.escClause, C157,
  _xlpm.defenceClause, C158,
  _xlpm.annPlan, AND(C151, NOT(C153)),
  _xlpm.cumPlan, AND(C152, NOT(C154)),
  _xlpm.anyExcess, OR(_xlpm.annPlan, _xlpm.cumPlan),
  _xlpm.escYears, IF(_xlpm.escClause, "all years where deviations exceed the limits", "some but not all years where deviations exceed the limits"),
  _xlpm.outturnSentence,
    IF(AND(_xlpm.annOut, _xlpm.cumOut),
       "Observed annual and cumulative deviations exceed the respective 0.3 and 0.6 percentage points of GDP limits.",
       IF(AND(_xlpm.annOut, NOT(_xlpm.cumOut)),
          "Observed annual deviations exceed the 0.3 percentage points of GDP limit, though cumulative deviations remain within the 0.6 percentage point limit.",
          IF(AND(NOT(_xlpm.annOut), _xlpm.cumOut),
             "Observed cumulative deviations exceed the 0.6 percentage points of GDP limit, though annual deviations remain within the 0.3 percentage point limit.",
             "Observed annual and cumulative deviations do not exceed the respective 0.3 and 0.6 percentage points of GDP limits."
          )
       )
    ),
  _xlpm.plannedSentence,
    IF(AND(_xlpm.annPlan, _xlpm.cumPlan),
       " However, planned annual and cumulative deviations exceed the respective limits.",
       IF(AND(_xlpm.annPlan, NOT(_xlpm.cumPlan)),
          " However, planned annual deviations exceed the 0.3 percentage point limit.",
          IF(AND(NOT(_xlpm.annPlan), _xlpm.cumPlan),
             " However, planned cumulative deviations exceed the 0.6 percentage point limit.",
             ""
          )
       )
    ),
  _xlpm.escapeSentence,
    IF(AND(_xlpm.anyExcess, OR(_xlpm.escClause, NOT(_xlpm.escClause))),
       IF(_xlpm.escClause,
          IF(_xlpm.defenceClause,
             IF(AND(_xlpm.threshOut, _xlpm.threshPlan),
                " An escape clause is active in " &amp; _xlpm.escYears &amp; ". As this is a defence-related escape clause, annual caps apply; observed and planned deviations exceed this cap.",
                IF(_xlpm.threshOut,
                   " An escape clause is active in " &amp; _xlpm.escYears &amp; ". As this is a defence-related escape clause, annual caps apply; observed deviations do not exceed this cap.",
                   IF(_xlpm.threshPlan,
                      " An escape clause is active in " &amp; _xlpm.escYears &amp; ". As this is a defence-related escape clause, annual caps apply; planned deviations exceed these caps.",
                      " An escape clause is active in " &amp; _xlpm.escYears &amp; ". As this is a defence-related escape clause, annual caps apply; deviations do not exceed these caps."
                   )
                )
             ),
             " An escape clause is active in " &amp; _xlpm.escYears &amp; "."
          ),
          " No escape clause is active in the years where deviations exceed the limits."
       ),
       ""
    ),
  "At the end of the assessment period (" &amp; AssessmentEnd &amp; "), " &amp;
  "the balance in " &amp; Country &amp; "'s cumulative control account is " &amp;
  _xlpm.balText &amp; " percentage points of GDP. " &amp;
  _xlpm.outturnSentence &amp; _xlpm.plannedSentence &amp; _xlpm.escapeSentence
)</f>
        <v>#DIV/0!</v>
      </c>
      <c r="D161" s="38"/>
      <c r="E161" s="17"/>
      <c r="J161" s="71"/>
      <c r="K161" s="71"/>
      <c r="L161" s="71"/>
      <c r="M161" s="71"/>
      <c r="N161" s="71"/>
      <c r="O161" s="71"/>
      <c r="P161" s="71"/>
      <c r="Q161" s="71"/>
      <c r="R161" s="71"/>
      <c r="S161" s="71"/>
      <c r="T161" s="71"/>
      <c r="U161" s="71"/>
      <c r="V161" s="71"/>
      <c r="W161" s="71"/>
      <c r="X161" s="71"/>
      <c r="Y161" s="71"/>
      <c r="Z161" s="71"/>
      <c r="AA161" s="71"/>
      <c r="AB161" s="71"/>
      <c r="AC161" s="71"/>
      <c r="AD161" s="71"/>
      <c r="AE161" s="71"/>
      <c r="AF161" s="71"/>
      <c r="AG161" s="71"/>
      <c r="AH161" s="71"/>
      <c r="AI161" s="71"/>
    </row>
    <row r="162" spans="2:35" x14ac:dyDescent="0.4">
      <c r="C162" s="102"/>
      <c r="D162" s="38"/>
      <c r="E162" s="17"/>
      <c r="J162" s="71"/>
      <c r="K162" s="71"/>
      <c r="L162" s="71"/>
      <c r="M162" s="71"/>
      <c r="N162" s="71"/>
      <c r="O162" s="71"/>
      <c r="P162" s="71"/>
      <c r="Q162" s="71"/>
      <c r="R162" s="71"/>
      <c r="S162" s="71"/>
      <c r="T162" s="71"/>
      <c r="U162" s="71"/>
      <c r="V162" s="71"/>
      <c r="W162" s="71"/>
      <c r="X162" s="71"/>
      <c r="Y162" s="71"/>
      <c r="Z162" s="71"/>
      <c r="AA162" s="71"/>
      <c r="AB162" s="71"/>
      <c r="AC162" s="71"/>
      <c r="AD162" s="71"/>
      <c r="AE162" s="71"/>
      <c r="AF162" s="71"/>
      <c r="AG162" s="71"/>
      <c r="AH162" s="71"/>
      <c r="AI162" s="71"/>
    </row>
    <row r="163" spans="2:35" ht="18" x14ac:dyDescent="0.55000000000000004">
      <c r="B163" s="50" t="s">
        <v>474</v>
      </c>
      <c r="D163" s="17"/>
      <c r="J163" s="71"/>
      <c r="K163" s="71"/>
      <c r="L163" s="71" t="s">
        <v>256</v>
      </c>
      <c r="M163" s="71"/>
      <c r="N163" s="71"/>
      <c r="O163" s="71"/>
      <c r="P163" s="71"/>
      <c r="Q163" s="71"/>
      <c r="R163" s="71"/>
      <c r="S163" s="71"/>
      <c r="T163" s="71"/>
      <c r="U163" s="71"/>
      <c r="V163" s="71"/>
      <c r="W163" s="71"/>
      <c r="X163" s="71"/>
      <c r="Y163" s="71"/>
      <c r="Z163" s="71"/>
      <c r="AA163" s="71"/>
      <c r="AB163" s="71"/>
      <c r="AC163" s="71"/>
      <c r="AD163" s="71"/>
      <c r="AE163" s="71"/>
      <c r="AF163" s="71"/>
      <c r="AG163" s="71"/>
      <c r="AH163" s="71"/>
      <c r="AI163" s="71"/>
    </row>
    <row r="164" spans="2:35" x14ac:dyDescent="0.4">
      <c r="B164" t="s">
        <v>381</v>
      </c>
      <c r="C164" s="15" t="b">
        <f>MAX(INDEX(20:20,1,COLUMN($D$4)):INDEX(20:20,1,COLUMN($D$4)+COLUMNS(_xlfn.ANCHORARRAY($D$4))-1))&gt;90</f>
        <v>0</v>
      </c>
      <c r="J164" s="71"/>
      <c r="K164" s="71"/>
      <c r="L164" s="71"/>
      <c r="M164" s="71"/>
      <c r="N164" s="71"/>
      <c r="O164" s="71"/>
      <c r="P164" s="71"/>
      <c r="Q164" s="71"/>
      <c r="R164" s="71"/>
      <c r="S164" s="71"/>
      <c r="T164" s="71"/>
      <c r="U164" s="71"/>
      <c r="V164" s="71"/>
      <c r="W164" s="71"/>
      <c r="X164" s="71"/>
      <c r="Y164" s="71"/>
      <c r="Z164" s="71"/>
      <c r="AA164" s="71"/>
      <c r="AB164" s="71"/>
      <c r="AC164" s="71"/>
      <c r="AD164" s="71"/>
      <c r="AE164" s="71"/>
      <c r="AF164" s="71"/>
      <c r="AG164" s="71"/>
      <c r="AH164" s="71"/>
      <c r="AI164" s="71"/>
    </row>
    <row r="165" spans="2:35" x14ac:dyDescent="0.4">
      <c r="B165" t="s">
        <v>382</v>
      </c>
      <c r="C165" s="121" t="b" cm="1">
        <f t="array" ref="C165">SUMPRODUCT(
  --(INDEX(20:20,1,COLUMN($D$4)):INDEX(20:20,1,COLUMN($D$4)+COLUMNS(_xlfn.ANCHORARRAY($D$4))-1)&gt;=60),
  --(INDEX(20:20,1,COLUMN($D$4)):INDEX(20:20,1,COLUMN($D$4)+COLUMNS(_xlfn.ANCHORARRAY($D$4))-1)&lt;=90)
)&gt;0</f>
        <v>0</v>
      </c>
      <c r="J165" s="71"/>
      <c r="K165" s="71"/>
      <c r="L165" s="71"/>
      <c r="M165" s="71"/>
      <c r="N165" s="71"/>
      <c r="O165" s="71"/>
      <c r="P165" s="71"/>
      <c r="Q165" s="71"/>
      <c r="R165" s="71"/>
      <c r="S165" s="71"/>
      <c r="T165" s="71"/>
      <c r="U165" s="71"/>
      <c r="V165" s="71"/>
      <c r="W165" s="71"/>
      <c r="X165" s="71"/>
      <c r="Y165" s="71"/>
      <c r="Z165" s="71"/>
      <c r="AA165" s="71"/>
      <c r="AB165" s="71"/>
      <c r="AC165" s="71"/>
      <c r="AD165" s="71"/>
      <c r="AE165" s="71"/>
      <c r="AF165" s="71"/>
      <c r="AG165" s="71"/>
      <c r="AH165" s="71"/>
      <c r="AI165" s="71"/>
    </row>
    <row r="166" spans="2:35" x14ac:dyDescent="0.4">
      <c r="B166" t="s">
        <v>267</v>
      </c>
      <c r="C166" s="121" t="e" cm="1">
        <f t="array" ref="C166">IF(C164,IFERROR(
  (
    INDEX(20:20, COLUMN($D$4)+_xlfn.XMATCH(IF(OR('Step 1 - Set global parameters'!$B$30,'Step 1 - Set global parameters'!$B$32), Validation!$Q$6, MTP_BaseYear-1),_xlfn.ANCHORARRAY( $D$4), 1)-1)
    -
    INDEX(20:20, COLUMN($D$4)+_xlfn.XMATCH(
      LOOKUP(9^9, IF(
        (_xlfn.ANCHORARRAY($D$4)&gt;=IF(OR('Step 1 - Set global parameters'!$B$30,'Step 1 - Set global parameters'!$B$32), Validation!$Q$6, MTP_BaseYear-1))*
        (_xlfn.ANCHORARRAY($D$4)&lt;=AssessmentEnd)*
        (INDEX(20:20, COLUMN($D$4)+_xlfn.SEQUENCE(1, COLUMNS(_xlfn.ANCHORARRAY($D$4)), 0))&gt;90),_xlfn.ANCHORARRAY(
        $D$4))
      ),_xlfn.ANCHORARRAY(
      $D$4), 1)-1)
  )
  /
  (
    LOOKUP(9^9, IF(
      (_xlfn.ANCHORARRAY($D$4)&gt;=IF(OR('Step 1 - Set global parameters'!$B$30,'Step 1 - Set global parameters'!$B$32), Validation!$Q$6, MTP_BaseYear-1))*
      (_xlfn.ANCHORARRAY($D$4)&lt;=AssessmentEnd)*
      (INDEX(20:20, COLUMN($D$4)+_xlfn.SEQUENCE(1, COLUMNS(_xlfn.ANCHORARRAY($D$4)), 0))&gt;90),_xlfn.ANCHORARRAY(
      $D$4))
    )
    - IF(OR('Step 1 - Set global parameters'!$B$30,'Step 1 - Set global parameters'!$B$32), Validation!$Q$6, MTP_BaseYear-1)
  ) &gt;= 1,
  TRUE
),NA())</f>
        <v>#N/A</v>
      </c>
    </row>
    <row r="167" spans="2:35" x14ac:dyDescent="0.4">
      <c r="B167" t="s">
        <v>268</v>
      </c>
      <c r="C167" s="121" t="e" cm="1">
        <f t="array" ref="C167">IF(C165,IFERROR(
  (
    INDEX(20:20, COLUMN($D$4)+_xlfn.XMATCH(IF(OR('Step 1 - Set global parameters'!$B$30,'Step 1 - Set global parameters'!$B$32), Validation!$Q$6, MTP_BaseYear-1),_xlfn.ANCHORARRAY( $D$4), 1)-1)
    -
    INDEX(20:20, COLUMN($D$4)+_xlfn.XMATCH(
      LOOKUP(9^9, IF(
        (_xlfn.ANCHORARRAY($D$4)&gt;=IF(OR('Step 1 - Set global parameters'!$B$30,'Step 1 - Set global parameters'!$B$32), Validation!$Q$6, MTP_BaseYear-1))*
        (_xlfn.ANCHORARRAY($D$4)&lt;=AssessmentEnd)*
        (INDEX(20:20, COLUMN($D$4)+_xlfn.SEQUENCE(1,COLUMNS(_xlfn.ANCHORARRAY($D$4)),0))&gt;TFEU_Debt),_xlfn.ANCHORARRAY(
        $D$4))
      ),_xlfn.ANCHORARRAY(
      $D$4), 1)-1)
  ) /
  (
    LOOKUP(9^9, IF(
      (_xlfn.ANCHORARRAY($D$4)&gt;=IF(OR('Step 1 - Set global parameters'!$B$30,'Step 1 - Set global parameters'!$B$32), Validation!$Q$6, MTP_BaseYear-1))*
      (_xlfn.ANCHORARRAY($D$4)&lt;=AssessmentEnd)*
      (INDEX(20:20, COLUMN($D$4)+_xlfn.SEQUENCE(1,COLUMNS(_xlfn.ANCHORARRAY($D$4)),0))&gt;TFEU_Debt),_xlfn.ANCHORARRAY(
      $D$4))
    )
    - IF(OR('Step 1 - Set global parameters'!$B$30,'Step 1 - Set global parameters'!$B$32), Validation!$Q$6, MTP_BaseYear-1)
  )
  &gt;= 0.5,
  TRUE
),NA())</f>
        <v>#N/A</v>
      </c>
    </row>
    <row r="168" spans="2:35" x14ac:dyDescent="0.4">
      <c r="C168" s="17"/>
    </row>
    <row r="169" spans="2:35" x14ac:dyDescent="0.4">
      <c r="B169" s="14" t="s">
        <v>266</v>
      </c>
      <c r="C169" s="102" t="str">
        <f>IF(
  NOT(Receives_reference_trajectory),
  Country &amp; " does not receive a reference trajectory and is not assessed against the debt sustainability safeguard.",
  IF(
    OR(C164, C165),
    IF(
      OR(
        IF(C164, NOT(C166), FALSE),
        IF(C165, NOT(C167), FALSE)
      ),
      "The debt sustainability safeguard applies and " &amp; Country &amp; "'s outturn or plans are not compliant (diagnostic only—not assessed as a separate compliance criterion during implementation)." &amp;
      IF(
        EscapeClauseActivated,
        " However, an escape clause has been activated.",
        ""
      ),
      "The debt sustainability safeguard applies and "&amp;Country&amp;"'s outturn and plans are compliant (diagnostic only—not assessed as a separate compliance criterion during implementation)."
    ),
    "The debt sustainability safeguard does not apply as "&amp;Country&amp;"'s debt is not above 60% of GDP."
  )
)</f>
        <v>The debt sustainability safeguard does not apply as Select country's debt is not above 60% of GDP.</v>
      </c>
      <c r="E169" s="17"/>
    </row>
    <row r="170" spans="2:35" x14ac:dyDescent="0.4">
      <c r="C170" s="56"/>
      <c r="E170" s="17"/>
    </row>
    <row r="171" spans="2:35" ht="23.25" x14ac:dyDescent="0.7">
      <c r="B171" s="50" t="s">
        <v>475</v>
      </c>
      <c r="C171" s="13"/>
      <c r="E171" s="17"/>
    </row>
    <row r="172" spans="2:35" customFormat="1" ht="23.25" x14ac:dyDescent="0.7">
      <c r="B172" s="103"/>
      <c r="C172" s="104"/>
      <c r="D172" s="14" cm="1">
        <f t="array" ref="D172:F172">_xlfn.SEQUENCE(1, AssessmentEnd-MTP_BaseYear+1, MTP_BaseYear)</f>
        <v>2023</v>
      </c>
      <c r="E172" s="14">
        <v>2024</v>
      </c>
      <c r="F172" s="17">
        <v>2025</v>
      </c>
      <c r="G172" s="14"/>
      <c r="H172" s="14"/>
      <c r="I172" s="14"/>
    </row>
    <row r="173" spans="2:35" customFormat="1" x14ac:dyDescent="0.4">
      <c r="B173" t="s">
        <v>383</v>
      </c>
      <c r="C173" s="37"/>
      <c r="D173" s="91" cm="1">
        <f t="array" ref="D173:F173">INDEX(18:18, COLUMN($D$18) + _xlfn.SEQUENCE(1, COLUMNS(_xlfn.ANCHORARRAY(D4))) - 1)</f>
        <v>0</v>
      </c>
      <c r="E173" s="91">
        <v>0</v>
      </c>
      <c r="F173" s="91">
        <v>0</v>
      </c>
      <c r="G173" s="91"/>
      <c r="H173" s="91"/>
      <c r="I173" s="91"/>
      <c r="J173" s="91"/>
      <c r="K173" s="91"/>
      <c r="L173" s="91"/>
      <c r="M173" s="91"/>
      <c r="N173" s="91"/>
    </row>
    <row r="174" spans="2:35" customFormat="1" x14ac:dyDescent="0.4">
      <c r="B174" t="s">
        <v>214</v>
      </c>
      <c r="C174" s="37"/>
      <c r="D174" s="91" cm="1">
        <f t="array" ref="D174:F174">INDEX(19:19, COLUMN($D$19) + _xlfn.SEQUENCE(1, COLUMNS(_xlfn.ANCHORARRAY(D4))) - 1)</f>
        <v>0</v>
      </c>
      <c r="E174" s="91">
        <v>0</v>
      </c>
      <c r="F174" s="91">
        <v>0</v>
      </c>
      <c r="G174" s="91"/>
      <c r="H174" s="91"/>
      <c r="I174" s="91"/>
      <c r="J174" s="91"/>
      <c r="K174" s="91"/>
      <c r="L174" s="91"/>
      <c r="M174" s="91"/>
    </row>
    <row r="175" spans="2:35" customFormat="1" x14ac:dyDescent="0.4">
      <c r="B175" s="7" t="s">
        <v>384</v>
      </c>
      <c r="C175" s="93"/>
      <c r="D175" s="91"/>
      <c r="E175" s="117" cm="1">
        <f t="array" ref="E175:F175">_xlfn.DROP(_xlfn.ANCHORARRAY(D174),,1) - _xlfn.TAKE(_xlfn.ANCHORARRAY(D174),,COLUMNS(_xlfn.ANCHORARRAY(D172))-1)</f>
        <v>0</v>
      </c>
      <c r="F175" s="91">
        <v>0</v>
      </c>
      <c r="G175" s="91"/>
      <c r="H175" s="91"/>
      <c r="I175" s="91"/>
      <c r="J175" s="91"/>
      <c r="K175" s="91"/>
      <c r="L175" s="91"/>
    </row>
    <row r="176" spans="2:35" customFormat="1" x14ac:dyDescent="0.4">
      <c r="B176" t="s">
        <v>660</v>
      </c>
      <c r="D176" s="3" t="b">
        <f>IF(ISNUMBER(D172),D173&lt;-1.5,"")</f>
        <v>0</v>
      </c>
      <c r="E176" s="3" t="b">
        <f t="shared" ref="E176:K176" si="36">IF(ISNUMBER(E172),E173&lt;-1.5,"")</f>
        <v>0</v>
      </c>
      <c r="F176" s="3" t="b">
        <f t="shared" si="36"/>
        <v>0</v>
      </c>
      <c r="G176" s="3" t="str">
        <f t="shared" si="36"/>
        <v/>
      </c>
      <c r="H176" s="3" t="str">
        <f t="shared" si="36"/>
        <v/>
      </c>
      <c r="I176" s="3" t="str">
        <f t="shared" si="36"/>
        <v/>
      </c>
      <c r="J176" s="3" t="str">
        <f t="shared" si="36"/>
        <v/>
      </c>
      <c r="K176" s="3" t="str">
        <f t="shared" si="36"/>
        <v/>
      </c>
      <c r="L176" s="3"/>
      <c r="M176" s="3"/>
      <c r="N176" s="3"/>
      <c r="O176" s="3"/>
      <c r="P176" s="3"/>
    </row>
    <row r="177" spans="2:35" customFormat="1" x14ac:dyDescent="0.4">
      <c r="B177" t="s">
        <v>385</v>
      </c>
      <c r="C177" s="2" t="b" cm="1">
        <f t="array" ref="C177">IF(
  Receives_reference_trajectory,
  SUMPRODUCT(
    --(
      INDEX(176:176,1,COLUMN($D$172)):
      INDEX(176:176,1,COLUMN($D$172)+COLUMNS(_xlfn.ANCHORARRAY($D$172))-1)
    )
  )&gt;0,
  NA()
)</f>
        <v>0</v>
      </c>
    </row>
    <row r="178" spans="2:35" x14ac:dyDescent="0.4">
      <c r="B178" t="s">
        <v>306</v>
      </c>
      <c r="C178" s="15">
        <f>IF(Receives_reference_trajectory,IF(AdjustmentPeriod=4,0.4,0.25),"Not applicable")</f>
        <v>0.4</v>
      </c>
      <c r="E178" s="17"/>
    </row>
    <row r="179" spans="2:35" x14ac:dyDescent="0.4">
      <c r="B179" t="s">
        <v>961</v>
      </c>
      <c r="C179" s="121" t="e" cm="1">
        <f t="array" ref="C179">IF(
  Receives_reference_trajectory,
  IF(
    NOT(IFERROR(C177,FALSE)),
    NA(),
    SUMPRODUCT(
      --(_xlfn.TAKE(IFERROR(_xlfn.CHOOSECOLS(176:176, COLUMN($D$172)+_xlfn.SEQUENCE(1,COLUMNS(_xlfn.ANCHORARRAY($D$172)))-1), FALSE), , COLUMNS(_xlfn.ANCHORARRAY($D$172))-1)),
      --(_xlfn.DROP(_xlfn.CHOOSECOLS(175:175, COLUMN($D$172)+_xlfn.SEQUENCE(1,COLUMNS(_xlfn.ANCHORARRAY($D$172)))-1), , 1) &lt;= C178)
    )=0
  ),
  NA()
)</f>
        <v>#N/A</v>
      </c>
      <c r="E179" s="17"/>
    </row>
    <row r="180" spans="2:35" x14ac:dyDescent="0.4">
      <c r="B180"/>
      <c r="C180" s="15"/>
      <c r="E180" s="17"/>
    </row>
    <row r="181" spans="2:35" x14ac:dyDescent="0.4">
      <c r="B181" s="14" t="s">
        <v>266</v>
      </c>
      <c r="C181" s="102" t="str">
        <f>IF(
  NOT(Receives_reference_trajectory),
  Country &amp; " does not receive a reference trajectory and is not assessed against the deficit resilience safeguard.",IF(
  NOT(C177),
  "The deficit resilience safeguard does not apply, as "&amp;Country&amp;"'s structural deficit never exceeds 1.5 % of GDP over the adjustment period.",
  IF(
    ISNA(C179),
    "The deficit resilience safeguard does not apply, as "&amp;Country&amp;"'s structural deficit never exceeds 1.5 % of GDP over the adjustment period.",
    IF(
      C179,
      "The deficit resilience safeguard applies and "&amp;Country&amp;"'s outturn and plans are compliant (diagnostic only—not assessed as a separate compliance criterion during implementation).",
      "The deficit resilience safeguard applies but "&amp;Country&amp;"'s outturn or plans are not compliant (diagnostic only—not assessed as a separate compliance criterion during implementation)." &amp;
      IF(
        EscapeClauseActivated,
        " However, an escape clause has been activated.",
        ""
      )
    )
  )
)
)</f>
        <v>The deficit resilience safeguard does not apply, as Select country's structural deficit never exceeds 1.5 % of GDP over the adjustment period.</v>
      </c>
      <c r="E181" s="17"/>
    </row>
    <row r="182" spans="2:35" x14ac:dyDescent="0.4">
      <c r="C182" s="56"/>
      <c r="E182" s="17"/>
    </row>
    <row r="183" spans="2:35" ht="18" x14ac:dyDescent="0.55000000000000004">
      <c r="B183" s="128" t="s">
        <v>504</v>
      </c>
      <c r="D183" s="17"/>
      <c r="J183" s="71"/>
      <c r="K183" s="71"/>
      <c r="L183" s="71"/>
      <c r="M183" s="71"/>
      <c r="N183" s="71"/>
      <c r="O183" s="71"/>
      <c r="P183" s="71"/>
      <c r="Q183" s="71"/>
      <c r="R183" s="71"/>
      <c r="S183" s="71"/>
      <c r="T183" s="71"/>
      <c r="U183" s="71"/>
      <c r="V183" s="71"/>
      <c r="W183" s="71"/>
      <c r="X183" s="71"/>
      <c r="Y183" s="71"/>
      <c r="Z183" s="71"/>
      <c r="AA183" s="71"/>
      <c r="AB183" s="71"/>
      <c r="AC183" s="71"/>
      <c r="AD183" s="71"/>
      <c r="AE183" s="71"/>
      <c r="AF183" s="71"/>
      <c r="AG183" s="71"/>
      <c r="AH183" s="71"/>
      <c r="AI183" s="71"/>
    </row>
    <row r="184" spans="2:35" ht="14.25" x14ac:dyDescent="0.45">
      <c r="B184" s="129" t="s">
        <v>455</v>
      </c>
      <c r="D184" s="17"/>
      <c r="J184" s="71"/>
      <c r="K184" s="71"/>
      <c r="L184" s="71"/>
      <c r="M184" s="71"/>
      <c r="N184" s="71"/>
      <c r="O184" s="71"/>
      <c r="P184" s="71"/>
      <c r="Q184" s="71"/>
      <c r="R184" s="71"/>
      <c r="S184" s="71"/>
      <c r="T184" s="71"/>
      <c r="U184" s="71"/>
      <c r="V184" s="71"/>
      <c r="W184" s="71"/>
      <c r="X184" s="71"/>
      <c r="Y184" s="71"/>
      <c r="Z184" s="71"/>
      <c r="AA184" s="71"/>
      <c r="AB184" s="71"/>
      <c r="AC184" s="71"/>
      <c r="AD184" s="71"/>
      <c r="AE184" s="71"/>
      <c r="AF184" s="71"/>
      <c r="AG184" s="71"/>
      <c r="AH184" s="71"/>
      <c r="AI184" s="71"/>
    </row>
    <row r="185" spans="2:35" x14ac:dyDescent="0.4">
      <c r="B185"/>
      <c r="D185" s="17"/>
      <c r="J185" s="71"/>
      <c r="K185" s="71"/>
      <c r="L185" s="71"/>
      <c r="M185" s="71"/>
      <c r="N185" s="71"/>
      <c r="O185" s="71"/>
      <c r="P185" s="71"/>
      <c r="Q185" s="71"/>
      <c r="R185" s="71"/>
      <c r="S185" s="71"/>
      <c r="T185" s="71"/>
      <c r="U185" s="71"/>
      <c r="V185" s="71"/>
      <c r="W185" s="71"/>
      <c r="X185" s="71"/>
      <c r="Y185" s="71"/>
      <c r="Z185" s="71"/>
      <c r="AA185" s="71"/>
      <c r="AB185" s="71"/>
      <c r="AC185" s="71"/>
      <c r="AD185" s="71"/>
      <c r="AE185" s="71"/>
      <c r="AF185" s="71"/>
      <c r="AG185" s="71"/>
      <c r="AH185" s="71"/>
      <c r="AI185" s="71"/>
    </row>
    <row r="186" spans="2:35" x14ac:dyDescent="0.4">
      <c r="B186" t="s">
        <v>665</v>
      </c>
      <c r="C186" s="130" cm="1">
        <f t="array" ref="C186">IF(
  AdjustmentPeriodEnd &gt; OutturnThrough,
  INDEX($37:$37, _xlfn.XMATCH(AdjustmentPeriodEnd, $32:$32, 0)) -
  INDEX($19:$19, _xlfn.XMATCH(OutturnThrough, $4:$4, 0)),
  NA()
)</f>
        <v>0</v>
      </c>
      <c r="D186" s="17"/>
      <c r="J186" s="71"/>
      <c r="K186" s="71"/>
      <c r="L186" s="71"/>
      <c r="M186" s="71"/>
      <c r="N186" s="71"/>
      <c r="O186" s="71"/>
      <c r="P186" s="71"/>
      <c r="Q186" s="71"/>
      <c r="R186" s="71"/>
      <c r="S186" s="71"/>
      <c r="T186" s="71"/>
      <c r="U186" s="71"/>
      <c r="V186" s="71"/>
      <c r="W186" s="71"/>
      <c r="X186" s="71"/>
      <c r="Y186" s="71"/>
      <c r="Z186" s="71"/>
      <c r="AA186" s="71"/>
      <c r="AB186" s="71"/>
      <c r="AC186" s="71"/>
      <c r="AD186" s="71"/>
      <c r="AE186" s="71"/>
      <c r="AF186" s="71"/>
      <c r="AG186" s="71"/>
      <c r="AH186" s="71"/>
      <c r="AI186" s="71"/>
    </row>
    <row r="187" spans="2:35" x14ac:dyDescent="0.4">
      <c r="B187" t="s">
        <v>664</v>
      </c>
      <c r="C187" s="130" cm="1">
        <f t="array" ref="C187">IF(
  AdjustmentPeriodEnd &gt; OutturnThrough,
  (
    INDEX($37:$37, _xlfn.XMATCH(AdjustmentPeriodEnd, $32:$32, 0)) -
    INDEX($19:$19, _xlfn.XMATCH(OutturnThrough, $4:$4, 0))
  ) / (AdjustmentPeriodEnd - OutturnThrough),
  NA()
)</f>
        <v>0</v>
      </c>
      <c r="D187" s="17"/>
      <c r="J187" s="71"/>
      <c r="K187" s="71"/>
      <c r="L187" s="71"/>
      <c r="M187" s="71"/>
      <c r="N187" s="71"/>
      <c r="O187" s="71"/>
      <c r="P187" s="71"/>
      <c r="Q187" s="71"/>
      <c r="R187" s="71"/>
      <c r="S187" s="71"/>
      <c r="T187" s="71"/>
      <c r="U187" s="71"/>
      <c r="V187" s="71"/>
      <c r="W187" s="71"/>
      <c r="X187" s="71"/>
      <c r="Y187" s="71"/>
      <c r="Z187" s="71"/>
      <c r="AA187" s="71"/>
      <c r="AB187" s="71"/>
      <c r="AC187" s="71"/>
      <c r="AD187" s="71"/>
      <c r="AE187" s="71"/>
      <c r="AF187" s="71"/>
      <c r="AG187" s="71"/>
      <c r="AH187" s="71"/>
      <c r="AI187" s="71"/>
    </row>
    <row r="188" spans="2:35" x14ac:dyDescent="0.4">
      <c r="B188" t="s">
        <v>663</v>
      </c>
      <c r="C188" s="130" t="e" cm="1">
        <f t="array" ref="C188">IF(
  AssessmentEnd &gt; OutturnThrough,
  (
    INDEX($19:$19, _xlfn.XMATCH(AssessmentEnd, $4:$4, 0))
    - INDEX($19:$19, _xlfn.XMATCH(OutturnThrough, $4:$4, 0))
  ) / (AssessmentEnd - OutturnThrough),
  NA()
)</f>
        <v>#N/A</v>
      </c>
      <c r="D188" s="17"/>
      <c r="J188" s="71"/>
      <c r="K188" s="71"/>
      <c r="L188" s="71"/>
      <c r="M188" s="71"/>
      <c r="N188" s="71"/>
      <c r="O188" s="71"/>
      <c r="P188" s="71"/>
      <c r="Q188" s="71"/>
      <c r="R188" s="71"/>
      <c r="S188" s="71"/>
      <c r="T188" s="71"/>
      <c r="U188" s="71"/>
      <c r="V188" s="71"/>
      <c r="W188" s="71"/>
      <c r="X188" s="71"/>
      <c r="Y188" s="71"/>
      <c r="Z188" s="71"/>
      <c r="AA188" s="71"/>
      <c r="AB188" s="71"/>
      <c r="AC188" s="71"/>
      <c r="AD188" s="71"/>
      <c r="AE188" s="71"/>
      <c r="AF188" s="71"/>
      <c r="AG188" s="71"/>
      <c r="AH188" s="71"/>
      <c r="AI188" s="71"/>
    </row>
    <row r="189" spans="2:35" x14ac:dyDescent="0.4">
      <c r="B189" t="s">
        <v>666</v>
      </c>
      <c r="C189" s="130" cm="1">
        <f t="array" ref="C189">IF(
  AssessmentEnd &gt; MTP_YearT,
  (
    INDEX($19:$19, _xlfn.XMATCH(AssessmentEnd, $4:$4, 0))
    - INDEX($19:$19, _xlfn.XMATCH(MTP_YearT, $4:$4, 0))
  ) / (AssessmentEnd - MTP_YearT),
  NA()
)</f>
        <v>0</v>
      </c>
      <c r="D189" s="17"/>
      <c r="J189" s="71"/>
      <c r="K189" s="71"/>
      <c r="L189" s="71"/>
      <c r="M189" s="71"/>
      <c r="N189" s="71"/>
      <c r="O189" s="71"/>
      <c r="P189" s="71"/>
      <c r="Q189" s="71"/>
      <c r="R189" s="71"/>
      <c r="S189" s="71"/>
      <c r="T189" s="71"/>
      <c r="U189" s="71"/>
      <c r="V189" s="71"/>
      <c r="W189" s="71"/>
      <c r="X189" s="71"/>
      <c r="Y189" s="71"/>
      <c r="Z189" s="71"/>
      <c r="AA189" s="71"/>
      <c r="AB189" s="71"/>
      <c r="AC189" s="71"/>
      <c r="AD189" s="71"/>
      <c r="AE189" s="71"/>
      <c r="AF189" s="71"/>
      <c r="AG189" s="71"/>
      <c r="AH189" s="71"/>
      <c r="AI189" s="71"/>
    </row>
    <row r="190" spans="2:35" x14ac:dyDescent="0.4">
      <c r="B190" t="s">
        <v>667</v>
      </c>
      <c r="C190" s="131" t="e">
        <f>IF(OR(ISNA(C188), ISNA(C187)), NA(), AND(ISNUMBER(C188), ISNUMBER(C187), C188 &gt;= C187))</f>
        <v>#N/A</v>
      </c>
      <c r="D190" s="17"/>
      <c r="J190" s="71"/>
      <c r="K190" s="71"/>
      <c r="L190" s="71"/>
      <c r="M190" s="71"/>
      <c r="N190" s="71"/>
      <c r="O190" s="71"/>
      <c r="P190" s="71"/>
      <c r="Q190" s="71"/>
      <c r="R190" s="71"/>
      <c r="S190" s="71"/>
      <c r="T190" s="71"/>
      <c r="U190" s="71"/>
      <c r="V190" s="71"/>
      <c r="W190" s="71"/>
      <c r="X190" s="71"/>
      <c r="Y190" s="71"/>
      <c r="Z190" s="71"/>
      <c r="AA190" s="71"/>
      <c r="AB190" s="71"/>
      <c r="AC190" s="71"/>
      <c r="AD190" s="71"/>
      <c r="AE190" s="71"/>
      <c r="AF190" s="71"/>
      <c r="AG190" s="71"/>
      <c r="AH190" s="71"/>
      <c r="AI190" s="71"/>
    </row>
    <row r="191" spans="2:35" x14ac:dyDescent="0.4">
      <c r="B191"/>
      <c r="C191" s="2"/>
      <c r="D191" s="17"/>
      <c r="J191" s="71"/>
      <c r="K191" s="71"/>
      <c r="L191" s="71"/>
      <c r="M191" s="71"/>
      <c r="N191" s="71"/>
      <c r="O191" s="71"/>
      <c r="P191" s="71"/>
      <c r="Q191" s="71"/>
      <c r="R191" s="71"/>
      <c r="S191" s="71"/>
      <c r="T191" s="71"/>
      <c r="U191" s="71"/>
      <c r="V191" s="71"/>
      <c r="W191" s="71"/>
      <c r="X191" s="71"/>
      <c r="Y191" s="71"/>
      <c r="Z191" s="71"/>
      <c r="AA191" s="71"/>
      <c r="AB191" s="71"/>
      <c r="AC191" s="71"/>
      <c r="AD191" s="71"/>
      <c r="AE191" s="71"/>
      <c r="AF191" s="71"/>
      <c r="AG191" s="71"/>
      <c r="AH191" s="71"/>
      <c r="AI191" s="71"/>
    </row>
    <row r="192" spans="2:35" x14ac:dyDescent="0.4">
      <c r="B192" s="14" t="s">
        <v>258</v>
      </c>
      <c r="C192" s="102" t="str">
        <f>IFERROR(
  IF(
    AssessmentEnd &lt;= OutturnThrough,
    "Not applicable — the assessment period does not extend beyond the latest outturn year; there is no forward-looking SPB path to assess.",
    IF(
      OR(ISNA(C188), NOT(ISNUMBER(C188))),
      IF(
        C186 &lt; 0,
        Country &amp; "'s SPB already exceeds the target level by " &amp; TEXT(ABS(C186),"0.0") &amp;
          " pp of GDP at the end of the adjustment period. There is fiscal room to allow the SPB to decline while still meeting the target.",
        IF(
          C186 = 0,
          Country &amp; "'s SPB already meets the target level at the end of the adjustment period. No further consolidation is required.",
          Country &amp; "'s total SPB adjustment required over the remaining horizon is " &amp;
            TEXT(C186,"0.0") &amp; " pp of GDP, and the required average annual consolidation is " &amp;
            TEXT(C187,"0.0") &amp; " pp of GDP."
        )
      ),
      IF(
        C186 &lt;= 0,
        IF(
          C188 &lt; 0,
          IF(
            C186 &lt; 0,
            Country &amp; "'s SPB already exceeds the target level by " &amp; TEXT(ABS(C186),"0.0") &amp; " pp of GDP",
            Country &amp; "'s SPB currently meets the target level"
          ) &amp;
            ", but the planned path implies a deterioration of " &amp;
            TEXT(ABS(C188),"0.0") &amp; " pp of GDP per year on average over the assessment period." &amp;
            " Additional adjustment in later years may be needed to maintain the target, creating a risk of backloading." &amp;
            IF(EscapeClauseActivated, " However, an escape clause has been activated.", ""),
          IF(
            C186 &lt; 0,
            Country &amp; "'s SPB already exceeds the target level by " &amp; TEXT(ABS(C186),"0.0") &amp; " pp of GDP",
            Country &amp; "'s SPB already meets the target level"
          ) &amp;
            ". The planned average annual consolidation of " &amp;
            TEXT(C188,"0.0") &amp; " pp of GDP is consistent with maintaining that position."
        ),
        Country &amp; "'s total SPB adjustment required over the remaining horizon is " &amp;
          TEXT(C186,"0.0") &amp; " pp of GDP. The planned average annual consolidation of " &amp;
          TEXT(C188,"0.0") &amp; " pp " &amp;
          IF(
            C188 &gt;= C187,
            "meets or exceeds the required " &amp; TEXT(C187,"0.0") &amp;
              " pp, indicating that adjustment is consistent with achieving the target SPB by the end of the horizon. Adjustment is not backloaded.",
            "falls short of the required " &amp; TEXT(C187,"0.0") &amp;
              " pp, indicating that additional measures may be needed to reach the target SPB. Adjustment may be backloaded." &amp;
              IF(EscapeClauseActivated, " However, an escape clause has been activated.", "")
          )
      )
    )
  ),
  NA()
)</f>
        <v>Not applicable — the assessment period does not extend beyond the latest outturn year; there is no forward-looking SPB path to assess.</v>
      </c>
      <c r="D192" s="17"/>
      <c r="J192" s="71"/>
      <c r="K192" s="71"/>
      <c r="L192" s="71"/>
      <c r="M192" s="71"/>
      <c r="N192" s="71"/>
      <c r="O192" s="71"/>
      <c r="P192" s="71"/>
      <c r="Q192" s="71"/>
      <c r="R192" s="71"/>
      <c r="S192" s="71"/>
      <c r="T192" s="71"/>
      <c r="U192" s="71"/>
      <c r="V192" s="71"/>
      <c r="W192" s="71"/>
      <c r="X192" s="71"/>
      <c r="Y192" s="71"/>
      <c r="Z192" s="71"/>
      <c r="AA192" s="71"/>
      <c r="AB192" s="71"/>
      <c r="AC192" s="71"/>
      <c r="AD192" s="71"/>
      <c r="AE192" s="71"/>
      <c r="AF192" s="71"/>
      <c r="AG192" s="71"/>
      <c r="AH192" s="71"/>
      <c r="AI192" s="71"/>
    </row>
    <row r="193" spans="1:35" x14ac:dyDescent="0.4">
      <c r="B193"/>
      <c r="D193" s="17"/>
      <c r="J193" s="71"/>
      <c r="K193" s="71"/>
      <c r="L193" s="71"/>
      <c r="M193" s="71"/>
      <c r="N193" s="71"/>
      <c r="O193" s="71"/>
      <c r="P193" s="71"/>
      <c r="Q193" s="71"/>
      <c r="R193" s="71"/>
      <c r="S193" s="71"/>
      <c r="T193" s="71"/>
      <c r="U193" s="71"/>
      <c r="V193" s="71"/>
      <c r="W193" s="71"/>
      <c r="X193" s="71"/>
      <c r="Y193" s="71"/>
      <c r="Z193" s="71"/>
      <c r="AA193" s="71"/>
      <c r="AB193" s="71"/>
      <c r="AC193" s="71"/>
      <c r="AD193" s="71"/>
      <c r="AE193" s="71"/>
      <c r="AF193" s="71"/>
      <c r="AG193" s="71"/>
      <c r="AH193" s="71"/>
      <c r="AI193" s="71"/>
    </row>
    <row r="194" spans="1:35" ht="31.9" x14ac:dyDescent="1">
      <c r="B194" s="77" t="s">
        <v>488</v>
      </c>
    </row>
    <row r="195" spans="1:35" ht="25.15" customHeight="1" x14ac:dyDescent="0.7">
      <c r="B195" s="13" t="s">
        <v>893</v>
      </c>
    </row>
    <row r="196" spans="1:35" ht="14.25" x14ac:dyDescent="0.45">
      <c r="B196" s="105" t="str">
        <f>"That is, whether the Commission prepares and transmits a reference trajectory for net expenditure that "&amp;Country&amp;"'s MTP must not exceed (or "&amp;Country&amp;" must submit an alternative net expenditure path meeting all requirements of Article 16(2) and (3) of Regulation (EU) 2024/1263 and sound and data-driven economic arguments explaining the difference)"</f>
        <v>That is, whether the Commission prepares and transmits a reference trajectory for net expenditure that Select country's MTP must not exceed (or Select country must submit an alternative net expenditure path meeting all requirements of Article 16(2) and (3) of Regulation (EU) 2024/1263 and sound and data-driven economic arguments explaining the difference)</v>
      </c>
    </row>
    <row r="197" spans="1:35" s="22" customFormat="1" ht="14.25" x14ac:dyDescent="0.45">
      <c r="A197"/>
      <c r="B197" s="54"/>
      <c r="C197" s="54"/>
      <c r="D197" s="54"/>
      <c r="E197" s="54"/>
      <c r="F197" s="54"/>
    </row>
    <row r="198" spans="1:35" ht="18" x14ac:dyDescent="0.55000000000000004">
      <c r="B198" s="50" t="s">
        <v>890</v>
      </c>
      <c r="C198" s="15"/>
      <c r="F198" s="37"/>
    </row>
    <row r="199" spans="1:35" x14ac:dyDescent="0.4">
      <c r="B199" t="s">
        <v>817</v>
      </c>
      <c r="C199" s="15" t="b">
        <f>INDEX(20:20, MATCH(MTP_PlanFirstYear, 4:4, 0)) &lt; TFEU_Debt</f>
        <v>0</v>
      </c>
      <c r="F199" s="37"/>
    </row>
    <row r="200" spans="1:35" x14ac:dyDescent="0.4">
      <c r="B200" t="s">
        <v>258</v>
      </c>
      <c r="C200" s="102" t="str">
        <f>IF(
  C199,
  Country &amp; "'s gross general government debt in " &amp; MTP_PlanFirstYear &amp; " was " &amp; TEXT(INDEX(20:20, MATCH(MTP_PlanFirstYear, 4:4, 0)), "0.0") &amp;"% of GDP"&amp; ", which does not exceed the 60% TFEU reference value.",
  Country &amp; "'s gross general government debt in " &amp; MTP_PlanFirstYear &amp; " was " &amp; TEXT(INDEX(20:20, MATCH(MTP_PlanFirstYear, 4:4, 0)), "0.0") &amp;"% of GDP"&amp; ", which does not exceed the 60% TFEU reference level."
)</f>
        <v>Select country's gross general government debt in 2023 was % of GDP, which does not exceed the 60% TFEU reference level.</v>
      </c>
      <c r="F200" s="37"/>
    </row>
    <row r="201" spans="1:35" x14ac:dyDescent="0.4">
      <c r="B201"/>
      <c r="C201" s="102"/>
      <c r="E201" s="18"/>
      <c r="J201" s="16"/>
    </row>
    <row r="202" spans="1:35" ht="18" x14ac:dyDescent="0.55000000000000004">
      <c r="B202" s="50" t="s">
        <v>891</v>
      </c>
      <c r="F202" s="37"/>
    </row>
    <row r="203" spans="1:35" x14ac:dyDescent="0.4">
      <c r="B203" t="s">
        <v>818</v>
      </c>
      <c r="C203" s="15" t="b">
        <f>INDEX(17:17, MATCH(MTP_PlanFirstYear, 4:4, 0)) &gt; -TFEU_Deficit</f>
        <v>1</v>
      </c>
      <c r="F203" s="37"/>
    </row>
    <row r="204" spans="1:35" x14ac:dyDescent="0.4">
      <c r="B204" t="s">
        <v>258</v>
      </c>
      <c r="C204" s="102" t="str">
        <f>IF(
  INDEX(17:17, MATCH(MTP_PlanFirstYear, 4:4, 0))&gt;=0,
  Country &amp; "'s net lending (general government surplus) in " &amp; MTP_PlanFirstYear &amp; " was " &amp;
    TEXT(INDEX(17:17, MATCH(MTP_PlanFirstYear, 4:4, 0)), "0.0") &amp; "% of GDP, which does not exceed the 3% TFEU deficit reference value.",
  Country &amp; "'s net borrowing (general government deficit) in " &amp; MTP_PlanFirstYear &amp; " was " &amp;
    TEXT(-INDEX(17:17, MATCH(MTP_PlanFirstYear, 4:4, 0)), "0.0") &amp; "% of GDP, which " &amp;
    IF(-INDEX(17:17, MATCH(MTP_PlanFirstYear, 4:4, 0))&lt;=3, "does not exceed", "exceeds") &amp;
    " the 3% TFEU deficit reference value."
)</f>
        <v>Select country's net lending (general government surplus) in 2023 was % of GDP, which does not exceed the 3% TFEU deficit reference value.</v>
      </c>
      <c r="F204" s="37"/>
    </row>
    <row r="205" spans="1:35" x14ac:dyDescent="0.4">
      <c r="C205" s="102"/>
      <c r="F205" s="37"/>
    </row>
    <row r="206" spans="1:35" ht="18" x14ac:dyDescent="0.55000000000000004">
      <c r="B206" s="50" t="s">
        <v>892</v>
      </c>
      <c r="E206" s="18"/>
      <c r="J206" s="16"/>
    </row>
    <row r="207" spans="1:35" x14ac:dyDescent="0.4">
      <c r="B207" t="s">
        <v>451</v>
      </c>
      <c r="C207" s="15" t="b">
        <f>NOT(AND($C$199,$C$203))</f>
        <v>1</v>
      </c>
      <c r="E207" s="18"/>
      <c r="J207" s="16"/>
    </row>
    <row r="208" spans="1:35" x14ac:dyDescent="0.4">
      <c r="B208" t="s">
        <v>258</v>
      </c>
      <c r="C208" s="102" t="str">
        <f>IF(
  C207,
  IF(
    AND(NOT($C$199), $C$203),
    Country &amp; "'s gross debt was above 60% of GDP in "&amp; MTP_PlanFirstYear &amp; " (T" &amp; IF(MTP_BaseYearIsTminus2,"-2","-1") &amp; "), therefore ",
    IF(
      AND($C$199, NOT($C$203)),
      Country &amp; "'s general government deficit was above 3% of GDP in "&amp; MTP_PlanFirstYear &amp; " (T" &amp; IF(MTP_BaseYearIsTminus2,"-2","-1") &amp; "), therefore ",
      IF(
        AND(NOT($C$199), NOT($C$203)),
        Country &amp; "'s gross debt was above 60% of GDP and its general government deficit was above 3% of GDP in "&amp; MTP_PlanFirstYear &amp; " (T" &amp; IF(MTP_BaseYearIsTminus2,"-2","-1") &amp; "), therefore ",
        ""
      )
    )
  ) &amp;
  "it must adhere to an MTP with a planned net expenditure path that does not exceed the Commission's reference trajectory (or an alternative path that meets all criteria). If the planned net expenditure path exceeds the reference trajectory, " &amp; Country &amp; " must provide sound and data-driven economic arguments explaining the difference.",
  Country &amp; " does not receive a reference trajectory but its MTP must contain a net expenditure path that complies with TFEU general government debt and deficit sustainability requirements."
)</f>
        <v>Select country's gross debt was above 60% of GDP in 2023 (T-1), therefore it must adhere to an MTP with a planned net expenditure path that does not exceed the Commission's reference trajectory (or an alternative path that meets all criteria). If the planned net expenditure path exceeds the reference trajectory, Select country must provide sound and data-driven economic arguments explaining the difference.</v>
      </c>
      <c r="E208" s="18"/>
      <c r="J208" s="16"/>
    </row>
    <row r="209" spans="2:10" x14ac:dyDescent="0.4">
      <c r="E209" s="18"/>
      <c r="J209" s="16"/>
    </row>
    <row r="210" spans="2:10" ht="25.15" customHeight="1" x14ac:dyDescent="0.7">
      <c r="B210" s="13" t="s">
        <v>529</v>
      </c>
    </row>
    <row r="211" spans="2:10" ht="14.25" x14ac:dyDescent="0.45">
      <c r="B211" s="105" t="s">
        <v>489</v>
      </c>
    </row>
    <row r="212" spans="2:10" ht="23.25" x14ac:dyDescent="0.7">
      <c r="B212" s="50" t="s">
        <v>904</v>
      </c>
      <c r="C212" s="13"/>
      <c r="E212" s="17"/>
    </row>
    <row r="213" spans="2:10" x14ac:dyDescent="0.4">
      <c r="B213" t="s">
        <v>895</v>
      </c>
      <c r="C213" s="15" t="b">
        <f>'Step 1 - Set global parameters'!B14</f>
        <v>1</v>
      </c>
    </row>
    <row r="214" spans="2:10" x14ac:dyDescent="0.4">
      <c r="B214" t="s">
        <v>898</v>
      </c>
      <c r="C214" s="15" t="b">
        <f>IF(C213,IF('Step 4 (MTP) - IFI scrutiny'!D4="Yes",TRUE,FALSE),NA())</f>
        <v>1</v>
      </c>
    </row>
    <row r="215" spans="2:10" x14ac:dyDescent="0.4">
      <c r="B215" t="s">
        <v>899</v>
      </c>
      <c r="C215" s="2" t="b">
        <f>IF(C214,IF('Step 4 (MTP) - IFI scrutiny'!D5="Yes",TRUE,NA()),NA())</f>
        <v>1</v>
      </c>
    </row>
    <row r="216" spans="2:10" x14ac:dyDescent="0.4">
      <c r="B216" t="s">
        <v>900</v>
      </c>
      <c r="C216" s="2" t="b">
        <f>IF(NOT(C213), TRUE, AND(C214, C215))</f>
        <v>1</v>
      </c>
    </row>
    <row r="217" spans="2:10" x14ac:dyDescent="0.4">
      <c r="B217" s="14" t="s">
        <v>258</v>
      </c>
      <c r="C217" s="102" t="str">
        <f>IF(NOT(C213),
  "The MTP uses the same macroeconomic assumptions as the EC's DSA framework.",
  IF(AND(C214,C215),
    "The "&amp;IFI_Name&amp;" has concluded that the MTP's alternative macroeconomic assumptions are based on sound and data-driven arguments and are plausible.",
    IF(AND(C214,NOT(C215)),
      "The "&amp;IFI_Name&amp;" found the rationale for using different assumptions satisfactory, but did not assess the alternative assumptions themselves as plausible.",
      IF(AND(NOT(C214),C215),
        "The "&amp;IFI_Name&amp;" did not find the rationale for using different assumptions satisfactory, though the alternative assumptions were independently assessed as plausible.",
        "The "&amp;IFI_Name&amp;" did not find the rationale for using different assumptions satisfactory, and the alternative macroeconomic assumptions were not assessed as plausible."))))</f>
        <v>The Select IFI has concluded that the MTP's alternative macroeconomic assumptions are based on sound and data-driven arguments and are plausible.</v>
      </c>
    </row>
    <row r="218" spans="2:10" customFormat="1" x14ac:dyDescent="0.4"/>
    <row r="219" spans="2:10" ht="23.25" x14ac:dyDescent="0.7">
      <c r="B219" s="50" t="s">
        <v>905</v>
      </c>
      <c r="C219" s="13"/>
      <c r="E219" s="17"/>
    </row>
    <row r="220" spans="2:10" x14ac:dyDescent="0.4">
      <c r="B220" t="s">
        <v>462</v>
      </c>
      <c r="C220" s="15" t="b">
        <f>AND('Step 4 (MTP) - IFI scrutiny'!D8:D28)</f>
        <v>1</v>
      </c>
    </row>
    <row r="221" spans="2:10" x14ac:dyDescent="0.4">
      <c r="B221" s="14" t="s">
        <v>258</v>
      </c>
      <c r="C221" s="102" t="str">
        <f>IF(C220,"The "&amp;IFI_Name&amp;" has concluded that the plan contains all information required by Article 13 of Regulation (EU) 2024/1263.","The "&amp;IFI_Name&amp;" has concluded that the plan is missing elements required by Article 13 of Regulation (EU) 2024/1263.")</f>
        <v>The Select IFI has concluded that the plan contains all information required by Article 13 of Regulation (EU) 2024/1263.</v>
      </c>
    </row>
    <row r="222" spans="2:10" customFormat="1" x14ac:dyDescent="0.4"/>
    <row r="223" spans="2:10" customFormat="1" ht="18" x14ac:dyDescent="0.55000000000000004">
      <c r="B223" s="50" t="s">
        <v>894</v>
      </c>
    </row>
    <row r="224" spans="2:10" customFormat="1" x14ac:dyDescent="0.4">
      <c r="B224" t="s">
        <v>591</v>
      </c>
      <c r="C224" s="2" t="b">
        <f>'Step 4 (MTP) - IFI scrutiny'!D31</f>
        <v>0</v>
      </c>
    </row>
    <row r="225" spans="2:35" customFormat="1" x14ac:dyDescent="0.4">
      <c r="B225" t="s">
        <v>659</v>
      </c>
      <c r="C225" s="15" t="e" cm="1">
        <f t="array" ref="C225">IF(
  NOT(C224),
  NA(),
  AND(
    'Step 4 (MTP) - IFI scrutiny'!D32:D43=TRUE,
    'Step 4 (MTP) - IFI scrutiny'!D32:D43&lt;&gt;"NA"
  )
)</f>
        <v>#N/A</v>
      </c>
    </row>
    <row r="226" spans="2:35" customFormat="1" x14ac:dyDescent="0.4">
      <c r="B226" s="14" t="s">
        <v>258</v>
      </c>
      <c r="C226" s="102" t="str">
        <f>IF(
  AdjustmentPeriod&lt;&gt;7,
  "Not applicable. " &amp; Country &amp; " has not requested an extension of the adjustment period.",
  IF(
    C225,
    "The " &amp; IFI_Name &amp; " judges that " &amp; Country &amp; "'s reform and investment commitments fulfil the criteria in Article 14 for an extension of the adjustment period.",
    "The " &amp; IFI_Name &amp; " does not judge that " &amp; Country &amp; "'s reform and investment commitments fulfil the criteria in Article 14 for an extension of the adjustment period."
  )
)</f>
        <v>Not applicable. Select country has not requested an extension of the adjustment period.</v>
      </c>
    </row>
    <row r="227" spans="2:35" customFormat="1" x14ac:dyDescent="0.4"/>
    <row r="228" spans="2:35" ht="23.25" x14ac:dyDescent="0.7">
      <c r="B228" s="13" t="s">
        <v>452</v>
      </c>
      <c r="E228" s="18"/>
      <c r="J228" s="16"/>
    </row>
    <row r="229" spans="2:35" ht="14.25" x14ac:dyDescent="0.45">
      <c r="B229" s="129" t="s">
        <v>373</v>
      </c>
      <c r="E229" s="18"/>
      <c r="J229" s="16"/>
    </row>
    <row r="230" spans="2:35" customFormat="1" x14ac:dyDescent="0.4"/>
    <row r="231" spans="2:35" customFormat="1" ht="18" x14ac:dyDescent="0.55000000000000004">
      <c r="B231" s="50" t="s">
        <v>907</v>
      </c>
    </row>
    <row r="232" spans="2:35" customFormat="1" x14ac:dyDescent="0.4">
      <c r="B232" t="s">
        <v>491</v>
      </c>
      <c r="C232" s="126" t="e">
        <f>IFERROR(
  AVERAGEIFS(
    69:69,
    32:32, "&gt;" &amp; MTP_YearT,
    32:32, "&lt;=" &amp; AdjustmentPeriodEnd
  ),
  NA()
)</f>
        <v>#N/A</v>
      </c>
    </row>
    <row r="233" spans="2:35" customFormat="1" x14ac:dyDescent="0.4">
      <c r="B233" t="s">
        <v>492</v>
      </c>
      <c r="C233" s="126">
        <f>AVERAGEIFS(
  34:34,
  32:32, "&gt;" &amp; MTP_YearT,
  32:32, "&lt;=" &amp; AdjustmentPeriodEnd
)</f>
        <v>0</v>
      </c>
    </row>
    <row r="234" spans="2:35" customFormat="1" x14ac:dyDescent="0.4">
      <c r="B234" t="s">
        <v>493</v>
      </c>
      <c r="C234" s="126" t="e">
        <f>IFERROR(C232-C233&lt;0, NA())</f>
        <v>#N/A</v>
      </c>
    </row>
    <row r="235" spans="2:35" x14ac:dyDescent="0.4">
      <c r="B235" s="14" t="s">
        <v>494</v>
      </c>
      <c r="C235" s="15" t="b">
        <f>IF(Receives_reference_trajectory,'Step 4 (MTP) - IFI scrutiny'!D3="Yes","Not applicable")</f>
        <v>1</v>
      </c>
      <c r="J235" s="71"/>
      <c r="K235" s="71"/>
      <c r="L235" s="71"/>
      <c r="M235" s="71"/>
      <c r="N235" s="71"/>
      <c r="O235" s="71"/>
      <c r="P235" s="71"/>
      <c r="Q235" s="71"/>
      <c r="R235" s="71"/>
      <c r="S235" s="71"/>
      <c r="T235" s="71"/>
      <c r="U235" s="71"/>
      <c r="V235" s="71"/>
      <c r="W235" s="71"/>
      <c r="X235" s="71"/>
      <c r="Y235" s="71"/>
      <c r="Z235" s="71"/>
      <c r="AA235" s="71"/>
      <c r="AB235" s="71"/>
      <c r="AC235" s="71" t="s">
        <v>264</v>
      </c>
      <c r="AD235" s="71"/>
      <c r="AE235" s="71"/>
      <c r="AF235" s="71"/>
      <c r="AG235" s="71"/>
      <c r="AH235" s="71"/>
      <c r="AI235" s="71"/>
    </row>
    <row r="236" spans="2:35" customFormat="1" x14ac:dyDescent="0.4">
      <c r="B236" t="s">
        <v>258</v>
      </c>
      <c r="C236" s="127" t="str">
        <f>_xlfn.IFNA(
  IF(
    C234,
    "The average net expenditure growth reported in " &amp; Country &amp; "'s plan over the adjustment period (" &amp; MTP_YearT+1 &amp; "–" &amp; AdjustmentPeriodEnd &amp; ") is higher than the " &amp;
      IF(Receives_reference_trajectory,"reference trajectory","technical information path") &amp;
      " transmitted by the Commission on " &amp; TEXT(PriorGuidanceTransmissionDate,"d mmmm yyyy") &amp;
      IF(AND(C234, C235&lt;&gt;"Not applicable"), "", "."),
    "The average net expenditure growth reported in " &amp; Country &amp; "'s plan over the adjustment period (" &amp; MTP_YearT+1 &amp; "–" &amp; AdjustmentPeriodEnd &amp; ") does not exceed the average net expenditure growth in the " &amp;
      IF(Receives_reference_trajectory,"reference trajectory","technical information") &amp;
      " transmitted by the Commission on " &amp; TEXT(PriorGuidanceTransmissionDate,"d mmmm yyyy") &amp; "."
  )
  &amp;
  IF(
    AND(C234, NOT(Receives_reference_trajectory)),
    " but remaining below the technical information path is not required.",
    IF(
      AND(C234, C235&lt;&gt;"Not applicable"),
      IF(
        C235,
        ", but the " &amp; IFI_Name &amp; " deems the explanation and alternative assumptions to be satisfactory.",
        ", and the " &amp; IFI_Name &amp; " does not deem the explanation and alternative assumptions to be satisfactory."
      ),
      ""
    )
  ),
  "N/A"
)</f>
        <v>N/A</v>
      </c>
    </row>
    <row r="237" spans="2:35" customFormat="1" x14ac:dyDescent="0.4">
      <c r="C237" s="4"/>
    </row>
    <row r="238" spans="2:35" customFormat="1" ht="26.25" customHeight="1" x14ac:dyDescent="0.55000000000000004">
      <c r="B238" s="50" t="s">
        <v>915</v>
      </c>
    </row>
    <row r="239" spans="2:35" customFormat="1" ht="15.75" x14ac:dyDescent="0.5">
      <c r="B239" s="79" t="s">
        <v>511</v>
      </c>
    </row>
    <row r="240" spans="2:35" x14ac:dyDescent="0.4">
      <c r="B240" s="5" t="s">
        <v>510</v>
      </c>
      <c r="C240" s="15" t="b" cm="1">
        <f t="array" ref="C240">IF(Receives_reference_trajectory,SUMPRODUCT(((46:46&gt;=MTP_YearT)*(46:46&lt;=AdjustmentPeriodEnd)*(64:64&lt;=34:34)))=0,NA())</f>
        <v>1</v>
      </c>
      <c r="E240" s="18"/>
      <c r="J240" s="16"/>
    </row>
    <row r="241" spans="2:35" x14ac:dyDescent="0.4">
      <c r="B241" s="14" t="s">
        <v>519</v>
      </c>
      <c r="C241" s="15" t="e">
        <f>IF(AND(Receives_reference_trajectory,NOT(C240)),'Step 4 (MTP) - IFI scrutiny'!D3="Yes",NA())</f>
        <v>#N/A</v>
      </c>
      <c r="J241" s="71"/>
      <c r="K241" s="71"/>
      <c r="L241" s="71"/>
      <c r="M241" s="71"/>
      <c r="N241" s="71"/>
      <c r="O241" s="71"/>
      <c r="P241" s="71"/>
      <c r="Q241" s="71"/>
      <c r="R241" s="71"/>
      <c r="S241" s="71"/>
      <c r="T241" s="71"/>
      <c r="U241" s="71"/>
      <c r="V241" s="71"/>
      <c r="W241" s="71"/>
      <c r="X241" s="71"/>
      <c r="Y241" s="71"/>
      <c r="Z241" s="71"/>
      <c r="AA241" s="71"/>
      <c r="AB241" s="71"/>
      <c r="AC241" s="71" t="s">
        <v>264</v>
      </c>
      <c r="AD241" s="71"/>
      <c r="AE241" s="71"/>
      <c r="AF241" s="71"/>
      <c r="AG241" s="71"/>
      <c r="AH241" s="71"/>
      <c r="AI241" s="71"/>
    </row>
    <row r="242" spans="2:35" x14ac:dyDescent="0.4">
      <c r="B242" s="14" t="s">
        <v>516</v>
      </c>
      <c r="C242" s="15" t="b">
        <f>IF(
  Receives_reference_trajectory,
  OR(C240, IFERROR(C241, TRUE)),
  NA()
)</f>
        <v>1</v>
      </c>
      <c r="J242" s="71"/>
      <c r="K242" s="71"/>
      <c r="L242" s="71"/>
      <c r="M242" s="71"/>
      <c r="N242" s="71"/>
      <c r="O242" s="71"/>
      <c r="P242" s="71"/>
      <c r="Q242" s="71"/>
      <c r="R242" s="71"/>
      <c r="S242" s="71"/>
      <c r="T242" s="71"/>
      <c r="U242" s="71"/>
      <c r="V242" s="71"/>
      <c r="W242" s="71"/>
      <c r="X242" s="71"/>
      <c r="Y242" s="71"/>
      <c r="Z242" s="71"/>
      <c r="AA242" s="71"/>
      <c r="AB242" s="71"/>
      <c r="AC242" s="71"/>
      <c r="AD242" s="71"/>
      <c r="AE242" s="71"/>
      <c r="AF242" s="71"/>
      <c r="AG242" s="71"/>
      <c r="AH242" s="71"/>
      <c r="AI242" s="71"/>
    </row>
    <row r="243" spans="2:35" x14ac:dyDescent="0.4">
      <c r="B243" s="14" t="s">
        <v>258</v>
      </c>
      <c r="C243" s="102" t="str">
        <f>IF(
  Receives_reference_trajectory,
  IF(
    C240,
    "The net expenditure path in " &amp; Country &amp; "'s latest MTP adheres to the Commission's reference trajectory.",
    IF(
      C241,
      "The net expenditure path in " &amp; Country &amp; "'s latest MTP exceeds the Commission's reference trajectory but the " &amp; IFI_Name &amp;
      " deems the explanation and alternative assumptions to be satisfactory.",
      "The net expenditure path in " &amp; Country &amp; "'s latest MTP exceeds the Commission's reference trajectory and the " &amp; IFI_Name &amp;
      " does not consider the explanation and alternative assumptions to be satisfactory."
    )
  ),
  "Not applicable."
)</f>
        <v>The net expenditure path in Select country's latest MTP adheres to the Commission's reference trajectory.</v>
      </c>
      <c r="J243" s="71"/>
      <c r="K243" s="71"/>
      <c r="L243" s="71"/>
      <c r="M243" s="71"/>
      <c r="N243" s="71"/>
      <c r="O243" s="71"/>
      <c r="P243" s="71"/>
      <c r="Q243" s="71"/>
      <c r="R243" s="71"/>
      <c r="S243" s="71"/>
      <c r="T243" s="71"/>
      <c r="U243" s="71"/>
      <c r="V243" s="71"/>
      <c r="W243" s="71"/>
      <c r="X243" s="71"/>
      <c r="Y243" s="71"/>
      <c r="Z243" s="71"/>
      <c r="AA243" s="71"/>
      <c r="AB243" s="71"/>
      <c r="AC243" s="71"/>
      <c r="AD243" s="71"/>
      <c r="AE243" s="71"/>
      <c r="AF243" s="71"/>
      <c r="AG243" s="71"/>
      <c r="AH243" s="71"/>
      <c r="AI243" s="71"/>
    </row>
    <row r="244" spans="2:35" x14ac:dyDescent="0.4">
      <c r="C244" s="97"/>
      <c r="J244" s="71"/>
      <c r="K244" s="71"/>
      <c r="L244" s="71"/>
      <c r="M244" s="71"/>
      <c r="N244" s="71"/>
      <c r="O244" s="71"/>
      <c r="P244" s="71"/>
      <c r="Q244" s="71"/>
      <c r="R244" s="71"/>
      <c r="S244" s="71"/>
      <c r="T244" s="71"/>
      <c r="U244" s="71"/>
      <c r="V244" s="71"/>
      <c r="W244" s="71"/>
      <c r="X244" s="71"/>
      <c r="Y244" s="71"/>
      <c r="Z244" s="71"/>
      <c r="AA244" s="71"/>
      <c r="AB244" s="71"/>
      <c r="AC244" s="71"/>
      <c r="AD244" s="71"/>
      <c r="AE244" s="71"/>
      <c r="AF244" s="71"/>
      <c r="AG244" s="71"/>
      <c r="AH244" s="71"/>
      <c r="AI244" s="71"/>
    </row>
    <row r="245" spans="2:35" ht="15.75" x14ac:dyDescent="0.5">
      <c r="B245" s="79" t="s">
        <v>454</v>
      </c>
      <c r="C245" s="37"/>
      <c r="J245" s="71"/>
      <c r="K245" s="71"/>
      <c r="L245" s="71"/>
      <c r="M245" s="71"/>
      <c r="N245" s="71"/>
      <c r="O245" s="71"/>
      <c r="P245" s="71"/>
      <c r="Q245" s="71"/>
      <c r="R245" s="71"/>
      <c r="S245" s="71"/>
      <c r="T245" s="71"/>
      <c r="U245" s="71"/>
      <c r="V245" s="71"/>
      <c r="W245" s="71"/>
      <c r="X245" s="71"/>
      <c r="Y245" s="71"/>
      <c r="Z245" s="71"/>
      <c r="AA245" s="71"/>
      <c r="AB245" s="71"/>
      <c r="AC245" s="71"/>
      <c r="AD245" s="71"/>
      <c r="AE245" s="71"/>
      <c r="AF245" s="71"/>
      <c r="AG245" s="71"/>
      <c r="AH245" s="71"/>
      <c r="AI245" s="71"/>
    </row>
    <row r="246" spans="2:35" x14ac:dyDescent="0.4">
      <c r="B246" t="str">
        <f>"Minimum level of the primary structural balance without safeguard, "&amp;AdjustmentPeriodEnd</f>
        <v>Minimum level of the primary structural balance without safeguard, 2028</v>
      </c>
      <c r="C246" s="138" t="e">
        <f>IF(
  Receives_reference_trajectory,
  NA(),
  INDEX($65:$65, MATCH(AdjustmentPeriodEnd, $62:$62, 0))
)</f>
        <v>#N/A</v>
      </c>
      <c r="J246" s="71"/>
      <c r="K246" s="71"/>
      <c r="L246" s="71"/>
      <c r="M246" s="71"/>
      <c r="N246" s="71"/>
      <c r="O246" s="71"/>
      <c r="P246" s="71"/>
      <c r="Q246" s="71"/>
      <c r="R246" s="71"/>
      <c r="S246" s="71"/>
      <c r="T246" s="71"/>
      <c r="U246" s="71"/>
      <c r="V246" s="71"/>
      <c r="W246" s="71"/>
      <c r="X246" s="71"/>
      <c r="Y246" s="71"/>
      <c r="Z246" s="71"/>
      <c r="AA246" s="71"/>
      <c r="AB246" s="71"/>
      <c r="AC246" s="71"/>
      <c r="AD246" s="71"/>
      <c r="AE246" s="71"/>
      <c r="AF246" s="71"/>
      <c r="AG246" s="71"/>
      <c r="AH246" s="71"/>
      <c r="AI246" s="71"/>
    </row>
    <row r="247" spans="2:35" x14ac:dyDescent="0.4">
      <c r="B247" t="str">
        <f>"Minimum level of the primary structural balance with safeguard, "&amp;AdjustmentPeriodEnd</f>
        <v>Minimum level of the primary structural balance with safeguard, 2028</v>
      </c>
      <c r="C247" s="138" t="e">
        <f>IF(
  Receives_reference_trajectory,
  NA(),
  INDEX($66:$66, MATCH(AdjustmentPeriodEnd, $62:$62, 0))
)</f>
        <v>#N/A</v>
      </c>
      <c r="J247" s="71"/>
      <c r="K247" s="71"/>
      <c r="L247" s="71"/>
      <c r="M247" s="71"/>
      <c r="N247" s="71"/>
      <c r="O247" s="71"/>
      <c r="P247" s="71"/>
      <c r="Q247" s="71"/>
      <c r="R247" s="71"/>
      <c r="S247" s="71"/>
      <c r="T247" s="71"/>
      <c r="U247" s="71"/>
      <c r="V247" s="71"/>
      <c r="W247" s="71"/>
      <c r="X247" s="71"/>
      <c r="Y247" s="71"/>
      <c r="Z247" s="71"/>
      <c r="AA247" s="71"/>
      <c r="AB247" s="71"/>
      <c r="AC247" s="71"/>
      <c r="AD247" s="71"/>
      <c r="AE247" s="71"/>
      <c r="AF247" s="71"/>
      <c r="AG247" s="71"/>
      <c r="AH247" s="71"/>
      <c r="AI247" s="71"/>
    </row>
    <row r="248" spans="2:35" x14ac:dyDescent="0.4">
      <c r="B248" t="str">
        <f>"Primary structural balance in MTP in "&amp;AdjustmentPeriodEnd</f>
        <v>Primary structural balance in MTP in 2028</v>
      </c>
      <c r="C248" s="97" t="e">
        <f>IF(
  Receives_reference_trajectory,
  NA(),
  INDEX(37:37, MATCH(AdjustmentPeriodEnd, 32:32, 0))
)</f>
        <v>#N/A</v>
      </c>
      <c r="J248" s="71"/>
      <c r="K248" s="71"/>
      <c r="L248" s="71"/>
      <c r="M248" s="71"/>
      <c r="N248" s="71"/>
      <c r="O248" s="71"/>
      <c r="P248" s="71"/>
      <c r="Q248" s="71"/>
      <c r="R248" s="71"/>
      <c r="S248" s="71"/>
      <c r="T248" s="71"/>
      <c r="U248" s="71"/>
      <c r="V248" s="71"/>
      <c r="W248" s="71"/>
      <c r="X248" s="71"/>
      <c r="Y248" s="71"/>
      <c r="Z248" s="71"/>
      <c r="AA248" s="71"/>
      <c r="AB248" s="71"/>
      <c r="AC248" s="71"/>
      <c r="AD248" s="71"/>
      <c r="AE248" s="71"/>
      <c r="AF248" s="71"/>
      <c r="AG248" s="71"/>
      <c r="AH248" s="71"/>
      <c r="AI248" s="71"/>
    </row>
    <row r="249" spans="2:35" x14ac:dyDescent="0.4">
      <c r="B249"/>
      <c r="C249" s="97"/>
      <c r="J249" s="71"/>
      <c r="K249" s="71"/>
      <c r="L249" s="71"/>
      <c r="M249" s="71"/>
      <c r="N249" s="71"/>
      <c r="O249" s="71"/>
      <c r="P249" s="71"/>
      <c r="Q249" s="71"/>
      <c r="R249" s="71"/>
      <c r="S249" s="71"/>
      <c r="T249" s="71"/>
      <c r="U249" s="71"/>
      <c r="V249" s="71"/>
      <c r="W249" s="71"/>
      <c r="X249" s="71"/>
      <c r="Y249" s="71"/>
      <c r="Z249" s="71"/>
      <c r="AA249" s="71"/>
      <c r="AB249" s="71"/>
      <c r="AC249" s="71"/>
      <c r="AD249" s="71"/>
      <c r="AE249" s="71"/>
      <c r="AF249" s="71"/>
      <c r="AG249" s="71"/>
      <c r="AH249" s="71"/>
      <c r="AI249" s="71"/>
    </row>
    <row r="250" spans="2:35" x14ac:dyDescent="0.4">
      <c r="B250" t="s">
        <v>512</v>
      </c>
      <c r="C250" s="97" t="e">
        <f>IF(
  Receives_reference_trajectory,
  NA(),
  C248 &gt;= C246
)</f>
        <v>#N/A</v>
      </c>
      <c r="J250" s="71"/>
      <c r="K250" s="71"/>
      <c r="L250" s="71"/>
      <c r="M250" s="71"/>
      <c r="N250" s="71"/>
      <c r="O250" s="71"/>
      <c r="P250" s="71"/>
      <c r="Q250" s="71"/>
      <c r="R250" s="71"/>
      <c r="S250" s="71"/>
      <c r="T250" s="71"/>
      <c r="U250" s="71"/>
      <c r="V250" s="71"/>
      <c r="W250" s="71"/>
      <c r="X250" s="71"/>
      <c r="Y250" s="71"/>
      <c r="Z250" s="71"/>
      <c r="AA250" s="71"/>
      <c r="AB250" s="71"/>
      <c r="AC250" s="71"/>
      <c r="AD250" s="71"/>
      <c r="AE250" s="71"/>
      <c r="AF250" s="71"/>
      <c r="AG250" s="71"/>
      <c r="AH250" s="71"/>
      <c r="AI250" s="71"/>
    </row>
    <row r="251" spans="2:35" x14ac:dyDescent="0.4">
      <c r="B251" s="14" t="s">
        <v>270</v>
      </c>
      <c r="C251" s="15" t="e">
        <f>IF(Receives_reference_trajectory,NA(),IF(NOT(C250),'Step 4 (MTP) - IFI scrutiny'!D3,NA()))</f>
        <v>#N/A</v>
      </c>
      <c r="J251" s="71"/>
      <c r="K251" s="71"/>
      <c r="L251" s="71"/>
      <c r="M251" s="71"/>
      <c r="N251" s="71"/>
      <c r="O251" s="71"/>
      <c r="P251" s="71"/>
      <c r="Q251" s="71"/>
      <c r="R251" s="71"/>
      <c r="S251" s="71"/>
      <c r="T251" s="71"/>
      <c r="U251" s="71"/>
      <c r="V251" s="71"/>
      <c r="W251" s="71"/>
      <c r="X251" s="71"/>
      <c r="Y251" s="71"/>
      <c r="Z251" s="71"/>
      <c r="AA251" s="71"/>
      <c r="AB251" s="71"/>
      <c r="AC251" s="71" t="s">
        <v>264</v>
      </c>
      <c r="AD251" s="71"/>
      <c r="AE251" s="71"/>
      <c r="AF251" s="71"/>
      <c r="AG251" s="71"/>
      <c r="AH251" s="71"/>
      <c r="AI251" s="71"/>
    </row>
    <row r="252" spans="2:35" x14ac:dyDescent="0.4">
      <c r="B252" t="s">
        <v>582</v>
      </c>
      <c r="C252" s="15" t="e">
        <f>IF(
  Receives_reference_trajectory,
  NA(),
  OR(
    C250,
    IF(ISNA(C251), TRUE, C251)
  )
)</f>
        <v>#N/A</v>
      </c>
      <c r="J252" s="71"/>
      <c r="K252" s="71"/>
      <c r="L252" s="71"/>
      <c r="M252" s="71"/>
      <c r="N252" s="71"/>
      <c r="O252" s="71"/>
      <c r="P252" s="71"/>
      <c r="Q252" s="71"/>
      <c r="R252" s="71"/>
      <c r="S252" s="71"/>
      <c r="T252" s="71"/>
      <c r="U252" s="71"/>
      <c r="V252" s="71"/>
      <c r="W252" s="71"/>
      <c r="X252" s="71"/>
      <c r="Y252" s="71"/>
      <c r="Z252" s="71"/>
      <c r="AA252" s="71"/>
      <c r="AB252" s="71"/>
      <c r="AC252" s="71"/>
      <c r="AD252" s="71"/>
      <c r="AE252" s="71"/>
      <c r="AF252" s="71"/>
      <c r="AG252" s="71"/>
      <c r="AH252" s="71"/>
      <c r="AI252" s="71"/>
    </row>
    <row r="253" spans="2:35" x14ac:dyDescent="0.4">
      <c r="B253" s="14" t="s">
        <v>258</v>
      </c>
      <c r="C253" s="102" t="str">
        <f>IF(
  NOT(Receives_reference_trajectory),
  IF(
    C250,
    "The net expenditure path in " &amp; Country &amp; "'s latest MTP ensures the primary structural balance is above the minimum level of the Commission's prior guidance at the end of the adjustment period.",
    IF(
      C251,
      "The net expenditure path in " &amp; Country &amp; "'s does not result in a primary structural balance above the minimum level of the Commission's prior guidance at the end of the adjustment period." &amp; " but the " &amp; IFI_Name &amp;
      " deems the explanation and alternative assumptions to be satisfactory.",
      "The net expenditure path in " &amp; Country &amp; "'s latest MTP does not result in a primary structural balance above the minimum level of the Commission's prior guidance at the end of the adjustment period, and the " &amp; IFI_Name &amp; " does not consider the explanation and alternative assumptions to be satisfactory."
    )
  ),
  "Not applicable."
)</f>
        <v>Not applicable.</v>
      </c>
      <c r="J253" s="71"/>
      <c r="K253" s="71"/>
      <c r="L253" s="71"/>
      <c r="M253" s="71"/>
      <c r="N253" s="71"/>
      <c r="O253" s="71"/>
      <c r="P253" s="71"/>
      <c r="Q253" s="71"/>
      <c r="R253" s="71"/>
      <c r="S253" s="71"/>
      <c r="T253" s="71"/>
      <c r="U253" s="71"/>
      <c r="V253" s="71"/>
      <c r="W253" s="71"/>
      <c r="X253" s="71"/>
      <c r="Y253" s="71"/>
      <c r="Z253" s="71"/>
      <c r="AA253" s="71"/>
      <c r="AB253" s="71"/>
      <c r="AC253" s="71"/>
      <c r="AD253" s="71"/>
      <c r="AE253" s="71"/>
      <c r="AF253" s="71"/>
      <c r="AG253" s="71"/>
      <c r="AH253" s="71"/>
      <c r="AI253" s="71"/>
    </row>
    <row r="254" spans="2:35" ht="15.75" x14ac:dyDescent="0.5">
      <c r="B254" s="79"/>
      <c r="C254" s="102"/>
      <c r="J254" s="71"/>
      <c r="K254" s="71"/>
      <c r="L254" s="71"/>
      <c r="M254" s="71"/>
      <c r="N254" s="71"/>
      <c r="O254" s="71"/>
      <c r="P254" s="71"/>
      <c r="Q254" s="71"/>
      <c r="R254" s="71"/>
      <c r="S254" s="71"/>
      <c r="T254" s="71"/>
      <c r="U254" s="71"/>
      <c r="V254" s="71"/>
      <c r="W254" s="71"/>
      <c r="X254" s="71"/>
      <c r="Y254" s="71"/>
      <c r="Z254" s="71"/>
      <c r="AA254" s="71"/>
      <c r="AB254" s="71"/>
      <c r="AC254" s="71"/>
      <c r="AD254" s="71"/>
      <c r="AE254" s="71"/>
      <c r="AF254" s="71"/>
      <c r="AG254" s="71"/>
      <c r="AH254" s="71"/>
      <c r="AI254" s="71"/>
    </row>
    <row r="255" spans="2:35" ht="20.25" customHeight="1" x14ac:dyDescent="0.7">
      <c r="B255" s="13" t="s">
        <v>523</v>
      </c>
      <c r="C255" s="18"/>
      <c r="J255" s="71"/>
      <c r="K255" s="71"/>
      <c r="L255" s="71"/>
      <c r="M255" s="71"/>
      <c r="N255" s="71"/>
      <c r="O255" s="71"/>
      <c r="P255" s="71"/>
      <c r="Q255" s="71"/>
      <c r="R255" s="71"/>
      <c r="S255" s="71"/>
      <c r="T255" s="71"/>
      <c r="U255" s="71"/>
      <c r="V255" s="71"/>
      <c r="W255" s="71"/>
      <c r="X255" s="71"/>
      <c r="Y255" s="71"/>
      <c r="Z255" s="71"/>
      <c r="AA255" s="71"/>
      <c r="AB255" s="71"/>
      <c r="AC255" s="71"/>
      <c r="AD255" s="71"/>
      <c r="AE255" s="71"/>
      <c r="AF255" s="71"/>
      <c r="AG255" s="71"/>
      <c r="AH255" s="71"/>
      <c r="AI255" s="71"/>
    </row>
    <row r="256" spans="2:35" ht="18" x14ac:dyDescent="0.55000000000000004">
      <c r="B256" s="50" t="s">
        <v>908</v>
      </c>
      <c r="C256" s="18"/>
      <c r="J256" s="71"/>
      <c r="K256" s="71"/>
      <c r="L256" s="71"/>
      <c r="M256" s="71"/>
      <c r="N256" s="71"/>
      <c r="O256" s="71"/>
      <c r="P256" s="71"/>
      <c r="Q256" s="71"/>
      <c r="R256" s="71"/>
      <c r="S256" s="71"/>
      <c r="T256" s="71"/>
      <c r="U256" s="71"/>
      <c r="V256" s="71"/>
      <c r="W256" s="71"/>
      <c r="X256" s="71"/>
      <c r="Y256" s="71"/>
      <c r="Z256" s="71"/>
      <c r="AA256" s="71"/>
      <c r="AB256" s="71"/>
      <c r="AC256" s="71"/>
      <c r="AD256" s="71"/>
      <c r="AE256" s="71"/>
      <c r="AF256" s="71"/>
      <c r="AG256" s="71"/>
      <c r="AH256" s="71"/>
      <c r="AI256" s="71"/>
    </row>
    <row r="257" spans="2:35" customFormat="1" ht="15.75" x14ac:dyDescent="0.5">
      <c r="B257" s="79" t="s">
        <v>511</v>
      </c>
    </row>
    <row r="258" spans="2:35" x14ac:dyDescent="0.4">
      <c r="B258" t="s">
        <v>453</v>
      </c>
      <c r="C258" s="15" t="b">
        <f>IF(
  NOT(Receives_reference_trajectory),
  "Not applicable",
  MAX(
    _xlfn.CHOOSECOLS(
      52:52,
      _xlfn.SEQUENCE(
        1,
        _xlfn.XMATCH(AdjustmentPeriodEnd+10,46:46,1) - _xlfn.XMATCH(AdjustmentPeriodEnd,46:46,0),
        _xlfn.XMATCH(AdjustmentPeriodEnd,46:46,0) + 1
      )
    )
  ) &lt;= TFEU_Debt
)</f>
        <v>1</v>
      </c>
      <c r="J258" s="71"/>
      <c r="K258" s="71"/>
      <c r="L258" s="71"/>
      <c r="M258" s="71"/>
      <c r="N258" s="71"/>
      <c r="O258" s="71"/>
      <c r="P258" s="71"/>
      <c r="Q258" s="71"/>
      <c r="R258" s="71"/>
      <c r="S258" s="71"/>
      <c r="T258" s="71"/>
      <c r="U258" s="71"/>
      <c r="V258" s="71"/>
      <c r="W258" s="71"/>
      <c r="X258" s="71"/>
      <c r="Y258" s="71"/>
      <c r="Z258" s="71"/>
      <c r="AA258" s="71"/>
      <c r="AB258" s="71"/>
      <c r="AC258" s="71"/>
      <c r="AD258" s="71"/>
      <c r="AE258" s="71"/>
      <c r="AF258" s="71"/>
      <c r="AG258" s="71"/>
      <c r="AH258" s="71"/>
      <c r="AI258" s="71"/>
    </row>
    <row r="259" spans="2:35" ht="20.25" customHeight="1" x14ac:dyDescent="0.4">
      <c r="B259" t="s">
        <v>362</v>
      </c>
      <c r="C259" s="18"/>
      <c r="E259" s="18"/>
      <c r="J259" s="16"/>
    </row>
    <row r="260" spans="2:35" x14ac:dyDescent="0.4">
      <c r="B260" s="12" t="s">
        <v>356</v>
      </c>
      <c r="C260" s="15" t="str" cm="1">
        <f t="array" ref="C260">IF(OR(NOT(Receives_reference_trajectory),C258),"Not applicable",
 IF(_xlfn.XMATCH(AdjustmentPeriodEnd+10,46:46,1)-_xlfn.XMATCH(AdjustmentPeriodEnd,46:46,0)&lt;=0,TRUE,
   MAX(
     _xlfn.CHOOSECOLS(52:52,_xlfn.SEQUENCE(1,_xlfn.XMATCH(AdjustmentPeriodEnd+10,46:46,1)-_xlfn.XMATCH(AdjustmentPeriodEnd,46:46,0),_xlfn.XMATCH(AdjustmentPeriodEnd,46:46,0)+1)) -
     _xlfn.CHOOSECOLS(52:52,_xlfn.SEQUENCE(1,_xlfn.XMATCH(AdjustmentPeriodEnd+10,46:46,1)-_xlfn.XMATCH(AdjustmentPeriodEnd,46:46,0),_xlfn.XMATCH(AdjustmentPeriodEnd,46:46,0)))
   )&lt;=0
 ))</f>
        <v>Not applicable</v>
      </c>
      <c r="E260" s="18"/>
      <c r="J260" s="16"/>
    </row>
    <row r="261" spans="2:35" x14ac:dyDescent="0.4">
      <c r="B261" s="12" t="s">
        <v>357</v>
      </c>
      <c r="C261" s="15" t="str" cm="1">
        <f t="array" ref="C261">IF(OR(NOT(Receives_reference_trajectory),C258),"Not applicable",
 IF(_xlfn.XMATCH(AdjustmentPeriodEnd+10,46:46,1)-_xlfn.XMATCH(AdjustmentPeriodEnd,46:46,0)&lt;=0,TRUE,
   MAX(
     _xlfn.CHOOSECOLS(75:75,_xlfn.SEQUENCE(1,_xlfn.XMATCH(AdjustmentPeriodEnd+10,46:46,1)-_xlfn.XMATCH(AdjustmentPeriodEnd,46:46,0),_xlfn.XMATCH(AdjustmentPeriodEnd,46:46,0)+1)) -
     _xlfn.CHOOSECOLS(75:75,_xlfn.SEQUENCE(1,_xlfn.XMATCH(AdjustmentPeriodEnd+10,46:46,1)-_xlfn.XMATCH(AdjustmentPeriodEnd,46:46,0),_xlfn.XMATCH(AdjustmentPeriodEnd,46:46,0)))
   )&lt;=0
 ))</f>
        <v>Not applicable</v>
      </c>
      <c r="E261" s="18"/>
      <c r="J261" s="16"/>
    </row>
    <row r="262" spans="2:35" x14ac:dyDescent="0.4">
      <c r="B262" s="12" t="s">
        <v>358</v>
      </c>
      <c r="C262" s="15" t="str" cm="1">
        <f t="array" ref="C262">IF(OR(NOT(Receives_reference_trajectory),C258),"Not applicable",
 IF(_xlfn.XMATCH(AdjustmentPeriodEnd+10,46:46,1)-_xlfn.XMATCH(AdjustmentPeriodEnd,46:46,0)&lt;=0,TRUE,
   MAX(
     _xlfn.CHOOSECOLS(76:76,_xlfn.SEQUENCE(1,_xlfn.XMATCH(AdjustmentPeriodEnd+10,46:46,1)-_xlfn.XMATCH(AdjustmentPeriodEnd,46:46,0),_xlfn.XMATCH(AdjustmentPeriodEnd,46:46,0)+1)) -
     _xlfn.CHOOSECOLS(76:76,_xlfn.SEQUENCE(1,_xlfn.XMATCH(AdjustmentPeriodEnd+10,46:46,1)-_xlfn.XMATCH(AdjustmentPeriodEnd,46:46,0),_xlfn.XMATCH(AdjustmentPeriodEnd,46:46,0)))
   )&lt;=0
 ))</f>
        <v>Not applicable</v>
      </c>
      <c r="E262" s="18"/>
      <c r="J262" s="16"/>
    </row>
    <row r="263" spans="2:35" x14ac:dyDescent="0.4">
      <c r="B263" s="12" t="s">
        <v>359</v>
      </c>
      <c r="C263" s="15" t="str" cm="1">
        <f t="array" ref="C263">IF(OR(NOT(Receives_reference_trajectory),C258),"Not applicable",
 IF(_xlfn.XMATCH(AdjustmentPeriodEnd+10,46:46,1)-_xlfn.XMATCH(AdjustmentPeriodEnd,46:46,0)&lt;=0,TRUE,
   MAX(
     _xlfn.CHOOSECOLS(77:77,_xlfn.SEQUENCE(1,_xlfn.XMATCH(AdjustmentPeriodEnd+10,46:46,1)-_xlfn.XMATCH(AdjustmentPeriodEnd,46:46,0),_xlfn.XMATCH(AdjustmentPeriodEnd,46:46,0)+1)) -
     _xlfn.CHOOSECOLS(77:77,_xlfn.SEQUENCE(1,_xlfn.XMATCH(AdjustmentPeriodEnd+10,46:46,1)-_xlfn.XMATCH(AdjustmentPeriodEnd,46:46,0),_xlfn.XMATCH(AdjustmentPeriodEnd,46:46,0)))
   )&lt;=0
 ))</f>
        <v>Not applicable</v>
      </c>
      <c r="E263" s="18"/>
      <c r="J263" s="16"/>
    </row>
    <row r="264" spans="2:35" x14ac:dyDescent="0.4">
      <c r="B264" s="12" t="s">
        <v>360</v>
      </c>
      <c r="C264" s="15" t="str" cm="1">
        <f t="array" ref="C264">IF(OR(NOT(Receives_reference_trajectory),C258),"Not applicable",
 IF(_xlfn.XMATCH(AdjustmentPeriodEnd+5,46:46,1)-_xlfn.XMATCH(AdjustmentPeriodEnd,46:46,0)&lt;=0,TRUE,
   INDEX(87:87,_xlfn.XMATCH(AdjustmentPeriodEnd+5,46:46,1)) &lt; INDEX(87:87,_xlfn.XMATCH(AdjustmentPeriodEnd,46:46,0))
 ))</f>
        <v>Not applicable</v>
      </c>
      <c r="E264" s="18"/>
      <c r="J264" s="16"/>
    </row>
    <row r="265" spans="2:35" x14ac:dyDescent="0.4">
      <c r="B265" t="s">
        <v>361</v>
      </c>
      <c r="C265" s="15" t="b" cm="1">
        <f t="array" ref="C265">IF(
  NOT(Receives_reference_trajectory),
  "Not applicable",
  IF(
    C258,
    TRUE,
    AND(
      IF(_xlfn.XMATCH(AdjustmentPeriodEnd+10,46:46,1)-_xlfn.XMATCH(AdjustmentPeriodEnd,46:46,0)&lt;=0,TRUE,
         MAX(
           _xlfn.CHOOSECOLS(52:52,_xlfn.SEQUENCE(1,_xlfn.XMATCH(AdjustmentPeriodEnd+10,46:46,1)-_xlfn.XMATCH(AdjustmentPeriodEnd,46:46,0),_xlfn.XMATCH(AdjustmentPeriodEnd,46:46,0)+1))
           -_xlfn.CHOOSECOLS(52:52,_xlfn.SEQUENCE(1,_xlfn.XMATCH(AdjustmentPeriodEnd+10,46:46,1)-_xlfn.XMATCH(AdjustmentPeriodEnd,46:46,0),_xlfn.XMATCH(AdjustmentPeriodEnd,46:46,0)))
         )&lt;=0
      ),
      IF(_xlfn.XMATCH(AdjustmentPeriodEnd+10,46:46,1)-_xlfn.XMATCH(AdjustmentPeriodEnd,46:46,0)&lt;=0,TRUE,
         MAX(
           _xlfn.CHOOSECOLS(75:75,_xlfn.SEQUENCE(1,_xlfn.XMATCH(AdjustmentPeriodEnd+10,46:46,1)-_xlfn.XMATCH(AdjustmentPeriodEnd,46:46,0),_xlfn.XMATCH(AdjustmentPeriodEnd,46:46,0)+1))
           -_xlfn.CHOOSECOLS(75:75,_xlfn.SEQUENCE(1,_xlfn.XMATCH(AdjustmentPeriodEnd+10,46:46,1)-_xlfn.XMATCH(AdjustmentPeriodEnd,46:46,0),_xlfn.XMATCH(AdjustmentPeriodEnd,46:46,0)))
         )&lt;=0
      ),
      IF(_xlfn.XMATCH(AdjustmentPeriodEnd+10,46:46,1)-_xlfn.XMATCH(AdjustmentPeriodEnd,46:46,0)&lt;=0,TRUE,
         MAX(
           _xlfn.CHOOSECOLS(76:76,_xlfn.SEQUENCE(1,_xlfn.XMATCH(AdjustmentPeriodEnd+10,46:46,1)-_xlfn.XMATCH(AdjustmentPeriodEnd,46:46,0),_xlfn.XMATCH(AdjustmentPeriodEnd,46:46,0)+1))
           -_xlfn.CHOOSECOLS(76:76,_xlfn.SEQUENCE(1,_xlfn.XMATCH(AdjustmentPeriodEnd+10,46:46,1)-_xlfn.XMATCH(AdjustmentPeriodEnd,46:46,0),_xlfn.XMATCH(AdjustmentPeriodEnd,46:46,0)))
         )&lt;=0
      ),
      IF(_xlfn.XMATCH(AdjustmentPeriodEnd+10,46:46,1)-_xlfn.XMATCH(AdjustmentPeriodEnd,46:46,0)&lt;=0,TRUE,
         MAX(
           _xlfn.CHOOSECOLS(77:77,_xlfn.SEQUENCE(1,_xlfn.XMATCH(AdjustmentPeriodEnd+10,46:46,1)-_xlfn.XMATCH(AdjustmentPeriodEnd,46:46,0),_xlfn.XMATCH(AdjustmentPeriodEnd,46:46,0)+1))
           -_xlfn.CHOOSECOLS(77:77,_xlfn.SEQUENCE(1,_xlfn.XMATCH(AdjustmentPeriodEnd+10,46:46,1)-_xlfn.XMATCH(AdjustmentPeriodEnd,46:46,0),_xlfn.XMATCH(AdjustmentPeriodEnd,46:46,0)))
         )&lt;=0
      ),
      $D$58&gt;=70
    )
  )
)</f>
        <v>1</v>
      </c>
      <c r="E265" s="18"/>
      <c r="J265" s="16"/>
    </row>
    <row r="266" spans="2:35" ht="20.25" customHeight="1" x14ac:dyDescent="0.4">
      <c r="B266" s="14" t="s">
        <v>258</v>
      </c>
      <c r="C266" s="102" t="str">
        <f>IF(Receives_reference_trajectory,IF(C258,Country&amp;"'s planned net expenditure ensures gross government debt remains at prudent levels below 60% over the medium-term.",IF(C265,Country&amp;"'s planned net expenditure ensures gross government debt meets all risk-based debt requirements for a plausible downward path.",Country&amp;"'s planned net expenditure ensures gross government debt does not meet all risk-based debt requirements for a plausible downward path.")),NA())</f>
        <v>Select country's planned net expenditure ensures gross government debt remains at prudent levels below 60% over the medium-term.</v>
      </c>
      <c r="E266" s="18"/>
      <c r="J266" s="16"/>
    </row>
    <row r="267" spans="2:35" ht="20.25" customHeight="1" x14ac:dyDescent="0.4">
      <c r="C267" s="102"/>
      <c r="E267" s="18"/>
      <c r="J267" s="16"/>
    </row>
    <row r="268" spans="2:35" ht="15.75" x14ac:dyDescent="0.5">
      <c r="B268" s="79" t="s">
        <v>454</v>
      </c>
      <c r="C268" s="37"/>
      <c r="J268" s="71"/>
      <c r="K268" s="71"/>
      <c r="L268" s="71"/>
      <c r="M268" s="71"/>
      <c r="N268" s="71"/>
      <c r="O268" s="71"/>
      <c r="P268" s="71"/>
      <c r="Q268" s="71"/>
      <c r="R268" s="71"/>
      <c r="S268" s="71"/>
      <c r="T268" s="71"/>
      <c r="U268" s="71"/>
      <c r="V268" s="71"/>
      <c r="W268" s="71"/>
      <c r="X268" s="71"/>
      <c r="Y268" s="71"/>
      <c r="Z268" s="71"/>
      <c r="AA268" s="71"/>
      <c r="AB268" s="71"/>
      <c r="AC268" s="71"/>
      <c r="AD268" s="71"/>
      <c r="AE268" s="71"/>
      <c r="AF268" s="71"/>
      <c r="AG268" s="71"/>
      <c r="AH268" s="71"/>
      <c r="AI268" s="71"/>
    </row>
    <row r="269" spans="2:35" x14ac:dyDescent="0.4">
      <c r="B269" t="s">
        <v>513</v>
      </c>
      <c r="C269" s="15" t="e" cm="1">
        <f t="array" ref="C269">IF(
  Receives_reference_trajectory,
  NA(),
  MAX(IF((46:46&gt;AdjustmentPeriodEnd)*(46:46&lt;=AdjustmentPeriodEnd+10), 52:52)) &lt;= TFEU_Debt
)</f>
        <v>#N/A</v>
      </c>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row>
    <row r="270" spans="2:35" ht="19.5" customHeight="1" x14ac:dyDescent="0.4">
      <c r="B270" s="14" t="s">
        <v>258</v>
      </c>
      <c r="C270" s="102" t="str">
        <f>IF(
  ISNA(C269),
  "Not applicable",
  IF(
    C269,
    Country &amp; "'s debt remains below the TFEU debt reference level in each of the ten years following the adjustment period.",
    Country &amp; "'s debt breaches the TFEU debt reference level in one or more of the ten years following the adjustment period."
  )
)</f>
        <v>Not applicable</v>
      </c>
      <c r="E270" s="18"/>
      <c r="J270" s="16"/>
    </row>
    <row r="271" spans="2:35" ht="19.5" customHeight="1" x14ac:dyDescent="0.4">
      <c r="C271" s="37"/>
      <c r="E271" s="18"/>
      <c r="J271" s="16"/>
    </row>
    <row r="272" spans="2:35" ht="18" x14ac:dyDescent="0.55000000000000004">
      <c r="B272" s="50" t="s">
        <v>909</v>
      </c>
      <c r="C272" s="92"/>
      <c r="E272" s="18"/>
      <c r="J272" s="16"/>
    </row>
    <row r="273" spans="2:35" customFormat="1" ht="15.75" x14ac:dyDescent="0.5">
      <c r="B273" s="79" t="s">
        <v>511</v>
      </c>
    </row>
    <row r="274" spans="2:35" x14ac:dyDescent="0.4">
      <c r="B274" t="s">
        <v>498</v>
      </c>
      <c r="C274" s="15" t="b" cm="1">
        <f t="array" ref="C274">IF(
  Receives_reference_trajectory,
  IFERROR(
    AND(
      _xlfn._xlws.FILTER(
        50:50,
        (46:46&gt;=MTP_YearT)*(46:46&lt;=AdjustmentPeriodEnd)
      ) &gt; -TFEU_Deficit
    ),
    NA()
  ),
  NA()
)</f>
        <v>1</v>
      </c>
      <c r="E274" s="18"/>
      <c r="J274" s="16"/>
    </row>
    <row r="275" spans="2:35" x14ac:dyDescent="0.4">
      <c r="B275" t="s">
        <v>499</v>
      </c>
      <c r="C275" s="15" t="b" cm="1">
        <f t="array" ref="C275">IF(
  Receives_reference_trajectory,
  IFERROR(
    AND(
      _xlfn._xlws.FILTER(
        50:50,
        (46:46&gt;=AdjustmentPeriodEnd)*(46:46&lt;=AdjustmentPeriodEnd+10)
      ) &gt; -TFEU_Deficit
    ),
    NA()
  ),
  NA()
)</f>
        <v>1</v>
      </c>
      <c r="E275" s="18"/>
      <c r="J275" s="16"/>
    </row>
    <row r="276" spans="2:35" ht="20.25" customHeight="1" x14ac:dyDescent="0.4">
      <c r="B276" s="14" t="s">
        <v>258</v>
      </c>
      <c r="C276" s="102" t="str">
        <f>IF(
  Receives_reference_trajectory,
  IF(
    C275,
    IF(
      C274,
      Country &amp; "'s net expenditure path maintains the government deficit below 3% of GDP throughout the adjustment period and over the medium term.",
      Country &amp; "'s net expenditure path brings the government deficit below 3% of GDP by the end of the adjustment period and maintains it below 3% of GDP over the medium term."
    ),
    Country &amp; "'s net expenditure path does not bring and maintain the government deficit below 3% of GDP over the medium term."
  ),
  NA()
)</f>
        <v>Select country's net expenditure path maintains the government deficit below 3% of GDP throughout the adjustment period and over the medium term.</v>
      </c>
      <c r="E276" s="18"/>
      <c r="J276" s="16"/>
    </row>
    <row r="277" spans="2:35" ht="20.25" customHeight="1" x14ac:dyDescent="0.4">
      <c r="C277" s="102"/>
      <c r="E277" s="18"/>
      <c r="J277" s="16"/>
    </row>
    <row r="278" spans="2:35" ht="15.75" x14ac:dyDescent="0.5">
      <c r="B278" s="79" t="s">
        <v>454</v>
      </c>
      <c r="C278" s="37"/>
      <c r="J278" s="71"/>
      <c r="K278" s="71"/>
      <c r="L278" s="71"/>
      <c r="M278" s="71"/>
      <c r="N278" s="71"/>
      <c r="O278" s="71"/>
      <c r="P278" s="71"/>
      <c r="Q278" s="71"/>
      <c r="R278" s="71"/>
      <c r="S278" s="71"/>
      <c r="T278" s="71"/>
      <c r="U278" s="71"/>
      <c r="V278" s="71"/>
      <c r="W278" s="71"/>
      <c r="X278" s="71"/>
      <c r="Y278" s="71"/>
      <c r="Z278" s="71"/>
      <c r="AA278" s="71"/>
      <c r="AB278" s="71"/>
      <c r="AC278" s="71"/>
      <c r="AD278" s="71"/>
      <c r="AE278" s="71"/>
      <c r="AF278" s="71"/>
      <c r="AG278" s="71"/>
      <c r="AH278" s="71"/>
      <c r="AI278" s="71"/>
    </row>
    <row r="279" spans="2:35" x14ac:dyDescent="0.4">
      <c r="B279" t="s">
        <v>514</v>
      </c>
      <c r="C279" s="15" t="e" cm="1">
        <f t="array" ref="C279">IF(
  Receives_reference_trajectory,
  NA(),
  MIN(IF((46:46&gt;=AdjustmentPeriodEnd)*(46:46&lt;=AdjustmentPeriodEnd+10), 50:50)) &gt;= -TFEU_Deficit
)</f>
        <v>#N/A</v>
      </c>
      <c r="J279" s="71"/>
      <c r="K279" s="71"/>
      <c r="L279" s="71"/>
      <c r="M279" s="71"/>
      <c r="N279" s="71"/>
      <c r="O279" s="71"/>
      <c r="P279" s="71"/>
      <c r="Q279" s="71"/>
      <c r="R279" s="71"/>
      <c r="S279" s="71"/>
      <c r="T279" s="71"/>
      <c r="U279" s="71"/>
      <c r="V279" s="71"/>
      <c r="W279" s="71"/>
      <c r="X279" s="71"/>
      <c r="Y279" s="71"/>
      <c r="Z279" s="71"/>
      <c r="AA279" s="71"/>
      <c r="AB279" s="71"/>
      <c r="AC279" s="71"/>
      <c r="AD279" s="71"/>
      <c r="AE279" s="71"/>
      <c r="AF279" s="71"/>
      <c r="AG279" s="71"/>
      <c r="AH279" s="71"/>
      <c r="AI279" s="71"/>
    </row>
    <row r="280" spans="2:35" x14ac:dyDescent="0.4">
      <c r="B280" s="2" t="s">
        <v>524</v>
      </c>
      <c r="C280" s="15" t="e" cm="1">
        <f t="array" ref="C280">IF(
  Receives_reference_trajectory,
  NA(),
  MIN(IF(46:46=AdjustmentPeriodEnd, 50:50)) &gt;= -TFEU_Deficit
)</f>
        <v>#N/A</v>
      </c>
      <c r="E280" s="18"/>
      <c r="J280" s="16"/>
    </row>
    <row r="281" spans="2:35" x14ac:dyDescent="0.4">
      <c r="B281" s="2" t="s">
        <v>525</v>
      </c>
      <c r="C281" s="15" t="e" cm="1">
        <f t="array" ref="C281">IF(
  Receives_reference_trajectory,
  NA(),
  MIN(IF((46:46&gt;AdjustmentPeriodEnd)*(46:46&lt;=AdjustmentPeriodEnd+10), 50:50)) &gt;= -TFEU_Deficit
)</f>
        <v>#N/A</v>
      </c>
      <c r="E281" s="18"/>
      <c r="J281" s="16"/>
    </row>
    <row r="282" spans="2:35" x14ac:dyDescent="0.4">
      <c r="B282"/>
      <c r="C282" s="15"/>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c r="AI282" s="71"/>
    </row>
    <row r="283" spans="2:35" ht="17.25" customHeight="1" x14ac:dyDescent="0.4">
      <c r="B283" s="14" t="s">
        <v>258</v>
      </c>
      <c r="C283" s="102" t="str">
        <f>IF(
  OR(ISNA(C280), ISNA(C281)),
  "Not applicable",
  IF(
    AND(C280, C281),
    Country &amp; "'s deficit remains below the TFEU reference level in the final year of the adjustment period and throughout the following ten years.",
    IF(
      AND(NOT(C280), C281),
      Country &amp; "'s deficit breaches the TFEU reference level in the final year of the adjustment period but remains below it in the following ten years.",
      IF(
        AND(C280, NOT(C281)),
        Country &amp; "'s deficit remains below the TFEU reference level in the final year of the adjustment period but breaches it within the following ten years.",
        Country &amp; "'s deficit breaches the TFEU reference level in the final year of the adjustment period and within the following ten years."
      )
    )
  )
)</f>
        <v>Not applicable</v>
      </c>
      <c r="J283" s="71"/>
      <c r="K283" s="71"/>
      <c r="L283" s="71"/>
      <c r="M283" s="71"/>
      <c r="N283" s="71"/>
      <c r="O283" s="71"/>
      <c r="P283" s="71"/>
      <c r="Q283" s="71"/>
      <c r="R283" s="71"/>
      <c r="S283" s="71"/>
      <c r="T283" s="71"/>
      <c r="U283" s="71"/>
      <c r="V283" s="71"/>
      <c r="W283" s="71"/>
      <c r="X283" s="71"/>
      <c r="Y283" s="71"/>
      <c r="Z283" s="71"/>
      <c r="AA283" s="71"/>
      <c r="AB283" s="71"/>
      <c r="AC283" s="71"/>
      <c r="AD283" s="71"/>
      <c r="AE283" s="71"/>
      <c r="AF283" s="71"/>
      <c r="AG283" s="71"/>
      <c r="AH283" s="71"/>
      <c r="AI283" s="71"/>
    </row>
    <row r="284" spans="2:35" x14ac:dyDescent="0.4">
      <c r="C284" s="102"/>
      <c r="J284" s="71"/>
      <c r="K284" s="71"/>
      <c r="L284" s="71"/>
      <c r="M284" s="71"/>
      <c r="N284" s="71"/>
      <c r="O284" s="71"/>
      <c r="P284" s="71"/>
      <c r="Q284" s="71"/>
      <c r="R284" s="71"/>
      <c r="S284" s="71"/>
      <c r="T284" s="71"/>
      <c r="U284" s="71"/>
      <c r="V284" s="71"/>
      <c r="W284" s="71"/>
      <c r="X284" s="71"/>
      <c r="Y284" s="71"/>
      <c r="Z284" s="71"/>
      <c r="AA284" s="71"/>
      <c r="AB284" s="71"/>
      <c r="AC284" s="71"/>
      <c r="AD284" s="71"/>
      <c r="AE284" s="71"/>
      <c r="AF284" s="71"/>
      <c r="AG284" s="71"/>
      <c r="AH284" s="71"/>
      <c r="AI284" s="71"/>
    </row>
    <row r="285" spans="2:35" ht="18" x14ac:dyDescent="0.55000000000000004">
      <c r="B285" s="50" t="s">
        <v>910</v>
      </c>
      <c r="C285" s="37"/>
      <c r="E285" s="17"/>
    </row>
    <row r="286" spans="2:35" ht="16.899999999999999" customHeight="1" x14ac:dyDescent="0.7">
      <c r="B286" s="103"/>
      <c r="C286" s="104"/>
      <c r="D286" s="14" cm="1">
        <f t="array" ref="D286:I286">_xlfn.SEQUENCE(1, AdjustmentPeriodEnd-MTP_BaseYear+1, MTP_BaseYear)</f>
        <v>2023</v>
      </c>
      <c r="E286" s="14">
        <v>2024</v>
      </c>
      <c r="F286" s="17">
        <v>2025</v>
      </c>
      <c r="G286" s="14">
        <v>2026</v>
      </c>
      <c r="H286" s="14">
        <v>2027</v>
      </c>
      <c r="I286" s="14">
        <v>2028</v>
      </c>
    </row>
    <row r="287" spans="2:35" ht="13.5" customHeight="1" x14ac:dyDescent="0.4">
      <c r="B287" t="s">
        <v>214</v>
      </c>
      <c r="C287" s="37"/>
      <c r="D287" s="91" cm="1">
        <f t="array" ref="D287:I287">INDEX(37:37, COLUMN($D$37) + _xlfn.SEQUENCE(1, COLUMNS(_xlfn.ANCHORARRAY(D286))) - 1)</f>
        <v>0</v>
      </c>
      <c r="E287" s="91">
        <v>0</v>
      </c>
      <c r="F287" s="91">
        <v>0</v>
      </c>
      <c r="G287" s="91">
        <v>0</v>
      </c>
      <c r="H287" s="91">
        <v>0</v>
      </c>
      <c r="I287" s="91">
        <v>0</v>
      </c>
    </row>
    <row r="288" spans="2:35" ht="13.5" customHeight="1" x14ac:dyDescent="0.4">
      <c r="B288" s="7" t="s">
        <v>346</v>
      </c>
      <c r="C288" s="93"/>
      <c r="E288" s="100">
        <f>IF(ISNUMBER(E287),E287-D287,"")</f>
        <v>0</v>
      </c>
      <c r="F288" s="100">
        <f t="shared" ref="F288:M288" si="37">IF(ISNUMBER(F287),F287-E287,"")</f>
        <v>0</v>
      </c>
      <c r="G288" s="100">
        <f t="shared" si="37"/>
        <v>0</v>
      </c>
      <c r="H288" s="100">
        <f t="shared" si="37"/>
        <v>0</v>
      </c>
      <c r="I288" s="100">
        <f t="shared" si="37"/>
        <v>0</v>
      </c>
      <c r="J288" s="100" t="str">
        <f t="shared" si="37"/>
        <v/>
      </c>
      <c r="K288" s="100" t="str">
        <f t="shared" si="37"/>
        <v/>
      </c>
      <c r="L288" s="100" t="str">
        <f t="shared" si="37"/>
        <v/>
      </c>
      <c r="M288" s="100" t="str">
        <f t="shared" si="37"/>
        <v/>
      </c>
      <c r="N288" s="100"/>
      <c r="O288" s="100"/>
    </row>
    <row r="289" spans="2:15" x14ac:dyDescent="0.4">
      <c r="B289"/>
      <c r="C289" s="37"/>
      <c r="E289" s="100"/>
      <c r="F289" s="100"/>
      <c r="G289" s="100"/>
      <c r="H289" s="100"/>
      <c r="I289" s="100"/>
      <c r="J289" s="100"/>
      <c r="K289" s="100"/>
      <c r="L289" s="100"/>
      <c r="M289" s="100"/>
      <c r="N289" s="100"/>
      <c r="O289" s="100"/>
    </row>
    <row r="290" spans="2:15" x14ac:dyDescent="0.4">
      <c r="B290" t="s">
        <v>375</v>
      </c>
      <c r="C290" s="97" t="b" cm="1">
        <f t="array" ref="C290">IF(
  Receives_reference_trajectory,
  MAX(ROUND(_xlfn._xlws.FILTER(288:288, ISNUMBER(286:286)*(286:286&gt;=MTP_YearT+1)*(286:286&lt;=AdjustmentPeriodEnd)), 1))
  =
  MIN(ROUND(_xlfn._xlws.FILTER(288:288, ISNUMBER(286:286)*(286:286&gt;=MTP_YearT+1)*(286:286&lt;=AdjustmentPeriodEnd)), 1)),
  NA()
)</f>
        <v>1</v>
      </c>
      <c r="D290" s="51"/>
    </row>
    <row r="291" spans="2:15" x14ac:dyDescent="0.4">
      <c r="B291" t="s">
        <v>353</v>
      </c>
      <c r="C291" s="97" t="b" cm="1">
        <f t="array" ref="C291">IF(
  Receives_reference_trajectory,
  MAX(
    _xlfn.DROP(
      ROUND(
        _xlfn._xlws.FILTER(288:288, ISNUMBER(286:286)*(286:286&gt;=MTP_YearT+1)*(286:286&lt;=AdjustmentPeriodEnd)),
        1
      ),
      ,1
    )
    -
    _xlfn.DROP(
      ROUND(
        _xlfn._xlws.FILTER(288:288, ISNUMBER(286:286)*(286:286&gt;=MTP_YearT+1)*(286:286&lt;=AdjustmentPeriodEnd)),
        1
      ),
      ,-1
    )
  )&lt;=0,
  NA()
)</f>
        <v>1</v>
      </c>
      <c r="D291" s="51"/>
    </row>
    <row r="292" spans="2:15" x14ac:dyDescent="0.4">
      <c r="B292" t="s">
        <v>354</v>
      </c>
      <c r="C292" s="97" t="b" cm="1">
        <f t="array" ref="C292">IF(
  Receives_reference_trajectory,
  AND(
    MAX(ROUND(_xlfn._xlws.FILTER(288:288,ISNUMBER(286:286)*(286:286&gt;=MTP_YearT+1)*(286:286&lt;=AdjustmentPeriodEnd)),1))=ROUND($C$293,1),
    MIN(ROUND(_xlfn._xlws.FILTER(288:288,ISNUMBER(286:286)*(286:286&gt;=MTP_YearT+1)*(286:286&lt;=AdjustmentPeriodEnd)),1))=ROUND($C$293,1)
  ),
  NA()
)</f>
        <v>1</v>
      </c>
      <c r="D292" s="51"/>
    </row>
    <row r="293" spans="2:15" x14ac:dyDescent="0.4">
      <c r="B293" s="3" t="s">
        <v>347</v>
      </c>
      <c r="C293" s="97" cm="1">
        <f t="array" ref="C293">IF(
  Receives_reference_trajectory,
  AVERAGE(
    _xlfn.DROP(
      _xlfn._xlws.FILTER(287:287, ISNUMBER(286:286)*(286:286&gt;=MTP_YearT+1)*(286:286&lt;=AdjustmentPeriodEnd)),
      ,1
    )
    -
    _xlfn.DROP(
      _xlfn._xlws.FILTER(287:287, ISNUMBER(286:286)*(286:286&gt;=MTP_YearT+1)*(286:286&lt;=AdjustmentPeriodEnd)),
      ,-1
    )
  ),
  NA()
)</f>
        <v>0</v>
      </c>
      <c r="D293" s="51"/>
    </row>
    <row r="294" spans="2:15" x14ac:dyDescent="0.4">
      <c r="B294" s="5" t="s">
        <v>348</v>
      </c>
      <c r="C294" s="97" t="b">
        <f>IF(Receives_reference_trajectory,AND(C290:C292),NA())</f>
        <v>1</v>
      </c>
      <c r="D294" s="51"/>
    </row>
    <row r="295" spans="2:15" x14ac:dyDescent="0.4">
      <c r="B295" s="3"/>
      <c r="C295" s="101"/>
      <c r="D295" s="51"/>
    </row>
    <row r="296" spans="2:15" x14ac:dyDescent="0.4">
      <c r="B296" s="14" t="s">
        <v>258</v>
      </c>
      <c r="C296" s="102" t="str">
        <f>IF(
  NOT(Receives_reference_trajectory),
  "Not applicable - "&amp;Country&amp;" is not required to comply with a reference trajectory.",
  "The time profile of the fiscal adjustment, measured as the change in the structural primary balance, is " &amp;
  IF(C290,"linear","non-linear") &amp; ". " &amp;
  "The adjustment effort " &amp; IF(C291,"does not rise","rises") &amp; " over the adjustment period, and it is " &amp;
  IF(C292,"proportional","not proportional") &amp;
  " to the total effort over the adjustment period. " &amp;
  IF(AND(C290,C291,C292),
     "Therefore the net expenditure path put forward in "&amp;Country&amp;"'s latest MTP is consistent with the no backloading safeguard clause.",
     "Therefore the net expenditure path put forward in "&amp;Country&amp;"'s latest MTP is not consistent with the no backloading safeguard clause."
  )
)</f>
        <v>The time profile of the fiscal adjustment, measured as the change in the structural primary balance, is linear. The adjustment effort does not rise over the adjustment period, and it is proportional to the total effort over the adjustment period. Therefore the net expenditure path put forward in Select country's latest MTP is consistent with the no backloading safeguard clause.</v>
      </c>
      <c r="D296" s="51"/>
    </row>
    <row r="297" spans="2:15" x14ac:dyDescent="0.4">
      <c r="C297" s="56"/>
      <c r="D297" s="51"/>
    </row>
    <row r="298" spans="2:15" ht="18" x14ac:dyDescent="0.55000000000000004">
      <c r="B298" s="50" t="s">
        <v>911</v>
      </c>
      <c r="C298" s="56"/>
      <c r="D298" s="51"/>
    </row>
    <row r="299" spans="2:15" x14ac:dyDescent="0.4">
      <c r="B299" t="s">
        <v>363</v>
      </c>
      <c r="C299" s="97" t="b">
        <f>'Step 1 - Set global parameters'!B30</f>
        <v>0</v>
      </c>
      <c r="D299" s="51"/>
    </row>
    <row r="300" spans="2:15" x14ac:dyDescent="0.4">
      <c r="B300" t="s">
        <v>368</v>
      </c>
      <c r="C300" s="97" t="e">
        <f>IF(ISNA('Step 1 - Set global parameters'!B31), NA(), 'Step 1 - Set global parameters'!B31)</f>
        <v>#N/A</v>
      </c>
      <c r="D300" s="51"/>
    </row>
    <row r="301" spans="2:15" x14ac:dyDescent="0.4">
      <c r="B301" t="s">
        <v>364</v>
      </c>
      <c r="C301" s="97" t="b">
        <f>'Step 1 - Set global parameters'!B32</f>
        <v>0</v>
      </c>
      <c r="D301" s="51"/>
    </row>
    <row r="302" spans="2:15" x14ac:dyDescent="0.4">
      <c r="B302" t="s">
        <v>749</v>
      </c>
      <c r="C302" s="97" t="e">
        <f>IF(ISNA('Step 1 - Set global parameters'!B33), NA(), 'Step 1 - Set global parameters'!B33)</f>
        <v>#N/A</v>
      </c>
      <c r="D302" s="51"/>
    </row>
    <row r="303" spans="2:15" x14ac:dyDescent="0.4">
      <c r="B303" t="s">
        <v>371</v>
      </c>
      <c r="C303" s="97" t="e" cm="1">
        <f t="array" ref="C303">IF(
  NOT(C299),
  NA(),
  AND(
    IF(
      COUNTA(
        _xlfn._xlws.FILTER(
          _xlfn.XMATCH(_xlfn._xlws.FILTER(46:46,(46:46&gt;=TransEDP_Start)*(46:46&lt;=TransEDP_End)),46:46,0),
          ISNUMBER(_xlfn.XMATCH(_xlfn._xlws.FILTER(46:46,(46:46&gt;=TransEDP_Start)*(46:46&lt;=TransEDP_End))-1,46:46,0))
        )
      )=0,
      TRUE,
      MIN(
        INDEX(
          37:37,
          _xlfn._xlws.FILTER(
            _xlfn.XMATCH(_xlfn._xlws.FILTER(46:46,(46:46&gt;=TransEDP_Start)*(46:46&lt;=TransEDP_End)),46:46,0),
            ISNUMBER(_xlfn.XMATCH(_xlfn._xlws.FILTER(46:46,(46:46&gt;=TransEDP_Start)*(46:46&lt;=TransEDP_End))-1,46:46,0))
          )
        )
        -
        INDEX(
          37:37,
          _xlfn._xlws.FILTER(
            _xlfn.XMATCH(_xlfn._xlws.FILTER(46:46,(46:46&gt;=TransEDP_Start)*(46:46&lt;=TransEDP_End))-1,46:46,0),
            ISNUMBER(_xlfn.XMATCH(_xlfn._xlws.FILTER(46:46,(46:46&gt;=TransEDP_Start)*(46:46&lt;=TransEDP_End))-1,46:46,0))
          )
        )
      )&gt;=0.5
    ),
    IF(
      COUNTA(
        _xlfn._xlws.FILTER(
          _xlfn.XMATCH(_xlfn._xlws.FILTER(46:46,(46:46&gt;=TransEDP_End+1)),46:46,0),
          ISNUMBER(_xlfn.XMATCH(_xlfn._xlws.FILTER(46:46,(46:46&gt;=TransEDP_End+1))-1,46:46,0))
        )
      )=0,
      TRUE,
      MIN(
        INDEX(
          36:36,
          _xlfn._xlws.FILTER(
            _xlfn.XMATCH(_xlfn._xlws.FILTER(46:46,(46:46&gt;=TransEDP_End+1)),46:46,0),
            ISNUMBER(_xlfn.XMATCH(_xlfn._xlws.FILTER(46:46,(46:46&gt;=TransEDP_End+1))-1,46:46,0))
          )
        )
        -
        INDEX(
          36:36,
          _xlfn._xlws.FILTER(
            _xlfn.XMATCH(_xlfn._xlws.FILTER(46:46,(46:46&gt;=TransEDP_End+1))-1,46:46,0),
            ISNUMBER(_xlfn.XMATCH(_xlfn._xlws.FILTER(46:46,(46:46&gt;=TransEDP_End+1))-1,46:46,0))
          )
        )
      )&gt;=0.5
    )
  )
)</f>
        <v>#N/A</v>
      </c>
      <c r="D303" s="51"/>
    </row>
    <row r="304" spans="2:15" x14ac:dyDescent="0.4">
      <c r="B304" t="s">
        <v>365</v>
      </c>
      <c r="C304" s="97" t="e" cm="1">
        <f t="array" ref="C304">IF(
  ISNA($C$303),
  NA(),
  IF(
    $C$303=TRUE,
    NA(),
    AND(
      IF(
        COUNTA(_xlfn._xlws.FILTER(46:46,(46:46&gt;=MAX(TransEDP_Start,MTP_YearT+1))*(46:46&lt;=MIN(TransEDP_End,AdjustmentPeriodEnd))))=0,
        TRUE,
        (
          INDEX(37:37, _xlfn.XMATCH(MAX(_xlfn._xlws.FILTER(46:46,(46:46&gt;=MAX(TransEDP_Start,MTP_YearT+1))*(46:46&lt;=MIN(TransEDP_End,AdjustmentPeriodEnd)))), 46:46, 0)) -
          INDEX(37:37, _xlfn.XMATCH(MIN(_xlfn._xlws.FILTER(46:46,(46:46&gt;=MAX(TransEDP_Start,MTP_YearT+1))*(46:46&lt;=MIN(TransEDP_End,AdjustmentPeriodEnd)))), 46:46, 0))
        ) / AdjustmentPeriod &gt;= 0.5
      ),
      IF(
        COUNTA(_xlfn._xlws.FILTER(46:46,(46:46&gt;=MAX(TransEDP_End+1,MTP_YearT+1))*(46:46&lt;=AdjustmentPeriodEnd)))=0,
        TRUE,
        (
          INDEX(36:36, _xlfn.XMATCH(MAX(_xlfn._xlws.FILTER(46:46,(46:46&gt;=MAX(TransEDP_End+1,MTP_YearT+1))*(46:46&lt;=AdjustmentPeriodEnd))), 46:46, 0)) -
          INDEX(36:36, _xlfn.XMATCH(MIN(_xlfn._xlws.FILTER(46:46,(46:46&gt;=MAX(TransEDP_End+1,MTP_YearT+1))*(46:46&lt;=AdjustmentPeriodEnd))), 46:46, 0))
        ) / AdjustmentPeriod &gt;= 0.5
      )
    )
  )
)</f>
        <v>#N/A</v>
      </c>
      <c r="D304" s="51"/>
    </row>
    <row r="305" spans="2:35" x14ac:dyDescent="0.4">
      <c r="B305" t="s">
        <v>372</v>
      </c>
      <c r="C305" s="97" t="e">
        <f>IF(NOT(C301),NA(),C240)</f>
        <v>#N/A</v>
      </c>
      <c r="D305" s="51"/>
    </row>
    <row r="306" spans="2:35" x14ac:dyDescent="0.4">
      <c r="B306" t="s">
        <v>374</v>
      </c>
      <c r="C306" s="97" t="e">
        <f>IF(
  NOT($C$301),
  NA(),
  IF(
    Debt_EDP_Deadline &gt; AdjustmentPeriodEnd,
    "Deadline year exceeds last year of reference trajectory.",
    "Requires manual review — test not implemented."
  )
)</f>
        <v>#N/A</v>
      </c>
      <c r="J306" s="71"/>
      <c r="K306" s="71"/>
      <c r="L306" s="71"/>
      <c r="M306" s="71"/>
      <c r="N306" s="71"/>
      <c r="O306" s="71"/>
      <c r="P306" s="71"/>
      <c r="Q306" s="71"/>
      <c r="R306" s="71"/>
      <c r="S306" s="71"/>
      <c r="T306" s="71"/>
      <c r="U306" s="71"/>
      <c r="V306" s="71"/>
      <c r="W306" s="71"/>
      <c r="X306" s="71"/>
      <c r="Y306" s="71"/>
      <c r="Z306" s="71"/>
      <c r="AA306" s="71"/>
      <c r="AB306" s="71"/>
      <c r="AC306" s="71"/>
      <c r="AD306" s="71"/>
      <c r="AE306" s="71"/>
      <c r="AF306" s="71"/>
      <c r="AG306" s="71"/>
      <c r="AH306" s="71"/>
      <c r="AI306" s="71"/>
    </row>
    <row r="307" spans="2:35" x14ac:dyDescent="0.4">
      <c r="B307" t="s">
        <v>379</v>
      </c>
      <c r="C307" s="97" t="e">
        <f>IF(
   OR(ISNA(C303), ISNA(C304), ISNA(C305), ISNA(C306), ISTEXT(C306)),
   NA(),
   AND(
      OR(
         AND(C299, OR(C303, C304)),
         AND(C301, C305, C306),
         AND(C299, NOT(C301), OR(C303, C304)),
         AND(C301, NOT(C299), C305, C306)
      )
   )
)</f>
        <v>#N/A</v>
      </c>
      <c r="J307" s="71"/>
      <c r="K307" s="71"/>
      <c r="L307" s="71"/>
      <c r="M307" s="71"/>
      <c r="N307" s="71"/>
      <c r="O307" s="71"/>
      <c r="P307" s="71"/>
      <c r="Q307" s="71"/>
      <c r="R307" s="71"/>
      <c r="S307" s="71"/>
      <c r="T307" s="71"/>
      <c r="U307" s="71"/>
      <c r="V307" s="71"/>
      <c r="W307" s="71"/>
      <c r="X307" s="71"/>
      <c r="Y307" s="71"/>
      <c r="Z307" s="71"/>
      <c r="AA307" s="71"/>
      <c r="AB307" s="71"/>
      <c r="AC307" s="71"/>
      <c r="AD307" s="71"/>
      <c r="AE307" s="71"/>
      <c r="AF307" s="71"/>
      <c r="AG307" s="71"/>
      <c r="AH307" s="71"/>
      <c r="AI307" s="71"/>
    </row>
    <row r="308" spans="2:35" x14ac:dyDescent="0.4">
      <c r="B308" s="14" t="s">
        <v>258</v>
      </c>
      <c r="C308" s="102" t="str">
        <f>IF(
  OR(C299,C301),
  IF(
    ISNA(C307),
    "The assessment of " &amp; Country &amp; "'s consistency with an excessive deficit procedure corrective path requires manual review.",
    IF(
      C307,
      Country &amp; "'s net expenditure path is consistent with the requirements of an excessive deficit procedure corrective path in Article 3(4) of Regulation (EC) No 1467/97.",
      Country &amp; "'s net expenditure path is not consistent with the requirements of an excessive deficit procedure corrective path in Article 3(4) of Regulation (EC) No 1467/97."
    )
  ),
  "The Council has not opened an excessive deficit procedure against " &amp; Country &amp;"."
)</f>
        <v>The Council has not opened an excessive deficit procedure against Select country.</v>
      </c>
      <c r="J308" s="71"/>
      <c r="K308" s="71"/>
      <c r="L308" s="71"/>
      <c r="M308" s="71"/>
      <c r="N308" s="71"/>
      <c r="O308" s="71"/>
      <c r="P308" s="71"/>
      <c r="Q308" s="71"/>
      <c r="R308" s="71"/>
      <c r="S308" s="71"/>
      <c r="T308" s="71"/>
      <c r="U308" s="71"/>
      <c r="V308" s="71"/>
      <c r="W308" s="71"/>
      <c r="X308" s="71"/>
      <c r="Y308" s="71"/>
      <c r="Z308" s="71"/>
      <c r="AA308" s="71"/>
      <c r="AB308" s="71"/>
      <c r="AC308" s="71"/>
      <c r="AD308" s="71"/>
      <c r="AE308" s="71"/>
      <c r="AF308" s="71"/>
      <c r="AG308" s="71"/>
      <c r="AH308" s="71"/>
      <c r="AI308" s="71"/>
    </row>
    <row r="309" spans="2:35" x14ac:dyDescent="0.4">
      <c r="B309"/>
      <c r="C309" s="97"/>
      <c r="J309" s="71"/>
      <c r="K309" s="71"/>
      <c r="L309" s="71"/>
      <c r="M309" s="71"/>
      <c r="N309" s="71"/>
      <c r="O309" s="71"/>
      <c r="P309" s="71"/>
      <c r="Q309" s="71"/>
      <c r="R309" s="71"/>
      <c r="S309" s="71"/>
      <c r="T309" s="71"/>
      <c r="U309" s="71"/>
      <c r="V309" s="71"/>
      <c r="W309" s="71"/>
      <c r="X309" s="71"/>
      <c r="Y309" s="71"/>
      <c r="Z309" s="71"/>
      <c r="AA309" s="71"/>
      <c r="AB309" s="71"/>
      <c r="AC309" s="71"/>
      <c r="AD309" s="71"/>
      <c r="AE309" s="71"/>
      <c r="AF309" s="71"/>
      <c r="AG309" s="71"/>
      <c r="AH309" s="71"/>
      <c r="AI309" s="71"/>
    </row>
    <row r="310" spans="2:35" ht="20.25" customHeight="1" x14ac:dyDescent="0.7">
      <c r="B310" s="13" t="s">
        <v>522</v>
      </c>
      <c r="C310" s="18"/>
      <c r="J310" s="71"/>
      <c r="K310" s="71"/>
      <c r="L310" s="71"/>
      <c r="M310" s="71"/>
      <c r="N310" s="71"/>
      <c r="O310" s="71"/>
      <c r="P310" s="71"/>
      <c r="Q310" s="71"/>
      <c r="R310" s="71"/>
      <c r="S310" s="71"/>
      <c r="T310" s="71"/>
      <c r="U310" s="71"/>
      <c r="V310" s="71"/>
      <c r="W310" s="71"/>
      <c r="X310" s="71"/>
      <c r="Y310" s="71"/>
      <c r="Z310" s="71"/>
      <c r="AA310" s="71"/>
      <c r="AB310" s="71"/>
      <c r="AC310" s="71"/>
      <c r="AD310" s="71"/>
      <c r="AE310" s="71"/>
      <c r="AF310" s="71"/>
      <c r="AG310" s="71"/>
      <c r="AH310" s="71"/>
      <c r="AI310" s="71"/>
    </row>
    <row r="311" spans="2:35" ht="18" x14ac:dyDescent="0.55000000000000004">
      <c r="B311" s="50" t="s">
        <v>912</v>
      </c>
      <c r="D311" s="17"/>
      <c r="J311" s="71"/>
      <c r="K311" s="71"/>
      <c r="L311" s="71" t="s">
        <v>256</v>
      </c>
      <c r="M311" s="71"/>
      <c r="N311" s="71"/>
      <c r="O311" s="71"/>
      <c r="P311" s="71"/>
      <c r="Q311" s="71"/>
      <c r="R311" s="71"/>
      <c r="S311" s="71"/>
      <c r="T311" s="71"/>
      <c r="U311" s="71"/>
      <c r="V311" s="71"/>
      <c r="W311" s="71"/>
      <c r="X311" s="71"/>
      <c r="Y311" s="71"/>
      <c r="Z311" s="71"/>
      <c r="AA311" s="71"/>
      <c r="AB311" s="71"/>
      <c r="AC311" s="71"/>
      <c r="AD311" s="71"/>
      <c r="AE311" s="71"/>
      <c r="AF311" s="71"/>
      <c r="AG311" s="71"/>
      <c r="AH311" s="71"/>
      <c r="AI311" s="71"/>
    </row>
    <row r="312" spans="2:35" x14ac:dyDescent="0.4">
      <c r="B312" t="s">
        <v>585</v>
      </c>
      <c r="C312" s="121" t="b">
        <f>(Country="Greece")</f>
        <v>0</v>
      </c>
    </row>
    <row r="313" spans="2:35" x14ac:dyDescent="0.4">
      <c r="B313" t="s">
        <v>381</v>
      </c>
      <c r="C313" s="15" t="b">
        <f>MAX(INDEX(52:52,1,COLUMN($D$46)):INDEX(52:52,1,COLUMN($D$46)+COLUMNS(_xlfn.ANCHORARRAY($D$46))-1))&gt;90</f>
        <v>0</v>
      </c>
      <c r="J313" s="71"/>
      <c r="K313" s="71"/>
      <c r="L313" s="71"/>
      <c r="M313" s="71"/>
      <c r="N313" s="71"/>
      <c r="O313" s="71"/>
      <c r="P313" s="71"/>
      <c r="Q313" s="71"/>
      <c r="R313" s="71"/>
      <c r="S313" s="71"/>
      <c r="T313" s="71"/>
      <c r="U313" s="71"/>
      <c r="V313" s="71"/>
      <c r="W313" s="71"/>
      <c r="X313" s="71"/>
      <c r="Y313" s="71"/>
      <c r="Z313" s="71"/>
      <c r="AA313" s="71"/>
      <c r="AB313" s="71"/>
      <c r="AC313" s="71"/>
      <c r="AD313" s="71"/>
      <c r="AE313" s="71"/>
      <c r="AF313" s="71"/>
      <c r="AG313" s="71"/>
      <c r="AH313" s="71"/>
      <c r="AI313" s="71"/>
    </row>
    <row r="314" spans="2:35" x14ac:dyDescent="0.4">
      <c r="B314" t="s">
        <v>382</v>
      </c>
      <c r="C314" s="121" t="b" cm="1">
        <f t="array" ref="C314">SUMPRODUCT(
  --(INDEX(74:74,1,COLUMN($D$46)):INDEX(74:74,1,COLUMN($D$46)+COLUMNS(_xlfn.ANCHORARRAY($D$46))-1)&gt;=60),
  --(INDEX(74:74,1,COLUMN($D$46)):INDEX(74:74,1,COLUMN($D$46)+COLUMNS(_xlfn.ANCHORARRAY($D$46))-1)&lt;=90)
)&gt;0</f>
        <v>0</v>
      </c>
      <c r="J314" s="71"/>
      <c r="K314" s="71"/>
      <c r="L314" s="71"/>
      <c r="M314" s="71"/>
      <c r="N314" s="71"/>
      <c r="O314" s="71"/>
      <c r="P314" s="71"/>
      <c r="Q314" s="71"/>
      <c r="R314" s="71"/>
      <c r="S314" s="71"/>
      <c r="T314" s="71"/>
      <c r="U314" s="71"/>
      <c r="V314" s="71"/>
      <c r="W314" s="71"/>
      <c r="X314" s="71"/>
      <c r="Y314" s="71"/>
      <c r="Z314" s="71"/>
      <c r="AA314" s="71"/>
      <c r="AB314" s="71"/>
      <c r="AC314" s="71"/>
      <c r="AD314" s="71"/>
      <c r="AE314" s="71"/>
      <c r="AF314" s="71"/>
      <c r="AG314" s="71"/>
      <c r="AH314" s="71"/>
      <c r="AI314" s="71"/>
    </row>
    <row r="315" spans="2:35" x14ac:dyDescent="0.4">
      <c r="B315" t="s">
        <v>267</v>
      </c>
      <c r="C315" s="121" t="e" cm="1">
        <f t="array" ref="C315">IF(
  C313,
  IFERROR(
    _xlfn.LET(
      _xlpm.yrs,_xlfn.ANCHORARRAY( $D$46),
      _xlpm.startYr, IF(OR('Step 1 - Set global parameters'!$B$30,'Step 1 - Set global parameters'!$B$32), Validation!$Q$6, MTP_BaseYear-1),
      _xlpm.debt, INDEX(52:52, COLUMN($D$46)+_xlfn.SEQUENCE(1, COLUMNS(_xlfn.ANCHORARRAY($D$46)), 0)),
      _xlpm.elig,
        (_xlpm.yrs&gt;=_xlpm.startYr)*
        (_xlpm.yrs&lt;=AdjustmentPeriodEnd)*
        (_xlpm.debt&gt;90)*
        IF(C312, _xlpm.yrs&lt;&gt;2033, TRUE),
      _xlpm.lastYr, LOOKUP(9^9, IF(_xlpm.elig, _xlpm.yrs)),
      _xlpm.startDebt, _xlfn.XLOOKUP(_xlpm.startYr, _xlpm.yrs, _xlpm.debt,,0),
      _xlpm.endDebt,   _xlfn.XLOOKUP(_xlpm.lastYr,  _xlpm.yrs, _xlpm.debt,,0),
      ((_xlpm.startDebt-_xlpm.endDebt)/(_xlpm.lastYr-_xlpm.startYr))&gt;=1
    ),
    TRUE
  ),
  NA()
)</f>
        <v>#N/A</v>
      </c>
    </row>
    <row r="316" spans="2:35" x14ac:dyDescent="0.4">
      <c r="B316" t="s">
        <v>268</v>
      </c>
      <c r="C316" s="121" t="e" cm="1">
        <f t="array" ref="C316">IF(C314,IFERROR(
  (
    INDEX(52:52, COLUMN($D$46)+_xlfn.XMATCH(IF(OR('Step 1 - Set global parameters'!$B$30,'Step 1 - Set global parameters'!$B$32), Validation!$Q$6, MTP_BaseYear-1),_xlfn.ANCHORARRAY( $D$46), 1)-1)
    -
    INDEX(52:52, COLUMN($D$46)+_xlfn.XMATCH(
      LOOKUP(9^9, IF(
        (_xlfn.ANCHORARRAY($D$46)&gt;=IF(OR('Step 1 - Set global parameters'!$B$30,'Step 1 - Set global parameters'!$B$32), Validation!$Q$6, MTP_BaseYear-1))*
        (_xlfn.ANCHORARRAY($D$46)&lt;=AdjustmentPeriodEnd)*
        (INDEX(52:52, COLUMN($D$46)+_xlfn.SEQUENCE(1,COLUMNS(_xlfn.ANCHORARRAY($D$46)),0))&gt;TFEU_Debt),_xlfn.ANCHORARRAY(
        $D$46))
      ),_xlfn.ANCHORARRAY(
      $D$46), 1)-1)
  ) /
  (
    LOOKUP(9^9, IF(
      (_xlfn.ANCHORARRAY($D$46)&gt;=IF(OR('Step 1 - Set global parameters'!$B$30,'Step 1 - Set global parameters'!$B$32), Validation!$Q$6, MTP_BaseYear-1))*
      (_xlfn.ANCHORARRAY($D$46)&lt;=AdjustmentPeriodEnd)*
      (INDEX(52:52, COLUMN($D$46)+_xlfn.SEQUENCE(1,COLUMNS(_xlfn.ANCHORARRAY($D$46)),0))&gt;TFEU_Debt),_xlfn.ANCHORARRAY(
      $D$46))
    )
    - IF(OR('Step 1 - Set global parameters'!$B$30,'Step 1 - Set global parameters'!$B$32), Validation!$Q$6, MTP_BaseYear-1)
  )
  &gt;= 0.5,
  TRUE
),NA())</f>
        <v>#N/A</v>
      </c>
    </row>
    <row r="317" spans="2:35" x14ac:dyDescent="0.4">
      <c r="B317" s="14" t="s">
        <v>527</v>
      </c>
      <c r="C317" s="15" t="e">
        <f>IF(
  NOT(Receives_reference_trajectory),
  NA(),
  IF(
    OR(C313=TRUE, C314=TRUE),
    IF(
      OR(
        IF(C313=TRUE, C315=FALSE, FALSE),
        IF(C314=TRUE, C316=FALSE, FALSE)
      ),
      FALSE,
      TRUE
    ),
    NA()
  )
)</f>
        <v>#N/A</v>
      </c>
    </row>
    <row r="318" spans="2:35" x14ac:dyDescent="0.4">
      <c r="C318" s="17"/>
    </row>
    <row r="319" spans="2:35" x14ac:dyDescent="0.4">
      <c r="B319" s="14" t="s">
        <v>266</v>
      </c>
      <c r="C319" s="102" t="str">
        <f>IF(
  NOT(Receives_reference_trajectory),
  Country &amp; " does not receive a reference trajectory and its MTP is not assessed against the debt sustainability safeguard.",
  IF(
    OR(C313=TRUE, C314=TRUE),
    IF(
      OR(
        IF(C313=TRUE, C315=FALSE, FALSE),
        IF(C314=TRUE, C316=FALSE, FALSE)
      ),
      "The debt sustainability safeguard applies and "&amp;Country&amp;"'s fiscal path is not compliant.",
      "The debt sustainability safeguard applies and "&amp;Country&amp;"'s fiscal path is compliant."
    ),
    "The debt sustainability safeguard does not apply as "&amp;Country&amp;"'s debt is below 60%."
  )
)</f>
        <v>The debt sustainability safeguard does not apply as Select country's debt is below 60%.</v>
      </c>
      <c r="E319" s="17"/>
    </row>
    <row r="320" spans="2:35" x14ac:dyDescent="0.4">
      <c r="C320" s="56"/>
      <c r="E320" s="17"/>
    </row>
    <row r="321" spans="2:35" ht="23.25" x14ac:dyDescent="0.7">
      <c r="B321" s="50" t="s">
        <v>913</v>
      </c>
      <c r="C321" s="13"/>
      <c r="E321" s="17"/>
    </row>
    <row r="322" spans="2:35" customFormat="1" ht="23.25" x14ac:dyDescent="0.7">
      <c r="B322" s="103"/>
      <c r="C322" s="104"/>
      <c r="D322" s="14" cm="1">
        <f t="array" ref="D322:I322">_xlfn.SEQUENCE(1, AdjustmentPeriodEnd-MTP_BaseYear+1, MTP_BaseYear)</f>
        <v>2023</v>
      </c>
      <c r="E322" s="14">
        <v>2024</v>
      </c>
      <c r="F322" s="17">
        <v>2025</v>
      </c>
      <c r="G322" s="14">
        <v>2026</v>
      </c>
      <c r="H322" s="14">
        <v>2027</v>
      </c>
      <c r="I322" s="14">
        <v>2028</v>
      </c>
    </row>
    <row r="323" spans="2:35" customFormat="1" x14ac:dyDescent="0.4">
      <c r="B323" t="s">
        <v>383</v>
      </c>
      <c r="C323" s="37"/>
      <c r="D323" s="91" cm="1">
        <f t="array" ref="D323:I323">INDEX(36:36, COLUMN($D$36) + _xlfn.SEQUENCE(1, COLUMNS(_xlfn.ANCHORARRAY(D322))) - 1)</f>
        <v>0</v>
      </c>
      <c r="E323" s="91">
        <v>0</v>
      </c>
      <c r="F323" s="91">
        <v>0</v>
      </c>
      <c r="G323" s="91">
        <v>0</v>
      </c>
      <c r="H323" s="91">
        <v>0</v>
      </c>
      <c r="I323" s="91">
        <v>0</v>
      </c>
      <c r="J323" s="91"/>
      <c r="K323" s="91"/>
      <c r="L323" s="91"/>
      <c r="M323" s="91"/>
      <c r="N323" s="91"/>
    </row>
    <row r="324" spans="2:35" customFormat="1" x14ac:dyDescent="0.4">
      <c r="B324" t="s">
        <v>214</v>
      </c>
      <c r="C324" s="37"/>
      <c r="D324" s="91" cm="1">
        <f t="array" ref="D324:I324">INDEX(37:37, COLUMN($D$37) + _xlfn.SEQUENCE(1, COLUMNS(_xlfn.ANCHORARRAY(D322))) - 1)</f>
        <v>0</v>
      </c>
      <c r="E324" s="91">
        <v>0</v>
      </c>
      <c r="F324" s="91">
        <v>0</v>
      </c>
      <c r="G324" s="91">
        <v>0</v>
      </c>
      <c r="H324" s="91">
        <v>0</v>
      </c>
      <c r="I324" s="91">
        <v>0</v>
      </c>
      <c r="J324" s="91"/>
      <c r="K324" s="91"/>
      <c r="L324" s="91"/>
      <c r="M324" s="91"/>
    </row>
    <row r="325" spans="2:35" customFormat="1" x14ac:dyDescent="0.4">
      <c r="B325" s="7" t="s">
        <v>384</v>
      </c>
      <c r="C325" s="93"/>
      <c r="D325" s="91"/>
      <c r="E325" s="91"/>
      <c r="F325" s="91">
        <f>IF(COUNT(E324,F324)=2, F324-E324, "")</f>
        <v>0</v>
      </c>
      <c r="G325" s="91">
        <f t="shared" ref="G325:L325" si="38">IF(COUNT(F324,G324)=2, G324-F324, "")</f>
        <v>0</v>
      </c>
      <c r="H325" s="91">
        <f t="shared" si="38"/>
        <v>0</v>
      </c>
      <c r="I325" s="91">
        <f t="shared" si="38"/>
        <v>0</v>
      </c>
      <c r="J325" s="91" t="str">
        <f t="shared" si="38"/>
        <v/>
      </c>
      <c r="K325" s="91" t="str">
        <f t="shared" si="38"/>
        <v/>
      </c>
      <c r="L325" s="91" t="str">
        <f t="shared" si="38"/>
        <v/>
      </c>
    </row>
    <row r="326" spans="2:35" customFormat="1" x14ac:dyDescent="0.4">
      <c r="B326" t="s">
        <v>660</v>
      </c>
      <c r="D326" s="3" t="b">
        <f>IF(ISNUMBER(D322),D323&lt;-1.5,"")</f>
        <v>0</v>
      </c>
      <c r="E326" s="3" t="b">
        <f>IF(ISNUMBER(E322),E323&lt;-1.5,"")</f>
        <v>0</v>
      </c>
      <c r="F326" s="3" t="b">
        <f>IF(ISNUMBER(F322),F323&lt;-1.5,"")</f>
        <v>0</v>
      </c>
      <c r="G326" s="3" t="b">
        <f t="shared" ref="G326:M326" si="39">IF(ISNUMBER(G322),G323&lt;-1.5,"")</f>
        <v>0</v>
      </c>
      <c r="H326" s="3" t="b">
        <f t="shared" si="39"/>
        <v>0</v>
      </c>
      <c r="I326" s="3" t="b">
        <f t="shared" si="39"/>
        <v>0</v>
      </c>
      <c r="J326" s="3" t="str">
        <f t="shared" si="39"/>
        <v/>
      </c>
      <c r="K326" s="3" t="str">
        <f t="shared" si="39"/>
        <v/>
      </c>
      <c r="L326" s="3" t="str">
        <f t="shared" si="39"/>
        <v/>
      </c>
      <c r="M326" s="3" t="str">
        <f t="shared" si="39"/>
        <v/>
      </c>
    </row>
    <row r="327" spans="2:35" customFormat="1" x14ac:dyDescent="0.4">
      <c r="D327" s="3"/>
      <c r="E327" s="3"/>
      <c r="F327" s="3"/>
      <c r="G327" s="3"/>
      <c r="H327" s="3"/>
      <c r="I327" s="3"/>
    </row>
    <row r="328" spans="2:35" customFormat="1" x14ac:dyDescent="0.4">
      <c r="B328" t="s">
        <v>385</v>
      </c>
      <c r="C328" s="2" t="b" cm="1">
        <f t="array" ref="C328">IF(
  NOT(Receives_reference_trajectory),
  NA(),
  SUMPRODUCT(
    --(
      INDEX(326:326,1,COLUMN($D$322)):
      INDEX(326:326,1,COLUMN($D$322)+COLUMNS(_xlfn.ANCHORARRAY($D$322))-1)
    )
  )&gt;0
)</f>
        <v>0</v>
      </c>
    </row>
    <row r="329" spans="2:35" x14ac:dyDescent="0.4">
      <c r="B329" t="s">
        <v>306</v>
      </c>
      <c r="C329" s="15">
        <f>IF(Receives_reference_trajectory,IF(AdjustmentPeriod=4,0.4,0.25),NA())</f>
        <v>0.4</v>
      </c>
      <c r="E329" s="17"/>
    </row>
    <row r="330" spans="2:35" x14ac:dyDescent="0.4">
      <c r="B330" t="s">
        <v>473</v>
      </c>
      <c r="C330" s="121" t="e" cm="1">
        <f t="array" ref="C330">IF(
  NOT(Receives_reference_trajectory),
  NA(),
  IF(
    NOT(C328),
    NA(),
    SUMPRODUCT(
      --(_xlfn.TAKE(IFERROR(_xlfn.CHOOSECOLS(326:326, COLUMN($D$322)+_xlfn.SEQUENCE(1,COLUMNS(_xlfn.ANCHORARRAY($D$322)))-1), FALSE), , COLUMNS(_xlfn.ANCHORARRAY($D$322))-1)),
      --(_xlfn.DROP(_xlfn.CHOOSECOLS(325:325, COLUMN($D$322)+_xlfn.SEQUENCE(1,COLUMNS(_xlfn.ANCHORARRAY($D$322)))-1), , 1) &lt;= C329)
    )=0
  )
)</f>
        <v>#N/A</v>
      </c>
      <c r="E330" s="17"/>
    </row>
    <row r="331" spans="2:35" x14ac:dyDescent="0.4">
      <c r="B331"/>
      <c r="C331" s="15"/>
      <c r="E331" s="17"/>
    </row>
    <row r="332" spans="2:35" x14ac:dyDescent="0.4">
      <c r="B332" s="14" t="s">
        <v>266</v>
      </c>
      <c r="C332" s="102" t="str">
        <f>IF(
  NOT(Receives_reference_trajectory),
  Country &amp; " does not receive a reference trajectory and its MTP is not assessed against the deficit resilience safeguard.",
  IF(
    OR(NOT(C328), ISNA(C330)),
    "The deficit resilience safeguard does not apply, as the structural deficit does not exceed 1.5% of GDP during the adjustment period.",
    IF(
      C330,
      "The deficit resilience safeguard applies and " &amp; Country &amp; "'s fiscal path is compliant.",
      "The deficit resilience safeguard applies and " &amp; Country &amp; "'s fiscal path is not compliant."
    )
  )
)</f>
        <v>The deficit resilience safeguard does not apply, as the structural deficit does not exceed 1.5% of GDP during the adjustment period.</v>
      </c>
      <c r="E332" s="17"/>
    </row>
    <row r="333" spans="2:35" x14ac:dyDescent="0.4">
      <c r="C333" s="122"/>
      <c r="E333" s="17"/>
    </row>
    <row r="334" spans="2:35" ht="18" x14ac:dyDescent="0.55000000000000004">
      <c r="B334" s="128" t="s">
        <v>914</v>
      </c>
      <c r="D334" s="17"/>
      <c r="J334" s="71"/>
      <c r="K334" s="71"/>
      <c r="L334" s="71"/>
      <c r="M334" s="71"/>
      <c r="N334" s="71"/>
      <c r="O334" s="71"/>
      <c r="P334" s="71"/>
      <c r="Q334" s="71"/>
      <c r="R334" s="71"/>
      <c r="S334" s="71"/>
      <c r="T334" s="71"/>
      <c r="U334" s="71"/>
      <c r="V334" s="71"/>
      <c r="W334" s="71"/>
      <c r="X334" s="71"/>
      <c r="Y334" s="71"/>
      <c r="Z334" s="71"/>
      <c r="AA334" s="71"/>
      <c r="AB334" s="71"/>
      <c r="AC334" s="71"/>
      <c r="AD334" s="71"/>
      <c r="AE334" s="71"/>
      <c r="AF334" s="71"/>
      <c r="AG334" s="71"/>
      <c r="AH334" s="71"/>
      <c r="AI334" s="71"/>
    </row>
    <row r="335" spans="2:35" ht="14.25" x14ac:dyDescent="0.45">
      <c r="B335" s="129" t="s">
        <v>505</v>
      </c>
      <c r="D335" s="17"/>
      <c r="J335" s="71"/>
      <c r="K335" s="71"/>
      <c r="L335" s="71"/>
      <c r="M335" s="71"/>
      <c r="N335" s="71"/>
      <c r="O335" s="71"/>
      <c r="P335" s="71"/>
      <c r="Q335" s="71"/>
      <c r="R335" s="71"/>
      <c r="S335" s="71"/>
      <c r="T335" s="71"/>
      <c r="U335" s="71"/>
      <c r="V335" s="71"/>
      <c r="W335" s="71"/>
      <c r="X335" s="71"/>
      <c r="Y335" s="71"/>
      <c r="Z335" s="71"/>
      <c r="AA335" s="71"/>
      <c r="AB335" s="71"/>
      <c r="AC335" s="71"/>
      <c r="AD335" s="71"/>
      <c r="AE335" s="71"/>
      <c r="AF335" s="71"/>
      <c r="AG335" s="71"/>
      <c r="AH335" s="71"/>
      <c r="AI335" s="71"/>
    </row>
    <row r="336" spans="2:35" ht="14.25" x14ac:dyDescent="0.45">
      <c r="B336" s="129"/>
      <c r="D336" s="17"/>
      <c r="J336" s="71"/>
      <c r="K336" s="71"/>
      <c r="L336" s="71"/>
      <c r="M336" s="71"/>
      <c r="N336" s="71"/>
      <c r="O336" s="71"/>
      <c r="P336" s="71"/>
      <c r="Q336" s="71"/>
      <c r="R336" s="71"/>
      <c r="S336" s="71"/>
      <c r="T336" s="71"/>
      <c r="U336" s="71"/>
      <c r="V336" s="71"/>
      <c r="W336" s="71"/>
      <c r="X336" s="71"/>
      <c r="Y336" s="71"/>
      <c r="Z336" s="71"/>
      <c r="AA336" s="71"/>
      <c r="AB336" s="71"/>
      <c r="AC336" s="71"/>
      <c r="AD336" s="71"/>
      <c r="AE336" s="71"/>
      <c r="AF336" s="71"/>
      <c r="AG336" s="71"/>
      <c r="AH336" s="71"/>
      <c r="AI336" s="71"/>
    </row>
    <row r="337" spans="2:35" ht="15.75" x14ac:dyDescent="0.5">
      <c r="B337" s="132" t="s">
        <v>526</v>
      </c>
      <c r="D337" s="17"/>
      <c r="J337" s="71"/>
      <c r="K337" s="71"/>
      <c r="L337" s="71"/>
      <c r="M337" s="71"/>
      <c r="N337" s="71"/>
      <c r="O337" s="71"/>
      <c r="P337" s="71"/>
      <c r="Q337" s="71"/>
      <c r="R337" s="71"/>
      <c r="S337" s="71"/>
      <c r="T337" s="71"/>
      <c r="U337" s="71"/>
      <c r="V337" s="71"/>
      <c r="W337" s="71"/>
      <c r="X337" s="71"/>
      <c r="Y337" s="71"/>
      <c r="Z337" s="71"/>
      <c r="AA337" s="71"/>
      <c r="AB337" s="71"/>
      <c r="AC337" s="71"/>
      <c r="AD337" s="71"/>
      <c r="AE337" s="71"/>
      <c r="AF337" s="71"/>
      <c r="AG337" s="71"/>
      <c r="AH337" s="71"/>
      <c r="AI337" s="71"/>
    </row>
    <row r="338" spans="2:35" x14ac:dyDescent="0.4">
      <c r="B338" t="s">
        <v>506</v>
      </c>
      <c r="C338" s="130" t="e" cm="1">
        <f t="array" ref="C338">IF(
  Receives_reference_trajectory,
  IFERROR(
    INDEX(71:71, _xlfn.XMATCH(AdjustmentPeriodEnd, 62:62, 0)) -
    INDEX(71:71, _xlfn.XMATCH(MTP_YearT,        62:62, 0)),
    NA()
  ),
  NA()
)</f>
        <v>#N/A</v>
      </c>
      <c r="D338" s="17"/>
      <c r="J338" s="71"/>
      <c r="K338" s="71"/>
      <c r="L338" s="71"/>
      <c r="M338" s="71"/>
      <c r="N338" s="71"/>
      <c r="O338" s="71"/>
      <c r="P338" s="71"/>
      <c r="Q338" s="71"/>
      <c r="R338" s="71"/>
      <c r="S338" s="71"/>
      <c r="T338" s="71"/>
      <c r="U338" s="71"/>
      <c r="V338" s="71"/>
      <c r="W338" s="71"/>
      <c r="X338" s="71"/>
      <c r="Y338" s="71"/>
      <c r="Z338" s="71"/>
      <c r="AA338" s="71"/>
      <c r="AB338" s="71"/>
      <c r="AC338" s="71"/>
      <c r="AD338" s="71"/>
      <c r="AE338" s="71"/>
      <c r="AF338" s="71"/>
      <c r="AG338" s="71"/>
      <c r="AH338" s="71"/>
      <c r="AI338" s="71"/>
    </row>
    <row r="339" spans="2:35" x14ac:dyDescent="0.4">
      <c r="B339" t="s">
        <v>507</v>
      </c>
      <c r="C339" s="130" t="e" cm="1">
        <f t="array" ref="C339">IF(
  Receives_reference_trajectory,
  IFERROR(
    (
      INDEX(71:71, _xlfn.XMATCH(AdjustmentPeriodEnd, 62:62, 0)) -
      INDEX(71:71, _xlfn.XMATCH(MTP_YearT,        62:62, 0))
    ) / (AdjustmentPeriodEnd - MTP_YearT),
    NA()
  ),
  NA()
)</f>
        <v>#N/A</v>
      </c>
      <c r="D339" s="17"/>
      <c r="J339" s="71"/>
      <c r="K339" s="71"/>
      <c r="L339" s="71"/>
      <c r="M339" s="71"/>
      <c r="N339" s="71"/>
      <c r="O339" s="71"/>
      <c r="P339" s="71"/>
      <c r="Q339" s="71"/>
      <c r="R339" s="71"/>
      <c r="S339" s="71"/>
      <c r="T339" s="71"/>
      <c r="U339" s="71"/>
      <c r="V339" s="71"/>
      <c r="W339" s="71"/>
      <c r="X339" s="71"/>
      <c r="Y339" s="71"/>
      <c r="Z339" s="71"/>
      <c r="AA339" s="71"/>
      <c r="AB339" s="71"/>
      <c r="AC339" s="71"/>
      <c r="AD339" s="71"/>
      <c r="AE339" s="71"/>
      <c r="AF339" s="71"/>
      <c r="AG339" s="71"/>
      <c r="AH339" s="71"/>
      <c r="AI339" s="71"/>
    </row>
    <row r="340" spans="2:35" x14ac:dyDescent="0.4">
      <c r="B340" t="s">
        <v>456</v>
      </c>
      <c r="C340" s="130" cm="1">
        <f t="array" ref="C340">IF(
  Receives_reference_trajectory,
  IFERROR(
    INDEX(37:37, _xlfn.XMATCH(AdjustmentPeriodEnd, 32:32, 0)) -
    INDEX(37:37, _xlfn.XMATCH(MTP_YearT,        32:32, 0)),
    NA()
  ),
  NA()
)</f>
        <v>0</v>
      </c>
      <c r="D340" s="17"/>
      <c r="J340" s="71"/>
      <c r="K340" s="71"/>
      <c r="L340" s="71"/>
      <c r="M340" s="71"/>
      <c r="N340" s="71"/>
      <c r="O340" s="71"/>
      <c r="P340" s="71"/>
      <c r="Q340" s="71"/>
      <c r="R340" s="71"/>
      <c r="S340" s="71"/>
      <c r="T340" s="71"/>
      <c r="U340" s="71"/>
      <c r="V340" s="71"/>
      <c r="W340" s="71"/>
      <c r="X340" s="71"/>
      <c r="Y340" s="71"/>
      <c r="Z340" s="71"/>
      <c r="AA340" s="71"/>
      <c r="AB340" s="71"/>
      <c r="AC340" s="71"/>
      <c r="AD340" s="71"/>
      <c r="AE340" s="71"/>
      <c r="AF340" s="71"/>
      <c r="AG340" s="71"/>
      <c r="AH340" s="71"/>
      <c r="AI340" s="71"/>
    </row>
    <row r="341" spans="2:35" x14ac:dyDescent="0.4">
      <c r="B341"/>
      <c r="C341" s="130"/>
      <c r="D341" s="17"/>
      <c r="J341" s="71"/>
      <c r="K341" s="71"/>
      <c r="L341" s="71"/>
      <c r="M341" s="71"/>
      <c r="N341" s="71"/>
      <c r="O341" s="71"/>
      <c r="P341" s="71"/>
      <c r="Q341" s="71"/>
      <c r="R341" s="71"/>
      <c r="S341" s="71"/>
      <c r="T341" s="71"/>
      <c r="U341" s="71"/>
      <c r="V341" s="71"/>
      <c r="W341" s="71"/>
      <c r="X341" s="71"/>
      <c r="Y341" s="71"/>
      <c r="Z341" s="71"/>
      <c r="AA341" s="71"/>
      <c r="AB341" s="71"/>
      <c r="AC341" s="71"/>
      <c r="AD341" s="71"/>
      <c r="AE341" s="71"/>
      <c r="AF341" s="71"/>
      <c r="AG341" s="71"/>
      <c r="AH341" s="71"/>
      <c r="AI341" s="71"/>
    </row>
    <row r="342" spans="2:35" x14ac:dyDescent="0.4">
      <c r="B342" s="14" t="s">
        <v>258</v>
      </c>
      <c r="C342" s="102" t="e">
        <f>IF(
  Receives_reference_trajectory,
  IF(
    OR(ISNA(C340),NOT(ISNUMBER(C340))),
    Country &amp; "'s total SPB adjustment required over the adjustment period is " &amp;
      TEXT(C338,"0.0") &amp; " pp of GDP, and the required average annual consolidation is " &amp;
      TEXT(C339,"0.0") &amp; " pp of GDP.",
    Country &amp; "'s total SPB adjustment required over the adjustment period is " &amp;
      TEXT(C338,"0.0") &amp; " pp of GDP. The planned average annual consolidation of " &amp;
      TEXT(C340,"0.0") &amp; " pp " &amp;
      IF(
        C340 &gt; C339 + 0.1,
        "exceeds the required " &amp; TEXT(C339,"0.0") &amp;
          " pp, indicating that the plan appears consistent with achieving the target SPB implied by the reference trajectory by the end of the horizon.",
        IF(
          C340 &lt; C339 - 0.1,
          "falls short of the required " &amp; TEXT(C339,"0.0") &amp;
            " pp, indicating that additional measures may be needed to reach the target SPB.",
          "is broadly in line with the required " &amp; TEXT(C339,"0.0") &amp; " pp."
        )
      )
  ),
  NA()
)</f>
        <v>#N/A</v>
      </c>
      <c r="D342" s="17"/>
      <c r="J342" s="71"/>
      <c r="K342" s="71"/>
      <c r="L342" s="71"/>
      <c r="M342" s="71"/>
      <c r="N342" s="71"/>
      <c r="O342" s="71"/>
      <c r="P342" s="71"/>
      <c r="Q342" s="71"/>
      <c r="R342" s="71"/>
      <c r="S342" s="71"/>
      <c r="T342" s="71"/>
      <c r="U342" s="71"/>
      <c r="V342" s="71"/>
      <c r="W342" s="71"/>
      <c r="X342" s="71"/>
      <c r="Y342" s="71"/>
      <c r="Z342" s="71"/>
      <c r="AA342" s="71"/>
      <c r="AB342" s="71"/>
      <c r="AC342" s="71"/>
      <c r="AD342" s="71"/>
      <c r="AE342" s="71"/>
      <c r="AF342" s="71"/>
      <c r="AG342" s="71"/>
      <c r="AH342" s="71"/>
      <c r="AI342" s="71"/>
    </row>
    <row r="343" spans="2:35" x14ac:dyDescent="0.4">
      <c r="C343" s="102"/>
      <c r="D343" s="17"/>
      <c r="J343" s="71"/>
      <c r="K343" s="71"/>
      <c r="L343" s="71"/>
      <c r="M343" s="71"/>
      <c r="N343" s="71"/>
      <c r="O343" s="71"/>
      <c r="P343" s="71"/>
      <c r="Q343" s="71"/>
      <c r="R343" s="71"/>
      <c r="S343" s="71"/>
      <c r="T343" s="71"/>
      <c r="U343" s="71"/>
      <c r="V343" s="71"/>
      <c r="W343" s="71"/>
      <c r="X343" s="71"/>
      <c r="Y343" s="71"/>
      <c r="Z343" s="71"/>
      <c r="AA343" s="71"/>
      <c r="AB343" s="71"/>
      <c r="AC343" s="71"/>
      <c r="AD343" s="71"/>
      <c r="AE343" s="71"/>
      <c r="AF343" s="71"/>
      <c r="AG343" s="71"/>
      <c r="AH343" s="71"/>
      <c r="AI343" s="71"/>
    </row>
    <row r="344" spans="2:35" ht="15.75" x14ac:dyDescent="0.5">
      <c r="B344" s="79" t="s">
        <v>508</v>
      </c>
      <c r="C344" s="92"/>
      <c r="E344" s="18"/>
      <c r="J344" s="16"/>
    </row>
    <row r="345" spans="2:35" customFormat="1" x14ac:dyDescent="0.4">
      <c r="B345" t="str">
        <f>"Minimum level of structural primary balance in "&amp;AdjustmentPeriodEnd&amp;", no safeguard"</f>
        <v>Minimum level of structural primary balance in 2028, no safeguard</v>
      </c>
      <c r="C345" s="2" t="e">
        <f>IF(Receives_reference_trajectory,NA(),INDEX(65:65, MATCH(AdjustmentPeriodEnd, 46:46, 0)))</f>
        <v>#N/A</v>
      </c>
    </row>
    <row r="346" spans="2:35" customFormat="1" x14ac:dyDescent="0.4">
      <c r="B346" t="str">
        <f>"Minimum level of structural primary balance in "&amp;AdjustmentPeriodEnd&amp;", with safeguard"</f>
        <v>Minimum level of structural primary balance in 2028, with safeguard</v>
      </c>
      <c r="C346" s="126" t="e">
        <f>IF(Receives_reference_trajectory,NA(),INDEX(66:66, MATCH(AdjustmentPeriodEnd, 46:46, 0)))</f>
        <v>#N/A</v>
      </c>
    </row>
    <row r="347" spans="2:35" customFormat="1" x14ac:dyDescent="0.4">
      <c r="B347" t="s">
        <v>378</v>
      </c>
      <c r="C347" s="2" t="e">
        <f>IF(Receives_reference_trajectory,NA(),INDEX(37:37, MATCH(AdjustmentPeriodEnd, 46:46, 0)))</f>
        <v>#N/A</v>
      </c>
    </row>
    <row r="348" spans="2:35" x14ac:dyDescent="0.4">
      <c r="B348" t="s">
        <v>376</v>
      </c>
      <c r="C348" s="15" t="e">
        <f>IF(Receives_reference_trajectory, NA(), C347 &gt;= C345)</f>
        <v>#N/A</v>
      </c>
      <c r="E348" s="18"/>
      <c r="J348" s="16"/>
    </row>
    <row r="349" spans="2:35" x14ac:dyDescent="0.4">
      <c r="B349" t="s">
        <v>377</v>
      </c>
      <c r="C349" s="15" t="e">
        <f>IF(Receives_reference_trajectory, NA(), C347 &gt;= C346)</f>
        <v>#N/A</v>
      </c>
      <c r="E349" s="18"/>
      <c r="J349" s="16"/>
    </row>
    <row r="350" spans="2:35" x14ac:dyDescent="0.4">
      <c r="C350" s="15"/>
      <c r="J350" s="71"/>
      <c r="K350" s="71"/>
      <c r="L350" s="71"/>
      <c r="M350" s="71"/>
      <c r="N350" s="71"/>
      <c r="O350" s="71"/>
      <c r="P350" s="71"/>
      <c r="Q350" s="71"/>
      <c r="R350" s="71"/>
      <c r="S350" s="71"/>
      <c r="T350" s="71"/>
      <c r="U350" s="71"/>
      <c r="V350" s="71"/>
      <c r="W350" s="71"/>
      <c r="X350" s="71"/>
      <c r="Y350" s="71"/>
      <c r="Z350" s="71"/>
      <c r="AA350" s="71"/>
      <c r="AB350" s="71"/>
      <c r="AC350" s="71"/>
      <c r="AD350" s="71"/>
      <c r="AE350" s="71"/>
      <c r="AF350" s="71"/>
      <c r="AG350" s="71"/>
      <c r="AH350" s="71"/>
      <c r="AI350" s="71"/>
    </row>
    <row r="351" spans="2:35" x14ac:dyDescent="0.4">
      <c r="B351" s="14" t="s">
        <v>266</v>
      </c>
      <c r="C351" s="102" t="e">
        <f>_xlfn.LET(
  _xlpm.nos, Assessment!$C$348,
  _xlpm.ws,  Assessment!$C$349,
  IF(
    OR(Receives_reference_trajectory, AND(ISNA(_xlpm.nos), ISNA(_xlpm.ws))),
    NA(),
    Country &amp; " is required to meet the structural primary balance condition without a safeguard. " &amp;
    IF(
      AND(_xlpm.nos=TRUE, _xlpm.ws=TRUE),
      "This condition is met under both the no-safeguard requirement and the safeguard threshold.",
      IF(
        AND(_xlpm.nos=TRUE, _xlpm.ws=FALSE),
        "This condition is met, although the safeguard threshold is not.",
        IF(
          AND(_xlpm.nos=FALSE, _xlpm.ws=TRUE),
          "Inconsistent result: the condition is not met without a safeguard but is met under the safeguard threshold. Inputs should be checked.",
          "This condition is not met, and the safeguard threshold is also not met."
        )
      )
    )
  )
)</f>
        <v>#N/A</v>
      </c>
      <c r="D351" s="17"/>
      <c r="E351" s="18"/>
      <c r="J351" s="71"/>
      <c r="K351" s="71"/>
      <c r="L351" s="71"/>
      <c r="M351" s="71"/>
      <c r="N351" s="71"/>
      <c r="O351" s="71" t="s">
        <v>269</v>
      </c>
      <c r="P351" s="71"/>
      <c r="Q351" s="71"/>
      <c r="R351" s="71"/>
      <c r="S351" s="71"/>
      <c r="T351" s="71"/>
      <c r="U351" s="71"/>
      <c r="V351" s="71"/>
      <c r="W351" s="71"/>
      <c r="X351" s="71"/>
      <c r="Y351" s="71"/>
      <c r="Z351" s="71"/>
      <c r="AA351" s="71"/>
      <c r="AB351" s="71"/>
      <c r="AC351" s="71"/>
      <c r="AD351" s="71"/>
      <c r="AE351" s="71"/>
      <c r="AF351" s="71"/>
      <c r="AG351" s="71"/>
      <c r="AH351" s="71"/>
      <c r="AI351" s="71"/>
    </row>
    <row r="352" spans="2:35" x14ac:dyDescent="0.4">
      <c r="J352" s="71"/>
      <c r="K352" s="71"/>
      <c r="L352" s="71"/>
      <c r="M352" s="71"/>
      <c r="N352" s="71"/>
      <c r="O352" s="71"/>
      <c r="P352" s="71"/>
      <c r="Q352" s="71"/>
      <c r="R352" s="71"/>
      <c r="S352" s="71"/>
      <c r="T352" s="71"/>
      <c r="U352" s="71"/>
      <c r="V352" s="71"/>
      <c r="W352" s="71"/>
      <c r="X352" s="71"/>
      <c r="Y352" s="71"/>
      <c r="Z352" s="71"/>
      <c r="AA352" s="71"/>
      <c r="AB352" s="71"/>
      <c r="AC352" s="71"/>
      <c r="AD352" s="71"/>
      <c r="AE352" s="71"/>
      <c r="AF352" s="71"/>
      <c r="AG352" s="71"/>
      <c r="AH352" s="71"/>
      <c r="AI352" s="71"/>
    </row>
    <row r="353" spans="2:35" ht="18" x14ac:dyDescent="0.55000000000000004">
      <c r="B353" s="50" t="s">
        <v>509</v>
      </c>
      <c r="C353" s="56"/>
      <c r="E353" s="17"/>
    </row>
    <row r="354" spans="2:35" customFormat="1" ht="15.75" x14ac:dyDescent="0.5">
      <c r="B354" s="79" t="s">
        <v>526</v>
      </c>
    </row>
    <row r="355" spans="2:35" x14ac:dyDescent="0.4">
      <c r="B355" t="s">
        <v>515</v>
      </c>
      <c r="C355" s="15" t="b">
        <f>IF(
  NOT(Receives_reference_trajectory),
  NA(),
  IFERROR(
    AND(
      C220,
      IF(AdjustmentPeriod=7, C225, TRUE),
      C242,
      C265,
      C275,
      C294,
      IF(ISNA(C307), TRUE, C307),
      IF(ISNA(C317), TRUE, C317),
      IF(ISNA(C330), TRUE, C330)
    ),
    NA()
  )
)</f>
        <v>1</v>
      </c>
      <c r="J355" s="71"/>
      <c r="K355" s="71"/>
      <c r="L355" s="71"/>
      <c r="M355" s="71"/>
      <c r="N355" s="71"/>
      <c r="O355" s="71"/>
      <c r="P355" s="71"/>
      <c r="Q355" s="71"/>
      <c r="R355" s="71"/>
      <c r="S355" s="71"/>
      <c r="T355" s="71"/>
      <c r="U355" s="71"/>
      <c r="V355" s="71"/>
      <c r="W355" s="71"/>
      <c r="X355" s="71"/>
      <c r="Y355" s="71"/>
      <c r="Z355" s="71"/>
      <c r="AA355" s="71"/>
      <c r="AB355" s="71"/>
      <c r="AC355" s="71"/>
      <c r="AD355" s="71"/>
      <c r="AE355" s="71"/>
      <c r="AF355" s="71"/>
      <c r="AG355" s="71"/>
      <c r="AH355" s="71"/>
      <c r="AI355" s="71"/>
    </row>
    <row r="356" spans="2:35" x14ac:dyDescent="0.4">
      <c r="B356" s="14" t="s">
        <v>528</v>
      </c>
      <c r="C356" s="102" t="str">
        <f>IF(
  Receives_reference_trajectory,
  IF(
    C240,
    "The net expenditure path in " &amp; Country &amp; "'s latest MTP adheres to the Commission's reference trajectory" &amp;
    IF(
      ISNA(C355),
      ", but overall compliance with Regulation (EU) 2024/1263 cannot yet be assessed.",
      IF(C355,
        " and it meets all requirements of Regulation (EU) 2024/1263.",
        " but it does not meet all requirements of Regulation (EU) 2024/1263."
      )
    ),
    IF(
      C241,
      "The net expenditure path in " &amp; Country &amp; "'s latest MTP exceeds the Commission's reference trajectory but the " &amp; IFI_Name &amp;
      " deems the explanation and alternative assumptions to be satisfactory" &amp;
      IF(
        ISNA(C355),
        ", but overall compliance with Regulation (EU) 2024/1263 cannot yet be assessed.",
        IF(C355,
          ", and it meets all requirements of Regulation (EU) 2024/1263.",
          ", but it does not meet all requirements of Regulation (EU) 2024/1263."
        )
      ),
      "The net expenditure path in " &amp; Country &amp; "'s latest MTP exceeds the Commission's reference trajectory and the " &amp; IFI_Name &amp;
      " does not deem the explanation and alternative assumptions to be satisfactory" &amp;
      IF(
        ISNA(C355),
        ", and overall compliance with Regulation (EU) 2024/1263 cannot yet be assessed.",
        IF(C355,
          ", and it meets all requirements of Regulation (EU) 2024/1263.",
          ", and it does not meet all requirements of Regulation (EU) 2024/1263."
        )
      )
    )
  ),
  "Not applicable."
)</f>
        <v>The net expenditure path in Select country's latest MTP adheres to the Commission's reference trajectory and it meets all requirements of Regulation (EU) 2024/1263.</v>
      </c>
      <c r="J356" s="71"/>
      <c r="K356" s="71"/>
      <c r="L356" s="71"/>
      <c r="M356" s="71"/>
      <c r="N356" s="71"/>
      <c r="O356" s="71"/>
      <c r="P356" s="71"/>
      <c r="Q356" s="71"/>
      <c r="R356" s="71"/>
      <c r="S356" s="71"/>
      <c r="T356" s="71"/>
      <c r="U356" s="71"/>
      <c r="V356" s="71"/>
      <c r="W356" s="71"/>
      <c r="X356" s="71"/>
      <c r="Y356" s="71"/>
      <c r="Z356" s="71"/>
      <c r="AA356" s="71"/>
      <c r="AB356" s="71"/>
      <c r="AC356" s="71"/>
      <c r="AD356" s="71"/>
      <c r="AE356" s="71"/>
      <c r="AF356" s="71"/>
      <c r="AG356" s="71"/>
      <c r="AH356" s="71"/>
      <c r="AI356" s="71"/>
    </row>
    <row r="357" spans="2:35" x14ac:dyDescent="0.4">
      <c r="B357"/>
      <c r="C357" s="122"/>
      <c r="J357" s="71"/>
      <c r="K357" s="71"/>
      <c r="L357" s="71"/>
      <c r="M357" s="71"/>
      <c r="N357" s="71"/>
      <c r="O357" s="71"/>
      <c r="P357" s="71"/>
      <c r="Q357" s="71"/>
      <c r="R357" s="71"/>
      <c r="S357" s="71"/>
      <c r="T357" s="71"/>
      <c r="U357" s="71"/>
      <c r="V357" s="71"/>
      <c r="W357" s="71"/>
      <c r="X357" s="71"/>
      <c r="Y357" s="71"/>
      <c r="Z357" s="71"/>
      <c r="AA357" s="71"/>
      <c r="AB357" s="71"/>
      <c r="AC357" s="71"/>
      <c r="AD357" s="71"/>
      <c r="AE357" s="71"/>
      <c r="AF357" s="71"/>
      <c r="AG357" s="71"/>
      <c r="AH357" s="71"/>
      <c r="AI357" s="71"/>
    </row>
    <row r="358" spans="2:35" ht="15.75" x14ac:dyDescent="0.5">
      <c r="B358" s="79" t="s">
        <v>454</v>
      </c>
      <c r="C358" s="37"/>
      <c r="J358" s="71"/>
      <c r="K358" s="71"/>
      <c r="L358" s="71"/>
      <c r="M358" s="71"/>
      <c r="N358" s="71"/>
      <c r="O358" s="71"/>
      <c r="P358" s="71"/>
      <c r="Q358" s="71"/>
      <c r="R358" s="71"/>
      <c r="S358" s="71"/>
      <c r="T358" s="71"/>
      <c r="U358" s="71"/>
      <c r="V358" s="71"/>
      <c r="W358" s="71"/>
      <c r="X358" s="71"/>
      <c r="Y358" s="71"/>
      <c r="Z358" s="71"/>
      <c r="AA358" s="71"/>
      <c r="AB358" s="71"/>
      <c r="AC358" s="71"/>
      <c r="AD358" s="71"/>
      <c r="AE358" s="71"/>
      <c r="AF358" s="71"/>
      <c r="AG358" s="71"/>
      <c r="AH358" s="71"/>
      <c r="AI358" s="71"/>
    </row>
    <row r="359" spans="2:35" x14ac:dyDescent="0.4">
      <c r="B359" t="s">
        <v>515</v>
      </c>
      <c r="C359" s="15" t="e">
        <f>IF(
  Receives_reference_trajectory,
  NA(),
  AND(C252, C269, C279)
)</f>
        <v>#N/A</v>
      </c>
      <c r="J359" s="71"/>
      <c r="K359" s="71"/>
      <c r="L359" s="71"/>
      <c r="M359" s="71"/>
      <c r="N359" s="71"/>
      <c r="O359" s="71"/>
      <c r="P359" s="71"/>
      <c r="Q359" s="71"/>
      <c r="R359" s="71"/>
      <c r="S359" s="71"/>
      <c r="T359" s="71"/>
      <c r="U359" s="71"/>
      <c r="V359" s="71"/>
      <c r="W359" s="71"/>
      <c r="X359" s="71"/>
      <c r="Y359" s="71"/>
      <c r="Z359" s="71"/>
      <c r="AA359" s="71"/>
      <c r="AB359" s="71"/>
      <c r="AC359" s="71"/>
      <c r="AD359" s="71"/>
      <c r="AE359" s="71"/>
      <c r="AF359" s="71"/>
      <c r="AG359" s="71"/>
      <c r="AH359" s="71"/>
      <c r="AI359" s="71"/>
    </row>
    <row r="360" spans="2:35" x14ac:dyDescent="0.4">
      <c r="B360" s="14" t="s">
        <v>258</v>
      </c>
      <c r="C360" s="102" t="str">
        <f>IF(
  Receives_reference_trajectory,
  "Not applicable",
  IF(
    C250,
    "The net expenditure path in " &amp; Country &amp; "'s MTP adheres to the minimum level of the primary structural balance in " &amp;
      AdjustmentPeriodEnd &amp; " (" &amp; C246 &amp; "% of GDP). ",
    "The net expenditure path in " &amp; Country &amp; "'s MTP does not adhere to the minimum level of the primary structural balance in " &amp;
      AdjustmentPeriodEnd &amp; " (" &amp; C246 &amp; "% of GDP). "
  ) &amp;
  IF(
    AND(C269, C279),
    "The net expenditure path put forward in the plan is consistent with the deficit and debt requirements as set out in Article 16(2) of Regulation (EU) 2024/1263.",
    IF(
      AND(C269, NOT(C279)),
      "However, while it complies with the debt requirement, it does not comply with the deficit requirement under Article 16(2) of Regulation (EU) 2024/1263.",
      IF(
        AND(NOT(C269), C279),
        "However, while it complies with the deficit requirement, it does not comply with the debt requirement under Article 16(2) of Regulation (EU) 2024/1263.",
        "It does not comply with either the deficit or debt requirements as set out in Article 16(2) of Regulation (EU) 2024/1263."
      )
    )
  )
)</f>
        <v>Not applicable</v>
      </c>
      <c r="E360" s="17"/>
      <c r="J360" s="71"/>
      <c r="K360" s="71"/>
      <c r="L360" s="71"/>
      <c r="M360" s="71"/>
      <c r="N360" s="71"/>
      <c r="O360" s="71"/>
      <c r="P360" s="71"/>
      <c r="Q360" s="71"/>
      <c r="R360" s="71"/>
      <c r="S360" s="71"/>
      <c r="T360" s="71"/>
      <c r="U360" s="71"/>
      <c r="V360" s="71"/>
      <c r="W360" s="71"/>
      <c r="X360" s="71"/>
      <c r="Y360" s="71"/>
      <c r="Z360" s="71"/>
      <c r="AA360" s="71"/>
      <c r="AB360" s="71"/>
      <c r="AC360" s="71"/>
      <c r="AD360" s="71"/>
      <c r="AE360" s="71"/>
      <c r="AF360" s="71"/>
      <c r="AG360" s="71"/>
      <c r="AH360" s="71"/>
      <c r="AI360" s="71"/>
    </row>
  </sheetData>
  <phoneticPr fontId="9" type="noConversion"/>
  <conditionalFormatting sqref="D151:V151 D183:V193 D334:V343 R145:U149">
    <cfRule type="expression" dxfId="40" priority="152">
      <formula>AND(#REF!&gt;MTP_YearT, #REF!&lt;=AdjustmentPeriodEnd)</formula>
    </cfRule>
  </conditionalFormatting>
  <conditionalFormatting sqref="T183:V193 T334:V343 T151:V151">
    <cfRule type="expression" dxfId="39" priority="154">
      <formula>ISNUMBER(#REF!)</formula>
    </cfRule>
  </conditionalFormatting>
  <conditionalFormatting sqref="D286:M286">
    <cfRule type="expression" dxfId="38" priority="59">
      <formula>ISNUMBER(D286)</formula>
    </cfRule>
  </conditionalFormatting>
  <conditionalFormatting sqref="D5:K5">
    <cfRule type="expression" dxfId="37" priority="58">
      <formula>ISNUMBER(D4)</formula>
    </cfRule>
  </conditionalFormatting>
  <conditionalFormatting sqref="E149:M149">
    <cfRule type="expression" dxfId="36" priority="195">
      <formula>ISNUMBER(E$105)</formula>
    </cfRule>
  </conditionalFormatting>
  <conditionalFormatting sqref="D162:V162">
    <cfRule type="expression" dxfId="35" priority="38">
      <formula>AND(#REF!&gt;MTP_YearT, #REF!&lt;=AdjustmentPeriodEnd)</formula>
    </cfRule>
  </conditionalFormatting>
  <conditionalFormatting sqref="T161:V162">
    <cfRule type="expression" dxfId="34" priority="208">
      <formula>ISNUMBER(#REF!)</formula>
    </cfRule>
  </conditionalFormatting>
  <conditionalFormatting sqref="D156:V160">
    <cfRule type="expression" dxfId="33" priority="210">
      <formula>AND(#REF!&gt;MTP_YearT, #REF!&lt;=AdjustmentPeriodEnd)</formula>
    </cfRule>
  </conditionalFormatting>
  <conditionalFormatting sqref="T152:V160">
    <cfRule type="expression" dxfId="32" priority="212">
      <formula>ISNUMBER(#REF!)</formula>
    </cfRule>
  </conditionalFormatting>
  <conditionalFormatting sqref="D161:V161 D152:V155">
    <cfRule type="expression" dxfId="31" priority="214">
      <formula>AND(#REF!&gt;MTP_YearT, #REF!&lt;=AdjustmentPeriodEnd)</formula>
    </cfRule>
  </conditionalFormatting>
  <conditionalFormatting sqref="D288:I288">
    <cfRule type="expression" dxfId="30" priority="31">
      <formula>ISNUMBER(D286)</formula>
    </cfRule>
  </conditionalFormatting>
  <conditionalFormatting sqref="D322:I322">
    <cfRule type="expression" dxfId="29" priority="30">
      <formula>ISNUMBER(D322)</formula>
    </cfRule>
  </conditionalFormatting>
  <conditionalFormatting sqref="D325:L325">
    <cfRule type="expression" dxfId="28" priority="28">
      <formula>ISNUMBER(D322)</formula>
    </cfRule>
  </conditionalFormatting>
  <conditionalFormatting sqref="D4:K4">
    <cfRule type="expression" dxfId="27" priority="25">
      <formula>ISNUMBER(D4)</formula>
    </cfRule>
  </conditionalFormatting>
  <conditionalFormatting sqref="D33:N33 D34:Q34">
    <cfRule type="expression" dxfId="26" priority="24">
      <formula>ISNUMBER(D32)</formula>
    </cfRule>
  </conditionalFormatting>
  <conditionalFormatting sqref="D27:K27">
    <cfRule type="expression" dxfId="25" priority="23">
      <formula>ISNUMBER(D$4)</formula>
    </cfRule>
  </conditionalFormatting>
  <conditionalFormatting sqref="D32:N32">
    <cfRule type="expression" dxfId="24" priority="22">
      <formula>ISNUMBER(D32)</formula>
    </cfRule>
  </conditionalFormatting>
  <conditionalFormatting sqref="D44:W45 D59:W59 D53:W53">
    <cfRule type="expression" dxfId="23" priority="21">
      <formula>ISNUMBER(D44)</formula>
    </cfRule>
  </conditionalFormatting>
  <conditionalFormatting sqref="D88:W88">
    <cfRule type="expression" dxfId="22" priority="20">
      <formula>ISNUMBER(D62)</formula>
    </cfRule>
  </conditionalFormatting>
  <conditionalFormatting sqref="D62:W62">
    <cfRule type="expression" dxfId="21" priority="19">
      <formula>ISNUMBER(D62)</formula>
    </cfRule>
  </conditionalFormatting>
  <conditionalFormatting sqref="X64 D63:W64 D47:W47">
    <cfRule type="expression" dxfId="20" priority="18">
      <formula>ISNUMBER(D46)</formula>
    </cfRule>
  </conditionalFormatting>
  <conditionalFormatting sqref="D46:W46">
    <cfRule type="expression" dxfId="19" priority="17">
      <formula>ISNUMBER(D46)</formula>
    </cfRule>
  </conditionalFormatting>
  <conditionalFormatting sqref="E145:M149">
    <cfRule type="expression" dxfId="18" priority="194">
      <formula>NOT(ISNUMBER(E$105))</formula>
    </cfRule>
  </conditionalFormatting>
  <conditionalFormatting sqref="D172:I172">
    <cfRule type="expression" dxfId="17" priority="14">
      <formula>ISNUMBER(D172)</formula>
    </cfRule>
  </conditionalFormatting>
  <conditionalFormatting sqref="D175:L175">
    <cfRule type="expression" dxfId="16" priority="13">
      <formula>ISNUMBER(D172)</formula>
    </cfRule>
  </conditionalFormatting>
  <conditionalFormatting sqref="D105:K105">
    <cfRule type="expression" dxfId="15" priority="10">
      <formula>D$106&lt;&gt;""</formula>
    </cfRule>
  </conditionalFormatting>
  <conditionalFormatting sqref="D106:K106">
    <cfRule type="expression" dxfId="14" priority="9">
      <formula>D$106&lt;&gt;""</formula>
    </cfRule>
  </conditionalFormatting>
  <conditionalFormatting sqref="D122:K122">
    <cfRule type="expression" dxfId="13" priority="8">
      <formula>D$105&lt;&gt;""</formula>
    </cfRule>
  </conditionalFormatting>
  <conditionalFormatting sqref="D124:K124">
    <cfRule type="expression" dxfId="12" priority="7">
      <formula>D$105&lt;&gt;""</formula>
    </cfRule>
  </conditionalFormatting>
  <conditionalFormatting sqref="D127:K127">
    <cfRule type="expression" dxfId="11" priority="6">
      <formula>D$105&lt;&gt;""</formula>
    </cfRule>
  </conditionalFormatting>
  <conditionalFormatting sqref="D145:D146">
    <cfRule type="expression" dxfId="10" priority="5">
      <formula>NOT(ISNUMBER(G123))</formula>
    </cfRule>
  </conditionalFormatting>
  <conditionalFormatting sqref="D148:D149">
    <cfRule type="expression" dxfId="9" priority="353">
      <formula>NOT(ISNUMBER(#REF!))</formula>
    </cfRule>
    <cfRule type="expression" dxfId="8" priority="354">
      <formula>ISNUMBER(#REF!)</formula>
    </cfRule>
  </conditionalFormatting>
  <conditionalFormatting sqref="D58:W58">
    <cfRule type="expression" dxfId="7" priority="2">
      <formula>ISNUMBER(D$46)</formula>
    </cfRule>
  </conditionalFormatting>
  <conditionalFormatting sqref="D148:D149">
    <cfRule type="expression" dxfId="6" priority="411">
      <formula>NOT(ISNUMBER(G125))</formula>
    </cfRule>
  </conditionalFormatting>
  <conditionalFormatting sqref="D6:K14 D16:K26 D15:L15">
    <cfRule type="expression" dxfId="5" priority="1">
      <formula>ISNUMBER(D$4)</formula>
    </cfRule>
  </conditionalFormatting>
  <conditionalFormatting sqref="D147">
    <cfRule type="expression" dxfId="4" priority="1022">
      <formula>NOT(ISNUMBER(G125))</formula>
    </cfRule>
  </conditionalFormatting>
  <pageMargins left="0.7" right="0.7" top="0.75" bottom="0.75" header="0.3" footer="0.3"/>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D29D2-75F1-45F1-B22F-43E588911C95}">
  <sheetPr codeName="Sheet9"/>
  <dimension ref="B2:X346"/>
  <sheetViews>
    <sheetView showGridLines="0" topLeftCell="B1" zoomScaleNormal="100" workbookViewId="0">
      <pane ySplit="2" topLeftCell="A3" activePane="bottomLeft" state="frozen"/>
      <selection activeCell="L159" sqref="L159"/>
      <selection pane="bottomLeft" activeCell="B1" sqref="B1"/>
    </sheetView>
  </sheetViews>
  <sheetFormatPr defaultRowHeight="13.15" x14ac:dyDescent="0.4"/>
  <cols>
    <col min="1" max="1" width="5.28515625" customWidth="1"/>
    <col min="2" max="2" width="11.28515625" style="110" bestFit="1" customWidth="1"/>
    <col min="3" max="3" width="51.5703125" customWidth="1"/>
    <col min="4" max="4" width="7.85546875" customWidth="1"/>
    <col min="6" max="6" width="9.140625" customWidth="1"/>
  </cols>
  <sheetData>
    <row r="2" spans="2:24" x14ac:dyDescent="0.4">
      <c r="C2" s="33"/>
      <c r="D2" s="33"/>
      <c r="E2" s="44" cm="1">
        <f t="array" ref="E2:T2">_xlfn.SEQUENCE(1, AdjustmentPeriodEnd+10-MTP_BaseYear+1, MTP_BaseYear)</f>
        <v>2023</v>
      </c>
      <c r="F2" s="44">
        <v>2024</v>
      </c>
      <c r="G2" s="44">
        <v>2025</v>
      </c>
      <c r="H2" s="44">
        <v>2026</v>
      </c>
      <c r="I2" s="44">
        <v>2027</v>
      </c>
      <c r="J2" s="44">
        <v>2028</v>
      </c>
      <c r="K2" s="44">
        <v>2029</v>
      </c>
      <c r="L2" s="44">
        <v>2030</v>
      </c>
      <c r="M2" s="44">
        <v>2031</v>
      </c>
      <c r="N2" s="44">
        <v>2032</v>
      </c>
      <c r="O2" s="44">
        <v>2033</v>
      </c>
      <c r="P2" s="44">
        <v>2034</v>
      </c>
      <c r="Q2" s="44">
        <v>2035</v>
      </c>
      <c r="R2" s="44">
        <v>2036</v>
      </c>
      <c r="S2" s="44">
        <v>2037</v>
      </c>
      <c r="T2" s="44">
        <v>2038</v>
      </c>
      <c r="U2" s="44"/>
      <c r="V2" s="44"/>
      <c r="W2" s="44"/>
    </row>
    <row r="3" spans="2:24" ht="16.5" x14ac:dyDescent="0.6">
      <c r="B3" s="110" t="s">
        <v>479</v>
      </c>
      <c r="C3" s="11" t="s">
        <v>925</v>
      </c>
    </row>
    <row r="4" spans="2:24" x14ac:dyDescent="0.4">
      <c r="C4" s="2" t="s">
        <v>390</v>
      </c>
      <c r="F4" s="64">
        <f>IF(MTP_Council_Endorsed,IF(Assessment!E34="",NA(),Assessment!E34),NA())</f>
        <v>0</v>
      </c>
      <c r="G4" s="64">
        <f>IF(MTP_Council_Endorsed,IF(Assessment!F34="",NA(),Assessment!F34),NA())</f>
        <v>0</v>
      </c>
      <c r="H4" s="64">
        <f>IF(MTP_Council_Endorsed,IF(Assessment!G34="",NA(),Assessment!G34),NA())</f>
        <v>0</v>
      </c>
      <c r="I4" s="64">
        <f>IF(MTP_Council_Endorsed,IF(Assessment!H34="",NA(),Assessment!H34),NA())</f>
        <v>0</v>
      </c>
      <c r="J4" s="64">
        <f>IF(MTP_Council_Endorsed,IF(Assessment!I34="",NA(),Assessment!I34),NA())</f>
        <v>0</v>
      </c>
      <c r="K4" s="64" t="e">
        <f>IF(MTP_Council_Endorsed,IF(Assessment!J34="",NA(),Assessment!J34),NA())</f>
        <v>#N/A</v>
      </c>
      <c r="L4" s="64" t="e">
        <f>IF(MTP_Council_Endorsed,IF(Assessment!K34="",NA(),Assessment!K34),NA())</f>
        <v>#N/A</v>
      </c>
      <c r="M4" s="64" t="e">
        <f>IF(MTP_Council_Endorsed,IF(Assessment!L34="",NA(),Assessment!L34),NA())</f>
        <v>#N/A</v>
      </c>
      <c r="N4" s="64" t="e">
        <f>IF(MTP_Council_Endorsed,IF(Assessment!M34="",NA(),Assessment!M34),NA())</f>
        <v>#N/A</v>
      </c>
      <c r="O4" s="64" t="e">
        <f>IF(MTP_Council_Endorsed,IF(Assessment!N34="",NA(),Assessment!N34),NA())</f>
        <v>#N/A</v>
      </c>
      <c r="P4" s="64" t="e">
        <f>IF(MTP_Council_Endorsed,IF(Assessment!O34="",NA(),Assessment!O34),NA())</f>
        <v>#N/A</v>
      </c>
      <c r="Q4" s="64" t="e">
        <f>IF(MTP_Council_Endorsed,IF(Assessment!P34="",NA(),Assessment!P34),NA())</f>
        <v>#N/A</v>
      </c>
      <c r="R4" s="64" t="e">
        <f>IF(MTP_Council_Endorsed,IF(Assessment!Q34="",NA(),Assessment!Q34),NA())</f>
        <v>#N/A</v>
      </c>
      <c r="S4" s="64" t="e">
        <f>IF(MTP_Council_Endorsed,IF(Assessment!R34="",NA(),Assessment!R34),NA())</f>
        <v>#N/A</v>
      </c>
      <c r="T4" s="64" t="e">
        <f>IF(MTP_Council_Endorsed,IF(Assessment!S34="",NA(),Assessment!S34),NA())</f>
        <v>#N/A</v>
      </c>
      <c r="U4" s="64" t="e">
        <f>IF(MTP_Council_Endorsed,IF(Assessment!T34="",NA(),Assessment!T34),NA())</f>
        <v>#N/A</v>
      </c>
      <c r="V4" s="64" t="e">
        <f>IF(MTP_Council_Endorsed,IF(Assessment!U34="",NA(),Assessment!U34),NA())</f>
        <v>#N/A</v>
      </c>
      <c r="W4" s="64" t="e">
        <f>IF(MTP_Council_Endorsed,IF(Assessment!V34="",NA(),Assessment!V34),NA())</f>
        <v>#N/A</v>
      </c>
    </row>
    <row r="5" spans="2:24" x14ac:dyDescent="0.4">
      <c r="C5" s="2" t="s">
        <v>296</v>
      </c>
      <c r="F5" s="4"/>
      <c r="G5" s="4"/>
      <c r="H5" s="4"/>
      <c r="I5" s="4"/>
      <c r="J5" s="4"/>
      <c r="K5" s="4"/>
      <c r="L5" s="4"/>
      <c r="M5" s="4"/>
      <c r="N5" s="4"/>
      <c r="O5" s="4"/>
      <c r="P5" s="4"/>
      <c r="Q5" s="4"/>
      <c r="R5" s="4"/>
      <c r="S5" s="4"/>
      <c r="T5" s="4"/>
      <c r="U5" s="4"/>
      <c r="V5" s="4"/>
      <c r="W5" s="4"/>
    </row>
    <row r="6" spans="2:24" x14ac:dyDescent="0.4">
      <c r="C6" s="2" t="s">
        <v>243</v>
      </c>
      <c r="F6" s="64" t="e">
        <f>IF(MTP_Council_Endorsed,IF(OR(ISNUMBER(F8),ISNUMBER(F9)),NA(),IF(ISNUMBER(Assessment!E15),Assessment!E15,NA())),NA())</f>
        <v>#N/A</v>
      </c>
      <c r="G6" s="64" t="e">
        <f>IF(OR(ISNUMBER(G8),ISNUMBER(G9)),NA(),IF(ISNUMBER(Assessment!F15),Assessment!F15,NA()))</f>
        <v>#N/A</v>
      </c>
      <c r="H6" s="64" t="e">
        <f>IF(OR(ISNUMBER(H8),ISNUMBER(H9)),NA(),IF(ISNUMBER(Assessment!G15),Assessment!G15,NA()))</f>
        <v>#N/A</v>
      </c>
      <c r="I6" s="64" t="e">
        <f>IF(OR(ISNUMBER(I8),ISNUMBER(I9)),NA(),IF(ISNUMBER(Assessment!H15),Assessment!H15,NA()))</f>
        <v>#N/A</v>
      </c>
      <c r="J6" s="64" t="e">
        <f>IF(OR(ISNUMBER(J8),ISNUMBER(J9)),NA(),IF(ISNUMBER(Assessment!I15),Assessment!I15,NA()))</f>
        <v>#N/A</v>
      </c>
      <c r="K6" s="64" t="e">
        <f>IF(OR(ISNUMBER(K8),ISNUMBER(K9)),NA(),IF(ISNUMBER(Assessment!J15),Assessment!J15,NA()))</f>
        <v>#N/A</v>
      </c>
      <c r="L6" s="64" t="e">
        <f>IF(OR(ISNUMBER(L8),ISNUMBER(L9)),NA(),IF(ISNUMBER(Assessment!K15),Assessment!K15,NA()))</f>
        <v>#N/A</v>
      </c>
      <c r="M6" s="64" t="e">
        <f>IF(OR(ISNUMBER(M8),ISNUMBER(M9)),NA(),IF(ISNUMBER(Assessment!L15),Assessment!L15,NA()))</f>
        <v>#N/A</v>
      </c>
      <c r="N6" s="64" t="e">
        <f>IF(OR(ISNUMBER(N8),ISNUMBER(N9)),NA(),IF(ISNUMBER(Assessment!M15),Assessment!M15,NA()))</f>
        <v>#N/A</v>
      </c>
      <c r="O6" s="64" t="e">
        <f>IF(OR(ISNUMBER(O8),ISNUMBER(O9)),NA(),IF(ISNUMBER(Assessment!N15),Assessment!N15,NA()))</f>
        <v>#N/A</v>
      </c>
      <c r="P6" s="64" t="e">
        <f>IF(OR(ISNUMBER(P8),ISNUMBER(P9)),NA(),IF(ISNUMBER(Assessment!O15),Assessment!O15,NA()))</f>
        <v>#N/A</v>
      </c>
      <c r="Q6" s="64" t="e">
        <f>IF(OR(ISNUMBER(Q8),ISNUMBER(Q9)),NA(),IF(ISNUMBER(Assessment!P15),Assessment!P15,NA()))</f>
        <v>#N/A</v>
      </c>
      <c r="R6" s="64" t="e">
        <f>IF(OR(ISNUMBER(R8),ISNUMBER(R9)),NA(),IF(ISNUMBER(Assessment!Q15),Assessment!Q15,NA()))</f>
        <v>#N/A</v>
      </c>
      <c r="S6" s="64" t="e">
        <f>IF(OR(ISNUMBER(S8),ISNUMBER(S9)),NA(),IF(ISNUMBER(Assessment!R15),Assessment!R15,NA()))</f>
        <v>#N/A</v>
      </c>
      <c r="T6" s="64" t="e">
        <f>IF(OR(ISNUMBER(T8),ISNUMBER(T9)),NA(),IF(ISNUMBER(Assessment!S15),Assessment!S15,NA()))</f>
        <v>#N/A</v>
      </c>
      <c r="U6" s="64" t="e">
        <f>IF(OR(ISNUMBER(U8),ISNUMBER(U9)),NA(),IF(ISNUMBER(Assessment!T15),Assessment!T15,NA()))</f>
        <v>#N/A</v>
      </c>
      <c r="V6" s="64" t="e">
        <f>IF(OR(ISNUMBER(V8),ISNUMBER(V9)),NA(),IF(ISNUMBER(Assessment!U15),Assessment!U15,NA()))</f>
        <v>#N/A</v>
      </c>
      <c r="W6" s="64" t="e">
        <f>IF(OR(ISNUMBER(W8),ISNUMBER(W9)),NA(),IF(ISNUMBER(Assessment!V15),Assessment!V15,NA()))</f>
        <v>#N/A</v>
      </c>
    </row>
    <row r="7" spans="2:24" x14ac:dyDescent="0.4">
      <c r="C7" s="2" t="s">
        <v>297</v>
      </c>
      <c r="F7" s="4"/>
      <c r="G7" s="4"/>
      <c r="H7" s="4"/>
      <c r="I7" s="4"/>
      <c r="J7" s="4"/>
      <c r="K7" s="4"/>
      <c r="L7" s="4"/>
      <c r="M7" s="4"/>
      <c r="N7" s="4"/>
      <c r="O7" s="4"/>
      <c r="P7" s="4"/>
      <c r="Q7" s="4"/>
      <c r="R7" s="4"/>
      <c r="S7" s="4"/>
      <c r="T7" s="4"/>
      <c r="U7" s="4"/>
      <c r="V7" s="4"/>
      <c r="W7" s="4"/>
    </row>
    <row r="8" spans="2:24" x14ac:dyDescent="0.4">
      <c r="C8" s="2" t="s">
        <v>298</v>
      </c>
      <c r="F8" s="64" t="e" cm="1">
        <f t="array" ref="F8">IF(MTP_Council_Endorsed,IF(
  AND(
    INDEX('Chart data'!$2:$2, COLUMN()) &gt;= MTP_BaseYear,
    INDEX('Chart data'!$2:$2, COLUMN()) &lt;= OutturnThrough
  ),
  IFERROR(
    IF(
      F4 - INDEX(Assessment!$15:$15,
                   _xlfn.XMATCH(INDEX('Chart data'!$2:$2, COLUMN()),
                          Assessment!$4:$4, 0)
            ) &gt;= 0,
      INDEX(Assessment!$15:$15,
            _xlfn.XMATCH(INDEX('Chart data'!$2:$2, COLUMN()),
                   Assessment!$4:$4, 0)
      ),
      NA()
    ),
    NA()
  ),
  NA()
),NA())</f>
        <v>#N/A</v>
      </c>
      <c r="G8" s="64" t="e" cm="1">
        <f t="array" ref="G8">IF(MTP_Council_Endorsed,IF(
  AND(
    INDEX('Chart data'!$2:$2, COLUMN()) &gt;= MTP_BaseYear,
    INDEX('Chart data'!$2:$2, COLUMN()) &lt;= OutturnThrough
  ),
  IFERROR(
    IF(
      G4 - INDEX(Assessment!$15:$15,
                   _xlfn.XMATCH(INDEX('Chart data'!$2:$2, COLUMN()),
                          Assessment!$4:$4, 0)
            ) &gt;= 0,
      INDEX(Assessment!$15:$15,
            _xlfn.XMATCH(INDEX('Chart data'!$2:$2, COLUMN()),
                   Assessment!$4:$4, 0)
      ),
      NA()
    ),
    NA()
  ),
  NA()
),NA())</f>
        <v>#N/A</v>
      </c>
      <c r="H8" s="64" t="e" cm="1">
        <f t="array" ref="H8">IF(MTP_Council_Endorsed,IF(
  AND(
    INDEX('Chart data'!$2:$2, COLUMN()) &gt;= MTP_BaseYear,
    INDEX('Chart data'!$2:$2, COLUMN()) &lt;= OutturnThrough
  ),
  IFERROR(
    IF(
      H4 - INDEX(Assessment!$15:$15,
                   _xlfn.XMATCH(INDEX('Chart data'!$2:$2, COLUMN()),
                          Assessment!$4:$4, 0)
            ) &gt;= 0,
      INDEX(Assessment!$15:$15,
            _xlfn.XMATCH(INDEX('Chart data'!$2:$2, COLUMN()),
                   Assessment!$4:$4, 0)
      ),
      NA()
    ),
    NA()
  ),
  NA()
),NA())</f>
        <v>#N/A</v>
      </c>
      <c r="I8" s="64" t="e" cm="1">
        <f t="array" ref="I8">IF(MTP_Council_Endorsed,IF(
  AND(
    INDEX('Chart data'!$2:$2, COLUMN()) &gt;= MTP_BaseYear,
    INDEX('Chart data'!$2:$2, COLUMN()) &lt;= OutturnThrough
  ),
  IFERROR(
    IF(
      I4 - INDEX(Assessment!$15:$15,
                   _xlfn.XMATCH(INDEX('Chart data'!$2:$2, COLUMN()),
                          Assessment!$4:$4, 0)
            ) &gt;= 0,
      INDEX(Assessment!$15:$15,
            _xlfn.XMATCH(INDEX('Chart data'!$2:$2, COLUMN()),
                   Assessment!$4:$4, 0)
      ),
      NA()
    ),
    NA()
  ),
  NA()
),NA())</f>
        <v>#N/A</v>
      </c>
      <c r="J8" s="64" t="e" cm="1">
        <f t="array" ref="J8">IF(MTP_Council_Endorsed,IF(
  AND(
    INDEX('Chart data'!$2:$2, COLUMN()) &gt;= MTP_BaseYear,
    INDEX('Chart data'!$2:$2, COLUMN()) &lt;= OutturnThrough
  ),
  IFERROR(
    IF(
      J4 - INDEX(Assessment!$15:$15,
                   _xlfn.XMATCH(INDEX('Chart data'!$2:$2, COLUMN()),
                          Assessment!$4:$4, 0)
            ) &gt;= 0,
      INDEX(Assessment!$15:$15,
            _xlfn.XMATCH(INDEX('Chart data'!$2:$2, COLUMN()),
                   Assessment!$4:$4, 0)
      ),
      NA()
    ),
    NA()
  ),
  NA()
),NA())</f>
        <v>#N/A</v>
      </c>
      <c r="K8" s="64" t="e" cm="1">
        <f t="array" ref="K8">IF(MTP_Council_Endorsed,IF(
  AND(
    INDEX('Chart data'!$2:$2, COLUMN()) &gt;= MTP_BaseYear,
    INDEX('Chart data'!$2:$2, COLUMN()) &lt;= OutturnThrough
  ),
  IFERROR(
    IF(
      K4 - INDEX(Assessment!$15:$15,
                   _xlfn.XMATCH(INDEX('Chart data'!$2:$2, COLUMN()),
                          Assessment!$4:$4, 0)
            ) &gt;= 0,
      INDEX(Assessment!$15:$15,
            _xlfn.XMATCH(INDEX('Chart data'!$2:$2, COLUMN()),
                   Assessment!$4:$4, 0)
      ),
      NA()
    ),
    NA()
  ),
  NA()
),NA())</f>
        <v>#N/A</v>
      </c>
      <c r="L8" s="64" t="e" cm="1">
        <f t="array" ref="L8">IF(MTP_Council_Endorsed,IF(
  AND(
    INDEX('Chart data'!$2:$2, COLUMN()) &gt;= MTP_BaseYear,
    INDEX('Chart data'!$2:$2, COLUMN()) &lt;= OutturnThrough
  ),
  IFERROR(
    IF(
      L4 - INDEX(Assessment!$15:$15,
                   _xlfn.XMATCH(INDEX('Chart data'!$2:$2, COLUMN()),
                          Assessment!$4:$4, 0)
            ) &gt;= 0,
      INDEX(Assessment!$15:$15,
            _xlfn.XMATCH(INDEX('Chart data'!$2:$2, COLUMN()),
                   Assessment!$4:$4, 0)
      ),
      NA()
    ),
    NA()
  ),
  NA()
),NA())</f>
        <v>#N/A</v>
      </c>
      <c r="M8" s="64" t="e" cm="1">
        <f t="array" ref="M8">IF(MTP_Council_Endorsed,IF(
  AND(
    INDEX('Chart data'!$2:$2, COLUMN()) &gt;= MTP_BaseYear,
    INDEX('Chart data'!$2:$2, COLUMN()) &lt;= OutturnThrough
  ),
  IFERROR(
    IF(
      M4 - INDEX(Assessment!$15:$15,
                   _xlfn.XMATCH(INDEX('Chart data'!$2:$2, COLUMN()),
                          Assessment!$4:$4, 0)
            ) &gt;= 0,
      INDEX(Assessment!$15:$15,
            _xlfn.XMATCH(INDEX('Chart data'!$2:$2, COLUMN()),
                   Assessment!$4:$4, 0)
      ),
      NA()
    ),
    NA()
  ),
  NA()
),NA())</f>
        <v>#N/A</v>
      </c>
      <c r="N8" s="64" t="e" cm="1">
        <f t="array" ref="N8">IF(MTP_Council_Endorsed,IF(
  AND(
    INDEX('Chart data'!$2:$2, COLUMN()) &gt;= MTP_BaseYear,
    INDEX('Chart data'!$2:$2, COLUMN()) &lt;= OutturnThrough
  ),
  IFERROR(
    IF(
      N4 - INDEX(Assessment!$15:$15,
                   _xlfn.XMATCH(INDEX('Chart data'!$2:$2, COLUMN()),
                          Assessment!$4:$4, 0)
            ) &gt;= 0,
      INDEX(Assessment!$15:$15,
            _xlfn.XMATCH(INDEX('Chart data'!$2:$2, COLUMN()),
                   Assessment!$4:$4, 0)
      ),
      NA()
    ),
    NA()
  ),
  NA()
),NA())</f>
        <v>#N/A</v>
      </c>
      <c r="O8" s="64" t="e" cm="1">
        <f t="array" ref="O8">IF(MTP_Council_Endorsed,IF(
  AND(
    INDEX('Chart data'!$2:$2, COLUMN()) &gt;= MTP_BaseYear,
    INDEX('Chart data'!$2:$2, COLUMN()) &lt;= OutturnThrough
  ),
  IFERROR(
    IF(
      O4 - INDEX(Assessment!$15:$15,
                   _xlfn.XMATCH(INDEX('Chart data'!$2:$2, COLUMN()),
                          Assessment!$4:$4, 0)
            ) &gt;= 0,
      INDEX(Assessment!$15:$15,
            _xlfn.XMATCH(INDEX('Chart data'!$2:$2, COLUMN()),
                   Assessment!$4:$4, 0)
      ),
      NA()
    ),
    NA()
  ),
  NA()
),NA())</f>
        <v>#N/A</v>
      </c>
      <c r="P8" s="64" t="e" cm="1">
        <f t="array" ref="P8">IF(MTP_Council_Endorsed,IF(
  AND(
    INDEX('Chart data'!$2:$2, COLUMN()) &gt;= MTP_BaseYear,
    INDEX('Chart data'!$2:$2, COLUMN()) &lt;= OutturnThrough
  ),
  IFERROR(
    IF(
      P4 - INDEX(Assessment!$15:$15,
                   _xlfn.XMATCH(INDEX('Chart data'!$2:$2, COLUMN()),
                          Assessment!$4:$4, 0)
            ) &gt;= 0,
      INDEX(Assessment!$15:$15,
            _xlfn.XMATCH(INDEX('Chart data'!$2:$2, COLUMN()),
                   Assessment!$4:$4, 0)
      ),
      NA()
    ),
    NA()
  ),
  NA()
),NA())</f>
        <v>#N/A</v>
      </c>
      <c r="Q8" s="64" t="e" cm="1">
        <f t="array" ref="Q8">IF(MTP_Council_Endorsed,IF(
  AND(
    INDEX('Chart data'!$2:$2, COLUMN()) &gt;= MTP_BaseYear,
    INDEX('Chart data'!$2:$2, COLUMN()) &lt;= OutturnThrough
  ),
  IFERROR(
    IF(
      Q4 - INDEX(Assessment!$15:$15,
                   _xlfn.XMATCH(INDEX('Chart data'!$2:$2, COLUMN()),
                          Assessment!$4:$4, 0)
            ) &gt;= 0,
      INDEX(Assessment!$15:$15,
            _xlfn.XMATCH(INDEX('Chart data'!$2:$2, COLUMN()),
                   Assessment!$4:$4, 0)
      ),
      NA()
    ),
    NA()
  ),
  NA()
),NA())</f>
        <v>#N/A</v>
      </c>
      <c r="R8" s="64" t="e" cm="1">
        <f t="array" ref="R8">IF(MTP_Council_Endorsed,IF(
  AND(
    INDEX('Chart data'!$2:$2, COLUMN()) &gt;= MTP_BaseYear,
    INDEX('Chart data'!$2:$2, COLUMN()) &lt;= OutturnThrough
  ),
  IFERROR(
    IF(
      R4 - INDEX(Assessment!$15:$15,
                   _xlfn.XMATCH(INDEX('Chart data'!$2:$2, COLUMN()),
                          Assessment!$4:$4, 0)
            ) &gt;= 0,
      INDEX(Assessment!$15:$15,
            _xlfn.XMATCH(INDEX('Chart data'!$2:$2, COLUMN()),
                   Assessment!$4:$4, 0)
      ),
      NA()
    ),
    NA()
  ),
  NA()
),NA())</f>
        <v>#N/A</v>
      </c>
      <c r="S8" s="64" t="e" cm="1">
        <f t="array" ref="S8">IF(MTP_Council_Endorsed,IF(
  AND(
    INDEX('Chart data'!$2:$2, COLUMN()) &gt;= MTP_BaseYear,
    INDEX('Chart data'!$2:$2, COLUMN()) &lt;= OutturnThrough
  ),
  IFERROR(
    IF(
      S4 - INDEX(Assessment!$15:$15,
                   _xlfn.XMATCH(INDEX('Chart data'!$2:$2, COLUMN()),
                          Assessment!$4:$4, 0)
            ) &gt;= 0,
      INDEX(Assessment!$15:$15,
            _xlfn.XMATCH(INDEX('Chart data'!$2:$2, COLUMN()),
                   Assessment!$4:$4, 0)
      ),
      NA()
    ),
    NA()
  ),
  NA()
),NA())</f>
        <v>#N/A</v>
      </c>
      <c r="T8" s="64" t="e" cm="1">
        <f t="array" ref="T8">IF(MTP_Council_Endorsed,IF(
  AND(
    INDEX('Chart data'!$2:$2, COLUMN()) &gt;= MTP_BaseYear,
    INDEX('Chart data'!$2:$2, COLUMN()) &lt;= OutturnThrough
  ),
  IFERROR(
    IF(
      T4 - INDEX(Assessment!$15:$15,
                   _xlfn.XMATCH(INDEX('Chart data'!$2:$2, COLUMN()),
                          Assessment!$4:$4, 0)
            ) &gt;= 0,
      INDEX(Assessment!$15:$15,
            _xlfn.XMATCH(INDEX('Chart data'!$2:$2, COLUMN()),
                   Assessment!$4:$4, 0)
      ),
      NA()
    ),
    NA()
  ),
  NA()
),NA())</f>
        <v>#N/A</v>
      </c>
      <c r="U8" s="64" t="e" cm="1">
        <f t="array" ref="U8">IF(MTP_Council_Endorsed,IF(
  AND(
    INDEX('Chart data'!$2:$2, COLUMN()) &gt;= MTP_BaseYear,
    INDEX('Chart data'!$2:$2, COLUMN()) &lt;= OutturnThrough
  ),
  IFERROR(
    IF(
      U4 - INDEX(Assessment!$15:$15,
                   _xlfn.XMATCH(INDEX('Chart data'!$2:$2, COLUMN()),
                          Assessment!$4:$4, 0)
            ) &gt;= 0,
      INDEX(Assessment!$15:$15,
            _xlfn.XMATCH(INDEX('Chart data'!$2:$2, COLUMN()),
                   Assessment!$4:$4, 0)
      ),
      NA()
    ),
    NA()
  ),
  NA()
),NA())</f>
        <v>#N/A</v>
      </c>
      <c r="V8" s="64" t="e" cm="1">
        <f t="array" ref="V8">IF(MTP_Council_Endorsed,IF(
  AND(
    INDEX('Chart data'!$2:$2, COLUMN()) &gt;= MTP_BaseYear,
    INDEX('Chart data'!$2:$2, COLUMN()) &lt;= OutturnThrough
  ),
  IFERROR(
    IF(
      V4 - INDEX(Assessment!$15:$15,
                   _xlfn.XMATCH(INDEX('Chart data'!$2:$2, COLUMN()),
                          Assessment!$4:$4, 0)
            ) &gt;= 0,
      INDEX(Assessment!$15:$15,
            _xlfn.XMATCH(INDEX('Chart data'!$2:$2, COLUMN()),
                   Assessment!$4:$4, 0)
      ),
      NA()
    ),
    NA()
  ),
  NA()
),NA())</f>
        <v>#N/A</v>
      </c>
      <c r="W8" s="64" t="e" cm="1">
        <f t="array" ref="W8">IF(MTP_Council_Endorsed,IF(
  AND(
    INDEX('Chart data'!$2:$2, COLUMN()) &gt;= MTP_BaseYear,
    INDEX('Chart data'!$2:$2, COLUMN()) &lt;= OutturnThrough
  ),
  IFERROR(
    IF(
      W4 - INDEX(Assessment!$15:$15,
                   _xlfn.XMATCH(INDEX('Chart data'!$2:$2, COLUMN()),
                          Assessment!$4:$4, 0)
            ) &gt;= 0,
      INDEX(Assessment!$15:$15,
            _xlfn.XMATCH(INDEX('Chart data'!$2:$2, COLUMN()),
                   Assessment!$4:$4, 0)
      ),
      NA()
    ),
    NA()
  ),
  NA()
),NA())</f>
        <v>#N/A</v>
      </c>
    </row>
    <row r="9" spans="2:24" x14ac:dyDescent="0.4">
      <c r="C9" s="2" t="s">
        <v>299</v>
      </c>
      <c r="F9" s="64" t="e" cm="1">
        <f t="array" ref="F9">IF(MTP_Council_Endorsed,IF(
  AND(
    INDEX($2:$2, COLUMN()) &gt;= MTP_BaseYear,
    INDEX($2:$2, COLUMN()) &lt;= OutturnThrough
  ),
  IFERROR(
    IF(
      F4 - INDEX(Assessment!$15:$15,
                   _xlfn.XMATCH(INDEX($2:$2, COLUMN()),
                          Assessment!$4:$4, 0)
            ) &lt; 0,
      INDEX(Assessment!$15:$15,
            _xlfn.XMATCH(INDEX($2:$2, COLUMN()),
                   Assessment!$4:$4, 0)
      ),
      NA()
    ),
    NA()
  ),
  NA()
),NA())</f>
        <v>#N/A</v>
      </c>
      <c r="G9" s="64" t="e" cm="1">
        <f t="array" ref="G9">IF(MTP_Council_Endorsed,IF(
  AND(
    INDEX($2:$2, COLUMN()) &gt;= MTP_BaseYear,
    INDEX($2:$2, COLUMN()) &lt;= OutturnThrough
  ),
  IFERROR(
    IF(
      G4 - INDEX(Assessment!$15:$15,
                   _xlfn.XMATCH(INDEX($2:$2, COLUMN()),
                          Assessment!$4:$4, 0)
            ) &lt; 0,
      INDEX(Assessment!$15:$15,
            _xlfn.XMATCH(INDEX($2:$2, COLUMN()),
                   Assessment!$4:$4, 0)
      ),
      NA()
    ),
    NA()
  ),
  NA()
),NA())</f>
        <v>#N/A</v>
      </c>
      <c r="H9" s="64" t="e" cm="1">
        <f t="array" ref="H9">IF(MTP_Council_Endorsed,IF(
  AND(
    INDEX($2:$2, COLUMN()) &gt;= MTP_BaseYear,
    INDEX($2:$2, COLUMN()) &lt;= OutturnThrough
  ),
  IFERROR(
    IF(
      H4 - INDEX(Assessment!$15:$15,
                   _xlfn.XMATCH(INDEX($2:$2, COLUMN()),
                          Assessment!$4:$4, 0)
            ) &lt; 0,
      INDEX(Assessment!$15:$15,
            _xlfn.XMATCH(INDEX($2:$2, COLUMN()),
                   Assessment!$4:$4, 0)
      ),
      NA()
    ),
    NA()
  ),
  NA()
),NA())</f>
        <v>#N/A</v>
      </c>
      <c r="I9" s="64" t="e" cm="1">
        <f t="array" ref="I9">IF(MTP_Council_Endorsed,IF(
  AND(
    INDEX($2:$2, COLUMN()) &gt;= MTP_BaseYear,
    INDEX($2:$2, COLUMN()) &lt;= OutturnThrough
  ),
  IFERROR(
    IF(
      I4 - INDEX(Assessment!$15:$15,
                   _xlfn.XMATCH(INDEX($2:$2, COLUMN()),
                          Assessment!$4:$4, 0)
            ) &lt; 0,
      INDEX(Assessment!$15:$15,
            _xlfn.XMATCH(INDEX($2:$2, COLUMN()),
                   Assessment!$4:$4, 0)
      ),
      NA()
    ),
    NA()
  ),
  NA()
),NA())</f>
        <v>#N/A</v>
      </c>
      <c r="J9" s="64" t="e" cm="1">
        <f t="array" ref="J9">IF(MTP_Council_Endorsed,IF(
  AND(
    INDEX($2:$2, COLUMN()) &gt;= MTP_BaseYear,
    INDEX($2:$2, COLUMN()) &lt;= OutturnThrough
  ),
  IFERROR(
    IF(
      J4 - INDEX(Assessment!$15:$15,
                   _xlfn.XMATCH(INDEX($2:$2, COLUMN()),
                          Assessment!$4:$4, 0)
            ) &lt; 0,
      INDEX(Assessment!$15:$15,
            _xlfn.XMATCH(INDEX($2:$2, COLUMN()),
                   Assessment!$4:$4, 0)
      ),
      NA()
    ),
    NA()
  ),
  NA()
),NA())</f>
        <v>#N/A</v>
      </c>
      <c r="K9" s="64" t="e" cm="1">
        <f t="array" ref="K9">IF(MTP_Council_Endorsed,IF(
  AND(
    INDEX($2:$2, COLUMN()) &gt;= MTP_BaseYear,
    INDEX($2:$2, COLUMN()) &lt;= OutturnThrough
  ),
  IFERROR(
    IF(
      K4 - INDEX(Assessment!$15:$15,
                   _xlfn.XMATCH(INDEX($2:$2, COLUMN()),
                          Assessment!$4:$4, 0)
            ) &lt; 0,
      INDEX(Assessment!$15:$15,
            _xlfn.XMATCH(INDEX($2:$2, COLUMN()),
                   Assessment!$4:$4, 0)
      ),
      NA()
    ),
    NA()
  ),
  NA()
),NA())</f>
        <v>#N/A</v>
      </c>
      <c r="L9" s="64" t="e" cm="1">
        <f t="array" ref="L9">IF(MTP_Council_Endorsed,IF(
  AND(
    INDEX($2:$2, COLUMN()) &gt;= MTP_BaseYear,
    INDEX($2:$2, COLUMN()) &lt;= OutturnThrough
  ),
  IFERROR(
    IF(
      L4 - INDEX(Assessment!$15:$15,
                   _xlfn.XMATCH(INDEX($2:$2, COLUMN()),
                          Assessment!$4:$4, 0)
            ) &lt; 0,
      INDEX(Assessment!$15:$15,
            _xlfn.XMATCH(INDEX($2:$2, COLUMN()),
                   Assessment!$4:$4, 0)
      ),
      NA()
    ),
    NA()
  ),
  NA()
),NA())</f>
        <v>#N/A</v>
      </c>
      <c r="M9" s="64" t="e" cm="1">
        <f t="array" ref="M9">IF(MTP_Council_Endorsed,IF(
  AND(
    INDEX($2:$2, COLUMN()) &gt;= MTP_BaseYear,
    INDEX($2:$2, COLUMN()) &lt;= OutturnThrough
  ),
  IFERROR(
    IF(
      M4 - INDEX(Assessment!$15:$15,
                   _xlfn.XMATCH(INDEX($2:$2, COLUMN()),
                          Assessment!$4:$4, 0)
            ) &lt; 0,
      INDEX(Assessment!$15:$15,
            _xlfn.XMATCH(INDEX($2:$2, COLUMN()),
                   Assessment!$4:$4, 0)
      ),
      NA()
    ),
    NA()
  ),
  NA()
),NA())</f>
        <v>#N/A</v>
      </c>
      <c r="N9" s="64" t="e" cm="1">
        <f t="array" ref="N9">IF(MTP_Council_Endorsed,IF(
  AND(
    INDEX($2:$2, COLUMN()) &gt;= MTP_BaseYear,
    INDEX($2:$2, COLUMN()) &lt;= OutturnThrough
  ),
  IFERROR(
    IF(
      N4 - INDEX(Assessment!$15:$15,
                   _xlfn.XMATCH(INDEX($2:$2, COLUMN()),
                          Assessment!$4:$4, 0)
            ) &lt; 0,
      INDEX(Assessment!$15:$15,
            _xlfn.XMATCH(INDEX($2:$2, COLUMN()),
                   Assessment!$4:$4, 0)
      ),
      NA()
    ),
    NA()
  ),
  NA()
),NA())</f>
        <v>#N/A</v>
      </c>
      <c r="O9" s="64" t="e" cm="1">
        <f t="array" ref="O9">IF(MTP_Council_Endorsed,IF(
  AND(
    INDEX($2:$2, COLUMN()) &gt;= MTP_BaseYear,
    INDEX($2:$2, COLUMN()) &lt;= OutturnThrough
  ),
  IFERROR(
    IF(
      O4 - INDEX(Assessment!$15:$15,
                   _xlfn.XMATCH(INDEX($2:$2, COLUMN()),
                          Assessment!$4:$4, 0)
            ) &lt; 0,
      INDEX(Assessment!$15:$15,
            _xlfn.XMATCH(INDEX($2:$2, COLUMN()),
                   Assessment!$4:$4, 0)
      ),
      NA()
    ),
    NA()
  ),
  NA()
),NA())</f>
        <v>#N/A</v>
      </c>
      <c r="P9" s="64" t="e" cm="1">
        <f t="array" ref="P9">IF(MTP_Council_Endorsed,IF(
  AND(
    INDEX($2:$2, COLUMN()) &gt;= MTP_BaseYear,
    INDEX($2:$2, COLUMN()) &lt;= OutturnThrough
  ),
  IFERROR(
    IF(
      P4 - INDEX(Assessment!$15:$15,
                   _xlfn.XMATCH(INDEX($2:$2, COLUMN()),
                          Assessment!$4:$4, 0)
            ) &lt; 0,
      INDEX(Assessment!$15:$15,
            _xlfn.XMATCH(INDEX($2:$2, COLUMN()),
                   Assessment!$4:$4, 0)
      ),
      NA()
    ),
    NA()
  ),
  NA()
),NA())</f>
        <v>#N/A</v>
      </c>
      <c r="Q9" s="64" t="e" cm="1">
        <f t="array" ref="Q9">IF(MTP_Council_Endorsed,IF(
  AND(
    INDEX($2:$2, COLUMN()) &gt;= MTP_BaseYear,
    INDEX($2:$2, COLUMN()) &lt;= OutturnThrough
  ),
  IFERROR(
    IF(
      Q4 - INDEX(Assessment!$15:$15,
                   _xlfn.XMATCH(INDEX($2:$2, COLUMN()),
                          Assessment!$4:$4, 0)
            ) &lt; 0,
      INDEX(Assessment!$15:$15,
            _xlfn.XMATCH(INDEX($2:$2, COLUMN()),
                   Assessment!$4:$4, 0)
      ),
      NA()
    ),
    NA()
  ),
  NA()
),NA())</f>
        <v>#N/A</v>
      </c>
      <c r="R9" s="64" t="e" cm="1">
        <f t="array" ref="R9">IF(MTP_Council_Endorsed,IF(
  AND(
    INDEX($2:$2, COLUMN()) &gt;= MTP_BaseYear,
    INDEX($2:$2, COLUMN()) &lt;= OutturnThrough
  ),
  IFERROR(
    IF(
      R4 - INDEX(Assessment!$15:$15,
                   _xlfn.XMATCH(INDEX($2:$2, COLUMN()),
                          Assessment!$4:$4, 0)
            ) &lt; 0,
      INDEX(Assessment!$15:$15,
            _xlfn.XMATCH(INDEX($2:$2, COLUMN()),
                   Assessment!$4:$4, 0)
      ),
      NA()
    ),
    NA()
  ),
  NA()
),NA())</f>
        <v>#N/A</v>
      </c>
      <c r="S9" s="64" t="e" cm="1">
        <f t="array" ref="S9">IF(MTP_Council_Endorsed,IF(
  AND(
    INDEX($2:$2, COLUMN()) &gt;= MTP_BaseYear,
    INDEX($2:$2, COLUMN()) &lt;= OutturnThrough
  ),
  IFERROR(
    IF(
      S4 - INDEX(Assessment!$15:$15,
                   _xlfn.XMATCH(INDEX($2:$2, COLUMN()),
                          Assessment!$4:$4, 0)
            ) &lt; 0,
      INDEX(Assessment!$15:$15,
            _xlfn.XMATCH(INDEX($2:$2, COLUMN()),
                   Assessment!$4:$4, 0)
      ),
      NA()
    ),
    NA()
  ),
  NA()
),NA())</f>
        <v>#N/A</v>
      </c>
      <c r="T9" s="64" t="e" cm="1">
        <f t="array" ref="T9">IF(MTP_Council_Endorsed,IF(
  AND(
    INDEX($2:$2, COLUMN()) &gt;= MTP_BaseYear,
    INDEX($2:$2, COLUMN()) &lt;= OutturnThrough
  ),
  IFERROR(
    IF(
      T4 - INDEX(Assessment!$15:$15,
                   _xlfn.XMATCH(INDEX($2:$2, COLUMN()),
                          Assessment!$4:$4, 0)
            ) &lt; 0,
      INDEX(Assessment!$15:$15,
            _xlfn.XMATCH(INDEX($2:$2, COLUMN()),
                   Assessment!$4:$4, 0)
      ),
      NA()
    ),
    NA()
  ),
  NA()
),NA())</f>
        <v>#N/A</v>
      </c>
      <c r="U9" s="64" t="e" cm="1">
        <f t="array" ref="U9">IF(MTP_Council_Endorsed,IF(
  AND(
    INDEX($2:$2, COLUMN()) &gt;= MTP_BaseYear,
    INDEX($2:$2, COLUMN()) &lt;= OutturnThrough
  ),
  IFERROR(
    IF(
      U4 - INDEX(Assessment!$15:$15,
                   _xlfn.XMATCH(INDEX($2:$2, COLUMN()),
                          Assessment!$4:$4, 0)
            ) &lt; 0,
      INDEX(Assessment!$15:$15,
            _xlfn.XMATCH(INDEX($2:$2, COLUMN()),
                   Assessment!$4:$4, 0)
      ),
      NA()
    ),
    NA()
  ),
  NA()
),NA())</f>
        <v>#N/A</v>
      </c>
      <c r="V9" s="64" t="e" cm="1">
        <f t="array" ref="V9">IF(MTP_Council_Endorsed,IF(
  AND(
    INDEX($2:$2, COLUMN()) &gt;= MTP_BaseYear,
    INDEX($2:$2, COLUMN()) &lt;= OutturnThrough
  ),
  IFERROR(
    IF(
      V4 - INDEX(Assessment!$15:$15,
                   _xlfn.XMATCH(INDEX($2:$2, COLUMN()),
                          Assessment!$4:$4, 0)
            ) &lt; 0,
      INDEX(Assessment!$15:$15,
            _xlfn.XMATCH(INDEX($2:$2, COLUMN()),
                   Assessment!$4:$4, 0)
      ),
      NA()
    ),
    NA()
  ),
  NA()
),NA())</f>
        <v>#N/A</v>
      </c>
      <c r="W9" s="64" t="e" cm="1">
        <f t="array" ref="W9">IF(MTP_Council_Endorsed,IF(
  AND(
    INDEX($2:$2, COLUMN()) &gt;= MTP_BaseYear,
    INDEX($2:$2, COLUMN()) &lt;= OutturnThrough
  ),
  IFERROR(
    IF(
      W4 - INDEX(Assessment!$15:$15,
                   _xlfn.XMATCH(INDEX($2:$2, COLUMN()),
                          Assessment!$4:$4, 0)
            ) &lt; 0,
      INDEX(Assessment!$15:$15,
            _xlfn.XMATCH(INDEX($2:$2, COLUMN()),
                   Assessment!$4:$4, 0)
      ),
      NA()
    ),
    NA()
  ),
  NA()
),NA())</f>
        <v>#N/A</v>
      </c>
    </row>
    <row r="10" spans="2:24" x14ac:dyDescent="0.4">
      <c r="C10" s="2" t="s">
        <v>391</v>
      </c>
      <c r="F10" s="64"/>
      <c r="G10" s="64"/>
      <c r="H10" s="64"/>
      <c r="I10" s="64"/>
      <c r="J10" s="64"/>
      <c r="K10" s="64"/>
      <c r="L10" s="64"/>
      <c r="M10" s="64"/>
      <c r="N10" s="64"/>
      <c r="O10" s="64"/>
      <c r="P10" s="64"/>
      <c r="Q10" s="64"/>
      <c r="R10" s="64"/>
      <c r="S10" s="64"/>
      <c r="T10" s="64"/>
      <c r="U10" s="64"/>
      <c r="V10" s="64"/>
      <c r="W10" s="64"/>
    </row>
    <row r="11" spans="2:24" x14ac:dyDescent="0.4">
      <c r="C11" s="110" t="s">
        <v>564</v>
      </c>
      <c r="D11">
        <f>IF(_xlfn.AGGREGATE(5,6,F4:W9)&lt;0, _xlfn.AGGREGATE(5,6,F4:W9), 0)</f>
        <v>0</v>
      </c>
      <c r="F11" s="64"/>
      <c r="G11" s="64"/>
      <c r="H11" s="64"/>
      <c r="I11" s="64"/>
      <c r="J11" s="64"/>
      <c r="K11" s="64"/>
      <c r="L11" s="64"/>
      <c r="M11" s="64"/>
      <c r="N11" s="64"/>
      <c r="O11" s="64"/>
      <c r="P11" s="64"/>
      <c r="Q11" s="64"/>
      <c r="R11" s="64"/>
      <c r="S11" s="64"/>
      <c r="T11" s="64"/>
      <c r="U11" s="64"/>
      <c r="V11" s="64"/>
      <c r="W11" s="64"/>
    </row>
    <row r="12" spans="2:24" x14ac:dyDescent="0.4">
      <c r="C12" s="110" t="s">
        <v>565</v>
      </c>
      <c r="D12">
        <f>_xlfn.AGGREGATE(4,6,F4:W9)</f>
        <v>0</v>
      </c>
    </row>
    <row r="13" spans="2:24" x14ac:dyDescent="0.4">
      <c r="C13" s="110"/>
    </row>
    <row r="14" spans="2:24" ht="16.5" x14ac:dyDescent="0.6">
      <c r="B14" s="110" t="s">
        <v>480</v>
      </c>
      <c r="C14" s="11" t="s">
        <v>944</v>
      </c>
    </row>
    <row r="15" spans="2:24" x14ac:dyDescent="0.4">
      <c r="C15" s="2" t="s">
        <v>484</v>
      </c>
      <c r="F15" s="64" t="e" cm="1">
        <f t="array" ref="F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#DIV/0!</v>
      </c>
      <c r="G15" s="64" t="e" cm="1">
        <f t="array" ref="G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#DIV/0!</v>
      </c>
      <c r="H15" s="64" t="e" cm="1">
        <f t="array" ref="H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I15" s="64" t="e" cm="1">
        <f t="array" ref="I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J15" s="64" t="e" cm="1">
        <f t="array" ref="J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K15" s="64" t="e" cm="1">
        <f t="array" ref="K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L15" s="64" t="e" cm="1">
        <f t="array" ref="L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M15" s="64" t="e" cm="1">
        <f t="array" ref="M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N15" s="64" t="e" cm="1">
        <f t="array" ref="N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O15" s="64" t="e" cm="1">
        <f t="array" ref="O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P15" s="64" t="e" cm="1">
        <f t="array" ref="P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Q15" s="64" t="e" cm="1">
        <f t="array" ref="Q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R15" s="64" t="e" cm="1">
        <f t="array" ref="R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S15" s="64" t="e" cm="1">
        <f t="array" ref="S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T15" s="64" t="e" cm="1">
        <f t="array" ref="T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U15" s="64" t="e" cm="1">
        <f t="array" ref="U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V15" s="64" t="e" cm="1">
        <f t="array" ref="V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W15" s="64" t="e" cm="1">
        <f t="array" ref="W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X15" s="64"/>
    </row>
    <row r="16" spans="2:24" x14ac:dyDescent="0.4">
      <c r="C16" s="2" t="s">
        <v>483</v>
      </c>
      <c r="F16" s="64" t="e">
        <f>IF(COUNTIF('Step 1 - Set global parameters'!$B$21:$G$21,TRUE)&gt;0,
  IF(MTP_Council_Endorsed,IF(ISNUMBER(F15),NA(),IF(Assessment!E144="",NA(),Assessment!E144)),NA()),
  IF(MTP_Council_Endorsed,IF(ISNUMBER(F15),NA(),IF(Assessment!E126="",NA(),Assessment!E126)),NA())
)</f>
        <v>#DIV/0!</v>
      </c>
      <c r="G16" s="64" t="e">
        <f>IF(COUNTIF('Step 1 - Set global parameters'!$B$21:$G$21,TRUE)&gt;0,
  IF(MTP_Council_Endorsed,IF(ISNUMBER(G15),NA(),IF(Assessment!F144="",NA(),Assessment!F144)),NA()),
  IF(MTP_Council_Endorsed,IF(ISNUMBER(G15),NA(),IF(Assessment!F126="",NA(),Assessment!F126)),NA())
)</f>
        <v>#DIV/0!</v>
      </c>
      <c r="H16" s="64" t="e">
        <f>IF(COUNTIF('Step 1 - Set global parameters'!$B$21:$G$21,TRUE)&gt;0,
  IF(MTP_Council_Endorsed,IF(ISNUMBER(H15),NA(),IF(Assessment!G144="",NA(),Assessment!G144)),NA()),
  IF(MTP_Council_Endorsed,IF(ISNUMBER(H15),NA(),IF(Assessment!G126="",NA(),Assessment!G126)),NA())
)</f>
        <v>#N/A</v>
      </c>
      <c r="I16" s="64" t="e">
        <f>IF(COUNTIF('Step 1 - Set global parameters'!$B$21:$G$21,TRUE)&gt;0,
  IF(MTP_Council_Endorsed,IF(ISNUMBER(I15),NA(),IF(Assessment!H144="",NA(),Assessment!H144)),NA()),
  IF(MTP_Council_Endorsed,IF(ISNUMBER(I15),NA(),IF(Assessment!H126="",NA(),Assessment!H126)),NA())
)</f>
        <v>#N/A</v>
      </c>
      <c r="J16" s="64" t="e">
        <f>IF(COUNTIF('Step 1 - Set global parameters'!$B$21:$G$21,TRUE)&gt;0,
  IF(MTP_Council_Endorsed,IF(ISNUMBER(J15),NA(),IF(Assessment!I144="",NA(),Assessment!I144)),NA()),
  IF(MTP_Council_Endorsed,IF(ISNUMBER(J15),NA(),IF(Assessment!I126="",NA(),Assessment!I126)),NA())
)</f>
        <v>#N/A</v>
      </c>
      <c r="K16" s="64" t="e">
        <f>IF(COUNTIF('Step 1 - Set global parameters'!$B$21:$G$21,TRUE)&gt;0,
  IF(MTP_Council_Endorsed,IF(ISNUMBER(K15),NA(),IF(Assessment!J144="",NA(),Assessment!J144)),NA()),
  IF(MTP_Council_Endorsed,IF(ISNUMBER(K15),NA(),IF(Assessment!J126="",NA(),Assessment!J126)),NA())
)</f>
        <v>#N/A</v>
      </c>
      <c r="L16" s="64" t="e">
        <f>IF(COUNTIF('Step 1 - Set global parameters'!$B$21:$G$21,TRUE)&gt;0,
  IF(MTP_Council_Endorsed,IF(ISNUMBER(L15),NA(),IF(Assessment!K144="",NA(),Assessment!K144)),NA()),
  IF(MTP_Council_Endorsed,IF(ISNUMBER(L15),NA(),IF(Assessment!K126="",NA(),Assessment!K126)),NA())
)</f>
        <v>#N/A</v>
      </c>
      <c r="M16" s="64" t="e">
        <f>IF(COUNTIF('Step 1 - Set global parameters'!$B$21:$G$21,TRUE)&gt;0,
  IF(MTP_Council_Endorsed,IF(ISNUMBER(M15),NA(),IF(Assessment!L144="",NA(),Assessment!L144)),NA()),
  IF(MTP_Council_Endorsed,IF(ISNUMBER(M15),NA(),IF(Assessment!L126="",NA(),Assessment!L126)),NA())
)</f>
        <v>#N/A</v>
      </c>
      <c r="N16" s="64" t="e">
        <f>IF(COUNTIF('Step 1 - Set global parameters'!$B$21:$G$21,TRUE)&gt;0,
  IF(MTP_Council_Endorsed,IF(ISNUMBER(N15),NA(),IF(Assessment!M144="",NA(),Assessment!M144)),NA()),
  IF(MTP_Council_Endorsed,IF(ISNUMBER(N15),NA(),IF(Assessment!M126="",NA(),Assessment!M126)),NA())
)</f>
        <v>#N/A</v>
      </c>
      <c r="O16" s="64" t="e">
        <f>IF(COUNTIF('Step 1 - Set global parameters'!$B$21:$G$21,TRUE)&gt;0,
  IF(MTP_Council_Endorsed,IF(ISNUMBER(O15),NA(),IF(Assessment!N144="",NA(),Assessment!N144)),NA()),
  IF(MTP_Council_Endorsed,IF(ISNUMBER(O15),NA(),IF(Assessment!N126="",NA(),Assessment!N126)),NA())
)</f>
        <v>#N/A</v>
      </c>
      <c r="P16" s="64" t="e">
        <f>IF(COUNTIF('Step 1 - Set global parameters'!$B$21:$G$21,TRUE)&gt;0,
  IF(MTP_Council_Endorsed,IF(ISNUMBER(P15),NA(),IF(Assessment!O144="",NA(),Assessment!O144)),NA()),
  IF(MTP_Council_Endorsed,IF(ISNUMBER(P15),NA(),IF(Assessment!O126="",NA(),Assessment!O126)),NA())
)</f>
        <v>#N/A</v>
      </c>
      <c r="Q16" s="64" t="e">
        <f>IF(COUNTIF('Step 1 - Set global parameters'!$B$21:$G$21,TRUE)&gt;0,
  IF(MTP_Council_Endorsed,IF(ISNUMBER(Q15),NA(),IF(Assessment!P144="",NA(),Assessment!P144)),NA()),
  IF(MTP_Council_Endorsed,IF(ISNUMBER(Q15),NA(),IF(Assessment!P126="",NA(),Assessment!P126)),NA())
)</f>
        <v>#N/A</v>
      </c>
      <c r="R16" s="64" t="e">
        <f>IF(COUNTIF('Step 1 - Set global parameters'!$B$21:$G$21,TRUE)&gt;0,
  IF(MTP_Council_Endorsed,IF(ISNUMBER(R15),NA(),IF(Assessment!Q144="",NA(),Assessment!Q144)),NA()),
  IF(MTP_Council_Endorsed,IF(ISNUMBER(R15),NA(),IF(Assessment!Q126="",NA(),Assessment!Q126)),NA())
)</f>
        <v>#N/A</v>
      </c>
      <c r="S16" s="64" t="e">
        <f>IF(COUNTIF('Step 1 - Set global parameters'!$B$21:$G$21,TRUE)&gt;0,
  IF(MTP_Council_Endorsed,IF(ISNUMBER(S15),NA(),IF(Assessment!R144="",NA(),Assessment!R144)),NA()),
  IF(MTP_Council_Endorsed,IF(ISNUMBER(S15),NA(),IF(Assessment!R126="",NA(),Assessment!R126)),NA())
)</f>
        <v>#N/A</v>
      </c>
      <c r="T16" s="64" t="e">
        <f>IF(COUNTIF('Step 1 - Set global parameters'!$B$21:$G$21,TRUE)&gt;0,
  IF(MTP_Council_Endorsed,IF(ISNUMBER(T15),NA(),IF(Assessment!S144="",NA(),Assessment!S144)),NA()),
  IF(MTP_Council_Endorsed,IF(ISNUMBER(T15),NA(),IF(Assessment!S126="",NA(),Assessment!S126)),NA())
)</f>
        <v>#N/A</v>
      </c>
      <c r="U16" s="64" t="e">
        <f>IF(COUNTIF('Step 1 - Set global parameters'!$B$21:$G$21,TRUE)&gt;0,
  IF(MTP_Council_Endorsed,IF(ISNUMBER(U15),NA(),IF(Assessment!T144="",NA(),Assessment!T144)),NA()),
  IF(MTP_Council_Endorsed,IF(ISNUMBER(U15),NA(),IF(Assessment!T126="",NA(),Assessment!T126)),NA())
)</f>
        <v>#N/A</v>
      </c>
      <c r="V16" s="64" t="e">
        <f>IF(COUNTIF('Step 1 - Set global parameters'!$B$21:$G$21,TRUE)&gt;0,
  IF(MTP_Council_Endorsed,IF(ISNUMBER(V15),NA(),IF(Assessment!U144="",NA(),Assessment!U144)),NA()),
  IF(MTP_Council_Endorsed,IF(ISNUMBER(V15),NA(),IF(Assessment!U126="",NA(),Assessment!U126)),NA())
)</f>
        <v>#N/A</v>
      </c>
      <c r="W16" s="64" t="e">
        <f>IF(COUNTIF('Step 1 - Set global parameters'!$B$21:$G$21,TRUE)&gt;0,
  IF(MTP_Council_Endorsed,IF(ISNUMBER(W15),NA(),IF(Assessment!V144="",NA(),Assessment!V144)),NA()),
  IF(MTP_Council_Endorsed,IF(ISNUMBER(W15),NA(),IF(Assessment!V126="",NA(),Assessment!V126)),NA())
)</f>
        <v>#N/A</v>
      </c>
    </row>
    <row r="17" spans="2:23" x14ac:dyDescent="0.4">
      <c r="C17" s="2" t="s">
        <v>296</v>
      </c>
      <c r="F17" s="4"/>
      <c r="G17" s="4"/>
      <c r="H17" s="4"/>
      <c r="I17" s="4"/>
      <c r="J17" s="4"/>
      <c r="K17" s="4"/>
      <c r="L17" s="4"/>
      <c r="M17" s="4"/>
      <c r="N17" s="4"/>
      <c r="O17" s="4"/>
      <c r="P17" s="4"/>
      <c r="Q17" s="4"/>
      <c r="R17" s="4"/>
      <c r="S17" s="4"/>
      <c r="T17" s="4"/>
      <c r="U17" s="4"/>
      <c r="V17" s="4"/>
      <c r="W17" s="4"/>
    </row>
    <row r="18" spans="2:23" x14ac:dyDescent="0.4">
      <c r="C18" s="2" t="s">
        <v>570</v>
      </c>
      <c r="F18" s="64" t="e">
        <f>IF(COUNTIF('Step 1 - Set global parameters'!$B$21:$G$21,TRUE)&gt;0,
  IF(MTP_Council_Endorsed,IF(NOT(Assessment!E145),IF(Assessment!E142&lt;=0,Assessment!E142,NA()),NA()),NA()),
  IF(MTP_Council_Endorsed,IF(NOT(Assessment!E127),IF(Assessment!E125&lt;=0,Assessment!E125,NA()),NA()),NA())
)</f>
        <v>#DIV/0!</v>
      </c>
      <c r="G18" s="64" t="e">
        <f>IF(COUNTIF('Step 1 - Set global parameters'!$B$21:$G$21,TRUE)&gt;0,
  IF(MTP_Council_Endorsed,IF(NOT(Assessment!F145),IF(Assessment!F142&lt;=0,Assessment!F142,NA()),NA()),NA()),
  IF(MTP_Council_Endorsed,IF(NOT(Assessment!F127),IF(Assessment!F125&lt;=0,Assessment!F125,NA()),NA()),NA())
)</f>
        <v>#DIV/0!</v>
      </c>
      <c r="H18" s="64" t="e">
        <f>IF(COUNTIF('Step 1 - Set global parameters'!$B$21:$G$21,TRUE)&gt;0,
  IF(MTP_Council_Endorsed,IF(NOT(Assessment!G145),IF(Assessment!G142&lt;=0,Assessment!G142,NA()),NA()),NA()),
  IF(MTP_Council_Endorsed,IF(NOT(Assessment!G127),IF(Assessment!G125&lt;=0,Assessment!G125,NA()),NA()),NA())
)</f>
        <v>#N/A</v>
      </c>
      <c r="I18" s="64" t="e">
        <f>IF(COUNTIF('Step 1 - Set global parameters'!$B$21:$G$21,TRUE)&gt;0,
  IF(MTP_Council_Endorsed,IF(NOT(Assessment!H145),IF(Assessment!H142&lt;=0,Assessment!H142,NA()),NA()),NA()),
  IF(MTP_Council_Endorsed,IF(NOT(Assessment!H127),IF(Assessment!H125&lt;=0,Assessment!H125,NA()),NA()),NA())
)</f>
        <v>#N/A</v>
      </c>
      <c r="J18" s="64" t="e">
        <f>IF(COUNTIF('Step 1 - Set global parameters'!$B$21:$G$21,TRUE)&gt;0,
  IF(MTP_Council_Endorsed,IF(NOT(Assessment!I145),IF(Assessment!I142&lt;=0,Assessment!I142,NA()),NA()),NA()),
  IF(MTP_Council_Endorsed,IF(NOT(Assessment!I127),IF(Assessment!I125&lt;=0,Assessment!I125,NA()),NA()),NA())
)</f>
        <v>#N/A</v>
      </c>
      <c r="K18" s="64" t="e">
        <f>IF(COUNTIF('Step 1 - Set global parameters'!$B$21:$G$21,TRUE)&gt;0,
  IF(MTP_Council_Endorsed,IF(NOT(Assessment!J145),IF(Assessment!J142&lt;=0,Assessment!J142,NA()),NA()),NA()),
  IF(MTP_Council_Endorsed,IF(NOT(Assessment!J127),IF(Assessment!J125&lt;=0,Assessment!J125,NA()),NA()),NA())
)</f>
        <v>#N/A</v>
      </c>
      <c r="L18" s="64">
        <f>IF(COUNTIF('Step 1 - Set global parameters'!$B$21:$G$21,TRUE)&gt;0,
  IF(MTP_Council_Endorsed,IF(NOT(Assessment!K145),IF(Assessment!K142&lt;=0,Assessment!K142,NA()),NA()),NA()),
  IF(MTP_Council_Endorsed,IF(NOT(Assessment!K127),IF(Assessment!K125&lt;=0,Assessment!K125,NA()),NA()),NA())
)</f>
        <v>0</v>
      </c>
      <c r="M18" s="64">
        <f>IF(COUNTIF('Step 1 - Set global parameters'!$B$21:$G$21,TRUE)&gt;0,
  IF(MTP_Council_Endorsed,IF(NOT(Assessment!L145),IF(Assessment!L142&lt;=0,Assessment!L142,NA()),NA()),NA()),
  IF(MTP_Council_Endorsed,IF(NOT(Assessment!L127),IF(Assessment!L125&lt;=0,Assessment!L125,NA()),NA()),NA())
)</f>
        <v>0</v>
      </c>
      <c r="N18" s="64">
        <f>IF(COUNTIF('Step 1 - Set global parameters'!$B$21:$G$21,TRUE)&gt;0,
  IF(MTP_Council_Endorsed,IF(NOT(Assessment!M145),IF(Assessment!M142&lt;=0,Assessment!M142,NA()),NA()),NA()),
  IF(MTP_Council_Endorsed,IF(NOT(Assessment!M127),IF(Assessment!M125&lt;=0,Assessment!M125,NA()),NA()),NA())
)</f>
        <v>0</v>
      </c>
      <c r="O18" s="64">
        <f>IF(COUNTIF('Step 1 - Set global parameters'!$B$21:$G$21,TRUE)&gt;0,
  IF(MTP_Council_Endorsed,IF(NOT(Assessment!N145),IF(Assessment!N142&lt;=0,Assessment!N142,NA()),NA()),NA()),
  IF(MTP_Council_Endorsed,IF(NOT(Assessment!N127),IF(Assessment!N125&lt;=0,Assessment!N125,NA()),NA()),NA())
)</f>
        <v>0</v>
      </c>
      <c r="P18" s="64">
        <f>IF(COUNTIF('Step 1 - Set global parameters'!$B$21:$G$21,TRUE)&gt;0,
  IF(MTP_Council_Endorsed,IF(NOT(Assessment!O145),IF(Assessment!O142&lt;=0,Assessment!O142,NA()),NA()),NA()),
  IF(MTP_Council_Endorsed,IF(NOT(Assessment!O127),IF(Assessment!O125&lt;=0,Assessment!O125,NA()),NA()),NA())
)</f>
        <v>0</v>
      </c>
      <c r="Q18" s="64">
        <f>IF(COUNTIF('Step 1 - Set global parameters'!$B$21:$G$21,TRUE)&gt;0,
  IF(MTP_Council_Endorsed,IF(NOT(Assessment!P145),IF(Assessment!P142&lt;=0,Assessment!P142,NA()),NA()),NA()),
  IF(MTP_Council_Endorsed,IF(NOT(Assessment!P127),IF(Assessment!P125&lt;=0,Assessment!P125,NA()),NA()),NA())
)</f>
        <v>0</v>
      </c>
      <c r="R18" s="64">
        <f>IF(COUNTIF('Step 1 - Set global parameters'!$B$21:$G$21,TRUE)&gt;0,
  IF(MTP_Council_Endorsed,IF(NOT(Assessment!Q145),IF(Assessment!Q142&lt;=0,Assessment!Q142,NA()),NA()),NA()),
  IF(MTP_Council_Endorsed,IF(NOT(Assessment!Q127),IF(Assessment!Q125&lt;=0,Assessment!Q125,NA()),NA()),NA())
)</f>
        <v>0</v>
      </c>
      <c r="S18" s="64">
        <f>IF(COUNTIF('Step 1 - Set global parameters'!$B$21:$G$21,TRUE)&gt;0,
  IF(MTP_Council_Endorsed,IF(NOT(Assessment!R145),IF(Assessment!R142&lt;=0,Assessment!R142,NA()),NA()),NA()),
  IF(MTP_Council_Endorsed,IF(NOT(Assessment!R127),IF(Assessment!R125&lt;=0,Assessment!R125,NA()),NA()),NA())
)</f>
        <v>0</v>
      </c>
      <c r="T18" s="64">
        <f>IF(COUNTIF('Step 1 - Set global parameters'!$B$21:$G$21,TRUE)&gt;0,
  IF(MTP_Council_Endorsed,IF(NOT(Assessment!S145),IF(Assessment!S142&lt;=0,Assessment!S142,NA()),NA()),NA()),
  IF(MTP_Council_Endorsed,IF(NOT(Assessment!S127),IF(Assessment!S125&lt;=0,Assessment!S125,NA()),NA()),NA())
)</f>
        <v>0</v>
      </c>
      <c r="U18" s="64">
        <f>IF(COUNTIF('Step 1 - Set global parameters'!$B$21:$G$21,TRUE)&gt;0,
  IF(MTP_Council_Endorsed,IF(NOT(Assessment!T145),IF(Assessment!T142&lt;=0,Assessment!T142,NA()),NA()),NA()),
  IF(MTP_Council_Endorsed,IF(NOT(Assessment!T127),IF(Assessment!T125&lt;=0,Assessment!T125,NA()),NA()),NA())
)</f>
        <v>0</v>
      </c>
      <c r="V18" s="64">
        <f>IF(COUNTIF('Step 1 - Set global parameters'!$B$21:$G$21,TRUE)&gt;0,
  IF(MTP_Council_Endorsed,IF(NOT(Assessment!U145),IF(Assessment!U142&lt;=0,Assessment!U142,NA()),NA()),NA()),
  IF(MTP_Council_Endorsed,IF(NOT(Assessment!U127),IF(Assessment!U125&lt;=0,Assessment!U125,NA()),NA()),NA())
)</f>
        <v>0</v>
      </c>
      <c r="W18" s="64">
        <f>IF(COUNTIF('Step 1 - Set global parameters'!$B$21:$G$21,TRUE)&gt;0,
  IF(MTP_Council_Endorsed,IF(NOT(Assessment!V145),IF(Assessment!V142&lt;=0,Assessment!V142,NA()),NA()),NA()),
  IF(MTP_Council_Endorsed,IF(NOT(Assessment!V127),IF(Assessment!V125&lt;=0,Assessment!V125,NA()),NA()),NA())
)</f>
        <v>0</v>
      </c>
    </row>
    <row r="19" spans="2:23" x14ac:dyDescent="0.4">
      <c r="C19" s="2" t="s">
        <v>571</v>
      </c>
      <c r="F19" s="64" t="e">
        <f>IF(COUNTIF('Step 1 - Set global parameters'!$B$21:$G$21,TRUE)&gt;0,
  IF(MTP_Council_Endorsed,IF(NOT(Assessment!E145),IF(Assessment!E142&gt;0,Assessment!E142,NA()),NA()),NA()),
  IF(MTP_Council_Endorsed,IF(NOT(Assessment!E127),IF(Assessment!E125&gt;0,Assessment!E125,NA()),NA()),NA())
)</f>
        <v>#DIV/0!</v>
      </c>
      <c r="G19" s="64" t="e">
        <f>IF(COUNTIF('Step 1 - Set global parameters'!$B$21:$G$21,TRUE)&gt;0,
  IF(MTP_Council_Endorsed,IF(NOT(Assessment!F145),IF(Assessment!F142&gt;0,Assessment!F142,NA()),NA()),NA()),
  IF(MTP_Council_Endorsed,IF(NOT(Assessment!F127),IF(Assessment!F125&gt;0,Assessment!F125,NA()),NA()),NA())
)</f>
        <v>#DIV/0!</v>
      </c>
      <c r="H19" s="64" t="str">
        <f>IF(COUNTIF('Step 1 - Set global parameters'!$B$21:$G$21,TRUE)&gt;0,
  IF(MTP_Council_Endorsed,IF(NOT(Assessment!G145),IF(Assessment!G142&gt;0,Assessment!G142,NA()),NA()),NA()),
  IF(MTP_Council_Endorsed,IF(NOT(Assessment!G127),IF(Assessment!G125&gt;0,Assessment!G125,NA()),NA()),NA())
)</f>
        <v/>
      </c>
      <c r="I19" s="64" t="str">
        <f>IF(COUNTIF('Step 1 - Set global parameters'!$B$21:$G$21,TRUE)&gt;0,
  IF(MTP_Council_Endorsed,IF(NOT(Assessment!H145),IF(Assessment!H142&gt;0,Assessment!H142,NA()),NA()),NA()),
  IF(MTP_Council_Endorsed,IF(NOT(Assessment!H127),IF(Assessment!H125&gt;0,Assessment!H125,NA()),NA()),NA())
)</f>
        <v/>
      </c>
      <c r="J19" s="64" t="str">
        <f>IF(COUNTIF('Step 1 - Set global parameters'!$B$21:$G$21,TRUE)&gt;0,
  IF(MTP_Council_Endorsed,IF(NOT(Assessment!I145),IF(Assessment!I142&gt;0,Assessment!I142,NA()),NA()),NA()),
  IF(MTP_Council_Endorsed,IF(NOT(Assessment!I127),IF(Assessment!I125&gt;0,Assessment!I125,NA()),NA()),NA())
)</f>
        <v/>
      </c>
      <c r="K19" s="64" t="str">
        <f>IF(COUNTIF('Step 1 - Set global parameters'!$B$21:$G$21,TRUE)&gt;0,
  IF(MTP_Council_Endorsed,IF(NOT(Assessment!J145),IF(Assessment!J142&gt;0,Assessment!J142,NA()),NA()),NA()),
  IF(MTP_Council_Endorsed,IF(NOT(Assessment!J127),IF(Assessment!J125&gt;0,Assessment!J125,NA()),NA()),NA())
)</f>
        <v/>
      </c>
      <c r="L19" s="64" t="e">
        <f>IF(COUNTIF('Step 1 - Set global parameters'!$B$21:$G$21,TRUE)&gt;0,
  IF(MTP_Council_Endorsed,IF(NOT(Assessment!K145),IF(Assessment!K142&gt;0,Assessment!K142,NA()),NA()),NA()),
  IF(MTP_Council_Endorsed,IF(NOT(Assessment!K127),IF(Assessment!K125&gt;0,Assessment!K125,NA()),NA()),NA())
)</f>
        <v>#N/A</v>
      </c>
      <c r="M19" s="64" t="e">
        <f>IF(COUNTIF('Step 1 - Set global parameters'!$B$21:$G$21,TRUE)&gt;0,
  IF(MTP_Council_Endorsed,IF(NOT(Assessment!L145),IF(Assessment!L142&gt;0,Assessment!L142,NA()),NA()),NA()),
  IF(MTP_Council_Endorsed,IF(NOT(Assessment!L127),IF(Assessment!L125&gt;0,Assessment!L125,NA()),NA()),NA())
)</f>
        <v>#N/A</v>
      </c>
      <c r="N19" s="64" t="e">
        <f>IF(COUNTIF('Step 1 - Set global parameters'!$B$21:$G$21,TRUE)&gt;0,
  IF(MTP_Council_Endorsed,IF(NOT(Assessment!M145),IF(Assessment!M142&gt;0,Assessment!M142,NA()),NA()),NA()),
  IF(MTP_Council_Endorsed,IF(NOT(Assessment!M127),IF(Assessment!M125&gt;0,Assessment!M125,NA()),NA()),NA())
)</f>
        <v>#N/A</v>
      </c>
      <c r="O19" s="64" t="e">
        <f>IF(COUNTIF('Step 1 - Set global parameters'!$B$21:$G$21,TRUE)&gt;0,
  IF(MTP_Council_Endorsed,IF(NOT(Assessment!N145),IF(Assessment!N142&gt;0,Assessment!N142,NA()),NA()),NA()),
  IF(MTP_Council_Endorsed,IF(NOT(Assessment!N127),IF(Assessment!N125&gt;0,Assessment!N125,NA()),NA()),NA())
)</f>
        <v>#N/A</v>
      </c>
      <c r="P19" s="64" t="e">
        <f>IF(COUNTIF('Step 1 - Set global parameters'!$B$21:$G$21,TRUE)&gt;0,
  IF(MTP_Council_Endorsed,IF(NOT(Assessment!O145),IF(Assessment!O142&gt;0,Assessment!O142,NA()),NA()),NA()),
  IF(MTP_Council_Endorsed,IF(NOT(Assessment!O127),IF(Assessment!O125&gt;0,Assessment!O125,NA()),NA()),NA())
)</f>
        <v>#N/A</v>
      </c>
      <c r="Q19" s="64" t="e">
        <f>IF(COUNTIF('Step 1 - Set global parameters'!$B$21:$G$21,TRUE)&gt;0,
  IF(MTP_Council_Endorsed,IF(NOT(Assessment!P145),IF(Assessment!P142&gt;0,Assessment!P142,NA()),NA()),NA()),
  IF(MTP_Council_Endorsed,IF(NOT(Assessment!P127),IF(Assessment!P125&gt;0,Assessment!P125,NA()),NA()),NA())
)</f>
        <v>#N/A</v>
      </c>
      <c r="R19" s="64" t="e">
        <f>IF(COUNTIF('Step 1 - Set global parameters'!$B$21:$G$21,TRUE)&gt;0,
  IF(MTP_Council_Endorsed,IF(NOT(Assessment!Q145),IF(Assessment!Q142&gt;0,Assessment!Q142,NA()),NA()),NA()),
  IF(MTP_Council_Endorsed,IF(NOT(Assessment!Q127),IF(Assessment!Q125&gt;0,Assessment!Q125,NA()),NA()),NA())
)</f>
        <v>#N/A</v>
      </c>
      <c r="S19" s="64" t="e">
        <f>IF(COUNTIF('Step 1 - Set global parameters'!$B$21:$G$21,TRUE)&gt;0,
  IF(MTP_Council_Endorsed,IF(NOT(Assessment!R145),IF(Assessment!R142&gt;0,Assessment!R142,NA()),NA()),NA()),
  IF(MTP_Council_Endorsed,IF(NOT(Assessment!R127),IF(Assessment!R125&gt;0,Assessment!R125,NA()),NA()),NA())
)</f>
        <v>#N/A</v>
      </c>
      <c r="T19" s="64" t="e">
        <f>IF(COUNTIF('Step 1 - Set global parameters'!$B$21:$G$21,TRUE)&gt;0,
  IF(MTP_Council_Endorsed,IF(NOT(Assessment!S145),IF(Assessment!S142&gt;0,Assessment!S142,NA()),NA()),NA()),
  IF(MTP_Council_Endorsed,IF(NOT(Assessment!S127),IF(Assessment!S125&gt;0,Assessment!S125,NA()),NA()),NA())
)</f>
        <v>#N/A</v>
      </c>
      <c r="U19" s="64" t="e">
        <f>IF(COUNTIF('Step 1 - Set global parameters'!$B$21:$G$21,TRUE)&gt;0,
  IF(MTP_Council_Endorsed,IF(NOT(Assessment!T145),IF(Assessment!T142&gt;0,Assessment!T142,NA()),NA()),NA()),
  IF(MTP_Council_Endorsed,IF(NOT(Assessment!T127),IF(Assessment!T125&gt;0,Assessment!T125,NA()),NA()),NA())
)</f>
        <v>#N/A</v>
      </c>
      <c r="V19" s="64" t="e">
        <f>IF(COUNTIF('Step 1 - Set global parameters'!$B$21:$G$21,TRUE)&gt;0,
  IF(MTP_Council_Endorsed,IF(NOT(Assessment!U145),IF(Assessment!U142&gt;0,Assessment!U142,NA()),NA()),NA()),
  IF(MTP_Council_Endorsed,IF(NOT(Assessment!U127),IF(Assessment!U125&gt;0,Assessment!U125,NA()),NA()),NA())
)</f>
        <v>#N/A</v>
      </c>
      <c r="W19" s="64" t="e">
        <f>IF(COUNTIF('Step 1 - Set global parameters'!$B$21:$G$21,TRUE)&gt;0,
  IF(MTP_Council_Endorsed,IF(NOT(Assessment!V145),IF(Assessment!V142&gt;0,Assessment!V142,NA()),NA()),NA()),
  IF(MTP_Council_Endorsed,IF(NOT(Assessment!V127),IF(Assessment!V125&gt;0,Assessment!V125,NA()),NA()),NA())
)</f>
        <v>#N/A</v>
      </c>
    </row>
    <row r="20" spans="2:23" x14ac:dyDescent="0.4">
      <c r="C20" s="2" t="s">
        <v>297</v>
      </c>
      <c r="F20" s="64"/>
      <c r="G20" s="64"/>
      <c r="H20" s="64"/>
      <c r="I20" s="64"/>
      <c r="J20" s="64"/>
      <c r="K20" s="64"/>
      <c r="L20" s="64"/>
      <c r="M20" s="64"/>
      <c r="N20" s="64"/>
      <c r="O20" s="64"/>
      <c r="P20" s="64"/>
      <c r="Q20" s="64"/>
      <c r="R20" s="64"/>
      <c r="S20" s="64"/>
      <c r="T20" s="64"/>
      <c r="U20" s="64"/>
      <c r="V20" s="64"/>
      <c r="W20" s="64"/>
    </row>
    <row r="21" spans="2:23" x14ac:dyDescent="0.4">
      <c r="C21" s="2" t="s">
        <v>656</v>
      </c>
      <c r="F21" s="64" t="e">
        <f>IF(MTP_Council_Endorsed,IF(Assessment!E145,Assessment!E142,NA()),NA())</f>
        <v>#N/A</v>
      </c>
      <c r="G21" s="64" t="e">
        <f>IF(MTP_Council_Endorsed,IF(Assessment!F145,Assessment!F142,NA()),NA())</f>
        <v>#N/A</v>
      </c>
      <c r="H21" s="64" t="e">
        <f>IF(MTP_Council_Endorsed,IF(Assessment!G145,Assessment!G142,NA()),NA())</f>
        <v>#N/A</v>
      </c>
      <c r="I21" s="64" t="e">
        <f>IF(MTP_Council_Endorsed,IF(Assessment!H145,Assessment!H142,NA()),NA())</f>
        <v>#N/A</v>
      </c>
      <c r="J21" s="64" t="e">
        <f>IF(MTP_Council_Endorsed,IF(Assessment!I145,Assessment!I142,NA()),NA())</f>
        <v>#N/A</v>
      </c>
      <c r="K21" s="64" t="e">
        <f>IF(MTP_Council_Endorsed,IF(Assessment!J145,Assessment!J142,NA()),NA())</f>
        <v>#N/A</v>
      </c>
      <c r="L21" s="64" t="e">
        <f>IF(MTP_Council_Endorsed,IF(Assessment!K145,Assessment!K142,NA()),NA())</f>
        <v>#N/A</v>
      </c>
      <c r="M21" s="64" t="e">
        <f>IF(MTP_Council_Endorsed,IF(Assessment!L145,Assessment!L142,NA()),NA())</f>
        <v>#N/A</v>
      </c>
      <c r="N21" s="64" t="e">
        <f>IF(MTP_Council_Endorsed,IF(Assessment!M145,Assessment!M142,NA()),NA())</f>
        <v>#N/A</v>
      </c>
      <c r="O21" s="64" t="e">
        <f>IF(MTP_Council_Endorsed,IF(Assessment!N145,Assessment!N142,NA()),NA())</f>
        <v>#N/A</v>
      </c>
      <c r="P21" s="64" t="e">
        <f>IF(MTP_Council_Endorsed,IF(Assessment!O145,Assessment!O142,NA()),NA())</f>
        <v>#N/A</v>
      </c>
      <c r="Q21" s="64" t="e">
        <f>IF(MTP_Council_Endorsed,IF(Assessment!P145,Assessment!P142,NA()),NA())</f>
        <v>#N/A</v>
      </c>
      <c r="R21" s="64" t="e">
        <f>IF(MTP_Council_Endorsed,IF(Assessment!Q145,Assessment!Q142,NA()),NA())</f>
        <v>#N/A</v>
      </c>
      <c r="S21" s="64" t="e">
        <f>IF(MTP_Council_Endorsed,IF(Assessment!R145,Assessment!R142,NA()),NA())</f>
        <v>#N/A</v>
      </c>
      <c r="T21" s="64" t="e">
        <f>IF(MTP_Council_Endorsed,IF(Assessment!S145,Assessment!S142,NA()),NA())</f>
        <v>#N/A</v>
      </c>
      <c r="U21" s="64" t="e">
        <f>IF(MTP_Council_Endorsed,IF(Assessment!T145,Assessment!T142,NA()),NA())</f>
        <v>#N/A</v>
      </c>
      <c r="V21" s="64" t="e">
        <f>IF(MTP_Council_Endorsed,IF(Assessment!U145,Assessment!U142,NA()),NA())</f>
        <v>#N/A</v>
      </c>
      <c r="W21" s="64" t="e">
        <f>IF(MTP_Council_Endorsed,IF(Assessment!V145,Assessment!V142,NA()),NA())</f>
        <v>#N/A</v>
      </c>
    </row>
    <row r="22" spans="2:23" x14ac:dyDescent="0.4">
      <c r="C22" s="2" t="s">
        <v>485</v>
      </c>
      <c r="F22" s="64">
        <v>0.3</v>
      </c>
      <c r="G22" s="64">
        <v>0.3</v>
      </c>
      <c r="H22" s="64">
        <v>0.3</v>
      </c>
      <c r="I22" s="64">
        <v>0.3</v>
      </c>
      <c r="J22" s="64">
        <v>0.3</v>
      </c>
      <c r="K22" s="64">
        <v>0.3</v>
      </c>
      <c r="L22" s="64">
        <v>0.3</v>
      </c>
      <c r="M22" s="64">
        <v>0.3</v>
      </c>
      <c r="N22" s="64">
        <v>0.3</v>
      </c>
      <c r="O22" s="64">
        <v>0.3</v>
      </c>
      <c r="P22" s="64">
        <v>0.3</v>
      </c>
      <c r="Q22" s="64">
        <v>0.3</v>
      </c>
      <c r="R22" s="64">
        <v>0.3</v>
      </c>
      <c r="S22" s="64">
        <v>0.3</v>
      </c>
      <c r="T22" s="64">
        <v>0.3</v>
      </c>
      <c r="U22" s="64">
        <v>0.3</v>
      </c>
      <c r="V22" s="64">
        <v>0.3</v>
      </c>
      <c r="W22" s="64">
        <v>0.3</v>
      </c>
    </row>
    <row r="23" spans="2:23" x14ac:dyDescent="0.4">
      <c r="C23" s="2" t="s">
        <v>486</v>
      </c>
      <c r="F23" s="64">
        <v>0.6</v>
      </c>
      <c r="G23" s="64">
        <v>0.6</v>
      </c>
      <c r="H23" s="64">
        <v>0.6</v>
      </c>
      <c r="I23" s="64">
        <v>0.6</v>
      </c>
      <c r="J23" s="64">
        <v>0.6</v>
      </c>
      <c r="K23" s="64">
        <v>0.6</v>
      </c>
      <c r="L23" s="64">
        <v>0.6</v>
      </c>
      <c r="M23" s="64">
        <v>0.6</v>
      </c>
      <c r="N23" s="64">
        <v>0.6</v>
      </c>
      <c r="O23" s="64">
        <v>0.6</v>
      </c>
      <c r="P23" s="64">
        <v>0.6</v>
      </c>
      <c r="Q23" s="64">
        <v>0.6</v>
      </c>
      <c r="R23" s="64">
        <v>0.6</v>
      </c>
      <c r="S23" s="64">
        <v>0.6</v>
      </c>
      <c r="T23" s="64">
        <v>0.6</v>
      </c>
      <c r="U23" s="64">
        <v>0.6</v>
      </c>
      <c r="V23" s="64">
        <v>0.6</v>
      </c>
      <c r="W23" s="64">
        <v>0.6</v>
      </c>
    </row>
    <row r="24" spans="2:23" x14ac:dyDescent="0.4">
      <c r="C24" s="2" t="s">
        <v>478</v>
      </c>
      <c r="F24" s="64"/>
      <c r="G24" s="64"/>
      <c r="H24" s="64"/>
      <c r="I24" s="64"/>
      <c r="J24" s="64"/>
      <c r="K24" s="64"/>
      <c r="L24" s="64"/>
      <c r="M24" s="64"/>
      <c r="N24" s="64"/>
      <c r="O24" s="64"/>
      <c r="P24" s="64"/>
      <c r="Q24" s="64"/>
      <c r="R24" s="64"/>
      <c r="S24" s="64"/>
      <c r="T24" s="64"/>
      <c r="U24" s="64"/>
      <c r="V24" s="64"/>
      <c r="W24" s="64"/>
    </row>
    <row r="25" spans="2:23" x14ac:dyDescent="0.4">
      <c r="C25" s="110" t="s">
        <v>564</v>
      </c>
      <c r="D25" s="4">
        <f>IF(_xlfn.AGGREGATE(5,6,F15:W23)&lt;0, _xlfn.AGGREGATE(5,6,F15:W23), 0)</f>
        <v>0</v>
      </c>
      <c r="F25" s="64"/>
      <c r="G25" s="64"/>
      <c r="H25" s="64"/>
      <c r="I25" s="64"/>
      <c r="J25" s="64"/>
      <c r="K25" s="64"/>
      <c r="L25" s="64"/>
      <c r="M25" s="64"/>
      <c r="N25" s="64"/>
      <c r="O25" s="64"/>
      <c r="P25" s="64"/>
      <c r="Q25" s="64"/>
      <c r="R25" s="64"/>
      <c r="S25" s="64"/>
      <c r="T25" s="64"/>
      <c r="U25" s="64"/>
      <c r="V25" s="64"/>
      <c r="W25" s="64"/>
    </row>
    <row r="26" spans="2:23" x14ac:dyDescent="0.4">
      <c r="C26" s="110" t="s">
        <v>565</v>
      </c>
      <c r="D26" s="4">
        <f>_xlfn.AGGREGATE(4,6,F15:W23)</f>
        <v>0.6</v>
      </c>
    </row>
    <row r="27" spans="2:23" x14ac:dyDescent="0.4">
      <c r="C27" s="110"/>
    </row>
    <row r="28" spans="2:23" ht="16.5" x14ac:dyDescent="0.6">
      <c r="B28" s="110" t="s">
        <v>481</v>
      </c>
      <c r="C28" s="11" t="s">
        <v>940</v>
      </c>
    </row>
    <row r="29" spans="2:23" x14ac:dyDescent="0.4">
      <c r="C29" s="2" t="s">
        <v>497</v>
      </c>
      <c r="E29" s="64">
        <f>IF(ISNUMBER(Assessment!D38),Assessment!D38,NA())</f>
        <v>0</v>
      </c>
      <c r="F29" s="64">
        <f>IF(ISNUMBER(Assessment!E38),Assessment!E38,NA())</f>
        <v>0</v>
      </c>
      <c r="G29" s="64">
        <f>IF(ISNUMBER(Assessment!F38),Assessment!F38,NA())</f>
        <v>0</v>
      </c>
      <c r="H29" s="64">
        <f>IF(ISNUMBER(Assessment!G38),Assessment!G38,NA())</f>
        <v>0</v>
      </c>
      <c r="I29" s="64">
        <f>IF(ISNUMBER(Assessment!H38),Assessment!H38,NA())</f>
        <v>0</v>
      </c>
      <c r="J29" s="64">
        <f>IF(ISNUMBER(Assessment!I38),Assessment!I38,NA())</f>
        <v>0</v>
      </c>
      <c r="K29" s="64" t="e">
        <f>IF(ISNUMBER(Assessment!J38),Assessment!J38,NA())</f>
        <v>#N/A</v>
      </c>
      <c r="L29" s="64" t="e">
        <f>IF(ISNUMBER(Assessment!K38),Assessment!K38,NA())</f>
        <v>#N/A</v>
      </c>
      <c r="M29" s="64" t="e">
        <f>IF(ISNUMBER(Assessment!L38),Assessment!L38,NA())</f>
        <v>#N/A</v>
      </c>
      <c r="N29" s="64" t="e">
        <f>IF(ISNUMBER(Assessment!M38),Assessment!M38,NA())</f>
        <v>#N/A</v>
      </c>
      <c r="O29" s="64" t="e">
        <f>IF(ISNUMBER(Assessment!N38),Assessment!N38,NA())</f>
        <v>#N/A</v>
      </c>
      <c r="P29" s="64" t="e">
        <f>IF(ISNUMBER(Assessment!O38),Assessment!O38,NA())</f>
        <v>#N/A</v>
      </c>
      <c r="Q29" s="64" t="e">
        <f>IF(ISNUMBER(Assessment!P38),Assessment!P38,NA())</f>
        <v>#N/A</v>
      </c>
      <c r="R29" s="64" t="e">
        <f>IF(ISNUMBER(Assessment!Q38),Assessment!Q38,NA())</f>
        <v>#N/A</v>
      </c>
      <c r="S29" s="64" t="e">
        <f>IF(ISNUMBER(Assessment!R38),Assessment!R38,NA())</f>
        <v>#N/A</v>
      </c>
      <c r="T29" s="64" t="e">
        <f>IF(ISNUMBER(Assessment!S38),Assessment!S38,NA())</f>
        <v>#N/A</v>
      </c>
      <c r="U29" s="64" t="e">
        <f>IF(ISNUMBER(Assessment!T38),Assessment!T38,NA())</f>
        <v>#N/A</v>
      </c>
      <c r="V29" s="64" t="e">
        <f>IF(ISNUMBER(Assessment!U38),Assessment!U38,NA())</f>
        <v>#N/A</v>
      </c>
      <c r="W29" s="64" t="e">
        <f>IF(ISNUMBER(Assessment!V38),Assessment!V38,NA())</f>
        <v>#N/A</v>
      </c>
    </row>
    <row r="30" spans="2:23" x14ac:dyDescent="0.4">
      <c r="C30" s="2" t="s">
        <v>296</v>
      </c>
      <c r="E30" s="64"/>
      <c r="F30" s="64"/>
      <c r="G30" s="64"/>
      <c r="H30" s="64"/>
      <c r="I30" s="64"/>
      <c r="J30" s="64"/>
      <c r="K30" s="64"/>
      <c r="L30" s="64"/>
      <c r="M30" s="64"/>
      <c r="N30" s="64"/>
      <c r="O30" s="64"/>
      <c r="P30" s="64"/>
      <c r="Q30" s="64"/>
      <c r="R30" s="64"/>
      <c r="S30" s="64"/>
      <c r="T30" s="64"/>
      <c r="U30" s="64"/>
      <c r="V30" s="64"/>
      <c r="W30" s="64"/>
    </row>
    <row r="31" spans="2:23" x14ac:dyDescent="0.4">
      <c r="C31" s="2" t="s">
        <v>243</v>
      </c>
      <c r="E31" s="64" t="e">
        <f>IF(OR(ISNUMBER(E91),ISNUMBER(E92)),NA(),IF(ISNUMBER(Assessment!D20),Assessment!D20,NA()))</f>
        <v>#N/A</v>
      </c>
      <c r="F31" s="64" t="e">
        <f>IF(OR(ISNUMBER(F91),ISNUMBER(F92)),NA(),IF(ISNUMBER(Assessment!E20),Assessment!E20,NA()))</f>
        <v>#N/A</v>
      </c>
      <c r="G31" s="64" t="e">
        <f>IF(OR(ISNUMBER(G91),ISNUMBER(G92)),NA(),IF(ISNUMBER(Assessment!F20),Assessment!F20,NA()))</f>
        <v>#N/A</v>
      </c>
      <c r="H31" s="64" t="e">
        <f>IF(OR(ISNUMBER(H91),ISNUMBER(H92)),NA(),IF(ISNUMBER(Assessment!G20),Assessment!G20,NA()))</f>
        <v>#N/A</v>
      </c>
      <c r="I31" s="64" t="e">
        <f>IF(OR(ISNUMBER(I91),ISNUMBER(I92)),NA(),IF(ISNUMBER(Assessment!H20),Assessment!H20,NA()))</f>
        <v>#N/A</v>
      </c>
      <c r="J31" s="64" t="e">
        <f>IF(OR(ISNUMBER(J91),ISNUMBER(J92)),NA(),IF(ISNUMBER(Assessment!I20),Assessment!I20,NA()))</f>
        <v>#N/A</v>
      </c>
      <c r="K31" s="64" t="e">
        <f>IF(OR(ISNUMBER(K91),ISNUMBER(K92)),NA(),IF(ISNUMBER(Assessment!J20),Assessment!J20,NA()))</f>
        <v>#N/A</v>
      </c>
      <c r="L31" s="64" t="e">
        <f>IF(OR(ISNUMBER(L91),ISNUMBER(L92)),NA(),IF(ISNUMBER(Assessment!K20),Assessment!K20,NA()))</f>
        <v>#N/A</v>
      </c>
      <c r="M31" s="64" t="e">
        <f>IF(OR(ISNUMBER(M91),ISNUMBER(M92)),NA(),IF(ISNUMBER(Assessment!L20),Assessment!L20,NA()))</f>
        <v>#N/A</v>
      </c>
      <c r="N31" s="64" t="e">
        <f>IF(OR(ISNUMBER(N91),ISNUMBER(N92)),NA(),IF(ISNUMBER(Assessment!M20),Assessment!M20,NA()))</f>
        <v>#N/A</v>
      </c>
      <c r="O31" s="64" t="e">
        <f>IF(OR(ISNUMBER(O91),ISNUMBER(O92)),NA(),IF(ISNUMBER(Assessment!N20),Assessment!N20,NA()))</f>
        <v>#N/A</v>
      </c>
      <c r="P31" s="64" t="e">
        <f>IF(OR(ISNUMBER(P91),ISNUMBER(P92)),NA(),IF(ISNUMBER(Assessment!O20),Assessment!O20,NA()))</f>
        <v>#N/A</v>
      </c>
      <c r="Q31" s="64" t="e">
        <f>IF(OR(ISNUMBER(Q91),ISNUMBER(Q92)),NA(),IF(ISNUMBER(Assessment!P20),Assessment!P20,NA()))</f>
        <v>#N/A</v>
      </c>
      <c r="R31" s="64" t="e">
        <f>IF(OR(ISNUMBER(R91),ISNUMBER(R92)),NA(),IF(ISNUMBER(Assessment!Q20),Assessment!Q20,NA()))</f>
        <v>#N/A</v>
      </c>
      <c r="S31" s="64" t="e">
        <f>IF(OR(ISNUMBER(S91),ISNUMBER(S92)),NA(),IF(ISNUMBER(Assessment!R20),Assessment!R20,NA()))</f>
        <v>#N/A</v>
      </c>
      <c r="T31" s="64" t="e">
        <f>IF(OR(ISNUMBER(T91),ISNUMBER(T92)),NA(),IF(ISNUMBER(Assessment!S20),Assessment!S20,NA()))</f>
        <v>#N/A</v>
      </c>
      <c r="U31" s="64"/>
      <c r="V31" s="64"/>
      <c r="W31" s="64"/>
    </row>
    <row r="32" spans="2:23" x14ac:dyDescent="0.4">
      <c r="C32" s="2" t="s">
        <v>298</v>
      </c>
      <c r="E32" s="3"/>
      <c r="F32" s="64" t="e" cm="1">
        <f t="array" ref="F32">IF(
  AND(
    INDEX('Chart data'!$2:$2, COLUMN()) &gt;= MTP_BaseYear,
    INDEX('Chart data'!$2:$2, COLUMN()) &lt;= OutturnThrough
  ),
  IFERROR(
    IF(
      F29 - INDEX(Assessment!$20:$20,
                   _xlfn.XMATCH(INDEX('Chart data'!$2:$2, COLUMN()),
                          Assessment!$4:$4, 0)
            ) &gt;= 0,
      INDEX(Assessment!$20:$20,
            _xlfn.XMATCH(INDEX('Chart data'!$2:$2, COLUMN()),
                   Assessment!$4:$4, 0)
      ),
      NA()
    ),
    NA()
  ),
  NA()
)</f>
        <v>#N/A</v>
      </c>
      <c r="G32" s="64" t="e" cm="1">
        <f t="array" ref="G32">IF(
  AND(
    INDEX('Chart data'!$2:$2, COLUMN()) &gt;= MTP_BaseYear,
    INDEX('Chart data'!$2:$2, COLUMN()) &lt;= OutturnThrough
  ),
  IFERROR(
    IF(
      G29 - INDEX(Assessment!$20:$20,
                   _xlfn.XMATCH(INDEX('Chart data'!$2:$2, COLUMN()),
                          Assessment!$4:$4, 0)
            ) &gt;= 0,
      INDEX(Assessment!$20:$20,
            _xlfn.XMATCH(INDEX('Chart data'!$2:$2, COLUMN()),
                   Assessment!$4:$4, 0)
      ),
      NA()
    ),
    NA()
  ),
  NA()
)</f>
        <v>#N/A</v>
      </c>
      <c r="H32" s="64" t="e" cm="1">
        <f t="array" ref="H32">IF(
  AND(
    INDEX('Chart data'!$2:$2, COLUMN()) &gt;= MTP_BaseYear,
    INDEX('Chart data'!$2:$2, COLUMN()) &lt;= OutturnThrough
  ),
  IFERROR(
    IF(
      H29 - INDEX(Assessment!$20:$20,
                   _xlfn.XMATCH(INDEX('Chart data'!$2:$2, COLUMN()),
                          Assessment!$4:$4, 0)
            ) &gt;= 0,
      INDEX(Assessment!$20:$20,
            _xlfn.XMATCH(INDEX('Chart data'!$2:$2, COLUMN()),
                   Assessment!$4:$4, 0)
      ),
      NA()
    ),
    NA()
  ),
  NA()
)</f>
        <v>#N/A</v>
      </c>
      <c r="I32" s="64" t="e" cm="1">
        <f t="array" ref="I32">IF(
  AND(
    INDEX('Chart data'!$2:$2, COLUMN()) &gt;= MTP_BaseYear,
    INDEX('Chart data'!$2:$2, COLUMN()) &lt;= OutturnThrough
  ),
  IFERROR(
    IF(
      I29 - INDEX(Assessment!$20:$20,
                   _xlfn.XMATCH(INDEX('Chart data'!$2:$2, COLUMN()),
                          Assessment!$4:$4, 0)
            ) &gt;= 0,
      INDEX(Assessment!$20:$20,
            _xlfn.XMATCH(INDEX('Chart data'!$2:$2, COLUMN()),
                   Assessment!$4:$4, 0)
      ),
      NA()
    ),
    NA()
  ),
  NA()
)</f>
        <v>#N/A</v>
      </c>
      <c r="J32" s="64" t="e" cm="1">
        <f t="array" ref="J32">IF(
  AND(
    INDEX('Chart data'!$2:$2, COLUMN()) &gt;= MTP_BaseYear,
    INDEX('Chart data'!$2:$2, COLUMN()) &lt;= OutturnThrough
  ),
  IFERROR(
    IF(
      J29 - INDEX(Assessment!$20:$20,
                   _xlfn.XMATCH(INDEX('Chart data'!$2:$2, COLUMN()),
                          Assessment!$4:$4, 0)
            ) &gt;= 0,
      INDEX(Assessment!$20:$20,
            _xlfn.XMATCH(INDEX('Chart data'!$2:$2, COLUMN()),
                   Assessment!$4:$4, 0)
      ),
      NA()
    ),
    NA()
  ),
  NA()
)</f>
        <v>#N/A</v>
      </c>
      <c r="K32" s="64" t="e" cm="1">
        <f t="array" ref="K32">IF(
  AND(
    INDEX('Chart data'!$2:$2, COLUMN()) &gt;= MTP_BaseYear,
    INDEX('Chart data'!$2:$2, COLUMN()) &lt;= OutturnThrough
  ),
  IFERROR(
    IF(
      K29 - INDEX(Assessment!$20:$20,
                   _xlfn.XMATCH(INDEX('Chart data'!$2:$2, COLUMN()),
                          Assessment!$4:$4, 0)
            ) &gt;= 0,
      INDEX(Assessment!$20:$20,
            _xlfn.XMATCH(INDEX('Chart data'!$2:$2, COLUMN()),
                   Assessment!$4:$4, 0)
      ),
      NA()
    ),
    NA()
  ),
  NA()
)</f>
        <v>#N/A</v>
      </c>
      <c r="L32" s="64" t="e" cm="1">
        <f t="array" ref="L32">IF(
  AND(
    INDEX('Chart data'!$2:$2, COLUMN()) &gt;= MTP_BaseYear,
    INDEX('Chart data'!$2:$2, COLUMN()) &lt;= OutturnThrough
  ),
  IFERROR(
    IF(
      L29 - INDEX(Assessment!$20:$20,
                   _xlfn.XMATCH(INDEX('Chart data'!$2:$2, COLUMN()),
                          Assessment!$4:$4, 0)
            ) &gt;= 0,
      INDEX(Assessment!$20:$20,
            _xlfn.XMATCH(INDEX('Chart data'!$2:$2, COLUMN()),
                   Assessment!$4:$4, 0)
      ),
      NA()
    ),
    NA()
  ),
  NA()
)</f>
        <v>#N/A</v>
      </c>
      <c r="M32" s="64" t="e" cm="1">
        <f t="array" ref="M32">IF(
  AND(
    INDEX('Chart data'!$2:$2, COLUMN()) &gt;= MTP_BaseYear,
    INDEX('Chart data'!$2:$2, COLUMN()) &lt;= OutturnThrough
  ),
  IFERROR(
    IF(
      M29 - INDEX(Assessment!$20:$20,
                   _xlfn.XMATCH(INDEX('Chart data'!$2:$2, COLUMN()),
                          Assessment!$4:$4, 0)
            ) &gt;= 0,
      INDEX(Assessment!$20:$20,
            _xlfn.XMATCH(INDEX('Chart data'!$2:$2, COLUMN()),
                   Assessment!$4:$4, 0)
      ),
      NA()
    ),
    NA()
  ),
  NA()
)</f>
        <v>#N/A</v>
      </c>
      <c r="N32" s="64" t="e" cm="1">
        <f t="array" ref="N32">IF(
  AND(
    INDEX('Chart data'!$2:$2, COLUMN()) &gt;= MTP_BaseYear,
    INDEX('Chart data'!$2:$2, COLUMN()) &lt;= OutturnThrough
  ),
  IFERROR(
    IF(
      N29 - INDEX(Assessment!$20:$20,
                   _xlfn.XMATCH(INDEX('Chart data'!$2:$2, COLUMN()),
                          Assessment!$4:$4, 0)
            ) &gt;= 0,
      INDEX(Assessment!$20:$20,
            _xlfn.XMATCH(INDEX('Chart data'!$2:$2, COLUMN()),
                   Assessment!$4:$4, 0)
      ),
      NA()
    ),
    NA()
  ),
  NA()
)</f>
        <v>#N/A</v>
      </c>
      <c r="O32" s="64" t="e" cm="1">
        <f t="array" ref="O32">IF(
  AND(
    INDEX('Chart data'!$2:$2, COLUMN()) &gt;= MTP_BaseYear,
    INDEX('Chart data'!$2:$2, COLUMN()) &lt;= OutturnThrough
  ),
  IFERROR(
    IF(
      O29 - INDEX(Assessment!$20:$20,
                   _xlfn.XMATCH(INDEX('Chart data'!$2:$2, COLUMN()),
                          Assessment!$4:$4, 0)
            ) &gt;= 0,
      INDEX(Assessment!$20:$20,
            _xlfn.XMATCH(INDEX('Chart data'!$2:$2, COLUMN()),
                   Assessment!$4:$4, 0)
      ),
      NA()
    ),
    NA()
  ),
  NA()
)</f>
        <v>#N/A</v>
      </c>
      <c r="P32" s="64" t="e" cm="1">
        <f t="array" ref="P32">IF(
  AND(
    INDEX('Chart data'!$2:$2, COLUMN()) &gt;= MTP_BaseYear,
    INDEX('Chart data'!$2:$2, COLUMN()) &lt;= OutturnThrough
  ),
  IFERROR(
    IF(
      P29 - INDEX(Assessment!$20:$20,
                   _xlfn.XMATCH(INDEX('Chart data'!$2:$2, COLUMN()),
                          Assessment!$4:$4, 0)
            ) &gt;= 0,
      INDEX(Assessment!$20:$20,
            _xlfn.XMATCH(INDEX('Chart data'!$2:$2, COLUMN()),
                   Assessment!$4:$4, 0)
      ),
      NA()
    ),
    NA()
  ),
  NA()
)</f>
        <v>#N/A</v>
      </c>
      <c r="Q32" s="64" t="e" cm="1">
        <f t="array" ref="Q32">IF(
  AND(
    INDEX('Chart data'!$2:$2, COLUMN()) &gt;= MTP_BaseYear,
    INDEX('Chart data'!$2:$2, COLUMN()) &lt;= OutturnThrough
  ),
  IFERROR(
    IF(
      Q29 - INDEX(Assessment!$20:$20,
                   _xlfn.XMATCH(INDEX('Chart data'!$2:$2, COLUMN()),
                          Assessment!$4:$4, 0)
            ) &gt;= 0,
      INDEX(Assessment!$20:$20,
            _xlfn.XMATCH(INDEX('Chart data'!$2:$2, COLUMN()),
                   Assessment!$4:$4, 0)
      ),
      NA()
    ),
    NA()
  ),
  NA()
)</f>
        <v>#N/A</v>
      </c>
      <c r="R32" s="64" t="e" cm="1">
        <f t="array" ref="R32">IF(
  AND(
    INDEX('Chart data'!$2:$2, COLUMN()) &gt;= MTP_BaseYear,
    INDEX('Chart data'!$2:$2, COLUMN()) &lt;= OutturnThrough
  ),
  IFERROR(
    IF(
      R29 - INDEX(Assessment!$20:$20,
                   _xlfn.XMATCH(INDEX('Chart data'!$2:$2, COLUMN()),
                          Assessment!$4:$4, 0)
            ) &gt;= 0,
      INDEX(Assessment!$20:$20,
            _xlfn.XMATCH(INDEX('Chart data'!$2:$2, COLUMN()),
                   Assessment!$4:$4, 0)
      ),
      NA()
    ),
    NA()
  ),
  NA()
)</f>
        <v>#N/A</v>
      </c>
      <c r="S32" s="64" t="e" cm="1">
        <f t="array" ref="S32">IF(
  AND(
    INDEX('Chart data'!$2:$2, COLUMN()) &gt;= MTP_BaseYear,
    INDEX('Chart data'!$2:$2, COLUMN()) &lt;= OutturnThrough
  ),
  IFERROR(
    IF(
      S29 - INDEX(Assessment!$20:$20,
                   _xlfn.XMATCH(INDEX('Chart data'!$2:$2, COLUMN()),
                          Assessment!$4:$4, 0)
            ) &gt;= 0,
      INDEX(Assessment!$20:$20,
            _xlfn.XMATCH(INDEX('Chart data'!$2:$2, COLUMN()),
                   Assessment!$4:$4, 0)
      ),
      NA()
    ),
    NA()
  ),
  NA()
)</f>
        <v>#N/A</v>
      </c>
      <c r="T32" s="64" t="e" cm="1">
        <f t="array" ref="T32">IF(
  AND(
    INDEX('Chart data'!$2:$2, COLUMN()) &gt;= MTP_BaseYear,
    INDEX('Chart data'!$2:$2, COLUMN()) &lt;= OutturnThrough
  ),
  IFERROR(
    IF(
      T29 - INDEX(Assessment!$20:$20,
                   _xlfn.XMATCH(INDEX('Chart data'!$2:$2, COLUMN()),
                          Assessment!$4:$4, 0)
            ) &gt;= 0,
      INDEX(Assessment!$20:$20,
            _xlfn.XMATCH(INDEX('Chart data'!$2:$2, COLUMN()),
                   Assessment!$4:$4, 0)
      ),
      NA()
    ),
    NA()
  ),
  NA()
)</f>
        <v>#N/A</v>
      </c>
      <c r="U32" s="64" t="e" cm="1">
        <f t="array" ref="U32">IF(
  AND(
    INDEX('Chart data'!$2:$2, COLUMN()) &gt;= MTP_BaseYear,
    INDEX('Chart data'!$2:$2, COLUMN()) &lt;= OutturnThrough
  ),
  IFERROR(
    IF(
      U29 - INDEX(Assessment!$20:$20,
                   _xlfn.XMATCH(INDEX('Chart data'!$2:$2, COLUMN()),
                          Assessment!$4:$4, 0)
            ) &gt;= 0,
      INDEX(Assessment!$20:$20,
            _xlfn.XMATCH(INDEX('Chart data'!$2:$2, COLUMN()),
                   Assessment!$4:$4, 0)
      ),
      NA()
    ),
    NA()
  ),
  NA()
)</f>
        <v>#N/A</v>
      </c>
      <c r="V32" s="64" t="e" cm="1">
        <f t="array" ref="V32">IF(
  AND(
    INDEX('Chart data'!$2:$2, COLUMN()) &gt;= MTP_BaseYear,
    INDEX('Chart data'!$2:$2, COLUMN()) &lt;= OutturnThrough
  ),
  IFERROR(
    IF(
      V29 - INDEX(Assessment!$20:$20,
                   _xlfn.XMATCH(INDEX('Chart data'!$2:$2, COLUMN()),
                          Assessment!$4:$4, 0)
            ) &gt;= 0,
      INDEX(Assessment!$20:$20,
            _xlfn.XMATCH(INDEX('Chart data'!$2:$2, COLUMN()),
                   Assessment!$4:$4, 0)
      ),
      NA()
    ),
    NA()
  ),
  NA()
)</f>
        <v>#N/A</v>
      </c>
      <c r="W32" s="64" t="e" cm="1">
        <f t="array" ref="W32">IF(
  AND(
    INDEX('Chart data'!$2:$2, COLUMN()) &gt;= MTP_BaseYear,
    INDEX('Chart data'!$2:$2, COLUMN()) &lt;= OutturnThrough
  ),
  IFERROR(
    IF(
      W29 - INDEX(Assessment!$20:$20,
                   _xlfn.XMATCH(INDEX('Chart data'!$2:$2, COLUMN()),
                          Assessment!$4:$4, 0)
            ) &gt;= 0,
      INDEX(Assessment!$20:$20,
            _xlfn.XMATCH(INDEX('Chart data'!$2:$2, COLUMN()),
                   Assessment!$4:$4, 0)
      ),
      NA()
    ),
    NA()
  ),
  NA()
)</f>
        <v>#N/A</v>
      </c>
    </row>
    <row r="33" spans="2:23" x14ac:dyDescent="0.4">
      <c r="C33" s="2" t="s">
        <v>299</v>
      </c>
      <c r="E33" s="3"/>
      <c r="F33" s="64" t="e" cm="1">
        <f t="array" ref="F33">IF(
  AND(
    INDEX('Chart data'!$2:$2, COLUMN()) &gt;= MTP_BaseYear,
    INDEX('Chart data'!$2:$2, COLUMN()) &lt;= OutturnThrough
  ),
  IFERROR(
    IF(
      F29 - INDEX(Assessment!$20:$20,
                   _xlfn.XMATCH(INDEX('Chart data'!$2:$2, COLUMN()),
                          Assessment!$4:$4, 0)
            ) &lt; 0,
      INDEX(Assessment!$20:$20,
            _xlfn.XMATCH(INDEX('Chart data'!$2:$2, COLUMN()),
                   Assessment!$4:$4, 0)
      ),
      NA()
    ),
    NA()
  ),
  NA()
)</f>
        <v>#N/A</v>
      </c>
      <c r="G33" s="64" t="e" cm="1">
        <f t="array" ref="G33">IF(
  AND(
    INDEX('Chart data'!$2:$2, COLUMN()) &gt;= MTP_BaseYear,
    INDEX('Chart data'!$2:$2, COLUMN()) &lt;= OutturnThrough
  ),
  IFERROR(
    IF(
      G29 - INDEX(Assessment!$20:$20,
                   _xlfn.XMATCH(INDEX('Chart data'!$2:$2, COLUMN()),
                          Assessment!$4:$4, 0)
            ) &lt; 0,
      INDEX(Assessment!$20:$20,
            _xlfn.XMATCH(INDEX('Chart data'!$2:$2, COLUMN()),
                   Assessment!$4:$4, 0)
      ),
      NA()
    ),
    NA()
  ),
  NA()
)</f>
        <v>#N/A</v>
      </c>
      <c r="H33" s="64" t="e" cm="1">
        <f t="array" ref="H33">IF(
  AND(
    INDEX('Chart data'!$2:$2, COLUMN()) &gt;= MTP_BaseYear,
    INDEX('Chart data'!$2:$2, COLUMN()) &lt;= OutturnThrough
  ),
  IFERROR(
    IF(
      H29 - INDEX(Assessment!$20:$20,
                   _xlfn.XMATCH(INDEX('Chart data'!$2:$2, COLUMN()),
                          Assessment!$4:$4, 0)
            ) &lt; 0,
      INDEX(Assessment!$20:$20,
            _xlfn.XMATCH(INDEX('Chart data'!$2:$2, COLUMN()),
                   Assessment!$4:$4, 0)
      ),
      NA()
    ),
    NA()
  ),
  NA()
)</f>
        <v>#N/A</v>
      </c>
      <c r="I33" s="64" t="e" cm="1">
        <f t="array" ref="I33">IF(
  AND(
    INDEX('Chart data'!$2:$2, COLUMN()) &gt;= MTP_BaseYear,
    INDEX('Chart data'!$2:$2, COLUMN()) &lt;= OutturnThrough
  ),
  IFERROR(
    IF(
      I29 - INDEX(Assessment!$20:$20,
                   _xlfn.XMATCH(INDEX('Chart data'!$2:$2, COLUMN()),
                          Assessment!$4:$4, 0)
            ) &lt; 0,
      INDEX(Assessment!$20:$20,
            _xlfn.XMATCH(INDEX('Chart data'!$2:$2, COLUMN()),
                   Assessment!$4:$4, 0)
      ),
      NA()
    ),
    NA()
  ),
  NA()
)</f>
        <v>#N/A</v>
      </c>
      <c r="J33" s="64" t="e" cm="1">
        <f t="array" ref="J33">IF(
  AND(
    INDEX('Chart data'!$2:$2, COLUMN()) &gt;= MTP_BaseYear,
    INDEX('Chart data'!$2:$2, COLUMN()) &lt;= OutturnThrough
  ),
  IFERROR(
    IF(
      J29 - INDEX(Assessment!$20:$20,
                   _xlfn.XMATCH(INDEX('Chart data'!$2:$2, COLUMN()),
                          Assessment!$4:$4, 0)
            ) &lt; 0,
      INDEX(Assessment!$20:$20,
            _xlfn.XMATCH(INDEX('Chart data'!$2:$2, COLUMN()),
                   Assessment!$4:$4, 0)
      ),
      NA()
    ),
    NA()
  ),
  NA()
)</f>
        <v>#N/A</v>
      </c>
      <c r="K33" s="64" t="e" cm="1">
        <f t="array" ref="K33">IF(
  AND(
    INDEX('Chart data'!$2:$2, COLUMN()) &gt;= MTP_BaseYear,
    INDEX('Chart data'!$2:$2, COLUMN()) &lt;= OutturnThrough
  ),
  IFERROR(
    IF(
      K29 - INDEX(Assessment!$20:$20,
                   _xlfn.XMATCH(INDEX('Chart data'!$2:$2, COLUMN()),
                          Assessment!$4:$4, 0)
            ) &lt; 0,
      INDEX(Assessment!$20:$20,
            _xlfn.XMATCH(INDEX('Chart data'!$2:$2, COLUMN()),
                   Assessment!$4:$4, 0)
      ),
      NA()
    ),
    NA()
  ),
  NA()
)</f>
        <v>#N/A</v>
      </c>
      <c r="L33" s="64" t="e" cm="1">
        <f t="array" ref="L33">IF(
  AND(
    INDEX('Chart data'!$2:$2, COLUMN()) &gt;= MTP_BaseYear,
    INDEX('Chart data'!$2:$2, COLUMN()) &lt;= OutturnThrough
  ),
  IFERROR(
    IF(
      L29 - INDEX(Assessment!$20:$20,
                   _xlfn.XMATCH(INDEX('Chart data'!$2:$2, COLUMN()),
                          Assessment!$4:$4, 0)
            ) &lt; 0,
      INDEX(Assessment!$20:$20,
            _xlfn.XMATCH(INDEX('Chart data'!$2:$2, COLUMN()),
                   Assessment!$4:$4, 0)
      ),
      NA()
    ),
    NA()
  ),
  NA()
)</f>
        <v>#N/A</v>
      </c>
      <c r="M33" s="64" t="e" cm="1">
        <f t="array" ref="M33">IF(
  AND(
    INDEX('Chart data'!$2:$2, COLUMN()) &gt;= MTP_BaseYear,
    INDEX('Chart data'!$2:$2, COLUMN()) &lt;= OutturnThrough
  ),
  IFERROR(
    IF(
      M29 - INDEX(Assessment!$20:$20,
                   _xlfn.XMATCH(INDEX('Chart data'!$2:$2, COLUMN()),
                          Assessment!$4:$4, 0)
            ) &lt; 0,
      INDEX(Assessment!$20:$20,
            _xlfn.XMATCH(INDEX('Chart data'!$2:$2, COLUMN()),
                   Assessment!$4:$4, 0)
      ),
      NA()
    ),
    NA()
  ),
  NA()
)</f>
        <v>#N/A</v>
      </c>
      <c r="N33" s="64" t="e" cm="1">
        <f t="array" ref="N33">IF(
  AND(
    INDEX('Chart data'!$2:$2, COLUMN()) &gt;= MTP_BaseYear,
    INDEX('Chart data'!$2:$2, COLUMN()) &lt;= OutturnThrough
  ),
  IFERROR(
    IF(
      N29 - INDEX(Assessment!$20:$20,
                   _xlfn.XMATCH(INDEX('Chart data'!$2:$2, COLUMN()),
                          Assessment!$4:$4, 0)
            ) &lt; 0,
      INDEX(Assessment!$20:$20,
            _xlfn.XMATCH(INDEX('Chart data'!$2:$2, COLUMN()),
                   Assessment!$4:$4, 0)
      ),
      NA()
    ),
    NA()
  ),
  NA()
)</f>
        <v>#N/A</v>
      </c>
      <c r="O33" s="64" t="e" cm="1">
        <f t="array" ref="O33">IF(
  AND(
    INDEX('Chart data'!$2:$2, COLUMN()) &gt;= MTP_BaseYear,
    INDEX('Chart data'!$2:$2, COLUMN()) &lt;= OutturnThrough
  ),
  IFERROR(
    IF(
      O29 - INDEX(Assessment!$20:$20,
                   _xlfn.XMATCH(INDEX('Chart data'!$2:$2, COLUMN()),
                          Assessment!$4:$4, 0)
            ) &lt; 0,
      INDEX(Assessment!$20:$20,
            _xlfn.XMATCH(INDEX('Chart data'!$2:$2, COLUMN()),
                   Assessment!$4:$4, 0)
      ),
      NA()
    ),
    NA()
  ),
  NA()
)</f>
        <v>#N/A</v>
      </c>
      <c r="P33" s="64" t="e" cm="1">
        <f t="array" ref="P33">IF(
  AND(
    INDEX('Chart data'!$2:$2, COLUMN()) &gt;= MTP_BaseYear,
    INDEX('Chart data'!$2:$2, COLUMN()) &lt;= OutturnThrough
  ),
  IFERROR(
    IF(
      P29 - INDEX(Assessment!$20:$20,
                   _xlfn.XMATCH(INDEX('Chart data'!$2:$2, COLUMN()),
                          Assessment!$4:$4, 0)
            ) &lt; 0,
      INDEX(Assessment!$20:$20,
            _xlfn.XMATCH(INDEX('Chart data'!$2:$2, COLUMN()),
                   Assessment!$4:$4, 0)
      ),
      NA()
    ),
    NA()
  ),
  NA()
)</f>
        <v>#N/A</v>
      </c>
      <c r="Q33" s="64" t="e" cm="1">
        <f t="array" ref="Q33">IF(
  AND(
    INDEX('Chart data'!$2:$2, COLUMN()) &gt;= MTP_BaseYear,
    INDEX('Chart data'!$2:$2, COLUMN()) &lt;= OutturnThrough
  ),
  IFERROR(
    IF(
      Q29 - INDEX(Assessment!$20:$20,
                   _xlfn.XMATCH(INDEX('Chart data'!$2:$2, COLUMN()),
                          Assessment!$4:$4, 0)
            ) &lt; 0,
      INDEX(Assessment!$20:$20,
            _xlfn.XMATCH(INDEX('Chart data'!$2:$2, COLUMN()),
                   Assessment!$4:$4, 0)
      ),
      NA()
    ),
    NA()
  ),
  NA()
)</f>
        <v>#N/A</v>
      </c>
      <c r="R33" s="64" t="e" cm="1">
        <f t="array" ref="R33">IF(
  AND(
    INDEX('Chart data'!$2:$2, COLUMN()) &gt;= MTP_BaseYear,
    INDEX('Chart data'!$2:$2, COLUMN()) &lt;= OutturnThrough
  ),
  IFERROR(
    IF(
      R29 - INDEX(Assessment!$20:$20,
                   _xlfn.XMATCH(INDEX('Chart data'!$2:$2, COLUMN()),
                          Assessment!$4:$4, 0)
            ) &lt; 0,
      INDEX(Assessment!$20:$20,
            _xlfn.XMATCH(INDEX('Chart data'!$2:$2, COLUMN()),
                   Assessment!$4:$4, 0)
      ),
      NA()
    ),
    NA()
  ),
  NA()
)</f>
        <v>#N/A</v>
      </c>
      <c r="S33" s="64" t="e" cm="1">
        <f t="array" ref="S33">IF(
  AND(
    INDEX('Chart data'!$2:$2, COLUMN()) &gt;= MTP_BaseYear,
    INDEX('Chart data'!$2:$2, COLUMN()) &lt;= OutturnThrough
  ),
  IFERROR(
    IF(
      S29 - INDEX(Assessment!$20:$20,
                   _xlfn.XMATCH(INDEX('Chart data'!$2:$2, COLUMN()),
                          Assessment!$4:$4, 0)
            ) &lt; 0,
      INDEX(Assessment!$20:$20,
            _xlfn.XMATCH(INDEX('Chart data'!$2:$2, COLUMN()),
                   Assessment!$4:$4, 0)
      ),
      NA()
    ),
    NA()
  ),
  NA()
)</f>
        <v>#N/A</v>
      </c>
      <c r="T33" s="64" t="e" cm="1">
        <f t="array" ref="T33">IF(
  AND(
    INDEX('Chart data'!$2:$2, COLUMN()) &gt;= MTP_BaseYear,
    INDEX('Chart data'!$2:$2, COLUMN()) &lt;= OutturnThrough
  ),
  IFERROR(
    IF(
      T29 - INDEX(Assessment!$20:$20,
                   _xlfn.XMATCH(INDEX('Chart data'!$2:$2, COLUMN()),
                          Assessment!$4:$4, 0)
            ) &lt; 0,
      INDEX(Assessment!$20:$20,
            _xlfn.XMATCH(INDEX('Chart data'!$2:$2, COLUMN()),
                   Assessment!$4:$4, 0)
      ),
      NA()
    ),
    NA()
  ),
  NA()
)</f>
        <v>#N/A</v>
      </c>
      <c r="U33" s="64" t="e" cm="1">
        <f t="array" ref="U33">IF(
  AND(
    INDEX('Chart data'!$2:$2, COLUMN()) &gt;= MTP_BaseYear,
    INDEX('Chart data'!$2:$2, COLUMN()) &lt;= OutturnThrough
  ),
  IFERROR(
    IF(
      U29 - INDEX(Assessment!$20:$20,
                   _xlfn.XMATCH(INDEX('Chart data'!$2:$2, COLUMN()),
                          Assessment!$4:$4, 0)
            ) &lt; 0,
      INDEX(Assessment!$20:$20,
            _xlfn.XMATCH(INDEX('Chart data'!$2:$2, COLUMN()),
                   Assessment!$4:$4, 0)
      ),
      NA()
    ),
    NA()
  ),
  NA()
)</f>
        <v>#N/A</v>
      </c>
      <c r="V33" s="64" t="e" cm="1">
        <f t="array" ref="V33">IF(
  AND(
    INDEX('Chart data'!$2:$2, COLUMN()) &gt;= MTP_BaseYear,
    INDEX('Chart data'!$2:$2, COLUMN()) &lt;= OutturnThrough
  ),
  IFERROR(
    IF(
      V29 - INDEX(Assessment!$20:$20,
                   _xlfn.XMATCH(INDEX('Chart data'!$2:$2, COLUMN()),
                          Assessment!$4:$4, 0)
            ) &lt; 0,
      INDEX(Assessment!$20:$20,
            _xlfn.XMATCH(INDEX('Chart data'!$2:$2, COLUMN()),
                   Assessment!$4:$4, 0)
      ),
      NA()
    ),
    NA()
  ),
  NA()
)</f>
        <v>#N/A</v>
      </c>
      <c r="W33" s="64" t="e" cm="1">
        <f t="array" ref="W33">IF(
  AND(
    INDEX('Chart data'!$2:$2, COLUMN()) &gt;= MTP_BaseYear,
    INDEX('Chart data'!$2:$2, COLUMN()) &lt;= OutturnThrough
  ),
  IFERROR(
    IF(
      W29 - INDEX(Assessment!$20:$20,
                   _xlfn.XMATCH(INDEX('Chart data'!$2:$2, COLUMN()),
                          Assessment!$4:$4, 0)
            ) &lt; 0,
      INDEX(Assessment!$20:$20,
            _xlfn.XMATCH(INDEX('Chart data'!$2:$2, COLUMN()),
                   Assessment!$4:$4, 0)
      ),
      NA()
    ),
    NA()
  ),
  NA()
)</f>
        <v>#N/A</v>
      </c>
    </row>
    <row r="34" spans="2:23" x14ac:dyDescent="0.4">
      <c r="C34" s="2" t="s">
        <v>247</v>
      </c>
      <c r="E34" s="3"/>
      <c r="F34" s="88">
        <f>Validation!$T$3</f>
        <v>60.05</v>
      </c>
      <c r="G34" s="88">
        <f>Validation!$T$3</f>
        <v>60.05</v>
      </c>
      <c r="H34" s="88">
        <f>Validation!$T$3</f>
        <v>60.05</v>
      </c>
      <c r="I34" s="88">
        <f>Validation!$T$3</f>
        <v>60.05</v>
      </c>
      <c r="J34" s="88">
        <f>Validation!$T$3</f>
        <v>60.05</v>
      </c>
      <c r="K34" s="88">
        <f>Validation!$T$3</f>
        <v>60.05</v>
      </c>
      <c r="L34" s="88">
        <f>Validation!$T$3</f>
        <v>60.05</v>
      </c>
      <c r="M34" s="88">
        <f>Validation!$T$3</f>
        <v>60.05</v>
      </c>
      <c r="N34" s="88">
        <f>Validation!$T$3</f>
        <v>60.05</v>
      </c>
      <c r="O34" s="88">
        <f>Validation!$T$3</f>
        <v>60.05</v>
      </c>
      <c r="P34" s="88">
        <f>Validation!$T$3</f>
        <v>60.05</v>
      </c>
      <c r="Q34" s="88">
        <f>Validation!$T$3</f>
        <v>60.05</v>
      </c>
      <c r="R34" s="88">
        <f>Validation!$T$3</f>
        <v>60.05</v>
      </c>
      <c r="S34" s="88">
        <f>Validation!$T$3</f>
        <v>60.05</v>
      </c>
      <c r="T34" s="88">
        <f>Validation!$T$3</f>
        <v>60.05</v>
      </c>
      <c r="U34" s="88">
        <f>Validation!$T$3</f>
        <v>60.05</v>
      </c>
      <c r="V34" s="88">
        <f>Validation!$T$3</f>
        <v>60.05</v>
      </c>
      <c r="W34" s="88">
        <f>Validation!$T$3</f>
        <v>60.05</v>
      </c>
    </row>
    <row r="35" spans="2:23" x14ac:dyDescent="0.4">
      <c r="C35" s="110" t="s">
        <v>564</v>
      </c>
      <c r="D35" s="4">
        <f>IF(_xlfn.AGGREGATE(5,6,F29:W34)&lt;0, _xlfn.AGGREGATE(5,6,F29:W34), 0)</f>
        <v>0</v>
      </c>
      <c r="F35" s="64"/>
      <c r="G35" s="64"/>
      <c r="H35" s="64"/>
      <c r="I35" s="64"/>
      <c r="J35" s="64"/>
      <c r="K35" s="64"/>
      <c r="L35" s="64"/>
      <c r="M35" s="64"/>
      <c r="N35" s="64"/>
      <c r="O35" s="64"/>
      <c r="P35" s="64"/>
      <c r="Q35" s="64"/>
      <c r="R35" s="64"/>
      <c r="S35" s="64"/>
      <c r="T35" s="64"/>
      <c r="U35" s="64"/>
      <c r="V35" s="64"/>
      <c r="W35" s="64"/>
    </row>
    <row r="36" spans="2:23" x14ac:dyDescent="0.4">
      <c r="C36" s="110" t="s">
        <v>565</v>
      </c>
      <c r="D36" s="4">
        <f>_xlfn.AGGREGATE(4,6,F29:W34)</f>
        <v>60.05</v>
      </c>
    </row>
    <row r="37" spans="2:23" x14ac:dyDescent="0.4">
      <c r="C37" s="2"/>
    </row>
    <row r="38" spans="2:23" ht="16.5" x14ac:dyDescent="0.6">
      <c r="B38" s="110" t="s">
        <v>496</v>
      </c>
      <c r="C38" s="11" t="s">
        <v>941</v>
      </c>
      <c r="F38" s="9"/>
      <c r="G38" s="9"/>
      <c r="H38" s="9"/>
      <c r="I38" s="9"/>
      <c r="J38" s="9"/>
      <c r="K38" s="9"/>
      <c r="L38" s="9"/>
      <c r="M38" s="9"/>
      <c r="N38" s="9"/>
      <c r="O38" s="9"/>
      <c r="P38" s="9"/>
      <c r="Q38" s="9"/>
      <c r="R38" s="9"/>
      <c r="S38" s="9"/>
      <c r="T38" s="9"/>
      <c r="U38" s="9"/>
      <c r="V38" s="9"/>
      <c r="W38" s="9"/>
    </row>
    <row r="39" spans="2:23" x14ac:dyDescent="0.4">
      <c r="C39" s="2" t="s">
        <v>497</v>
      </c>
      <c r="F39" s="64">
        <f>Assessment!E50</f>
        <v>0</v>
      </c>
      <c r="G39" s="64">
        <f>Assessment!F50</f>
        <v>0</v>
      </c>
      <c r="H39" s="64">
        <f>Assessment!G50</f>
        <v>0</v>
      </c>
      <c r="I39" s="64">
        <f>Assessment!H50</f>
        <v>0</v>
      </c>
      <c r="J39" s="64">
        <f>Assessment!I50</f>
        <v>0</v>
      </c>
      <c r="K39" s="64">
        <f>Assessment!J50</f>
        <v>0</v>
      </c>
      <c r="L39" s="64">
        <f>Assessment!K50</f>
        <v>0</v>
      </c>
      <c r="M39" s="64">
        <f>Assessment!L50</f>
        <v>0</v>
      </c>
      <c r="N39" s="64">
        <f>Assessment!M50</f>
        <v>0</v>
      </c>
      <c r="O39" s="64">
        <f>Assessment!N50</f>
        <v>0</v>
      </c>
      <c r="P39" s="64">
        <f>Assessment!O50</f>
        <v>0</v>
      </c>
      <c r="Q39" s="64">
        <f>Assessment!P50</f>
        <v>0</v>
      </c>
      <c r="R39" s="64">
        <f>Assessment!Q50</f>
        <v>0</v>
      </c>
      <c r="S39" s="64">
        <f>Assessment!R50</f>
        <v>0</v>
      </c>
      <c r="T39" s="64">
        <f>Assessment!S50</f>
        <v>0</v>
      </c>
      <c r="U39" s="64" t="str">
        <f>Assessment!T50</f>
        <v/>
      </c>
      <c r="V39" s="64" t="str">
        <f>Assessment!U50</f>
        <v/>
      </c>
      <c r="W39" s="64" t="str">
        <f>Assessment!V50</f>
        <v/>
      </c>
    </row>
    <row r="40" spans="2:23" x14ac:dyDescent="0.4">
      <c r="C40" s="2" t="s">
        <v>243</v>
      </c>
      <c r="F40" s="64" t="e">
        <f>IF(OR(ISNUMBER(F41),ISNUMBER(F42)),NA(),IF(ISNUMBER(Assessment!E17),Assessment!E17,NA()))</f>
        <v>#N/A</v>
      </c>
      <c r="G40" s="64" t="e">
        <f>IF(OR(ISNUMBER(G41),ISNUMBER(G42)),NA(),IF(ISNUMBER(Assessment!F17),Assessment!F17,NA()))</f>
        <v>#N/A</v>
      </c>
      <c r="H40" s="64" t="e">
        <f>IF(OR(ISNUMBER(H41),ISNUMBER(H42)),NA(),IF(ISNUMBER(Assessment!G17),Assessment!G17,NA()))</f>
        <v>#N/A</v>
      </c>
      <c r="I40" s="64" t="e">
        <f>IF(OR(ISNUMBER(I41),ISNUMBER(I42)),NA(),IF(ISNUMBER(Assessment!H17),Assessment!H17,NA()))</f>
        <v>#N/A</v>
      </c>
      <c r="J40" s="64" t="e">
        <f>IF(OR(ISNUMBER(J41),ISNUMBER(J42)),NA(),IF(ISNUMBER(Assessment!I17),Assessment!I17,NA()))</f>
        <v>#N/A</v>
      </c>
      <c r="K40" s="64" t="e">
        <f>IF(OR(ISNUMBER(K41),ISNUMBER(K42)),NA(),IF(ISNUMBER(Assessment!J17),Assessment!J17,NA()))</f>
        <v>#N/A</v>
      </c>
      <c r="L40" s="64" t="e">
        <f>IF(OR(ISNUMBER(L41),ISNUMBER(L42)),NA(),IF(ISNUMBER(Assessment!K17),Assessment!K17,NA()))</f>
        <v>#N/A</v>
      </c>
      <c r="M40" s="64" t="e">
        <f>IF(OR(ISNUMBER(M41),ISNUMBER(M42)),NA(),IF(ISNUMBER(Assessment!L17),Assessment!L17,NA()))</f>
        <v>#N/A</v>
      </c>
      <c r="N40" s="64" t="e">
        <f>IF(OR(ISNUMBER(N41),ISNUMBER(N42)),NA(),IF(ISNUMBER(Assessment!M17),Assessment!M17,NA()))</f>
        <v>#N/A</v>
      </c>
      <c r="O40" s="64" t="e">
        <f>IF(OR(ISNUMBER(O41),ISNUMBER(O42)),NA(),IF(ISNUMBER(Assessment!N17),Assessment!N17,NA()))</f>
        <v>#N/A</v>
      </c>
      <c r="P40" s="64" t="e">
        <f>IF(OR(ISNUMBER(P41),ISNUMBER(P42)),NA(),IF(ISNUMBER(Assessment!O17),Assessment!O17,NA()))</f>
        <v>#N/A</v>
      </c>
      <c r="Q40" s="64" t="e">
        <f>IF(OR(ISNUMBER(Q41),ISNUMBER(Q42)),NA(),IF(ISNUMBER(Assessment!P17),Assessment!P17,NA()))</f>
        <v>#N/A</v>
      </c>
      <c r="R40" s="64" t="e">
        <f>IF(OR(ISNUMBER(R41),ISNUMBER(R42)),NA(),IF(ISNUMBER(Assessment!Q17),Assessment!Q17,NA()))</f>
        <v>#N/A</v>
      </c>
      <c r="S40" s="64" t="e">
        <f>IF(OR(ISNUMBER(S41),ISNUMBER(S42)),NA(),IF(ISNUMBER(Assessment!R17),Assessment!R17,NA()))</f>
        <v>#N/A</v>
      </c>
      <c r="T40" s="64" t="e">
        <f>IF(OR(ISNUMBER(T41),ISNUMBER(T42)),NA(),IF(ISNUMBER(Assessment!S17),Assessment!S17,NA()))</f>
        <v>#N/A</v>
      </c>
      <c r="U40" s="64" t="e">
        <f>IF(OR(ISNUMBER(U41),ISNUMBER(U42)),NA(),IF(ISNUMBER(Assessment!T17),Assessment!T17,NA()))</f>
        <v>#N/A</v>
      </c>
      <c r="V40" s="64" t="e">
        <f>IF(OR(ISNUMBER(V41),ISNUMBER(V42)),NA(),IF(ISNUMBER(Assessment!U17),Assessment!U17,NA()))</f>
        <v>#N/A</v>
      </c>
      <c r="W40" s="64" t="e">
        <f>IF(OR(ISNUMBER(W41),ISNUMBER(W42)),NA(),IF(ISNUMBER(Assessment!V17),Assessment!V17,NA()))</f>
        <v>#N/A</v>
      </c>
    </row>
    <row r="41" spans="2:23" x14ac:dyDescent="0.4">
      <c r="C41" s="2" t="s">
        <v>298</v>
      </c>
      <c r="F41" s="64" t="e" cm="1">
        <f t="array" ref="F41">IF(
  AND(
    INDEX('Chart data'!$2:$2, COLUMN()) &gt;= MTP_BaseYear,
    INDEX('Chart data'!$2:$2, COLUMN()) &lt;= OutturnThrough
  ),
  IFERROR(
    IF(
      F39 - INDEX(Assessment!$17:$17,
                   _xlfn.XMATCH(INDEX('Chart data'!$2:$2, COLUMN()),
                          Assessment!$4:$4, 0)
            ) &lt;= 0,
      INDEX(Assessment!$17:$17,
            _xlfn.XMATCH(INDEX('Chart data'!$2:$2, COLUMN()),
                   Assessment!$4:$4, 0)
      ),
      NA()
    ),
    NA()
  ),
  NA()
)</f>
        <v>#N/A</v>
      </c>
      <c r="G41" s="64" t="e" cm="1">
        <f t="array" ref="G41">IF(
  AND(
    INDEX('Chart data'!$2:$2, COLUMN()) &gt;= MTP_BaseYear,
    INDEX('Chart data'!$2:$2, COLUMN()) &lt;= OutturnThrough
  ),
  IFERROR(
    IF(
      G39 - INDEX(Assessment!$17:$17,
                   _xlfn.XMATCH(INDEX('Chart data'!$2:$2, COLUMN()),
                          Assessment!$4:$4, 0)
            ) &lt;= 0,
      INDEX(Assessment!$17:$17,
            _xlfn.XMATCH(INDEX('Chart data'!$2:$2, COLUMN()),
                   Assessment!$4:$4, 0)
      ),
      NA()
    ),
    NA()
  ),
  NA()
)</f>
        <v>#N/A</v>
      </c>
      <c r="H41" s="64" t="e" cm="1">
        <f t="array" ref="H41">IF(
  AND(
    INDEX('Chart data'!$2:$2, COLUMN()) &gt;= MTP_BaseYear,
    INDEX('Chart data'!$2:$2, COLUMN()) &lt;= OutturnThrough
  ),
  IFERROR(
    IF(
      H39 - INDEX(Assessment!$17:$17,
                   _xlfn.XMATCH(INDEX('Chart data'!$2:$2, COLUMN()),
                          Assessment!$4:$4, 0)
            ) &lt;= 0,
      INDEX(Assessment!$17:$17,
            _xlfn.XMATCH(INDEX('Chart data'!$2:$2, COLUMN()),
                   Assessment!$4:$4, 0)
      ),
      NA()
    ),
    NA()
  ),
  NA()
)</f>
        <v>#N/A</v>
      </c>
      <c r="I41" s="64" t="e" cm="1">
        <f t="array" ref="I41">IF(
  AND(
    INDEX('Chart data'!$2:$2, COLUMN()) &gt;= MTP_BaseYear,
    INDEX('Chart data'!$2:$2, COLUMN()) &lt;= OutturnThrough
  ),
  IFERROR(
    IF(
      I39 - INDEX(Assessment!$17:$17,
                   _xlfn.XMATCH(INDEX('Chart data'!$2:$2, COLUMN()),
                          Assessment!$4:$4, 0)
            ) &lt;= 0,
      INDEX(Assessment!$17:$17,
            _xlfn.XMATCH(INDEX('Chart data'!$2:$2, COLUMN()),
                   Assessment!$4:$4, 0)
      ),
      NA()
    ),
    NA()
  ),
  NA()
)</f>
        <v>#N/A</v>
      </c>
      <c r="J41" s="64" t="e" cm="1">
        <f t="array" ref="J41">IF(
  AND(
    INDEX('Chart data'!$2:$2, COLUMN()) &gt;= MTP_BaseYear,
    INDEX('Chart data'!$2:$2, COLUMN()) &lt;= OutturnThrough
  ),
  IFERROR(
    IF(
      J39 - INDEX(Assessment!$17:$17,
                   _xlfn.XMATCH(INDEX('Chart data'!$2:$2, COLUMN()),
                          Assessment!$4:$4, 0)
            ) &lt;= 0,
      INDEX(Assessment!$17:$17,
            _xlfn.XMATCH(INDEX('Chart data'!$2:$2, COLUMN()),
                   Assessment!$4:$4, 0)
      ),
      NA()
    ),
    NA()
  ),
  NA()
)</f>
        <v>#N/A</v>
      </c>
      <c r="K41" s="64" t="e" cm="1">
        <f t="array" ref="K41">IF(
  AND(
    INDEX('Chart data'!$2:$2, COLUMN()) &gt;= MTP_BaseYear,
    INDEX('Chart data'!$2:$2, COLUMN()) &lt;= OutturnThrough
  ),
  IFERROR(
    IF(
      K39 - INDEX(Assessment!$17:$17,
                   _xlfn.XMATCH(INDEX('Chart data'!$2:$2, COLUMN()),
                          Assessment!$4:$4, 0)
            ) &lt;= 0,
      INDEX(Assessment!$17:$17,
            _xlfn.XMATCH(INDEX('Chart data'!$2:$2, COLUMN()),
                   Assessment!$4:$4, 0)
      ),
      NA()
    ),
    NA()
  ),
  NA()
)</f>
        <v>#N/A</v>
      </c>
      <c r="L41" s="64" t="e" cm="1">
        <f t="array" ref="L41">IF(
  AND(
    INDEX('Chart data'!$2:$2, COLUMN()) &gt;= MTP_BaseYear,
    INDEX('Chart data'!$2:$2, COLUMN()) &lt;= OutturnThrough
  ),
  IFERROR(
    IF(
      L39 - INDEX(Assessment!$17:$17,
                   _xlfn.XMATCH(INDEX('Chart data'!$2:$2, COLUMN()),
                          Assessment!$4:$4, 0)
            ) &lt;= 0,
      INDEX(Assessment!$17:$17,
            _xlfn.XMATCH(INDEX('Chart data'!$2:$2, COLUMN()),
                   Assessment!$4:$4, 0)
      ),
      NA()
    ),
    NA()
  ),
  NA()
)</f>
        <v>#N/A</v>
      </c>
      <c r="M41" s="64" t="e" cm="1">
        <f t="array" ref="M41">IF(
  AND(
    INDEX('Chart data'!$2:$2, COLUMN()) &gt;= MTP_BaseYear,
    INDEX('Chart data'!$2:$2, COLUMN()) &lt;= OutturnThrough
  ),
  IFERROR(
    IF(
      M39 - INDEX(Assessment!$17:$17,
                   _xlfn.XMATCH(INDEX('Chart data'!$2:$2, COLUMN()),
                          Assessment!$4:$4, 0)
            ) &lt;= 0,
      INDEX(Assessment!$17:$17,
            _xlfn.XMATCH(INDEX('Chart data'!$2:$2, COLUMN()),
                   Assessment!$4:$4, 0)
      ),
      NA()
    ),
    NA()
  ),
  NA()
)</f>
        <v>#N/A</v>
      </c>
      <c r="N41" s="64" t="e" cm="1">
        <f t="array" ref="N41">IF(
  AND(
    INDEX('Chart data'!$2:$2, COLUMN()) &gt;= MTP_BaseYear,
    INDEX('Chart data'!$2:$2, COLUMN()) &lt;= OutturnThrough
  ),
  IFERROR(
    IF(
      N39 - INDEX(Assessment!$17:$17,
                   _xlfn.XMATCH(INDEX('Chart data'!$2:$2, COLUMN()),
                          Assessment!$4:$4, 0)
            ) &lt;= 0,
      INDEX(Assessment!$17:$17,
            _xlfn.XMATCH(INDEX('Chart data'!$2:$2, COLUMN()),
                   Assessment!$4:$4, 0)
      ),
      NA()
    ),
    NA()
  ),
  NA()
)</f>
        <v>#N/A</v>
      </c>
      <c r="O41" s="64" t="e" cm="1">
        <f t="array" ref="O41">IF(
  AND(
    INDEX('Chart data'!$2:$2, COLUMN()) &gt;= MTP_BaseYear,
    INDEX('Chart data'!$2:$2, COLUMN()) &lt;= OutturnThrough
  ),
  IFERROR(
    IF(
      O39 - INDEX(Assessment!$17:$17,
                   _xlfn.XMATCH(INDEX('Chart data'!$2:$2, COLUMN()),
                          Assessment!$4:$4, 0)
            ) &lt;= 0,
      INDEX(Assessment!$17:$17,
            _xlfn.XMATCH(INDEX('Chart data'!$2:$2, COLUMN()),
                   Assessment!$4:$4, 0)
      ),
      NA()
    ),
    NA()
  ),
  NA()
)</f>
        <v>#N/A</v>
      </c>
      <c r="P41" s="64" t="e" cm="1">
        <f t="array" ref="P41">IF(
  AND(
    INDEX('Chart data'!$2:$2, COLUMN()) &gt;= MTP_BaseYear,
    INDEX('Chart data'!$2:$2, COLUMN()) &lt;= OutturnThrough
  ),
  IFERROR(
    IF(
      P39 - INDEX(Assessment!$17:$17,
                   _xlfn.XMATCH(INDEX('Chart data'!$2:$2, COLUMN()),
                          Assessment!$4:$4, 0)
            ) &lt;= 0,
      INDEX(Assessment!$17:$17,
            _xlfn.XMATCH(INDEX('Chart data'!$2:$2, COLUMN()),
                   Assessment!$4:$4, 0)
      ),
      NA()
    ),
    NA()
  ),
  NA()
)</f>
        <v>#N/A</v>
      </c>
      <c r="Q41" s="64" t="e" cm="1">
        <f t="array" ref="Q41">IF(
  AND(
    INDEX('Chart data'!$2:$2, COLUMN()) &gt;= MTP_BaseYear,
    INDEX('Chart data'!$2:$2, COLUMN()) &lt;= OutturnThrough
  ),
  IFERROR(
    IF(
      Q39 - INDEX(Assessment!$17:$17,
                   _xlfn.XMATCH(INDEX('Chart data'!$2:$2, COLUMN()),
                          Assessment!$4:$4, 0)
            ) &lt;= 0,
      INDEX(Assessment!$17:$17,
            _xlfn.XMATCH(INDEX('Chart data'!$2:$2, COLUMN()),
                   Assessment!$4:$4, 0)
      ),
      NA()
    ),
    NA()
  ),
  NA()
)</f>
        <v>#N/A</v>
      </c>
      <c r="R41" s="64" t="e" cm="1">
        <f t="array" ref="R41">IF(
  AND(
    INDEX('Chart data'!$2:$2, COLUMN()) &gt;= MTP_BaseYear,
    INDEX('Chart data'!$2:$2, COLUMN()) &lt;= OutturnThrough
  ),
  IFERROR(
    IF(
      R39 - INDEX(Assessment!$17:$17,
                   _xlfn.XMATCH(INDEX('Chart data'!$2:$2, COLUMN()),
                          Assessment!$4:$4, 0)
            ) &lt;= 0,
      INDEX(Assessment!$17:$17,
            _xlfn.XMATCH(INDEX('Chart data'!$2:$2, COLUMN()),
                   Assessment!$4:$4, 0)
      ),
      NA()
    ),
    NA()
  ),
  NA()
)</f>
        <v>#N/A</v>
      </c>
      <c r="S41" s="64" t="e" cm="1">
        <f t="array" ref="S41">IF(
  AND(
    INDEX('Chart data'!$2:$2, COLUMN()) &gt;= MTP_BaseYear,
    INDEX('Chart data'!$2:$2, COLUMN()) &lt;= OutturnThrough
  ),
  IFERROR(
    IF(
      S39 - INDEX(Assessment!$17:$17,
                   _xlfn.XMATCH(INDEX('Chart data'!$2:$2, COLUMN()),
                          Assessment!$4:$4, 0)
            ) &lt;= 0,
      INDEX(Assessment!$17:$17,
            _xlfn.XMATCH(INDEX('Chart data'!$2:$2, COLUMN()),
                   Assessment!$4:$4, 0)
      ),
      NA()
    ),
    NA()
  ),
  NA()
)</f>
        <v>#N/A</v>
      </c>
      <c r="T41" s="64" t="e" cm="1">
        <f t="array" ref="T41">IF(
  AND(
    INDEX('Chart data'!$2:$2, COLUMN()) &gt;= MTP_BaseYear,
    INDEX('Chart data'!$2:$2, COLUMN()) &lt;= OutturnThrough
  ),
  IFERROR(
    IF(
      T39 - INDEX(Assessment!$17:$17,
                   _xlfn.XMATCH(INDEX('Chart data'!$2:$2, COLUMN()),
                          Assessment!$4:$4, 0)
            ) &lt;= 0,
      INDEX(Assessment!$17:$17,
            _xlfn.XMATCH(INDEX('Chart data'!$2:$2, COLUMN()),
                   Assessment!$4:$4, 0)
      ),
      NA()
    ),
    NA()
  ),
  NA()
)</f>
        <v>#N/A</v>
      </c>
      <c r="U41" s="64" t="e" cm="1">
        <f t="array" ref="U41">IF(
  AND(
    INDEX('Chart data'!$2:$2, COLUMN()) &gt;= MTP_BaseYear,
    INDEX('Chart data'!$2:$2, COLUMN()) &lt;= OutturnThrough
  ),
  IFERROR(
    IF(
      U39 - INDEX(Assessment!$17:$17,
                   _xlfn.XMATCH(INDEX('Chart data'!$2:$2, COLUMN()),
                          Assessment!$4:$4, 0)
            ) &lt;= 0,
      INDEX(Assessment!$17:$17,
            _xlfn.XMATCH(INDEX('Chart data'!$2:$2, COLUMN()),
                   Assessment!$4:$4, 0)
      ),
      NA()
    ),
    NA()
  ),
  NA()
)</f>
        <v>#N/A</v>
      </c>
      <c r="V41" s="64" t="e" cm="1">
        <f t="array" ref="V41">IF(
  AND(
    INDEX('Chart data'!$2:$2, COLUMN()) &gt;= MTP_BaseYear,
    INDEX('Chart data'!$2:$2, COLUMN()) &lt;= OutturnThrough
  ),
  IFERROR(
    IF(
      V39 - INDEX(Assessment!$17:$17,
                   _xlfn.XMATCH(INDEX('Chart data'!$2:$2, COLUMN()),
                          Assessment!$4:$4, 0)
            ) &lt;= 0,
      INDEX(Assessment!$17:$17,
            _xlfn.XMATCH(INDEX('Chart data'!$2:$2, COLUMN()),
                   Assessment!$4:$4, 0)
      ),
      NA()
    ),
    NA()
  ),
  NA()
)</f>
        <v>#N/A</v>
      </c>
      <c r="W41" s="64" t="e" cm="1">
        <f t="array" ref="W41">IF(
  AND(
    INDEX('Chart data'!$2:$2, COLUMN()) &gt;= MTP_BaseYear,
    INDEX('Chart data'!$2:$2, COLUMN()) &lt;= OutturnThrough
  ),
  IFERROR(
    IF(
      W39 - INDEX(Assessment!$17:$17,
                   _xlfn.XMATCH(INDEX('Chart data'!$2:$2, COLUMN()),
                          Assessment!$4:$4, 0)
            ) &lt;= 0,
      INDEX(Assessment!$17:$17,
            _xlfn.XMATCH(INDEX('Chart data'!$2:$2, COLUMN()),
                   Assessment!$4:$4, 0)
      ),
      NA()
    ),
    NA()
  ),
  NA()
)</f>
        <v>#N/A</v>
      </c>
    </row>
    <row r="42" spans="2:23" x14ac:dyDescent="0.4">
      <c r="C42" s="2" t="s">
        <v>299</v>
      </c>
      <c r="F42" s="64" t="e" cm="1">
        <f t="array" ref="F42">IF(
  AND(
    INDEX('Chart data'!$2:$2, COLUMN()) &gt;= MTP_BaseYear,
    INDEX('Chart data'!$2:$2, COLUMN()) &lt;= OutturnThrough
  ),
  IFERROR(
    IF(
      F79 - INDEX(Assessment!$17:$17,
                   _xlfn.XMATCH(INDEX('Chart data'!$2:$2, COLUMN()),
                          Assessment!$4:$4, 0)
            ) &gt; 0,
      INDEX(Assessment!$17:$17,
            _xlfn.XMATCH(INDEX('Chart data'!$2:$2, COLUMN()),
                   Assessment!$4:$4, 0)
      ),
      NA()
    ),
    NA()
  ),
  NA()
)</f>
        <v>#N/A</v>
      </c>
      <c r="G42" s="3" t="e" cm="1">
        <f t="array" ref="G42">IF(
  AND(
    INDEX('Chart data'!$2:$2, COLUMN()) &gt;= MTP_BaseYear,
    INDEX('Chart data'!$2:$2, COLUMN()) &lt;= OutturnThrough
  ),
  IFERROR(
    IF(
      G79 - INDEX(Assessment!$17:$17,
                   _xlfn.XMATCH(INDEX('Chart data'!$2:$2, COLUMN()),
                          Assessment!$4:$4, 0)
            ) &gt; 0,
      INDEX(Assessment!$17:$17,
            _xlfn.XMATCH(INDEX('Chart data'!$2:$2, COLUMN()),
                   Assessment!$4:$4, 0)
      ),
      NA()
    ),
    NA()
  ),
  NA()
)</f>
        <v>#N/A</v>
      </c>
      <c r="H42" s="3" t="e" cm="1">
        <f t="array" ref="H42">IF(
  AND(
    INDEX('Chart data'!$2:$2, COLUMN()) &gt;= MTP_BaseYear,
    INDEX('Chart data'!$2:$2, COLUMN()) &lt;= OutturnThrough
  ),
  IFERROR(
    IF(
      H79 - INDEX(Assessment!$17:$17,
                   _xlfn.XMATCH(INDEX('Chart data'!$2:$2, COLUMN()),
                          Assessment!$4:$4, 0)
            ) &gt; 0,
      INDEX(Assessment!$17:$17,
            _xlfn.XMATCH(INDEX('Chart data'!$2:$2, COLUMN()),
                   Assessment!$4:$4, 0)
      ),
      NA()
    ),
    NA()
  ),
  NA()
)</f>
        <v>#N/A</v>
      </c>
      <c r="I42" s="3" t="e" cm="1">
        <f t="array" ref="I42">IF(
  AND(
    INDEX('Chart data'!$2:$2, COLUMN()) &gt;= MTP_BaseYear,
    INDEX('Chart data'!$2:$2, COLUMN()) &lt;= OutturnThrough
  ),
  IFERROR(
    IF(
      I79 - INDEX(Assessment!$17:$17,
                   _xlfn.XMATCH(INDEX('Chart data'!$2:$2, COLUMN()),
                          Assessment!$4:$4, 0)
            ) &gt; 0,
      INDEX(Assessment!$17:$17,
            _xlfn.XMATCH(INDEX('Chart data'!$2:$2, COLUMN()),
                   Assessment!$4:$4, 0)
      ),
      NA()
    ),
    NA()
  ),
  NA()
)</f>
        <v>#N/A</v>
      </c>
      <c r="J42" s="3" t="e" cm="1">
        <f t="array" ref="J42">IF(
  AND(
    INDEX('Chart data'!$2:$2, COLUMN()) &gt;= MTP_BaseYear,
    INDEX('Chart data'!$2:$2, COLUMN()) &lt;= OutturnThrough
  ),
  IFERROR(
    IF(
      J79 - INDEX(Assessment!$17:$17,
                   _xlfn.XMATCH(INDEX('Chart data'!$2:$2, COLUMN()),
                          Assessment!$4:$4, 0)
            ) &gt; 0,
      INDEX(Assessment!$17:$17,
            _xlfn.XMATCH(INDEX('Chart data'!$2:$2, COLUMN()),
                   Assessment!$4:$4, 0)
      ),
      NA()
    ),
    NA()
  ),
  NA()
)</f>
        <v>#N/A</v>
      </c>
      <c r="K42" s="3" t="e" cm="1">
        <f t="array" ref="K42">IF(
  AND(
    INDEX('Chart data'!$2:$2, COLUMN()) &gt;= MTP_BaseYear,
    INDEX('Chart data'!$2:$2, COLUMN()) &lt;= OutturnThrough
  ),
  IFERROR(
    IF(
      K79 - INDEX(Assessment!$17:$17,
                   _xlfn.XMATCH(INDEX('Chart data'!$2:$2, COLUMN()),
                          Assessment!$4:$4, 0)
            ) &gt; 0,
      INDEX(Assessment!$17:$17,
            _xlfn.XMATCH(INDEX('Chart data'!$2:$2, COLUMN()),
                   Assessment!$4:$4, 0)
      ),
      NA()
    ),
    NA()
  ),
  NA()
)</f>
        <v>#N/A</v>
      </c>
      <c r="L42" s="3" t="e" cm="1">
        <f t="array" ref="L42">IF(
  AND(
    INDEX('Chart data'!$2:$2, COLUMN()) &gt;= MTP_BaseYear,
    INDEX('Chart data'!$2:$2, COLUMN()) &lt;= OutturnThrough
  ),
  IFERROR(
    IF(
      L79 - INDEX(Assessment!$17:$17,
                   _xlfn.XMATCH(INDEX('Chart data'!$2:$2, COLUMN()),
                          Assessment!$4:$4, 0)
            ) &gt; 0,
      INDEX(Assessment!$17:$17,
            _xlfn.XMATCH(INDEX('Chart data'!$2:$2, COLUMN()),
                   Assessment!$4:$4, 0)
      ),
      NA()
    ),
    NA()
  ),
  NA()
)</f>
        <v>#N/A</v>
      </c>
      <c r="M42" s="3" t="e" cm="1">
        <f t="array" ref="M42">IF(
  AND(
    INDEX('Chart data'!$2:$2, COLUMN()) &gt;= MTP_BaseYear,
    INDEX('Chart data'!$2:$2, COLUMN()) &lt;= OutturnThrough
  ),
  IFERROR(
    IF(
      M79 - INDEX(Assessment!$17:$17,
                   _xlfn.XMATCH(INDEX('Chart data'!$2:$2, COLUMN()),
                          Assessment!$4:$4, 0)
            ) &gt; 0,
      INDEX(Assessment!$17:$17,
            _xlfn.XMATCH(INDEX('Chart data'!$2:$2, COLUMN()),
                   Assessment!$4:$4, 0)
      ),
      NA()
    ),
    NA()
  ),
  NA()
)</f>
        <v>#N/A</v>
      </c>
      <c r="N42" s="3" t="e" cm="1">
        <f t="array" ref="N42">IF(
  AND(
    INDEX('Chart data'!$2:$2, COLUMN()) &gt;= MTP_BaseYear,
    INDEX('Chart data'!$2:$2, COLUMN()) &lt;= OutturnThrough
  ),
  IFERROR(
    IF(
      N79 - INDEX(Assessment!$17:$17,
                   _xlfn.XMATCH(INDEX('Chart data'!$2:$2, COLUMN()),
                          Assessment!$4:$4, 0)
            ) &gt; 0,
      INDEX(Assessment!$17:$17,
            _xlfn.XMATCH(INDEX('Chart data'!$2:$2, COLUMN()),
                   Assessment!$4:$4, 0)
      ),
      NA()
    ),
    NA()
  ),
  NA()
)</f>
        <v>#N/A</v>
      </c>
      <c r="O42" s="3" t="e" cm="1">
        <f t="array" ref="O42">IF(
  AND(
    INDEX('Chart data'!$2:$2, COLUMN()) &gt;= MTP_BaseYear,
    INDEX('Chart data'!$2:$2, COLUMN()) &lt;= OutturnThrough
  ),
  IFERROR(
    IF(
      O79 - INDEX(Assessment!$17:$17,
                   _xlfn.XMATCH(INDEX('Chart data'!$2:$2, COLUMN()),
                          Assessment!$4:$4, 0)
            ) &gt; 0,
      INDEX(Assessment!$17:$17,
            _xlfn.XMATCH(INDEX('Chart data'!$2:$2, COLUMN()),
                   Assessment!$4:$4, 0)
      ),
      NA()
    ),
    NA()
  ),
  NA()
)</f>
        <v>#N/A</v>
      </c>
      <c r="P42" s="3" t="e" cm="1">
        <f t="array" ref="P42">IF(
  AND(
    INDEX('Chart data'!$2:$2, COLUMN()) &gt;= MTP_BaseYear,
    INDEX('Chart data'!$2:$2, COLUMN()) &lt;= OutturnThrough
  ),
  IFERROR(
    IF(
      P79 - INDEX(Assessment!$17:$17,
                   _xlfn.XMATCH(INDEX('Chart data'!$2:$2, COLUMN()),
                          Assessment!$4:$4, 0)
            ) &gt; 0,
      INDEX(Assessment!$17:$17,
            _xlfn.XMATCH(INDEX('Chart data'!$2:$2, COLUMN()),
                   Assessment!$4:$4, 0)
      ),
      NA()
    ),
    NA()
  ),
  NA()
)</f>
        <v>#N/A</v>
      </c>
      <c r="Q42" s="3" t="e" cm="1">
        <f t="array" ref="Q42">IF(
  AND(
    INDEX('Chart data'!$2:$2, COLUMN()) &gt;= MTP_BaseYear,
    INDEX('Chart data'!$2:$2, COLUMN()) &lt;= OutturnThrough
  ),
  IFERROR(
    IF(
      Q79 - INDEX(Assessment!$17:$17,
                   _xlfn.XMATCH(INDEX('Chart data'!$2:$2, COLUMN()),
                          Assessment!$4:$4, 0)
            ) &gt; 0,
      INDEX(Assessment!$17:$17,
            _xlfn.XMATCH(INDEX('Chart data'!$2:$2, COLUMN()),
                   Assessment!$4:$4, 0)
      ),
      NA()
    ),
    NA()
  ),
  NA()
)</f>
        <v>#N/A</v>
      </c>
      <c r="R42" s="3" t="e" cm="1">
        <f t="array" ref="R42">IF(
  AND(
    INDEX('Chart data'!$2:$2, COLUMN()) &gt;= MTP_BaseYear,
    INDEX('Chart data'!$2:$2, COLUMN()) &lt;= OutturnThrough
  ),
  IFERROR(
    IF(
      R79 - INDEX(Assessment!$17:$17,
                   _xlfn.XMATCH(INDEX('Chart data'!$2:$2, COLUMN()),
                          Assessment!$4:$4, 0)
            ) &gt; 0,
      INDEX(Assessment!$17:$17,
            _xlfn.XMATCH(INDEX('Chart data'!$2:$2, COLUMN()),
                   Assessment!$4:$4, 0)
      ),
      NA()
    ),
    NA()
  ),
  NA()
)</f>
        <v>#N/A</v>
      </c>
      <c r="S42" s="3" t="e" cm="1">
        <f t="array" ref="S42">IF(
  AND(
    INDEX('Chart data'!$2:$2, COLUMN()) &gt;= MTP_BaseYear,
    INDEX('Chart data'!$2:$2, COLUMN()) &lt;= OutturnThrough
  ),
  IFERROR(
    IF(
      S79 - INDEX(Assessment!$17:$17,
                   _xlfn.XMATCH(INDEX('Chart data'!$2:$2, COLUMN()),
                          Assessment!$4:$4, 0)
            ) &gt; 0,
      INDEX(Assessment!$17:$17,
            _xlfn.XMATCH(INDEX('Chart data'!$2:$2, COLUMN()),
                   Assessment!$4:$4, 0)
      ),
      NA()
    ),
    NA()
  ),
  NA()
)</f>
        <v>#N/A</v>
      </c>
      <c r="T42" s="3" t="e" cm="1">
        <f t="array" ref="T42">IF(
  AND(
    INDEX('Chart data'!$2:$2, COLUMN()) &gt;= MTP_BaseYear,
    INDEX('Chart data'!$2:$2, COLUMN()) &lt;= OutturnThrough
  ),
  IFERROR(
    IF(
      T79 - INDEX(Assessment!$17:$17,
                   _xlfn.XMATCH(INDEX('Chart data'!$2:$2, COLUMN()),
                          Assessment!$4:$4, 0)
            ) &gt; 0,
      INDEX(Assessment!$17:$17,
            _xlfn.XMATCH(INDEX('Chart data'!$2:$2, COLUMN()),
                   Assessment!$4:$4, 0)
      ),
      NA()
    ),
    NA()
  ),
  NA()
)</f>
        <v>#N/A</v>
      </c>
      <c r="U42" s="3" t="e" cm="1">
        <f t="array" ref="U42">IF(
  AND(
    INDEX('Chart data'!$2:$2, COLUMN()) &gt;= MTP_BaseYear,
    INDEX('Chart data'!$2:$2, COLUMN()) &lt;= OutturnThrough
  ),
  IFERROR(
    IF(
      U79 - INDEX(Assessment!$17:$17,
                   _xlfn.XMATCH(INDEX('Chart data'!$2:$2, COLUMN()),
                          Assessment!$4:$4, 0)
            ) &gt; 0,
      INDEX(Assessment!$17:$17,
            _xlfn.XMATCH(INDEX('Chart data'!$2:$2, COLUMN()),
                   Assessment!$4:$4, 0)
      ),
      NA()
    ),
    NA()
  ),
  NA()
)</f>
        <v>#N/A</v>
      </c>
      <c r="V42" s="3" t="e" cm="1">
        <f t="array" ref="V42">IF(
  AND(
    INDEX('Chart data'!$2:$2, COLUMN()) &gt;= MTP_BaseYear,
    INDEX('Chart data'!$2:$2, COLUMN()) &lt;= OutturnThrough
  ),
  IFERROR(
    IF(
      V79 - INDEX(Assessment!$17:$17,
                   _xlfn.XMATCH(INDEX('Chart data'!$2:$2, COLUMN()),
                          Assessment!$4:$4, 0)
            ) &gt; 0,
      INDEX(Assessment!$17:$17,
            _xlfn.XMATCH(INDEX('Chart data'!$2:$2, COLUMN()),
                   Assessment!$4:$4, 0)
      ),
      NA()
    ),
    NA()
  ),
  NA()
)</f>
        <v>#N/A</v>
      </c>
      <c r="W42" s="3" t="e" cm="1">
        <f t="array" ref="W42">IF(
  AND(
    INDEX('Chart data'!$2:$2, COLUMN()) &gt;= MTP_BaseYear,
    INDEX('Chart data'!$2:$2, COLUMN()) &lt;= OutturnThrough
  ),
  IFERROR(
    IF(
      W79 - INDEX(Assessment!$17:$17,
                   _xlfn.XMATCH(INDEX('Chart data'!$2:$2, COLUMN()),
                          Assessment!$4:$4, 0)
            ) &gt; 0,
      INDEX(Assessment!$17:$17,
            _xlfn.XMATCH(INDEX('Chart data'!$2:$2, COLUMN()),
                   Assessment!$4:$4, 0)
      ),
      NA()
    ),
    NA()
  ),
  NA()
)</f>
        <v>#N/A</v>
      </c>
    </row>
    <row r="43" spans="2:23" x14ac:dyDescent="0.4">
      <c r="C43" s="2" t="s">
        <v>246</v>
      </c>
      <c r="F43" s="6">
        <f>-Validation!$T$2</f>
        <v>-3.05</v>
      </c>
      <c r="G43" s="6">
        <f>-Validation!$T$2</f>
        <v>-3.05</v>
      </c>
      <c r="H43" s="6">
        <f>-Validation!$T$2</f>
        <v>-3.05</v>
      </c>
      <c r="I43" s="6">
        <f>-Validation!$T$2</f>
        <v>-3.05</v>
      </c>
      <c r="J43" s="6">
        <f>-Validation!$T$2</f>
        <v>-3.05</v>
      </c>
      <c r="K43" s="6">
        <f>-Validation!$T$2</f>
        <v>-3.05</v>
      </c>
      <c r="L43" s="6">
        <f>-Validation!$T$2</f>
        <v>-3.05</v>
      </c>
      <c r="M43" s="6">
        <f>-Validation!$T$2</f>
        <v>-3.05</v>
      </c>
      <c r="N43" s="6">
        <f>-Validation!$T$2</f>
        <v>-3.05</v>
      </c>
      <c r="O43" s="6">
        <f>-Validation!$T$2</f>
        <v>-3.05</v>
      </c>
      <c r="P43" s="6">
        <f>-Validation!$T$2</f>
        <v>-3.05</v>
      </c>
      <c r="Q43" s="6">
        <f>-Validation!$T$2</f>
        <v>-3.05</v>
      </c>
      <c r="R43" s="6">
        <f>-Validation!$T$2</f>
        <v>-3.05</v>
      </c>
      <c r="S43" s="6">
        <f>-Validation!$T$2</f>
        <v>-3.05</v>
      </c>
      <c r="T43" s="6">
        <f>-Validation!$T$2</f>
        <v>-3.05</v>
      </c>
      <c r="U43" s="6">
        <f>-Validation!$T$2</f>
        <v>-3.05</v>
      </c>
      <c r="V43" s="6">
        <f>-Validation!$T$2</f>
        <v>-3.05</v>
      </c>
      <c r="W43" s="6">
        <f>-Validation!$T$2</f>
        <v>-3.05</v>
      </c>
    </row>
    <row r="44" spans="2:23" x14ac:dyDescent="0.4">
      <c r="C44" s="2" t="s">
        <v>300</v>
      </c>
      <c r="F44" s="64">
        <f t="shared" ref="F44:T44" si="0">IF(F79&lt;&gt;"",-F79,NA())</f>
        <v>0</v>
      </c>
      <c r="G44" s="64">
        <f t="shared" si="0"/>
        <v>0</v>
      </c>
      <c r="H44" s="64">
        <f t="shared" si="0"/>
        <v>0</v>
      </c>
      <c r="I44" s="64">
        <f t="shared" si="0"/>
        <v>0</v>
      </c>
      <c r="J44" s="64">
        <f t="shared" si="0"/>
        <v>0</v>
      </c>
      <c r="K44" s="64">
        <f t="shared" si="0"/>
        <v>0</v>
      </c>
      <c r="L44" s="64">
        <f t="shared" si="0"/>
        <v>0</v>
      </c>
      <c r="M44" s="64">
        <f t="shared" si="0"/>
        <v>0</v>
      </c>
      <c r="N44" s="64">
        <f t="shared" si="0"/>
        <v>0</v>
      </c>
      <c r="O44" s="64">
        <f t="shared" si="0"/>
        <v>0</v>
      </c>
      <c r="P44" s="64">
        <f t="shared" si="0"/>
        <v>0</v>
      </c>
      <c r="Q44" s="64">
        <f t="shared" si="0"/>
        <v>0</v>
      </c>
      <c r="R44" s="64">
        <f t="shared" si="0"/>
        <v>0</v>
      </c>
      <c r="S44" s="64">
        <f t="shared" si="0"/>
        <v>0</v>
      </c>
      <c r="T44" s="64">
        <f t="shared" si="0"/>
        <v>0</v>
      </c>
      <c r="U44" s="64" t="e">
        <f t="shared" ref="U44:W44" si="1">IF(U79&lt;&gt;"",-U79,NA())</f>
        <v>#N/A</v>
      </c>
      <c r="V44" s="64" t="e">
        <f t="shared" si="1"/>
        <v>#N/A</v>
      </c>
      <c r="W44" s="64" t="e">
        <f t="shared" si="1"/>
        <v>#N/A</v>
      </c>
    </row>
    <row r="45" spans="2:23" x14ac:dyDescent="0.4">
      <c r="C45" s="2" t="s">
        <v>301</v>
      </c>
      <c r="F45" s="64" t="e">
        <f t="shared" ref="F45:T45" si="2">IF(F81&lt;&gt;"",-F81,NA())</f>
        <v>#N/A</v>
      </c>
      <c r="G45" s="64" t="e">
        <f t="shared" si="2"/>
        <v>#N/A</v>
      </c>
      <c r="H45" s="64" t="e">
        <f t="shared" si="2"/>
        <v>#N/A</v>
      </c>
      <c r="I45" s="64" t="e">
        <f t="shared" si="2"/>
        <v>#N/A</v>
      </c>
      <c r="J45" s="64" t="e">
        <f t="shared" si="2"/>
        <v>#N/A</v>
      </c>
      <c r="K45" s="64" t="e">
        <f t="shared" si="2"/>
        <v>#N/A</v>
      </c>
      <c r="L45" s="64" t="e">
        <f t="shared" si="2"/>
        <v>#N/A</v>
      </c>
      <c r="M45" s="64" t="e">
        <f t="shared" si="2"/>
        <v>#N/A</v>
      </c>
      <c r="N45" s="64" t="e">
        <f t="shared" si="2"/>
        <v>#N/A</v>
      </c>
      <c r="O45" s="64" t="e">
        <f t="shared" si="2"/>
        <v>#N/A</v>
      </c>
      <c r="P45" s="64" t="e">
        <f t="shared" si="2"/>
        <v>#N/A</v>
      </c>
      <c r="Q45" s="64" t="e">
        <f t="shared" si="2"/>
        <v>#N/A</v>
      </c>
      <c r="R45" s="64" t="e">
        <f t="shared" si="2"/>
        <v>#N/A</v>
      </c>
      <c r="S45" s="64" t="e">
        <f t="shared" si="2"/>
        <v>#N/A</v>
      </c>
      <c r="T45" s="64" t="e">
        <f t="shared" si="2"/>
        <v>#N/A</v>
      </c>
      <c r="U45" s="64" t="e">
        <f t="shared" ref="U45:W45" si="3">IF(U81&lt;&gt;"",-U81,NA())</f>
        <v>#N/A</v>
      </c>
      <c r="V45" s="64" t="e">
        <f t="shared" si="3"/>
        <v>#N/A</v>
      </c>
      <c r="W45" s="64" t="e">
        <f t="shared" si="3"/>
        <v>#N/A</v>
      </c>
    </row>
    <row r="46" spans="2:23" x14ac:dyDescent="0.4">
      <c r="C46" s="2" t="s">
        <v>302</v>
      </c>
      <c r="F46" s="64" t="e">
        <f t="shared" ref="F46:T46" si="4">IF(F82&lt;&gt;"",-F82,NA())</f>
        <v>#N/A</v>
      </c>
      <c r="G46" s="64" t="e">
        <f t="shared" si="4"/>
        <v>#N/A</v>
      </c>
      <c r="H46" s="64" t="e">
        <f t="shared" si="4"/>
        <v>#N/A</v>
      </c>
      <c r="I46" s="64" t="e">
        <f t="shared" si="4"/>
        <v>#N/A</v>
      </c>
      <c r="J46" s="64" t="e">
        <f t="shared" si="4"/>
        <v>#N/A</v>
      </c>
      <c r="K46" s="64" t="e">
        <f t="shared" si="4"/>
        <v>#N/A</v>
      </c>
      <c r="L46" s="64" t="e">
        <f t="shared" si="4"/>
        <v>#N/A</v>
      </c>
      <c r="M46" s="64" t="e">
        <f t="shared" si="4"/>
        <v>#N/A</v>
      </c>
      <c r="N46" s="64" t="e">
        <f t="shared" si="4"/>
        <v>#N/A</v>
      </c>
      <c r="O46" s="64" t="e">
        <f t="shared" si="4"/>
        <v>#N/A</v>
      </c>
      <c r="P46" s="64" t="e">
        <f t="shared" si="4"/>
        <v>#N/A</v>
      </c>
      <c r="Q46" s="64" t="e">
        <f t="shared" si="4"/>
        <v>#N/A</v>
      </c>
      <c r="R46" s="64" t="e">
        <f t="shared" si="4"/>
        <v>#N/A</v>
      </c>
      <c r="S46" s="64" t="e">
        <f t="shared" si="4"/>
        <v>#N/A</v>
      </c>
      <c r="T46" s="64" t="e">
        <f t="shared" si="4"/>
        <v>#N/A</v>
      </c>
      <c r="U46" s="64" t="e">
        <f t="shared" ref="U46:W46" si="5">IF(U82&lt;&gt;"",-U82,NA())</f>
        <v>#N/A</v>
      </c>
      <c r="V46" s="64" t="e">
        <f t="shared" si="5"/>
        <v>#N/A</v>
      </c>
      <c r="W46" s="64" t="e">
        <f t="shared" si="5"/>
        <v>#N/A</v>
      </c>
    </row>
    <row r="47" spans="2:23" x14ac:dyDescent="0.4">
      <c r="C47" s="2"/>
    </row>
    <row r="48" spans="2:23" ht="14.25" customHeight="1" x14ac:dyDescent="0.6">
      <c r="B48" s="110" t="s">
        <v>501</v>
      </c>
      <c r="C48" s="11" t="s">
        <v>942</v>
      </c>
      <c r="F48" s="106"/>
      <c r="G48" s="106"/>
      <c r="H48" s="106"/>
      <c r="I48" s="106"/>
      <c r="J48" s="106"/>
      <c r="K48" s="106"/>
      <c r="L48" s="106"/>
      <c r="M48" s="106"/>
      <c r="N48" s="106"/>
      <c r="O48" s="106"/>
      <c r="P48" s="106"/>
      <c r="Q48" s="106"/>
      <c r="R48" s="106"/>
      <c r="S48" s="106"/>
      <c r="T48" s="106"/>
      <c r="U48" s="106"/>
      <c r="V48" s="106"/>
      <c r="W48" s="106"/>
    </row>
    <row r="49" spans="2:23" x14ac:dyDescent="0.4">
      <c r="C49" s="2" t="s">
        <v>390</v>
      </c>
      <c r="F49" s="64">
        <f>Assessment!E37</f>
        <v>0</v>
      </c>
      <c r="G49" s="64">
        <f>Assessment!F37</f>
        <v>0</v>
      </c>
      <c r="H49" s="64">
        <f>Assessment!G37</f>
        <v>0</v>
      </c>
      <c r="I49" s="64">
        <f>Assessment!H37</f>
        <v>0</v>
      </c>
      <c r="J49" s="64">
        <f>Assessment!I37</f>
        <v>0</v>
      </c>
      <c r="K49" s="64" t="str">
        <f>Assessment!J37</f>
        <v/>
      </c>
      <c r="L49" s="64" t="str">
        <f>Assessment!K37</f>
        <v/>
      </c>
      <c r="M49" s="64" t="str">
        <f>Assessment!L37</f>
        <v/>
      </c>
      <c r="N49" s="64" t="str">
        <f>Assessment!M37</f>
        <v/>
      </c>
      <c r="O49" s="64" t="str">
        <f>Assessment!N37</f>
        <v/>
      </c>
      <c r="P49" s="64">
        <f>Assessment!O37</f>
        <v>0</v>
      </c>
      <c r="Q49" s="64">
        <f>Assessment!P37</f>
        <v>0</v>
      </c>
      <c r="R49" s="64">
        <f>Assessment!Q37</f>
        <v>0</v>
      </c>
      <c r="S49" s="64">
        <f>Assessment!R37</f>
        <v>0</v>
      </c>
      <c r="T49" s="64">
        <f>Assessment!S37</f>
        <v>0</v>
      </c>
      <c r="U49" s="64">
        <f>Assessment!T37</f>
        <v>0</v>
      </c>
      <c r="V49" s="64">
        <f>Assessment!U37</f>
        <v>0</v>
      </c>
      <c r="W49" s="64">
        <f>Assessment!V37</f>
        <v>0</v>
      </c>
    </row>
    <row r="50" spans="2:23" x14ac:dyDescent="0.4">
      <c r="C50" s="2" t="s">
        <v>296</v>
      </c>
      <c r="F50" s="4"/>
      <c r="G50" s="4"/>
      <c r="H50" s="4"/>
      <c r="I50" s="4"/>
      <c r="J50" s="4"/>
      <c r="K50" s="4"/>
      <c r="L50" s="4"/>
      <c r="M50" s="4"/>
      <c r="N50" s="4"/>
      <c r="O50" s="4"/>
      <c r="P50" s="4"/>
      <c r="Q50" s="4"/>
      <c r="R50" s="4"/>
      <c r="S50" s="4"/>
      <c r="T50" s="4"/>
      <c r="U50" s="4"/>
      <c r="V50" s="4"/>
      <c r="W50" s="4"/>
    </row>
    <row r="51" spans="2:23" x14ac:dyDescent="0.4">
      <c r="C51" s="2" t="s">
        <v>243</v>
      </c>
      <c r="F51" s="64" t="e">
        <f>IF(OR(ISNUMBER(F53),ISNUMBER(F54)),NA(),IF(ISNUMBER(Assessment!E19),Assessment!E19,NA()))</f>
        <v>#N/A</v>
      </c>
      <c r="G51" s="64" t="e">
        <f>IF(OR(ISNUMBER(G53),ISNUMBER(G54)),NA(),IF(ISNUMBER(Assessment!F19),Assessment!F19,NA()))</f>
        <v>#N/A</v>
      </c>
      <c r="H51" s="64" t="e">
        <f>IF(OR(ISNUMBER(H53),ISNUMBER(H54)),NA(),IF(ISNUMBER(Assessment!G19),Assessment!G19,NA()))</f>
        <v>#N/A</v>
      </c>
      <c r="I51" s="64" t="e">
        <f>IF(OR(ISNUMBER(I53),ISNUMBER(I54)),NA(),IF(ISNUMBER(Assessment!H19),Assessment!H19,NA()))</f>
        <v>#N/A</v>
      </c>
      <c r="J51" s="64" t="e">
        <f>IF(OR(ISNUMBER(J53),ISNUMBER(J54)),NA(),IF(ISNUMBER(Assessment!I19),Assessment!I19,NA()))</f>
        <v>#N/A</v>
      </c>
      <c r="K51" s="64" t="e">
        <f>IF(OR(ISNUMBER(K53),ISNUMBER(K54)),NA(),IF(ISNUMBER(Assessment!J19),Assessment!J19,NA()))</f>
        <v>#N/A</v>
      </c>
      <c r="L51" s="64" t="e">
        <f>IF(OR(ISNUMBER(L53),ISNUMBER(L54)),NA(),IF(ISNUMBER(Assessment!K19),Assessment!K19,NA()))</f>
        <v>#N/A</v>
      </c>
      <c r="M51" s="64" t="e">
        <f>IF(OR(ISNUMBER(M53),ISNUMBER(M54)),NA(),IF(ISNUMBER(Assessment!L19),Assessment!L19,NA()))</f>
        <v>#N/A</v>
      </c>
      <c r="N51" s="64" t="e">
        <f>IF(OR(ISNUMBER(N53),ISNUMBER(N54)),NA(),IF(ISNUMBER(Assessment!M19),Assessment!M19,NA()))</f>
        <v>#N/A</v>
      </c>
      <c r="O51" s="64" t="e">
        <f>IF(OR(ISNUMBER(O53),ISNUMBER(O54)),NA(),IF(ISNUMBER(Assessment!N19),Assessment!N19,NA()))</f>
        <v>#N/A</v>
      </c>
      <c r="P51" s="64" t="e">
        <f>IF(OR(ISNUMBER(P53),ISNUMBER(P54)),NA(),IF(ISNUMBER(Assessment!O19),Assessment!O19,NA()))</f>
        <v>#N/A</v>
      </c>
      <c r="Q51" s="64" t="e">
        <f>IF(OR(ISNUMBER(Q53),ISNUMBER(Q54)),NA(),IF(ISNUMBER(Assessment!P19),Assessment!P19,NA()))</f>
        <v>#N/A</v>
      </c>
      <c r="R51" s="64" t="e">
        <f>IF(OR(ISNUMBER(R53),ISNUMBER(R54)),NA(),IF(ISNUMBER(Assessment!Q19),Assessment!Q19,NA()))</f>
        <v>#N/A</v>
      </c>
      <c r="S51" s="64" t="e">
        <f>IF(OR(ISNUMBER(S53),ISNUMBER(S54)),NA(),IF(ISNUMBER(Assessment!R19),Assessment!R19,NA()))</f>
        <v>#N/A</v>
      </c>
      <c r="T51" s="64" t="e">
        <f>IF(OR(ISNUMBER(T53),ISNUMBER(T54)),NA(),IF(ISNUMBER(Assessment!S19),Assessment!S19,NA()))</f>
        <v>#N/A</v>
      </c>
      <c r="U51" s="64" t="e">
        <f>IF(OR(ISNUMBER(U53),ISNUMBER(U54)),NA(),IF(ISNUMBER(Assessment!T19),Assessment!T19,NA()))</f>
        <v>#N/A</v>
      </c>
      <c r="V51" s="64" t="e">
        <f>IF(OR(ISNUMBER(V53),ISNUMBER(V54)),NA(),IF(ISNUMBER(Assessment!U19),Assessment!U19,NA()))</f>
        <v>#N/A</v>
      </c>
      <c r="W51" s="64" t="e">
        <f>IF(OR(ISNUMBER(W53),ISNUMBER(W54)),NA(),IF(ISNUMBER(Assessment!V19),Assessment!V19,NA()))</f>
        <v>#N/A</v>
      </c>
    </row>
    <row r="52" spans="2:23" x14ac:dyDescent="0.4">
      <c r="C52" s="2" t="s">
        <v>297</v>
      </c>
      <c r="F52" s="4"/>
      <c r="G52" s="4"/>
      <c r="H52" s="4"/>
      <c r="I52" s="4"/>
      <c r="J52" s="4"/>
      <c r="K52" s="4"/>
      <c r="L52" s="4"/>
      <c r="M52" s="4"/>
      <c r="N52" s="4"/>
      <c r="O52" s="4"/>
      <c r="P52" s="4"/>
      <c r="Q52" s="4"/>
      <c r="R52" s="4"/>
      <c r="S52" s="4"/>
      <c r="T52" s="4"/>
      <c r="U52" s="4"/>
      <c r="V52" s="4"/>
      <c r="W52" s="4"/>
    </row>
    <row r="53" spans="2:23" ht="13.5" customHeight="1" x14ac:dyDescent="0.4">
      <c r="C53" s="2" t="s">
        <v>298</v>
      </c>
      <c r="F53" s="106" t="e" cm="1">
        <f t="array" ref="F53">IF(
  AND(
    INDEX($2:$2, COLUMN()) &gt;= MTP_BaseYear,
    INDEX($2:$2, COLUMN()) &lt;= OutturnThrough
  ),
  IFERROR(
    IF(
      F49 - INDEX(Assessment!$19:$19,
                   _xlfn.XMATCH(INDEX($2:$2, COLUMN()),
                          Assessment!$4:$4, 0)
            ) &lt; 0,
      INDEX(Assessment!$19:$19,
            _xlfn.XMATCH(INDEX($2:$2, COLUMN()),
                   Assessment!$4:$4, 0)
      ),
      NA()
    ),
    NA()
  ),
  NA()
)</f>
        <v>#N/A</v>
      </c>
      <c r="G53" s="106" t="e" cm="1">
        <f t="array" ref="G53">IF(
  AND(
    INDEX($2:$2, COLUMN()) &gt;= MTP_BaseYear,
    INDEX($2:$2, COLUMN()) &lt;= OutturnThrough
  ),
  IFERROR(
    IF(
      G49 - INDEX(Assessment!$19:$19,
                   _xlfn.XMATCH(INDEX($2:$2, COLUMN()),
                          Assessment!$4:$4, 0)
            ) &lt; 0,
      INDEX(Assessment!$19:$19,
            _xlfn.XMATCH(INDEX($2:$2, COLUMN()),
                   Assessment!$4:$4, 0)
      ),
      NA()
    ),
    NA()
  ),
  NA()
)</f>
        <v>#N/A</v>
      </c>
      <c r="H53" s="106" t="e" cm="1">
        <f t="array" ref="H53">IF(
  AND(
    INDEX($2:$2, COLUMN()) &gt;= MTP_BaseYear,
    INDEX($2:$2, COLUMN()) &lt;= OutturnThrough
  ),
  IFERROR(
    IF(
      H49 - INDEX(Assessment!$19:$19,
                   _xlfn.XMATCH(INDEX($2:$2, COLUMN()),
                          Assessment!$4:$4, 0)
            ) &lt; 0,
      INDEX(Assessment!$19:$19,
            _xlfn.XMATCH(INDEX($2:$2, COLUMN()),
                   Assessment!$4:$4, 0)
      ),
      NA()
    ),
    NA()
  ),
  NA()
)</f>
        <v>#N/A</v>
      </c>
      <c r="I53" s="106" t="e" cm="1">
        <f t="array" ref="I53">IF(
  AND(
    INDEX($2:$2, COLUMN()) &gt;= MTP_BaseYear,
    INDEX($2:$2, COLUMN()) &lt;= OutturnThrough
  ),
  IFERROR(
    IF(
      I49 - INDEX(Assessment!$19:$19,
                   _xlfn.XMATCH(INDEX($2:$2, COLUMN()),
                          Assessment!$4:$4, 0)
            ) &lt; 0,
      INDEX(Assessment!$19:$19,
            _xlfn.XMATCH(INDEX($2:$2, COLUMN()),
                   Assessment!$4:$4, 0)
      ),
      NA()
    ),
    NA()
  ),
  NA()
)</f>
        <v>#N/A</v>
      </c>
      <c r="J53" s="106" t="e" cm="1">
        <f t="array" ref="J53">IF(
  AND(
    INDEX($2:$2, COLUMN()) &gt;= MTP_BaseYear,
    INDEX($2:$2, COLUMN()) &lt;= OutturnThrough
  ),
  IFERROR(
    IF(
      J49 - INDEX(Assessment!$19:$19,
                   _xlfn.XMATCH(INDEX($2:$2, COLUMN()),
                          Assessment!$4:$4, 0)
            ) &lt; 0,
      INDEX(Assessment!$19:$19,
            _xlfn.XMATCH(INDEX($2:$2, COLUMN()),
                   Assessment!$4:$4, 0)
      ),
      NA()
    ),
    NA()
  ),
  NA()
)</f>
        <v>#N/A</v>
      </c>
      <c r="K53" s="106" t="e" cm="1">
        <f t="array" ref="K53">IF(
  AND(
    INDEX($2:$2, COLUMN()) &gt;= MTP_BaseYear,
    INDEX($2:$2, COLUMN()) &lt;= OutturnThrough
  ),
  IFERROR(
    IF(
      K49 - INDEX(Assessment!$19:$19,
                   _xlfn.XMATCH(INDEX($2:$2, COLUMN()),
                          Assessment!$4:$4, 0)
            ) &lt; 0,
      INDEX(Assessment!$19:$19,
            _xlfn.XMATCH(INDEX($2:$2, COLUMN()),
                   Assessment!$4:$4, 0)
      ),
      NA()
    ),
    NA()
  ),
  NA()
)</f>
        <v>#N/A</v>
      </c>
      <c r="L53" s="106" t="e" cm="1">
        <f t="array" ref="L53">IF(
  AND(
    INDEX($2:$2, COLUMN()) &gt;= MTP_BaseYear,
    INDEX($2:$2, COLUMN()) &lt;= OutturnThrough
  ),
  IFERROR(
    IF(
      L49 - INDEX(Assessment!$19:$19,
                   _xlfn.XMATCH(INDEX($2:$2, COLUMN()),
                          Assessment!$4:$4, 0)
            ) &lt; 0,
      INDEX(Assessment!$19:$19,
            _xlfn.XMATCH(INDEX($2:$2, COLUMN()),
                   Assessment!$4:$4, 0)
      ),
      NA()
    ),
    NA()
  ),
  NA()
)</f>
        <v>#N/A</v>
      </c>
      <c r="M53" s="106" t="e" cm="1">
        <f t="array" ref="M53">IF(
  AND(
    INDEX($2:$2, COLUMN()) &gt;= MTP_BaseYear,
    INDEX($2:$2, COLUMN()) &lt;= OutturnThrough
  ),
  IFERROR(
    IF(
      M49 - INDEX(Assessment!$19:$19,
                   _xlfn.XMATCH(INDEX($2:$2, COLUMN()),
                          Assessment!$4:$4, 0)
            ) &lt; 0,
      INDEX(Assessment!$19:$19,
            _xlfn.XMATCH(INDEX($2:$2, COLUMN()),
                   Assessment!$4:$4, 0)
      ),
      NA()
    ),
    NA()
  ),
  NA()
)</f>
        <v>#N/A</v>
      </c>
      <c r="N53" s="106" t="e" cm="1">
        <f t="array" ref="N53">IF(
  AND(
    INDEX($2:$2, COLUMN()) &gt;= MTP_BaseYear,
    INDEX($2:$2, COLUMN()) &lt;= OutturnThrough
  ),
  IFERROR(
    IF(
      N49 - INDEX(Assessment!$19:$19,
                   _xlfn.XMATCH(INDEX($2:$2, COLUMN()),
                          Assessment!$4:$4, 0)
            ) &lt; 0,
      INDEX(Assessment!$19:$19,
            _xlfn.XMATCH(INDEX($2:$2, COLUMN()),
                   Assessment!$4:$4, 0)
      ),
      NA()
    ),
    NA()
  ),
  NA()
)</f>
        <v>#N/A</v>
      </c>
      <c r="O53" s="106" t="e" cm="1">
        <f t="array" ref="O53">IF(
  AND(
    INDEX($2:$2, COLUMN()) &gt;= MTP_BaseYear,
    INDEX($2:$2, COLUMN()) &lt;= OutturnThrough
  ),
  IFERROR(
    IF(
      O49 - INDEX(Assessment!$19:$19,
                   _xlfn.XMATCH(INDEX($2:$2, COLUMN()),
                          Assessment!$4:$4, 0)
            ) &lt; 0,
      INDEX(Assessment!$19:$19,
            _xlfn.XMATCH(INDEX($2:$2, COLUMN()),
                   Assessment!$4:$4, 0)
      ),
      NA()
    ),
    NA()
  ),
  NA()
)</f>
        <v>#N/A</v>
      </c>
      <c r="P53" s="106" t="e" cm="1">
        <f t="array" ref="P53">IF(
  AND(
    INDEX($2:$2, COLUMN()) &gt;= MTP_BaseYear,
    INDEX($2:$2, COLUMN()) &lt;= OutturnThrough
  ),
  IFERROR(
    IF(
      P49 - INDEX(Assessment!$19:$19,
                   _xlfn.XMATCH(INDEX($2:$2, COLUMN()),
                          Assessment!$4:$4, 0)
            ) &lt; 0,
      INDEX(Assessment!$19:$19,
            _xlfn.XMATCH(INDEX($2:$2, COLUMN()),
                   Assessment!$4:$4, 0)
      ),
      NA()
    ),
    NA()
  ),
  NA()
)</f>
        <v>#N/A</v>
      </c>
      <c r="Q53" s="106" t="e" cm="1">
        <f t="array" ref="Q53">IF(
  AND(
    INDEX($2:$2, COLUMN()) &gt;= MTP_BaseYear,
    INDEX($2:$2, COLUMN()) &lt;= OutturnThrough
  ),
  IFERROR(
    IF(
      Q49 - INDEX(Assessment!$19:$19,
                   _xlfn.XMATCH(INDEX($2:$2, COLUMN()),
                          Assessment!$4:$4, 0)
            ) &lt; 0,
      INDEX(Assessment!$19:$19,
            _xlfn.XMATCH(INDEX($2:$2, COLUMN()),
                   Assessment!$4:$4, 0)
      ),
      NA()
    ),
    NA()
  ),
  NA()
)</f>
        <v>#N/A</v>
      </c>
      <c r="R53" s="106" t="e" cm="1">
        <f t="array" ref="R53">IF(
  AND(
    INDEX($2:$2, COLUMN()) &gt;= MTP_BaseYear,
    INDEX($2:$2, COLUMN()) &lt;= OutturnThrough
  ),
  IFERROR(
    IF(
      R49 - INDEX(Assessment!$19:$19,
                   _xlfn.XMATCH(INDEX($2:$2, COLUMN()),
                          Assessment!$4:$4, 0)
            ) &lt; 0,
      INDEX(Assessment!$19:$19,
            _xlfn.XMATCH(INDEX($2:$2, COLUMN()),
                   Assessment!$4:$4, 0)
      ),
      NA()
    ),
    NA()
  ),
  NA()
)</f>
        <v>#N/A</v>
      </c>
      <c r="S53" s="106" t="e" cm="1">
        <f t="array" ref="S53">IF(
  AND(
    INDEX($2:$2, COLUMN()) &gt;= MTP_BaseYear,
    INDEX($2:$2, COLUMN()) &lt;= OutturnThrough
  ),
  IFERROR(
    IF(
      S49 - INDEX(Assessment!$19:$19,
                   _xlfn.XMATCH(INDEX($2:$2, COLUMN()),
                          Assessment!$4:$4, 0)
            ) &lt; 0,
      INDEX(Assessment!$19:$19,
            _xlfn.XMATCH(INDEX($2:$2, COLUMN()),
                   Assessment!$4:$4, 0)
      ),
      NA()
    ),
    NA()
  ),
  NA()
)</f>
        <v>#N/A</v>
      </c>
      <c r="T53" s="106" t="e" cm="1">
        <f t="array" ref="T53">IF(
  AND(
    INDEX($2:$2, COLUMN()) &gt;= MTP_BaseYear,
    INDEX($2:$2, COLUMN()) &lt;= OutturnThrough
  ),
  IFERROR(
    IF(
      T49 - INDEX(Assessment!$19:$19,
                   _xlfn.XMATCH(INDEX($2:$2, COLUMN()),
                          Assessment!$4:$4, 0)
            ) &lt; 0,
      INDEX(Assessment!$19:$19,
            _xlfn.XMATCH(INDEX($2:$2, COLUMN()),
                   Assessment!$4:$4, 0)
      ),
      NA()
    ),
    NA()
  ),
  NA()
)</f>
        <v>#N/A</v>
      </c>
      <c r="U53" s="106" t="e" cm="1">
        <f t="array" ref="U53">IF(
  AND(
    INDEX($2:$2, COLUMN()) &gt;= MTP_BaseYear,
    INDEX($2:$2, COLUMN()) &lt;= OutturnThrough
  ),
  IFERROR(
    IF(
      U49 - INDEX(Assessment!$19:$19,
                   _xlfn.XMATCH(INDEX($2:$2, COLUMN()),
                          Assessment!$4:$4, 0)
            ) &lt; 0,
      INDEX(Assessment!$19:$19,
            _xlfn.XMATCH(INDEX($2:$2, COLUMN()),
                   Assessment!$4:$4, 0)
      ),
      NA()
    ),
    NA()
  ),
  NA()
)</f>
        <v>#N/A</v>
      </c>
      <c r="V53" s="106" t="e" cm="1">
        <f t="array" ref="V53">IF(
  AND(
    INDEX($2:$2, COLUMN()) &gt;= MTP_BaseYear,
    INDEX($2:$2, COLUMN()) &lt;= OutturnThrough
  ),
  IFERROR(
    IF(
      V49 - INDEX(Assessment!$19:$19,
                   _xlfn.XMATCH(INDEX($2:$2, COLUMN()),
                          Assessment!$4:$4, 0)
            ) &lt; 0,
      INDEX(Assessment!$19:$19,
            _xlfn.XMATCH(INDEX($2:$2, COLUMN()),
                   Assessment!$4:$4, 0)
      ),
      NA()
    ),
    NA()
  ),
  NA()
)</f>
        <v>#N/A</v>
      </c>
      <c r="W53" s="106" t="e" cm="1">
        <f t="array" ref="W53">IF(
  AND(
    INDEX($2:$2, COLUMN()) &gt;= MTP_BaseYear,
    INDEX($2:$2, COLUMN()) &lt;= OutturnThrough
  ),
  IFERROR(
    IF(
      W49 - INDEX(Assessment!$19:$19,
                   _xlfn.XMATCH(INDEX($2:$2, COLUMN()),
                          Assessment!$4:$4, 0)
            ) &lt; 0,
      INDEX(Assessment!$19:$19,
            _xlfn.XMATCH(INDEX($2:$2, COLUMN()),
                   Assessment!$4:$4, 0)
      ),
      NA()
    ),
    NA()
  ),
  NA()
)</f>
        <v>#N/A</v>
      </c>
    </row>
    <row r="54" spans="2:23" ht="13.5" customHeight="1" x14ac:dyDescent="0.4">
      <c r="C54" s="2" t="s">
        <v>299</v>
      </c>
      <c r="F54" s="106" cm="1">
        <f t="array" ref="F54">IF(
  AND(
    INDEX('Chart data'!$2:$2, COLUMN()) &gt;= MTP_BaseYear,
    INDEX('Chart data'!$2:$2, COLUMN()) &lt;= OutturnThrough
  ),
  IFERROR(
    IF(
      F49 - INDEX(Assessment!$19:$19,
                   _xlfn.XMATCH(INDEX('Chart data'!$2:$2, COLUMN()),
                          Assessment!$4:$4, 0)
            ) &gt;= 0,
      INDEX(Assessment!$19:$19,
            _xlfn.XMATCH(INDEX('Chart data'!$2:$2, COLUMN()),
                   Assessment!$4:$4, 0)
      ),
      NA()
    ),
    NA()
  ),
  NA()
)</f>
        <v>0</v>
      </c>
      <c r="G54" s="106" cm="1">
        <f t="array" ref="G54">IF(
  AND(
    INDEX('Chart data'!$2:$2, COLUMN()) &gt;= MTP_BaseYear,
    INDEX('Chart data'!$2:$2, COLUMN()) &lt;= OutturnThrough
  ),
  IFERROR(
    IF(
      G49 - INDEX(Assessment!$19:$19,
                   _xlfn.XMATCH(INDEX('Chart data'!$2:$2, COLUMN()),
                          Assessment!$4:$4, 0)
            ) &gt;= 0,
      INDEX(Assessment!$19:$19,
            _xlfn.XMATCH(INDEX('Chart data'!$2:$2, COLUMN()),
                   Assessment!$4:$4, 0)
      ),
      NA()
    ),
    NA()
  ),
  NA()
)</f>
        <v>0</v>
      </c>
      <c r="H54" s="106" t="e" cm="1">
        <f t="array" ref="H54">IF(
  AND(
    INDEX('Chart data'!$2:$2, COLUMN()) &gt;= MTP_BaseYear,
    INDEX('Chart data'!$2:$2, COLUMN()) &lt;= OutturnThrough
  ),
  IFERROR(
    IF(
      H49 - INDEX(Assessment!$19:$19,
                   _xlfn.XMATCH(INDEX('Chart data'!$2:$2, COLUMN()),
                          Assessment!$4:$4, 0)
            ) &gt;= 0,
      INDEX(Assessment!$19:$19,
            _xlfn.XMATCH(INDEX('Chart data'!$2:$2, COLUMN()),
                   Assessment!$4:$4, 0)
      ),
      NA()
    ),
    NA()
  ),
  NA()
)</f>
        <v>#N/A</v>
      </c>
      <c r="I54" s="106" t="e" cm="1">
        <f t="array" ref="I54">IF(
  AND(
    INDEX('Chart data'!$2:$2, COLUMN()) &gt;= MTP_BaseYear,
    INDEX('Chart data'!$2:$2, COLUMN()) &lt;= OutturnThrough
  ),
  IFERROR(
    IF(
      I49 - INDEX(Assessment!$19:$19,
                   _xlfn.XMATCH(INDEX('Chart data'!$2:$2, COLUMN()),
                          Assessment!$4:$4, 0)
            ) &gt;= 0,
      INDEX(Assessment!$19:$19,
            _xlfn.XMATCH(INDEX('Chart data'!$2:$2, COLUMN()),
                   Assessment!$4:$4, 0)
      ),
      NA()
    ),
    NA()
  ),
  NA()
)</f>
        <v>#N/A</v>
      </c>
      <c r="J54" s="106" t="e" cm="1">
        <f t="array" ref="J54">IF(
  AND(
    INDEX('Chart data'!$2:$2, COLUMN()) &gt;= MTP_BaseYear,
    INDEX('Chart data'!$2:$2, COLUMN()) &lt;= OutturnThrough
  ),
  IFERROR(
    IF(
      J49 - INDEX(Assessment!$19:$19,
                   _xlfn.XMATCH(INDEX('Chart data'!$2:$2, COLUMN()),
                          Assessment!$4:$4, 0)
            ) &gt;= 0,
      INDEX(Assessment!$19:$19,
            _xlfn.XMATCH(INDEX('Chart data'!$2:$2, COLUMN()),
                   Assessment!$4:$4, 0)
      ),
      NA()
    ),
    NA()
  ),
  NA()
)</f>
        <v>#N/A</v>
      </c>
      <c r="K54" s="106" t="e" cm="1">
        <f t="array" ref="K54">IF(
  AND(
    INDEX('Chart data'!$2:$2, COLUMN()) &gt;= MTP_BaseYear,
    INDEX('Chart data'!$2:$2, COLUMN()) &lt;= OutturnThrough
  ),
  IFERROR(
    IF(
      K49 - INDEX(Assessment!$19:$19,
                   _xlfn.XMATCH(INDEX('Chart data'!$2:$2, COLUMN()),
                          Assessment!$4:$4, 0)
            ) &gt;= 0,
      INDEX(Assessment!$19:$19,
            _xlfn.XMATCH(INDEX('Chart data'!$2:$2, COLUMN()),
                   Assessment!$4:$4, 0)
      ),
      NA()
    ),
    NA()
  ),
  NA()
)</f>
        <v>#N/A</v>
      </c>
      <c r="L54" s="106" t="e" cm="1">
        <f t="array" ref="L54">IF(
  AND(
    INDEX('Chart data'!$2:$2, COLUMN()) &gt;= MTP_BaseYear,
    INDEX('Chart data'!$2:$2, COLUMN()) &lt;= OutturnThrough
  ),
  IFERROR(
    IF(
      L49 - INDEX(Assessment!$19:$19,
                   _xlfn.XMATCH(INDEX('Chart data'!$2:$2, COLUMN()),
                          Assessment!$4:$4, 0)
            ) &gt;= 0,
      INDEX(Assessment!$19:$19,
            _xlfn.XMATCH(INDEX('Chart data'!$2:$2, COLUMN()),
                   Assessment!$4:$4, 0)
      ),
      NA()
    ),
    NA()
  ),
  NA()
)</f>
        <v>#N/A</v>
      </c>
      <c r="M54" s="106" t="e" cm="1">
        <f t="array" ref="M54">IF(
  AND(
    INDEX('Chart data'!$2:$2, COLUMN()) &gt;= MTP_BaseYear,
    INDEX('Chart data'!$2:$2, COLUMN()) &lt;= OutturnThrough
  ),
  IFERROR(
    IF(
      M49 - INDEX(Assessment!$19:$19,
                   _xlfn.XMATCH(INDEX('Chart data'!$2:$2, COLUMN()),
                          Assessment!$4:$4, 0)
            ) &gt;= 0,
      INDEX(Assessment!$19:$19,
            _xlfn.XMATCH(INDEX('Chart data'!$2:$2, COLUMN()),
                   Assessment!$4:$4, 0)
      ),
      NA()
    ),
    NA()
  ),
  NA()
)</f>
        <v>#N/A</v>
      </c>
      <c r="N54" s="106" t="e" cm="1">
        <f t="array" ref="N54">IF(
  AND(
    INDEX('Chart data'!$2:$2, COLUMN()) &gt;= MTP_BaseYear,
    INDEX('Chart data'!$2:$2, COLUMN()) &lt;= OutturnThrough
  ),
  IFERROR(
    IF(
      N49 - INDEX(Assessment!$19:$19,
                   _xlfn.XMATCH(INDEX('Chart data'!$2:$2, COLUMN()),
                          Assessment!$4:$4, 0)
            ) &gt;= 0,
      INDEX(Assessment!$19:$19,
            _xlfn.XMATCH(INDEX('Chart data'!$2:$2, COLUMN()),
                   Assessment!$4:$4, 0)
      ),
      NA()
    ),
    NA()
  ),
  NA()
)</f>
        <v>#N/A</v>
      </c>
      <c r="O54" s="106" t="e" cm="1">
        <f t="array" ref="O54">IF(
  AND(
    INDEX('Chart data'!$2:$2, COLUMN()) &gt;= MTP_BaseYear,
    INDEX('Chart data'!$2:$2, COLUMN()) &lt;= OutturnThrough
  ),
  IFERROR(
    IF(
      O49 - INDEX(Assessment!$19:$19,
                   _xlfn.XMATCH(INDEX('Chart data'!$2:$2, COLUMN()),
                          Assessment!$4:$4, 0)
            ) &gt;= 0,
      INDEX(Assessment!$19:$19,
            _xlfn.XMATCH(INDEX('Chart data'!$2:$2, COLUMN()),
                   Assessment!$4:$4, 0)
      ),
      NA()
    ),
    NA()
  ),
  NA()
)</f>
        <v>#N/A</v>
      </c>
      <c r="P54" s="106" t="e" cm="1">
        <f t="array" ref="P54">IF(
  AND(
    INDEX('Chart data'!$2:$2, COLUMN()) &gt;= MTP_BaseYear,
    INDEX('Chart data'!$2:$2, COLUMN()) &lt;= OutturnThrough
  ),
  IFERROR(
    IF(
      P49 - INDEX(Assessment!$19:$19,
                   _xlfn.XMATCH(INDEX('Chart data'!$2:$2, COLUMN()),
                          Assessment!$4:$4, 0)
            ) &gt;= 0,
      INDEX(Assessment!$19:$19,
            _xlfn.XMATCH(INDEX('Chart data'!$2:$2, COLUMN()),
                   Assessment!$4:$4, 0)
      ),
      NA()
    ),
    NA()
  ),
  NA()
)</f>
        <v>#N/A</v>
      </c>
      <c r="Q54" s="106" t="e" cm="1">
        <f t="array" ref="Q54">IF(
  AND(
    INDEX('Chart data'!$2:$2, COLUMN()) &gt;= MTP_BaseYear,
    INDEX('Chart data'!$2:$2, COLUMN()) &lt;= OutturnThrough
  ),
  IFERROR(
    IF(
      Q49 - INDEX(Assessment!$19:$19,
                   _xlfn.XMATCH(INDEX('Chart data'!$2:$2, COLUMN()),
                          Assessment!$4:$4, 0)
            ) &gt;= 0,
      INDEX(Assessment!$19:$19,
            _xlfn.XMATCH(INDEX('Chart data'!$2:$2, COLUMN()),
                   Assessment!$4:$4, 0)
      ),
      NA()
    ),
    NA()
  ),
  NA()
)</f>
        <v>#N/A</v>
      </c>
      <c r="R54" s="106" t="e" cm="1">
        <f t="array" ref="R54">IF(
  AND(
    INDEX('Chart data'!$2:$2, COLUMN()) &gt;= MTP_BaseYear,
    INDEX('Chart data'!$2:$2, COLUMN()) &lt;= OutturnThrough
  ),
  IFERROR(
    IF(
      R49 - INDEX(Assessment!$19:$19,
                   _xlfn.XMATCH(INDEX('Chart data'!$2:$2, COLUMN()),
                          Assessment!$4:$4, 0)
            ) &gt;= 0,
      INDEX(Assessment!$19:$19,
            _xlfn.XMATCH(INDEX('Chart data'!$2:$2, COLUMN()),
                   Assessment!$4:$4, 0)
      ),
      NA()
    ),
    NA()
  ),
  NA()
)</f>
        <v>#N/A</v>
      </c>
      <c r="S54" s="106" t="e" cm="1">
        <f t="array" ref="S54">IF(
  AND(
    INDEX('Chart data'!$2:$2, COLUMN()) &gt;= MTP_BaseYear,
    INDEX('Chart data'!$2:$2, COLUMN()) &lt;= OutturnThrough
  ),
  IFERROR(
    IF(
      S49 - INDEX(Assessment!$19:$19,
                   _xlfn.XMATCH(INDEX('Chart data'!$2:$2, COLUMN()),
                          Assessment!$4:$4, 0)
            ) &gt;= 0,
      INDEX(Assessment!$19:$19,
            _xlfn.XMATCH(INDEX('Chart data'!$2:$2, COLUMN()),
                   Assessment!$4:$4, 0)
      ),
      NA()
    ),
    NA()
  ),
  NA()
)</f>
        <v>#N/A</v>
      </c>
      <c r="T54" s="106" t="e" cm="1">
        <f t="array" ref="T54">IF(
  AND(
    INDEX('Chart data'!$2:$2, COLUMN()) &gt;= MTP_BaseYear,
    INDEX('Chart data'!$2:$2, COLUMN()) &lt;= OutturnThrough
  ),
  IFERROR(
    IF(
      T49 - INDEX(Assessment!$19:$19,
                   _xlfn.XMATCH(INDEX('Chart data'!$2:$2, COLUMN()),
                          Assessment!$4:$4, 0)
            ) &gt;= 0,
      INDEX(Assessment!$19:$19,
            _xlfn.XMATCH(INDEX('Chart data'!$2:$2, COLUMN()),
                   Assessment!$4:$4, 0)
      ),
      NA()
    ),
    NA()
  ),
  NA()
)</f>
        <v>#N/A</v>
      </c>
      <c r="U54" s="106" t="e" cm="1">
        <f t="array" ref="U54">IF(
  AND(
    INDEX('Chart data'!$2:$2, COLUMN()) &gt;= MTP_BaseYear,
    INDEX('Chart data'!$2:$2, COLUMN()) &lt;= OutturnThrough
  ),
  IFERROR(
    IF(
      U49 - INDEX(Assessment!$19:$19,
                   _xlfn.XMATCH(INDEX('Chart data'!$2:$2, COLUMN()),
                          Assessment!$4:$4, 0)
            ) &gt;= 0,
      INDEX(Assessment!$19:$19,
            _xlfn.XMATCH(INDEX('Chart data'!$2:$2, COLUMN()),
                   Assessment!$4:$4, 0)
      ),
      NA()
    ),
    NA()
  ),
  NA()
)</f>
        <v>#N/A</v>
      </c>
      <c r="V54" s="106" t="e" cm="1">
        <f t="array" ref="V54">IF(
  AND(
    INDEX('Chart data'!$2:$2, COLUMN()) &gt;= MTP_BaseYear,
    INDEX('Chart data'!$2:$2, COLUMN()) &lt;= OutturnThrough
  ),
  IFERROR(
    IF(
      V49 - INDEX(Assessment!$19:$19,
                   _xlfn.XMATCH(INDEX('Chart data'!$2:$2, COLUMN()),
                          Assessment!$4:$4, 0)
            ) &gt;= 0,
      INDEX(Assessment!$19:$19,
            _xlfn.XMATCH(INDEX('Chart data'!$2:$2, COLUMN()),
                   Assessment!$4:$4, 0)
      ),
      NA()
    ),
    NA()
  ),
  NA()
)</f>
        <v>#N/A</v>
      </c>
      <c r="W54" s="106" t="e" cm="1">
        <f t="array" ref="W54">IF(
  AND(
    INDEX('Chart data'!$2:$2, COLUMN()) &gt;= MTP_BaseYear,
    INDEX('Chart data'!$2:$2, COLUMN()) &lt;= OutturnThrough
  ),
  IFERROR(
    IF(
      W49 - INDEX(Assessment!$19:$19,
                   _xlfn.XMATCH(INDEX('Chart data'!$2:$2, COLUMN()),
                          Assessment!$4:$4, 0)
            ) &gt;= 0,
      INDEX(Assessment!$19:$19,
            _xlfn.XMATCH(INDEX('Chart data'!$2:$2, COLUMN()),
                   Assessment!$4:$4, 0)
      ),
      NA()
    ),
    NA()
  ),
  NA()
)</f>
        <v>#N/A</v>
      </c>
    </row>
    <row r="55" spans="2:23" x14ac:dyDescent="0.4">
      <c r="C55" s="110" t="s">
        <v>564</v>
      </c>
      <c r="D55" s="4">
        <f>IF(_xlfn.AGGREGATE(5,6,F49:W54)&lt;0, _xlfn.AGGREGATE(5,6,F49:W54), 0)</f>
        <v>0</v>
      </c>
      <c r="F55" s="64"/>
      <c r="G55" s="64"/>
      <c r="H55" s="64"/>
      <c r="I55" s="64"/>
      <c r="J55" s="64"/>
      <c r="K55" s="64"/>
      <c r="L55" s="64"/>
      <c r="M55" s="64"/>
      <c r="N55" s="64"/>
      <c r="O55" s="64"/>
      <c r="P55" s="64"/>
      <c r="Q55" s="64"/>
      <c r="R55" s="64"/>
      <c r="S55" s="64"/>
      <c r="T55" s="64"/>
      <c r="U55" s="64"/>
      <c r="V55" s="64"/>
      <c r="W55" s="64"/>
    </row>
    <row r="56" spans="2:23" x14ac:dyDescent="0.4">
      <c r="C56" s="110" t="s">
        <v>565</v>
      </c>
      <c r="D56" s="4">
        <f>_xlfn.AGGREGATE(4,6,F49:W54)</f>
        <v>0</v>
      </c>
    </row>
    <row r="57" spans="2:23" ht="13.5" customHeight="1" x14ac:dyDescent="0.4">
      <c r="C57" s="2"/>
      <c r="F57" s="4"/>
      <c r="G57" s="4"/>
      <c r="H57" s="4"/>
      <c r="I57" s="4"/>
      <c r="J57" s="4"/>
      <c r="K57" s="4"/>
      <c r="L57" s="4"/>
      <c r="M57" s="4"/>
      <c r="N57" s="4"/>
      <c r="O57" s="4"/>
      <c r="P57" s="4"/>
      <c r="Q57" s="4"/>
      <c r="R57" s="4"/>
      <c r="S57" s="4"/>
      <c r="T57" s="4"/>
    </row>
    <row r="58" spans="2:23" ht="13.5" customHeight="1" x14ac:dyDescent="0.6">
      <c r="B58" s="110" t="s">
        <v>502</v>
      </c>
      <c r="C58" s="11" t="s">
        <v>943</v>
      </c>
      <c r="F58" s="4"/>
      <c r="G58" s="4"/>
      <c r="H58" s="4"/>
      <c r="I58" s="4"/>
      <c r="J58" s="4"/>
      <c r="K58" s="4"/>
      <c r="L58" s="4"/>
      <c r="M58" s="4"/>
      <c r="N58" s="4"/>
      <c r="O58" s="4"/>
      <c r="P58" s="4"/>
      <c r="Q58" s="4"/>
      <c r="R58" s="4"/>
      <c r="S58" s="4"/>
      <c r="T58" s="4"/>
      <c r="U58" s="4"/>
      <c r="V58" s="4"/>
      <c r="W58" s="4"/>
    </row>
    <row r="59" spans="2:23" ht="13.5" customHeight="1" x14ac:dyDescent="0.4">
      <c r="C59" s="2" t="s">
        <v>390</v>
      </c>
      <c r="E59" s="64" t="e">
        <f>IF(
  AND(
    ISNUMBER(Assessment!C38),
    ISNUMBER(Assessment!D38)
  ),
  Assessment!D38-Assessment!C38,
  NA()
)</f>
        <v>#N/A</v>
      </c>
      <c r="F59" s="64">
        <f>IF(
  AND(
    ISNUMBER(Assessment!D38),
    ISNUMBER(Assessment!E38)
  ),
  Assessment!E38-Assessment!D38,
  NA()
)</f>
        <v>0</v>
      </c>
      <c r="G59" s="64">
        <f>IF(
  AND(
    ISNUMBER(Assessment!E38),
    ISNUMBER(Assessment!F38)
  ),
  Assessment!F38-Assessment!E38,
  NA()
)</f>
        <v>0</v>
      </c>
      <c r="H59" s="64">
        <f>IF(
  AND(
    ISNUMBER(Assessment!F38),
    ISNUMBER(Assessment!G38)
  ),
  Assessment!G38-Assessment!F38,
  NA()
)</f>
        <v>0</v>
      </c>
      <c r="I59" s="64">
        <f>IF(
  AND(
    ISNUMBER(Assessment!G38),
    ISNUMBER(Assessment!H38)
  ),
  Assessment!H38-Assessment!G38,
  NA()
)</f>
        <v>0</v>
      </c>
      <c r="J59" s="64">
        <f>IF(
  AND(
    ISNUMBER(Assessment!H38),
    ISNUMBER(Assessment!I38)
  ),
  Assessment!I38-Assessment!H38,
  NA()
)</f>
        <v>0</v>
      </c>
      <c r="K59" s="64" t="e">
        <f>IF(
  AND(
    ISNUMBER(Assessment!I38),
    ISNUMBER(Assessment!J38)
  ),
  Assessment!J38-Assessment!I38,
  NA()
)</f>
        <v>#N/A</v>
      </c>
      <c r="L59" s="64" t="e">
        <f>IF(
  AND(
    ISNUMBER(Assessment!J38),
    ISNUMBER(Assessment!K38)
  ),
  Assessment!K38-Assessment!J38,
  NA()
)</f>
        <v>#N/A</v>
      </c>
      <c r="M59" s="64" t="e">
        <f>IF(
  AND(
    ISNUMBER(Assessment!K38),
    ISNUMBER(Assessment!L38)
  ),
  Assessment!L38-Assessment!K38,
  NA()
)</f>
        <v>#N/A</v>
      </c>
      <c r="N59" s="64" t="e">
        <f>IF(
  AND(
    ISNUMBER(Assessment!L38),
    ISNUMBER(Assessment!M38)
  ),
  Assessment!M38-Assessment!L38,
  NA()
)</f>
        <v>#N/A</v>
      </c>
      <c r="O59" s="64" t="e">
        <f>IF(
  AND(
    ISNUMBER(Assessment!M38),
    ISNUMBER(Assessment!N38)
  ),
  Assessment!N38-Assessment!M38,
  NA()
)</f>
        <v>#N/A</v>
      </c>
      <c r="P59" s="64" t="e">
        <f>IF(
  AND(
    ISNUMBER(Assessment!N38),
    ISNUMBER(Assessment!O38)
  ),
  Assessment!O38-Assessment!N38,
  NA()
)</f>
        <v>#N/A</v>
      </c>
      <c r="Q59" s="64" t="e">
        <f>IF(
  AND(
    ISNUMBER(Assessment!O38),
    ISNUMBER(Assessment!P38)
  ),
  Assessment!P38-Assessment!O38,
  NA()
)</f>
        <v>#N/A</v>
      </c>
      <c r="R59" s="64" t="e">
        <f>IF(
  AND(
    ISNUMBER(Assessment!P38),
    ISNUMBER(Assessment!Q38)
  ),
  Assessment!Q38-Assessment!P38,
  NA()
)</f>
        <v>#N/A</v>
      </c>
      <c r="S59" s="64" t="e">
        <f>IF(
  AND(
    ISNUMBER(Assessment!Q38),
    ISNUMBER(Assessment!R38)
  ),
  Assessment!R38-Assessment!Q38,
  NA()
)</f>
        <v>#N/A</v>
      </c>
      <c r="T59" s="64" t="e">
        <f>IF(
  AND(
    ISNUMBER(Assessment!R38),
    ISNUMBER(Assessment!S38)
  ),
  Assessment!S38-Assessment!R38,
  NA()
)</f>
        <v>#N/A</v>
      </c>
      <c r="U59" s="64" t="e">
        <f>IF(
  AND(
    ISNUMBER(Assessment!S38),
    ISNUMBER(Assessment!T38)
  ),
  Assessment!T38-Assessment!S38,
  NA()
)</f>
        <v>#N/A</v>
      </c>
      <c r="V59" s="64" t="e">
        <f>IF(
  AND(
    ISNUMBER(Assessment!T38),
    ISNUMBER(Assessment!U38)
  ),
  Assessment!U38-Assessment!T38,
  NA()
)</f>
        <v>#N/A</v>
      </c>
      <c r="W59" s="64" t="e">
        <f>IF(
  AND(
    ISNUMBER(Assessment!U38),
    ISNUMBER(Assessment!V38)
  ),
  Assessment!V38-Assessment!U38,
  NA()
)</f>
        <v>#N/A</v>
      </c>
    </row>
    <row r="60" spans="2:23" ht="13.5" customHeight="1" x14ac:dyDescent="0.4">
      <c r="C60" s="2" t="s">
        <v>296</v>
      </c>
      <c r="E60" s="64"/>
      <c r="F60" s="64"/>
      <c r="G60" s="64"/>
      <c r="H60" s="64"/>
      <c r="I60" s="64"/>
      <c r="J60" s="64"/>
      <c r="K60" s="64"/>
      <c r="L60" s="64"/>
      <c r="M60" s="64"/>
      <c r="N60" s="64"/>
      <c r="O60" s="64"/>
      <c r="P60" s="64"/>
      <c r="Q60" s="64"/>
      <c r="R60" s="64"/>
      <c r="S60" s="64"/>
      <c r="T60" s="64"/>
      <c r="U60" s="64"/>
      <c r="V60" s="64"/>
      <c r="W60" s="64"/>
    </row>
    <row r="61" spans="2:23" ht="13.5" customHeight="1" x14ac:dyDescent="0.4">
      <c r="C61" s="2" t="s">
        <v>297</v>
      </c>
      <c r="E61" s="64"/>
      <c r="F61" s="64"/>
      <c r="G61" s="64"/>
      <c r="H61" s="64"/>
      <c r="I61" s="64"/>
      <c r="J61" s="64"/>
      <c r="K61" s="64"/>
      <c r="L61" s="64"/>
      <c r="M61" s="64"/>
      <c r="N61" s="64"/>
      <c r="O61" s="64"/>
      <c r="P61" s="64"/>
      <c r="Q61" s="64"/>
      <c r="R61" s="64"/>
      <c r="S61" s="64"/>
      <c r="T61" s="64"/>
      <c r="U61" s="64"/>
      <c r="V61" s="64"/>
      <c r="W61" s="64"/>
    </row>
    <row r="62" spans="2:23" ht="13.5" customHeight="1" x14ac:dyDescent="0.4">
      <c r="C62" s="2" t="s">
        <v>298</v>
      </c>
      <c r="E62" s="64" t="e" cm="1">
        <f t="array" ref="E62">IF(
  AND(
    INDEX(2:2, COLUMN()) &gt; MTP_BaseYear,
    INDEX(2:2, COLUMN()) &lt;= OutturnThrough
  ),
  IFERROR(
    IF(
      Assessment!D21 &lt;= INDEX($65:$65, COLUMN()),
      Assessment!D21,
      NA()
    ),
    NA()
  ),
  NA()
)</f>
        <v>#N/A</v>
      </c>
      <c r="F62" s="64" t="e" cm="1">
        <f t="array" ref="F62">IF(
  AND(
    INDEX(2:2, COLUMN()) &gt; MTP_BaseYear,
    INDEX(2:2, COLUMN()) &lt;= OutturnThrough
  ),
  IFERROR(
    IF(
      Assessment!E21 &lt;= INDEX($65:$65, COLUMN()),
      Assessment!E21,
      NA()
    ),
    NA()
  ),
  NA()
)</f>
        <v>#N/A</v>
      </c>
      <c r="G62" s="64" t="e" cm="1">
        <f t="array" ref="G62">IF(
  AND(
    INDEX(2:2, COLUMN()) &gt; MTP_BaseYear,
    INDEX(2:2, COLUMN()) &lt;= OutturnThrough
  ),
  IFERROR(
    IF(
      Assessment!F21 &lt;= INDEX($65:$65, COLUMN()),
      Assessment!F21,
      NA()
    ),
    NA()
  ),
  NA()
)</f>
        <v>#N/A</v>
      </c>
      <c r="H62" s="64" t="e" cm="1">
        <f t="array" ref="H62">IF(
  AND(
    INDEX(2:2, COLUMN()) &gt; MTP_BaseYear,
    INDEX(2:2, COLUMN()) &lt;= OutturnThrough
  ),
  IFERROR(
    IF(
      Assessment!G21 &lt;= INDEX($65:$65, COLUMN()),
      Assessment!G21,
      NA()
    ),
    NA()
  ),
  NA()
)</f>
        <v>#N/A</v>
      </c>
      <c r="I62" s="64" t="e" cm="1">
        <f t="array" ref="I62">IF(
  AND(
    INDEX(2:2, COLUMN()) &gt; MTP_BaseYear,
    INDEX(2:2, COLUMN()) &lt;= OutturnThrough
  ),
  IFERROR(
    IF(
      Assessment!H21 &lt;= INDEX($65:$65, COLUMN()),
      Assessment!H21,
      NA()
    ),
    NA()
  ),
  NA()
)</f>
        <v>#N/A</v>
      </c>
      <c r="J62" s="64" t="e" cm="1">
        <f t="array" ref="J62">IF(
  AND(
    INDEX(2:2, COLUMN()) &gt; MTP_BaseYear,
    INDEX(2:2, COLUMN()) &lt;= OutturnThrough
  ),
  IFERROR(
    IF(
      Assessment!I21 &lt;= INDEX($65:$65, COLUMN()),
      Assessment!I21,
      NA()
    ),
    NA()
  ),
  NA()
)</f>
        <v>#N/A</v>
      </c>
      <c r="K62" s="64" t="e" cm="1">
        <f t="array" ref="K62">IF(
  AND(
    INDEX(2:2, COLUMN()) &gt; MTP_BaseYear,
    INDEX(2:2, COLUMN()) &lt;= OutturnThrough
  ),
  IFERROR(
    IF(
      Assessment!J21 &lt;= INDEX($65:$65, COLUMN()),
      Assessment!J21,
      NA()
    ),
    NA()
  ),
  NA()
)</f>
        <v>#N/A</v>
      </c>
      <c r="L62" s="64" t="e" cm="1">
        <f t="array" ref="L62">IF(
  AND(
    INDEX(2:2, COLUMN()) &gt; MTP_BaseYear,
    INDEX(2:2, COLUMN()) &lt;= OutturnThrough
  ),
  IFERROR(
    IF(
      Assessment!K21 &lt;= INDEX($65:$65, COLUMN()),
      Assessment!K21,
      NA()
    ),
    NA()
  ),
  NA()
)</f>
        <v>#N/A</v>
      </c>
      <c r="M62" s="64" t="e" cm="1">
        <f t="array" ref="M62">IF(
  AND(
    INDEX(2:2, COLUMN()) &gt; MTP_BaseYear,
    INDEX(2:2, COLUMN()) &lt;= OutturnThrough
  ),
  IFERROR(
    IF(
      Assessment!L21 &lt;= INDEX($65:$65, COLUMN()),
      Assessment!L21,
      NA()
    ),
    NA()
  ),
  NA()
)</f>
        <v>#N/A</v>
      </c>
      <c r="N62" s="64" t="e" cm="1">
        <f t="array" ref="N62">IF(
  AND(
    INDEX(2:2, COLUMN()) &gt; MTP_BaseYear,
    INDEX(2:2, COLUMN()) &lt;= OutturnThrough
  ),
  IFERROR(
    IF(
      Assessment!M21 &lt;= INDEX($65:$65, COLUMN()),
      Assessment!M21,
      NA()
    ),
    NA()
  ),
  NA()
)</f>
        <v>#N/A</v>
      </c>
      <c r="O62" s="64" t="e" cm="1">
        <f t="array" ref="O62">IF(
  AND(
    INDEX(2:2, COLUMN()) &gt; MTP_BaseYear,
    INDEX(2:2, COLUMN()) &lt;= OutturnThrough
  ),
  IFERROR(
    IF(
      Assessment!N21 &lt;= INDEX($65:$65, COLUMN()),
      Assessment!N21,
      NA()
    ),
    NA()
  ),
  NA()
)</f>
        <v>#N/A</v>
      </c>
      <c r="P62" s="64" t="e" cm="1">
        <f t="array" ref="P62">IF(
  AND(
    INDEX(2:2, COLUMN()) &gt; MTP_BaseYear,
    INDEX(2:2, COLUMN()) &lt;= OutturnThrough
  ),
  IFERROR(
    IF(
      Assessment!O21 &lt;= INDEX($65:$65, COLUMN()),
      Assessment!O21,
      NA()
    ),
    NA()
  ),
  NA()
)</f>
        <v>#N/A</v>
      </c>
      <c r="Q62" s="64" t="e" cm="1">
        <f t="array" ref="Q62">IF(
  AND(
    INDEX(2:2, COLUMN()) &gt; MTP_BaseYear,
    INDEX(2:2, COLUMN()) &lt;= OutturnThrough
  ),
  IFERROR(
    IF(
      Assessment!P21 &lt;= INDEX($65:$65, COLUMN()),
      Assessment!P21,
      NA()
    ),
    NA()
  ),
  NA()
)</f>
        <v>#N/A</v>
      </c>
      <c r="R62" s="64" t="e" cm="1">
        <f t="array" ref="R62">IF(
  AND(
    INDEX(2:2, COLUMN()) &gt; MTP_BaseYear,
    INDEX(2:2, COLUMN()) &lt;= OutturnThrough
  ),
  IFERROR(
    IF(
      Assessment!Q21 &lt;= INDEX($65:$65, COLUMN()),
      Assessment!Q21,
      NA()
    ),
    NA()
  ),
  NA()
)</f>
        <v>#N/A</v>
      </c>
      <c r="S62" s="64" t="e" cm="1">
        <f t="array" ref="S62">IF(
  AND(
    INDEX(2:2, COLUMN()) &gt; MTP_BaseYear,
    INDEX(2:2, COLUMN()) &lt;= OutturnThrough
  ),
  IFERROR(
    IF(
      Assessment!R21 &lt;= INDEX($65:$65, COLUMN()),
      Assessment!R21,
      NA()
    ),
    NA()
  ),
  NA()
)</f>
        <v>#N/A</v>
      </c>
      <c r="T62" s="64" t="e" cm="1">
        <f t="array" ref="T62">IF(
  AND(
    INDEX(2:2, COLUMN()) &gt; MTP_BaseYear,
    INDEX(2:2, COLUMN()) &lt;= OutturnThrough
  ),
  IFERROR(
    IF(
      Assessment!S21 &lt;= INDEX($65:$65, COLUMN()),
      Assessment!S21,
      NA()
    ),
    NA()
  ),
  NA()
)</f>
        <v>#N/A</v>
      </c>
      <c r="U62" s="64" t="e" cm="1">
        <f t="array" ref="U62">IF(
  AND(
    INDEX(2:2, COLUMN()) &gt; MTP_BaseYear,
    INDEX(2:2, COLUMN()) &lt;= OutturnThrough
  ),
  IFERROR(
    IF(
      Assessment!T21 &lt;= INDEX($65:$65, COLUMN()),
      Assessment!T21,
      NA()
    ),
    NA()
  ),
  NA()
)</f>
        <v>#N/A</v>
      </c>
      <c r="V62" s="64" t="e" cm="1">
        <f t="array" ref="V62">IF(
  AND(
    INDEX(2:2, COLUMN()) &gt; MTP_BaseYear,
    INDEX(2:2, COLUMN()) &lt;= OutturnThrough
  ),
  IFERROR(
    IF(
      Assessment!U21 &lt;= INDEX($65:$65, COLUMN()),
      Assessment!U21,
      NA()
    ),
    NA()
  ),
  NA()
)</f>
        <v>#N/A</v>
      </c>
      <c r="W62" s="64" t="e" cm="1">
        <f t="array" ref="W62">IF(
  AND(
    INDEX(2:2, COLUMN()) &gt; MTP_BaseYear,
    INDEX(2:2, COLUMN()) &lt;= OutturnThrough
  ),
  IFERROR(
    IF(
      Assessment!V21 &lt;= INDEX($65:$65, COLUMN()),
      Assessment!V21,
      NA()
    ),
    NA()
  ),
  NA()
)</f>
        <v>#N/A</v>
      </c>
    </row>
    <row r="63" spans="2:23" ht="13.5" customHeight="1" x14ac:dyDescent="0.4">
      <c r="C63" s="2" t="s">
        <v>299</v>
      </c>
      <c r="E63" s="64" t="e" cm="1">
        <f t="array" ref="E63">IF(
  AND(
    INDEX(2:2, COLUMN()) &gt; MTP_BaseYear,
    INDEX(2:2, COLUMN()) &lt;= OutturnThrough
  ),
  IFERROR(
    IF(
      Assessment!D21 &gt; INDEX($65:$65, COLUMN()),
      Assessment!D21,
      NA()
    ),
    NA()
  ),
  NA()
)</f>
        <v>#N/A</v>
      </c>
      <c r="F63" s="64" t="e" cm="1">
        <f t="array" ref="F63">IF(
  AND(
    INDEX(2:2, COLUMN()) &gt; MTP_BaseYear,
    INDEX(2:2, COLUMN()) &lt;= OutturnThrough
  ),
  IFERROR(
    IF(
      Assessment!E21 &gt; INDEX($65:$65, COLUMN()),
      Assessment!E21,
      NA()
    ),
    NA()
  ),
  NA()
)</f>
        <v>#N/A</v>
      </c>
      <c r="G63" s="64" t="e" cm="1">
        <f t="array" ref="G63">IF(
  AND(
    INDEX(2:2, COLUMN()) &gt; MTP_BaseYear,
    INDEX(2:2, COLUMN()) &lt;= OutturnThrough
  ),
  IFERROR(
    IF(
      Assessment!F21 &gt; INDEX($65:$65, COLUMN()),
      Assessment!F21,
      NA()
    ),
    NA()
  ),
  NA()
)</f>
        <v>#N/A</v>
      </c>
      <c r="H63" s="64" t="e" cm="1">
        <f t="array" ref="H63">IF(
  AND(
    INDEX(2:2, COLUMN()) &gt; MTP_BaseYear,
    INDEX(2:2, COLUMN()) &lt;= OutturnThrough
  ),
  IFERROR(
    IF(
      Assessment!G21 &gt; INDEX($65:$65, COLUMN()),
      Assessment!G21,
      NA()
    ),
    NA()
  ),
  NA()
)</f>
        <v>#N/A</v>
      </c>
      <c r="I63" s="64" t="e" cm="1">
        <f t="array" ref="I63">IF(
  AND(
    INDEX(2:2, COLUMN()) &gt; MTP_BaseYear,
    INDEX(2:2, COLUMN()) &lt;= OutturnThrough
  ),
  IFERROR(
    IF(
      Assessment!H21 &gt; INDEX($65:$65, COLUMN()),
      Assessment!H21,
      NA()
    ),
    NA()
  ),
  NA()
)</f>
        <v>#N/A</v>
      </c>
      <c r="J63" s="64" t="e" cm="1">
        <f t="array" ref="J63">IF(
  AND(
    INDEX(2:2, COLUMN()) &gt; MTP_BaseYear,
    INDEX(2:2, COLUMN()) &lt;= OutturnThrough
  ),
  IFERROR(
    IF(
      Assessment!I21 &gt; INDEX($65:$65, COLUMN()),
      Assessment!I21,
      NA()
    ),
    NA()
  ),
  NA()
)</f>
        <v>#N/A</v>
      </c>
      <c r="K63" s="64" t="e" cm="1">
        <f t="array" ref="K63">IF(
  AND(
    INDEX(2:2, COLUMN()) &gt; MTP_BaseYear,
    INDEX(2:2, COLUMN()) &lt;= OutturnThrough
  ),
  IFERROR(
    IF(
      Assessment!J21 &gt; INDEX($65:$65, COLUMN()),
      Assessment!J21,
      NA()
    ),
    NA()
  ),
  NA()
)</f>
        <v>#N/A</v>
      </c>
      <c r="L63" s="64" t="e" cm="1">
        <f t="array" ref="L63">IF(
  AND(
    INDEX(2:2, COLUMN()) &gt; MTP_BaseYear,
    INDEX(2:2, COLUMN()) &lt;= OutturnThrough
  ),
  IFERROR(
    IF(
      Assessment!K21 &gt; INDEX($65:$65, COLUMN()),
      Assessment!K21,
      NA()
    ),
    NA()
  ),
  NA()
)</f>
        <v>#N/A</v>
      </c>
      <c r="M63" s="64" t="e" cm="1">
        <f t="array" ref="M63">IF(
  AND(
    INDEX(2:2, COLUMN()) &gt; MTP_BaseYear,
    INDEX(2:2, COLUMN()) &lt;= OutturnThrough
  ),
  IFERROR(
    IF(
      Assessment!L21 &gt; INDEX($65:$65, COLUMN()),
      Assessment!L21,
      NA()
    ),
    NA()
  ),
  NA()
)</f>
        <v>#N/A</v>
      </c>
      <c r="N63" s="64" t="e" cm="1">
        <f t="array" ref="N63">IF(
  AND(
    INDEX(2:2, COLUMN()) &gt; MTP_BaseYear,
    INDEX(2:2, COLUMN()) &lt;= OutturnThrough
  ),
  IFERROR(
    IF(
      Assessment!M21 &gt; INDEX($65:$65, COLUMN()),
      Assessment!M21,
      NA()
    ),
    NA()
  ),
  NA()
)</f>
        <v>#N/A</v>
      </c>
      <c r="O63" s="64" t="e" cm="1">
        <f t="array" ref="O63">IF(
  AND(
    INDEX(2:2, COLUMN()) &gt; MTP_BaseYear,
    INDEX(2:2, COLUMN()) &lt;= OutturnThrough
  ),
  IFERROR(
    IF(
      Assessment!N21 &gt; INDEX($65:$65, COLUMN()),
      Assessment!N21,
      NA()
    ),
    NA()
  ),
  NA()
)</f>
        <v>#N/A</v>
      </c>
      <c r="P63" s="64" t="e" cm="1">
        <f t="array" ref="P63">IF(
  AND(
    INDEX(2:2, COLUMN()) &gt; MTP_BaseYear,
    INDEX(2:2, COLUMN()) &lt;= OutturnThrough
  ),
  IFERROR(
    IF(
      Assessment!O21 &gt; INDEX($65:$65, COLUMN()),
      Assessment!O21,
      NA()
    ),
    NA()
  ),
  NA()
)</f>
        <v>#N/A</v>
      </c>
      <c r="Q63" s="64" t="e" cm="1">
        <f t="array" ref="Q63">IF(
  AND(
    INDEX(2:2, COLUMN()) &gt; MTP_BaseYear,
    INDEX(2:2, COLUMN()) &lt;= OutturnThrough
  ),
  IFERROR(
    IF(
      Assessment!P21 &gt; INDEX($65:$65, COLUMN()),
      Assessment!P21,
      NA()
    ),
    NA()
  ),
  NA()
)</f>
        <v>#N/A</v>
      </c>
      <c r="R63" s="64" t="e" cm="1">
        <f t="array" ref="R63">IF(
  AND(
    INDEX(2:2, COLUMN()) &gt; MTP_BaseYear,
    INDEX(2:2, COLUMN()) &lt;= OutturnThrough
  ),
  IFERROR(
    IF(
      Assessment!Q21 &gt; INDEX($65:$65, COLUMN()),
      Assessment!Q21,
      NA()
    ),
    NA()
  ),
  NA()
)</f>
        <v>#N/A</v>
      </c>
      <c r="S63" s="64" t="e" cm="1">
        <f t="array" ref="S63">IF(
  AND(
    INDEX(2:2, COLUMN()) &gt; MTP_BaseYear,
    INDEX(2:2, COLUMN()) &lt;= OutturnThrough
  ),
  IFERROR(
    IF(
      Assessment!R21 &gt; INDEX($65:$65, COLUMN()),
      Assessment!R21,
      NA()
    ),
    NA()
  ),
  NA()
)</f>
        <v>#N/A</v>
      </c>
      <c r="T63" s="64" t="e" cm="1">
        <f t="array" ref="T63">IF(
  AND(
    INDEX(2:2, COLUMN()) &gt; MTP_BaseYear,
    INDEX(2:2, COLUMN()) &lt;= OutturnThrough
  ),
  IFERROR(
    IF(
      Assessment!S21 &gt; INDEX($65:$65, COLUMN()),
      Assessment!S21,
      NA()
    ),
    NA()
  ),
  NA()
)</f>
        <v>#N/A</v>
      </c>
      <c r="U63" s="64" t="e" cm="1">
        <f t="array" ref="U63">IF(
  AND(
    INDEX(2:2, COLUMN()) &gt; MTP_BaseYear,
    INDEX(2:2, COLUMN()) &lt;= OutturnThrough
  ),
  IFERROR(
    IF(
      Assessment!T21 &gt; INDEX($65:$65, COLUMN()),
      Assessment!T21,
      NA()
    ),
    NA()
  ),
  NA()
)</f>
        <v>#N/A</v>
      </c>
      <c r="V63" s="64" t="e" cm="1">
        <f t="array" ref="V63">IF(
  AND(
    INDEX(2:2, COLUMN()) &gt; MTP_BaseYear,
    INDEX(2:2, COLUMN()) &lt;= OutturnThrough
  ),
  IFERROR(
    IF(
      Assessment!U21 &gt; INDEX($65:$65, COLUMN()),
      Assessment!U21,
      NA()
    ),
    NA()
  ),
  NA()
)</f>
        <v>#N/A</v>
      </c>
      <c r="W63" s="64" t="e" cm="1">
        <f t="array" ref="W63">IF(
  AND(
    INDEX(2:2, COLUMN()) &gt; MTP_BaseYear,
    INDEX(2:2, COLUMN()) &lt;= OutturnThrough
  ),
  IFERROR(
    IF(
      Assessment!V21 &gt; INDEX($65:$65, COLUMN()),
      Assessment!V21,
      NA()
    ),
    NA()
  ),
  NA()
)</f>
        <v>#N/A</v>
      </c>
    </row>
    <row r="64" spans="2:23" ht="13.5" customHeight="1" x14ac:dyDescent="0.4">
      <c r="C64" s="2" t="s">
        <v>562</v>
      </c>
      <c r="E64" s="64" t="e">
        <f>IF(OR(ISNUMBER(E62),ISNUMBER(E63)),NA(),IF(ISNUMBER(Assessment!D21),Assessment!D21,NA()))</f>
        <v>#N/A</v>
      </c>
      <c r="F64" s="64" t="e">
        <f>IF(OR(ISNUMBER(F62),ISNUMBER(F63)),NA(),IF(ISNUMBER(Assessment!E21),Assessment!E21,NA()))</f>
        <v>#N/A</v>
      </c>
      <c r="G64" s="64" t="e">
        <f>IF(OR(ISNUMBER(G62),ISNUMBER(G63)),NA(),IF(ISNUMBER(Assessment!F21),Assessment!F21,NA()))</f>
        <v>#N/A</v>
      </c>
      <c r="H64" s="64" t="e">
        <f>IF(OR(ISNUMBER(H62),ISNUMBER(H63)),NA(),IF(ISNUMBER(Assessment!G21),Assessment!G21,NA()))</f>
        <v>#N/A</v>
      </c>
      <c r="I64" s="64" t="e">
        <f>IF(OR(ISNUMBER(I62),ISNUMBER(I63)),NA(),IF(ISNUMBER(Assessment!H21),Assessment!H21,NA()))</f>
        <v>#N/A</v>
      </c>
      <c r="J64" s="64" t="e">
        <f>IF(OR(ISNUMBER(J62),ISNUMBER(J63)),NA(),IF(ISNUMBER(Assessment!I21),Assessment!I21,NA()))</f>
        <v>#N/A</v>
      </c>
      <c r="K64" s="64" t="e">
        <f>IF(OR(ISNUMBER(K62),ISNUMBER(K63)),NA(),IF(ISNUMBER(Assessment!J21),Assessment!J21,NA()))</f>
        <v>#N/A</v>
      </c>
      <c r="L64" s="64" t="e">
        <f>IF(OR(ISNUMBER(L62),ISNUMBER(L63)),NA(),IF(ISNUMBER(Assessment!K21),Assessment!K21,NA()))</f>
        <v>#N/A</v>
      </c>
      <c r="M64" s="64" t="e">
        <f>IF(OR(ISNUMBER(M62),ISNUMBER(M63)),NA(),IF(ISNUMBER(Assessment!L21),Assessment!L21,NA()))</f>
        <v>#N/A</v>
      </c>
      <c r="N64" s="64" t="e">
        <f>IF(OR(ISNUMBER(N62),ISNUMBER(N63)),NA(),IF(ISNUMBER(Assessment!M21),Assessment!M21,NA()))</f>
        <v>#N/A</v>
      </c>
      <c r="O64" s="64" t="e">
        <f>IF(OR(ISNUMBER(O62),ISNUMBER(O63)),NA(),IF(ISNUMBER(Assessment!N21),Assessment!N21,NA()))</f>
        <v>#N/A</v>
      </c>
      <c r="P64" s="64" t="e">
        <f>IF(OR(ISNUMBER(P62),ISNUMBER(P63)),NA(),IF(ISNUMBER(Assessment!O21),Assessment!O21,NA()))</f>
        <v>#N/A</v>
      </c>
      <c r="Q64" s="64" t="e">
        <f>IF(OR(ISNUMBER(Q62),ISNUMBER(Q63)),NA(),IF(ISNUMBER(Assessment!P21),Assessment!P21,NA()))</f>
        <v>#N/A</v>
      </c>
      <c r="R64" s="64" t="e">
        <f>IF(OR(ISNUMBER(R62),ISNUMBER(R63)),NA(),IF(ISNUMBER(Assessment!Q21),Assessment!Q21,NA()))</f>
        <v>#N/A</v>
      </c>
      <c r="S64" s="64" t="e">
        <f>IF(OR(ISNUMBER(S62),ISNUMBER(S63)),NA(),IF(ISNUMBER(Assessment!R21),Assessment!R21,NA()))</f>
        <v>#N/A</v>
      </c>
      <c r="T64" s="64" t="e">
        <f>IF(OR(ISNUMBER(T62),ISNUMBER(T63)),NA(),IF(ISNUMBER(Assessment!S21),Assessment!S21,NA()))</f>
        <v>#N/A</v>
      </c>
      <c r="U64" s="64" t="e">
        <f>IF(ISNUMBER(U62),NA(),IF(ISNUMBER(Assessment!T21),Assessment!T21,NA()))</f>
        <v>#N/A</v>
      </c>
      <c r="V64" s="64" t="e">
        <f>IF(ISNUMBER(V62),NA(),IF(ISNUMBER(Assessment!U21),Assessment!U21,NA()))</f>
        <v>#N/A</v>
      </c>
      <c r="W64" s="64" t="e">
        <f>IF(ISNUMBER(W62),NA(),IF(ISNUMBER(Assessment!V21),Assessment!V21,NA()))</f>
        <v>#N/A</v>
      </c>
    </row>
    <row r="65" spans="2:23" ht="13.5" customHeight="1" x14ac:dyDescent="0.4">
      <c r="C65" s="2" t="s">
        <v>563</v>
      </c>
      <c r="E65" s="64" t="e">
        <f>IF(
  ISNUMBER(Assessment!D20),
  IF(Assessment!D20&gt;90,-1,
     IF(Assessment!D20&gt;60,-0.5,0)
  ),
  NA()
)</f>
        <v>#N/A</v>
      </c>
      <c r="F65" s="64" t="e">
        <f>IF(
  ISNUMBER(Assessment!E20),
  IF(Assessment!E20&gt;90,-1,
     IF(Assessment!E20&gt;60,-0.5,0)
  ),
  NA()
)</f>
        <v>#N/A</v>
      </c>
      <c r="G65" s="64" t="e">
        <f>IF(
  ISNUMBER(Assessment!F20),
  IF(Assessment!F20&gt;90,-1,
     IF(Assessment!F20&gt;60,-0.5,0)
  ),
  NA()
)</f>
        <v>#N/A</v>
      </c>
      <c r="H65" s="64" t="e">
        <f>IF(
  ISNUMBER(Assessment!G20),
  IF(Assessment!G20&gt;90,-1,
     IF(Assessment!G20&gt;60,-0.5,0)
  ),
  NA()
)</f>
        <v>#N/A</v>
      </c>
      <c r="I65" s="64" t="e">
        <f>IF(
  ISNUMBER(Assessment!H20),
  IF(Assessment!H20&gt;90,-1,
     IF(Assessment!H20&gt;60,-0.5,0)
  ),
  NA()
)</f>
        <v>#N/A</v>
      </c>
      <c r="J65" s="64" t="e">
        <f>IF(
  ISNUMBER(Assessment!I20),
  IF(Assessment!I20&gt;90,-1,
     IF(Assessment!I20&gt;60,-0.5,0)
  ),
  NA()
)</f>
        <v>#N/A</v>
      </c>
      <c r="K65" s="64" t="e">
        <f>IF(
  ISNUMBER(Assessment!J20),
  IF(Assessment!J20&gt;90,-1,
     IF(Assessment!J20&gt;60,-0.5,0)
  ),
  NA()
)</f>
        <v>#N/A</v>
      </c>
      <c r="L65" s="64" t="e">
        <f>IF(
  ISNUMBER(Assessment!K20),
  IF(Assessment!K20&gt;90,-1,
     IF(Assessment!K20&gt;60,-0.5,0)
  ),
  NA()
)</f>
        <v>#N/A</v>
      </c>
      <c r="M65" s="64" t="e">
        <f>IF(
  ISNUMBER(Assessment!L20),
  IF(Assessment!L20&gt;90,-1,
     IF(Assessment!L20&gt;60,-0.5,0)
  ),
  NA()
)</f>
        <v>#N/A</v>
      </c>
      <c r="N65" s="64" t="e">
        <f>IF(
  ISNUMBER(Assessment!M20),
  IF(Assessment!M20&gt;90,-1,
     IF(Assessment!M20&gt;60,-0.5,0)
  ),
  NA()
)</f>
        <v>#N/A</v>
      </c>
      <c r="O65" s="64" t="e">
        <f>IF(
  ISNUMBER(Assessment!N20),
  IF(Assessment!N20&gt;90,-1,
     IF(Assessment!N20&gt;60,-0.5,0)
  ),
  NA()
)</f>
        <v>#N/A</v>
      </c>
      <c r="P65" s="64" t="e">
        <f>IF(
  ISNUMBER(Assessment!O20),
  IF(Assessment!O20&gt;90,-1,
     IF(Assessment!O20&gt;60,-0.5,0)
  ),
  NA()
)</f>
        <v>#N/A</v>
      </c>
      <c r="Q65" s="64" t="e">
        <f>IF(
  ISNUMBER(Assessment!P20),
  IF(Assessment!P20&gt;90,-1,
     IF(Assessment!P20&gt;60,-0.5,0)
  ),
  NA()
)</f>
        <v>#N/A</v>
      </c>
      <c r="R65" s="64" t="e">
        <f>IF(
  ISNUMBER(Assessment!Q20),
  IF(Assessment!Q20&gt;90,-1,
     IF(Assessment!Q20&gt;60,-0.5,0)
  ),
  NA()
)</f>
        <v>#N/A</v>
      </c>
      <c r="S65" s="64" t="e">
        <f>IF(
  ISNUMBER(Assessment!R20),
  IF(Assessment!R20&gt;90,-1,
     IF(Assessment!R20&gt;60,-0.5,0)
  ),
  NA()
)</f>
        <v>#N/A</v>
      </c>
      <c r="T65" s="64" t="e">
        <f>IF(
  ISNUMBER(Assessment!S20),
  IF(Assessment!S20&gt;90,-1,
     IF(Assessment!S20&gt;60,-0.5,0)
  ),
  NA()
)</f>
        <v>#N/A</v>
      </c>
      <c r="U65" s="64" t="e">
        <f>IF(
  ISNUMBER(Assessment!T20),
  IF(Assessment!T20&gt;90,-1,
     IF(Assessment!T20&gt;60,-0.5,0)
  ),
  NA()
)</f>
        <v>#N/A</v>
      </c>
      <c r="V65" s="64" t="e">
        <f>IF(
  ISNUMBER(Assessment!U20),
  IF(Assessment!U20&gt;90,-1,
     IF(Assessment!U20&gt;60,-0.5,0)
  ),
  NA()
)</f>
        <v>#N/A</v>
      </c>
      <c r="W65" s="64" t="e">
        <f>IF(
  ISNUMBER(Assessment!V20),
  IF(Assessment!V20&gt;90,-1,
     IF(Assessment!V20&gt;60,-0.5,0)
  ),
  NA()
)</f>
        <v>#N/A</v>
      </c>
    </row>
    <row r="66" spans="2:23" x14ac:dyDescent="0.4">
      <c r="C66" s="110" t="s">
        <v>564</v>
      </c>
      <c r="D66" s="4">
        <f>IF(_xlfn.AGGREGATE(5,6,F59:W65)&lt;0, _xlfn.AGGREGATE(5,6,F59:W65), 0)</f>
        <v>0</v>
      </c>
      <c r="F66" s="64"/>
      <c r="G66" s="64"/>
      <c r="H66" s="64"/>
      <c r="I66" s="64"/>
      <c r="J66" s="64"/>
      <c r="K66" s="64"/>
      <c r="L66" s="64"/>
      <c r="M66" s="64"/>
      <c r="N66" s="64"/>
      <c r="O66" s="64"/>
      <c r="P66" s="64"/>
      <c r="Q66" s="64"/>
      <c r="R66" s="64"/>
      <c r="S66" s="64"/>
      <c r="T66" s="64"/>
      <c r="U66" s="64"/>
      <c r="V66" s="64"/>
      <c r="W66" s="64"/>
    </row>
    <row r="67" spans="2:23" x14ac:dyDescent="0.4">
      <c r="C67" s="110" t="s">
        <v>565</v>
      </c>
      <c r="D67" s="4">
        <f>_xlfn.AGGREGATE(4,6,F59:W65)</f>
        <v>0</v>
      </c>
    </row>
    <row r="68" spans="2:23" x14ac:dyDescent="0.4">
      <c r="C68" s="110"/>
      <c r="D68" s="4"/>
    </row>
    <row r="69" spans="2:23" ht="14.25" customHeight="1" x14ac:dyDescent="0.6">
      <c r="B69" s="136" t="s">
        <v>572</v>
      </c>
      <c r="C69" s="11" t="s">
        <v>939</v>
      </c>
      <c r="F69" s="106"/>
      <c r="G69" s="106"/>
      <c r="H69" s="106"/>
      <c r="I69" s="106"/>
      <c r="J69" s="106"/>
      <c r="K69" s="106"/>
      <c r="L69" s="106"/>
      <c r="M69" s="106"/>
      <c r="N69" s="106"/>
      <c r="O69" s="106"/>
      <c r="P69" s="106"/>
      <c r="Q69" s="106"/>
      <c r="R69" s="106"/>
      <c r="S69" s="106"/>
      <c r="T69" s="106"/>
      <c r="U69" s="64"/>
      <c r="V69" s="64"/>
      <c r="W69" s="64"/>
    </row>
    <row r="70" spans="2:23" x14ac:dyDescent="0.4">
      <c r="C70" s="2" t="s">
        <v>521</v>
      </c>
      <c r="F70" s="64"/>
      <c r="G70" s="64">
        <f>IF(
  AND(
    ISNUMBER(Assessment!F37),
    ISNUMBER(Assessment!E37)
  ),
  Assessment!F37 - Assessment!E37,
  NA()
)</f>
        <v>0</v>
      </c>
      <c r="H70" s="64">
        <f>IF(
  AND(
    ISNUMBER(Assessment!G37),
    ISNUMBER(Assessment!F37)
  ),
  Assessment!G37 - Assessment!F37,
  NA()
)</f>
        <v>0</v>
      </c>
      <c r="I70" s="64">
        <f>IF(
  AND(
    ISNUMBER(Assessment!H37),
    ISNUMBER(Assessment!G37)
  ),
  Assessment!H37 - Assessment!G37,
  NA()
)</f>
        <v>0</v>
      </c>
      <c r="J70" s="64">
        <f>IF(
  AND(
    ISNUMBER(Assessment!I37),
    ISNUMBER(Assessment!H37)
  ),
  Assessment!I37 - Assessment!H37,
  NA()
)</f>
        <v>0</v>
      </c>
      <c r="K70" s="64" t="e">
        <f>IF(
  AND(
    ISNUMBER(Assessment!J37),
    ISNUMBER(Assessment!I37)
  ),
  Assessment!J37 - Assessment!I37,
  NA()
)</f>
        <v>#N/A</v>
      </c>
      <c r="L70" s="64" t="e">
        <f>IF(
  AND(
    ISNUMBER(Assessment!K37),
    ISNUMBER(Assessment!J37)
  ),
  Assessment!K37 - Assessment!J37,
  NA()
)</f>
        <v>#N/A</v>
      </c>
      <c r="M70" s="64" t="e">
        <f>IF(
  AND(
    ISNUMBER(Assessment!L37),
    ISNUMBER(Assessment!K37)
  ),
  Assessment!L37 - Assessment!K37,
  NA()
)</f>
        <v>#N/A</v>
      </c>
      <c r="N70" s="64" t="e">
        <f>IF(
  AND(
    ISNUMBER(Assessment!M37),
    ISNUMBER(Assessment!L37)
  ),
  Assessment!M37 - Assessment!L37,
  NA()
)</f>
        <v>#N/A</v>
      </c>
      <c r="O70" s="64" t="e">
        <f>IF(
  AND(
    ISNUMBER(Assessment!N37),
    ISNUMBER(Assessment!M37)
  ),
  Assessment!N37 - Assessment!M37,
  NA()
)</f>
        <v>#N/A</v>
      </c>
      <c r="P70" s="64" t="e">
        <f>IF(
  AND(
    ISNUMBER(Assessment!O37),
    ISNUMBER(Assessment!N37)
  ),
  Assessment!O37 - Assessment!N37,
  NA()
)</f>
        <v>#N/A</v>
      </c>
      <c r="Q70" s="64" t="e">
        <f>IF(
  AND(
    ISNUMBER(Assessment!P37),
    ISNUMBER(Assessment!O37)
  ),
  Assessment!P37 - Assessment!O37,
  NA()
)</f>
        <v>#N/A</v>
      </c>
      <c r="R70" s="64" t="e">
        <f>IF(
  AND(
    ISNUMBER(Assessment!Q37),
    ISNUMBER(Assessment!P37)
  ),
  Assessment!Q37 - Assessment!P37,
  NA()
)</f>
        <v>#N/A</v>
      </c>
      <c r="S70" s="64" t="e">
        <f>IF(
  AND(
    ISNUMBER(Assessment!R37),
    ISNUMBER(Assessment!Q37)
  ),
  Assessment!R37 - Assessment!Q37,
  NA()
)</f>
        <v>#N/A</v>
      </c>
      <c r="T70" s="64" t="e">
        <f>IF(
  AND(
    ISNUMBER(Assessment!S37),
    ISNUMBER(Assessment!R37)
  ),
  Assessment!S37 - Assessment!R37,
  NA()
)</f>
        <v>#N/A</v>
      </c>
      <c r="U70" s="64" t="e">
        <f>IF(
  AND(
    ISNUMBER(Assessment!T37),
    ISNUMBER(Assessment!S37)
  ),
  Assessment!T37 - Assessment!S37,
  NA()
)</f>
        <v>#N/A</v>
      </c>
      <c r="V70" s="64" t="e">
        <f>IF(
  AND(
    ISNUMBER(Assessment!U37),
    ISNUMBER(Assessment!T37)
  ),
  Assessment!U37 - Assessment!T37,
  NA()
)</f>
        <v>#N/A</v>
      </c>
      <c r="W70" s="64" t="e">
        <f>IF(
  AND(
    ISNUMBER(Assessment!V37),
    ISNUMBER(Assessment!U37)
  ),
  Assessment!V37 - Assessment!U37,
  NA()
)</f>
        <v>#N/A</v>
      </c>
    </row>
    <row r="71" spans="2:23" x14ac:dyDescent="0.4">
      <c r="C71" s="2" t="s">
        <v>296</v>
      </c>
      <c r="F71" s="4"/>
      <c r="G71" s="4"/>
      <c r="H71" s="4"/>
      <c r="I71" s="4"/>
      <c r="J71" s="4"/>
      <c r="K71" s="4"/>
      <c r="L71" s="4"/>
      <c r="M71" s="4"/>
      <c r="N71" s="4"/>
      <c r="O71" s="4"/>
      <c r="P71" s="4"/>
      <c r="Q71" s="4"/>
      <c r="R71" s="4"/>
      <c r="S71" s="4"/>
      <c r="T71" s="4"/>
      <c r="U71" s="64"/>
      <c r="V71" s="64"/>
      <c r="W71" s="64"/>
    </row>
    <row r="72" spans="2:23" x14ac:dyDescent="0.4">
      <c r="C72" s="2" t="s">
        <v>243</v>
      </c>
      <c r="F72" s="64" t="e">
        <f>IF(ISNUMBER(F74),NA(),IF(ISNUMBER(Assessment!E19),Assessment!E19-Assessment!D19,NA()))</f>
        <v>#N/A</v>
      </c>
      <c r="G72" s="64" t="e">
        <f>IF(ISNUMBER(G74),NA(),IF(ISNUMBER(Assessment!F19),Assessment!F19-Assessment!E19,NA()))</f>
        <v>#N/A</v>
      </c>
      <c r="H72" s="64" t="e">
        <f>IF(ISNUMBER(H74),NA(),IF(ISNUMBER(Assessment!G19),Assessment!G19-Assessment!F19,NA()))</f>
        <v>#N/A</v>
      </c>
      <c r="I72" s="64" t="e">
        <f>IF(ISNUMBER(I74),NA(),IF(ISNUMBER(Assessment!H19),Assessment!H19-Assessment!G19,NA()))</f>
        <v>#N/A</v>
      </c>
      <c r="J72" s="64" t="e">
        <f>IF(ISNUMBER(J74),NA(),IF(ISNUMBER(Assessment!I19),Assessment!I19-Assessment!H19,NA()))</f>
        <v>#N/A</v>
      </c>
      <c r="K72" s="64" t="e">
        <f>IF(ISNUMBER(K74),NA(),IF(ISNUMBER(Assessment!J19),Assessment!J19-Assessment!I19,NA()))</f>
        <v>#N/A</v>
      </c>
      <c r="L72" s="64" t="e">
        <f>IF(ISNUMBER(L74),NA(),IF(ISNUMBER(Assessment!K19),Assessment!K19-Assessment!J19,NA()))</f>
        <v>#N/A</v>
      </c>
      <c r="M72" s="64" t="e">
        <f>IF(ISNUMBER(M74),NA(),IF(ISNUMBER(Assessment!L19),Assessment!L19-Assessment!K19,NA()))</f>
        <v>#N/A</v>
      </c>
      <c r="N72" s="64" t="e">
        <f>IF(ISNUMBER(N74),NA(),IF(ISNUMBER(Assessment!M19),Assessment!M19-Assessment!L19,NA()))</f>
        <v>#N/A</v>
      </c>
      <c r="O72" s="64" t="e">
        <f>IF(ISNUMBER(O74),NA(),IF(ISNUMBER(Assessment!N19),Assessment!N19-Assessment!M19,NA()))</f>
        <v>#N/A</v>
      </c>
      <c r="P72" s="64" t="e">
        <f>IF(ISNUMBER(P74),NA(),IF(ISNUMBER(Assessment!O19),Assessment!O19-Assessment!N19,NA()))</f>
        <v>#N/A</v>
      </c>
      <c r="Q72" s="64" t="e">
        <f>IF(ISNUMBER(Q74),NA(),IF(ISNUMBER(Assessment!P19),Assessment!P19-Assessment!O19,NA()))</f>
        <v>#N/A</v>
      </c>
      <c r="R72" s="64" t="e">
        <f>IF(ISNUMBER(R74),NA(),IF(ISNUMBER(Assessment!Q19),Assessment!Q19-Assessment!P19,NA()))</f>
        <v>#N/A</v>
      </c>
      <c r="S72" s="64" t="e">
        <f>IF(ISNUMBER(S74),NA(),IF(ISNUMBER(Assessment!R19),Assessment!R19-Assessment!Q19,NA()))</f>
        <v>#N/A</v>
      </c>
      <c r="T72" s="64" t="e">
        <f>IF(ISNUMBER(T74),NA(),IF(ISNUMBER(Assessment!S19),Assessment!S19-Assessment!R19,NA()))</f>
        <v>#N/A</v>
      </c>
      <c r="U72" s="64" t="e">
        <f>IF(ISNUMBER(U74),NA(),IF(ISNUMBER(Assessment!T19),Assessment!T19-Assessment!S19,NA()))</f>
        <v>#N/A</v>
      </c>
      <c r="V72" s="64" t="e">
        <f>IF(ISNUMBER(V74),NA(),IF(ISNUMBER(Assessment!U19),Assessment!U19-Assessment!T19,NA()))</f>
        <v>#N/A</v>
      </c>
      <c r="W72" s="64" t="e">
        <f>IF(ISNUMBER(W74),NA(),IF(ISNUMBER(Assessment!V19),Assessment!V19-Assessment!U19,NA()))</f>
        <v>#N/A</v>
      </c>
    </row>
    <row r="73" spans="2:23" x14ac:dyDescent="0.4">
      <c r="C73" s="2" t="s">
        <v>297</v>
      </c>
      <c r="F73" s="4"/>
      <c r="G73" s="4"/>
      <c r="H73" s="4"/>
      <c r="I73" s="4"/>
      <c r="J73" s="4"/>
      <c r="K73" s="4"/>
      <c r="L73" s="4"/>
      <c r="M73" s="4"/>
      <c r="N73" s="4"/>
      <c r="O73" s="4"/>
      <c r="P73" s="4"/>
      <c r="Q73" s="4"/>
      <c r="R73" s="4"/>
      <c r="S73" s="4"/>
      <c r="T73" s="4"/>
      <c r="U73" s="64"/>
      <c r="V73" s="64"/>
      <c r="W73" s="64"/>
    </row>
    <row r="74" spans="2:23" ht="13.5" customHeight="1" x14ac:dyDescent="0.4">
      <c r="C74" s="2" t="s">
        <v>520</v>
      </c>
      <c r="E74" s="106"/>
      <c r="F74" s="106" cm="1">
        <f t="array" ref="F74">IF(
  AND(
    INDEX($2:$2, COLUMN()) &gt;= MTP_BaseYear,
    INDEX($2:$2, COLUMN()) &lt;= OutturnThrough
  ),
  _xlfn.LET(
    _xlpm.thisYearCol,
      _xlfn.XMATCH(INDEX($2:$2, COLUMN()), Assessment!$4:$4, 0),
    IF(
      _xlpm.thisYearCol = 1,
      NA(),
      IFERROR(
        INDEX(Assessment!$19:$19, _xlpm.thisYearCol)
        - INDEX(Assessment!$19:$19, _xlpm.thisYearCol - 1),
        NA()
      )
    )
  ),
  NA()
)</f>
        <v>0</v>
      </c>
      <c r="G74" s="106" cm="1">
        <f t="array" ref="G74">IF(
  AND(
    INDEX($2:$2, COLUMN()) &gt;= MTP_BaseYear,
    INDEX($2:$2, COLUMN()) &lt;= OutturnThrough
  ),
  _xlfn.LET(
    _xlpm.thisYearCol,
      _xlfn.XMATCH(INDEX($2:$2, COLUMN()), Assessment!$4:$4, 0),
    IF(
      _xlpm.thisYearCol = 1,
      NA(),
      IFERROR(
        INDEX(Assessment!$19:$19, _xlpm.thisYearCol)
        - INDEX(Assessment!$19:$19, _xlpm.thisYearCol - 1),
        NA()
      )
    )
  ),
  NA()
)</f>
        <v>0</v>
      </c>
      <c r="H74" s="106" t="e" cm="1">
        <f t="array" ref="H74">IF(
  AND(
    INDEX($2:$2, COLUMN()) &gt;= MTP_BaseYear,
    INDEX($2:$2, COLUMN()) &lt;= OutturnThrough
  ),
  _xlfn.LET(
    _xlpm.thisYearCol,
      _xlfn.XMATCH(INDEX($2:$2, COLUMN()), Assessment!$4:$4, 0),
    IF(
      _xlpm.thisYearCol = 1,
      NA(),
      IFERROR(
        INDEX(Assessment!$19:$19, _xlpm.thisYearCol)
        - INDEX(Assessment!$19:$19, _xlpm.thisYearCol - 1),
        NA()
      )
    )
  ),
  NA()
)</f>
        <v>#N/A</v>
      </c>
      <c r="I74" s="106" t="e" cm="1">
        <f t="array" ref="I74">IF(
  AND(
    INDEX($2:$2, COLUMN()) &gt;= MTP_BaseYear,
    INDEX($2:$2, COLUMN()) &lt;= OutturnThrough
  ),
  _xlfn.LET(
    _xlpm.thisYearCol,
      _xlfn.XMATCH(INDEX($2:$2, COLUMN()), Assessment!$4:$4, 0),
    IF(
      _xlpm.thisYearCol = 1,
      NA(),
      IFERROR(
        INDEX(Assessment!$19:$19, _xlpm.thisYearCol)
        - INDEX(Assessment!$19:$19, _xlpm.thisYearCol - 1),
        NA()
      )
    )
  ),
  NA()
)</f>
        <v>#N/A</v>
      </c>
      <c r="J74" s="106" t="e" cm="1">
        <f t="array" ref="J74">IF(
  AND(
    INDEX($2:$2, COLUMN()) &gt;= MTP_BaseYear,
    INDEX($2:$2, COLUMN()) &lt;= OutturnThrough
  ),
  _xlfn.LET(
    _xlpm.thisYearCol,
      _xlfn.XMATCH(INDEX($2:$2, COLUMN()), Assessment!$4:$4, 0),
    IF(
      _xlpm.thisYearCol = 1,
      NA(),
      IFERROR(
        INDEX(Assessment!$19:$19, _xlpm.thisYearCol)
        - INDEX(Assessment!$19:$19, _xlpm.thisYearCol - 1),
        NA()
      )
    )
  ),
  NA()
)</f>
        <v>#N/A</v>
      </c>
      <c r="K74" s="106" t="e" cm="1">
        <f t="array" ref="K74">IF(
  AND(
    INDEX($2:$2, COLUMN()) &gt;= MTP_BaseYear,
    INDEX($2:$2, COLUMN()) &lt;= OutturnThrough
  ),
  _xlfn.LET(
    _xlpm.thisYearCol,
      _xlfn.XMATCH(INDEX($2:$2, COLUMN()), Assessment!$4:$4, 0),
    IF(
      _xlpm.thisYearCol = 1,
      NA(),
      IFERROR(
        INDEX(Assessment!$19:$19, _xlpm.thisYearCol)
        - INDEX(Assessment!$19:$19, _xlpm.thisYearCol - 1),
        NA()
      )
    )
  ),
  NA()
)</f>
        <v>#N/A</v>
      </c>
      <c r="L74" s="106" t="e" cm="1">
        <f t="array" ref="L74">IF(
  AND(
    INDEX($2:$2, COLUMN()) &gt;= MTP_BaseYear,
    INDEX($2:$2, COLUMN()) &lt;= OutturnThrough
  ),
  _xlfn.LET(
    _xlpm.thisYearCol,
      _xlfn.XMATCH(INDEX($2:$2, COLUMN()), Assessment!$4:$4, 0),
    IF(
      _xlpm.thisYearCol = 1,
      NA(),
      IFERROR(
        INDEX(Assessment!$19:$19, _xlpm.thisYearCol)
        - INDEX(Assessment!$19:$19, _xlpm.thisYearCol - 1),
        NA()
      )
    )
  ),
  NA()
)</f>
        <v>#N/A</v>
      </c>
      <c r="M74" s="106" t="e" cm="1">
        <f t="array" ref="M74">IF(
  AND(
    INDEX($2:$2, COLUMN()) &gt;= MTP_BaseYear,
    INDEX($2:$2, COLUMN()) &lt;= OutturnThrough
  ),
  _xlfn.LET(
    _xlpm.thisYearCol,
      _xlfn.XMATCH(INDEX($2:$2, COLUMN()), Assessment!$4:$4, 0),
    IF(
      _xlpm.thisYearCol = 1,
      NA(),
      IFERROR(
        INDEX(Assessment!$19:$19, _xlpm.thisYearCol)
        - INDEX(Assessment!$19:$19, _xlpm.thisYearCol - 1),
        NA()
      )
    )
  ),
  NA()
)</f>
        <v>#N/A</v>
      </c>
      <c r="N74" s="106" t="e" cm="1">
        <f t="array" ref="N74">IF(
  AND(
    INDEX($2:$2, COLUMN()) &gt;= MTP_BaseYear,
    INDEX($2:$2, COLUMN()) &lt;= OutturnThrough
  ),
  _xlfn.LET(
    _xlpm.thisYearCol,
      _xlfn.XMATCH(INDEX($2:$2, COLUMN()), Assessment!$4:$4, 0),
    IF(
      _xlpm.thisYearCol = 1,
      NA(),
      IFERROR(
        INDEX(Assessment!$19:$19, _xlpm.thisYearCol)
        - INDEX(Assessment!$19:$19, _xlpm.thisYearCol - 1),
        NA()
      )
    )
  ),
  NA()
)</f>
        <v>#N/A</v>
      </c>
      <c r="O74" s="106" t="e" cm="1">
        <f t="array" ref="O74">IF(
  AND(
    INDEX($2:$2, COLUMN()) &gt;= MTP_BaseYear,
    INDEX($2:$2, COLUMN()) &lt;= OutturnThrough
  ),
  _xlfn.LET(
    _xlpm.thisYearCol,
      _xlfn.XMATCH(INDEX($2:$2, COLUMN()), Assessment!$4:$4, 0),
    IF(
      _xlpm.thisYearCol = 1,
      NA(),
      IFERROR(
        INDEX(Assessment!$19:$19, _xlpm.thisYearCol)
        - INDEX(Assessment!$19:$19, _xlpm.thisYearCol - 1),
        NA()
      )
    )
  ),
  NA()
)</f>
        <v>#N/A</v>
      </c>
      <c r="P74" s="106" t="e" cm="1">
        <f t="array" ref="P74">IF(
  AND(
    INDEX($2:$2, COLUMN()) &gt;= MTP_BaseYear,
    INDEX($2:$2, COLUMN()) &lt;= OutturnThrough
  ),
  _xlfn.LET(
    _xlpm.thisYearCol,
      _xlfn.XMATCH(INDEX($2:$2, COLUMN()), Assessment!$4:$4, 0),
    IF(
      _xlpm.thisYearCol = 1,
      NA(),
      IFERROR(
        INDEX(Assessment!$19:$19, _xlpm.thisYearCol)
        - INDEX(Assessment!$19:$19, _xlpm.thisYearCol - 1),
        NA()
      )
    )
  ),
  NA()
)</f>
        <v>#N/A</v>
      </c>
      <c r="Q74" s="106" t="e" cm="1">
        <f t="array" ref="Q74">IF(
  AND(
    INDEX($2:$2, COLUMN()) &gt;= MTP_BaseYear,
    INDEX($2:$2, COLUMN()) &lt;= OutturnThrough
  ),
  _xlfn.LET(
    _xlpm.thisYearCol,
      _xlfn.XMATCH(INDEX($2:$2, COLUMN()), Assessment!$4:$4, 0),
    IF(
      _xlpm.thisYearCol = 1,
      NA(),
      IFERROR(
        INDEX(Assessment!$19:$19, _xlpm.thisYearCol)
        - INDEX(Assessment!$19:$19, _xlpm.thisYearCol - 1),
        NA()
      )
    )
  ),
  NA()
)</f>
        <v>#N/A</v>
      </c>
      <c r="R74" s="106" t="e" cm="1">
        <f t="array" ref="R74">IF(
  AND(
    INDEX($2:$2, COLUMN()) &gt;= MTP_BaseYear,
    INDEX($2:$2, COLUMN()) &lt;= OutturnThrough
  ),
  _xlfn.LET(
    _xlpm.thisYearCol,
      _xlfn.XMATCH(INDEX($2:$2, COLUMN()), Assessment!$4:$4, 0),
    IF(
      _xlpm.thisYearCol = 1,
      NA(),
      IFERROR(
        INDEX(Assessment!$19:$19, _xlpm.thisYearCol)
        - INDEX(Assessment!$19:$19, _xlpm.thisYearCol - 1),
        NA()
      )
    )
  ),
  NA()
)</f>
        <v>#N/A</v>
      </c>
      <c r="S74" s="106" t="e" cm="1">
        <f t="array" ref="S74">IF(
  AND(
    INDEX($2:$2, COLUMN()) &gt;= MTP_BaseYear,
    INDEX($2:$2, COLUMN()) &lt;= OutturnThrough
  ),
  _xlfn.LET(
    _xlpm.thisYearCol,
      _xlfn.XMATCH(INDEX($2:$2, COLUMN()), Assessment!$4:$4, 0),
    IF(
      _xlpm.thisYearCol = 1,
      NA(),
      IFERROR(
        INDEX(Assessment!$19:$19, _xlpm.thisYearCol)
        - INDEX(Assessment!$19:$19, _xlpm.thisYearCol - 1),
        NA()
      )
    )
  ),
  NA()
)</f>
        <v>#N/A</v>
      </c>
      <c r="T74" s="106" t="e" cm="1">
        <f t="array" ref="T74">IF(
  AND(
    INDEX($2:$2, COLUMN()) &gt;= MTP_BaseYear,
    INDEX($2:$2, COLUMN()) &lt;= OutturnThrough
  ),
  _xlfn.LET(
    _xlpm.thisYearCol,
      _xlfn.XMATCH(INDEX($2:$2, COLUMN()), Assessment!$4:$4, 0),
    IF(
      _xlpm.thisYearCol = 1,
      NA(),
      IFERROR(
        INDEX(Assessment!$19:$19, _xlpm.thisYearCol)
        - INDEX(Assessment!$19:$19, _xlpm.thisYearCol - 1),
        NA()
      )
    )
  ),
  NA()
)</f>
        <v>#N/A</v>
      </c>
      <c r="U74" s="106" t="e" cm="1">
        <f t="array" ref="U74">IF(
  AND(
    INDEX($2:$2, COLUMN()) &gt;= MTP_BaseYear,
    INDEX($2:$2, COLUMN()) &lt;= OutturnThrough
  ),
  _xlfn.LET(
    _xlpm.thisYearCol,
      _xlfn.XMATCH(INDEX($2:$2, COLUMN()), Assessment!$4:$4, 0),
    IF(
      _xlpm.thisYearCol = 1,
      NA(),
      IFERROR(
        INDEX(Assessment!$19:$19, _xlpm.thisYearCol)
        - INDEX(Assessment!$19:$19, _xlpm.thisYearCol - 1),
        NA()
      )
    )
  ),
  NA()
)</f>
        <v>#N/A</v>
      </c>
      <c r="V74" s="106" t="e" cm="1">
        <f t="array" ref="V74">IF(
  AND(
    INDEX($2:$2, COLUMN()) &gt;= MTP_BaseYear,
    INDEX($2:$2, COLUMN()) &lt;= OutturnThrough
  ),
  _xlfn.LET(
    _xlpm.thisYearCol,
      _xlfn.XMATCH(INDEX($2:$2, COLUMN()), Assessment!$4:$4, 0),
    IF(
      _xlpm.thisYearCol = 1,
      NA(),
      IFERROR(
        INDEX(Assessment!$19:$19, _xlpm.thisYearCol)
        - INDEX(Assessment!$19:$19, _xlpm.thisYearCol - 1),
        NA()
      )
    )
  ),
  NA()
)</f>
        <v>#N/A</v>
      </c>
      <c r="W74" s="106" t="e" cm="1">
        <f t="array" ref="W74">IF(
  AND(
    INDEX($2:$2, COLUMN()) &gt;= MTP_BaseYear,
    INDEX($2:$2, COLUMN()) &lt;= OutturnThrough
  ),
  _xlfn.LET(
    _xlpm.thisYearCol,
      _xlfn.XMATCH(INDEX($2:$2, COLUMN()), Assessment!$4:$4, 0),
    IF(
      _xlpm.thisYearCol = 1,
      NA(),
      IFERROR(
        INDEX(Assessment!$19:$19, _xlpm.thisYearCol)
        - INDEX(Assessment!$19:$19, _xlpm.thisYearCol - 1),
        NA()
      )
    )
  ),
  NA()
)</f>
        <v>#N/A</v>
      </c>
    </row>
    <row r="75" spans="2:23" x14ac:dyDescent="0.4">
      <c r="C75" s="110" t="s">
        <v>564</v>
      </c>
      <c r="D75" s="4">
        <f>IF(_xlfn.AGGREGATE(5,6,F70:W74)&lt;0, _xlfn.AGGREGATE(5,6,F70:W74), 0)</f>
        <v>0</v>
      </c>
      <c r="F75" s="64"/>
      <c r="G75" s="64"/>
      <c r="H75" s="64"/>
      <c r="I75" s="64"/>
      <c r="J75" s="64"/>
      <c r="K75" s="64"/>
      <c r="L75" s="64"/>
      <c r="M75" s="64"/>
      <c r="N75" s="64"/>
      <c r="O75" s="64"/>
      <c r="P75" s="64"/>
      <c r="Q75" s="64"/>
      <c r="R75" s="64"/>
      <c r="S75" s="64"/>
      <c r="T75" s="64"/>
      <c r="U75" s="64"/>
      <c r="V75" s="64"/>
      <c r="W75" s="64"/>
    </row>
    <row r="76" spans="2:23" x14ac:dyDescent="0.4">
      <c r="C76" s="110" t="s">
        <v>565</v>
      </c>
      <c r="D76" s="4">
        <f>_xlfn.AGGREGATE(4,6,F70:W74)</f>
        <v>0</v>
      </c>
    </row>
    <row r="77" spans="2:23" ht="13.5" customHeight="1" x14ac:dyDescent="0.4">
      <c r="C77" s="2"/>
      <c r="F77" s="4"/>
      <c r="G77" s="4"/>
      <c r="H77" s="4"/>
      <c r="I77" s="4"/>
      <c r="J77" s="4"/>
      <c r="K77" s="4"/>
      <c r="L77" s="4"/>
      <c r="M77" s="4"/>
      <c r="N77" s="4"/>
      <c r="O77" s="4"/>
      <c r="P77" s="4"/>
      <c r="Q77" s="4"/>
      <c r="R77" s="4"/>
      <c r="S77" s="4"/>
      <c r="T77" s="4"/>
    </row>
    <row r="78" spans="2:23" ht="16.5" x14ac:dyDescent="0.6">
      <c r="B78" s="136" t="s">
        <v>573</v>
      </c>
      <c r="C78" s="11" t="str">
        <f>"Performance of general government balance compared to the "&amp;IF(MTP_Council_Endorsed,"endorsed plan","the proposed plan")&amp;" (in context of planned fiscal path DSA)"</f>
        <v>Performance of general government balance compared to the endorsed plan (in context of planned fiscal path DSA)</v>
      </c>
      <c r="F78" s="9"/>
      <c r="G78" s="9"/>
      <c r="H78" s="9"/>
      <c r="I78" s="9"/>
      <c r="J78" s="9"/>
      <c r="K78" s="9"/>
      <c r="L78" s="9"/>
      <c r="M78" s="9"/>
      <c r="N78" s="9"/>
      <c r="O78" s="9"/>
      <c r="P78" s="9"/>
      <c r="Q78" s="9"/>
      <c r="R78" s="9"/>
      <c r="S78" s="9"/>
      <c r="T78" s="9"/>
      <c r="U78" s="9"/>
      <c r="V78" s="9"/>
      <c r="W78" s="9"/>
    </row>
    <row r="79" spans="2:23" x14ac:dyDescent="0.4">
      <c r="C79" s="2" t="s">
        <v>244</v>
      </c>
      <c r="F79" s="64">
        <f>Assessment!E50</f>
        <v>0</v>
      </c>
      <c r="G79" s="64">
        <f>Assessment!F50</f>
        <v>0</v>
      </c>
      <c r="H79" s="64">
        <f>Assessment!G50</f>
        <v>0</v>
      </c>
      <c r="I79" s="64">
        <f>Assessment!H50</f>
        <v>0</v>
      </c>
      <c r="J79" s="64">
        <f>Assessment!I50</f>
        <v>0</v>
      </c>
      <c r="K79" s="64">
        <f>Assessment!J50</f>
        <v>0</v>
      </c>
      <c r="L79" s="64">
        <f>Assessment!K50</f>
        <v>0</v>
      </c>
      <c r="M79" s="64">
        <f>Assessment!L50</f>
        <v>0</v>
      </c>
      <c r="N79" s="64">
        <f>Assessment!M50</f>
        <v>0</v>
      </c>
      <c r="O79" s="64">
        <f>Assessment!N50</f>
        <v>0</v>
      </c>
      <c r="P79" s="64">
        <f>Assessment!O50</f>
        <v>0</v>
      </c>
      <c r="Q79" s="64">
        <f>Assessment!P50</f>
        <v>0</v>
      </c>
      <c r="R79" s="64">
        <f>Assessment!Q50</f>
        <v>0</v>
      </c>
      <c r="S79" s="64">
        <f>Assessment!R50</f>
        <v>0</v>
      </c>
      <c r="T79" s="64">
        <f>Assessment!S50</f>
        <v>0</v>
      </c>
      <c r="U79" s="64" t="str">
        <f>Assessment!T50</f>
        <v/>
      </c>
      <c r="V79" s="64" t="str">
        <f>Assessment!U50</f>
        <v/>
      </c>
      <c r="W79" s="64" t="str">
        <f>Assessment!V50</f>
        <v/>
      </c>
    </row>
    <row r="80" spans="2:23" x14ac:dyDescent="0.4">
      <c r="C80" s="2" t="s">
        <v>243</v>
      </c>
      <c r="F80" s="64" t="e">
        <f>IF(OR(ISNUMBER(F81),ISNUMBER(F82)),NA(),IF(ISNUMBER(Assessment!E17),Assessment!E17,NA()))</f>
        <v>#N/A</v>
      </c>
      <c r="G80" s="64" t="e">
        <f>IF(OR(ISNUMBER(G81),ISNUMBER(G82)),NA(),IF(ISNUMBER(Assessment!F17),Assessment!F17,NA()))</f>
        <v>#N/A</v>
      </c>
      <c r="H80" s="64" t="e">
        <f>IF(OR(ISNUMBER(H81),ISNUMBER(H82)),NA(),IF(ISNUMBER(Assessment!G17),Assessment!G17,NA()))</f>
        <v>#N/A</v>
      </c>
      <c r="I80" s="64" t="e">
        <f>IF(OR(ISNUMBER(I81),ISNUMBER(I82)),NA(),IF(ISNUMBER(Assessment!H17),Assessment!H17,NA()))</f>
        <v>#N/A</v>
      </c>
      <c r="J80" s="64" t="e">
        <f>IF(OR(ISNUMBER(J81),ISNUMBER(J82)),NA(),IF(ISNUMBER(Assessment!I17),Assessment!I17,NA()))</f>
        <v>#N/A</v>
      </c>
      <c r="K80" s="64" t="e">
        <f>IF(OR(ISNUMBER(K81),ISNUMBER(K82)),NA(),IF(ISNUMBER(Assessment!J17),Assessment!J17,NA()))</f>
        <v>#N/A</v>
      </c>
      <c r="L80" s="64" t="e">
        <f>IF(OR(ISNUMBER(L81),ISNUMBER(L82)),NA(),IF(ISNUMBER(Assessment!K17),Assessment!K17,NA()))</f>
        <v>#N/A</v>
      </c>
      <c r="M80" s="64" t="e">
        <f>IF(OR(ISNUMBER(M81),ISNUMBER(M82)),NA(),IF(ISNUMBER(Assessment!L17),Assessment!L17,NA()))</f>
        <v>#N/A</v>
      </c>
      <c r="N80" s="64" t="e">
        <f>IF(OR(ISNUMBER(N81),ISNUMBER(N82)),NA(),IF(ISNUMBER(Assessment!M17),Assessment!M17,NA()))</f>
        <v>#N/A</v>
      </c>
      <c r="O80" s="64" t="e">
        <f>IF(OR(ISNUMBER(O81),ISNUMBER(O82)),NA(),IF(ISNUMBER(Assessment!N17),Assessment!N17,NA()))</f>
        <v>#N/A</v>
      </c>
      <c r="P80" s="64" t="e">
        <f>IF(OR(ISNUMBER(P81),ISNUMBER(P82)),NA(),IF(ISNUMBER(Assessment!O17),Assessment!O17,NA()))</f>
        <v>#N/A</v>
      </c>
      <c r="Q80" s="64" t="e">
        <f>IF(OR(ISNUMBER(Q81),ISNUMBER(Q82)),NA(),IF(ISNUMBER(Assessment!P17),Assessment!P17,NA()))</f>
        <v>#N/A</v>
      </c>
      <c r="R80" s="64" t="e">
        <f>IF(OR(ISNUMBER(R81),ISNUMBER(R82)),NA(),IF(ISNUMBER(Assessment!Q17),Assessment!Q17,NA()))</f>
        <v>#N/A</v>
      </c>
      <c r="S80" s="64" t="e">
        <f>IF(OR(ISNUMBER(S81),ISNUMBER(S82)),NA(),IF(ISNUMBER(Assessment!R17),Assessment!R17,NA()))</f>
        <v>#N/A</v>
      </c>
      <c r="T80" s="64" t="e">
        <f>IF(OR(ISNUMBER(T81),ISNUMBER(T82)),NA(),IF(ISNUMBER(Assessment!S17),Assessment!S17,NA()))</f>
        <v>#N/A</v>
      </c>
      <c r="U80" s="64" t="e">
        <f>IF(OR(ISNUMBER(U81),ISNUMBER(U82)),NA(),IF(ISNUMBER(Assessment!T17),Assessment!T17,NA()))</f>
        <v>#N/A</v>
      </c>
      <c r="V80" s="64" t="e">
        <f>IF(OR(ISNUMBER(V81),ISNUMBER(V82)),NA(),IF(ISNUMBER(Assessment!U17),Assessment!U17,NA()))</f>
        <v>#N/A</v>
      </c>
      <c r="W80" s="64" t="e">
        <f>IF(OR(ISNUMBER(W81),ISNUMBER(W82)),NA(),IF(ISNUMBER(Assessment!V17),Assessment!V17,NA()))</f>
        <v>#N/A</v>
      </c>
    </row>
    <row r="81" spans="2:23" x14ac:dyDescent="0.4">
      <c r="C81" s="2" t="s">
        <v>298</v>
      </c>
      <c r="F81" s="106" t="e" cm="1">
        <f t="array" ref="F81">IF(
  AND(
    INDEX('Chart data'!$2:$2, COLUMN()) &gt;= MTP_BaseYear,
    INDEX('Chart data'!$2:$2, COLUMN()) &lt;= OutturnThrough
  ),
  IFERROR(
    IF(
      F79 - INDEX(Assessment!$17:$17,
                   _xlfn.XMATCH(INDEX('Chart data'!$2:$2, COLUMN()),
                          Assessment!$4:$4, 0)
            ) &lt;= 0,
      INDEX(Assessment!$17:$17,
            _xlfn.XMATCH(INDEX('Chart data'!$2:$2, COLUMN()),
                   Assessment!$4:$4, 0)
      ),
      NA()
    ),
    NA()
  ),
  NA()
)</f>
        <v>#N/A</v>
      </c>
      <c r="G81" s="106" t="e" cm="1">
        <f t="array" ref="G81">IF(
  AND(
    INDEX('Chart data'!$2:$2, COLUMN()) &gt;= MTP_BaseYear,
    INDEX('Chart data'!$2:$2, COLUMN()) &lt;= OutturnThrough
  ),
  IFERROR(
    IF(
      G79 - INDEX(Assessment!$17:$17,
                   _xlfn.XMATCH(INDEX('Chart data'!$2:$2, COLUMN()),
                          Assessment!$4:$4, 0)
            ) &lt;= 0,
      INDEX(Assessment!$17:$17,
            _xlfn.XMATCH(INDEX('Chart data'!$2:$2, COLUMN()),
                   Assessment!$4:$4, 0)
      ),
      NA()
    ),
    NA()
  ),
  NA()
)</f>
        <v>#N/A</v>
      </c>
      <c r="H81" s="106" t="e" cm="1">
        <f t="array" ref="H81">IF(
  AND(
    INDEX('Chart data'!$2:$2, COLUMN()) &gt;= MTP_BaseYear,
    INDEX('Chart data'!$2:$2, COLUMN()) &lt;= OutturnThrough
  ),
  IFERROR(
    IF(
      H79 - INDEX(Assessment!$17:$17,
                   _xlfn.XMATCH(INDEX('Chart data'!$2:$2, COLUMN()),
                          Assessment!$4:$4, 0)
            ) &lt;= 0,
      INDEX(Assessment!$17:$17,
            _xlfn.XMATCH(INDEX('Chart data'!$2:$2, COLUMN()),
                   Assessment!$4:$4, 0)
      ),
      NA()
    ),
    NA()
  ),
  NA()
)</f>
        <v>#N/A</v>
      </c>
      <c r="I81" s="106" t="e" cm="1">
        <f t="array" ref="I81">IF(
  AND(
    INDEX('Chart data'!$2:$2, COLUMN()) &gt;= MTP_BaseYear,
    INDEX('Chart data'!$2:$2, COLUMN()) &lt;= OutturnThrough
  ),
  IFERROR(
    IF(
      I79 - INDEX(Assessment!$17:$17,
                   _xlfn.XMATCH(INDEX('Chart data'!$2:$2, COLUMN()),
                          Assessment!$4:$4, 0)
            ) &lt;= 0,
      INDEX(Assessment!$17:$17,
            _xlfn.XMATCH(INDEX('Chart data'!$2:$2, COLUMN()),
                   Assessment!$4:$4, 0)
      ),
      NA()
    ),
    NA()
  ),
  NA()
)</f>
        <v>#N/A</v>
      </c>
      <c r="J81" s="106" t="e" cm="1">
        <f t="array" ref="J81">IF(
  AND(
    INDEX('Chart data'!$2:$2, COLUMN()) &gt;= MTP_BaseYear,
    INDEX('Chart data'!$2:$2, COLUMN()) &lt;= OutturnThrough
  ),
  IFERROR(
    IF(
      J79 - INDEX(Assessment!$17:$17,
                   _xlfn.XMATCH(INDEX('Chart data'!$2:$2, COLUMN()),
                          Assessment!$4:$4, 0)
            ) &lt;= 0,
      INDEX(Assessment!$17:$17,
            _xlfn.XMATCH(INDEX('Chart data'!$2:$2, COLUMN()),
                   Assessment!$4:$4, 0)
      ),
      NA()
    ),
    NA()
  ),
  NA()
)</f>
        <v>#N/A</v>
      </c>
      <c r="K81" s="106" t="e" cm="1">
        <f t="array" ref="K81">IF(
  AND(
    INDEX('Chart data'!$2:$2, COLUMN()) &gt;= MTP_BaseYear,
    INDEX('Chart data'!$2:$2, COLUMN()) &lt;= OutturnThrough
  ),
  IFERROR(
    IF(
      K79 - INDEX(Assessment!$17:$17,
                   _xlfn.XMATCH(INDEX('Chart data'!$2:$2, COLUMN()),
                          Assessment!$4:$4, 0)
            ) &lt;= 0,
      INDEX(Assessment!$17:$17,
            _xlfn.XMATCH(INDEX('Chart data'!$2:$2, COLUMN()),
                   Assessment!$4:$4, 0)
      ),
      NA()
    ),
    NA()
  ),
  NA()
)</f>
        <v>#N/A</v>
      </c>
      <c r="L81" s="106" t="e" cm="1">
        <f t="array" ref="L81">IF(
  AND(
    INDEX('Chart data'!$2:$2, COLUMN()) &gt;= MTP_BaseYear,
    INDEX('Chart data'!$2:$2, COLUMN()) &lt;= OutturnThrough
  ),
  IFERROR(
    IF(
      L79 - INDEX(Assessment!$17:$17,
                   _xlfn.XMATCH(INDEX('Chart data'!$2:$2, COLUMN()),
                          Assessment!$4:$4, 0)
            ) &lt;= 0,
      INDEX(Assessment!$17:$17,
            _xlfn.XMATCH(INDEX('Chart data'!$2:$2, COLUMN()),
                   Assessment!$4:$4, 0)
      ),
      NA()
    ),
    NA()
  ),
  NA()
)</f>
        <v>#N/A</v>
      </c>
      <c r="M81" s="106" t="e" cm="1">
        <f t="array" ref="M81">IF(
  AND(
    INDEX('Chart data'!$2:$2, COLUMN()) &gt;= MTP_BaseYear,
    INDEX('Chart data'!$2:$2, COLUMN()) &lt;= OutturnThrough
  ),
  IFERROR(
    IF(
      M79 - INDEX(Assessment!$17:$17,
                   _xlfn.XMATCH(INDEX('Chart data'!$2:$2, COLUMN()),
                          Assessment!$4:$4, 0)
            ) &lt;= 0,
      INDEX(Assessment!$17:$17,
            _xlfn.XMATCH(INDEX('Chart data'!$2:$2, COLUMN()),
                   Assessment!$4:$4, 0)
      ),
      NA()
    ),
    NA()
  ),
  NA()
)</f>
        <v>#N/A</v>
      </c>
      <c r="N81" s="106" t="e" cm="1">
        <f t="array" ref="N81">IF(
  AND(
    INDEX('Chart data'!$2:$2, COLUMN()) &gt;= MTP_BaseYear,
    INDEX('Chart data'!$2:$2, COLUMN()) &lt;= OutturnThrough
  ),
  IFERROR(
    IF(
      N79 - INDEX(Assessment!$17:$17,
                   _xlfn.XMATCH(INDEX('Chart data'!$2:$2, COLUMN()),
                          Assessment!$4:$4, 0)
            ) &lt;= 0,
      INDEX(Assessment!$17:$17,
            _xlfn.XMATCH(INDEX('Chart data'!$2:$2, COLUMN()),
                   Assessment!$4:$4, 0)
      ),
      NA()
    ),
    NA()
  ),
  NA()
)</f>
        <v>#N/A</v>
      </c>
      <c r="O81" s="106" t="e" cm="1">
        <f t="array" ref="O81">IF(
  AND(
    INDEX('Chart data'!$2:$2, COLUMN()) &gt;= MTP_BaseYear,
    INDEX('Chart data'!$2:$2, COLUMN()) &lt;= OutturnThrough
  ),
  IFERROR(
    IF(
      O79 - INDEX(Assessment!$17:$17,
                   _xlfn.XMATCH(INDEX('Chart data'!$2:$2, COLUMN()),
                          Assessment!$4:$4, 0)
            ) &lt;= 0,
      INDEX(Assessment!$17:$17,
            _xlfn.XMATCH(INDEX('Chart data'!$2:$2, COLUMN()),
                   Assessment!$4:$4, 0)
      ),
      NA()
    ),
    NA()
  ),
  NA()
)</f>
        <v>#N/A</v>
      </c>
      <c r="P81" s="106" t="e" cm="1">
        <f t="array" ref="P81">IF(
  AND(
    INDEX('Chart data'!$2:$2, COLUMN()) &gt;= MTP_BaseYear,
    INDEX('Chart data'!$2:$2, COLUMN()) &lt;= OutturnThrough
  ),
  IFERROR(
    IF(
      P79 - INDEX(Assessment!$17:$17,
                   _xlfn.XMATCH(INDEX('Chart data'!$2:$2, COLUMN()),
                          Assessment!$4:$4, 0)
            ) &lt;= 0,
      INDEX(Assessment!$17:$17,
            _xlfn.XMATCH(INDEX('Chart data'!$2:$2, COLUMN()),
                   Assessment!$4:$4, 0)
      ),
      NA()
    ),
    NA()
  ),
  NA()
)</f>
        <v>#N/A</v>
      </c>
      <c r="Q81" s="106" t="e" cm="1">
        <f t="array" ref="Q81">IF(
  AND(
    INDEX('Chart data'!$2:$2, COLUMN()) &gt;= MTP_BaseYear,
    INDEX('Chart data'!$2:$2, COLUMN()) &lt;= OutturnThrough
  ),
  IFERROR(
    IF(
      Q79 - INDEX(Assessment!$17:$17,
                   _xlfn.XMATCH(INDEX('Chart data'!$2:$2, COLUMN()),
                          Assessment!$4:$4, 0)
            ) &lt;= 0,
      INDEX(Assessment!$17:$17,
            _xlfn.XMATCH(INDEX('Chart data'!$2:$2, COLUMN()),
                   Assessment!$4:$4, 0)
      ),
      NA()
    ),
    NA()
  ),
  NA()
)</f>
        <v>#N/A</v>
      </c>
      <c r="R81" s="106" t="e" cm="1">
        <f t="array" ref="R81">IF(
  AND(
    INDEX('Chart data'!$2:$2, COLUMN()) &gt;= MTP_BaseYear,
    INDEX('Chart data'!$2:$2, COLUMN()) &lt;= OutturnThrough
  ),
  IFERROR(
    IF(
      R79 - INDEX(Assessment!$17:$17,
                   _xlfn.XMATCH(INDEX('Chart data'!$2:$2, COLUMN()),
                          Assessment!$4:$4, 0)
            ) &lt;= 0,
      INDEX(Assessment!$17:$17,
            _xlfn.XMATCH(INDEX('Chart data'!$2:$2, COLUMN()),
                   Assessment!$4:$4, 0)
      ),
      NA()
    ),
    NA()
  ),
  NA()
)</f>
        <v>#N/A</v>
      </c>
      <c r="S81" s="106" t="e" cm="1">
        <f t="array" ref="S81">IF(
  AND(
    INDEX('Chart data'!$2:$2, COLUMN()) &gt;= MTP_BaseYear,
    INDEX('Chart data'!$2:$2, COLUMN()) &lt;= OutturnThrough
  ),
  IFERROR(
    IF(
      S79 - INDEX(Assessment!$17:$17,
                   _xlfn.XMATCH(INDEX('Chart data'!$2:$2, COLUMN()),
                          Assessment!$4:$4, 0)
            ) &lt;= 0,
      INDEX(Assessment!$17:$17,
            _xlfn.XMATCH(INDEX('Chart data'!$2:$2, COLUMN()),
                   Assessment!$4:$4, 0)
      ),
      NA()
    ),
    NA()
  ),
  NA()
)</f>
        <v>#N/A</v>
      </c>
      <c r="T81" s="106" t="e" cm="1">
        <f t="array" ref="T81">IF(
  AND(
    INDEX('Chart data'!$2:$2, COLUMN()) &gt;= MTP_BaseYear,
    INDEX('Chart data'!$2:$2, COLUMN()) &lt;= OutturnThrough
  ),
  IFERROR(
    IF(
      T79 - INDEX(Assessment!$17:$17,
                   _xlfn.XMATCH(INDEX('Chart data'!$2:$2, COLUMN()),
                          Assessment!$4:$4, 0)
            ) &lt;= 0,
      INDEX(Assessment!$17:$17,
            _xlfn.XMATCH(INDEX('Chart data'!$2:$2, COLUMN()),
                   Assessment!$4:$4, 0)
      ),
      NA()
    ),
    NA()
  ),
  NA()
)</f>
        <v>#N/A</v>
      </c>
      <c r="U81" s="106" t="e" cm="1">
        <f t="array" ref="U81">IF(
  AND(
    INDEX('Chart data'!$2:$2, COLUMN()) &gt;= MTP_BaseYear,
    INDEX('Chart data'!$2:$2, COLUMN()) &lt;= OutturnThrough
  ),
  IFERROR(
    IF(
      U79 - INDEX(Assessment!$17:$17,
                   _xlfn.XMATCH(INDEX('Chart data'!$2:$2, COLUMN()),
                          Assessment!$4:$4, 0)
            ) &lt;= 0,
      INDEX(Assessment!$17:$17,
            _xlfn.XMATCH(INDEX('Chart data'!$2:$2, COLUMN()),
                   Assessment!$4:$4, 0)
      ),
      NA()
    ),
    NA()
  ),
  NA()
)</f>
        <v>#N/A</v>
      </c>
      <c r="V81" s="106" t="e" cm="1">
        <f t="array" ref="V81">IF(
  AND(
    INDEX('Chart data'!$2:$2, COLUMN()) &gt;= MTP_BaseYear,
    INDEX('Chart data'!$2:$2, COLUMN()) &lt;= OutturnThrough
  ),
  IFERROR(
    IF(
      V79 - INDEX(Assessment!$17:$17,
                   _xlfn.XMATCH(INDEX('Chart data'!$2:$2, COLUMN()),
                          Assessment!$4:$4, 0)
            ) &lt;= 0,
      INDEX(Assessment!$17:$17,
            _xlfn.XMATCH(INDEX('Chart data'!$2:$2, COLUMN()),
                   Assessment!$4:$4, 0)
      ),
      NA()
    ),
    NA()
  ),
  NA()
)</f>
        <v>#N/A</v>
      </c>
      <c r="W81" s="106" t="e" cm="1">
        <f t="array" ref="W81">IF(
  AND(
    INDEX('Chart data'!$2:$2, COLUMN()) &gt;= MTP_BaseYear,
    INDEX('Chart data'!$2:$2, COLUMN()) &lt;= OutturnThrough
  ),
  IFERROR(
    IF(
      W79 - INDEX(Assessment!$17:$17,
                   _xlfn.XMATCH(INDEX('Chart data'!$2:$2, COLUMN()),
                          Assessment!$4:$4, 0)
            ) &lt;= 0,
      INDEX(Assessment!$17:$17,
            _xlfn.XMATCH(INDEX('Chart data'!$2:$2, COLUMN()),
                   Assessment!$4:$4, 0)
      ),
      NA()
    ),
    NA()
  ),
  NA()
)</f>
        <v>#N/A</v>
      </c>
    </row>
    <row r="82" spans="2:23" x14ac:dyDescent="0.4">
      <c r="C82" s="2" t="s">
        <v>299</v>
      </c>
      <c r="F82" s="106" t="e" cm="1">
        <f t="array" ref="F82">IF(
  AND(
    INDEX('Chart data'!$2:$2, COLUMN()) &gt;= MTP_BaseYear,
    INDEX('Chart data'!$2:$2, COLUMN()) &lt;= OutturnThrough
  ),
  IFERROR(
    IF(
      F79 - INDEX(Assessment!$17:$17,
                   _xlfn.XMATCH(INDEX('Chart data'!$2:$2, COLUMN()),
                          Assessment!$4:$4, 0)
            ) &gt; 0,
      INDEX(Assessment!$17:$17,
            _xlfn.XMATCH(INDEX('Chart data'!$2:$2, COLUMN()),
                   Assessment!$4:$4, 0)
      ),
      NA()
    ),
    NA()
  ),
  NA()
)</f>
        <v>#N/A</v>
      </c>
      <c r="G82" s="123" t="e" cm="1">
        <f t="array" ref="G82">IF(
  AND(
    INDEX('Chart data'!$2:$2, COLUMN()) &gt;= MTP_BaseYear,
    INDEX('Chart data'!$2:$2, COLUMN()) &lt;= OutturnThrough
  ),
  IFERROR(
    IF(
      G79 - INDEX(Assessment!$17:$17,
                   _xlfn.XMATCH(INDEX('Chart data'!$2:$2, COLUMN()),
                          Assessment!$4:$4, 0)
            ) &gt; 0,
      INDEX(Assessment!$17:$17,
            _xlfn.XMATCH(INDEX('Chart data'!$2:$2, COLUMN()),
                   Assessment!$4:$4, 0)
      ),
      NA()
    ),
    NA()
  ),
  NA()
)</f>
        <v>#N/A</v>
      </c>
      <c r="H82" s="123" t="e" cm="1">
        <f t="array" ref="H82">IF(
  AND(
    INDEX('Chart data'!$2:$2, COLUMN()) &gt;= MTP_BaseYear,
    INDEX('Chart data'!$2:$2, COLUMN()) &lt;= OutturnThrough
  ),
  IFERROR(
    IF(
      H79 - INDEX(Assessment!$17:$17,
                   _xlfn.XMATCH(INDEX('Chart data'!$2:$2, COLUMN()),
                          Assessment!$4:$4, 0)
            ) &gt; 0,
      INDEX(Assessment!$17:$17,
            _xlfn.XMATCH(INDEX('Chart data'!$2:$2, COLUMN()),
                   Assessment!$4:$4, 0)
      ),
      NA()
    ),
    NA()
  ),
  NA()
)</f>
        <v>#N/A</v>
      </c>
      <c r="I82" s="123" t="e" cm="1">
        <f t="array" ref="I82">IF(
  AND(
    INDEX('Chart data'!$2:$2, COLUMN()) &gt;= MTP_BaseYear,
    INDEX('Chart data'!$2:$2, COLUMN()) &lt;= OutturnThrough
  ),
  IFERROR(
    IF(
      I79 - INDEX(Assessment!$17:$17,
                   _xlfn.XMATCH(INDEX('Chart data'!$2:$2, COLUMN()),
                          Assessment!$4:$4, 0)
            ) &gt; 0,
      INDEX(Assessment!$17:$17,
            _xlfn.XMATCH(INDEX('Chart data'!$2:$2, COLUMN()),
                   Assessment!$4:$4, 0)
      ),
      NA()
    ),
    NA()
  ),
  NA()
)</f>
        <v>#N/A</v>
      </c>
      <c r="J82" s="123" t="e" cm="1">
        <f t="array" ref="J82">IF(
  AND(
    INDEX('Chart data'!$2:$2, COLUMN()) &gt;= MTP_BaseYear,
    INDEX('Chart data'!$2:$2, COLUMN()) &lt;= OutturnThrough
  ),
  IFERROR(
    IF(
      J79 - INDEX(Assessment!$17:$17,
                   _xlfn.XMATCH(INDEX('Chart data'!$2:$2, COLUMN()),
                          Assessment!$4:$4, 0)
            ) &gt; 0,
      INDEX(Assessment!$17:$17,
            _xlfn.XMATCH(INDEX('Chart data'!$2:$2, COLUMN()),
                   Assessment!$4:$4, 0)
      ),
      NA()
    ),
    NA()
  ),
  NA()
)</f>
        <v>#N/A</v>
      </c>
      <c r="K82" s="123" t="e" cm="1">
        <f t="array" ref="K82">IF(
  AND(
    INDEX('Chart data'!$2:$2, COLUMN()) &gt;= MTP_BaseYear,
    INDEX('Chart data'!$2:$2, COLUMN()) &lt;= OutturnThrough
  ),
  IFERROR(
    IF(
      K79 - INDEX(Assessment!$17:$17,
                   _xlfn.XMATCH(INDEX('Chart data'!$2:$2, COLUMN()),
                          Assessment!$4:$4, 0)
            ) &gt; 0,
      INDEX(Assessment!$17:$17,
            _xlfn.XMATCH(INDEX('Chart data'!$2:$2, COLUMN()),
                   Assessment!$4:$4, 0)
      ),
      NA()
    ),
    NA()
  ),
  NA()
)</f>
        <v>#N/A</v>
      </c>
      <c r="L82" s="123" t="e" cm="1">
        <f t="array" ref="L82">IF(
  AND(
    INDEX('Chart data'!$2:$2, COLUMN()) &gt;= MTP_BaseYear,
    INDEX('Chart data'!$2:$2, COLUMN()) &lt;= OutturnThrough
  ),
  IFERROR(
    IF(
      L79 - INDEX(Assessment!$17:$17,
                   _xlfn.XMATCH(INDEX('Chart data'!$2:$2, COLUMN()),
                          Assessment!$4:$4, 0)
            ) &gt; 0,
      INDEX(Assessment!$17:$17,
            _xlfn.XMATCH(INDEX('Chart data'!$2:$2, COLUMN()),
                   Assessment!$4:$4, 0)
      ),
      NA()
    ),
    NA()
  ),
  NA()
)</f>
        <v>#N/A</v>
      </c>
      <c r="M82" s="123" t="e" cm="1">
        <f t="array" ref="M82">IF(
  AND(
    INDEX('Chart data'!$2:$2, COLUMN()) &gt;= MTP_BaseYear,
    INDEX('Chart data'!$2:$2, COLUMN()) &lt;= OutturnThrough
  ),
  IFERROR(
    IF(
      M79 - INDEX(Assessment!$17:$17,
                   _xlfn.XMATCH(INDEX('Chart data'!$2:$2, COLUMN()),
                          Assessment!$4:$4, 0)
            ) &gt; 0,
      INDEX(Assessment!$17:$17,
            _xlfn.XMATCH(INDEX('Chart data'!$2:$2, COLUMN()),
                   Assessment!$4:$4, 0)
      ),
      NA()
    ),
    NA()
  ),
  NA()
)</f>
        <v>#N/A</v>
      </c>
      <c r="N82" s="123" t="e" cm="1">
        <f t="array" ref="N82">IF(
  AND(
    INDEX('Chart data'!$2:$2, COLUMN()) &gt;= MTP_BaseYear,
    INDEX('Chart data'!$2:$2, COLUMN()) &lt;= OutturnThrough
  ),
  IFERROR(
    IF(
      N79 - INDEX(Assessment!$17:$17,
                   _xlfn.XMATCH(INDEX('Chart data'!$2:$2, COLUMN()),
                          Assessment!$4:$4, 0)
            ) &gt; 0,
      INDEX(Assessment!$17:$17,
            _xlfn.XMATCH(INDEX('Chart data'!$2:$2, COLUMN()),
                   Assessment!$4:$4, 0)
      ),
      NA()
    ),
    NA()
  ),
  NA()
)</f>
        <v>#N/A</v>
      </c>
      <c r="O82" s="123" t="e" cm="1">
        <f t="array" ref="O82">IF(
  AND(
    INDEX('Chart data'!$2:$2, COLUMN()) &gt;= MTP_BaseYear,
    INDEX('Chart data'!$2:$2, COLUMN()) &lt;= OutturnThrough
  ),
  IFERROR(
    IF(
      O79 - INDEX(Assessment!$17:$17,
                   _xlfn.XMATCH(INDEX('Chart data'!$2:$2, COLUMN()),
                          Assessment!$4:$4, 0)
            ) &gt; 0,
      INDEX(Assessment!$17:$17,
            _xlfn.XMATCH(INDEX('Chart data'!$2:$2, COLUMN()),
                   Assessment!$4:$4, 0)
      ),
      NA()
    ),
    NA()
  ),
  NA()
)</f>
        <v>#N/A</v>
      </c>
      <c r="P82" s="123" t="e" cm="1">
        <f t="array" ref="P82">IF(
  AND(
    INDEX('Chart data'!$2:$2, COLUMN()) &gt;= MTP_BaseYear,
    INDEX('Chart data'!$2:$2, COLUMN()) &lt;= OutturnThrough
  ),
  IFERROR(
    IF(
      P79 - INDEX(Assessment!$17:$17,
                   _xlfn.XMATCH(INDEX('Chart data'!$2:$2, COLUMN()),
                          Assessment!$4:$4, 0)
            ) &gt; 0,
      INDEX(Assessment!$17:$17,
            _xlfn.XMATCH(INDEX('Chart data'!$2:$2, COLUMN()),
                   Assessment!$4:$4, 0)
      ),
      NA()
    ),
    NA()
  ),
  NA()
)</f>
        <v>#N/A</v>
      </c>
      <c r="Q82" s="123" t="e" cm="1">
        <f t="array" ref="Q82">IF(
  AND(
    INDEX('Chart data'!$2:$2, COLUMN()) &gt;= MTP_BaseYear,
    INDEX('Chart data'!$2:$2, COLUMN()) &lt;= OutturnThrough
  ),
  IFERROR(
    IF(
      Q79 - INDEX(Assessment!$17:$17,
                   _xlfn.XMATCH(INDEX('Chart data'!$2:$2, COLUMN()),
                          Assessment!$4:$4, 0)
            ) &gt; 0,
      INDEX(Assessment!$17:$17,
            _xlfn.XMATCH(INDEX('Chart data'!$2:$2, COLUMN()),
                   Assessment!$4:$4, 0)
      ),
      NA()
    ),
    NA()
  ),
  NA()
)</f>
        <v>#N/A</v>
      </c>
      <c r="R82" s="123" t="e" cm="1">
        <f t="array" ref="R82">IF(
  AND(
    INDEX('Chart data'!$2:$2, COLUMN()) &gt;= MTP_BaseYear,
    INDEX('Chart data'!$2:$2, COLUMN()) &lt;= OutturnThrough
  ),
  IFERROR(
    IF(
      R79 - INDEX(Assessment!$17:$17,
                   _xlfn.XMATCH(INDEX('Chart data'!$2:$2, COLUMN()),
                          Assessment!$4:$4, 0)
            ) &gt; 0,
      INDEX(Assessment!$17:$17,
            _xlfn.XMATCH(INDEX('Chart data'!$2:$2, COLUMN()),
                   Assessment!$4:$4, 0)
      ),
      NA()
    ),
    NA()
  ),
  NA()
)</f>
        <v>#N/A</v>
      </c>
      <c r="S82" s="123" t="e" cm="1">
        <f t="array" ref="S82">IF(
  AND(
    INDEX('Chart data'!$2:$2, COLUMN()) &gt;= MTP_BaseYear,
    INDEX('Chart data'!$2:$2, COLUMN()) &lt;= OutturnThrough
  ),
  IFERROR(
    IF(
      S79 - INDEX(Assessment!$17:$17,
                   _xlfn.XMATCH(INDEX('Chart data'!$2:$2, COLUMN()),
                          Assessment!$4:$4, 0)
            ) &gt; 0,
      INDEX(Assessment!$17:$17,
            _xlfn.XMATCH(INDEX('Chart data'!$2:$2, COLUMN()),
                   Assessment!$4:$4, 0)
      ),
      NA()
    ),
    NA()
  ),
  NA()
)</f>
        <v>#N/A</v>
      </c>
      <c r="T82" s="123" t="e" cm="1">
        <f t="array" ref="T82">IF(
  AND(
    INDEX('Chart data'!$2:$2, COLUMN()) &gt;= MTP_BaseYear,
    INDEX('Chart data'!$2:$2, COLUMN()) &lt;= OutturnThrough
  ),
  IFERROR(
    IF(
      T79 - INDEX(Assessment!$17:$17,
                   _xlfn.XMATCH(INDEX('Chart data'!$2:$2, COLUMN()),
                          Assessment!$4:$4, 0)
            ) &gt; 0,
      INDEX(Assessment!$17:$17,
            _xlfn.XMATCH(INDEX('Chart data'!$2:$2, COLUMN()),
                   Assessment!$4:$4, 0)
      ),
      NA()
    ),
    NA()
  ),
  NA()
)</f>
        <v>#N/A</v>
      </c>
      <c r="U82" s="123" t="e" cm="1">
        <f t="array" ref="U82">IF(
  AND(
    INDEX('Chart data'!$2:$2, COLUMN()) &gt;= MTP_BaseYear,
    INDEX('Chart data'!$2:$2, COLUMN()) &lt;= OutturnThrough
  ),
  IFERROR(
    IF(
      U79 - INDEX(Assessment!$17:$17,
                   _xlfn.XMATCH(INDEX('Chart data'!$2:$2, COLUMN()),
                          Assessment!$4:$4, 0)
            ) &gt; 0,
      INDEX(Assessment!$17:$17,
            _xlfn.XMATCH(INDEX('Chart data'!$2:$2, COLUMN()),
                   Assessment!$4:$4, 0)
      ),
      NA()
    ),
    NA()
  ),
  NA()
)</f>
        <v>#N/A</v>
      </c>
      <c r="V82" s="123" t="e" cm="1">
        <f t="array" ref="V82">IF(
  AND(
    INDEX('Chart data'!$2:$2, COLUMN()) &gt;= MTP_BaseYear,
    INDEX('Chart data'!$2:$2, COLUMN()) &lt;= OutturnThrough
  ),
  IFERROR(
    IF(
      V79 - INDEX(Assessment!$17:$17,
                   _xlfn.XMATCH(INDEX('Chart data'!$2:$2, COLUMN()),
                          Assessment!$4:$4, 0)
            ) &gt; 0,
      INDEX(Assessment!$17:$17,
            _xlfn.XMATCH(INDEX('Chart data'!$2:$2, COLUMN()),
                   Assessment!$4:$4, 0)
      ),
      NA()
    ),
    NA()
  ),
  NA()
)</f>
        <v>#N/A</v>
      </c>
      <c r="W82" s="123" t="e" cm="1">
        <f t="array" ref="W82">IF(
  AND(
    INDEX('Chart data'!$2:$2, COLUMN()) &gt;= MTP_BaseYear,
    INDEX('Chart data'!$2:$2, COLUMN()) &lt;= OutturnThrough
  ),
  IFERROR(
    IF(
      W79 - INDEX(Assessment!$17:$17,
                   _xlfn.XMATCH(INDEX('Chart data'!$2:$2, COLUMN()),
                          Assessment!$4:$4, 0)
            ) &gt; 0,
      INDEX(Assessment!$17:$17,
            _xlfn.XMATCH(INDEX('Chart data'!$2:$2, COLUMN()),
                   Assessment!$4:$4, 0)
      ),
      NA()
    ),
    NA()
  ),
  NA()
)</f>
        <v>#N/A</v>
      </c>
    </row>
    <row r="83" spans="2:23" x14ac:dyDescent="0.4">
      <c r="C83" s="2" t="s">
        <v>246</v>
      </c>
      <c r="F83" s="6">
        <f>-Validation!$T$2</f>
        <v>-3.05</v>
      </c>
      <c r="G83" s="6">
        <f>-Validation!$T$2</f>
        <v>-3.05</v>
      </c>
      <c r="H83" s="6">
        <f>-Validation!$T$2</f>
        <v>-3.05</v>
      </c>
      <c r="I83" s="6">
        <f>-Validation!$T$2</f>
        <v>-3.05</v>
      </c>
      <c r="J83" s="6">
        <f>-Validation!$T$2</f>
        <v>-3.05</v>
      </c>
      <c r="K83" s="6">
        <f>-Validation!$T$2</f>
        <v>-3.05</v>
      </c>
      <c r="L83" s="6">
        <f>-Validation!$T$2</f>
        <v>-3.05</v>
      </c>
      <c r="M83" s="6">
        <f>-Validation!$T$2</f>
        <v>-3.05</v>
      </c>
      <c r="N83" s="6">
        <f>-Validation!$T$2</f>
        <v>-3.05</v>
      </c>
      <c r="O83" s="6">
        <f>-Validation!$T$2</f>
        <v>-3.05</v>
      </c>
      <c r="P83" s="6">
        <f>-Validation!$T$2</f>
        <v>-3.05</v>
      </c>
      <c r="Q83" s="6">
        <f>-Validation!$T$2</f>
        <v>-3.05</v>
      </c>
      <c r="R83" s="6">
        <f>-Validation!$T$2</f>
        <v>-3.05</v>
      </c>
      <c r="S83" s="6">
        <f>-Validation!$T$2</f>
        <v>-3.05</v>
      </c>
      <c r="T83" s="6">
        <f>-Validation!$T$2</f>
        <v>-3.05</v>
      </c>
      <c r="U83" s="6">
        <f>-Validation!$T$2</f>
        <v>-3.05</v>
      </c>
      <c r="V83" s="6">
        <f>-Validation!$T$2</f>
        <v>-3.05</v>
      </c>
      <c r="W83" s="6">
        <f>-Validation!$T$2</f>
        <v>-3.05</v>
      </c>
    </row>
    <row r="84" spans="2:23" x14ac:dyDescent="0.4">
      <c r="C84" s="2" t="s">
        <v>300</v>
      </c>
      <c r="F84" s="64">
        <f t="shared" ref="F84:T84" si="6">IF(F79&lt;&gt;"",-F79,NA())</f>
        <v>0</v>
      </c>
      <c r="G84" s="64">
        <f t="shared" si="6"/>
        <v>0</v>
      </c>
      <c r="H84" s="64">
        <f t="shared" si="6"/>
        <v>0</v>
      </c>
      <c r="I84" s="64">
        <f t="shared" si="6"/>
        <v>0</v>
      </c>
      <c r="J84" s="64">
        <f t="shared" si="6"/>
        <v>0</v>
      </c>
      <c r="K84" s="64">
        <f t="shared" si="6"/>
        <v>0</v>
      </c>
      <c r="L84" s="64">
        <f t="shared" si="6"/>
        <v>0</v>
      </c>
      <c r="M84" s="64">
        <f t="shared" si="6"/>
        <v>0</v>
      </c>
      <c r="N84" s="64">
        <f t="shared" si="6"/>
        <v>0</v>
      </c>
      <c r="O84" s="64">
        <f t="shared" si="6"/>
        <v>0</v>
      </c>
      <c r="P84" s="64">
        <f t="shared" si="6"/>
        <v>0</v>
      </c>
      <c r="Q84" s="64">
        <f t="shared" si="6"/>
        <v>0</v>
      </c>
      <c r="R84" s="64">
        <f t="shared" si="6"/>
        <v>0</v>
      </c>
      <c r="S84" s="64">
        <f t="shared" si="6"/>
        <v>0</v>
      </c>
      <c r="T84" s="64">
        <f t="shared" si="6"/>
        <v>0</v>
      </c>
      <c r="U84" s="64" t="e">
        <f t="shared" ref="U84:W84" si="7">IF(U79&lt;&gt;"",-U79,NA())</f>
        <v>#N/A</v>
      </c>
      <c r="V84" s="64" t="e">
        <f t="shared" si="7"/>
        <v>#N/A</v>
      </c>
      <c r="W84" s="64" t="e">
        <f t="shared" si="7"/>
        <v>#N/A</v>
      </c>
    </row>
    <row r="85" spans="2:23" x14ac:dyDescent="0.4">
      <c r="C85" s="2" t="s">
        <v>301</v>
      </c>
      <c r="F85" s="64" t="e">
        <f t="shared" ref="F85:T85" si="8">IF(F81&lt;&gt;"",-F81,NA())</f>
        <v>#N/A</v>
      </c>
      <c r="G85" s="64" t="e">
        <f t="shared" si="8"/>
        <v>#N/A</v>
      </c>
      <c r="H85" s="64" t="e">
        <f t="shared" si="8"/>
        <v>#N/A</v>
      </c>
      <c r="I85" s="64" t="e">
        <f t="shared" si="8"/>
        <v>#N/A</v>
      </c>
      <c r="J85" s="64" t="e">
        <f t="shared" si="8"/>
        <v>#N/A</v>
      </c>
      <c r="K85" s="64" t="e">
        <f t="shared" si="8"/>
        <v>#N/A</v>
      </c>
      <c r="L85" s="64" t="e">
        <f t="shared" si="8"/>
        <v>#N/A</v>
      </c>
      <c r="M85" s="64" t="e">
        <f t="shared" si="8"/>
        <v>#N/A</v>
      </c>
      <c r="N85" s="64" t="e">
        <f t="shared" si="8"/>
        <v>#N/A</v>
      </c>
      <c r="O85" s="64" t="e">
        <f t="shared" si="8"/>
        <v>#N/A</v>
      </c>
      <c r="P85" s="64" t="e">
        <f t="shared" si="8"/>
        <v>#N/A</v>
      </c>
      <c r="Q85" s="64" t="e">
        <f t="shared" si="8"/>
        <v>#N/A</v>
      </c>
      <c r="R85" s="64" t="e">
        <f t="shared" si="8"/>
        <v>#N/A</v>
      </c>
      <c r="S85" s="64" t="e">
        <f t="shared" si="8"/>
        <v>#N/A</v>
      </c>
      <c r="T85" s="64" t="e">
        <f t="shared" si="8"/>
        <v>#N/A</v>
      </c>
      <c r="U85" s="64" t="e">
        <f t="shared" ref="U85:W85" si="9">IF(U81&lt;&gt;"",-U81,NA())</f>
        <v>#N/A</v>
      </c>
      <c r="V85" s="64" t="e">
        <f t="shared" si="9"/>
        <v>#N/A</v>
      </c>
      <c r="W85" s="64" t="e">
        <f t="shared" si="9"/>
        <v>#N/A</v>
      </c>
    </row>
    <row r="86" spans="2:23" x14ac:dyDescent="0.4">
      <c r="C86" s="2" t="s">
        <v>302</v>
      </c>
      <c r="F86" s="64" t="e">
        <f t="shared" ref="F86:T86" si="10">IF(F82&lt;&gt;"",-F82,NA())</f>
        <v>#N/A</v>
      </c>
      <c r="G86" s="64" t="e">
        <f t="shared" si="10"/>
        <v>#N/A</v>
      </c>
      <c r="H86" s="64" t="e">
        <f t="shared" si="10"/>
        <v>#N/A</v>
      </c>
      <c r="I86" s="64" t="e">
        <f t="shared" si="10"/>
        <v>#N/A</v>
      </c>
      <c r="J86" s="64" t="e">
        <f t="shared" si="10"/>
        <v>#N/A</v>
      </c>
      <c r="K86" s="64" t="e">
        <f t="shared" si="10"/>
        <v>#N/A</v>
      </c>
      <c r="L86" s="64" t="e">
        <f t="shared" si="10"/>
        <v>#N/A</v>
      </c>
      <c r="M86" s="64" t="e">
        <f t="shared" si="10"/>
        <v>#N/A</v>
      </c>
      <c r="N86" s="64" t="e">
        <f t="shared" si="10"/>
        <v>#N/A</v>
      </c>
      <c r="O86" s="64" t="e">
        <f t="shared" si="10"/>
        <v>#N/A</v>
      </c>
      <c r="P86" s="64" t="e">
        <f t="shared" si="10"/>
        <v>#N/A</v>
      </c>
      <c r="Q86" s="64" t="e">
        <f t="shared" si="10"/>
        <v>#N/A</v>
      </c>
      <c r="R86" s="64" t="e">
        <f t="shared" si="10"/>
        <v>#N/A</v>
      </c>
      <c r="S86" s="64" t="e">
        <f t="shared" si="10"/>
        <v>#N/A</v>
      </c>
      <c r="T86" s="64" t="e">
        <f t="shared" si="10"/>
        <v>#N/A</v>
      </c>
      <c r="U86" s="64" t="e">
        <f t="shared" ref="U86:W86" si="11">IF(U82&lt;&gt;"",-U82,NA())</f>
        <v>#N/A</v>
      </c>
      <c r="V86" s="64" t="e">
        <f t="shared" si="11"/>
        <v>#N/A</v>
      </c>
      <c r="W86" s="64" t="e">
        <f t="shared" si="11"/>
        <v>#N/A</v>
      </c>
    </row>
    <row r="87" spans="2:23" x14ac:dyDescent="0.4">
      <c r="C87" s="2"/>
    </row>
    <row r="88" spans="2:23" ht="16.5" x14ac:dyDescent="0.6">
      <c r="B88" s="110" t="s">
        <v>574</v>
      </c>
      <c r="C88" s="11" t="str">
        <f>"Performance of general government debt compared to the "&amp;IF(MTP_Council_Endorsed,"endorsed plan","the proposed plan")&amp;" (in context of planned fiscal path DSA)"</f>
        <v>Performance of general government debt compared to the endorsed plan (in context of planned fiscal path DSA)</v>
      </c>
    </row>
    <row r="89" spans="2:23" x14ac:dyDescent="0.4">
      <c r="C89" s="2" t="s">
        <v>245</v>
      </c>
      <c r="E89" s="64" t="str">
        <f>Assessment!D72</f>
        <v/>
      </c>
      <c r="F89" s="64" t="str">
        <f>Assessment!E72</f>
        <v/>
      </c>
      <c r="G89" s="64" t="str">
        <f>Assessment!F72</f>
        <v/>
      </c>
      <c r="H89" s="64" t="str">
        <f>Assessment!G72</f>
        <v/>
      </c>
      <c r="I89" s="64" t="str">
        <f>Assessment!H72</f>
        <v/>
      </c>
      <c r="J89" s="64" t="str">
        <f>Assessment!I72</f>
        <v/>
      </c>
      <c r="K89" s="64" t="str">
        <f>Assessment!J72</f>
        <v/>
      </c>
      <c r="L89" s="64" t="str">
        <f>Assessment!K72</f>
        <v/>
      </c>
      <c r="M89" s="64" t="str">
        <f>Assessment!L72</f>
        <v/>
      </c>
      <c r="N89" s="64" t="str">
        <f>Assessment!M72</f>
        <v/>
      </c>
      <c r="O89" s="64" t="str">
        <f>Assessment!N72</f>
        <v/>
      </c>
      <c r="P89" s="64" t="str">
        <f>Assessment!O72</f>
        <v/>
      </c>
      <c r="Q89" s="64" t="str">
        <f>Assessment!P72</f>
        <v/>
      </c>
      <c r="R89" s="64" t="str">
        <f>Assessment!Q72</f>
        <v/>
      </c>
      <c r="S89" s="64" t="str">
        <f>Assessment!R72</f>
        <v/>
      </c>
      <c r="T89" s="64" t="str">
        <f>Assessment!S72</f>
        <v/>
      </c>
      <c r="U89" s="64" t="str">
        <f>Assessment!T72</f>
        <v/>
      </c>
      <c r="V89" s="64" t="str">
        <f>Assessment!U72</f>
        <v/>
      </c>
      <c r="W89" s="64" t="str">
        <f>Assessment!V72</f>
        <v/>
      </c>
    </row>
    <row r="90" spans="2:23" x14ac:dyDescent="0.4">
      <c r="C90" s="2" t="s">
        <v>243</v>
      </c>
      <c r="E90" s="64" t="e">
        <f>IF(OR(ISNUMBER(E91),ISNUMBER(E92)),NA(),IF(ISNUMBER(Assessment!D20),Assessment!D20,NA()))</f>
        <v>#N/A</v>
      </c>
      <c r="F90" s="64" t="e">
        <f>IF(OR(ISNUMBER(F91),ISNUMBER(F92)),NA(),IF(ISNUMBER(Assessment!E20),Assessment!E20,NA()))</f>
        <v>#N/A</v>
      </c>
      <c r="G90" s="64" t="e">
        <f>IF(OR(ISNUMBER(G91),ISNUMBER(G92)),NA(),IF(ISNUMBER(Assessment!F20),Assessment!F20,NA()))</f>
        <v>#N/A</v>
      </c>
      <c r="H90" s="64" t="e">
        <f>IF(OR(ISNUMBER(H91),ISNUMBER(H92)),NA(),IF(ISNUMBER(Assessment!G20),Assessment!G20,NA()))</f>
        <v>#N/A</v>
      </c>
      <c r="I90" s="64" t="e">
        <f>IF(OR(ISNUMBER(I91),ISNUMBER(I92)),NA(),IF(ISNUMBER(Assessment!H20),Assessment!H20,NA()))</f>
        <v>#N/A</v>
      </c>
      <c r="J90" s="64" t="e">
        <f>IF(OR(ISNUMBER(J91),ISNUMBER(J92)),NA(),IF(ISNUMBER(Assessment!I20),Assessment!I20,NA()))</f>
        <v>#N/A</v>
      </c>
      <c r="K90" s="64" t="e">
        <f>IF(OR(ISNUMBER(K91),ISNUMBER(K92)),NA(),IF(ISNUMBER(Assessment!J20),Assessment!J20,NA()))</f>
        <v>#N/A</v>
      </c>
      <c r="L90" s="64" t="e">
        <f>IF(OR(ISNUMBER(L91),ISNUMBER(L92)),NA(),IF(ISNUMBER(Assessment!K20),Assessment!K20,NA()))</f>
        <v>#N/A</v>
      </c>
      <c r="M90" s="64" t="e">
        <f>IF(OR(ISNUMBER(M91),ISNUMBER(M92)),NA(),IF(ISNUMBER(Assessment!L20),Assessment!L20,NA()))</f>
        <v>#N/A</v>
      </c>
      <c r="N90" s="64" t="e">
        <f>IF(OR(ISNUMBER(N91),ISNUMBER(N92)),NA(),IF(ISNUMBER(Assessment!M20),Assessment!M20,NA()))</f>
        <v>#N/A</v>
      </c>
      <c r="O90" s="64" t="e">
        <f>IF(OR(ISNUMBER(O91),ISNUMBER(O92)),NA(),IF(ISNUMBER(Assessment!N20),Assessment!N20,NA()))</f>
        <v>#N/A</v>
      </c>
      <c r="P90" s="64" t="e">
        <f>IF(OR(ISNUMBER(P91),ISNUMBER(P92)),NA(),IF(ISNUMBER(Assessment!O20),Assessment!O20,NA()))</f>
        <v>#N/A</v>
      </c>
      <c r="Q90" s="64" t="e">
        <f>IF(OR(ISNUMBER(Q91),ISNUMBER(Q92)),NA(),IF(ISNUMBER(Assessment!P20),Assessment!P20,NA()))</f>
        <v>#N/A</v>
      </c>
      <c r="R90" s="64" t="e">
        <f>IF(OR(ISNUMBER(R91),ISNUMBER(R92)),NA(),IF(ISNUMBER(Assessment!Q20),Assessment!Q20,NA()))</f>
        <v>#N/A</v>
      </c>
      <c r="S90" s="64" t="e">
        <f>IF(OR(ISNUMBER(S91),ISNUMBER(S92)),NA(),IF(ISNUMBER(Assessment!R20),Assessment!R20,NA()))</f>
        <v>#N/A</v>
      </c>
      <c r="T90" s="64" t="e">
        <f>IF(OR(ISNUMBER(T91),ISNUMBER(T92)),NA(),IF(ISNUMBER(Assessment!S20),Assessment!S20,NA()))</f>
        <v>#N/A</v>
      </c>
      <c r="U90" s="64" t="e">
        <f>IF(OR(ISNUMBER(U91),ISNUMBER(U92)),NA(),IF(ISNUMBER(Assessment!T20),Assessment!T20,NA()))</f>
        <v>#N/A</v>
      </c>
      <c r="V90" s="64" t="e">
        <f>IF(OR(ISNUMBER(V91),ISNUMBER(V92)),NA(),IF(ISNUMBER(Assessment!U20),Assessment!U20,NA()))</f>
        <v>#N/A</v>
      </c>
      <c r="W90" s="64" t="e">
        <f>IF(OR(ISNUMBER(W91),ISNUMBER(W92)),NA(),IF(ISNUMBER(Assessment!V20),Assessment!V20,NA()))</f>
        <v>#N/A</v>
      </c>
    </row>
    <row r="91" spans="2:23" x14ac:dyDescent="0.4">
      <c r="C91" s="2" t="s">
        <v>298</v>
      </c>
      <c r="E91" s="3"/>
      <c r="F91" s="106" t="e" cm="1">
        <f t="array" ref="F91">IF(
  AND(
    INDEX('Chart data'!$2:$2, COLUMN()) &gt;= MTP_BaseYear,
    INDEX('Chart data'!$2:$2, COLUMN()) &lt;= OutturnThrough
  ),
  IFERROR(
    IF(
      F93 - INDEX(Assessment!$20:$20,
                   _xlfn.XMATCH(INDEX('Chart data'!$2:$2, COLUMN()),
                          Assessment!$4:$4, 0)
            ) &gt;= 0,
      INDEX(Assessment!$20:$20,
            _xlfn.XMATCH(INDEX('Chart data'!$2:$2, COLUMN()),
                   Assessment!$4:$4, 0)
      ),
      NA()
    ),
    NA()
  ),
  NA()
)</f>
        <v>#N/A</v>
      </c>
      <c r="G91" s="106" t="e" cm="1">
        <f t="array" ref="G91">IF(
  AND(
    INDEX('Chart data'!$2:$2, COLUMN()) &gt;= MTP_BaseYear,
    INDEX('Chart data'!$2:$2, COLUMN()) &lt;= OutturnThrough
  ),
  IFERROR(
    IF(
      G93 - INDEX(Assessment!$20:$20,
                   _xlfn.XMATCH(INDEX('Chart data'!$2:$2, COLUMN()),
                          Assessment!$4:$4, 0)
            ) &gt;= 0,
      INDEX(Assessment!$20:$20,
            _xlfn.XMATCH(INDEX('Chart data'!$2:$2, COLUMN()),
                   Assessment!$4:$4, 0)
      ),
      NA()
    ),
    NA()
  ),
  NA()
)</f>
        <v>#N/A</v>
      </c>
      <c r="H91" s="106" t="e" cm="1">
        <f t="array" ref="H91">IF(
  AND(
    INDEX('Chart data'!$2:$2, COLUMN()) &gt;= MTP_BaseYear,
    INDEX('Chart data'!$2:$2, COLUMN()) &lt;= OutturnThrough
  ),
  IFERROR(
    IF(
      H93 - INDEX(Assessment!$20:$20,
                   _xlfn.XMATCH(INDEX('Chart data'!$2:$2, COLUMN()),
                          Assessment!$4:$4, 0)
            ) &gt;= 0,
      INDEX(Assessment!$20:$20,
            _xlfn.XMATCH(INDEX('Chart data'!$2:$2, COLUMN()),
                   Assessment!$4:$4, 0)
      ),
      NA()
    ),
    NA()
  ),
  NA()
)</f>
        <v>#N/A</v>
      </c>
      <c r="I91" s="106" t="e" cm="1">
        <f t="array" ref="I91">IF(
  AND(
    INDEX('Chart data'!$2:$2, COLUMN()) &gt;= MTP_BaseYear,
    INDEX('Chart data'!$2:$2, COLUMN()) &lt;= OutturnThrough
  ),
  IFERROR(
    IF(
      I93 - INDEX(Assessment!$20:$20,
                   _xlfn.XMATCH(INDEX('Chart data'!$2:$2, COLUMN()),
                          Assessment!$4:$4, 0)
            ) &gt;= 0,
      INDEX(Assessment!$20:$20,
            _xlfn.XMATCH(INDEX('Chart data'!$2:$2, COLUMN()),
                   Assessment!$4:$4, 0)
      ),
      NA()
    ),
    NA()
  ),
  NA()
)</f>
        <v>#N/A</v>
      </c>
      <c r="J91" s="106" t="e" cm="1">
        <f t="array" ref="J91">IF(
  AND(
    INDEX('Chart data'!$2:$2, COLUMN()) &gt;= MTP_BaseYear,
    INDEX('Chart data'!$2:$2, COLUMN()) &lt;= OutturnThrough
  ),
  IFERROR(
    IF(
      J93 - INDEX(Assessment!$20:$20,
                   _xlfn.XMATCH(INDEX('Chart data'!$2:$2, COLUMN()),
                          Assessment!$4:$4, 0)
            ) &gt;= 0,
      INDEX(Assessment!$20:$20,
            _xlfn.XMATCH(INDEX('Chart data'!$2:$2, COLUMN()),
                   Assessment!$4:$4, 0)
      ),
      NA()
    ),
    NA()
  ),
  NA()
)</f>
        <v>#N/A</v>
      </c>
      <c r="K91" s="106" t="e" cm="1">
        <f t="array" ref="K91">IF(
  AND(
    INDEX('Chart data'!$2:$2, COLUMN()) &gt;= MTP_BaseYear,
    INDEX('Chart data'!$2:$2, COLUMN()) &lt;= OutturnThrough
  ),
  IFERROR(
    IF(
      K93 - INDEX(Assessment!$20:$20,
                   _xlfn.XMATCH(INDEX('Chart data'!$2:$2, COLUMN()),
                          Assessment!$4:$4, 0)
            ) &gt;= 0,
      INDEX(Assessment!$20:$20,
            _xlfn.XMATCH(INDEX('Chart data'!$2:$2, COLUMN()),
                   Assessment!$4:$4, 0)
      ),
      NA()
    ),
    NA()
  ),
  NA()
)</f>
        <v>#N/A</v>
      </c>
      <c r="L91" s="106" t="e" cm="1">
        <f t="array" ref="L91">IF(
  AND(
    INDEX('Chart data'!$2:$2, COLUMN()) &gt;= MTP_BaseYear,
    INDEX('Chart data'!$2:$2, COLUMN()) &lt;= OutturnThrough
  ),
  IFERROR(
    IF(
      L93 - INDEX(Assessment!$20:$20,
                   _xlfn.XMATCH(INDEX('Chart data'!$2:$2, COLUMN()),
                          Assessment!$4:$4, 0)
            ) &gt;= 0,
      INDEX(Assessment!$20:$20,
            _xlfn.XMATCH(INDEX('Chart data'!$2:$2, COLUMN()),
                   Assessment!$4:$4, 0)
      ),
      NA()
    ),
    NA()
  ),
  NA()
)</f>
        <v>#N/A</v>
      </c>
      <c r="M91" s="106" t="e" cm="1">
        <f t="array" ref="M91">IF(
  AND(
    INDEX('Chart data'!$2:$2, COLUMN()) &gt;= MTP_BaseYear,
    INDEX('Chart data'!$2:$2, COLUMN()) &lt;= OutturnThrough
  ),
  IFERROR(
    IF(
      M93 - INDEX(Assessment!$20:$20,
                   _xlfn.XMATCH(INDEX('Chart data'!$2:$2, COLUMN()),
                          Assessment!$4:$4, 0)
            ) &gt;= 0,
      INDEX(Assessment!$20:$20,
            _xlfn.XMATCH(INDEX('Chart data'!$2:$2, COLUMN()),
                   Assessment!$4:$4, 0)
      ),
      NA()
    ),
    NA()
  ),
  NA()
)</f>
        <v>#N/A</v>
      </c>
      <c r="N91" s="106" t="e" cm="1">
        <f t="array" ref="N91">IF(
  AND(
    INDEX('Chart data'!$2:$2, COLUMN()) &gt;= MTP_BaseYear,
    INDEX('Chart data'!$2:$2, COLUMN()) &lt;= OutturnThrough
  ),
  IFERROR(
    IF(
      N93 - INDEX(Assessment!$20:$20,
                   _xlfn.XMATCH(INDEX('Chart data'!$2:$2, COLUMN()),
                          Assessment!$4:$4, 0)
            ) &gt;= 0,
      INDEX(Assessment!$20:$20,
            _xlfn.XMATCH(INDEX('Chart data'!$2:$2, COLUMN()),
                   Assessment!$4:$4, 0)
      ),
      NA()
    ),
    NA()
  ),
  NA()
)</f>
        <v>#N/A</v>
      </c>
      <c r="O91" s="106" t="e" cm="1">
        <f t="array" ref="O91">IF(
  AND(
    INDEX('Chart data'!$2:$2, COLUMN()) &gt;= MTP_BaseYear,
    INDEX('Chart data'!$2:$2, COLUMN()) &lt;= OutturnThrough
  ),
  IFERROR(
    IF(
      O93 - INDEX(Assessment!$20:$20,
                   _xlfn.XMATCH(INDEX('Chart data'!$2:$2, COLUMN()),
                          Assessment!$4:$4, 0)
            ) &gt;= 0,
      INDEX(Assessment!$20:$20,
            _xlfn.XMATCH(INDEX('Chart data'!$2:$2, COLUMN()),
                   Assessment!$4:$4, 0)
      ),
      NA()
    ),
    NA()
  ),
  NA()
)</f>
        <v>#N/A</v>
      </c>
      <c r="P91" s="106" t="e" cm="1">
        <f t="array" ref="P91">IF(
  AND(
    INDEX('Chart data'!$2:$2, COLUMN()) &gt;= MTP_BaseYear,
    INDEX('Chart data'!$2:$2, COLUMN()) &lt;= OutturnThrough
  ),
  IFERROR(
    IF(
      P93 - INDEX(Assessment!$20:$20,
                   _xlfn.XMATCH(INDEX('Chart data'!$2:$2, COLUMN()),
                          Assessment!$4:$4, 0)
            ) &gt;= 0,
      INDEX(Assessment!$20:$20,
            _xlfn.XMATCH(INDEX('Chart data'!$2:$2, COLUMN()),
                   Assessment!$4:$4, 0)
      ),
      NA()
    ),
    NA()
  ),
  NA()
)</f>
        <v>#N/A</v>
      </c>
      <c r="Q91" s="106" t="e" cm="1">
        <f t="array" ref="Q91">IF(
  AND(
    INDEX('Chart data'!$2:$2, COLUMN()) &gt;= MTP_BaseYear,
    INDEX('Chart data'!$2:$2, COLUMN()) &lt;= OutturnThrough
  ),
  IFERROR(
    IF(
      Q93 - INDEX(Assessment!$20:$20,
                   _xlfn.XMATCH(INDEX('Chart data'!$2:$2, COLUMN()),
                          Assessment!$4:$4, 0)
            ) &gt;= 0,
      INDEX(Assessment!$20:$20,
            _xlfn.XMATCH(INDEX('Chart data'!$2:$2, COLUMN()),
                   Assessment!$4:$4, 0)
      ),
      NA()
    ),
    NA()
  ),
  NA()
)</f>
        <v>#N/A</v>
      </c>
      <c r="R91" s="106" t="e" cm="1">
        <f t="array" ref="R91">IF(
  AND(
    INDEX('Chart data'!$2:$2, COLUMN()) &gt;= MTP_BaseYear,
    INDEX('Chart data'!$2:$2, COLUMN()) &lt;= OutturnThrough
  ),
  IFERROR(
    IF(
      R93 - INDEX(Assessment!$20:$20,
                   _xlfn.XMATCH(INDEX('Chart data'!$2:$2, COLUMN()),
                          Assessment!$4:$4, 0)
            ) &gt;= 0,
      INDEX(Assessment!$20:$20,
            _xlfn.XMATCH(INDEX('Chart data'!$2:$2, COLUMN()),
                   Assessment!$4:$4, 0)
      ),
      NA()
    ),
    NA()
  ),
  NA()
)</f>
        <v>#N/A</v>
      </c>
      <c r="S91" s="106" t="e" cm="1">
        <f t="array" ref="S91">IF(
  AND(
    INDEX('Chart data'!$2:$2, COLUMN()) &gt;= MTP_BaseYear,
    INDEX('Chart data'!$2:$2, COLUMN()) &lt;= OutturnThrough
  ),
  IFERROR(
    IF(
      S93 - INDEX(Assessment!$20:$20,
                   _xlfn.XMATCH(INDEX('Chart data'!$2:$2, COLUMN()),
                          Assessment!$4:$4, 0)
            ) &gt;= 0,
      INDEX(Assessment!$20:$20,
            _xlfn.XMATCH(INDEX('Chart data'!$2:$2, COLUMN()),
                   Assessment!$4:$4, 0)
      ),
      NA()
    ),
    NA()
  ),
  NA()
)</f>
        <v>#N/A</v>
      </c>
      <c r="T91" s="106" t="e" cm="1">
        <f t="array" ref="T91">IF(
  AND(
    INDEX('Chart data'!$2:$2, COLUMN()) &gt;= MTP_BaseYear,
    INDEX('Chart data'!$2:$2, COLUMN()) &lt;= OutturnThrough
  ),
  IFERROR(
    IF(
      T93 - INDEX(Assessment!$20:$20,
                   _xlfn.XMATCH(INDEX('Chart data'!$2:$2, COLUMN()),
                          Assessment!$4:$4, 0)
            ) &gt;= 0,
      INDEX(Assessment!$20:$20,
            _xlfn.XMATCH(INDEX('Chart data'!$2:$2, COLUMN()),
                   Assessment!$4:$4, 0)
      ),
      NA()
    ),
    NA()
  ),
  NA()
)</f>
        <v>#N/A</v>
      </c>
      <c r="U91" s="106" t="e" cm="1">
        <f t="array" ref="U91">IF(
  AND(
    INDEX('Chart data'!$2:$2, COLUMN()) &gt;= MTP_BaseYear,
    INDEX('Chart data'!$2:$2, COLUMN()) &lt;= OutturnThrough
  ),
  IFERROR(
    IF(
      U93 - INDEX(Assessment!$20:$20,
                   _xlfn.XMATCH(INDEX('Chart data'!$2:$2, COLUMN()),
                          Assessment!$4:$4, 0)
            ) &gt;= 0,
      INDEX(Assessment!$20:$20,
            _xlfn.XMATCH(INDEX('Chart data'!$2:$2, COLUMN()),
                   Assessment!$4:$4, 0)
      ),
      NA()
    ),
    NA()
  ),
  NA()
)</f>
        <v>#N/A</v>
      </c>
      <c r="V91" s="106" t="e" cm="1">
        <f t="array" ref="V91">IF(
  AND(
    INDEX('Chart data'!$2:$2, COLUMN()) &gt;= MTP_BaseYear,
    INDEX('Chart data'!$2:$2, COLUMN()) &lt;= OutturnThrough
  ),
  IFERROR(
    IF(
      V93 - INDEX(Assessment!$20:$20,
                   _xlfn.XMATCH(INDEX('Chart data'!$2:$2, COLUMN()),
                          Assessment!$4:$4, 0)
            ) &gt;= 0,
      INDEX(Assessment!$20:$20,
            _xlfn.XMATCH(INDEX('Chart data'!$2:$2, COLUMN()),
                   Assessment!$4:$4, 0)
      ),
      NA()
    ),
    NA()
  ),
  NA()
)</f>
        <v>#N/A</v>
      </c>
      <c r="W91" s="106" t="e" cm="1">
        <f t="array" ref="W91">IF(
  AND(
    INDEX('Chart data'!$2:$2, COLUMN()) &gt;= MTP_BaseYear,
    INDEX('Chart data'!$2:$2, COLUMN()) &lt;= OutturnThrough
  ),
  IFERROR(
    IF(
      W93 - INDEX(Assessment!$20:$20,
                   _xlfn.XMATCH(INDEX('Chart data'!$2:$2, COLUMN()),
                          Assessment!$4:$4, 0)
            ) &gt;= 0,
      INDEX(Assessment!$20:$20,
            _xlfn.XMATCH(INDEX('Chart data'!$2:$2, COLUMN()),
                   Assessment!$4:$4, 0)
      ),
      NA()
    ),
    NA()
  ),
  NA()
)</f>
        <v>#N/A</v>
      </c>
    </row>
    <row r="92" spans="2:23" x14ac:dyDescent="0.4">
      <c r="C92" s="2" t="s">
        <v>299</v>
      </c>
      <c r="E92" s="3"/>
      <c r="F92" s="106" t="e" cm="1">
        <f t="array" ref="F92">IF(
  AND(
    INDEX('Chart data'!$2:$2, COLUMN()) &gt;= MTP_BaseYear,
    INDEX('Chart data'!$2:$2, COLUMN()) &lt;= OutturnThrough
  ),
  IFERROR(
    IF(
      F93 - INDEX(Assessment!$20:$20,
                   _xlfn.XMATCH(INDEX('Chart data'!$2:$2, COLUMN()),
                          Assessment!$4:$4, 0)
            ) &lt; 0,
      INDEX(Assessment!$20:$20,
            _xlfn.XMATCH(INDEX('Chart data'!$2:$2, COLUMN()),
                   Assessment!$4:$4, 0)
      ),
      NA()
    ),
    NA()
  ),
  NA()
)</f>
        <v>#N/A</v>
      </c>
      <c r="G92" s="106" t="e" cm="1">
        <f t="array" ref="G92">IF(
  AND(
    INDEX('Chart data'!$2:$2, COLUMN()) &gt;= MTP_BaseYear,
    INDEX('Chart data'!$2:$2, COLUMN()) &lt;= OutturnThrough
  ),
  IFERROR(
    IF(
      G93 - INDEX(Assessment!$20:$20,
                   _xlfn.XMATCH(INDEX('Chart data'!$2:$2, COLUMN()),
                          Assessment!$4:$4, 0)
            ) &lt; 0,
      INDEX(Assessment!$20:$20,
            _xlfn.XMATCH(INDEX('Chart data'!$2:$2, COLUMN()),
                   Assessment!$4:$4, 0)
      ),
      NA()
    ),
    NA()
  ),
  NA()
)</f>
        <v>#N/A</v>
      </c>
      <c r="H92" s="106" t="e" cm="1">
        <f t="array" ref="H92">IF(
  AND(
    INDEX('Chart data'!$2:$2, COLUMN()) &gt;= MTP_BaseYear,
    INDEX('Chart data'!$2:$2, COLUMN()) &lt;= OutturnThrough
  ),
  IFERROR(
    IF(
      H93 - INDEX(Assessment!$20:$20,
                   _xlfn.XMATCH(INDEX('Chart data'!$2:$2, COLUMN()),
                          Assessment!$4:$4, 0)
            ) &lt; 0,
      INDEX(Assessment!$20:$20,
            _xlfn.XMATCH(INDEX('Chart data'!$2:$2, COLUMN()),
                   Assessment!$4:$4, 0)
      ),
      NA()
    ),
    NA()
  ),
  NA()
)</f>
        <v>#N/A</v>
      </c>
      <c r="I92" s="106" t="e" cm="1">
        <f t="array" ref="I92">IF(
  AND(
    INDEX('Chart data'!$2:$2, COLUMN()) &gt;= MTP_BaseYear,
    INDEX('Chart data'!$2:$2, COLUMN()) &lt;= OutturnThrough
  ),
  IFERROR(
    IF(
      I93 - INDEX(Assessment!$20:$20,
                   _xlfn.XMATCH(INDEX('Chart data'!$2:$2, COLUMN()),
                          Assessment!$4:$4, 0)
            ) &lt; 0,
      INDEX(Assessment!$20:$20,
            _xlfn.XMATCH(INDEX('Chart data'!$2:$2, COLUMN()),
                   Assessment!$4:$4, 0)
      ),
      NA()
    ),
    NA()
  ),
  NA()
)</f>
        <v>#N/A</v>
      </c>
      <c r="J92" s="106" t="e" cm="1">
        <f t="array" ref="J92">IF(
  AND(
    INDEX('Chart data'!$2:$2, COLUMN()) &gt;= MTP_BaseYear,
    INDEX('Chart data'!$2:$2, COLUMN()) &lt;= OutturnThrough
  ),
  IFERROR(
    IF(
      J93 - INDEX(Assessment!$20:$20,
                   _xlfn.XMATCH(INDEX('Chart data'!$2:$2, COLUMN()),
                          Assessment!$4:$4, 0)
            ) &lt; 0,
      INDEX(Assessment!$20:$20,
            _xlfn.XMATCH(INDEX('Chart data'!$2:$2, COLUMN()),
                   Assessment!$4:$4, 0)
      ),
      NA()
    ),
    NA()
  ),
  NA()
)</f>
        <v>#N/A</v>
      </c>
      <c r="K92" s="106" t="e" cm="1">
        <f t="array" ref="K92">IF(
  AND(
    INDEX('Chart data'!$2:$2, COLUMN()) &gt;= MTP_BaseYear,
    INDEX('Chart data'!$2:$2, COLUMN()) &lt;= OutturnThrough
  ),
  IFERROR(
    IF(
      K93 - INDEX(Assessment!$20:$20,
                   _xlfn.XMATCH(INDEX('Chart data'!$2:$2, COLUMN()),
                          Assessment!$4:$4, 0)
            ) &lt; 0,
      INDEX(Assessment!$20:$20,
            _xlfn.XMATCH(INDEX('Chart data'!$2:$2, COLUMN()),
                   Assessment!$4:$4, 0)
      ),
      NA()
    ),
    NA()
  ),
  NA()
)</f>
        <v>#N/A</v>
      </c>
      <c r="L92" s="106" t="e" cm="1">
        <f t="array" ref="L92">IF(
  AND(
    INDEX('Chart data'!$2:$2, COLUMN()) &gt;= MTP_BaseYear,
    INDEX('Chart data'!$2:$2, COLUMN()) &lt;= OutturnThrough
  ),
  IFERROR(
    IF(
      L93 - INDEX(Assessment!$20:$20,
                   _xlfn.XMATCH(INDEX('Chart data'!$2:$2, COLUMN()),
                          Assessment!$4:$4, 0)
            ) &lt; 0,
      INDEX(Assessment!$20:$20,
            _xlfn.XMATCH(INDEX('Chart data'!$2:$2, COLUMN()),
                   Assessment!$4:$4, 0)
      ),
      NA()
    ),
    NA()
  ),
  NA()
)</f>
        <v>#N/A</v>
      </c>
      <c r="M92" s="106" t="e" cm="1">
        <f t="array" ref="M92">IF(
  AND(
    INDEX('Chart data'!$2:$2, COLUMN()) &gt;= MTP_BaseYear,
    INDEX('Chart data'!$2:$2, COLUMN()) &lt;= OutturnThrough
  ),
  IFERROR(
    IF(
      M93 - INDEX(Assessment!$20:$20,
                   _xlfn.XMATCH(INDEX('Chart data'!$2:$2, COLUMN()),
                          Assessment!$4:$4, 0)
            ) &lt; 0,
      INDEX(Assessment!$20:$20,
            _xlfn.XMATCH(INDEX('Chart data'!$2:$2, COLUMN()),
                   Assessment!$4:$4, 0)
      ),
      NA()
    ),
    NA()
  ),
  NA()
)</f>
        <v>#N/A</v>
      </c>
      <c r="N92" s="106" t="e" cm="1">
        <f t="array" ref="N92">IF(
  AND(
    INDEX('Chart data'!$2:$2, COLUMN()) &gt;= MTP_BaseYear,
    INDEX('Chart data'!$2:$2, COLUMN()) &lt;= OutturnThrough
  ),
  IFERROR(
    IF(
      N93 - INDEX(Assessment!$20:$20,
                   _xlfn.XMATCH(INDEX('Chart data'!$2:$2, COLUMN()),
                          Assessment!$4:$4, 0)
            ) &lt; 0,
      INDEX(Assessment!$20:$20,
            _xlfn.XMATCH(INDEX('Chart data'!$2:$2, COLUMN()),
                   Assessment!$4:$4, 0)
      ),
      NA()
    ),
    NA()
  ),
  NA()
)</f>
        <v>#N/A</v>
      </c>
      <c r="O92" s="106" t="e" cm="1">
        <f t="array" ref="O92">IF(
  AND(
    INDEX('Chart data'!$2:$2, COLUMN()) &gt;= MTP_BaseYear,
    INDEX('Chart data'!$2:$2, COLUMN()) &lt;= OutturnThrough
  ),
  IFERROR(
    IF(
      O93 - INDEX(Assessment!$20:$20,
                   _xlfn.XMATCH(INDEX('Chart data'!$2:$2, COLUMN()),
                          Assessment!$4:$4, 0)
            ) &lt; 0,
      INDEX(Assessment!$20:$20,
            _xlfn.XMATCH(INDEX('Chart data'!$2:$2, COLUMN()),
                   Assessment!$4:$4, 0)
      ),
      NA()
    ),
    NA()
  ),
  NA()
)</f>
        <v>#N/A</v>
      </c>
      <c r="P92" s="106" t="e" cm="1">
        <f t="array" ref="P92">IF(
  AND(
    INDEX('Chart data'!$2:$2, COLUMN()) &gt;= MTP_BaseYear,
    INDEX('Chart data'!$2:$2, COLUMN()) &lt;= OutturnThrough
  ),
  IFERROR(
    IF(
      P93 - INDEX(Assessment!$20:$20,
                   _xlfn.XMATCH(INDEX('Chart data'!$2:$2, COLUMN()),
                          Assessment!$4:$4, 0)
            ) &lt; 0,
      INDEX(Assessment!$20:$20,
            _xlfn.XMATCH(INDEX('Chart data'!$2:$2, COLUMN()),
                   Assessment!$4:$4, 0)
      ),
      NA()
    ),
    NA()
  ),
  NA()
)</f>
        <v>#N/A</v>
      </c>
      <c r="Q92" s="106" t="e" cm="1">
        <f t="array" ref="Q92">IF(
  AND(
    INDEX('Chart data'!$2:$2, COLUMN()) &gt;= MTP_BaseYear,
    INDEX('Chart data'!$2:$2, COLUMN()) &lt;= OutturnThrough
  ),
  IFERROR(
    IF(
      Q93 - INDEX(Assessment!$20:$20,
                   _xlfn.XMATCH(INDEX('Chart data'!$2:$2, COLUMN()),
                          Assessment!$4:$4, 0)
            ) &lt; 0,
      INDEX(Assessment!$20:$20,
            _xlfn.XMATCH(INDEX('Chart data'!$2:$2, COLUMN()),
                   Assessment!$4:$4, 0)
      ),
      NA()
    ),
    NA()
  ),
  NA()
)</f>
        <v>#N/A</v>
      </c>
      <c r="R92" s="106" t="e" cm="1">
        <f t="array" ref="R92">IF(
  AND(
    INDEX('Chart data'!$2:$2, COLUMN()) &gt;= MTP_BaseYear,
    INDEX('Chart data'!$2:$2, COLUMN()) &lt;= OutturnThrough
  ),
  IFERROR(
    IF(
      R93 - INDEX(Assessment!$20:$20,
                   _xlfn.XMATCH(INDEX('Chart data'!$2:$2, COLUMN()),
                          Assessment!$4:$4, 0)
            ) &lt; 0,
      INDEX(Assessment!$20:$20,
            _xlfn.XMATCH(INDEX('Chart data'!$2:$2, COLUMN()),
                   Assessment!$4:$4, 0)
      ),
      NA()
    ),
    NA()
  ),
  NA()
)</f>
        <v>#N/A</v>
      </c>
      <c r="S92" s="106" t="e" cm="1">
        <f t="array" ref="S92">IF(
  AND(
    INDEX('Chart data'!$2:$2, COLUMN()) &gt;= MTP_BaseYear,
    INDEX('Chart data'!$2:$2, COLUMN()) &lt;= OutturnThrough
  ),
  IFERROR(
    IF(
      S93 - INDEX(Assessment!$20:$20,
                   _xlfn.XMATCH(INDEX('Chart data'!$2:$2, COLUMN()),
                          Assessment!$4:$4, 0)
            ) &lt; 0,
      INDEX(Assessment!$20:$20,
            _xlfn.XMATCH(INDEX('Chart data'!$2:$2, COLUMN()),
                   Assessment!$4:$4, 0)
      ),
      NA()
    ),
    NA()
  ),
  NA()
)</f>
        <v>#N/A</v>
      </c>
      <c r="T92" s="106" t="e" cm="1">
        <f t="array" ref="T92">IF(
  AND(
    INDEX('Chart data'!$2:$2, COLUMN()) &gt;= MTP_BaseYear,
    INDEX('Chart data'!$2:$2, COLUMN()) &lt;= OutturnThrough
  ),
  IFERROR(
    IF(
      T93 - INDEX(Assessment!$20:$20,
                   _xlfn.XMATCH(INDEX('Chart data'!$2:$2, COLUMN()),
                          Assessment!$4:$4, 0)
            ) &lt; 0,
      INDEX(Assessment!$20:$20,
            _xlfn.XMATCH(INDEX('Chart data'!$2:$2, COLUMN()),
                   Assessment!$4:$4, 0)
      ),
      NA()
    ),
    NA()
  ),
  NA()
)</f>
        <v>#N/A</v>
      </c>
      <c r="U92" s="106" t="e" cm="1">
        <f t="array" ref="U92">IF(
  AND(
    INDEX('Chart data'!$2:$2, COLUMN()) &gt;= MTP_BaseYear,
    INDEX('Chart data'!$2:$2, COLUMN()) &lt;= OutturnThrough
  ),
  IFERROR(
    IF(
      U93 - INDEX(Assessment!$20:$20,
                   _xlfn.XMATCH(INDEX('Chart data'!$2:$2, COLUMN()),
                          Assessment!$4:$4, 0)
            ) &lt; 0,
      INDEX(Assessment!$20:$20,
            _xlfn.XMATCH(INDEX('Chart data'!$2:$2, COLUMN()),
                   Assessment!$4:$4, 0)
      ),
      NA()
    ),
    NA()
  ),
  NA()
)</f>
        <v>#N/A</v>
      </c>
      <c r="V92" s="106" t="e" cm="1">
        <f t="array" ref="V92">IF(
  AND(
    INDEX('Chart data'!$2:$2, COLUMN()) &gt;= MTP_BaseYear,
    INDEX('Chart data'!$2:$2, COLUMN()) &lt;= OutturnThrough
  ),
  IFERROR(
    IF(
      V93 - INDEX(Assessment!$20:$20,
                   _xlfn.XMATCH(INDEX('Chart data'!$2:$2, COLUMN()),
                          Assessment!$4:$4, 0)
            ) &lt; 0,
      INDEX(Assessment!$20:$20,
            _xlfn.XMATCH(INDEX('Chart data'!$2:$2, COLUMN()),
                   Assessment!$4:$4, 0)
      ),
      NA()
    ),
    NA()
  ),
  NA()
)</f>
        <v>#N/A</v>
      </c>
      <c r="W92" s="106" t="e" cm="1">
        <f t="array" ref="W92">IF(
  AND(
    INDEX('Chart data'!$2:$2, COLUMN()) &gt;= MTP_BaseYear,
    INDEX('Chart data'!$2:$2, COLUMN()) &lt;= OutturnThrough
  ),
  IFERROR(
    IF(
      W93 - INDEX(Assessment!$20:$20,
                   _xlfn.XMATCH(INDEX('Chart data'!$2:$2, COLUMN()),
                          Assessment!$4:$4, 0)
            ) &lt; 0,
      INDEX(Assessment!$20:$20,
            _xlfn.XMATCH(INDEX('Chart data'!$2:$2, COLUMN()),
                   Assessment!$4:$4, 0)
      ),
      NA()
    ),
    NA()
  ),
  NA()
)</f>
        <v>#N/A</v>
      </c>
    </row>
    <row r="93" spans="2:23" x14ac:dyDescent="0.4">
      <c r="C93" s="2" t="s">
        <v>247</v>
      </c>
      <c r="E93" s="3"/>
      <c r="F93" s="88">
        <f>Validation!$T$3</f>
        <v>60.05</v>
      </c>
      <c r="G93" s="88">
        <f>Validation!$T$3</f>
        <v>60.05</v>
      </c>
      <c r="H93" s="88">
        <f>Validation!$T$3</f>
        <v>60.05</v>
      </c>
      <c r="I93" s="88">
        <f>Validation!$T$3</f>
        <v>60.05</v>
      </c>
      <c r="J93" s="88">
        <f>Validation!$T$3</f>
        <v>60.05</v>
      </c>
      <c r="K93" s="88">
        <f>Validation!$T$3</f>
        <v>60.05</v>
      </c>
      <c r="L93" s="88">
        <f>Validation!$T$3</f>
        <v>60.05</v>
      </c>
      <c r="M93" s="88">
        <f>Validation!$T$3</f>
        <v>60.05</v>
      </c>
      <c r="N93" s="88">
        <f>Validation!$T$3</f>
        <v>60.05</v>
      </c>
      <c r="O93" s="88">
        <f>Validation!$T$3</f>
        <v>60.05</v>
      </c>
      <c r="P93" s="88">
        <f>Validation!$T$3</f>
        <v>60.05</v>
      </c>
      <c r="Q93" s="88">
        <f>Validation!$T$3</f>
        <v>60.05</v>
      </c>
      <c r="R93" s="88">
        <f>Validation!$T$3</f>
        <v>60.05</v>
      </c>
      <c r="S93" s="88">
        <f>Validation!$T$3</f>
        <v>60.05</v>
      </c>
      <c r="T93" s="88">
        <f>Validation!$T$3</f>
        <v>60.05</v>
      </c>
      <c r="U93" s="88">
        <f>Validation!$T$3</f>
        <v>60.05</v>
      </c>
      <c r="V93" s="88">
        <f>Validation!$T$3</f>
        <v>60.05</v>
      </c>
      <c r="W93" s="88">
        <f>Validation!$T$3</f>
        <v>60.05</v>
      </c>
    </row>
    <row r="94" spans="2:23" x14ac:dyDescent="0.4">
      <c r="C94" s="2"/>
    </row>
    <row r="95" spans="2:23" ht="16.5" x14ac:dyDescent="0.6">
      <c r="B95" s="110" t="s">
        <v>575</v>
      </c>
      <c r="C95" s="11" t="s">
        <v>292</v>
      </c>
    </row>
    <row r="96" spans="2:23" x14ac:dyDescent="0.4">
      <c r="C96" s="2" t="s">
        <v>387</v>
      </c>
      <c r="E96" s="6">
        <f>IF(ISNUMBER(Assessment!D52),Assessment!D52,NA())</f>
        <v>0</v>
      </c>
      <c r="F96" s="6">
        <f>IF(ISNUMBER(Assessment!E52),Assessment!E52,NA())</f>
        <v>0</v>
      </c>
      <c r="G96" s="6">
        <f>IF(ISNUMBER(Assessment!F52),Assessment!F52,NA())</f>
        <v>0</v>
      </c>
      <c r="H96" s="6">
        <f>IF(ISNUMBER(Assessment!G52),Assessment!G52,NA())</f>
        <v>0</v>
      </c>
      <c r="I96" s="6">
        <f>IF(ISNUMBER(Assessment!H52),Assessment!H52,NA())</f>
        <v>0</v>
      </c>
      <c r="J96" s="6">
        <f>IF(ISNUMBER(Assessment!I52),Assessment!I52,NA())</f>
        <v>0</v>
      </c>
      <c r="K96" s="6">
        <f>IF(ISNUMBER(Assessment!J52),Assessment!J52,NA())</f>
        <v>0</v>
      </c>
      <c r="L96" s="6">
        <f>IF(ISNUMBER(Assessment!K52),Assessment!K52,NA())</f>
        <v>0</v>
      </c>
      <c r="M96" s="6">
        <f>IF(ISNUMBER(Assessment!L52),Assessment!L52,NA())</f>
        <v>0</v>
      </c>
      <c r="N96" s="6">
        <f>IF(ISNUMBER(Assessment!M52),Assessment!M52,NA())</f>
        <v>0</v>
      </c>
      <c r="O96" s="6">
        <f>IF(ISNUMBER(Assessment!N52),Assessment!N52,NA())</f>
        <v>0</v>
      </c>
      <c r="P96" s="6">
        <f>IF(ISNUMBER(Assessment!O52),Assessment!O52,NA())</f>
        <v>0</v>
      </c>
      <c r="Q96" s="6">
        <f>IF(ISNUMBER(Assessment!P52),Assessment!P52,NA())</f>
        <v>0</v>
      </c>
      <c r="R96" s="6">
        <f>IF(ISNUMBER(Assessment!Q52),Assessment!Q52,NA())</f>
        <v>0</v>
      </c>
      <c r="S96" s="6">
        <f>IF(ISNUMBER(Assessment!R52),Assessment!R52,NA())</f>
        <v>0</v>
      </c>
      <c r="T96" s="6">
        <f>IF(ISNUMBER(Assessment!S52),Assessment!S52,NA())</f>
        <v>0</v>
      </c>
      <c r="U96" s="88" t="e">
        <f>IF(ISNUMBER(Assessment!T52),Assessment!T52,NA())</f>
        <v>#N/A</v>
      </c>
      <c r="V96" s="88" t="e">
        <f>IF(ISNUMBER(Assessment!U52),Assessment!U52,NA())</f>
        <v>#N/A</v>
      </c>
      <c r="W96" s="88" t="e">
        <f>IF(ISNUMBER(Assessment!V52),Assessment!V52,NA())</f>
        <v>#N/A</v>
      </c>
    </row>
    <row r="97" spans="3:23" x14ac:dyDescent="0.4">
      <c r="C97" s="2" t="s">
        <v>207</v>
      </c>
      <c r="E97" s="88" t="e">
        <f>IF(ISNUMBER(Assessment!D55),Assessment!D55,NA())</f>
        <v>#N/A</v>
      </c>
      <c r="F97" s="88" t="e">
        <f>IF(ISNUMBER(Assessment!E55),Assessment!E55,NA())</f>
        <v>#N/A</v>
      </c>
      <c r="G97" s="88" t="e">
        <f>IF(ISNUMBER(Assessment!F55),Assessment!F55,NA())</f>
        <v>#N/A</v>
      </c>
      <c r="H97" s="88" t="e">
        <f>IF(ISNUMBER(Assessment!G55),Assessment!G55,NA())</f>
        <v>#N/A</v>
      </c>
      <c r="I97" s="88" t="e">
        <f>IF(ISNUMBER(Assessment!H55),Assessment!H55,NA())</f>
        <v>#N/A</v>
      </c>
      <c r="J97" s="88" t="e">
        <f>IF(ISNUMBER(Assessment!I55),Assessment!I55,NA())</f>
        <v>#N/A</v>
      </c>
      <c r="K97" s="88" t="e">
        <f>IF(ISNUMBER(Assessment!J55),Assessment!J55,NA())</f>
        <v>#N/A</v>
      </c>
      <c r="L97" s="88" t="e">
        <f>IF(ISNUMBER(Assessment!K55),Assessment!K55,NA())</f>
        <v>#N/A</v>
      </c>
      <c r="M97" s="88" t="e">
        <f>IF(ISNUMBER(Assessment!L55),Assessment!L55,NA())</f>
        <v>#N/A</v>
      </c>
      <c r="N97" s="88" t="e">
        <f>IF(ISNUMBER(Assessment!M55),Assessment!M55,NA())</f>
        <v>#N/A</v>
      </c>
      <c r="O97" s="88" t="e">
        <f>IF(ISNUMBER(Assessment!N55),Assessment!N55,NA())</f>
        <v>#N/A</v>
      </c>
      <c r="P97" s="88" t="e">
        <f>IF(ISNUMBER(Assessment!O55),Assessment!O55,NA())</f>
        <v>#N/A</v>
      </c>
      <c r="Q97" s="88" t="e">
        <f>IF(ISNUMBER(Assessment!P55),Assessment!P55,NA())</f>
        <v>#N/A</v>
      </c>
      <c r="R97" s="88" t="e">
        <f>IF(ISNUMBER(Assessment!Q55),Assessment!Q55,NA())</f>
        <v>#N/A</v>
      </c>
      <c r="S97" s="88" t="e">
        <f>IF(ISNUMBER(Assessment!R55),Assessment!R55,NA())</f>
        <v>#N/A</v>
      </c>
      <c r="T97" s="88" t="e">
        <f>IF(ISNUMBER(Assessment!S55),Assessment!S55,NA())</f>
        <v>#N/A</v>
      </c>
      <c r="U97" s="88" t="e">
        <f>IF(ISNUMBER(Assessment!T55),Assessment!T55,NA())</f>
        <v>#N/A</v>
      </c>
      <c r="V97" s="88" t="e">
        <f>IF(ISNUMBER(Assessment!U55),Assessment!U55,NA())</f>
        <v>#N/A</v>
      </c>
      <c r="W97" s="88" t="e">
        <f>IF(ISNUMBER(Assessment!V55),Assessment!V55,NA())</f>
        <v>#N/A</v>
      </c>
    </row>
    <row r="98" spans="3:23" x14ac:dyDescent="0.4">
      <c r="C98" s="2" t="s">
        <v>208</v>
      </c>
      <c r="E98" s="88" t="e">
        <f>IF(ISNUMBER(Assessment!D56),Assessment!D56,NA())</f>
        <v>#N/A</v>
      </c>
      <c r="F98" s="88" t="e">
        <f>IF(ISNUMBER(Assessment!E56),Assessment!E56,NA())</f>
        <v>#N/A</v>
      </c>
      <c r="G98" s="88" t="e">
        <f>IF(ISNUMBER(Assessment!F56),Assessment!F56,NA())</f>
        <v>#N/A</v>
      </c>
      <c r="H98" s="88" t="e">
        <f>IF(ISNUMBER(Assessment!G56),Assessment!G56,NA())</f>
        <v>#N/A</v>
      </c>
      <c r="I98" s="88" t="e">
        <f>IF(ISNUMBER(Assessment!H56),Assessment!H56,NA())</f>
        <v>#N/A</v>
      </c>
      <c r="J98" s="88" t="e">
        <f>IF(ISNUMBER(Assessment!I56),Assessment!I56,NA())</f>
        <v>#N/A</v>
      </c>
      <c r="K98" s="88" t="e">
        <f>IF(ISNUMBER(Assessment!J56),Assessment!J56,NA())</f>
        <v>#N/A</v>
      </c>
      <c r="L98" s="88" t="e">
        <f>IF(ISNUMBER(Assessment!K56),Assessment!K56,NA())</f>
        <v>#N/A</v>
      </c>
      <c r="M98" s="88" t="e">
        <f>IF(ISNUMBER(Assessment!L56),Assessment!L56,NA())</f>
        <v>#N/A</v>
      </c>
      <c r="N98" s="88" t="e">
        <f>IF(ISNUMBER(Assessment!M56),Assessment!M56,NA())</f>
        <v>#N/A</v>
      </c>
      <c r="O98" s="88" t="e">
        <f>IF(ISNUMBER(Assessment!N56),Assessment!N56,NA())</f>
        <v>#N/A</v>
      </c>
      <c r="P98" s="88" t="e">
        <f>IF(ISNUMBER(Assessment!O56),Assessment!O56,NA())</f>
        <v>#N/A</v>
      </c>
      <c r="Q98" s="88" t="e">
        <f>IF(ISNUMBER(Assessment!P56),Assessment!P56,NA())</f>
        <v>#N/A</v>
      </c>
      <c r="R98" s="88" t="e">
        <f>IF(ISNUMBER(Assessment!Q56),Assessment!Q56,NA())</f>
        <v>#N/A</v>
      </c>
      <c r="S98" s="88" t="e">
        <f>IF(ISNUMBER(Assessment!R56),Assessment!R56,NA())</f>
        <v>#N/A</v>
      </c>
      <c r="T98" s="88" t="e">
        <f>IF(ISNUMBER(Assessment!S56),Assessment!S56,NA())</f>
        <v>#N/A</v>
      </c>
      <c r="U98" s="88" t="e">
        <f>IF(ISNUMBER(Assessment!T56),Assessment!T56,NA())</f>
        <v>#N/A</v>
      </c>
      <c r="V98" s="88" t="e">
        <f>IF(ISNUMBER(Assessment!U56),Assessment!U56,NA())</f>
        <v>#N/A</v>
      </c>
      <c r="W98" s="88" t="e">
        <f>IF(ISNUMBER(Assessment!V56),Assessment!V56,NA())</f>
        <v>#N/A</v>
      </c>
    </row>
    <row r="99" spans="3:23" x14ac:dyDescent="0.4">
      <c r="C99" s="2" t="s">
        <v>209</v>
      </c>
      <c r="E99" s="88" t="e">
        <f>IF(ISNUMBER(Assessment!D57),Assessment!D57,NA())</f>
        <v>#N/A</v>
      </c>
      <c r="F99" s="88" t="e">
        <f>IF(ISNUMBER(Assessment!E57),Assessment!E57,NA())</f>
        <v>#N/A</v>
      </c>
      <c r="G99" s="88" t="e">
        <f>IF(ISNUMBER(Assessment!F57),Assessment!F57,NA())</f>
        <v>#N/A</v>
      </c>
      <c r="H99" s="88" t="e">
        <f>IF(ISNUMBER(Assessment!G57),Assessment!G57,NA())</f>
        <v>#N/A</v>
      </c>
      <c r="I99" s="88" t="e">
        <f>IF(ISNUMBER(Assessment!H57),Assessment!H57,NA())</f>
        <v>#N/A</v>
      </c>
      <c r="J99" s="88" t="e">
        <f>IF(ISNUMBER(Assessment!I57),Assessment!I57,NA())</f>
        <v>#N/A</v>
      </c>
      <c r="K99" s="88" t="e">
        <f>IF(ISNUMBER(Assessment!J57),Assessment!J57,NA())</f>
        <v>#N/A</v>
      </c>
      <c r="L99" s="88" t="e">
        <f>IF(ISNUMBER(Assessment!K57),Assessment!K57,NA())</f>
        <v>#N/A</v>
      </c>
      <c r="M99" s="88" t="e">
        <f>IF(ISNUMBER(Assessment!L57),Assessment!L57,NA())</f>
        <v>#N/A</v>
      </c>
      <c r="N99" s="88" t="e">
        <f>IF(ISNUMBER(Assessment!M57),Assessment!M57,NA())</f>
        <v>#N/A</v>
      </c>
      <c r="O99" s="88" t="e">
        <f>IF(ISNUMBER(Assessment!N57),Assessment!N57,NA())</f>
        <v>#N/A</v>
      </c>
      <c r="P99" s="88" t="e">
        <f>IF(ISNUMBER(Assessment!O57),Assessment!O57,NA())</f>
        <v>#N/A</v>
      </c>
      <c r="Q99" s="88" t="e">
        <f>IF(ISNUMBER(Assessment!P57),Assessment!P57,NA())</f>
        <v>#N/A</v>
      </c>
      <c r="R99" s="88" t="e">
        <f>IF(ISNUMBER(Assessment!Q57),Assessment!Q57,NA())</f>
        <v>#N/A</v>
      </c>
      <c r="S99" s="88" t="e">
        <f>IF(ISNUMBER(Assessment!R57),Assessment!R57,NA())</f>
        <v>#N/A</v>
      </c>
      <c r="T99" s="88" t="e">
        <f>IF(ISNUMBER(Assessment!S57),Assessment!S57,NA())</f>
        <v>#N/A</v>
      </c>
      <c r="U99" s="88" t="e">
        <f>IF(ISNUMBER(Assessment!T57),Assessment!T57,NA())</f>
        <v>#N/A</v>
      </c>
      <c r="V99" s="88" t="e">
        <f>IF(ISNUMBER(Assessment!U57),Assessment!U57,NA())</f>
        <v>#N/A</v>
      </c>
      <c r="W99" s="88" t="e">
        <f>IF(ISNUMBER(Assessment!V57),Assessment!V57,NA())</f>
        <v>#N/A</v>
      </c>
    </row>
    <row r="100" spans="3:23" x14ac:dyDescent="0.4">
      <c r="C100" s="2" t="s">
        <v>210</v>
      </c>
      <c r="E100" s="6"/>
      <c r="F100" s="6"/>
      <c r="G100" s="6"/>
      <c r="H100" s="6"/>
      <c r="I100" s="6"/>
      <c r="J100" s="6"/>
      <c r="K100" s="6"/>
      <c r="L100" s="6"/>
      <c r="M100" s="6"/>
      <c r="N100" s="6"/>
      <c r="O100" s="6"/>
      <c r="P100" s="6"/>
      <c r="Q100" s="6"/>
      <c r="R100" s="6"/>
      <c r="S100" s="6"/>
      <c r="T100" s="6"/>
      <c r="U100" s="6"/>
      <c r="V100" s="6"/>
      <c r="W100" s="6"/>
    </row>
    <row r="101" spans="3:23" x14ac:dyDescent="0.4">
      <c r="C101" s="82" t="s">
        <v>317</v>
      </c>
      <c r="E101" s="88" t="e">
        <f>IF(ISNUMBER(Assessment!D79),Assessment!D79,NA())</f>
        <v>#N/A</v>
      </c>
      <c r="F101" s="88" t="e">
        <f>IF(ISNUMBER(Assessment!E79),Assessment!E79,NA())</f>
        <v>#N/A</v>
      </c>
      <c r="G101" s="88" t="e">
        <f>IF(ISNUMBER(Assessment!F79),Assessment!F79,NA())</f>
        <v>#N/A</v>
      </c>
      <c r="H101" s="88" t="e">
        <f>IF(ISNUMBER(Assessment!G79),Assessment!G79,NA())</f>
        <v>#N/A</v>
      </c>
      <c r="I101" s="88" t="e">
        <f>IF(ISNUMBER(Assessment!H79),Assessment!H79,NA())</f>
        <v>#N/A</v>
      </c>
      <c r="J101" s="88" t="e">
        <f>IF(ISNUMBER(Assessment!I79),Assessment!I79,NA())</f>
        <v>#N/A</v>
      </c>
      <c r="K101" s="88" t="e">
        <f>IF(ISNUMBER(Assessment!J79),Assessment!J79,NA())</f>
        <v>#N/A</v>
      </c>
      <c r="L101" s="88" t="e">
        <f>IF(ISNUMBER(Assessment!K79),Assessment!K79,NA())</f>
        <v>#N/A</v>
      </c>
      <c r="M101" s="88" t="e">
        <f>IF(ISNUMBER(Assessment!L79),Assessment!L79,NA())</f>
        <v>#N/A</v>
      </c>
      <c r="N101" s="88" t="e">
        <f>IF(ISNUMBER(Assessment!M79),Assessment!M79,NA())</f>
        <v>#N/A</v>
      </c>
      <c r="O101" s="88" t="e">
        <f>IF(ISNUMBER(Assessment!N79),Assessment!N79,NA())</f>
        <v>#N/A</v>
      </c>
      <c r="P101" s="88" t="e">
        <f>IF(ISNUMBER(Assessment!O79),Assessment!O79,NA())</f>
        <v>#N/A</v>
      </c>
      <c r="Q101" s="88" t="e">
        <f>IF(ISNUMBER(Assessment!P79),Assessment!P79,NA())</f>
        <v>#N/A</v>
      </c>
      <c r="R101" s="88" t="e">
        <f>IF(ISNUMBER(Assessment!Q79),Assessment!Q79,NA())</f>
        <v>#N/A</v>
      </c>
      <c r="S101" s="88" t="e">
        <f>IF(ISNUMBER(Assessment!R79),Assessment!R79,NA())</f>
        <v>#N/A</v>
      </c>
      <c r="T101" s="88" t="e">
        <f>IF(ISNUMBER(Assessment!S79),Assessment!S79,NA())</f>
        <v>#N/A</v>
      </c>
      <c r="U101" s="88" t="e">
        <f>IF(ISNUMBER(Assessment!T79),Assessment!T79,NA())</f>
        <v>#N/A</v>
      </c>
      <c r="V101" s="88" t="e">
        <f>IF(ISNUMBER(Assessment!U79),Assessment!U79,NA())</f>
        <v>#N/A</v>
      </c>
      <c r="W101" s="88" t="e">
        <f>IF(ISNUMBER(Assessment!V79),Assessment!V79,NA())</f>
        <v>#N/A</v>
      </c>
    </row>
    <row r="102" spans="3:23" x14ac:dyDescent="0.4">
      <c r="C102" s="82" t="s">
        <v>318</v>
      </c>
      <c r="E102" s="88" t="e">
        <f>IF(ISNUMBER(Assessment!D80),Assessment!D80,NA())</f>
        <v>#N/A</v>
      </c>
      <c r="F102" s="88" t="e">
        <f>IF(ISNUMBER(Assessment!E80),Assessment!E80,NA())</f>
        <v>#N/A</v>
      </c>
      <c r="G102" s="88" t="e">
        <f>IF(ISNUMBER(Assessment!F80),Assessment!F80,NA())</f>
        <v>#N/A</v>
      </c>
      <c r="H102" s="88" t="e">
        <f>IF(ISNUMBER(Assessment!G80),Assessment!G80,NA())</f>
        <v>#N/A</v>
      </c>
      <c r="I102" s="88" t="e">
        <f>IF(ISNUMBER(Assessment!H80),Assessment!H80,NA())</f>
        <v>#N/A</v>
      </c>
      <c r="J102" s="88" t="e">
        <f>IF(ISNUMBER(Assessment!I80),Assessment!I80,NA())</f>
        <v>#N/A</v>
      </c>
      <c r="K102" s="88" t="e">
        <f>IF(ISNUMBER(Assessment!J80),Assessment!J80,NA())</f>
        <v>#N/A</v>
      </c>
      <c r="L102" s="88" t="e">
        <f>IF(ISNUMBER(Assessment!K80),Assessment!K80,NA())</f>
        <v>#N/A</v>
      </c>
      <c r="M102" s="88" t="e">
        <f>IF(ISNUMBER(Assessment!L80),Assessment!L80,NA())</f>
        <v>#N/A</v>
      </c>
      <c r="N102" s="88" t="e">
        <f>IF(ISNUMBER(Assessment!M80),Assessment!M80,NA())</f>
        <v>#N/A</v>
      </c>
      <c r="O102" s="88" t="e">
        <f>IF(ISNUMBER(Assessment!N80),Assessment!N80,NA())</f>
        <v>#N/A</v>
      </c>
      <c r="P102" s="88" t="e">
        <f>IF(ISNUMBER(Assessment!O80),Assessment!O80,NA())</f>
        <v>#N/A</v>
      </c>
      <c r="Q102" s="88" t="e">
        <f>IF(ISNUMBER(Assessment!P80),Assessment!P80,NA())</f>
        <v>#N/A</v>
      </c>
      <c r="R102" s="88" t="e">
        <f>IF(ISNUMBER(Assessment!Q80),Assessment!Q80,NA())</f>
        <v>#N/A</v>
      </c>
      <c r="S102" s="88" t="e">
        <f>IF(ISNUMBER(Assessment!R80),Assessment!R80,NA())</f>
        <v>#N/A</v>
      </c>
      <c r="T102" s="88" t="e">
        <f>IF(ISNUMBER(Assessment!S80),Assessment!S80,NA())</f>
        <v>#N/A</v>
      </c>
      <c r="U102" s="88" t="e">
        <f>IF(ISNUMBER(Assessment!T80),Assessment!T80,NA())</f>
        <v>#N/A</v>
      </c>
      <c r="V102" s="88" t="e">
        <f>IF(ISNUMBER(Assessment!U80),Assessment!U80,NA())</f>
        <v>#N/A</v>
      </c>
      <c r="W102" s="88" t="e">
        <f>IF(ISNUMBER(Assessment!V80),Assessment!V80,NA())</f>
        <v>#N/A</v>
      </c>
    </row>
    <row r="103" spans="3:23" x14ac:dyDescent="0.4">
      <c r="C103" s="82" t="s">
        <v>319</v>
      </c>
      <c r="E103" s="88" t="e">
        <f>IF(ISNUMBER(Assessment!D81),Assessment!D81,NA())</f>
        <v>#N/A</v>
      </c>
      <c r="F103" s="88" t="e">
        <f>IF(ISNUMBER(Assessment!E81),Assessment!E81,NA())</f>
        <v>#N/A</v>
      </c>
      <c r="G103" s="88" t="e">
        <f>IF(ISNUMBER(Assessment!F81),Assessment!F81,NA())</f>
        <v>#N/A</v>
      </c>
      <c r="H103" s="88" t="e">
        <f>IF(ISNUMBER(Assessment!G81),Assessment!G81,NA())</f>
        <v>#N/A</v>
      </c>
      <c r="I103" s="88" t="e">
        <f>IF(ISNUMBER(Assessment!H81),Assessment!H81,NA())</f>
        <v>#N/A</v>
      </c>
      <c r="J103" s="88" t="e">
        <f>IF(ISNUMBER(Assessment!I81),Assessment!I81,NA())</f>
        <v>#N/A</v>
      </c>
      <c r="K103" s="88" t="e">
        <f>IF(ISNUMBER(Assessment!J81),Assessment!J81,NA())</f>
        <v>#N/A</v>
      </c>
      <c r="L103" s="88" t="e">
        <f>IF(ISNUMBER(Assessment!K81),Assessment!K81,NA())</f>
        <v>#N/A</v>
      </c>
      <c r="M103" s="88" t="e">
        <f>IF(ISNUMBER(Assessment!L81),Assessment!L81,NA())</f>
        <v>#N/A</v>
      </c>
      <c r="N103" s="88" t="e">
        <f>IF(ISNUMBER(Assessment!M81),Assessment!M81,NA())</f>
        <v>#N/A</v>
      </c>
      <c r="O103" s="88" t="e">
        <f>IF(ISNUMBER(Assessment!N81),Assessment!N81,NA())</f>
        <v>#N/A</v>
      </c>
      <c r="P103" s="88" t="e">
        <f>IF(ISNUMBER(Assessment!O81),Assessment!O81,NA())</f>
        <v>#N/A</v>
      </c>
      <c r="Q103" s="88" t="e">
        <f>IF(ISNUMBER(Assessment!P81),Assessment!P81,NA())</f>
        <v>#N/A</v>
      </c>
      <c r="R103" s="88" t="e">
        <f>IF(ISNUMBER(Assessment!Q81),Assessment!Q81,NA())</f>
        <v>#N/A</v>
      </c>
      <c r="S103" s="88" t="e">
        <f>IF(ISNUMBER(Assessment!R81),Assessment!R81,NA())</f>
        <v>#N/A</v>
      </c>
      <c r="T103" s="88" t="e">
        <f>IF(ISNUMBER(Assessment!S81),Assessment!S81,NA())</f>
        <v>#N/A</v>
      </c>
      <c r="U103" s="88" t="e">
        <f>IF(ISNUMBER(Assessment!T81),Assessment!T81,NA())</f>
        <v>#N/A</v>
      </c>
      <c r="V103" s="88" t="e">
        <f>IF(ISNUMBER(Assessment!U81),Assessment!U81,NA())</f>
        <v>#N/A</v>
      </c>
      <c r="W103" s="88" t="e">
        <f>IF(ISNUMBER(Assessment!V81),Assessment!V81,NA())</f>
        <v>#N/A</v>
      </c>
    </row>
    <row r="104" spans="3:23" x14ac:dyDescent="0.4">
      <c r="C104" s="82" t="s">
        <v>320</v>
      </c>
      <c r="E104" s="88" t="e">
        <f>IF(ISNUMBER(Assessment!D82),Assessment!D82,NA())</f>
        <v>#N/A</v>
      </c>
      <c r="F104" s="88" t="e">
        <f>IF(ISNUMBER(Assessment!E82),Assessment!E82,NA())</f>
        <v>#N/A</v>
      </c>
      <c r="G104" s="88" t="e">
        <f>IF(ISNUMBER(Assessment!F82),Assessment!F82,NA())</f>
        <v>#N/A</v>
      </c>
      <c r="H104" s="88" t="e">
        <f>IF(ISNUMBER(Assessment!G82),Assessment!G82,NA())</f>
        <v>#N/A</v>
      </c>
      <c r="I104" s="88" t="e">
        <f>IF(ISNUMBER(Assessment!H82),Assessment!H82,NA())</f>
        <v>#N/A</v>
      </c>
      <c r="J104" s="88" t="e">
        <f>IF(ISNUMBER(Assessment!I82),Assessment!I82,NA())</f>
        <v>#N/A</v>
      </c>
      <c r="K104" s="88" t="e">
        <f>IF(ISNUMBER(Assessment!J82),Assessment!J82,NA())</f>
        <v>#N/A</v>
      </c>
      <c r="L104" s="88" t="e">
        <f>IF(ISNUMBER(Assessment!K82),Assessment!K82,NA())</f>
        <v>#N/A</v>
      </c>
      <c r="M104" s="88" t="e">
        <f>IF(ISNUMBER(Assessment!L82),Assessment!L82,NA())</f>
        <v>#N/A</v>
      </c>
      <c r="N104" s="88" t="e">
        <f>IF(ISNUMBER(Assessment!M82),Assessment!M82,NA())</f>
        <v>#N/A</v>
      </c>
      <c r="O104" s="88" t="e">
        <f>IF(ISNUMBER(Assessment!N82),Assessment!N82,NA())</f>
        <v>#N/A</v>
      </c>
      <c r="P104" s="88" t="e">
        <f>IF(ISNUMBER(Assessment!O82),Assessment!O82,NA())</f>
        <v>#N/A</v>
      </c>
      <c r="Q104" s="88" t="e">
        <f>IF(ISNUMBER(Assessment!P82),Assessment!P82,NA())</f>
        <v>#N/A</v>
      </c>
      <c r="R104" s="88" t="e">
        <f>IF(ISNUMBER(Assessment!Q82),Assessment!Q82,NA())</f>
        <v>#N/A</v>
      </c>
      <c r="S104" s="88" t="e">
        <f>IF(ISNUMBER(Assessment!R82),Assessment!R82,NA())</f>
        <v>#N/A</v>
      </c>
      <c r="T104" s="88" t="e">
        <f>IF(ISNUMBER(Assessment!S82),Assessment!S82,NA())</f>
        <v>#N/A</v>
      </c>
      <c r="U104" s="88" t="e">
        <f>IF(ISNUMBER(Assessment!T82),Assessment!T82,NA())</f>
        <v>#N/A</v>
      </c>
      <c r="V104" s="88" t="e">
        <f>IF(ISNUMBER(Assessment!U82),Assessment!U82,NA())</f>
        <v>#N/A</v>
      </c>
      <c r="W104" s="88" t="e">
        <f>IF(ISNUMBER(Assessment!V82),Assessment!V82,NA())</f>
        <v>#N/A</v>
      </c>
    </row>
    <row r="105" spans="3:23" x14ac:dyDescent="0.4">
      <c r="C105" s="82" t="s">
        <v>321</v>
      </c>
      <c r="E105" s="88" t="e">
        <f>IF(ISNUMBER(Assessment!D83),Assessment!D83,NA())</f>
        <v>#N/A</v>
      </c>
      <c r="F105" s="88" t="e">
        <f>IF(ISNUMBER(Assessment!E83),Assessment!E83,NA())</f>
        <v>#N/A</v>
      </c>
      <c r="G105" s="88" t="e">
        <f>IF(ISNUMBER(Assessment!F83),Assessment!F83,NA())</f>
        <v>#N/A</v>
      </c>
      <c r="H105" s="88" t="e">
        <f>IF(ISNUMBER(Assessment!G83),Assessment!G83,NA())</f>
        <v>#N/A</v>
      </c>
      <c r="I105" s="88" t="e">
        <f>IF(ISNUMBER(Assessment!H83),Assessment!H83,NA())</f>
        <v>#N/A</v>
      </c>
      <c r="J105" s="88" t="e">
        <f>IF(ISNUMBER(Assessment!I83),Assessment!I83,NA())</f>
        <v>#N/A</v>
      </c>
      <c r="K105" s="88" t="e">
        <f>IF(ISNUMBER(Assessment!J83),Assessment!J83,NA())</f>
        <v>#N/A</v>
      </c>
      <c r="L105" s="88" t="e">
        <f>IF(ISNUMBER(Assessment!K83),Assessment!K83,NA())</f>
        <v>#N/A</v>
      </c>
      <c r="M105" s="88" t="e">
        <f>IF(ISNUMBER(Assessment!L83),Assessment!L83,NA())</f>
        <v>#N/A</v>
      </c>
      <c r="N105" s="88" t="e">
        <f>IF(ISNUMBER(Assessment!M83),Assessment!M83,NA())</f>
        <v>#N/A</v>
      </c>
      <c r="O105" s="88" t="e">
        <f>IF(ISNUMBER(Assessment!N83),Assessment!N83,NA())</f>
        <v>#N/A</v>
      </c>
      <c r="P105" s="88" t="e">
        <f>IF(ISNUMBER(Assessment!O83),Assessment!O83,NA())</f>
        <v>#N/A</v>
      </c>
      <c r="Q105" s="88" t="e">
        <f>IF(ISNUMBER(Assessment!P83),Assessment!P83,NA())</f>
        <v>#N/A</v>
      </c>
      <c r="R105" s="88" t="e">
        <f>IF(ISNUMBER(Assessment!Q83),Assessment!Q83,NA())</f>
        <v>#N/A</v>
      </c>
      <c r="S105" s="88" t="e">
        <f>IF(ISNUMBER(Assessment!R83),Assessment!R83,NA())</f>
        <v>#N/A</v>
      </c>
      <c r="T105" s="88" t="e">
        <f>IF(ISNUMBER(Assessment!S83),Assessment!S83,NA())</f>
        <v>#N/A</v>
      </c>
      <c r="U105" s="88" t="e">
        <f>IF(ISNUMBER(Assessment!T83),Assessment!T83,NA())</f>
        <v>#N/A</v>
      </c>
      <c r="V105" s="88" t="e">
        <f>IF(ISNUMBER(Assessment!U83),Assessment!U83,NA())</f>
        <v>#N/A</v>
      </c>
      <c r="W105" s="88" t="e">
        <f>IF(ISNUMBER(Assessment!V83),Assessment!V83,NA())</f>
        <v>#N/A</v>
      </c>
    </row>
    <row r="106" spans="3:23" x14ac:dyDescent="0.4">
      <c r="C106" s="82" t="s">
        <v>317</v>
      </c>
      <c r="E106" s="88" t="e">
        <f>IF(ISNUMBER(Assessment!D84),Assessment!D84,NA())</f>
        <v>#N/A</v>
      </c>
      <c r="F106" s="88" t="e">
        <f>IF(ISNUMBER(Assessment!E84),Assessment!E84,NA())</f>
        <v>#N/A</v>
      </c>
      <c r="G106" s="88" t="e">
        <f>IF(ISNUMBER(Assessment!F84),Assessment!F84,NA())</f>
        <v>#N/A</v>
      </c>
      <c r="H106" s="88" t="e">
        <f>IF(ISNUMBER(Assessment!G84),Assessment!G84,NA())</f>
        <v>#N/A</v>
      </c>
      <c r="I106" s="88" t="e">
        <f>IF(ISNUMBER(Assessment!H84),Assessment!H84,NA())</f>
        <v>#N/A</v>
      </c>
      <c r="J106" s="88" t="e">
        <f>IF(ISNUMBER(Assessment!I84),Assessment!I84,NA())</f>
        <v>#N/A</v>
      </c>
      <c r="K106" s="88" t="e">
        <f>IF(ISNUMBER(Assessment!J84),Assessment!J84,NA())</f>
        <v>#N/A</v>
      </c>
      <c r="L106" s="88" t="e">
        <f>IF(ISNUMBER(Assessment!K84),Assessment!K84,NA())</f>
        <v>#N/A</v>
      </c>
      <c r="M106" s="88" t="e">
        <f>IF(ISNUMBER(Assessment!L84),Assessment!L84,NA())</f>
        <v>#N/A</v>
      </c>
      <c r="N106" s="88" t="e">
        <f>IF(ISNUMBER(Assessment!M84),Assessment!M84,NA())</f>
        <v>#N/A</v>
      </c>
      <c r="O106" s="88" t="e">
        <f>IF(ISNUMBER(Assessment!N84),Assessment!N84,NA())</f>
        <v>#N/A</v>
      </c>
      <c r="P106" s="88" t="e">
        <f>IF(ISNUMBER(Assessment!O84),Assessment!O84,NA())</f>
        <v>#N/A</v>
      </c>
      <c r="Q106" s="88" t="e">
        <f>IF(ISNUMBER(Assessment!P84),Assessment!P84,NA())</f>
        <v>#N/A</v>
      </c>
      <c r="R106" s="88" t="e">
        <f>IF(ISNUMBER(Assessment!Q84),Assessment!Q84,NA())</f>
        <v>#N/A</v>
      </c>
      <c r="S106" s="88" t="e">
        <f>IF(ISNUMBER(Assessment!R84),Assessment!R84,NA())</f>
        <v>#N/A</v>
      </c>
      <c r="T106" s="88" t="e">
        <f>IF(ISNUMBER(Assessment!S84),Assessment!S84,NA())</f>
        <v>#N/A</v>
      </c>
      <c r="U106" s="88" t="e">
        <f>IF(ISNUMBER(Assessment!T84),Assessment!T84,NA())</f>
        <v>#N/A</v>
      </c>
      <c r="V106" s="88" t="e">
        <f>IF(ISNUMBER(Assessment!U84),Assessment!U84,NA())</f>
        <v>#N/A</v>
      </c>
      <c r="W106" s="88" t="e">
        <f>IF(ISNUMBER(Assessment!V84),Assessment!V84,NA())</f>
        <v>#N/A</v>
      </c>
    </row>
    <row r="107" spans="3:23" x14ac:dyDescent="0.4">
      <c r="C107" s="82" t="s">
        <v>322</v>
      </c>
      <c r="E107" s="88" t="e">
        <f>IF(ISNUMBER(Assessment!D85),Assessment!D85,NA())</f>
        <v>#N/A</v>
      </c>
      <c r="F107" s="88" t="e">
        <f>IF(ISNUMBER(Assessment!E85),Assessment!E85,NA())</f>
        <v>#N/A</v>
      </c>
      <c r="G107" s="88" t="e">
        <f>IF(ISNUMBER(Assessment!F85),Assessment!F85,NA())</f>
        <v>#N/A</v>
      </c>
      <c r="H107" s="88" t="e">
        <f>IF(ISNUMBER(Assessment!G85),Assessment!G85,NA())</f>
        <v>#N/A</v>
      </c>
      <c r="I107" s="88" t="e">
        <f>IF(ISNUMBER(Assessment!H85),Assessment!H85,NA())</f>
        <v>#N/A</v>
      </c>
      <c r="J107" s="88" t="e">
        <f>IF(ISNUMBER(Assessment!I85),Assessment!I85,NA())</f>
        <v>#N/A</v>
      </c>
      <c r="K107" s="88" t="e">
        <f>IF(ISNUMBER(Assessment!J85),Assessment!J85,NA())</f>
        <v>#N/A</v>
      </c>
      <c r="L107" s="88" t="e">
        <f>IF(ISNUMBER(Assessment!K85),Assessment!K85,NA())</f>
        <v>#N/A</v>
      </c>
      <c r="M107" s="88" t="e">
        <f>IF(ISNUMBER(Assessment!L85),Assessment!L85,NA())</f>
        <v>#N/A</v>
      </c>
      <c r="N107" s="88" t="e">
        <f>IF(ISNUMBER(Assessment!M85),Assessment!M85,NA())</f>
        <v>#N/A</v>
      </c>
      <c r="O107" s="88" t="e">
        <f>IF(ISNUMBER(Assessment!N85),Assessment!N85,NA())</f>
        <v>#N/A</v>
      </c>
      <c r="P107" s="88" t="e">
        <f>IF(ISNUMBER(Assessment!O85),Assessment!O85,NA())</f>
        <v>#N/A</v>
      </c>
      <c r="Q107" s="88" t="e">
        <f>IF(ISNUMBER(Assessment!P85),Assessment!P85,NA())</f>
        <v>#N/A</v>
      </c>
      <c r="R107" s="88" t="e">
        <f>IF(ISNUMBER(Assessment!Q85),Assessment!Q85,NA())</f>
        <v>#N/A</v>
      </c>
      <c r="S107" s="88" t="e">
        <f>IF(ISNUMBER(Assessment!R85),Assessment!R85,NA())</f>
        <v>#N/A</v>
      </c>
      <c r="T107" s="88" t="e">
        <f>IF(ISNUMBER(Assessment!S85),Assessment!S85,NA())</f>
        <v>#N/A</v>
      </c>
      <c r="U107" s="88" t="e">
        <f>IF(ISNUMBER(Assessment!T85),Assessment!T85,NA())</f>
        <v>#N/A</v>
      </c>
      <c r="V107" s="88" t="e">
        <f>IF(ISNUMBER(Assessment!U85),Assessment!U85,NA())</f>
        <v>#N/A</v>
      </c>
      <c r="W107" s="88" t="e">
        <f>IF(ISNUMBER(Assessment!V85),Assessment!V85,NA())</f>
        <v>#N/A</v>
      </c>
    </row>
    <row r="108" spans="3:23" x14ac:dyDescent="0.4">
      <c r="C108" s="82" t="s">
        <v>323</v>
      </c>
      <c r="E108" s="88" t="e">
        <f>IF(ISNUMBER(Assessment!D86),Assessment!D86,NA())</f>
        <v>#N/A</v>
      </c>
      <c r="F108" s="88" t="e">
        <f>IF(ISNUMBER(Assessment!E86),Assessment!E86,NA())</f>
        <v>#N/A</v>
      </c>
      <c r="G108" s="88" t="e">
        <f>IF(ISNUMBER(Assessment!F86),Assessment!F86,NA())</f>
        <v>#N/A</v>
      </c>
      <c r="H108" s="88" t="e">
        <f>IF(ISNUMBER(Assessment!G86),Assessment!G86,NA())</f>
        <v>#N/A</v>
      </c>
      <c r="I108" s="88" t="e">
        <f>IF(ISNUMBER(Assessment!H86),Assessment!H86,NA())</f>
        <v>#N/A</v>
      </c>
      <c r="J108" s="88" t="e">
        <f>IF(ISNUMBER(Assessment!I86),Assessment!I86,NA())</f>
        <v>#N/A</v>
      </c>
      <c r="K108" s="88" t="e">
        <f>IF(ISNUMBER(Assessment!J86),Assessment!J86,NA())</f>
        <v>#N/A</v>
      </c>
      <c r="L108" s="88" t="e">
        <f>IF(ISNUMBER(Assessment!K86),Assessment!K86,NA())</f>
        <v>#N/A</v>
      </c>
      <c r="M108" s="88" t="e">
        <f>IF(ISNUMBER(Assessment!L86),Assessment!L86,NA())</f>
        <v>#N/A</v>
      </c>
      <c r="N108" s="88" t="e">
        <f>IF(ISNUMBER(Assessment!M86),Assessment!M86,NA())</f>
        <v>#N/A</v>
      </c>
      <c r="O108" s="88" t="e">
        <f>IF(ISNUMBER(Assessment!N86),Assessment!N86,NA())</f>
        <v>#N/A</v>
      </c>
      <c r="P108" s="88" t="e">
        <f>IF(ISNUMBER(Assessment!O86),Assessment!O86,NA())</f>
        <v>#N/A</v>
      </c>
      <c r="Q108" s="88" t="e">
        <f>IF(ISNUMBER(Assessment!P86),Assessment!P86,NA())</f>
        <v>#N/A</v>
      </c>
      <c r="R108" s="88" t="e">
        <f>IF(ISNUMBER(Assessment!Q86),Assessment!Q86,NA())</f>
        <v>#N/A</v>
      </c>
      <c r="S108" s="88" t="e">
        <f>IF(ISNUMBER(Assessment!R86),Assessment!R86,NA())</f>
        <v>#N/A</v>
      </c>
      <c r="T108" s="88" t="e">
        <f>IF(ISNUMBER(Assessment!S86),Assessment!S86,NA())</f>
        <v>#N/A</v>
      </c>
      <c r="U108" s="88" t="e">
        <f>IF(ISNUMBER(Assessment!T86),Assessment!T86,NA())</f>
        <v>#N/A</v>
      </c>
      <c r="V108" s="88" t="e">
        <f>IF(ISNUMBER(Assessment!U86),Assessment!U86,NA())</f>
        <v>#N/A</v>
      </c>
      <c r="W108" s="88" t="e">
        <f>IF(ISNUMBER(Assessment!V86),Assessment!V86,NA())</f>
        <v>#N/A</v>
      </c>
    </row>
    <row r="109" spans="3:23" x14ac:dyDescent="0.4">
      <c r="C109" s="82" t="s">
        <v>324</v>
      </c>
      <c r="E109" s="88" t="e">
        <f>IF(ISNUMBER(Assessment!D87),Assessment!D87,NA())</f>
        <v>#N/A</v>
      </c>
      <c r="F109" s="88" t="e">
        <f>IF(ISNUMBER(Assessment!E87),Assessment!E87,NA())</f>
        <v>#N/A</v>
      </c>
      <c r="G109" s="88" t="e">
        <f>IF(ISNUMBER(Assessment!F87),Assessment!F87,NA())</f>
        <v>#N/A</v>
      </c>
      <c r="H109" s="88" t="e">
        <f>IF(ISNUMBER(Assessment!G87),Assessment!G87,NA())</f>
        <v>#N/A</v>
      </c>
      <c r="I109" s="88" t="e">
        <f>IF(ISNUMBER(Assessment!H87),Assessment!H87,NA())</f>
        <v>#N/A</v>
      </c>
      <c r="J109" s="88" t="e">
        <f>IF(ISNUMBER(Assessment!I87),Assessment!I87,NA())</f>
        <v>#N/A</v>
      </c>
      <c r="K109" s="88" t="e">
        <f>IF(ISNUMBER(Assessment!J87),Assessment!J87,NA())</f>
        <v>#N/A</v>
      </c>
      <c r="L109" s="88" t="e">
        <f>IF(ISNUMBER(Assessment!K87),Assessment!K87,NA())</f>
        <v>#N/A</v>
      </c>
      <c r="M109" s="88" t="e">
        <f>IF(ISNUMBER(Assessment!L87),Assessment!L87,NA())</f>
        <v>#N/A</v>
      </c>
      <c r="N109" s="88" t="e">
        <f>IF(ISNUMBER(Assessment!M87),Assessment!M87,NA())</f>
        <v>#N/A</v>
      </c>
      <c r="O109" s="88" t="e">
        <f>IF(ISNUMBER(Assessment!N87),Assessment!N87,NA())</f>
        <v>#N/A</v>
      </c>
      <c r="P109" s="88" t="e">
        <f>IF(ISNUMBER(Assessment!O87),Assessment!O87,NA())</f>
        <v>#N/A</v>
      </c>
      <c r="Q109" s="88" t="e">
        <f>IF(ISNUMBER(Assessment!P87),Assessment!P87,NA())</f>
        <v>#N/A</v>
      </c>
      <c r="R109" s="88" t="e">
        <f>IF(ISNUMBER(Assessment!Q87),Assessment!Q87,NA())</f>
        <v>#N/A</v>
      </c>
      <c r="S109" s="88" t="e">
        <f>IF(ISNUMBER(Assessment!R87),Assessment!R87,NA())</f>
        <v>#N/A</v>
      </c>
      <c r="T109" s="88" t="e">
        <f>IF(ISNUMBER(Assessment!S87),Assessment!S87,NA())</f>
        <v>#N/A</v>
      </c>
      <c r="U109" s="88" t="e">
        <f>IF(ISNUMBER(Assessment!T87),Assessment!T87,NA())</f>
        <v>#N/A</v>
      </c>
      <c r="V109" s="88" t="e">
        <f>IF(ISNUMBER(Assessment!U87),Assessment!U87,NA())</f>
        <v>#N/A</v>
      </c>
      <c r="W109" s="88" t="e">
        <f>IF(ISNUMBER(Assessment!V87),Assessment!V87,NA())</f>
        <v>#N/A</v>
      </c>
    </row>
    <row r="110" spans="3:23" x14ac:dyDescent="0.4">
      <c r="C110" s="82" t="s">
        <v>325</v>
      </c>
      <c r="E110" s="88" t="e">
        <f>IF(ISNUMBER(Assessment!D88),Assessment!D88,NA())</f>
        <v>#N/A</v>
      </c>
      <c r="F110" s="88" t="e">
        <f>IF(ISNUMBER(Assessment!E88),Assessment!E88,NA())</f>
        <v>#N/A</v>
      </c>
      <c r="G110" s="88" t="e">
        <f>IF(ISNUMBER(Assessment!F88),Assessment!F88,NA())</f>
        <v>#N/A</v>
      </c>
      <c r="H110" s="88" t="e">
        <f>IF(ISNUMBER(Assessment!G88),Assessment!G88,NA())</f>
        <v>#N/A</v>
      </c>
      <c r="I110" s="88" t="e">
        <f>IF(ISNUMBER(Assessment!H88),Assessment!H88,NA())</f>
        <v>#N/A</v>
      </c>
      <c r="J110" s="88" t="e">
        <f>IF(ISNUMBER(Assessment!I88),Assessment!I88,NA())</f>
        <v>#N/A</v>
      </c>
      <c r="K110" s="88" t="e">
        <f>IF(ISNUMBER(Assessment!J88),Assessment!J88,NA())</f>
        <v>#N/A</v>
      </c>
      <c r="L110" s="88" t="e">
        <f>IF(ISNUMBER(Assessment!K88),Assessment!K88,NA())</f>
        <v>#N/A</v>
      </c>
      <c r="M110" s="88" t="e">
        <f>IF(ISNUMBER(Assessment!L88),Assessment!L88,NA())</f>
        <v>#N/A</v>
      </c>
      <c r="N110" s="88" t="e">
        <f>IF(ISNUMBER(Assessment!M88),Assessment!M88,NA())</f>
        <v>#N/A</v>
      </c>
      <c r="O110" s="88" t="e">
        <f>IF(ISNUMBER(Assessment!N88),Assessment!N88,NA())</f>
        <v>#N/A</v>
      </c>
      <c r="P110" s="88" t="e">
        <f>IF(ISNUMBER(Assessment!O88),Assessment!O88,NA())</f>
        <v>#N/A</v>
      </c>
      <c r="Q110" s="88" t="e">
        <f>IF(ISNUMBER(Assessment!P88),Assessment!P88,NA())</f>
        <v>#N/A</v>
      </c>
      <c r="R110" s="88" t="e">
        <f>IF(ISNUMBER(Assessment!Q88),Assessment!Q88,NA())</f>
        <v>#N/A</v>
      </c>
      <c r="S110" s="88" t="e">
        <f>IF(ISNUMBER(Assessment!R88),Assessment!R88,NA())</f>
        <v>#N/A</v>
      </c>
      <c r="T110" s="88" t="e">
        <f>IF(ISNUMBER(Assessment!S88),Assessment!S88,NA())</f>
        <v>#N/A</v>
      </c>
      <c r="U110" s="88" t="e">
        <f>IF(ISNUMBER(Assessment!T88),Assessment!T88,NA())</f>
        <v>#N/A</v>
      </c>
      <c r="V110" s="88" t="e">
        <f>IF(ISNUMBER(Assessment!U88),Assessment!U88,NA())</f>
        <v>#N/A</v>
      </c>
      <c r="W110" s="88" t="e">
        <f>IF(ISNUMBER(Assessment!V88),Assessment!V88,NA())</f>
        <v>#N/A</v>
      </c>
    </row>
    <row r="111" spans="3:23" x14ac:dyDescent="0.4">
      <c r="C111" s="2" t="s">
        <v>293</v>
      </c>
      <c r="E111" s="88" t="e">
        <f>IF(Assessment!D20="",NA(),Assessment!D20)</f>
        <v>#N/A</v>
      </c>
      <c r="F111" s="88" t="e">
        <f>IF(Assessment!E20="",NA(),Assessment!E20)</f>
        <v>#N/A</v>
      </c>
      <c r="G111" s="88" t="e">
        <f>IF(Assessment!F20="",NA(),Assessment!F20)</f>
        <v>#N/A</v>
      </c>
      <c r="H111" s="88" t="e">
        <f>IF(Assessment!G20="",NA(),Assessment!G20)</f>
        <v>#N/A</v>
      </c>
      <c r="I111" s="88" t="e">
        <f>IF(Assessment!H20="",NA(),Assessment!H20)</f>
        <v>#N/A</v>
      </c>
      <c r="J111" s="88" t="e">
        <f>IF(Assessment!I20="",NA(),Assessment!I20)</f>
        <v>#N/A</v>
      </c>
      <c r="K111" s="88" t="e">
        <f>IF(Assessment!J20="",NA(),Assessment!J20)</f>
        <v>#N/A</v>
      </c>
      <c r="L111" s="88" t="e">
        <f>IF(Assessment!K20="",NA(),Assessment!K20)</f>
        <v>#N/A</v>
      </c>
      <c r="M111" s="88" t="e">
        <f>IF(Assessment!L20="",NA(),Assessment!L20)</f>
        <v>#N/A</v>
      </c>
      <c r="N111" s="88" t="e">
        <f>IF(Assessment!M20="",NA(),Assessment!M20)</f>
        <v>#N/A</v>
      </c>
      <c r="O111" s="88" t="e">
        <f>IF(Assessment!N20="",NA(),Assessment!N20)</f>
        <v>#N/A</v>
      </c>
      <c r="P111" s="88" t="e">
        <f>IF(Assessment!O20="",NA(),Assessment!O20)</f>
        <v>#N/A</v>
      </c>
      <c r="Q111" s="88" t="e">
        <f>IF(Assessment!P20="",NA(),Assessment!P20)</f>
        <v>#N/A</v>
      </c>
      <c r="R111" s="88" t="e">
        <f>IF(Assessment!Q20="",NA(),Assessment!Q20)</f>
        <v>#N/A</v>
      </c>
      <c r="S111" s="88" t="e">
        <f>IF(Assessment!R20="",NA(),Assessment!R20)</f>
        <v>#N/A</v>
      </c>
      <c r="T111" s="88" t="e">
        <f>IF(Assessment!S20="",NA(),Assessment!S20)</f>
        <v>#N/A</v>
      </c>
      <c r="U111" s="88" t="e">
        <f>IF(ISNUMBER(Assessment!T20),Assessment!T20,NA())</f>
        <v>#N/A</v>
      </c>
      <c r="V111" s="88" t="e">
        <f>IF(ISNUMBER(Assessment!U20),Assessment!U20,NA())</f>
        <v>#N/A</v>
      </c>
      <c r="W111" s="88" t="e">
        <f>IF(ISNUMBER(Assessment!V20),Assessment!V20,NA())</f>
        <v>#N/A</v>
      </c>
    </row>
    <row r="113" spans="2:23" ht="13.5" customHeight="1" x14ac:dyDescent="0.6">
      <c r="B113" s="110" t="s">
        <v>589</v>
      </c>
      <c r="C113" s="11" t="str">
        <f>"Performance of net expenditure compared to the "&amp;IF(Receives_reference_trajectory,"Commission's original reference trajectory with safeguards","Commission's technical information")</f>
        <v>Performance of net expenditure compared to the Commission's original reference trajectory with safeguards</v>
      </c>
    </row>
    <row r="114" spans="2:23" ht="13.5" customHeight="1" x14ac:dyDescent="0.4">
      <c r="C114" s="2" t="s">
        <v>388</v>
      </c>
      <c r="F114" s="64" t="str">
        <f>Assessment!E69</f>
        <v/>
      </c>
      <c r="G114" s="64" t="str">
        <f>Assessment!F69</f>
        <v/>
      </c>
      <c r="H114" s="64" t="str">
        <f>Assessment!G69</f>
        <v/>
      </c>
      <c r="I114" s="64" t="str">
        <f>Assessment!H69</f>
        <v/>
      </c>
      <c r="J114" s="64" t="str">
        <f>Assessment!I69</f>
        <v/>
      </c>
      <c r="K114" s="64" t="str">
        <f>Assessment!J69</f>
        <v/>
      </c>
      <c r="L114" s="64" t="str">
        <f>Assessment!K69</f>
        <v/>
      </c>
      <c r="M114" s="64" t="str">
        <f>Assessment!L69</f>
        <v/>
      </c>
      <c r="N114" s="64" t="str">
        <f>Assessment!M69</f>
        <v/>
      </c>
      <c r="O114" s="64" t="str">
        <f>Assessment!N69</f>
        <v/>
      </c>
      <c r="P114" s="64" t="str">
        <f>Assessment!O69</f>
        <v/>
      </c>
      <c r="Q114" s="64" t="str">
        <f>Assessment!P69</f>
        <v/>
      </c>
      <c r="R114" s="64" t="str">
        <f>Assessment!Q69</f>
        <v/>
      </c>
      <c r="S114" s="64" t="str">
        <f>Assessment!R69</f>
        <v/>
      </c>
      <c r="T114" s="64" t="str">
        <f>Assessment!S69</f>
        <v/>
      </c>
      <c r="U114" s="64" t="str">
        <f>Assessment!T69</f>
        <v/>
      </c>
      <c r="V114" s="64" t="str">
        <f>Assessment!U69</f>
        <v/>
      </c>
      <c r="W114" s="64" t="str">
        <f>Assessment!V69</f>
        <v/>
      </c>
    </row>
    <row r="115" spans="2:23" ht="13.5" customHeight="1" x14ac:dyDescent="0.4">
      <c r="C115" s="2" t="s">
        <v>296</v>
      </c>
      <c r="F115" s="4"/>
      <c r="G115" s="4"/>
      <c r="H115" s="4"/>
      <c r="I115" s="4"/>
      <c r="J115" s="4"/>
      <c r="K115" s="4"/>
      <c r="L115" s="4"/>
      <c r="M115" s="4"/>
      <c r="N115" s="4"/>
      <c r="O115" s="4"/>
      <c r="P115" s="4"/>
      <c r="Q115" s="4"/>
      <c r="R115" s="4"/>
      <c r="S115" s="4"/>
      <c r="T115" s="4"/>
      <c r="U115" s="4"/>
      <c r="V115" s="4"/>
      <c r="W115" s="4"/>
    </row>
    <row r="116" spans="2:23" ht="13.5" customHeight="1" x14ac:dyDescent="0.4">
      <c r="C116" s="2" t="s">
        <v>243</v>
      </c>
      <c r="F116" s="64" t="e">
        <f>IF(OR(ISNUMBER(F128),ISNUMBER(F129)),NA(),IF(ISNUMBER(Assessment!E15),Assessment!E15,NA()))</f>
        <v>#N/A</v>
      </c>
      <c r="G116" s="64" t="e">
        <f>IF(OR(ISNUMBER(G128),ISNUMBER(G129)),NA(),IF(ISNUMBER(Assessment!F15),Assessment!F15,NA()))</f>
        <v>#N/A</v>
      </c>
      <c r="H116" s="64" t="e">
        <f>IF(OR(ISNUMBER(H128),ISNUMBER(H129)),NA(),IF(ISNUMBER(Assessment!G15),Assessment!G15,NA()))</f>
        <v>#N/A</v>
      </c>
      <c r="I116" s="64" t="e">
        <f>IF(OR(ISNUMBER(I128),ISNUMBER(I129)),NA(),IF(ISNUMBER(Assessment!H15),Assessment!H15,NA()))</f>
        <v>#N/A</v>
      </c>
      <c r="J116" s="64" t="e">
        <f>IF(OR(ISNUMBER(J128),ISNUMBER(J129)),NA(),IF(ISNUMBER(Assessment!I15),Assessment!I15,NA()))</f>
        <v>#N/A</v>
      </c>
      <c r="K116" s="64" t="e">
        <f>IF(OR(ISNUMBER(K128),ISNUMBER(K129)),NA(),IF(ISNUMBER(Assessment!J15),Assessment!J15,NA()))</f>
        <v>#N/A</v>
      </c>
      <c r="L116" s="64" t="e">
        <f>IF(OR(ISNUMBER(L128),ISNUMBER(L129)),NA(),IF(ISNUMBER(Assessment!K15),Assessment!K15,NA()))</f>
        <v>#N/A</v>
      </c>
      <c r="M116" s="64" t="e">
        <f>IF(OR(ISNUMBER(M128),ISNUMBER(M129)),NA(),IF(ISNUMBER(Assessment!L15),Assessment!L15,NA()))</f>
        <v>#N/A</v>
      </c>
      <c r="N116" s="64" t="e">
        <f>IF(OR(ISNUMBER(N128),ISNUMBER(N129)),NA(),IF(ISNUMBER(Assessment!M15),Assessment!M15,NA()))</f>
        <v>#N/A</v>
      </c>
      <c r="O116" s="64" t="e">
        <f>IF(OR(ISNUMBER(O128),ISNUMBER(O129)),NA(),IF(ISNUMBER(Assessment!N15),Assessment!N15,NA()))</f>
        <v>#N/A</v>
      </c>
      <c r="P116" s="64" t="e">
        <f>IF(OR(ISNUMBER(P128),ISNUMBER(P129)),NA(),IF(ISNUMBER(Assessment!O15),Assessment!O15,NA()))</f>
        <v>#N/A</v>
      </c>
      <c r="Q116" s="64" t="e">
        <f>IF(OR(ISNUMBER(Q128),ISNUMBER(Q129)),NA(),IF(ISNUMBER(Assessment!P15),Assessment!P15,NA()))</f>
        <v>#N/A</v>
      </c>
      <c r="R116" s="64" t="e">
        <f>IF(OR(ISNUMBER(R128),ISNUMBER(R129)),NA(),IF(ISNUMBER(Assessment!Q15),Assessment!Q15,NA()))</f>
        <v>#N/A</v>
      </c>
      <c r="S116" s="64" t="e">
        <f>IF(OR(ISNUMBER(S128),ISNUMBER(S129)),NA(),IF(ISNUMBER(Assessment!R15),Assessment!R15,NA()))</f>
        <v>#N/A</v>
      </c>
      <c r="T116" s="64" t="e">
        <f>IF(OR(ISNUMBER(T128),ISNUMBER(T129)),NA(),IF(ISNUMBER(Assessment!S15),Assessment!S15,NA()))</f>
        <v>#N/A</v>
      </c>
      <c r="U116" s="64" t="e">
        <f>IF(OR(ISNUMBER(U128),ISNUMBER(U129)),NA(),IF(ISNUMBER(Assessment!T15),Assessment!T15,NA()))</f>
        <v>#N/A</v>
      </c>
      <c r="V116" s="64" t="e">
        <f>IF(OR(ISNUMBER(V128),ISNUMBER(V129)),NA(),IF(ISNUMBER(Assessment!U15),Assessment!U15,NA()))</f>
        <v>#N/A</v>
      </c>
      <c r="W116" s="64" t="e">
        <f>IF(OR(ISNUMBER(W128),ISNUMBER(W129)),NA(),IF(ISNUMBER(Assessment!V15),Assessment!V15,NA()))</f>
        <v>#N/A</v>
      </c>
    </row>
    <row r="117" spans="2:23" ht="13.5" customHeight="1" x14ac:dyDescent="0.4">
      <c r="C117" s="2" t="s">
        <v>297</v>
      </c>
      <c r="F117" s="4"/>
      <c r="G117" s="4"/>
      <c r="H117" s="4"/>
      <c r="I117" s="4"/>
      <c r="J117" s="4"/>
      <c r="K117" s="4"/>
      <c r="L117" s="4"/>
      <c r="M117" s="4"/>
      <c r="N117" s="4"/>
      <c r="O117" s="4"/>
      <c r="P117" s="4"/>
      <c r="Q117" s="4"/>
      <c r="R117" s="4"/>
      <c r="S117" s="4"/>
      <c r="T117" s="4"/>
      <c r="U117" s="4"/>
      <c r="V117" s="4"/>
      <c r="W117" s="4"/>
    </row>
    <row r="118" spans="2:23" ht="13.5" customHeight="1" x14ac:dyDescent="0.4">
      <c r="C118" s="2" t="s">
        <v>298</v>
      </c>
      <c r="F118" s="106" t="e" cm="1">
        <f t="array" ref="F118">IF(
  AND(
    INDEX('Chart data'!$2:$2, COLUMN()) &gt;= MTP_BaseYear,
    INDEX('Chart data'!$2:$2, COLUMN()) &lt;= OutturnThrough
  ),
  IFERROR(
    IF(
      F114 - INDEX(Assessment!$15:$15,
                   _xlfn.XMATCH(INDEX('Chart data'!$2:$2, COLUMN()),
                          Assessment!$4:$4, 0)
            ) &gt;= 0,
      INDEX(Assessment!$15:$15,
            _xlfn.XMATCH(INDEX('Chart data'!$2:$2, COLUMN()),
                   Assessment!$4:$4, 0)
      ),
      NA()
    ),
    NA()
  ),
  NA()
)</f>
        <v>#N/A</v>
      </c>
      <c r="G118" s="106" t="e" cm="1">
        <f t="array" ref="G118">IF(
  AND(
    INDEX('Chart data'!$2:$2, COLUMN()) &gt;= MTP_BaseYear,
    INDEX('Chart data'!$2:$2, COLUMN()) &lt;= OutturnThrough
  ),
  IFERROR(
    IF(
      G114 - INDEX(Assessment!$15:$15,
                   _xlfn.XMATCH(INDEX('Chart data'!$2:$2, COLUMN()),
                          Assessment!$4:$4, 0)
            ) &gt;= 0,
      INDEX(Assessment!$15:$15,
            _xlfn.XMATCH(INDEX('Chart data'!$2:$2, COLUMN()),
                   Assessment!$4:$4, 0)
      ),
      NA()
    ),
    NA()
  ),
  NA()
)</f>
        <v>#N/A</v>
      </c>
      <c r="H118" s="106" t="e" cm="1">
        <f t="array" ref="H118">IF(
  AND(
    INDEX('Chart data'!$2:$2, COLUMN()) &gt;= MTP_BaseYear,
    INDEX('Chart data'!$2:$2, COLUMN()) &lt;= OutturnThrough
  ),
  IFERROR(
    IF(
      H114 - INDEX(Assessment!$15:$15,
                   _xlfn.XMATCH(INDEX('Chart data'!$2:$2, COLUMN()),
                          Assessment!$4:$4, 0)
            ) &gt;= 0,
      INDEX(Assessment!$15:$15,
            _xlfn.XMATCH(INDEX('Chart data'!$2:$2, COLUMN()),
                   Assessment!$4:$4, 0)
      ),
      NA()
    ),
    NA()
  ),
  NA()
)</f>
        <v>#N/A</v>
      </c>
      <c r="I118" s="106" t="e" cm="1">
        <f t="array" ref="I118">IF(
  AND(
    INDEX('Chart data'!$2:$2, COLUMN()) &gt;= MTP_BaseYear,
    INDEX('Chart data'!$2:$2, COLUMN()) &lt;= OutturnThrough
  ),
  IFERROR(
    IF(
      I114 - INDEX(Assessment!$15:$15,
                   _xlfn.XMATCH(INDEX('Chart data'!$2:$2, COLUMN()),
                          Assessment!$4:$4, 0)
            ) &gt;= 0,
      INDEX(Assessment!$15:$15,
            _xlfn.XMATCH(INDEX('Chart data'!$2:$2, COLUMN()),
                   Assessment!$4:$4, 0)
      ),
      NA()
    ),
    NA()
  ),
  NA()
)</f>
        <v>#N/A</v>
      </c>
      <c r="J118" s="106" t="e" cm="1">
        <f t="array" ref="J118">IF(
  AND(
    INDEX('Chart data'!$2:$2, COLUMN()) &gt;= MTP_BaseYear,
    INDEX('Chart data'!$2:$2, COLUMN()) &lt;= OutturnThrough
  ),
  IFERROR(
    IF(
      J114 - INDEX(Assessment!$15:$15,
                   _xlfn.XMATCH(INDEX('Chart data'!$2:$2, COLUMN()),
                          Assessment!$4:$4, 0)
            ) &gt;= 0,
      INDEX(Assessment!$15:$15,
            _xlfn.XMATCH(INDEX('Chart data'!$2:$2, COLUMN()),
                   Assessment!$4:$4, 0)
      ),
      NA()
    ),
    NA()
  ),
  NA()
)</f>
        <v>#N/A</v>
      </c>
      <c r="K118" s="106" t="e" cm="1">
        <f t="array" ref="K118">IF(
  AND(
    INDEX('Chart data'!$2:$2, COLUMN()) &gt;= MTP_BaseYear,
    INDEX('Chart data'!$2:$2, COLUMN()) &lt;= OutturnThrough
  ),
  IFERROR(
    IF(
      K114 - INDEX(Assessment!$15:$15,
                   _xlfn.XMATCH(INDEX('Chart data'!$2:$2, COLUMN()),
                          Assessment!$4:$4, 0)
            ) &gt;= 0,
      INDEX(Assessment!$15:$15,
            _xlfn.XMATCH(INDEX('Chart data'!$2:$2, COLUMN()),
                   Assessment!$4:$4, 0)
      ),
      NA()
    ),
    NA()
  ),
  NA()
)</f>
        <v>#N/A</v>
      </c>
      <c r="L118" s="106" t="e" cm="1">
        <f t="array" ref="L118">IF(
  AND(
    INDEX('Chart data'!$2:$2, COLUMN()) &gt;= MTP_BaseYear,
    INDEX('Chart data'!$2:$2, COLUMN()) &lt;= OutturnThrough
  ),
  IFERROR(
    IF(
      L114 - INDEX(Assessment!$15:$15,
                   _xlfn.XMATCH(INDEX('Chart data'!$2:$2, COLUMN()),
                          Assessment!$4:$4, 0)
            ) &gt;= 0,
      INDEX(Assessment!$15:$15,
            _xlfn.XMATCH(INDEX('Chart data'!$2:$2, COLUMN()),
                   Assessment!$4:$4, 0)
      ),
      NA()
    ),
    NA()
  ),
  NA()
)</f>
        <v>#N/A</v>
      </c>
      <c r="M118" s="106" t="e" cm="1">
        <f t="array" ref="M118">IF(
  AND(
    INDEX('Chart data'!$2:$2, COLUMN()) &gt;= MTP_BaseYear,
    INDEX('Chart data'!$2:$2, COLUMN()) &lt;= OutturnThrough
  ),
  IFERROR(
    IF(
      M114 - INDEX(Assessment!$15:$15,
                   _xlfn.XMATCH(INDEX('Chart data'!$2:$2, COLUMN()),
                          Assessment!$4:$4, 0)
            ) &gt;= 0,
      INDEX(Assessment!$15:$15,
            _xlfn.XMATCH(INDEX('Chart data'!$2:$2, COLUMN()),
                   Assessment!$4:$4, 0)
      ),
      NA()
    ),
    NA()
  ),
  NA()
)</f>
        <v>#N/A</v>
      </c>
      <c r="N118" s="106" t="e" cm="1">
        <f t="array" ref="N118">IF(
  AND(
    INDEX('Chart data'!$2:$2, COLUMN()) &gt;= MTP_BaseYear,
    INDEX('Chart data'!$2:$2, COLUMN()) &lt;= OutturnThrough
  ),
  IFERROR(
    IF(
      N114 - INDEX(Assessment!$15:$15,
                   _xlfn.XMATCH(INDEX('Chart data'!$2:$2, COLUMN()),
                          Assessment!$4:$4, 0)
            ) &gt;= 0,
      INDEX(Assessment!$15:$15,
            _xlfn.XMATCH(INDEX('Chart data'!$2:$2, COLUMN()),
                   Assessment!$4:$4, 0)
      ),
      NA()
    ),
    NA()
  ),
  NA()
)</f>
        <v>#N/A</v>
      </c>
      <c r="O118" s="106" t="e" cm="1">
        <f t="array" ref="O118">IF(
  AND(
    INDEX('Chart data'!$2:$2, COLUMN()) &gt;= MTP_BaseYear,
    INDEX('Chart data'!$2:$2, COLUMN()) &lt;= OutturnThrough
  ),
  IFERROR(
    IF(
      O114 - INDEX(Assessment!$15:$15,
                   _xlfn.XMATCH(INDEX('Chart data'!$2:$2, COLUMN()),
                          Assessment!$4:$4, 0)
            ) &gt;= 0,
      INDEX(Assessment!$15:$15,
            _xlfn.XMATCH(INDEX('Chart data'!$2:$2, COLUMN()),
                   Assessment!$4:$4, 0)
      ),
      NA()
    ),
    NA()
  ),
  NA()
)</f>
        <v>#N/A</v>
      </c>
      <c r="P118" s="106" t="e" cm="1">
        <f t="array" ref="P118">IF(
  AND(
    INDEX('Chart data'!$2:$2, COLUMN()) &gt;= MTP_BaseYear,
    INDEX('Chart data'!$2:$2, COLUMN()) &lt;= OutturnThrough
  ),
  IFERROR(
    IF(
      P114 - INDEX(Assessment!$15:$15,
                   _xlfn.XMATCH(INDEX('Chart data'!$2:$2, COLUMN()),
                          Assessment!$4:$4, 0)
            ) &gt;= 0,
      INDEX(Assessment!$15:$15,
            _xlfn.XMATCH(INDEX('Chart data'!$2:$2, COLUMN()),
                   Assessment!$4:$4, 0)
      ),
      NA()
    ),
    NA()
  ),
  NA()
)</f>
        <v>#N/A</v>
      </c>
      <c r="Q118" s="106" t="e" cm="1">
        <f t="array" ref="Q118">IF(
  AND(
    INDEX('Chart data'!$2:$2, COLUMN()) &gt;= MTP_BaseYear,
    INDEX('Chart data'!$2:$2, COLUMN()) &lt;= OutturnThrough
  ),
  IFERROR(
    IF(
      Q114 - INDEX(Assessment!$15:$15,
                   _xlfn.XMATCH(INDEX('Chart data'!$2:$2, COLUMN()),
                          Assessment!$4:$4, 0)
            ) &gt;= 0,
      INDEX(Assessment!$15:$15,
            _xlfn.XMATCH(INDEX('Chart data'!$2:$2, COLUMN()),
                   Assessment!$4:$4, 0)
      ),
      NA()
    ),
    NA()
  ),
  NA()
)</f>
        <v>#N/A</v>
      </c>
      <c r="R118" s="106" t="e" cm="1">
        <f t="array" ref="R118">IF(
  AND(
    INDEX('Chart data'!$2:$2, COLUMN()) &gt;= MTP_BaseYear,
    INDEX('Chart data'!$2:$2, COLUMN()) &lt;= OutturnThrough
  ),
  IFERROR(
    IF(
      R114 - INDEX(Assessment!$15:$15,
                   _xlfn.XMATCH(INDEX('Chart data'!$2:$2, COLUMN()),
                          Assessment!$4:$4, 0)
            ) &gt;= 0,
      INDEX(Assessment!$15:$15,
            _xlfn.XMATCH(INDEX('Chart data'!$2:$2, COLUMN()),
                   Assessment!$4:$4, 0)
      ),
      NA()
    ),
    NA()
  ),
  NA()
)</f>
        <v>#N/A</v>
      </c>
      <c r="S118" s="106" t="e" cm="1">
        <f t="array" ref="S118">IF(
  AND(
    INDEX('Chart data'!$2:$2, COLUMN()) &gt;= MTP_BaseYear,
    INDEX('Chart data'!$2:$2, COLUMN()) &lt;= OutturnThrough
  ),
  IFERROR(
    IF(
      S114 - INDEX(Assessment!$15:$15,
                   _xlfn.XMATCH(INDEX('Chart data'!$2:$2, COLUMN()),
                          Assessment!$4:$4, 0)
            ) &gt;= 0,
      INDEX(Assessment!$15:$15,
            _xlfn.XMATCH(INDEX('Chart data'!$2:$2, COLUMN()),
                   Assessment!$4:$4, 0)
      ),
      NA()
    ),
    NA()
  ),
  NA()
)</f>
        <v>#N/A</v>
      </c>
      <c r="T118" s="106" t="e" cm="1">
        <f t="array" ref="T118">IF(
  AND(
    INDEX('Chart data'!$2:$2, COLUMN()) &gt;= MTP_BaseYear,
    INDEX('Chart data'!$2:$2, COLUMN()) &lt;= OutturnThrough
  ),
  IFERROR(
    IF(
      T114 - INDEX(Assessment!$15:$15,
                   _xlfn.XMATCH(INDEX('Chart data'!$2:$2, COLUMN()),
                          Assessment!$4:$4, 0)
            ) &gt;= 0,
      INDEX(Assessment!$15:$15,
            _xlfn.XMATCH(INDEX('Chart data'!$2:$2, COLUMN()),
                   Assessment!$4:$4, 0)
      ),
      NA()
    ),
    NA()
  ),
  NA()
)</f>
        <v>#N/A</v>
      </c>
      <c r="U118" s="106" t="e" cm="1">
        <f t="array" ref="U118">IF(
  AND(
    INDEX('Chart data'!$2:$2, COLUMN()) &gt;= MTP_BaseYear,
    INDEX('Chart data'!$2:$2, COLUMN()) &lt;= OutturnThrough
  ),
  IFERROR(
    IF(
      U114 - INDEX(Assessment!$15:$15,
                   _xlfn.XMATCH(INDEX('Chart data'!$2:$2, COLUMN()),
                          Assessment!$4:$4, 0)
            ) &gt;= 0,
      INDEX(Assessment!$15:$15,
            _xlfn.XMATCH(INDEX('Chart data'!$2:$2, COLUMN()),
                   Assessment!$4:$4, 0)
      ),
      NA()
    ),
    NA()
  ),
  NA()
)</f>
        <v>#N/A</v>
      </c>
      <c r="V118" s="106" t="e" cm="1">
        <f t="array" ref="V118">IF(
  AND(
    INDEX('Chart data'!$2:$2, COLUMN()) &gt;= MTP_BaseYear,
    INDEX('Chart data'!$2:$2, COLUMN()) &lt;= OutturnThrough
  ),
  IFERROR(
    IF(
      V114 - INDEX(Assessment!$15:$15,
                   _xlfn.XMATCH(INDEX('Chart data'!$2:$2, COLUMN()),
                          Assessment!$4:$4, 0)
            ) &gt;= 0,
      INDEX(Assessment!$15:$15,
            _xlfn.XMATCH(INDEX('Chart data'!$2:$2, COLUMN()),
                   Assessment!$4:$4, 0)
      ),
      NA()
    ),
    NA()
  ),
  NA()
)</f>
        <v>#N/A</v>
      </c>
      <c r="W118" s="106" t="e" cm="1">
        <f t="array" ref="W118">IF(
  AND(
    INDEX('Chart data'!$2:$2, COLUMN()) &gt;= MTP_BaseYear,
    INDEX('Chart data'!$2:$2, COLUMN()) &lt;= OutturnThrough
  ),
  IFERROR(
    IF(
      W114 - INDEX(Assessment!$15:$15,
                   _xlfn.XMATCH(INDEX('Chart data'!$2:$2, COLUMN()),
                          Assessment!$4:$4, 0)
            ) &gt;= 0,
      INDEX(Assessment!$15:$15,
            _xlfn.XMATCH(INDEX('Chart data'!$2:$2, COLUMN()),
                   Assessment!$4:$4, 0)
      ),
      NA()
    ),
    NA()
  ),
  NA()
)</f>
        <v>#N/A</v>
      </c>
    </row>
    <row r="119" spans="2:23" ht="13.5" customHeight="1" x14ac:dyDescent="0.4">
      <c r="C119" s="2" t="s">
        <v>299</v>
      </c>
      <c r="F119" s="106" t="e" cm="1">
        <f t="array" ref="F119">IF(
  AND(
    INDEX($2:$2, COLUMN()) &gt;= MTP_BaseYear,
    INDEX($2:$2, COLUMN()) &lt;= OutturnThrough
  ),
  IFERROR(
    IF(
      F114 - INDEX(Assessment!$15:$15,
                   _xlfn.XMATCH(INDEX($2:$2, COLUMN()),
                          Assessment!$4:$4, 0)
            ) &lt; 0,
      INDEX(Assessment!$15:$15,
            _xlfn.XMATCH(INDEX($2:$2, COLUMN()),
                   Assessment!$4:$4, 0)
      ),
      NA()
    ),
    NA()
  ),
  NA()
)</f>
        <v>#N/A</v>
      </c>
      <c r="G119" s="106" t="e" cm="1">
        <f t="array" ref="G119">IF(
  AND(
    INDEX($2:$2, COLUMN()) &gt;= MTP_BaseYear,
    INDEX($2:$2, COLUMN()) &lt;= OutturnThrough
  ),
  IFERROR(
    IF(
      G114 - INDEX(Assessment!$15:$15,
                   _xlfn.XMATCH(INDEX($2:$2, COLUMN()),
                          Assessment!$4:$4, 0)
            ) &lt; 0,
      INDEX(Assessment!$15:$15,
            _xlfn.XMATCH(INDEX($2:$2, COLUMN()),
                   Assessment!$4:$4, 0)
      ),
      NA()
    ),
    NA()
  ),
  NA()
)</f>
        <v>#N/A</v>
      </c>
      <c r="H119" s="106" t="e" cm="1">
        <f t="array" ref="H119">IF(
  AND(
    INDEX($2:$2, COLUMN()) &gt;= MTP_BaseYear,
    INDEX($2:$2, COLUMN()) &lt;= OutturnThrough
  ),
  IFERROR(
    IF(
      H114 - INDEX(Assessment!$15:$15,
                   _xlfn.XMATCH(INDEX($2:$2, COLUMN()),
                          Assessment!$4:$4, 0)
            ) &lt; 0,
      INDEX(Assessment!$15:$15,
            _xlfn.XMATCH(INDEX($2:$2, COLUMN()),
                   Assessment!$4:$4, 0)
      ),
      NA()
    ),
    NA()
  ),
  NA()
)</f>
        <v>#N/A</v>
      </c>
      <c r="I119" s="106" t="e" cm="1">
        <f t="array" ref="I119">IF(
  AND(
    INDEX($2:$2, COLUMN()) &gt;= MTP_BaseYear,
    INDEX($2:$2, COLUMN()) &lt;= OutturnThrough
  ),
  IFERROR(
    IF(
      I114 - INDEX(Assessment!$15:$15,
                   _xlfn.XMATCH(INDEX($2:$2, COLUMN()),
                          Assessment!$4:$4, 0)
            ) &lt; 0,
      INDEX(Assessment!$15:$15,
            _xlfn.XMATCH(INDEX($2:$2, COLUMN()),
                   Assessment!$4:$4, 0)
      ),
      NA()
    ),
    NA()
  ),
  NA()
)</f>
        <v>#N/A</v>
      </c>
      <c r="J119" s="106" t="e" cm="1">
        <f t="array" ref="J119">IF(
  AND(
    INDEX($2:$2, COLUMN()) &gt;= MTP_BaseYear,
    INDEX($2:$2, COLUMN()) &lt;= OutturnThrough
  ),
  IFERROR(
    IF(
      J114 - INDEX(Assessment!$15:$15,
                   _xlfn.XMATCH(INDEX($2:$2, COLUMN()),
                          Assessment!$4:$4, 0)
            ) &lt; 0,
      INDEX(Assessment!$15:$15,
            _xlfn.XMATCH(INDEX($2:$2, COLUMN()),
                   Assessment!$4:$4, 0)
      ),
      NA()
    ),
    NA()
  ),
  NA()
)</f>
        <v>#N/A</v>
      </c>
      <c r="K119" s="106" t="e" cm="1">
        <f t="array" ref="K119">IF(
  AND(
    INDEX($2:$2, COLUMN()) &gt;= MTP_BaseYear,
    INDEX($2:$2, COLUMN()) &lt;= OutturnThrough
  ),
  IFERROR(
    IF(
      K114 - INDEX(Assessment!$15:$15,
                   _xlfn.XMATCH(INDEX($2:$2, COLUMN()),
                          Assessment!$4:$4, 0)
            ) &lt; 0,
      INDEX(Assessment!$15:$15,
            _xlfn.XMATCH(INDEX($2:$2, COLUMN()),
                   Assessment!$4:$4, 0)
      ),
      NA()
    ),
    NA()
  ),
  NA()
)</f>
        <v>#N/A</v>
      </c>
      <c r="L119" s="106" t="e" cm="1">
        <f t="array" ref="L119">IF(
  AND(
    INDEX($2:$2, COLUMN()) &gt;= MTP_BaseYear,
    INDEX($2:$2, COLUMN()) &lt;= OutturnThrough
  ),
  IFERROR(
    IF(
      L114 - INDEX(Assessment!$15:$15,
                   _xlfn.XMATCH(INDEX($2:$2, COLUMN()),
                          Assessment!$4:$4, 0)
            ) &lt; 0,
      INDEX(Assessment!$15:$15,
            _xlfn.XMATCH(INDEX($2:$2, COLUMN()),
                   Assessment!$4:$4, 0)
      ),
      NA()
    ),
    NA()
  ),
  NA()
)</f>
        <v>#N/A</v>
      </c>
      <c r="M119" s="106" t="e" cm="1">
        <f t="array" ref="M119">IF(
  AND(
    INDEX($2:$2, COLUMN()) &gt;= MTP_BaseYear,
    INDEX($2:$2, COLUMN()) &lt;= OutturnThrough
  ),
  IFERROR(
    IF(
      M114 - INDEX(Assessment!$15:$15,
                   _xlfn.XMATCH(INDEX($2:$2, COLUMN()),
                          Assessment!$4:$4, 0)
            ) &lt; 0,
      INDEX(Assessment!$15:$15,
            _xlfn.XMATCH(INDEX($2:$2, COLUMN()),
                   Assessment!$4:$4, 0)
      ),
      NA()
    ),
    NA()
  ),
  NA()
)</f>
        <v>#N/A</v>
      </c>
      <c r="N119" s="106" t="e" cm="1">
        <f t="array" ref="N119">IF(
  AND(
    INDEX($2:$2, COLUMN()) &gt;= MTP_BaseYear,
    INDEX($2:$2, COLUMN()) &lt;= OutturnThrough
  ),
  IFERROR(
    IF(
      N114 - INDEX(Assessment!$15:$15,
                   _xlfn.XMATCH(INDEX($2:$2, COLUMN()),
                          Assessment!$4:$4, 0)
            ) &lt; 0,
      INDEX(Assessment!$15:$15,
            _xlfn.XMATCH(INDEX($2:$2, COLUMN()),
                   Assessment!$4:$4, 0)
      ),
      NA()
    ),
    NA()
  ),
  NA()
)</f>
        <v>#N/A</v>
      </c>
      <c r="O119" s="106" t="e" cm="1">
        <f t="array" ref="O119">IF(
  AND(
    INDEX($2:$2, COLUMN()) &gt;= MTP_BaseYear,
    INDEX($2:$2, COLUMN()) &lt;= OutturnThrough
  ),
  IFERROR(
    IF(
      O114 - INDEX(Assessment!$15:$15,
                   _xlfn.XMATCH(INDEX($2:$2, COLUMN()),
                          Assessment!$4:$4, 0)
            ) &lt; 0,
      INDEX(Assessment!$15:$15,
            _xlfn.XMATCH(INDEX($2:$2, COLUMN()),
                   Assessment!$4:$4, 0)
      ),
      NA()
    ),
    NA()
  ),
  NA()
)</f>
        <v>#N/A</v>
      </c>
      <c r="P119" s="106" t="e" cm="1">
        <f t="array" ref="P119">IF(
  AND(
    INDEX($2:$2, COLUMN()) &gt;= MTP_BaseYear,
    INDEX($2:$2, COLUMN()) &lt;= OutturnThrough
  ),
  IFERROR(
    IF(
      P114 - INDEX(Assessment!$15:$15,
                   _xlfn.XMATCH(INDEX($2:$2, COLUMN()),
                          Assessment!$4:$4, 0)
            ) &lt; 0,
      INDEX(Assessment!$15:$15,
            _xlfn.XMATCH(INDEX($2:$2, COLUMN()),
                   Assessment!$4:$4, 0)
      ),
      NA()
    ),
    NA()
  ),
  NA()
)</f>
        <v>#N/A</v>
      </c>
      <c r="Q119" s="106" t="e" cm="1">
        <f t="array" ref="Q119">IF(
  AND(
    INDEX($2:$2, COLUMN()) &gt;= MTP_BaseYear,
    INDEX($2:$2, COLUMN()) &lt;= OutturnThrough
  ),
  IFERROR(
    IF(
      Q114 - INDEX(Assessment!$15:$15,
                   _xlfn.XMATCH(INDEX($2:$2, COLUMN()),
                          Assessment!$4:$4, 0)
            ) &lt; 0,
      INDEX(Assessment!$15:$15,
            _xlfn.XMATCH(INDEX($2:$2, COLUMN()),
                   Assessment!$4:$4, 0)
      ),
      NA()
    ),
    NA()
  ),
  NA()
)</f>
        <v>#N/A</v>
      </c>
      <c r="R119" s="106" t="e" cm="1">
        <f t="array" ref="R119">IF(
  AND(
    INDEX($2:$2, COLUMN()) &gt;= MTP_BaseYear,
    INDEX($2:$2, COLUMN()) &lt;= OutturnThrough
  ),
  IFERROR(
    IF(
      R114 - INDEX(Assessment!$15:$15,
                   _xlfn.XMATCH(INDEX($2:$2, COLUMN()),
                          Assessment!$4:$4, 0)
            ) &lt; 0,
      INDEX(Assessment!$15:$15,
            _xlfn.XMATCH(INDEX($2:$2, COLUMN()),
                   Assessment!$4:$4, 0)
      ),
      NA()
    ),
    NA()
  ),
  NA()
)</f>
        <v>#N/A</v>
      </c>
      <c r="S119" s="106" t="e" cm="1">
        <f t="array" ref="S119">IF(
  AND(
    INDEX($2:$2, COLUMN()) &gt;= MTP_BaseYear,
    INDEX($2:$2, COLUMN()) &lt;= OutturnThrough
  ),
  IFERROR(
    IF(
      S114 - INDEX(Assessment!$15:$15,
                   _xlfn.XMATCH(INDEX($2:$2, COLUMN()),
                          Assessment!$4:$4, 0)
            ) &lt; 0,
      INDEX(Assessment!$15:$15,
            _xlfn.XMATCH(INDEX($2:$2, COLUMN()),
                   Assessment!$4:$4, 0)
      ),
      NA()
    ),
    NA()
  ),
  NA()
)</f>
        <v>#N/A</v>
      </c>
      <c r="T119" s="106" t="e" cm="1">
        <f t="array" ref="T119">IF(
  AND(
    INDEX($2:$2, COLUMN()) &gt;= MTP_BaseYear,
    INDEX($2:$2, COLUMN()) &lt;= OutturnThrough
  ),
  IFERROR(
    IF(
      T114 - INDEX(Assessment!$15:$15,
                   _xlfn.XMATCH(INDEX($2:$2, COLUMN()),
                          Assessment!$4:$4, 0)
            ) &lt; 0,
      INDEX(Assessment!$15:$15,
            _xlfn.XMATCH(INDEX($2:$2, COLUMN()),
                   Assessment!$4:$4, 0)
      ),
      NA()
    ),
    NA()
  ),
  NA()
)</f>
        <v>#N/A</v>
      </c>
      <c r="U119" s="106" t="e" cm="1">
        <f t="array" ref="U119">IF(
  AND(
    INDEX($2:$2, COLUMN()) &gt;= MTP_BaseYear,
    INDEX($2:$2, COLUMN()) &lt;= OutturnThrough
  ),
  IFERROR(
    IF(
      U114 - INDEX(Assessment!$15:$15,
                   _xlfn.XMATCH(INDEX($2:$2, COLUMN()),
                          Assessment!$4:$4, 0)
            ) &lt; 0,
      INDEX(Assessment!$15:$15,
            _xlfn.XMATCH(INDEX($2:$2, COLUMN()),
                   Assessment!$4:$4, 0)
      ),
      NA()
    ),
    NA()
  ),
  NA()
)</f>
        <v>#N/A</v>
      </c>
      <c r="V119" s="106" t="e" cm="1">
        <f t="array" ref="V119">IF(
  AND(
    INDEX($2:$2, COLUMN()) &gt;= MTP_BaseYear,
    INDEX($2:$2, COLUMN()) &lt;= OutturnThrough
  ),
  IFERROR(
    IF(
      V114 - INDEX(Assessment!$15:$15,
                   _xlfn.XMATCH(INDEX($2:$2, COLUMN()),
                          Assessment!$4:$4, 0)
            ) &lt; 0,
      INDEX(Assessment!$15:$15,
            _xlfn.XMATCH(INDEX($2:$2, COLUMN()),
                   Assessment!$4:$4, 0)
      ),
      NA()
    ),
    NA()
  ),
  NA()
)</f>
        <v>#N/A</v>
      </c>
      <c r="W119" s="106" t="e" cm="1">
        <f t="array" ref="W119">IF(
  AND(
    INDEX($2:$2, COLUMN()) &gt;= MTP_BaseYear,
    INDEX($2:$2, COLUMN()) &lt;= OutturnThrough
  ),
  IFERROR(
    IF(
      W114 - INDEX(Assessment!$15:$15,
                   _xlfn.XMATCH(INDEX($2:$2, COLUMN()),
                          Assessment!$4:$4, 0)
            ) &lt; 0,
      INDEX(Assessment!$15:$15,
            _xlfn.XMATCH(INDEX($2:$2, COLUMN()),
                   Assessment!$4:$4, 0)
      ),
      NA()
    ),
    NA()
  ),
  NA()
)</f>
        <v>#N/A</v>
      </c>
    </row>
    <row r="120" spans="2:23" x14ac:dyDescent="0.4">
      <c r="C120" s="110" t="s">
        <v>564</v>
      </c>
      <c r="D120" s="4">
        <f>IF(_xlfn.AGGREGATE(5,6,F114:W119)&lt;0, _xlfn.AGGREGATE(5,6,F114:W119), 0)</f>
        <v>0</v>
      </c>
      <c r="F120" s="64"/>
      <c r="G120" s="64"/>
      <c r="H120" s="64"/>
      <c r="I120" s="64"/>
      <c r="J120" s="64"/>
      <c r="K120" s="64"/>
      <c r="L120" s="64"/>
      <c r="M120" s="64"/>
      <c r="N120" s="64"/>
      <c r="O120" s="64"/>
      <c r="P120" s="64"/>
      <c r="Q120" s="64"/>
      <c r="R120" s="64"/>
      <c r="S120" s="64"/>
      <c r="T120" s="64"/>
      <c r="U120" s="64"/>
      <c r="V120" s="64"/>
      <c r="W120" s="64"/>
    </row>
    <row r="121" spans="2:23" x14ac:dyDescent="0.4">
      <c r="C121" s="110" t="s">
        <v>565</v>
      </c>
      <c r="D121" s="4">
        <f>_xlfn.AGGREGATE(4,6,F114:W119)</f>
        <v>0</v>
      </c>
    </row>
    <row r="122" spans="2:23" ht="13.5" customHeight="1" x14ac:dyDescent="0.6">
      <c r="C122" s="11"/>
    </row>
    <row r="123" spans="2:23" ht="16.5" x14ac:dyDescent="0.6">
      <c r="B123" s="110" t="s">
        <v>590</v>
      </c>
      <c r="C123" s="11" t="s">
        <v>389</v>
      </c>
    </row>
    <row r="124" spans="2:23" x14ac:dyDescent="0.4">
      <c r="C124" s="2" t="s">
        <v>388</v>
      </c>
      <c r="F124" s="64" t="str">
        <f>Assessment!E71</f>
        <v/>
      </c>
      <c r="G124" s="64" t="str">
        <f>Assessment!F71</f>
        <v/>
      </c>
      <c r="H124" s="64" t="str">
        <f>Assessment!G71</f>
        <v/>
      </c>
      <c r="I124" s="64" t="str">
        <f>Assessment!H71</f>
        <v/>
      </c>
      <c r="J124" s="64" t="str">
        <f>Assessment!I71</f>
        <v/>
      </c>
      <c r="K124" s="64" t="str">
        <f>Assessment!J71</f>
        <v/>
      </c>
      <c r="L124" s="64" t="str">
        <f>Assessment!K71</f>
        <v/>
      </c>
      <c r="M124" s="64" t="str">
        <f>Assessment!L71</f>
        <v/>
      </c>
      <c r="N124" s="64" t="str">
        <f>Assessment!M71</f>
        <v/>
      </c>
      <c r="O124" s="64" t="str">
        <f>Assessment!N71</f>
        <v/>
      </c>
      <c r="P124" s="64" t="str">
        <f>Assessment!O71</f>
        <v/>
      </c>
      <c r="Q124" s="64" t="str">
        <f>Assessment!P71</f>
        <v/>
      </c>
      <c r="R124" s="64" t="str">
        <f>Assessment!Q71</f>
        <v/>
      </c>
      <c r="S124" s="64" t="str">
        <f>Assessment!R71</f>
        <v/>
      </c>
      <c r="T124" s="64" t="str">
        <f>Assessment!S71</f>
        <v/>
      </c>
      <c r="U124" s="64" t="str">
        <f>Assessment!T71</f>
        <v/>
      </c>
      <c r="V124" s="64" t="str">
        <f>Assessment!U71</f>
        <v/>
      </c>
      <c r="W124" s="64" t="str">
        <f>Assessment!V71</f>
        <v/>
      </c>
    </row>
    <row r="125" spans="2:23" x14ac:dyDescent="0.4">
      <c r="C125" s="2" t="s">
        <v>296</v>
      </c>
      <c r="F125" s="4"/>
      <c r="G125" s="4"/>
      <c r="H125" s="4"/>
      <c r="I125" s="4"/>
      <c r="J125" s="4"/>
      <c r="K125" s="4"/>
      <c r="L125" s="4"/>
      <c r="M125" s="4"/>
      <c r="N125" s="4"/>
      <c r="O125" s="4"/>
      <c r="P125" s="4"/>
      <c r="Q125" s="4"/>
      <c r="R125" s="4"/>
      <c r="S125" s="4"/>
      <c r="T125" s="4"/>
      <c r="U125" s="4"/>
      <c r="V125" s="4"/>
      <c r="W125" s="4"/>
    </row>
    <row r="126" spans="2:23" x14ac:dyDescent="0.4">
      <c r="C126" s="2" t="s">
        <v>243</v>
      </c>
      <c r="F126" s="64">
        <f>IF(OR(ISNUMBER(F128),ISNUMBER(F129)),NA(),IF(ISNUMBER(Assessment!E19),Assessment!E19,NA()))</f>
        <v>0</v>
      </c>
      <c r="G126" s="64">
        <f>IF(OR(ISNUMBER(G128),ISNUMBER(G129)),NA(),IF(ISNUMBER(Assessment!F19),Assessment!F19,NA()))</f>
        <v>0</v>
      </c>
      <c r="H126" s="64" t="e">
        <f>IF(OR(ISNUMBER(H128),ISNUMBER(H129)),NA(),IF(ISNUMBER(Assessment!G19),Assessment!G19,NA()))</f>
        <v>#N/A</v>
      </c>
      <c r="I126" s="64" t="e">
        <f>IF(OR(ISNUMBER(I128),ISNUMBER(I129)),NA(),IF(ISNUMBER(Assessment!H19),Assessment!H19,NA()))</f>
        <v>#N/A</v>
      </c>
      <c r="J126" s="64" t="e">
        <f>IF(OR(ISNUMBER(J128),ISNUMBER(J129)),NA(),IF(ISNUMBER(Assessment!I19),Assessment!I19,NA()))</f>
        <v>#N/A</v>
      </c>
      <c r="K126" s="64" t="e">
        <f>IF(OR(ISNUMBER(K128),ISNUMBER(K129)),NA(),IF(ISNUMBER(Assessment!J19),Assessment!J19,NA()))</f>
        <v>#N/A</v>
      </c>
      <c r="L126" s="64" t="e">
        <f>IF(OR(ISNUMBER(L128),ISNUMBER(L129)),NA(),IF(ISNUMBER(Assessment!K19),Assessment!K19,NA()))</f>
        <v>#N/A</v>
      </c>
      <c r="M126" s="64" t="e">
        <f>IF(OR(ISNUMBER(M128),ISNUMBER(M129)),NA(),IF(ISNUMBER(Assessment!L19),Assessment!L19,NA()))</f>
        <v>#N/A</v>
      </c>
      <c r="N126" s="64" t="e">
        <f>IF(OR(ISNUMBER(N128),ISNUMBER(N129)),NA(),IF(ISNUMBER(Assessment!M19),Assessment!M19,NA()))</f>
        <v>#N/A</v>
      </c>
      <c r="O126" s="64" t="e">
        <f>IF(OR(ISNUMBER(O128),ISNUMBER(O129)),NA(),IF(ISNUMBER(Assessment!N19),Assessment!N19,NA()))</f>
        <v>#N/A</v>
      </c>
      <c r="P126" s="64" t="e">
        <f>IF(OR(ISNUMBER(P128),ISNUMBER(P129)),NA(),IF(ISNUMBER(Assessment!O19),Assessment!O19,NA()))</f>
        <v>#N/A</v>
      </c>
      <c r="Q126" s="64" t="e">
        <f>IF(OR(ISNUMBER(Q128),ISNUMBER(Q129)),NA(),IF(ISNUMBER(Assessment!P19),Assessment!P19,NA()))</f>
        <v>#N/A</v>
      </c>
      <c r="R126" s="64" t="e">
        <f>IF(OR(ISNUMBER(R128),ISNUMBER(R129)),NA(),IF(ISNUMBER(Assessment!Q19),Assessment!Q19,NA()))</f>
        <v>#N/A</v>
      </c>
      <c r="S126" s="64" t="e">
        <f>IF(OR(ISNUMBER(S128),ISNUMBER(S129)),NA(),IF(ISNUMBER(Assessment!R19),Assessment!R19,NA()))</f>
        <v>#N/A</v>
      </c>
      <c r="T126" s="64" t="e">
        <f>IF(OR(ISNUMBER(T128),ISNUMBER(T129)),NA(),IF(ISNUMBER(Assessment!S19),Assessment!S19,NA()))</f>
        <v>#N/A</v>
      </c>
      <c r="U126" s="64" t="e">
        <f>IF(OR(ISNUMBER(U128),ISNUMBER(U129)),NA(),IF(ISNUMBER(Assessment!T19),Assessment!T19,NA()))</f>
        <v>#N/A</v>
      </c>
      <c r="V126" s="64" t="e">
        <f>IF(OR(ISNUMBER(V128),ISNUMBER(V129)),NA(),IF(ISNUMBER(Assessment!U19),Assessment!U19,NA()))</f>
        <v>#N/A</v>
      </c>
      <c r="W126" s="64" t="e">
        <f>IF(OR(ISNUMBER(W128),ISNUMBER(W129)),NA(),IF(ISNUMBER(Assessment!V19),Assessment!V19,NA()))</f>
        <v>#N/A</v>
      </c>
    </row>
    <row r="127" spans="2:23" x14ac:dyDescent="0.4">
      <c r="C127" s="2" t="s">
        <v>297</v>
      </c>
      <c r="F127" s="4"/>
      <c r="G127" s="4"/>
      <c r="H127" s="4"/>
      <c r="I127" s="4"/>
      <c r="J127" s="4"/>
      <c r="K127" s="4"/>
      <c r="L127" s="4"/>
      <c r="M127" s="4"/>
      <c r="N127" s="4"/>
      <c r="O127" s="4"/>
      <c r="P127" s="4"/>
      <c r="Q127" s="4"/>
      <c r="R127" s="4"/>
      <c r="S127" s="4"/>
      <c r="T127" s="4"/>
      <c r="U127" s="4"/>
      <c r="V127" s="4"/>
      <c r="W127" s="4"/>
    </row>
    <row r="128" spans="2:23" ht="17.25" customHeight="1" x14ac:dyDescent="0.4">
      <c r="C128" s="2" t="s">
        <v>298</v>
      </c>
      <c r="F128" s="106" t="e" cm="1">
        <f t="array" ref="F128">IF(
  AND(
    INDEX($2:$2, COLUMN()) &gt;= MTP_BaseYear,
    INDEX($2:$2, COLUMN()) &lt;= OutturnThrough
  ),
  IFERROR(
    IF(
      F124 - INDEX(Assessment!$19:$19,
                   _xlfn.XMATCH(INDEX($2:$2, COLUMN()),
                          Assessment!$4:$4, 0)
            ) &lt; 0,
      INDEX(Assessment!$19:$19,
            _xlfn.XMATCH(INDEX($2:$2, COLUMN()),
                   Assessment!$4:$4, 0)
      ),
      NA()
    ),
    NA()
  ),
  NA()
)</f>
        <v>#N/A</v>
      </c>
      <c r="G128" s="106" t="e" cm="1">
        <f t="array" ref="G128">IF(
  AND(
    INDEX($2:$2, COLUMN()) &gt;= MTP_BaseYear,
    INDEX($2:$2, COLUMN()) &lt;= OutturnThrough
  ),
  IFERROR(
    IF(
      G124 - INDEX(Assessment!$19:$19,
                   _xlfn.XMATCH(INDEX($2:$2, COLUMN()),
                          Assessment!$4:$4, 0)
            ) &lt; 0,
      INDEX(Assessment!$19:$19,
            _xlfn.XMATCH(INDEX($2:$2, COLUMN()),
                   Assessment!$4:$4, 0)
      ),
      NA()
    ),
    NA()
  ),
  NA()
)</f>
        <v>#N/A</v>
      </c>
      <c r="H128" s="106" t="e" cm="1">
        <f t="array" ref="H128">IF(
  AND(
    INDEX($2:$2, COLUMN()) &gt;= MTP_BaseYear,
    INDEX($2:$2, COLUMN()) &lt;= OutturnThrough
  ),
  IFERROR(
    IF(
      H124 - INDEX(Assessment!$19:$19,
                   _xlfn.XMATCH(INDEX($2:$2, COLUMN()),
                          Assessment!$4:$4, 0)
            ) &lt; 0,
      INDEX(Assessment!$19:$19,
            _xlfn.XMATCH(INDEX($2:$2, COLUMN()),
                   Assessment!$4:$4, 0)
      ),
      NA()
    ),
    NA()
  ),
  NA()
)</f>
        <v>#N/A</v>
      </c>
      <c r="I128" s="106" t="e" cm="1">
        <f t="array" ref="I128">IF(
  AND(
    INDEX($2:$2, COLUMN()) &gt;= MTP_BaseYear,
    INDEX($2:$2, COLUMN()) &lt;= OutturnThrough
  ),
  IFERROR(
    IF(
      I124 - INDEX(Assessment!$19:$19,
                   _xlfn.XMATCH(INDEX($2:$2, COLUMN()),
                          Assessment!$4:$4, 0)
            ) &lt; 0,
      INDEX(Assessment!$19:$19,
            _xlfn.XMATCH(INDEX($2:$2, COLUMN()),
                   Assessment!$4:$4, 0)
      ),
      NA()
    ),
    NA()
  ),
  NA()
)</f>
        <v>#N/A</v>
      </c>
      <c r="J128" s="106" t="e" cm="1">
        <f t="array" ref="J128">IF(
  AND(
    INDEX($2:$2, COLUMN()) &gt;= MTP_BaseYear,
    INDEX($2:$2, COLUMN()) &lt;= OutturnThrough
  ),
  IFERROR(
    IF(
      J124 - INDEX(Assessment!$19:$19,
                   _xlfn.XMATCH(INDEX($2:$2, COLUMN()),
                          Assessment!$4:$4, 0)
            ) &lt; 0,
      INDEX(Assessment!$19:$19,
            _xlfn.XMATCH(INDEX($2:$2, COLUMN()),
                   Assessment!$4:$4, 0)
      ),
      NA()
    ),
    NA()
  ),
  NA()
)</f>
        <v>#N/A</v>
      </c>
      <c r="K128" s="106" t="e" cm="1">
        <f t="array" ref="K128">IF(
  AND(
    INDEX($2:$2, COLUMN()) &gt;= MTP_BaseYear,
    INDEX($2:$2, COLUMN()) &lt;= OutturnThrough
  ),
  IFERROR(
    IF(
      K124 - INDEX(Assessment!$19:$19,
                   _xlfn.XMATCH(INDEX($2:$2, COLUMN()),
                          Assessment!$4:$4, 0)
            ) &lt; 0,
      INDEX(Assessment!$19:$19,
            _xlfn.XMATCH(INDEX($2:$2, COLUMN()),
                   Assessment!$4:$4, 0)
      ),
      NA()
    ),
    NA()
  ),
  NA()
)</f>
        <v>#N/A</v>
      </c>
      <c r="L128" s="106" t="e" cm="1">
        <f t="array" ref="L128">IF(
  AND(
    INDEX($2:$2, COLUMN()) &gt;= MTP_BaseYear,
    INDEX($2:$2, COLUMN()) &lt;= OutturnThrough
  ),
  IFERROR(
    IF(
      L124 - INDEX(Assessment!$19:$19,
                   _xlfn.XMATCH(INDEX($2:$2, COLUMN()),
                          Assessment!$4:$4, 0)
            ) &lt; 0,
      INDEX(Assessment!$19:$19,
            _xlfn.XMATCH(INDEX($2:$2, COLUMN()),
                   Assessment!$4:$4, 0)
      ),
      NA()
    ),
    NA()
  ),
  NA()
)</f>
        <v>#N/A</v>
      </c>
      <c r="M128" s="106" t="e" cm="1">
        <f t="array" ref="M128">IF(
  AND(
    INDEX($2:$2, COLUMN()) &gt;= MTP_BaseYear,
    INDEX($2:$2, COLUMN()) &lt;= OutturnThrough
  ),
  IFERROR(
    IF(
      M124 - INDEX(Assessment!$19:$19,
                   _xlfn.XMATCH(INDEX($2:$2, COLUMN()),
                          Assessment!$4:$4, 0)
            ) &lt; 0,
      INDEX(Assessment!$19:$19,
            _xlfn.XMATCH(INDEX($2:$2, COLUMN()),
                   Assessment!$4:$4, 0)
      ),
      NA()
    ),
    NA()
  ),
  NA()
)</f>
        <v>#N/A</v>
      </c>
      <c r="N128" s="106" t="e" cm="1">
        <f t="array" ref="N128">IF(
  AND(
    INDEX($2:$2, COLUMN()) &gt;= MTP_BaseYear,
    INDEX($2:$2, COLUMN()) &lt;= OutturnThrough
  ),
  IFERROR(
    IF(
      N124 - INDEX(Assessment!$19:$19,
                   _xlfn.XMATCH(INDEX($2:$2, COLUMN()),
                          Assessment!$4:$4, 0)
            ) &lt; 0,
      INDEX(Assessment!$19:$19,
            _xlfn.XMATCH(INDEX($2:$2, COLUMN()),
                   Assessment!$4:$4, 0)
      ),
      NA()
    ),
    NA()
  ),
  NA()
)</f>
        <v>#N/A</v>
      </c>
      <c r="O128" s="106" t="e" cm="1">
        <f t="array" ref="O128">IF(
  AND(
    INDEX($2:$2, COLUMN()) &gt;= MTP_BaseYear,
    INDEX($2:$2, COLUMN()) &lt;= OutturnThrough
  ),
  IFERROR(
    IF(
      O124 - INDEX(Assessment!$19:$19,
                   _xlfn.XMATCH(INDEX($2:$2, COLUMN()),
                          Assessment!$4:$4, 0)
            ) &lt; 0,
      INDEX(Assessment!$19:$19,
            _xlfn.XMATCH(INDEX($2:$2, COLUMN()),
                   Assessment!$4:$4, 0)
      ),
      NA()
    ),
    NA()
  ),
  NA()
)</f>
        <v>#N/A</v>
      </c>
      <c r="P128" s="106" t="e" cm="1">
        <f t="array" ref="P128">IF(
  AND(
    INDEX($2:$2, COLUMN()) &gt;= MTP_BaseYear,
    INDEX($2:$2, COLUMN()) &lt;= OutturnThrough
  ),
  IFERROR(
    IF(
      P124 - INDEX(Assessment!$19:$19,
                   _xlfn.XMATCH(INDEX($2:$2, COLUMN()),
                          Assessment!$4:$4, 0)
            ) &lt; 0,
      INDEX(Assessment!$19:$19,
            _xlfn.XMATCH(INDEX($2:$2, COLUMN()),
                   Assessment!$4:$4, 0)
      ),
      NA()
    ),
    NA()
  ),
  NA()
)</f>
        <v>#N/A</v>
      </c>
      <c r="Q128" s="106" t="e" cm="1">
        <f t="array" ref="Q128">IF(
  AND(
    INDEX($2:$2, COLUMN()) &gt;= MTP_BaseYear,
    INDEX($2:$2, COLUMN()) &lt;= OutturnThrough
  ),
  IFERROR(
    IF(
      Q124 - INDEX(Assessment!$19:$19,
                   _xlfn.XMATCH(INDEX($2:$2, COLUMN()),
                          Assessment!$4:$4, 0)
            ) &lt; 0,
      INDEX(Assessment!$19:$19,
            _xlfn.XMATCH(INDEX($2:$2, COLUMN()),
                   Assessment!$4:$4, 0)
      ),
      NA()
    ),
    NA()
  ),
  NA()
)</f>
        <v>#N/A</v>
      </c>
      <c r="R128" s="106" t="e" cm="1">
        <f t="array" ref="R128">IF(
  AND(
    INDEX($2:$2, COLUMN()) &gt;= MTP_BaseYear,
    INDEX($2:$2, COLUMN()) &lt;= OutturnThrough
  ),
  IFERROR(
    IF(
      R124 - INDEX(Assessment!$19:$19,
                   _xlfn.XMATCH(INDEX($2:$2, COLUMN()),
                          Assessment!$4:$4, 0)
            ) &lt; 0,
      INDEX(Assessment!$19:$19,
            _xlfn.XMATCH(INDEX($2:$2, COLUMN()),
                   Assessment!$4:$4, 0)
      ),
      NA()
    ),
    NA()
  ),
  NA()
)</f>
        <v>#N/A</v>
      </c>
      <c r="S128" s="106" t="e" cm="1">
        <f t="array" ref="S128">IF(
  AND(
    INDEX($2:$2, COLUMN()) &gt;= MTP_BaseYear,
    INDEX($2:$2, COLUMN()) &lt;= OutturnThrough
  ),
  IFERROR(
    IF(
      S124 - INDEX(Assessment!$19:$19,
                   _xlfn.XMATCH(INDEX($2:$2, COLUMN()),
                          Assessment!$4:$4, 0)
            ) &lt; 0,
      INDEX(Assessment!$19:$19,
            _xlfn.XMATCH(INDEX($2:$2, COLUMN()),
                   Assessment!$4:$4, 0)
      ),
      NA()
    ),
    NA()
  ),
  NA()
)</f>
        <v>#N/A</v>
      </c>
      <c r="T128" s="106" t="e" cm="1">
        <f t="array" ref="T128">IF(
  AND(
    INDEX($2:$2, COLUMN()) &gt;= MTP_BaseYear,
    INDEX($2:$2, COLUMN()) &lt;= OutturnThrough
  ),
  IFERROR(
    IF(
      T124 - INDEX(Assessment!$19:$19,
                   _xlfn.XMATCH(INDEX($2:$2, COLUMN()),
                          Assessment!$4:$4, 0)
            ) &lt; 0,
      INDEX(Assessment!$19:$19,
            _xlfn.XMATCH(INDEX($2:$2, COLUMN()),
                   Assessment!$4:$4, 0)
      ),
      NA()
    ),
    NA()
  ),
  NA()
)</f>
        <v>#N/A</v>
      </c>
      <c r="U128" s="106" t="e" cm="1">
        <f t="array" ref="U128">IF(
  AND(
    INDEX($2:$2, COLUMN()) &gt;= MTP_BaseYear,
    INDEX($2:$2, COLUMN()) &lt;= OutturnThrough
  ),
  IFERROR(
    IF(
      U124 - INDEX(Assessment!$19:$19,
                   _xlfn.XMATCH(INDEX($2:$2, COLUMN()),
                          Assessment!$4:$4, 0)
            ) &lt; 0,
      INDEX(Assessment!$19:$19,
            _xlfn.XMATCH(INDEX($2:$2, COLUMN()),
                   Assessment!$4:$4, 0)
      ),
      NA()
    ),
    NA()
  ),
  NA()
)</f>
        <v>#N/A</v>
      </c>
      <c r="V128" s="106" t="e" cm="1">
        <f t="array" ref="V128">IF(
  AND(
    INDEX($2:$2, COLUMN()) &gt;= MTP_BaseYear,
    INDEX($2:$2, COLUMN()) &lt;= OutturnThrough
  ),
  IFERROR(
    IF(
      V124 - INDEX(Assessment!$19:$19,
                   _xlfn.XMATCH(INDEX($2:$2, COLUMN()),
                          Assessment!$4:$4, 0)
            ) &lt; 0,
      INDEX(Assessment!$19:$19,
            _xlfn.XMATCH(INDEX($2:$2, COLUMN()),
                   Assessment!$4:$4, 0)
      ),
      NA()
    ),
    NA()
  ),
  NA()
)</f>
        <v>#N/A</v>
      </c>
      <c r="W128" s="106" t="e" cm="1">
        <f t="array" ref="W128">IF(
  AND(
    INDEX($2:$2, COLUMN()) &gt;= MTP_BaseYear,
    INDEX($2:$2, COLUMN()) &lt;= OutturnThrough
  ),
  IFERROR(
    IF(
      W124 - INDEX(Assessment!$19:$19,
                   _xlfn.XMATCH(INDEX($2:$2, COLUMN()),
                          Assessment!$4:$4, 0)
            ) &lt; 0,
      INDEX(Assessment!$19:$19,
            _xlfn.XMATCH(INDEX($2:$2, COLUMN()),
                   Assessment!$4:$4, 0)
      ),
      NA()
    ),
    NA()
  ),
  NA()
)</f>
        <v>#N/A</v>
      </c>
    </row>
    <row r="129" spans="2:23" ht="14.25" customHeight="1" x14ac:dyDescent="0.4">
      <c r="C129" s="2" t="s">
        <v>299</v>
      </c>
      <c r="F129" s="106" t="e" cm="1">
        <f t="array" ref="F129">IF(
  AND(
    INDEX('Chart data'!$2:$2, COLUMN()) &gt;= MTP_BaseYear,
    INDEX('Chart data'!$2:$2, COLUMN()) &lt;= OutturnThrough
  ),
  IFERROR(
    IF(
      F124 - INDEX(Assessment!$19:$19,
                   _xlfn.XMATCH(INDEX('Chart data'!$2:$2, COLUMN()),
                          Assessment!$4:$4, 0)
            ) &gt;= 0,
      INDEX(Assessment!$19:$19,
            _xlfn.XMATCH(INDEX('Chart data'!$2:$2, COLUMN()),
                   Assessment!$4:$4, 0)
      ),
      NA()
    ),
    NA()
  ),
  NA()
)</f>
        <v>#N/A</v>
      </c>
      <c r="G129" s="106" t="e" cm="1">
        <f t="array" ref="G129">IF(
  AND(
    INDEX('Chart data'!$2:$2, COLUMN()) &gt;= MTP_BaseYear,
    INDEX('Chart data'!$2:$2, COLUMN()) &lt;= OutturnThrough
  ),
  IFERROR(
    IF(
      G124 - INDEX(Assessment!$19:$19,
                   _xlfn.XMATCH(INDEX('Chart data'!$2:$2, COLUMN()),
                          Assessment!$4:$4, 0)
            ) &gt;= 0,
      INDEX(Assessment!$19:$19,
            _xlfn.XMATCH(INDEX('Chart data'!$2:$2, COLUMN()),
                   Assessment!$4:$4, 0)
      ),
      NA()
    ),
    NA()
  ),
  NA()
)</f>
        <v>#N/A</v>
      </c>
      <c r="H129" s="106" t="e" cm="1">
        <f t="array" ref="H129">IF(
  AND(
    INDEX('Chart data'!$2:$2, COLUMN()) &gt;= MTP_BaseYear,
    INDEX('Chart data'!$2:$2, COLUMN()) &lt;= OutturnThrough
  ),
  IFERROR(
    IF(
      H124 - INDEX(Assessment!$19:$19,
                   _xlfn.XMATCH(INDEX('Chart data'!$2:$2, COLUMN()),
                          Assessment!$4:$4, 0)
            ) &gt;= 0,
      INDEX(Assessment!$19:$19,
            _xlfn.XMATCH(INDEX('Chart data'!$2:$2, COLUMN()),
                   Assessment!$4:$4, 0)
      ),
      NA()
    ),
    NA()
  ),
  NA()
)</f>
        <v>#N/A</v>
      </c>
      <c r="I129" s="106" t="e" cm="1">
        <f t="array" ref="I129">IF(
  AND(
    INDEX('Chart data'!$2:$2, COLUMN()) &gt;= MTP_BaseYear,
    INDEX('Chart data'!$2:$2, COLUMN()) &lt;= OutturnThrough
  ),
  IFERROR(
    IF(
      I124 - INDEX(Assessment!$19:$19,
                   _xlfn.XMATCH(INDEX('Chart data'!$2:$2, COLUMN()),
                          Assessment!$4:$4, 0)
            ) &gt;= 0,
      INDEX(Assessment!$19:$19,
            _xlfn.XMATCH(INDEX('Chart data'!$2:$2, COLUMN()),
                   Assessment!$4:$4, 0)
      ),
      NA()
    ),
    NA()
  ),
  NA()
)</f>
        <v>#N/A</v>
      </c>
      <c r="J129" s="106" t="e" cm="1">
        <f t="array" ref="J129">IF(
  AND(
    INDEX('Chart data'!$2:$2, COLUMN()) &gt;= MTP_BaseYear,
    INDEX('Chart data'!$2:$2, COLUMN()) &lt;= OutturnThrough
  ),
  IFERROR(
    IF(
      J124 - INDEX(Assessment!$19:$19,
                   _xlfn.XMATCH(INDEX('Chart data'!$2:$2, COLUMN()),
                          Assessment!$4:$4, 0)
            ) &gt;= 0,
      INDEX(Assessment!$19:$19,
            _xlfn.XMATCH(INDEX('Chart data'!$2:$2, COLUMN()),
                   Assessment!$4:$4, 0)
      ),
      NA()
    ),
    NA()
  ),
  NA()
)</f>
        <v>#N/A</v>
      </c>
      <c r="K129" s="106" t="e" cm="1">
        <f t="array" ref="K129">IF(
  AND(
    INDEX('Chart data'!$2:$2, COLUMN()) &gt;= MTP_BaseYear,
    INDEX('Chart data'!$2:$2, COLUMN()) &lt;= OutturnThrough
  ),
  IFERROR(
    IF(
      K124 - INDEX(Assessment!$19:$19,
                   _xlfn.XMATCH(INDEX('Chart data'!$2:$2, COLUMN()),
                          Assessment!$4:$4, 0)
            ) &gt;= 0,
      INDEX(Assessment!$19:$19,
            _xlfn.XMATCH(INDEX('Chart data'!$2:$2, COLUMN()),
                   Assessment!$4:$4, 0)
      ),
      NA()
    ),
    NA()
  ),
  NA()
)</f>
        <v>#N/A</v>
      </c>
      <c r="L129" s="106" t="e" cm="1">
        <f t="array" ref="L129">IF(
  AND(
    INDEX('Chart data'!$2:$2, COLUMN()) &gt;= MTP_BaseYear,
    INDEX('Chart data'!$2:$2, COLUMN()) &lt;= OutturnThrough
  ),
  IFERROR(
    IF(
      L124 - INDEX(Assessment!$19:$19,
                   _xlfn.XMATCH(INDEX('Chart data'!$2:$2, COLUMN()),
                          Assessment!$4:$4, 0)
            ) &gt;= 0,
      INDEX(Assessment!$19:$19,
            _xlfn.XMATCH(INDEX('Chart data'!$2:$2, COLUMN()),
                   Assessment!$4:$4, 0)
      ),
      NA()
    ),
    NA()
  ),
  NA()
)</f>
        <v>#N/A</v>
      </c>
      <c r="M129" s="106" t="e" cm="1">
        <f t="array" ref="M129">IF(
  AND(
    INDEX('Chart data'!$2:$2, COLUMN()) &gt;= MTP_BaseYear,
    INDEX('Chart data'!$2:$2, COLUMN()) &lt;= OutturnThrough
  ),
  IFERROR(
    IF(
      M124 - INDEX(Assessment!$19:$19,
                   _xlfn.XMATCH(INDEX('Chart data'!$2:$2, COLUMN()),
                          Assessment!$4:$4, 0)
            ) &gt;= 0,
      INDEX(Assessment!$19:$19,
            _xlfn.XMATCH(INDEX('Chart data'!$2:$2, COLUMN()),
                   Assessment!$4:$4, 0)
      ),
      NA()
    ),
    NA()
  ),
  NA()
)</f>
        <v>#N/A</v>
      </c>
      <c r="N129" s="106" t="e" cm="1">
        <f t="array" ref="N129">IF(
  AND(
    INDEX('Chart data'!$2:$2, COLUMN()) &gt;= MTP_BaseYear,
    INDEX('Chart data'!$2:$2, COLUMN()) &lt;= OutturnThrough
  ),
  IFERROR(
    IF(
      N124 - INDEX(Assessment!$19:$19,
                   _xlfn.XMATCH(INDEX('Chart data'!$2:$2, COLUMN()),
                          Assessment!$4:$4, 0)
            ) &gt;= 0,
      INDEX(Assessment!$19:$19,
            _xlfn.XMATCH(INDEX('Chart data'!$2:$2, COLUMN()),
                   Assessment!$4:$4, 0)
      ),
      NA()
    ),
    NA()
  ),
  NA()
)</f>
        <v>#N/A</v>
      </c>
      <c r="O129" s="106" t="e" cm="1">
        <f t="array" ref="O129">IF(
  AND(
    INDEX('Chart data'!$2:$2, COLUMN()) &gt;= MTP_BaseYear,
    INDEX('Chart data'!$2:$2, COLUMN()) &lt;= OutturnThrough
  ),
  IFERROR(
    IF(
      O124 - INDEX(Assessment!$19:$19,
                   _xlfn.XMATCH(INDEX('Chart data'!$2:$2, COLUMN()),
                          Assessment!$4:$4, 0)
            ) &gt;= 0,
      INDEX(Assessment!$19:$19,
            _xlfn.XMATCH(INDEX('Chart data'!$2:$2, COLUMN()),
                   Assessment!$4:$4, 0)
      ),
      NA()
    ),
    NA()
  ),
  NA()
)</f>
        <v>#N/A</v>
      </c>
      <c r="P129" s="106" t="e" cm="1">
        <f t="array" ref="P129">IF(
  AND(
    INDEX('Chart data'!$2:$2, COLUMN()) &gt;= MTP_BaseYear,
    INDEX('Chart data'!$2:$2, COLUMN()) &lt;= OutturnThrough
  ),
  IFERROR(
    IF(
      P124 - INDEX(Assessment!$19:$19,
                   _xlfn.XMATCH(INDEX('Chart data'!$2:$2, COLUMN()),
                          Assessment!$4:$4, 0)
            ) &gt;= 0,
      INDEX(Assessment!$19:$19,
            _xlfn.XMATCH(INDEX('Chart data'!$2:$2, COLUMN()),
                   Assessment!$4:$4, 0)
      ),
      NA()
    ),
    NA()
  ),
  NA()
)</f>
        <v>#N/A</v>
      </c>
      <c r="Q129" s="106" t="e" cm="1">
        <f t="array" ref="Q129">IF(
  AND(
    INDEX('Chart data'!$2:$2, COLUMN()) &gt;= MTP_BaseYear,
    INDEX('Chart data'!$2:$2, COLUMN()) &lt;= OutturnThrough
  ),
  IFERROR(
    IF(
      Q124 - INDEX(Assessment!$19:$19,
                   _xlfn.XMATCH(INDEX('Chart data'!$2:$2, COLUMN()),
                          Assessment!$4:$4, 0)
            ) &gt;= 0,
      INDEX(Assessment!$19:$19,
            _xlfn.XMATCH(INDEX('Chart data'!$2:$2, COLUMN()),
                   Assessment!$4:$4, 0)
      ),
      NA()
    ),
    NA()
  ),
  NA()
)</f>
        <v>#N/A</v>
      </c>
      <c r="R129" s="106" t="e" cm="1">
        <f t="array" ref="R129">IF(
  AND(
    INDEX('Chart data'!$2:$2, COLUMN()) &gt;= MTP_BaseYear,
    INDEX('Chart data'!$2:$2, COLUMN()) &lt;= OutturnThrough
  ),
  IFERROR(
    IF(
      R124 - INDEX(Assessment!$19:$19,
                   _xlfn.XMATCH(INDEX('Chart data'!$2:$2, COLUMN()),
                          Assessment!$4:$4, 0)
            ) &gt;= 0,
      INDEX(Assessment!$19:$19,
            _xlfn.XMATCH(INDEX('Chart data'!$2:$2, COLUMN()),
                   Assessment!$4:$4, 0)
      ),
      NA()
    ),
    NA()
  ),
  NA()
)</f>
        <v>#N/A</v>
      </c>
      <c r="S129" s="106" t="e" cm="1">
        <f t="array" ref="S129">IF(
  AND(
    INDEX('Chart data'!$2:$2, COLUMN()) &gt;= MTP_BaseYear,
    INDEX('Chart data'!$2:$2, COLUMN()) &lt;= OutturnThrough
  ),
  IFERROR(
    IF(
      S124 - INDEX(Assessment!$19:$19,
                   _xlfn.XMATCH(INDEX('Chart data'!$2:$2, COLUMN()),
                          Assessment!$4:$4, 0)
            ) &gt;= 0,
      INDEX(Assessment!$19:$19,
            _xlfn.XMATCH(INDEX('Chart data'!$2:$2, COLUMN()),
                   Assessment!$4:$4, 0)
      ),
      NA()
    ),
    NA()
  ),
  NA()
)</f>
        <v>#N/A</v>
      </c>
      <c r="T129" s="106" t="e" cm="1">
        <f t="array" ref="T129">IF(
  AND(
    INDEX('Chart data'!$2:$2, COLUMN()) &gt;= MTP_BaseYear,
    INDEX('Chart data'!$2:$2, COLUMN()) &lt;= OutturnThrough
  ),
  IFERROR(
    IF(
      T124 - INDEX(Assessment!$19:$19,
                   _xlfn.XMATCH(INDEX('Chart data'!$2:$2, COLUMN()),
                          Assessment!$4:$4, 0)
            ) &gt;= 0,
      INDEX(Assessment!$19:$19,
            _xlfn.XMATCH(INDEX('Chart data'!$2:$2, COLUMN()),
                   Assessment!$4:$4, 0)
      ),
      NA()
    ),
    NA()
  ),
  NA()
)</f>
        <v>#N/A</v>
      </c>
      <c r="U129" s="106" t="e" cm="1">
        <f t="array" ref="U129">IF(
  AND(
    INDEX('Chart data'!$2:$2, COLUMN()) &gt;= MTP_BaseYear,
    INDEX('Chart data'!$2:$2, COLUMN()) &lt;= OutturnThrough
  ),
  IFERROR(
    IF(
      U124 - INDEX(Assessment!$19:$19,
                   _xlfn.XMATCH(INDEX('Chart data'!$2:$2, COLUMN()),
                          Assessment!$4:$4, 0)
            ) &gt;= 0,
      INDEX(Assessment!$19:$19,
            _xlfn.XMATCH(INDEX('Chart data'!$2:$2, COLUMN()),
                   Assessment!$4:$4, 0)
      ),
      NA()
    ),
    NA()
  ),
  NA()
)</f>
        <v>#N/A</v>
      </c>
      <c r="V129" s="106" t="e" cm="1">
        <f t="array" ref="V129">IF(
  AND(
    INDEX('Chart data'!$2:$2, COLUMN()) &gt;= MTP_BaseYear,
    INDEX('Chart data'!$2:$2, COLUMN()) &lt;= OutturnThrough
  ),
  IFERROR(
    IF(
      V124 - INDEX(Assessment!$19:$19,
                   _xlfn.XMATCH(INDEX('Chart data'!$2:$2, COLUMN()),
                          Assessment!$4:$4, 0)
            ) &gt;= 0,
      INDEX(Assessment!$19:$19,
            _xlfn.XMATCH(INDEX('Chart data'!$2:$2, COLUMN()),
                   Assessment!$4:$4, 0)
      ),
      NA()
    ),
    NA()
  ),
  NA()
)</f>
        <v>#N/A</v>
      </c>
      <c r="W129" s="106" t="e" cm="1">
        <f t="array" ref="W129">IF(
  AND(
    INDEX('Chart data'!$2:$2, COLUMN()) &gt;= MTP_BaseYear,
    INDEX('Chart data'!$2:$2, COLUMN()) &lt;= OutturnThrough
  ),
  IFERROR(
    IF(
      W124 - INDEX(Assessment!$19:$19,
                   _xlfn.XMATCH(INDEX('Chart data'!$2:$2, COLUMN()),
                          Assessment!$4:$4, 0)
            ) &gt;= 0,
      INDEX(Assessment!$19:$19,
            _xlfn.XMATCH(INDEX('Chart data'!$2:$2, COLUMN()),
                   Assessment!$4:$4, 0)
      ),
      NA()
    ),
    NA()
  ),
  NA()
)</f>
        <v>#N/A</v>
      </c>
    </row>
    <row r="130" spans="2:23" x14ac:dyDescent="0.4">
      <c r="C130" s="110" t="s">
        <v>564</v>
      </c>
      <c r="D130" s="4">
        <f>IF(_xlfn.AGGREGATE(5,6,F124:W129)&lt;0, _xlfn.AGGREGATE(5,6,F124:W129), 0)</f>
        <v>0</v>
      </c>
      <c r="F130" s="64"/>
      <c r="G130" s="64"/>
      <c r="H130" s="64"/>
      <c r="I130" s="64"/>
      <c r="J130" s="64"/>
      <c r="K130" s="64"/>
      <c r="L130" s="64"/>
      <c r="M130" s="64"/>
      <c r="N130" s="64"/>
      <c r="O130" s="64"/>
      <c r="P130" s="64"/>
      <c r="Q130" s="64"/>
      <c r="R130" s="64"/>
      <c r="S130" s="64"/>
      <c r="T130" s="64"/>
      <c r="U130" s="64"/>
      <c r="V130" s="64"/>
      <c r="W130" s="64"/>
    </row>
    <row r="131" spans="2:23" x14ac:dyDescent="0.4">
      <c r="C131" s="110" t="s">
        <v>565</v>
      </c>
      <c r="D131" s="4">
        <f>_xlfn.AGGREGATE(4,6,F124:W129)</f>
        <v>0</v>
      </c>
    </row>
    <row r="132" spans="2:23" ht="14.25" customHeight="1" x14ac:dyDescent="0.4">
      <c r="C132" s="2"/>
      <c r="F132" s="106"/>
      <c r="G132" s="106"/>
      <c r="H132" s="106"/>
      <c r="I132" s="106"/>
      <c r="J132" s="106"/>
      <c r="K132" s="106"/>
      <c r="L132" s="106"/>
      <c r="M132" s="106"/>
      <c r="N132" s="106"/>
      <c r="O132" s="106"/>
      <c r="P132" s="106"/>
      <c r="Q132" s="106"/>
      <c r="R132" s="106"/>
      <c r="S132" s="106"/>
      <c r="T132" s="106"/>
      <c r="U132" s="64"/>
      <c r="V132" s="64"/>
      <c r="W132" s="64"/>
    </row>
    <row r="133" spans="2:23" ht="13.5" customHeight="1" x14ac:dyDescent="0.6">
      <c r="B133" s="110" t="s">
        <v>576</v>
      </c>
      <c r="C133" s="11" t="s">
        <v>577</v>
      </c>
    </row>
    <row r="134" spans="2:23" ht="13.5" customHeight="1" x14ac:dyDescent="0.4">
      <c r="C134" t="s">
        <v>567</v>
      </c>
      <c r="F134" s="3">
        <f>IF(ISNUMBER(Assessment!E36),Assessment!E36,NA())</f>
        <v>0</v>
      </c>
      <c r="G134" s="3">
        <f>IF(ISNUMBER(Assessment!F36),Assessment!F36,NA())</f>
        <v>0</v>
      </c>
      <c r="H134" s="3">
        <f>IF(ISNUMBER(Assessment!G36),Assessment!G36,NA())</f>
        <v>0</v>
      </c>
      <c r="I134" s="3">
        <f>IF(ISNUMBER(Assessment!H36),Assessment!H36,NA())</f>
        <v>0</v>
      </c>
      <c r="J134" s="3">
        <f>IF(ISNUMBER(Assessment!I36),Assessment!I36,NA())</f>
        <v>0</v>
      </c>
      <c r="K134" s="3" t="e">
        <f>IF(ISNUMBER(Assessment!J36),Assessment!J36,NA())</f>
        <v>#N/A</v>
      </c>
      <c r="L134" s="3" t="e">
        <f>IF(ISNUMBER(Assessment!K36),Assessment!K36,NA())</f>
        <v>#N/A</v>
      </c>
      <c r="M134" s="3" t="e">
        <f>IF(ISNUMBER(Assessment!L36),Assessment!L36,NA())</f>
        <v>#N/A</v>
      </c>
      <c r="N134" s="3" t="e">
        <f>IF(ISNUMBER(Assessment!M36),Assessment!M36,NA())</f>
        <v>#N/A</v>
      </c>
      <c r="O134" s="3" t="e">
        <f>IF(ISNUMBER(Assessment!N36),Assessment!N36,NA())</f>
        <v>#N/A</v>
      </c>
      <c r="P134" s="3" t="e">
        <f>IF(ISNUMBER(Assessment!O36),Assessment!O36,NA())</f>
        <v>#N/A</v>
      </c>
      <c r="Q134" s="3" t="e">
        <f>IF(ISNUMBER(Assessment!P36),Assessment!P36,NA())</f>
        <v>#N/A</v>
      </c>
      <c r="R134" s="3" t="e">
        <f>IF(ISNUMBER(Assessment!Q36),Assessment!Q36,NA())</f>
        <v>#N/A</v>
      </c>
      <c r="S134" s="3" t="e">
        <f>IF(ISNUMBER(Assessment!R36),Assessment!R36,NA())</f>
        <v>#N/A</v>
      </c>
      <c r="T134" s="3" t="e">
        <f>IF(ISNUMBER(Assessment!S36),Assessment!S36,NA())</f>
        <v>#N/A</v>
      </c>
      <c r="U134" s="3" t="e">
        <f>IF(ISNUMBER(Assessment!T36),Assessment!T36,NA())</f>
        <v>#N/A</v>
      </c>
      <c r="V134" s="3" t="e">
        <f>IF(ISNUMBER(Assessment!U36),Assessment!U36,NA())</f>
        <v>#N/A</v>
      </c>
      <c r="W134" s="3" t="e">
        <f>IF(ISNUMBER(Assessment!V36),Assessment!V36,NA())</f>
        <v>#N/A</v>
      </c>
    </row>
    <row r="135" spans="2:23" ht="13.5" customHeight="1" x14ac:dyDescent="0.4">
      <c r="C135" t="s">
        <v>566</v>
      </c>
      <c r="F135" s="3" t="e">
        <f>IF(OR(ISNUMBER(F138),ISNUMBER(F139)),NA(),IF(ISNUMBER(Assessment!E18),Assessment!E18,NA()))</f>
        <v>#N/A</v>
      </c>
      <c r="G135" s="35" t="e">
        <f>IF(OR(ISNUMBER(G138),ISNUMBER(G139)),NA(),IF(ISNUMBER(Assessment!F18),Assessment!F18,NA()))</f>
        <v>#N/A</v>
      </c>
      <c r="H135" s="3" t="e">
        <f>IF(OR(ISNUMBER(H138),ISNUMBER(H139)),NA(),IF(ISNUMBER(Assessment!G18),Assessment!G18,NA()))</f>
        <v>#N/A</v>
      </c>
      <c r="I135" s="3" t="e">
        <f>IF(OR(ISNUMBER(I138),ISNUMBER(I139)),NA(),IF(ISNUMBER(Assessment!H18),Assessment!H18,NA()))</f>
        <v>#N/A</v>
      </c>
      <c r="J135" s="3" t="e">
        <f>IF(OR(ISNUMBER(J138),ISNUMBER(J139)),NA(),IF(ISNUMBER(Assessment!I18),Assessment!I18,NA()))</f>
        <v>#N/A</v>
      </c>
      <c r="K135" s="3" t="e">
        <f>IF(OR(ISNUMBER(K138),ISNUMBER(K139)),NA(),IF(ISNUMBER(Assessment!J18),Assessment!J18,NA()))</f>
        <v>#N/A</v>
      </c>
      <c r="L135" s="3" t="e">
        <f>IF(OR(ISNUMBER(L138),ISNUMBER(L139)),NA(),IF(ISNUMBER(Assessment!K18),Assessment!K18,NA()))</f>
        <v>#N/A</v>
      </c>
      <c r="M135" s="3" t="e">
        <f>IF(OR(ISNUMBER(M138),ISNUMBER(M139)),NA(),IF(ISNUMBER(Assessment!L18),Assessment!L18,NA()))</f>
        <v>#N/A</v>
      </c>
      <c r="N135" s="3" t="e">
        <f>IF(OR(ISNUMBER(N138),ISNUMBER(N139)),NA(),IF(ISNUMBER(Assessment!M18),Assessment!M18,NA()))</f>
        <v>#N/A</v>
      </c>
      <c r="O135" s="3" t="e">
        <f>IF(OR(ISNUMBER(O138),ISNUMBER(O139)),NA(),IF(ISNUMBER(Assessment!N18),Assessment!N18,NA()))</f>
        <v>#N/A</v>
      </c>
      <c r="P135" s="3" t="e">
        <f>IF(OR(ISNUMBER(P138),ISNUMBER(P139)),NA(),IF(ISNUMBER(Assessment!O18),Assessment!O18,NA()))</f>
        <v>#N/A</v>
      </c>
      <c r="Q135" s="3" t="e">
        <f>IF(OR(ISNUMBER(Q138),ISNUMBER(Q139)),NA(),IF(ISNUMBER(Assessment!P18),Assessment!P18,NA()))</f>
        <v>#N/A</v>
      </c>
      <c r="R135" s="3" t="e">
        <f>IF(OR(ISNUMBER(R138),ISNUMBER(R139)),NA(),IF(ISNUMBER(Assessment!Q18),Assessment!Q18,NA()))</f>
        <v>#N/A</v>
      </c>
      <c r="S135" s="3" t="e">
        <f>IF(OR(ISNUMBER(S138),ISNUMBER(S139)),NA(),IF(ISNUMBER(Assessment!R18),Assessment!R18,NA()))</f>
        <v>#N/A</v>
      </c>
      <c r="T135" s="3" t="e">
        <f>IF(OR(ISNUMBER(T138),ISNUMBER(T139)),NA(),IF(ISNUMBER(Assessment!S18),Assessment!S18,NA()))</f>
        <v>#N/A</v>
      </c>
      <c r="U135" s="3" t="e">
        <f>IF(OR(ISNUMBER(U138),ISNUMBER(U139)),NA(),IF(ISNUMBER(Assessment!T18),Assessment!T18,NA()))</f>
        <v>#N/A</v>
      </c>
      <c r="V135" s="3" t="e">
        <f>IF(OR(ISNUMBER(V138),ISNUMBER(V139)),NA(),IF(ISNUMBER(Assessment!U18),Assessment!U18,NA()))</f>
        <v>#N/A</v>
      </c>
      <c r="W135" s="3" t="e">
        <f>IF(OR(ISNUMBER(W138),ISNUMBER(W139)),NA(),IF(ISNUMBER(Assessment!V18),Assessment!V18,NA()))</f>
        <v>#N/A</v>
      </c>
    </row>
    <row r="136" spans="2:23" ht="13.5" customHeight="1" x14ac:dyDescent="0.4">
      <c r="C136" t="s">
        <v>296</v>
      </c>
      <c r="F136" s="3"/>
      <c r="G136" s="35"/>
      <c r="H136" s="3"/>
      <c r="I136" s="3"/>
      <c r="J136" s="3"/>
      <c r="K136" s="3"/>
      <c r="L136" s="3"/>
      <c r="M136" s="3"/>
      <c r="N136" s="3"/>
      <c r="O136" s="3"/>
      <c r="P136" s="3"/>
      <c r="Q136" s="3"/>
      <c r="R136" s="3"/>
      <c r="S136" s="3"/>
      <c r="T136" s="3"/>
      <c r="U136" s="3"/>
      <c r="V136" s="3"/>
      <c r="W136" s="3"/>
    </row>
    <row r="137" spans="2:23" ht="13.5" customHeight="1" x14ac:dyDescent="0.4">
      <c r="C137" t="s">
        <v>297</v>
      </c>
      <c r="F137" s="3"/>
      <c r="G137" s="35"/>
      <c r="H137" s="3"/>
      <c r="I137" s="3"/>
      <c r="J137" s="3"/>
      <c r="K137" s="3"/>
      <c r="L137" s="3"/>
      <c r="M137" s="3"/>
      <c r="N137" s="3"/>
      <c r="O137" s="3"/>
      <c r="P137" s="3"/>
      <c r="Q137" s="3"/>
      <c r="R137" s="3"/>
      <c r="S137" s="3"/>
      <c r="T137" s="3"/>
      <c r="U137" s="3"/>
      <c r="V137" s="3"/>
      <c r="W137" s="3"/>
    </row>
    <row r="138" spans="2:23" ht="13.5" customHeight="1" x14ac:dyDescent="0.4">
      <c r="C138" t="s">
        <v>298</v>
      </c>
      <c r="F138" s="123" cm="1">
        <f t="array" ref="F138">_xlfn.LET(
  _xlpm.y, INDEX('Chart data'!$2:$2, COLUMN()),
  _xlpm.col, _xlfn.XMATCH(_xlpm.y, Assessment!$4:$4, 0),
  _xlpm.v, INDEX(Assessment!$18:$18, _xlpm.col),
  IF(
    _xlpm.y&lt;=OutturnThrough,
    IF(AND(ISNUMBER(_xlpm.v), _xlpm.v&gt;=0), _xlpm.v, NA()),
    NA()
  )
)</f>
        <v>0</v>
      </c>
      <c r="G138" s="123" cm="1">
        <f t="array" ref="G138">_xlfn.LET(
  _xlpm.y, INDEX('Chart data'!$2:$2, COLUMN()),
  _xlpm.col, _xlfn.XMATCH(_xlpm.y, Assessment!$4:$4, 0),
  _xlpm.v, INDEX(Assessment!$18:$18, _xlpm.col),
  IF(
    _xlpm.y&lt;=OutturnThrough,
    IF(AND(ISNUMBER(_xlpm.v), _xlpm.v&gt;=0), _xlpm.v, NA()),
    NA()
  )
)</f>
        <v>0</v>
      </c>
      <c r="H138" s="123" t="e" cm="1">
        <f t="array" ref="H138">_xlfn.LET(
  _xlpm.y, INDEX('Chart data'!$2:$2, COLUMN()),
  _xlpm.col, _xlfn.XMATCH(_xlpm.y, Assessment!$4:$4, 0),
  _xlpm.v, INDEX(Assessment!$18:$18, _xlpm.col),
  IF(
    _xlpm.y&lt;=OutturnThrough,
    IF(AND(ISNUMBER(_xlpm.v), _xlpm.v&gt;=0), _xlpm.v, NA()),
    NA()
  )
)</f>
        <v>#N/A</v>
      </c>
      <c r="I138" s="123" t="e" cm="1">
        <f t="array" ref="I138">_xlfn.LET(
  _xlpm.y, INDEX('Chart data'!$2:$2, COLUMN()),
  _xlpm.col, _xlfn.XMATCH(_xlpm.y, Assessment!$4:$4, 0),
  _xlpm.v, INDEX(Assessment!$18:$18, _xlpm.col),
  IF(
    _xlpm.y&lt;=OutturnThrough,
    IF(AND(ISNUMBER(_xlpm.v), _xlpm.v&gt;=0), _xlpm.v, NA()),
    NA()
  )
)</f>
        <v>#N/A</v>
      </c>
      <c r="J138" s="123" t="e" cm="1">
        <f t="array" ref="J138">_xlfn.LET(
  _xlpm.y, INDEX('Chart data'!$2:$2, COLUMN()),
  _xlpm.col, _xlfn.XMATCH(_xlpm.y, Assessment!$4:$4, 0),
  _xlpm.v, INDEX(Assessment!$18:$18, _xlpm.col),
  IF(
    _xlpm.y&lt;=OutturnThrough,
    IF(AND(ISNUMBER(_xlpm.v), _xlpm.v&gt;=0), _xlpm.v, NA()),
    NA()
  )
)</f>
        <v>#N/A</v>
      </c>
      <c r="K138" s="123" t="e" cm="1">
        <f t="array" ref="K138">_xlfn.LET(
  _xlpm.y, INDEX('Chart data'!$2:$2, COLUMN()),
  _xlpm.col, _xlfn.XMATCH(_xlpm.y, Assessment!$4:$4, 0),
  _xlpm.v, INDEX(Assessment!$18:$18, _xlpm.col),
  IF(
    _xlpm.y&lt;=OutturnThrough,
    IF(AND(ISNUMBER(_xlpm.v), _xlpm.v&gt;=0), _xlpm.v, NA()),
    NA()
  )
)</f>
        <v>#N/A</v>
      </c>
      <c r="L138" s="123" t="e" cm="1">
        <f t="array" ref="L138">_xlfn.LET(
  _xlpm.y, INDEX('Chart data'!$2:$2, COLUMN()),
  _xlpm.col, _xlfn.XMATCH(_xlpm.y, Assessment!$4:$4, 0),
  _xlpm.v, INDEX(Assessment!$18:$18, _xlpm.col),
  IF(
    _xlpm.y&lt;=OutturnThrough,
    IF(AND(ISNUMBER(_xlpm.v), _xlpm.v&gt;=0), _xlpm.v, NA()),
    NA()
  )
)</f>
        <v>#N/A</v>
      </c>
      <c r="M138" s="123" t="e" cm="1">
        <f t="array" ref="M138">_xlfn.LET(
  _xlpm.y, INDEX('Chart data'!$2:$2, COLUMN()),
  _xlpm.col, _xlfn.XMATCH(_xlpm.y, Assessment!$4:$4, 0),
  _xlpm.v, INDEX(Assessment!$18:$18, _xlpm.col),
  IF(
    _xlpm.y&lt;=OutturnThrough,
    IF(AND(ISNUMBER(_xlpm.v), _xlpm.v&gt;=0), _xlpm.v, NA()),
    NA()
  )
)</f>
        <v>#N/A</v>
      </c>
      <c r="N138" s="123" t="e" cm="1">
        <f t="array" ref="N138">_xlfn.LET(
  _xlpm.y, INDEX('Chart data'!$2:$2, COLUMN()),
  _xlpm.col, _xlfn.XMATCH(_xlpm.y, Assessment!$4:$4, 0),
  _xlpm.v, INDEX(Assessment!$18:$18, _xlpm.col),
  IF(
    _xlpm.y&lt;=OutturnThrough,
    IF(AND(ISNUMBER(_xlpm.v), _xlpm.v&gt;=0), _xlpm.v, NA()),
    NA()
  )
)</f>
        <v>#N/A</v>
      </c>
      <c r="O138" s="123" t="e" cm="1">
        <f t="array" ref="O138">_xlfn.LET(
  _xlpm.y, INDEX('Chart data'!$2:$2, COLUMN()),
  _xlpm.col, _xlfn.XMATCH(_xlpm.y, Assessment!$4:$4, 0),
  _xlpm.v, INDEX(Assessment!$18:$18, _xlpm.col),
  IF(
    _xlpm.y&lt;=OutturnThrough,
    IF(AND(ISNUMBER(_xlpm.v), _xlpm.v&gt;=0), _xlpm.v, NA()),
    NA()
  )
)</f>
        <v>#N/A</v>
      </c>
      <c r="P138" s="123" t="e" cm="1">
        <f t="array" ref="P138">_xlfn.LET(
  _xlpm.y, INDEX('Chart data'!$2:$2, COLUMN()),
  _xlpm.col, _xlfn.XMATCH(_xlpm.y, Assessment!$4:$4, 0),
  _xlpm.v, INDEX(Assessment!$18:$18, _xlpm.col),
  IF(
    _xlpm.y&lt;=OutturnThrough,
    IF(AND(ISNUMBER(_xlpm.v), _xlpm.v&gt;=0), _xlpm.v, NA()),
    NA()
  )
)</f>
        <v>#N/A</v>
      </c>
      <c r="Q138" s="123" t="e" cm="1">
        <f t="array" ref="Q138">_xlfn.LET(
  _xlpm.y, INDEX('Chart data'!$2:$2, COLUMN()),
  _xlpm.col, _xlfn.XMATCH(_xlpm.y, Assessment!$4:$4, 0),
  _xlpm.v, INDEX(Assessment!$18:$18, _xlpm.col),
  IF(
    _xlpm.y&lt;=OutturnThrough,
    IF(AND(ISNUMBER(_xlpm.v), _xlpm.v&gt;=0), _xlpm.v, NA()),
    NA()
  )
)</f>
        <v>#N/A</v>
      </c>
      <c r="R138" s="123" t="e" cm="1">
        <f t="array" ref="R138">_xlfn.LET(
  _xlpm.y, INDEX('Chart data'!$2:$2, COLUMN()),
  _xlpm.col, _xlfn.XMATCH(_xlpm.y, Assessment!$4:$4, 0),
  _xlpm.v, INDEX(Assessment!$18:$18, _xlpm.col),
  IF(
    _xlpm.y&lt;=OutturnThrough,
    IF(AND(ISNUMBER(_xlpm.v), _xlpm.v&gt;=0), _xlpm.v, NA()),
    NA()
  )
)</f>
        <v>#N/A</v>
      </c>
      <c r="S138" s="123" t="e" cm="1">
        <f t="array" ref="S138">_xlfn.LET(
  _xlpm.y, INDEX('Chart data'!$2:$2, COLUMN()),
  _xlpm.col, _xlfn.XMATCH(_xlpm.y, Assessment!$4:$4, 0),
  _xlpm.v, INDEX(Assessment!$18:$18, _xlpm.col),
  IF(
    _xlpm.y&lt;=OutturnThrough,
    IF(AND(ISNUMBER(_xlpm.v), _xlpm.v&gt;=0), _xlpm.v, NA()),
    NA()
  )
)</f>
        <v>#N/A</v>
      </c>
      <c r="T138" s="123" t="e" cm="1">
        <f t="array" ref="T138">_xlfn.LET(
  _xlpm.y, INDEX('Chart data'!$2:$2, COLUMN()),
  _xlpm.col, _xlfn.XMATCH(_xlpm.y, Assessment!$4:$4, 0),
  _xlpm.v, INDEX(Assessment!$18:$18, _xlpm.col),
  IF(
    _xlpm.y&lt;=OutturnThrough,
    IF(AND(ISNUMBER(_xlpm.v), _xlpm.v&gt;=0), _xlpm.v, NA()),
    NA()
  )
)</f>
        <v>#N/A</v>
      </c>
      <c r="U138" s="123" t="e" cm="1">
        <f t="array" ref="U138">_xlfn.LET(
  _xlpm.y, INDEX('Chart data'!$2:$2, COLUMN()),
  _xlpm.col, _xlfn.XMATCH(_xlpm.y, Assessment!$4:$4, 0),
  _xlpm.v, INDEX(Assessment!$18:$18, _xlpm.col),
  IF(
    _xlpm.y&lt;=OutturnThrough,
    IF(AND(ISNUMBER(_xlpm.v), _xlpm.v&gt;=0), _xlpm.v, NA()),
    NA()
  )
)</f>
        <v>#N/A</v>
      </c>
      <c r="V138" s="123" t="e" cm="1">
        <f t="array" ref="V138">_xlfn.LET(
  _xlpm.y, INDEX('Chart data'!$2:$2, COLUMN()),
  _xlpm.col, _xlfn.XMATCH(_xlpm.y, Assessment!$4:$4, 0),
  _xlpm.v, INDEX(Assessment!$18:$18, _xlpm.col),
  IF(
    _xlpm.y&lt;=OutturnThrough,
    IF(AND(ISNUMBER(_xlpm.v), _xlpm.v&gt;=0), _xlpm.v, NA()),
    NA()
  )
)</f>
        <v>#N/A</v>
      </c>
      <c r="W138" s="123" t="e" cm="1">
        <f t="array" ref="W138">_xlfn.LET(
  _xlpm.y, INDEX('Chart data'!$2:$2, COLUMN()),
  _xlpm.col, _xlfn.XMATCH(_xlpm.y, Assessment!$4:$4, 0),
  _xlpm.v, INDEX(Assessment!$18:$18, _xlpm.col),
  IF(
    _xlpm.y&lt;=OutturnThrough,
    IF(AND(ISNUMBER(_xlpm.v), _xlpm.v&gt;=0), _xlpm.v, NA()),
    NA()
  )
)</f>
        <v>#N/A</v>
      </c>
    </row>
    <row r="139" spans="2:23" ht="13.5" customHeight="1" x14ac:dyDescent="0.4">
      <c r="C139" t="s">
        <v>299</v>
      </c>
      <c r="F139" s="106" t="e" cm="1">
        <f t="array" ref="F139">_xlfn.LET(
  _xlpm.y, INDEX('Chart data'!$2:$2, COLUMN()),
  _xlpm.col, _xlfn.XMATCH(_xlpm.y, Assessment!$4:$4, 0),
  _xlpm.v, INDEX(Assessment!$18:$18, _xlpm.col),
  IF(
    _xlpm.y&lt;=OutturnThrough,
    IF(AND(ISNUMBER(_xlpm.v), _xlpm.v&lt;0), _xlpm.v, NA()),
    NA()
  )
)</f>
        <v>#N/A</v>
      </c>
      <c r="G139" s="106" t="e" cm="1">
        <f t="array" ref="G139">_xlfn.LET(
  _xlpm.y, INDEX('Chart data'!$2:$2, COLUMN()),
  _xlpm.col, _xlfn.XMATCH(_xlpm.y, Assessment!$4:$4, 0),
  _xlpm.v, INDEX(Assessment!$18:$18, _xlpm.col),
  IF(
    _xlpm.y&lt;=OutturnThrough,
    IF(AND(ISNUMBER(_xlpm.v), _xlpm.v&lt;0), _xlpm.v, NA()),
    NA()
  )
)</f>
        <v>#N/A</v>
      </c>
      <c r="H139" s="106" t="e" cm="1">
        <f t="array" ref="H139">_xlfn.LET(
  _xlpm.y, INDEX('Chart data'!$2:$2, COLUMN()),
  _xlpm.col, _xlfn.XMATCH(_xlpm.y, Assessment!$4:$4, 0),
  _xlpm.v, INDEX(Assessment!$18:$18, _xlpm.col),
  IF(
    _xlpm.y&lt;=OutturnThrough,
    IF(AND(ISNUMBER(_xlpm.v), _xlpm.v&lt;0), _xlpm.v, NA()),
    NA()
  )
)</f>
        <v>#N/A</v>
      </c>
      <c r="I139" s="106" t="e" cm="1">
        <f t="array" ref="I139">_xlfn.LET(
  _xlpm.y, INDEX('Chart data'!$2:$2, COLUMN()),
  _xlpm.col, _xlfn.XMATCH(_xlpm.y, Assessment!$4:$4, 0),
  _xlpm.v, INDEX(Assessment!$18:$18, _xlpm.col),
  IF(
    _xlpm.y&lt;=OutturnThrough,
    IF(AND(ISNUMBER(_xlpm.v), _xlpm.v&lt;0), _xlpm.v, NA()),
    NA()
  )
)</f>
        <v>#N/A</v>
      </c>
      <c r="J139" s="106" t="e" cm="1">
        <f t="array" ref="J139">_xlfn.LET(
  _xlpm.y, INDEX('Chart data'!$2:$2, COLUMN()),
  _xlpm.col, _xlfn.XMATCH(_xlpm.y, Assessment!$4:$4, 0),
  _xlpm.v, INDEX(Assessment!$18:$18, _xlpm.col),
  IF(
    _xlpm.y&lt;=OutturnThrough,
    IF(AND(ISNUMBER(_xlpm.v), _xlpm.v&lt;0), _xlpm.v, NA()),
    NA()
  )
)</f>
        <v>#N/A</v>
      </c>
      <c r="K139" s="106" t="e" cm="1">
        <f t="array" ref="K139">_xlfn.LET(
  _xlpm.y, INDEX('Chart data'!$2:$2, COLUMN()),
  _xlpm.col, _xlfn.XMATCH(_xlpm.y, Assessment!$4:$4, 0),
  _xlpm.v, INDEX(Assessment!$18:$18, _xlpm.col),
  IF(
    _xlpm.y&lt;=OutturnThrough,
    IF(AND(ISNUMBER(_xlpm.v), _xlpm.v&lt;0), _xlpm.v, NA()),
    NA()
  )
)</f>
        <v>#N/A</v>
      </c>
      <c r="L139" s="106" t="e" cm="1">
        <f t="array" ref="L139">_xlfn.LET(
  _xlpm.y, INDEX('Chart data'!$2:$2, COLUMN()),
  _xlpm.col, _xlfn.XMATCH(_xlpm.y, Assessment!$4:$4, 0),
  _xlpm.v, INDEX(Assessment!$18:$18, _xlpm.col),
  IF(
    _xlpm.y&lt;=OutturnThrough,
    IF(AND(ISNUMBER(_xlpm.v), _xlpm.v&lt;0), _xlpm.v, NA()),
    NA()
  )
)</f>
        <v>#N/A</v>
      </c>
      <c r="M139" s="106" t="e" cm="1">
        <f t="array" ref="M139">_xlfn.LET(
  _xlpm.y, INDEX('Chart data'!$2:$2, COLUMN()),
  _xlpm.col, _xlfn.XMATCH(_xlpm.y, Assessment!$4:$4, 0),
  _xlpm.v, INDEX(Assessment!$18:$18, _xlpm.col),
  IF(
    _xlpm.y&lt;=OutturnThrough,
    IF(AND(ISNUMBER(_xlpm.v), _xlpm.v&lt;0), _xlpm.v, NA()),
    NA()
  )
)</f>
        <v>#N/A</v>
      </c>
      <c r="N139" s="106" t="e" cm="1">
        <f t="array" ref="N139">_xlfn.LET(
  _xlpm.y, INDEX('Chart data'!$2:$2, COLUMN()),
  _xlpm.col, _xlfn.XMATCH(_xlpm.y, Assessment!$4:$4, 0),
  _xlpm.v, INDEX(Assessment!$18:$18, _xlpm.col),
  IF(
    _xlpm.y&lt;=OutturnThrough,
    IF(AND(ISNUMBER(_xlpm.v), _xlpm.v&lt;0), _xlpm.v, NA()),
    NA()
  )
)</f>
        <v>#N/A</v>
      </c>
      <c r="O139" s="106" t="e" cm="1">
        <f t="array" ref="O139">_xlfn.LET(
  _xlpm.y, INDEX('Chart data'!$2:$2, COLUMN()),
  _xlpm.col, _xlfn.XMATCH(_xlpm.y, Assessment!$4:$4, 0),
  _xlpm.v, INDEX(Assessment!$18:$18, _xlpm.col),
  IF(
    _xlpm.y&lt;=OutturnThrough,
    IF(AND(ISNUMBER(_xlpm.v), _xlpm.v&lt;0), _xlpm.v, NA()),
    NA()
  )
)</f>
        <v>#N/A</v>
      </c>
      <c r="P139" s="106" t="e" cm="1">
        <f t="array" ref="P139">_xlfn.LET(
  _xlpm.y, INDEX('Chart data'!$2:$2, COLUMN()),
  _xlpm.col, _xlfn.XMATCH(_xlpm.y, Assessment!$4:$4, 0),
  _xlpm.v, INDEX(Assessment!$18:$18, _xlpm.col),
  IF(
    _xlpm.y&lt;=OutturnThrough,
    IF(AND(ISNUMBER(_xlpm.v), _xlpm.v&lt;0), _xlpm.v, NA()),
    NA()
  )
)</f>
        <v>#N/A</v>
      </c>
      <c r="Q139" s="106" t="e" cm="1">
        <f t="array" ref="Q139">_xlfn.LET(
  _xlpm.y, INDEX('Chart data'!$2:$2, COLUMN()),
  _xlpm.col, _xlfn.XMATCH(_xlpm.y, Assessment!$4:$4, 0),
  _xlpm.v, INDEX(Assessment!$18:$18, _xlpm.col),
  IF(
    _xlpm.y&lt;=OutturnThrough,
    IF(AND(ISNUMBER(_xlpm.v), _xlpm.v&lt;0), _xlpm.v, NA()),
    NA()
  )
)</f>
        <v>#N/A</v>
      </c>
      <c r="R139" s="106" t="e" cm="1">
        <f t="array" ref="R139">_xlfn.LET(
  _xlpm.y, INDEX('Chart data'!$2:$2, COLUMN()),
  _xlpm.col, _xlfn.XMATCH(_xlpm.y, Assessment!$4:$4, 0),
  _xlpm.v, INDEX(Assessment!$18:$18, _xlpm.col),
  IF(
    _xlpm.y&lt;=OutturnThrough,
    IF(AND(ISNUMBER(_xlpm.v), _xlpm.v&lt;0), _xlpm.v, NA()),
    NA()
  )
)</f>
        <v>#N/A</v>
      </c>
      <c r="S139" s="106" t="e" cm="1">
        <f t="array" ref="S139">_xlfn.LET(
  _xlpm.y, INDEX('Chart data'!$2:$2, COLUMN()),
  _xlpm.col, _xlfn.XMATCH(_xlpm.y, Assessment!$4:$4, 0),
  _xlpm.v, INDEX(Assessment!$18:$18, _xlpm.col),
  IF(
    _xlpm.y&lt;=OutturnThrough,
    IF(AND(ISNUMBER(_xlpm.v), _xlpm.v&lt;0), _xlpm.v, NA()),
    NA()
  )
)</f>
        <v>#N/A</v>
      </c>
      <c r="T139" s="106" t="e" cm="1">
        <f t="array" ref="T139">_xlfn.LET(
  _xlpm.y, INDEX('Chart data'!$2:$2, COLUMN()),
  _xlpm.col, _xlfn.XMATCH(_xlpm.y, Assessment!$4:$4, 0),
  _xlpm.v, INDEX(Assessment!$18:$18, _xlpm.col),
  IF(
    _xlpm.y&lt;=OutturnThrough,
    IF(AND(ISNUMBER(_xlpm.v), _xlpm.v&lt;0), _xlpm.v, NA()),
    NA()
  )
)</f>
        <v>#N/A</v>
      </c>
      <c r="U139" s="106" t="e" cm="1">
        <f t="array" ref="U139">_xlfn.LET(
  _xlpm.y, INDEX('Chart data'!$2:$2, COLUMN()),
  _xlpm.col, _xlfn.XMATCH(_xlpm.y, Assessment!$4:$4, 0),
  _xlpm.v, INDEX(Assessment!$18:$18, _xlpm.col),
  IF(
    _xlpm.y&lt;=OutturnThrough,
    IF(AND(ISNUMBER(_xlpm.v), _xlpm.v&lt;0), _xlpm.v, NA()),
    NA()
  )
)</f>
        <v>#N/A</v>
      </c>
      <c r="V139" s="106" t="e" cm="1">
        <f t="array" ref="V139">_xlfn.LET(
  _xlpm.y, INDEX('Chart data'!$2:$2, COLUMN()),
  _xlpm.col, _xlfn.XMATCH(_xlpm.y, Assessment!$4:$4, 0),
  _xlpm.v, INDEX(Assessment!$18:$18, _xlpm.col),
  IF(
    _xlpm.y&lt;=OutturnThrough,
    IF(AND(ISNUMBER(_xlpm.v), _xlpm.v&lt;0), _xlpm.v, NA()),
    NA()
  )
)</f>
        <v>#N/A</v>
      </c>
      <c r="W139" s="106" t="e" cm="1">
        <f t="array" ref="W139">_xlfn.LET(
  _xlpm.y, INDEX('Chart data'!$2:$2, COLUMN()),
  _xlpm.col, _xlfn.XMATCH(_xlpm.y, Assessment!$4:$4, 0),
  _xlpm.v, INDEX(Assessment!$18:$18, _xlpm.col),
  IF(
    _xlpm.y&lt;=OutturnThrough,
    IF(AND(ISNUMBER(_xlpm.v), _xlpm.v&lt;0), _xlpm.v, NA()),
    NA()
  )
)</f>
        <v>#N/A</v>
      </c>
    </row>
    <row r="140" spans="2:23" ht="13.5" customHeight="1" x14ac:dyDescent="0.4">
      <c r="C140" t="s">
        <v>696</v>
      </c>
      <c r="F140" s="106"/>
      <c r="G140" s="106">
        <v>-1</v>
      </c>
      <c r="H140" s="106">
        <v>-1</v>
      </c>
      <c r="I140" s="106">
        <v>-1</v>
      </c>
      <c r="J140" s="106">
        <v>-1</v>
      </c>
      <c r="K140" s="106">
        <v>-1</v>
      </c>
      <c r="L140" s="106">
        <v>-1</v>
      </c>
      <c r="M140" s="106">
        <v>-1</v>
      </c>
      <c r="N140" s="106">
        <v>-1</v>
      </c>
      <c r="O140" s="106">
        <v>-1</v>
      </c>
      <c r="P140" s="106">
        <v>-1</v>
      </c>
      <c r="Q140" s="106">
        <v>-1</v>
      </c>
      <c r="R140" s="106">
        <v>-1</v>
      </c>
      <c r="S140" s="106">
        <v>-1</v>
      </c>
      <c r="T140" s="106">
        <v>-1</v>
      </c>
      <c r="U140" s="106">
        <v>-1</v>
      </c>
      <c r="V140" s="106">
        <v>-1</v>
      </c>
      <c r="W140" s="106">
        <v>-1</v>
      </c>
    </row>
    <row r="141" spans="2:23" x14ac:dyDescent="0.4">
      <c r="C141" s="110" t="s">
        <v>564</v>
      </c>
      <c r="D141" s="4">
        <f>IF(_xlfn.AGGREGATE(5,6,F134:W139)&lt;0, _xlfn.AGGREGATE(5,6,F134:W139), 0)</f>
        <v>0</v>
      </c>
      <c r="F141" s="64"/>
      <c r="G141" s="64"/>
      <c r="H141" s="64"/>
      <c r="I141" s="64"/>
      <c r="J141" s="64"/>
      <c r="K141" s="64"/>
      <c r="L141" s="64"/>
      <c r="M141" s="64"/>
      <c r="N141" s="64"/>
      <c r="O141" s="64"/>
      <c r="P141" s="64"/>
      <c r="Q141" s="64"/>
      <c r="R141" s="64"/>
      <c r="S141" s="64"/>
      <c r="T141" s="64"/>
      <c r="U141" s="64"/>
      <c r="V141" s="64"/>
      <c r="W141" s="64"/>
    </row>
    <row r="142" spans="2:23" x14ac:dyDescent="0.4">
      <c r="C142" s="110" t="s">
        <v>565</v>
      </c>
      <c r="D142" s="4">
        <f>_xlfn.AGGREGATE(4,6,F134:W139)</f>
        <v>0</v>
      </c>
    </row>
    <row r="143" spans="2:23" ht="13.5" customHeight="1" x14ac:dyDescent="0.4"/>
    <row r="144" spans="2:23" ht="13.5" customHeight="1" x14ac:dyDescent="0.6">
      <c r="B144" s="110" t="s">
        <v>579</v>
      </c>
      <c r="C144" s="11" t="s">
        <v>578</v>
      </c>
    </row>
    <row r="145" spans="3:23" ht="13.5" customHeight="1" x14ac:dyDescent="0.4">
      <c r="C145" t="s">
        <v>568</v>
      </c>
      <c r="F145" s="64" t="e">
        <f>IF(ISNUMBER(Assessment!E35),Assessment!E35+('Step 3 (MTP) - Plan and prior'!E18/'Step 3 (MTP) - Plan and prior'!E19),NA())</f>
        <v>#DIV/0!</v>
      </c>
      <c r="G145" s="64" t="e">
        <f>IF(ISNUMBER(Assessment!F35),Assessment!F35+('Step 3 (MTP) - Plan and prior'!F18/'Step 3 (MTP) - Plan and prior'!F19),NA())</f>
        <v>#DIV/0!</v>
      </c>
      <c r="H145" s="64" t="e">
        <f>IF(ISNUMBER(Assessment!G35),Assessment!G35+('Step 3 (MTP) - Plan and prior'!G18/'Step 3 (MTP) - Plan and prior'!G19),NA())</f>
        <v>#DIV/0!</v>
      </c>
      <c r="I145" s="64" t="e">
        <f>IF(ISNUMBER(Assessment!H35),Assessment!H35+('Step 3 (MTP) - Plan and prior'!H18/'Step 3 (MTP) - Plan and prior'!H19),NA())</f>
        <v>#DIV/0!</v>
      </c>
      <c r="J145" s="64" t="e">
        <f>IF(ISNUMBER(Assessment!I35),Assessment!I35+('Step 3 (MTP) - Plan and prior'!I18/'Step 3 (MTP) - Plan and prior'!I19),NA())</f>
        <v>#DIV/0!</v>
      </c>
      <c r="K145" s="64" t="e">
        <f>IF(ISNUMBER(Assessment!J35),Assessment!J35+('Step 3 (MTP) - Plan and prior'!J18/'Step 3 (MTP) - Plan and prior'!J19),NA())</f>
        <v>#N/A</v>
      </c>
      <c r="L145" s="64" t="e">
        <f>IF(ISNUMBER(Assessment!K35),Assessment!K35+('Step 3 (MTP) - Plan and prior'!K18/'Step 3 (MTP) - Plan and prior'!K19),NA())</f>
        <v>#N/A</v>
      </c>
      <c r="M145" s="64" t="e">
        <f>IF(ISNUMBER(Assessment!L35),Assessment!L35+('Step 3 (MTP) - Plan and prior'!L18/'Step 3 (MTP) - Plan and prior'!L19),NA())</f>
        <v>#N/A</v>
      </c>
      <c r="N145" s="64" t="e">
        <f>IF(ISNUMBER(Assessment!M35),Assessment!M35+('Step 3 (MTP) - Plan and prior'!M18/'Step 3 (MTP) - Plan and prior'!M19),NA())</f>
        <v>#N/A</v>
      </c>
      <c r="O145" s="64" t="e">
        <f>IF(ISNUMBER(Assessment!N35),Assessment!N35+('Step 3 (MTP) - Plan and prior'!N18/'Step 3 (MTP) - Plan and prior'!N19),NA())</f>
        <v>#N/A</v>
      </c>
      <c r="P145" s="64" t="e">
        <f>IF(ISNUMBER(Assessment!O35),Assessment!O35+('Step 3 (MTP) - Plan and prior'!O18/'Step 3 (MTP) - Plan and prior'!O19),NA())</f>
        <v>#N/A</v>
      </c>
      <c r="Q145" s="64" t="e">
        <f>IF(ISNUMBER(Assessment!P35),Assessment!P35+('Step 3 (MTP) - Plan and prior'!P18/'Step 3 (MTP) - Plan and prior'!P19),NA())</f>
        <v>#N/A</v>
      </c>
      <c r="R145" s="64" t="e">
        <f>IF(ISNUMBER(Assessment!Q35),Assessment!Q35+('Step 3 (MTP) - Plan and prior'!Q18/'Step 3 (MTP) - Plan and prior'!Q19),NA())</f>
        <v>#N/A</v>
      </c>
      <c r="S145" s="64" t="e">
        <f>IF(ISNUMBER(Assessment!R35),Assessment!R35+('Step 3 (MTP) - Plan and prior'!#REF!/'Step 3 (MTP) - Plan and prior'!R19),NA())</f>
        <v>#N/A</v>
      </c>
      <c r="T145" s="64" t="e">
        <f>IF(ISNUMBER(Assessment!S35),Assessment!S35+('Step 3 (MTP) - Plan and prior'!#REF!/'Step 3 (MTP) - Plan and prior'!S19),NA())</f>
        <v>#N/A</v>
      </c>
      <c r="U145" s="106" t="e">
        <f>IF(ISNUMBER(Assessment!T35),Assessment!T35+('Step 3 (MTP) - Plan and prior'!T18/'Step 3 (MTP) - Plan and prior'!T19),NA())</f>
        <v>#N/A</v>
      </c>
      <c r="V145" s="106" t="e">
        <f>IF(ISNUMBER(Assessment!U35),Assessment!U35+('Step 3 (MTP) - Plan and prior'!U18/'Step 3 (MTP) - Plan and prior'!U19),NA())</f>
        <v>#N/A</v>
      </c>
      <c r="W145" s="106" t="e">
        <f>IF(ISNUMBER(Assessment!V35),Assessment!V35+('Step 3 (MTP) - Plan and prior'!V18/'Step 3 (MTP) - Plan and prior'!V19),NA())</f>
        <v>#N/A</v>
      </c>
    </row>
    <row r="146" spans="3:23" ht="13.5" customHeight="1" x14ac:dyDescent="0.4">
      <c r="C146" t="s">
        <v>569</v>
      </c>
      <c r="F146" s="64" t="e">
        <f>IF(OR(ISNUMBER(F149),ISNUMBER(F150)),NA(),IF(ISNUMBER(Assessment!E17),Assessment!E17+(Assessment!E7/Assessment!E27*100),NA()))</f>
        <v>#N/A</v>
      </c>
      <c r="G146" s="64" t="e">
        <f>IF(OR(ISNUMBER(G149),ISNUMBER(G150)),NA(),IF(ISNUMBER(Assessment!F17),Assessment!F17+(Assessment!F7/Assessment!F27*100),NA()))</f>
        <v>#N/A</v>
      </c>
      <c r="H146" s="64" t="e">
        <f>IF(OR(ISNUMBER(H149),ISNUMBER(H150)),NA(),IF(ISNUMBER(Assessment!G17),Assessment!G17+(Assessment!G7/Assessment!G27*100),NA()))</f>
        <v>#N/A</v>
      </c>
      <c r="I146" s="64" t="e">
        <f>IF(OR(ISNUMBER(I149),ISNUMBER(I150)),NA(),IF(ISNUMBER(Assessment!H17),Assessment!H17+(Assessment!H7/Assessment!H27*100),NA()))</f>
        <v>#N/A</v>
      </c>
      <c r="J146" s="64" t="e">
        <f>IF(OR(ISNUMBER(J149),ISNUMBER(J150)),NA(),IF(ISNUMBER(Assessment!I17),Assessment!I17+(Assessment!I7/Assessment!I27*100),NA()))</f>
        <v>#N/A</v>
      </c>
      <c r="K146" s="64" t="e">
        <f>IF(OR(ISNUMBER(K149),ISNUMBER(K150)),NA(),IF(ISNUMBER(Assessment!J17),Assessment!J17+(Assessment!J7/Assessment!J27*100),NA()))</f>
        <v>#N/A</v>
      </c>
      <c r="L146" s="64" t="e">
        <f>IF(OR(ISNUMBER(L149),ISNUMBER(L150)),NA(),IF(ISNUMBER(Assessment!K17),Assessment!K17+(Assessment!K7/Assessment!K27*100),NA()))</f>
        <v>#N/A</v>
      </c>
      <c r="M146" s="64" t="e">
        <f>IF(OR(ISNUMBER(M149),ISNUMBER(M150)),NA(),IF(ISNUMBER(Assessment!L17),Assessment!L17+(Assessment!L7/Assessment!L27*100),NA()))</f>
        <v>#N/A</v>
      </c>
      <c r="N146" s="64" t="e">
        <f>IF(OR(ISNUMBER(N149),ISNUMBER(N150)),NA(),IF(ISNUMBER(Assessment!M17),Assessment!M17+(Assessment!M7/Assessment!M27*100),NA()))</f>
        <v>#N/A</v>
      </c>
      <c r="O146" s="64" t="e">
        <f>IF(OR(ISNUMBER(O149),ISNUMBER(O150)),NA(),IF(ISNUMBER(Assessment!N17),Assessment!N17+(Assessment!N7/Assessment!N27*100),NA()))</f>
        <v>#N/A</v>
      </c>
      <c r="P146" s="64" t="e">
        <f>IF(OR(ISNUMBER(P149),ISNUMBER(P150)),NA(),IF(ISNUMBER(Assessment!O17),Assessment!O17+(Assessment!O7/Assessment!O27*100),NA()))</f>
        <v>#N/A</v>
      </c>
      <c r="Q146" s="64" t="e">
        <f>IF(OR(ISNUMBER(Q149),ISNUMBER(Q150)),NA(),IF(ISNUMBER(Assessment!P17),Assessment!P17+(Assessment!P7/Assessment!P27*100),NA()))</f>
        <v>#N/A</v>
      </c>
      <c r="R146" s="64" t="e">
        <f>IF(OR(ISNUMBER(R149),ISNUMBER(R150)),NA(),IF(ISNUMBER(Assessment!Q17),Assessment!Q17+(Assessment!Q7/Assessment!Q27*100),NA()))</f>
        <v>#N/A</v>
      </c>
      <c r="S146" s="64" t="e">
        <f>IF(OR(ISNUMBER(S149),ISNUMBER(S150)),NA(),IF(ISNUMBER(Assessment!R17),Assessment!R17+(Assessment!R7/Assessment!R27*100),NA()))</f>
        <v>#N/A</v>
      </c>
      <c r="T146" s="64" t="e">
        <f>IF(OR(ISNUMBER(T149),ISNUMBER(T150)),NA(),IF(ISNUMBER(Assessment!S17),Assessment!S17+(Assessment!S7/Assessment!S27*100),NA()))</f>
        <v>#N/A</v>
      </c>
      <c r="U146" s="106" t="e">
        <f>IF(OR(ISNUMBER(U149),ISNUMBER(U150)),NA(),IF(ISNUMBER(Assessment!T17),Assessment!T17+(Assessment!T7/Assessment!T27*100),NA()))</f>
        <v>#N/A</v>
      </c>
      <c r="V146" s="106" t="e">
        <f>IF(OR(ISNUMBER(V149),ISNUMBER(V150)),NA(),IF(ISNUMBER(Assessment!U17),Assessment!U17+(Assessment!U7/Assessment!U27*100),NA()))</f>
        <v>#N/A</v>
      </c>
      <c r="W146" s="106" t="e">
        <f>IF(OR(ISNUMBER(W149),ISNUMBER(W150)),NA(),IF(ISNUMBER(Assessment!V17),Assessment!V17+(Assessment!V7/Assessment!V27*100),NA()))</f>
        <v>#N/A</v>
      </c>
    </row>
    <row r="147" spans="3:23" ht="13.5" customHeight="1" x14ac:dyDescent="0.4">
      <c r="C147" t="s">
        <v>296</v>
      </c>
      <c r="F147" s="3"/>
      <c r="G147" s="3"/>
      <c r="H147" s="3"/>
      <c r="I147" s="3"/>
      <c r="J147" s="3"/>
      <c r="K147" s="3"/>
      <c r="L147" s="3"/>
      <c r="M147" s="3"/>
      <c r="N147" s="3"/>
      <c r="O147" s="3"/>
      <c r="P147" s="3"/>
      <c r="Q147" s="3"/>
      <c r="R147" s="3"/>
      <c r="S147" s="3"/>
      <c r="T147" s="3"/>
      <c r="U147" s="3"/>
      <c r="V147" s="3"/>
      <c r="W147" s="3"/>
    </row>
    <row r="148" spans="3:23" ht="13.5" customHeight="1" x14ac:dyDescent="0.4">
      <c r="C148" t="s">
        <v>297</v>
      </c>
      <c r="F148" s="3"/>
      <c r="G148" s="3"/>
      <c r="H148" s="3"/>
      <c r="I148" s="3"/>
      <c r="J148" s="3"/>
      <c r="K148" s="3"/>
      <c r="L148" s="3"/>
      <c r="M148" s="3"/>
      <c r="N148" s="3"/>
      <c r="O148" s="3"/>
      <c r="P148" s="3"/>
      <c r="Q148" s="3"/>
      <c r="R148" s="3"/>
      <c r="S148" s="3"/>
      <c r="T148" s="3"/>
      <c r="U148" s="3"/>
      <c r="V148" s="3"/>
      <c r="W148" s="3"/>
    </row>
    <row r="149" spans="3:23" ht="13.5" customHeight="1" x14ac:dyDescent="0.4">
      <c r="C149" t="s">
        <v>298</v>
      </c>
      <c r="F149" s="106" t="e" cm="1">
        <f t="array" ref="F149">_xlfn.LET(
  _xlpm.y, INDEX('Chart data'!$2:$2, COLUMN()),
  _xlpm.col, _xlfn.XMATCH(_xlpm.y, Assessment!$4:$4, 0),
  _xlpm.gdp, INDEX(Assessment!$27:$27, _xlpm.col),
  _xlpm.v, INDEX(Assessment!$17:$17, _xlpm.col)
     + INDEX(Assessment!$7:$7, _xlpm.col) * 100 / _xlpm.gdp,
  IF(
    _xlpm.y&lt;=OutturnThrough,
    IF(AND(ISNUMBER(_xlpm.v), _xlpm.v&gt;=0), _xlpm.v, NA()),
    NA()
  )
)</f>
        <v>#VALUE!</v>
      </c>
      <c r="G149" s="106" t="e" cm="1">
        <f t="array" ref="G149">_xlfn.LET(
  _xlpm.y, INDEX('Chart data'!$2:$2, COLUMN()),
  _xlpm.col, _xlfn.XMATCH(_xlpm.y, Assessment!$4:$4, 0),
  _xlpm.gdp, INDEX(Assessment!$27:$27, _xlpm.col),
  _xlpm.v, INDEX(Assessment!$17:$17, _xlpm.col)
     + INDEX(Assessment!$7:$7, _xlpm.col) * 100 / _xlpm.gdp,
  IF(
    _xlpm.y&lt;=OutturnThrough,
    IF(AND(ISNUMBER(_xlpm.v), _xlpm.v&gt;=0), _xlpm.v, NA()),
    NA()
  )
)</f>
        <v>#VALUE!</v>
      </c>
      <c r="H149" s="106" t="e" cm="1">
        <f t="array" ref="H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I149" s="106" t="e" cm="1">
        <f t="array" ref="I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J149" s="106" t="e" cm="1">
        <f t="array" ref="J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K149" s="106" t="e" cm="1">
        <f t="array" ref="K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L149" s="106" t="e" cm="1">
        <f t="array" ref="L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M149" s="106" t="e" cm="1">
        <f t="array" ref="M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N149" s="106" t="e" cm="1">
        <f t="array" ref="N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O149" s="106" t="e" cm="1">
        <f t="array" ref="O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P149" s="106" t="e" cm="1">
        <f t="array" ref="P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Q149" s="106" t="e" cm="1">
        <f t="array" ref="Q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R149" s="106" t="e" cm="1">
        <f t="array" ref="R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S149" s="106" t="e" cm="1">
        <f t="array" ref="S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T149" s="106" t="e" cm="1">
        <f t="array" ref="T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U149" s="106" cm="1">
        <f t="array" ref="U149">_xlfn.LET(
  _xlpm.y, INDEX('Chart data'!$2:$2, COLUMN()),
  _xlpm.col, _xlfn.XMATCH(_xlpm.y, Assessment!$4:$4, 0),
  _xlpm.v, INDEX(Assessment!$17:$17, _xlpm.col)
     + INDEX(Assessment!$7:$7, _xlpm.col),
  IF(
    _xlpm.y&lt;=OutturnThrough,
    IF(AND(ISNUMBER(_xlpm.v), _xlpm.v&gt;=0), _xlpm.v, NA()),
    NA()
  )
)</f>
        <v>0</v>
      </c>
      <c r="V149" s="106" cm="1">
        <f t="array" ref="V149">_xlfn.LET(
  _xlpm.y, INDEX('Chart data'!$2:$2, COLUMN()),
  _xlpm.col, _xlfn.XMATCH(_xlpm.y, Assessment!$4:$4, 0),
  _xlpm.v, INDEX(Assessment!$17:$17, _xlpm.col)
     + INDEX(Assessment!$7:$7, _xlpm.col),
  IF(
    _xlpm.y&lt;=OutturnThrough,
    IF(AND(ISNUMBER(_xlpm.v), _xlpm.v&gt;=0), _xlpm.v, NA()),
    NA()
  )
)</f>
        <v>0</v>
      </c>
      <c r="W149" s="106" cm="1">
        <f t="array" ref="W149">_xlfn.LET(
  _xlpm.y, INDEX('Chart data'!$2:$2, COLUMN()),
  _xlpm.col, _xlfn.XMATCH(_xlpm.y, Assessment!$4:$4, 0),
  _xlpm.v, INDEX(Assessment!$17:$17, _xlpm.col)
     + INDEX(Assessment!$7:$7, _xlpm.col),
  IF(
    _xlpm.y&lt;=OutturnThrough,
    IF(AND(ISNUMBER(_xlpm.v), _xlpm.v&gt;=0), _xlpm.v, NA()),
    NA()
  )
)</f>
        <v>0</v>
      </c>
    </row>
    <row r="150" spans="3:23" ht="13.5" customHeight="1" x14ac:dyDescent="0.4">
      <c r="C150" t="s">
        <v>299</v>
      </c>
      <c r="F150" s="106" t="e" cm="1">
        <f t="array" ref="F150">_xlfn.LET(
  _xlpm.y, INDEX('Chart data'!$2:$2, COLUMN()),
  _xlpm.col, _xlfn.XMATCH(_xlpm.y, Assessment!$4:$4, 0),
  _xlpm.gdp, INDEX(Assessment!$27:$27, _xlpm.col),
  _xlpm.v, INDEX(Assessment!$17:$17, _xlpm.col)
     + INDEX(Assessment!$7:$7, _xlpm.col) * 100000 / _xlpm.gdp,
  IF(
    _xlpm.y&lt;=OutturnThrough,
    IF(AND(ISNUMBER(_xlpm.v), _xlpm.v&lt;0), _xlpm.v, NA()),
    NA()
  )
)</f>
        <v>#VALUE!</v>
      </c>
      <c r="G150" s="106" t="e" cm="1">
        <f t="array" ref="G150">_xlfn.LET(
  _xlpm.y, INDEX('Chart data'!$2:$2, COLUMN()),
  _xlpm.col, _xlfn.XMATCH(_xlpm.y, Assessment!$4:$4, 0),
  _xlpm.gdp, INDEX(Assessment!$27:$27, _xlpm.col),
  _xlpm.v, INDEX(Assessment!$17:$17, _xlpm.col)
     + INDEX(Assessment!$7:$7, _xlpm.col) * 100000 / _xlpm.gdp,
  IF(
    _xlpm.y&lt;=OutturnThrough,
    IF(AND(ISNUMBER(_xlpm.v), _xlpm.v&lt;0), _xlpm.v, NA()),
    NA()
  )
)</f>
        <v>#VALUE!</v>
      </c>
      <c r="H150" s="106" t="e" cm="1">
        <f t="array" ref="H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I150" s="106" t="e" cm="1">
        <f t="array" ref="I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J150" s="106" t="e" cm="1">
        <f t="array" ref="J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K150" s="106" t="e" cm="1">
        <f t="array" ref="K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L150" s="106" t="e" cm="1">
        <f t="array" ref="L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M150" s="106" t="e" cm="1">
        <f t="array" ref="M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N150" s="106" t="e" cm="1">
        <f t="array" ref="N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O150" s="106" t="e" cm="1">
        <f t="array" ref="O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P150" s="106" t="e" cm="1">
        <f t="array" ref="P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Q150" s="106" t="e" cm="1">
        <f t="array" ref="Q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R150" s="106" t="e" cm="1">
        <f t="array" ref="R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S150" s="106" t="e" cm="1">
        <f t="array" ref="S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T150" s="106" t="e" cm="1">
        <f t="array" ref="T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U150" s="106" t="e" cm="1">
        <f t="array" ref="U150">_xlfn.LET(
  _xlpm.y, INDEX('Chart data'!$2:$2, COLUMN()),
  _xlpm.col, _xlfn.XMATCH(_xlpm.y, Assessment!$4:$4, 0),
  _xlpm.v, INDEX(Assessment!$17:$17, _xlpm.col)
     + INDEX(Assessment!$7:$7, _xlpm.col),
  IF(
    _xlpm.y&lt;=OutturnThrough,
    IF(AND(ISNUMBER(_xlpm.v), _xlpm.v&lt;0), _xlpm.v, NA()),
    NA()
  )
)</f>
        <v>#N/A</v>
      </c>
      <c r="V150" s="106" t="e" cm="1">
        <f t="array" ref="V150">_xlfn.LET(
  _xlpm.y, INDEX('Chart data'!$2:$2, COLUMN()),
  _xlpm.col, _xlfn.XMATCH(_xlpm.y, Assessment!$4:$4, 0),
  _xlpm.v, INDEX(Assessment!$17:$17, _xlpm.col)
     + INDEX(Assessment!$7:$7, _xlpm.col),
  IF(
    _xlpm.y&lt;=OutturnThrough,
    IF(AND(ISNUMBER(_xlpm.v), _xlpm.v&lt;0), _xlpm.v, NA()),
    NA()
  )
)</f>
        <v>#N/A</v>
      </c>
      <c r="W150" s="106" t="e" cm="1">
        <f t="array" ref="W150">_xlfn.LET(
  _xlpm.y, INDEX('Chart data'!$2:$2, COLUMN()),
  _xlpm.col, _xlfn.XMATCH(_xlpm.y, Assessment!$4:$4, 0),
  _xlpm.v, INDEX(Assessment!$17:$17, _xlpm.col)
     + INDEX(Assessment!$7:$7, _xlpm.col),
  IF(
    _xlpm.y&lt;=OutturnThrough,
    IF(AND(ISNUMBER(_xlpm.v), _xlpm.v&lt;0), _xlpm.v, NA()),
    NA()
  )
)</f>
        <v>#N/A</v>
      </c>
    </row>
    <row r="151" spans="3:23" x14ac:dyDescent="0.4">
      <c r="C151" s="110" t="s">
        <v>564</v>
      </c>
      <c r="D151" s="4">
        <f>IF(_xlfn.AGGREGATE(5,6,F145:W150)&lt;0, _xlfn.AGGREGATE(5,6,F145:W150), 0)</f>
        <v>0</v>
      </c>
      <c r="F151" s="64"/>
      <c r="G151" s="64"/>
      <c r="H151" s="64"/>
      <c r="I151" s="64"/>
      <c r="J151" s="64"/>
      <c r="K151" s="64"/>
      <c r="L151" s="64"/>
      <c r="M151" s="64"/>
      <c r="N151" s="64"/>
      <c r="O151" s="64"/>
      <c r="P151" s="64"/>
      <c r="Q151" s="64"/>
      <c r="R151" s="64"/>
      <c r="S151" s="64"/>
      <c r="T151" s="64"/>
      <c r="U151" s="64"/>
      <c r="V151" s="64"/>
      <c r="W151" s="64"/>
    </row>
    <row r="152" spans="3:23" x14ac:dyDescent="0.4">
      <c r="C152" s="110" t="s">
        <v>565</v>
      </c>
      <c r="D152" s="4">
        <f>_xlfn.AGGREGATE(4,6,F145:W150)</f>
        <v>0</v>
      </c>
    </row>
    <row r="153" spans="3:23" ht="13.5" customHeight="1" x14ac:dyDescent="0.4"/>
    <row r="154" spans="3:23" ht="13.5" customHeight="1" x14ac:dyDescent="0.4"/>
    <row r="155" spans="3:23" ht="13.5" customHeight="1" x14ac:dyDescent="0.4"/>
    <row r="156" spans="3:23" ht="13.5" customHeight="1" x14ac:dyDescent="0.4"/>
    <row r="157" spans="3:23" ht="13.5" customHeight="1" x14ac:dyDescent="0.4"/>
    <row r="158" spans="3:23" ht="13.5" customHeight="1" x14ac:dyDescent="0.4"/>
    <row r="159" spans="3:23" ht="13.5" customHeight="1" x14ac:dyDescent="0.4"/>
    <row r="160" spans="3:23" ht="13.5" customHeight="1" x14ac:dyDescent="0.4"/>
    <row r="161" ht="13.5" customHeight="1" x14ac:dyDescent="0.4"/>
    <row r="162" ht="13.5" customHeight="1" x14ac:dyDescent="0.4"/>
    <row r="163" ht="13.5" customHeight="1" x14ac:dyDescent="0.4"/>
    <row r="164" ht="13.5" customHeight="1" x14ac:dyDescent="0.4"/>
    <row r="165" ht="13.5" customHeight="1" x14ac:dyDescent="0.4"/>
    <row r="166" ht="13.5" customHeight="1" x14ac:dyDescent="0.4"/>
    <row r="167" ht="13.5" customHeight="1" x14ac:dyDescent="0.4"/>
    <row r="168" ht="13.5" customHeight="1" x14ac:dyDescent="0.4"/>
    <row r="169" ht="13.5" customHeight="1" x14ac:dyDescent="0.4"/>
    <row r="170" ht="13.5" customHeight="1" x14ac:dyDescent="0.4"/>
    <row r="171" ht="13.5" customHeight="1" x14ac:dyDescent="0.4"/>
    <row r="172" ht="13.5" customHeight="1" x14ac:dyDescent="0.4"/>
    <row r="173" ht="13.5" customHeight="1" x14ac:dyDescent="0.4"/>
    <row r="174" ht="13.5" customHeight="1" x14ac:dyDescent="0.4"/>
    <row r="175" ht="13.5" customHeight="1" x14ac:dyDescent="0.4"/>
    <row r="176" ht="13.5" customHeight="1" x14ac:dyDescent="0.4"/>
    <row r="177" ht="13.5" customHeight="1" x14ac:dyDescent="0.4"/>
    <row r="178" ht="13.5" customHeight="1" x14ac:dyDescent="0.4"/>
    <row r="179" ht="13.5" customHeight="1" x14ac:dyDescent="0.4"/>
    <row r="180" ht="13.5" customHeight="1" x14ac:dyDescent="0.4"/>
    <row r="181" ht="13.5" customHeight="1" x14ac:dyDescent="0.4"/>
    <row r="182" ht="13.5" customHeight="1" x14ac:dyDescent="0.4"/>
    <row r="183" ht="13.5" customHeight="1" x14ac:dyDescent="0.4"/>
    <row r="184" ht="13.5" customHeight="1" x14ac:dyDescent="0.4"/>
    <row r="185" ht="13.5" customHeight="1" x14ac:dyDescent="0.4"/>
    <row r="186" ht="13.5" customHeight="1" x14ac:dyDescent="0.4"/>
    <row r="187" ht="13.5" customHeight="1" x14ac:dyDescent="0.4"/>
    <row r="188" ht="13.5" customHeight="1" x14ac:dyDescent="0.4"/>
    <row r="189" ht="13.5" customHeight="1" x14ac:dyDescent="0.4"/>
    <row r="190" ht="13.5" customHeight="1" x14ac:dyDescent="0.4"/>
    <row r="191" ht="13.5" customHeight="1" x14ac:dyDescent="0.4"/>
    <row r="192" ht="13.5" customHeight="1" x14ac:dyDescent="0.4"/>
    <row r="193" ht="13.5" customHeight="1" x14ac:dyDescent="0.4"/>
    <row r="194" ht="13.5" customHeight="1" x14ac:dyDescent="0.4"/>
    <row r="195" ht="13.5" customHeight="1" x14ac:dyDescent="0.4"/>
    <row r="196" ht="13.5" customHeight="1" x14ac:dyDescent="0.4"/>
    <row r="197" ht="13.5" customHeight="1" x14ac:dyDescent="0.4"/>
    <row r="198" ht="13.5" customHeight="1" x14ac:dyDescent="0.4"/>
    <row r="199" ht="13.5" customHeight="1" x14ac:dyDescent="0.4"/>
    <row r="200" ht="13.5" customHeight="1" x14ac:dyDescent="0.4"/>
    <row r="201" ht="13.5" customHeight="1" x14ac:dyDescent="0.4"/>
    <row r="202" ht="13.5" customHeight="1" x14ac:dyDescent="0.4"/>
    <row r="203" ht="13.5" customHeight="1" x14ac:dyDescent="0.4"/>
    <row r="204" ht="13.5" customHeight="1" x14ac:dyDescent="0.4"/>
    <row r="205" ht="13.5" customHeight="1" x14ac:dyDescent="0.4"/>
    <row r="206" ht="13.5" customHeight="1" x14ac:dyDescent="0.4"/>
    <row r="207" ht="13.5" customHeight="1" x14ac:dyDescent="0.4"/>
    <row r="208" ht="13.5" customHeight="1" x14ac:dyDescent="0.4"/>
    <row r="209" ht="13.5" customHeight="1" x14ac:dyDescent="0.4"/>
    <row r="210" ht="13.5" customHeight="1" x14ac:dyDescent="0.4"/>
    <row r="211" ht="13.5" customHeight="1" x14ac:dyDescent="0.4"/>
    <row r="212" ht="13.5" customHeight="1" x14ac:dyDescent="0.4"/>
    <row r="213" ht="13.5" customHeight="1" x14ac:dyDescent="0.4"/>
    <row r="214" ht="13.5" customHeight="1" x14ac:dyDescent="0.4"/>
    <row r="215" ht="13.5" customHeight="1" x14ac:dyDescent="0.4"/>
    <row r="216" ht="13.5" customHeight="1" x14ac:dyDescent="0.4"/>
    <row r="217" ht="13.5" customHeight="1" x14ac:dyDescent="0.4"/>
    <row r="218" ht="13.5" customHeight="1" x14ac:dyDescent="0.4"/>
    <row r="219" ht="13.5" customHeight="1" x14ac:dyDescent="0.4"/>
    <row r="220" ht="13.5" customHeight="1" x14ac:dyDescent="0.4"/>
    <row r="221" ht="13.5" customHeight="1" x14ac:dyDescent="0.4"/>
    <row r="222" ht="13.5" customHeight="1" x14ac:dyDescent="0.4"/>
    <row r="223" ht="13.5" customHeight="1" x14ac:dyDescent="0.4"/>
    <row r="224" ht="13.5" customHeight="1" x14ac:dyDescent="0.4"/>
    <row r="225" ht="13.5" customHeight="1" x14ac:dyDescent="0.4"/>
    <row r="226" ht="13.5" customHeight="1" x14ac:dyDescent="0.4"/>
    <row r="227" ht="13.5" customHeight="1" x14ac:dyDescent="0.4"/>
    <row r="228" ht="13.5" customHeight="1" x14ac:dyDescent="0.4"/>
    <row r="229" ht="13.5" customHeight="1" x14ac:dyDescent="0.4"/>
    <row r="230" ht="13.5" customHeight="1" x14ac:dyDescent="0.4"/>
    <row r="231" ht="13.5" customHeight="1" x14ac:dyDescent="0.4"/>
    <row r="232" ht="13.5" customHeight="1" x14ac:dyDescent="0.4"/>
    <row r="233" ht="13.5" customHeight="1" x14ac:dyDescent="0.4"/>
    <row r="234" ht="13.5" customHeight="1" x14ac:dyDescent="0.4"/>
    <row r="235" ht="13.5" customHeight="1" x14ac:dyDescent="0.4"/>
    <row r="236" ht="13.5" customHeight="1" x14ac:dyDescent="0.4"/>
    <row r="237" ht="13.5" customHeight="1" x14ac:dyDescent="0.4"/>
    <row r="238" ht="13.5" customHeight="1" x14ac:dyDescent="0.4"/>
    <row r="239" ht="13.5" customHeight="1" x14ac:dyDescent="0.4"/>
    <row r="240" ht="13.5" customHeight="1" x14ac:dyDescent="0.4"/>
    <row r="241" ht="13.5" customHeight="1" x14ac:dyDescent="0.4"/>
    <row r="242" ht="13.5" customHeight="1" x14ac:dyDescent="0.4"/>
    <row r="243" ht="13.5" customHeight="1" x14ac:dyDescent="0.4"/>
    <row r="244" ht="13.5" customHeight="1" x14ac:dyDescent="0.4"/>
    <row r="245" ht="13.5" customHeight="1" x14ac:dyDescent="0.4"/>
    <row r="246" ht="13.5" customHeight="1" x14ac:dyDescent="0.4"/>
    <row r="247" ht="13.5" customHeight="1" x14ac:dyDescent="0.4"/>
    <row r="248" ht="13.5" customHeight="1" x14ac:dyDescent="0.4"/>
    <row r="249" ht="13.5" customHeight="1" x14ac:dyDescent="0.4"/>
    <row r="250" ht="13.5" customHeight="1" x14ac:dyDescent="0.4"/>
    <row r="251" ht="13.5" customHeight="1" x14ac:dyDescent="0.4"/>
    <row r="252" ht="13.5" customHeight="1" x14ac:dyDescent="0.4"/>
    <row r="253" ht="13.5" customHeight="1" x14ac:dyDescent="0.4"/>
    <row r="254" ht="13.5" customHeight="1" x14ac:dyDescent="0.4"/>
    <row r="255" ht="13.5" customHeight="1" x14ac:dyDescent="0.4"/>
    <row r="256" ht="13.5" customHeight="1" x14ac:dyDescent="0.4"/>
    <row r="257" ht="13.5" customHeight="1" x14ac:dyDescent="0.4"/>
    <row r="258" ht="13.5" customHeight="1" x14ac:dyDescent="0.4"/>
    <row r="259" ht="13.5" customHeight="1" x14ac:dyDescent="0.4"/>
    <row r="260" ht="13.5" customHeight="1" x14ac:dyDescent="0.4"/>
    <row r="261" ht="13.5" customHeight="1" x14ac:dyDescent="0.4"/>
    <row r="262" ht="13.5" customHeight="1" x14ac:dyDescent="0.4"/>
    <row r="263" ht="13.5" customHeight="1" x14ac:dyDescent="0.4"/>
    <row r="264" ht="13.5" customHeight="1" x14ac:dyDescent="0.4"/>
    <row r="265" ht="13.5" customHeight="1" x14ac:dyDescent="0.4"/>
    <row r="266" ht="13.5" customHeight="1" x14ac:dyDescent="0.4"/>
    <row r="267" ht="13.5" customHeight="1" x14ac:dyDescent="0.4"/>
    <row r="268" ht="13.5" customHeight="1" x14ac:dyDescent="0.4"/>
    <row r="269" ht="13.5" customHeight="1" x14ac:dyDescent="0.4"/>
    <row r="270" ht="13.5" customHeight="1" x14ac:dyDescent="0.4"/>
    <row r="271" ht="13.5" customHeight="1" x14ac:dyDescent="0.4"/>
    <row r="272" ht="13.5" customHeight="1" x14ac:dyDescent="0.4"/>
    <row r="273" ht="13.5" customHeight="1" x14ac:dyDescent="0.4"/>
    <row r="274" ht="13.5" customHeight="1" x14ac:dyDescent="0.4"/>
    <row r="275" ht="13.5" customHeight="1" x14ac:dyDescent="0.4"/>
    <row r="276" ht="13.5" customHeight="1" x14ac:dyDescent="0.4"/>
    <row r="277" ht="13.5" customHeight="1" x14ac:dyDescent="0.4"/>
    <row r="278" ht="13.5" customHeight="1" x14ac:dyDescent="0.4"/>
    <row r="279" ht="13.5" customHeight="1" x14ac:dyDescent="0.4"/>
    <row r="280" ht="13.5" customHeight="1" x14ac:dyDescent="0.4"/>
    <row r="281" ht="13.5" customHeight="1" x14ac:dyDescent="0.4"/>
    <row r="282" ht="13.5" customHeight="1" x14ac:dyDescent="0.4"/>
    <row r="283" ht="13.5" customHeight="1" x14ac:dyDescent="0.4"/>
    <row r="284" ht="13.5" customHeight="1" x14ac:dyDescent="0.4"/>
    <row r="285" ht="13.5" customHeight="1" x14ac:dyDescent="0.4"/>
    <row r="286" ht="13.5" customHeight="1" x14ac:dyDescent="0.4"/>
    <row r="287" ht="13.5" customHeight="1" x14ac:dyDescent="0.4"/>
    <row r="288" ht="13.5" customHeight="1" x14ac:dyDescent="0.4"/>
    <row r="289" ht="13.5" customHeight="1" x14ac:dyDescent="0.4"/>
    <row r="290" ht="13.5" customHeight="1" x14ac:dyDescent="0.4"/>
    <row r="291" ht="13.5" customHeight="1" x14ac:dyDescent="0.4"/>
    <row r="292" ht="13.5" customHeight="1" x14ac:dyDescent="0.4"/>
    <row r="293" ht="13.5" customHeight="1" x14ac:dyDescent="0.4"/>
    <row r="294" ht="13.5" customHeight="1" x14ac:dyDescent="0.4"/>
    <row r="295" ht="13.5" customHeight="1" x14ac:dyDescent="0.4"/>
    <row r="296" ht="13.5" customHeight="1" x14ac:dyDescent="0.4"/>
    <row r="297" ht="13.5" customHeight="1" x14ac:dyDescent="0.4"/>
    <row r="298" ht="13.5" customHeight="1" x14ac:dyDescent="0.4"/>
    <row r="299" ht="13.5" customHeight="1" x14ac:dyDescent="0.4"/>
    <row r="300" ht="13.5" customHeight="1" x14ac:dyDescent="0.4"/>
    <row r="301" ht="13.5" customHeight="1" x14ac:dyDescent="0.4"/>
    <row r="302" ht="13.5" customHeight="1" x14ac:dyDescent="0.4"/>
    <row r="303" ht="13.5" customHeight="1" x14ac:dyDescent="0.4"/>
    <row r="304" ht="13.5" customHeight="1" x14ac:dyDescent="0.4"/>
    <row r="305" ht="13.5" customHeight="1" x14ac:dyDescent="0.4"/>
    <row r="306" ht="13.5" customHeight="1" x14ac:dyDescent="0.4"/>
    <row r="307" ht="13.5" customHeight="1" x14ac:dyDescent="0.4"/>
    <row r="308" ht="13.5" customHeight="1" x14ac:dyDescent="0.4"/>
    <row r="309" ht="13.5" customHeight="1" x14ac:dyDescent="0.4"/>
    <row r="310" ht="13.5" customHeight="1" x14ac:dyDescent="0.4"/>
    <row r="311" ht="13.5" customHeight="1" x14ac:dyDescent="0.4"/>
    <row r="312" ht="13.5" customHeight="1" x14ac:dyDescent="0.4"/>
    <row r="313" ht="13.5" customHeight="1" x14ac:dyDescent="0.4"/>
    <row r="314" ht="13.5" customHeight="1" x14ac:dyDescent="0.4"/>
    <row r="315" ht="13.5" customHeight="1" x14ac:dyDescent="0.4"/>
    <row r="316" ht="13.5" customHeight="1" x14ac:dyDescent="0.4"/>
    <row r="317" ht="13.5" customHeight="1" x14ac:dyDescent="0.4"/>
    <row r="318" ht="13.5" customHeight="1" x14ac:dyDescent="0.4"/>
    <row r="319" ht="13.5" customHeight="1" x14ac:dyDescent="0.4"/>
    <row r="320" ht="13.5" customHeight="1" x14ac:dyDescent="0.4"/>
    <row r="321" ht="13.5" customHeight="1" x14ac:dyDescent="0.4"/>
    <row r="322" ht="13.5" customHeight="1" x14ac:dyDescent="0.4"/>
    <row r="323" ht="13.5" customHeight="1" x14ac:dyDescent="0.4"/>
    <row r="324" ht="13.5" customHeight="1" x14ac:dyDescent="0.4"/>
    <row r="325" ht="13.5" customHeight="1" x14ac:dyDescent="0.4"/>
    <row r="326" ht="13.5" customHeight="1" x14ac:dyDescent="0.4"/>
    <row r="327" ht="13.5" customHeight="1" x14ac:dyDescent="0.4"/>
    <row r="328" ht="13.5" customHeight="1" x14ac:dyDescent="0.4"/>
    <row r="329" ht="13.5" customHeight="1" x14ac:dyDescent="0.4"/>
    <row r="330" ht="13.5" customHeight="1" x14ac:dyDescent="0.4"/>
    <row r="331" ht="13.5" customHeight="1" x14ac:dyDescent="0.4"/>
    <row r="332" ht="13.5" customHeight="1" x14ac:dyDescent="0.4"/>
    <row r="333" ht="13.5" customHeight="1" x14ac:dyDescent="0.4"/>
    <row r="334" ht="13.5" customHeight="1" x14ac:dyDescent="0.4"/>
    <row r="335" ht="13.5" customHeight="1" x14ac:dyDescent="0.4"/>
    <row r="336" ht="13.5" customHeight="1" x14ac:dyDescent="0.4"/>
    <row r="337" ht="13.5" customHeight="1" x14ac:dyDescent="0.4"/>
    <row r="338" ht="13.5" customHeight="1" x14ac:dyDescent="0.4"/>
    <row r="339" ht="13.5" customHeight="1" x14ac:dyDescent="0.4"/>
    <row r="340" ht="13.5" customHeight="1" x14ac:dyDescent="0.4"/>
    <row r="341" ht="13.5" customHeight="1" x14ac:dyDescent="0.4"/>
    <row r="342" ht="13.5" customHeight="1" x14ac:dyDescent="0.4"/>
    <row r="343" ht="13.5" customHeight="1" x14ac:dyDescent="0.4"/>
    <row r="344" ht="13.5" customHeight="1" x14ac:dyDescent="0.4"/>
    <row r="345" ht="13.5" customHeight="1" x14ac:dyDescent="0.4"/>
    <row r="346" ht="13.5" customHeight="1" x14ac:dyDescent="0.4"/>
  </sheetData>
  <conditionalFormatting sqref="E2:Z2">
    <cfRule type="expression" dxfId="3" priority="6">
      <formula>ISNUMBER(E2)</formula>
    </cfRule>
  </conditionalFormatting>
  <conditionalFormatting sqref="U3:U150">
    <cfRule type="expression" dxfId="2" priority="3">
      <formula>NOT(ISNUMBER(U$2))</formula>
    </cfRule>
  </conditionalFormatting>
  <conditionalFormatting sqref="V3:W14 V16:W144 V15:X15 V147:W150">
    <cfRule type="expression" dxfId="1" priority="2">
      <formula>NOT(ISNUMBER(V$2))</formula>
    </cfRule>
  </conditionalFormatting>
  <conditionalFormatting sqref="V145:W146">
    <cfRule type="expression" dxfId="0" priority="1">
      <formula>NOT(ISNUMBER(V$2))</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049CD6-A02F-4283-9F15-2746E2253839}">
  <sheetPr codeName="Sheet6"/>
  <dimension ref="A1:V76"/>
  <sheetViews>
    <sheetView showGridLines="0" zoomScaleNormal="100" workbookViewId="0">
      <selection activeCell="K3" sqref="K3"/>
    </sheetView>
  </sheetViews>
  <sheetFormatPr defaultRowHeight="13.15" x14ac:dyDescent="0.4"/>
  <cols>
    <col min="1" max="1" width="9.140625" style="14"/>
    <col min="2" max="2" width="13.7109375" style="14" bestFit="1" customWidth="1"/>
    <col min="3" max="3" width="14.5703125" style="14" bestFit="1" customWidth="1"/>
    <col min="4" max="4" width="6.28515625" style="14" bestFit="1" customWidth="1"/>
    <col min="5" max="5" width="10" style="14" bestFit="1" customWidth="1"/>
    <col min="6" max="6" width="7.140625" style="14" bestFit="1" customWidth="1"/>
    <col min="7" max="7" width="16.42578125" style="14" bestFit="1" customWidth="1"/>
    <col min="8" max="8" width="11.42578125" style="14" bestFit="1" customWidth="1"/>
    <col min="9" max="9" width="15.5703125" style="14" bestFit="1" customWidth="1"/>
    <col min="10" max="10" width="17.7109375" style="14" bestFit="1" customWidth="1"/>
    <col min="11" max="11" width="12.140625" style="14" bestFit="1" customWidth="1"/>
    <col min="12" max="12" width="18.7109375" style="14" bestFit="1" customWidth="1"/>
    <col min="13" max="13" width="62.85546875" style="14" customWidth="1"/>
    <col min="14" max="15" width="9.140625" style="14"/>
    <col min="16" max="16" width="42.5703125" style="14" bestFit="1" customWidth="1"/>
    <col min="17" max="17" width="11.140625" style="14" bestFit="1" customWidth="1"/>
    <col min="18" max="18" width="9.140625" style="14"/>
    <col min="19" max="19" width="31.28515625" style="14" bestFit="1" customWidth="1"/>
    <col min="20" max="16384" width="9.140625" style="14"/>
  </cols>
  <sheetData>
    <row r="1" spans="1:22" ht="31.9" x14ac:dyDescent="1">
      <c r="A1" s="77" t="s">
        <v>14</v>
      </c>
      <c r="B1" s="32"/>
      <c r="P1" s="50" t="s">
        <v>11</v>
      </c>
      <c r="Q1" s="160"/>
      <c r="S1" s="50" t="s">
        <v>303</v>
      </c>
      <c r="T1"/>
    </row>
    <row r="2" spans="1:22" customFormat="1" x14ac:dyDescent="0.4">
      <c r="A2" s="124" t="s">
        <v>291</v>
      </c>
      <c r="B2" s="124" t="s">
        <v>263</v>
      </c>
      <c r="C2" s="124" t="s">
        <v>13</v>
      </c>
      <c r="D2" s="124" t="s">
        <v>21</v>
      </c>
      <c r="E2" s="124" t="s">
        <v>211</v>
      </c>
      <c r="F2" s="124" t="s">
        <v>490</v>
      </c>
      <c r="G2" s="124" t="s">
        <v>253</v>
      </c>
      <c r="H2" s="124" t="s">
        <v>586</v>
      </c>
      <c r="I2" s="124" t="s">
        <v>702</v>
      </c>
      <c r="J2" s="124" t="s">
        <v>636</v>
      </c>
      <c r="K2" s="124" t="s">
        <v>242</v>
      </c>
      <c r="L2" s="124" t="s">
        <v>707</v>
      </c>
      <c r="M2" s="124" t="s">
        <v>450</v>
      </c>
      <c r="N2" s="14"/>
      <c r="P2" t="s">
        <v>252</v>
      </c>
      <c r="Q2" s="161">
        <f>MTP_YearT+MTP_PlanningHorizon</f>
        <v>2028</v>
      </c>
      <c r="R2" s="14"/>
      <c r="S2" t="s">
        <v>313</v>
      </c>
      <c r="T2">
        <v>3.05</v>
      </c>
    </row>
    <row r="3" spans="1:22" x14ac:dyDescent="0.4">
      <c r="A3" s="125">
        <v>2022</v>
      </c>
      <c r="B3" s="125">
        <v>3</v>
      </c>
      <c r="C3" s="125">
        <v>4</v>
      </c>
      <c r="D3" s="18" t="s">
        <v>23</v>
      </c>
      <c r="E3" s="18" t="s">
        <v>29</v>
      </c>
      <c r="F3" s="18" t="b">
        <v>1</v>
      </c>
      <c r="G3" s="5" t="s">
        <v>741</v>
      </c>
      <c r="H3" s="18" t="s">
        <v>587</v>
      </c>
      <c r="I3" s="18" t="s">
        <v>703</v>
      </c>
      <c r="J3" s="5" t="s">
        <v>607</v>
      </c>
      <c r="K3" s="5" t="s">
        <v>947</v>
      </c>
      <c r="L3" t="s">
        <v>271</v>
      </c>
      <c r="M3" s="5" t="s">
        <v>948</v>
      </c>
      <c r="P3" t="s">
        <v>12</v>
      </c>
      <c r="Q3" s="162" t="str">
        <f>MTP_YearT&amp;"–"&amp;'Step 3 (IMPL) - Enter outlook'!G3</f>
        <v>2024–2025</v>
      </c>
      <c r="S3" t="s">
        <v>314</v>
      </c>
      <c r="T3">
        <v>60.05</v>
      </c>
      <c r="U3"/>
    </row>
    <row r="4" spans="1:22" x14ac:dyDescent="0.4">
      <c r="A4" s="125">
        <v>2023</v>
      </c>
      <c r="B4" s="125">
        <v>4</v>
      </c>
      <c r="C4" s="125">
        <v>7</v>
      </c>
      <c r="D4" s="18" t="s">
        <v>22</v>
      </c>
      <c r="E4" s="18" t="s">
        <v>30</v>
      </c>
      <c r="F4" s="18" t="b">
        <v>0</v>
      </c>
      <c r="G4" s="5" t="s">
        <v>742</v>
      </c>
      <c r="H4" s="18" t="s">
        <v>588</v>
      </c>
      <c r="I4" s="18" t="s">
        <v>739</v>
      </c>
      <c r="J4" s="5" t="s">
        <v>637</v>
      </c>
      <c r="K4" s="18" t="s">
        <v>216</v>
      </c>
      <c r="L4" s="14" t="s">
        <v>708</v>
      </c>
      <c r="M4" s="18" t="s">
        <v>411</v>
      </c>
      <c r="P4" t="s">
        <v>248</v>
      </c>
      <c r="Q4" s="161">
        <f>AdjustmentPeriodEnd+AdjustmentPeriod+1</f>
        <v>2033</v>
      </c>
      <c r="S4" s="157" t="s">
        <v>746</v>
      </c>
      <c r="T4">
        <v>2025</v>
      </c>
      <c r="U4"/>
      <c r="V4"/>
    </row>
    <row r="5" spans="1:22" x14ac:dyDescent="0.4">
      <c r="A5" s="125">
        <v>2024</v>
      </c>
      <c r="B5" s="125">
        <v>5</v>
      </c>
      <c r="C5" s="18"/>
      <c r="D5" s="18" t="s">
        <v>271</v>
      </c>
      <c r="E5" s="18"/>
      <c r="F5" s="18" t="s">
        <v>271</v>
      </c>
      <c r="G5" s="18"/>
      <c r="H5" s="18"/>
      <c r="I5" t="s">
        <v>748</v>
      </c>
      <c r="J5" s="5" t="e">
        <v>#N/A</v>
      </c>
      <c r="K5" s="18" t="s">
        <v>217</v>
      </c>
      <c r="L5" s="14" t="s">
        <v>709</v>
      </c>
      <c r="M5" s="18" t="s">
        <v>434</v>
      </c>
      <c r="P5" t="s">
        <v>265</v>
      </c>
      <c r="Q5" s="161">
        <f>'Step 1 - Set global parameters'!B11+AdjustmentPeriod</f>
        <v>2028</v>
      </c>
      <c r="S5" s="157" t="s">
        <v>747</v>
      </c>
      <c r="T5">
        <v>2027</v>
      </c>
      <c r="U5"/>
      <c r="V5"/>
    </row>
    <row r="6" spans="1:22" x14ac:dyDescent="0.4">
      <c r="A6" s="125">
        <v>2025</v>
      </c>
      <c r="B6" s="18"/>
      <c r="C6" s="18"/>
      <c r="D6" s="18"/>
      <c r="E6" s="18"/>
      <c r="F6" s="18"/>
      <c r="G6" s="18"/>
      <c r="H6" s="18"/>
      <c r="I6" s="5" t="e">
        <v>#N/A</v>
      </c>
      <c r="J6" s="18"/>
      <c r="K6" s="18" t="s">
        <v>218</v>
      </c>
      <c r="L6" s="14" t="s">
        <v>710</v>
      </c>
      <c r="M6" s="18" t="s">
        <v>435</v>
      </c>
      <c r="P6" t="s">
        <v>380</v>
      </c>
      <c r="Q6" s="162" t="e">
        <f>IF('Step 1 - Set global parameters'!B30,'Step 1 - Set global parameters'!B31+1,IF('Step 1 - Set global parameters'!B32,'Step 1 - Set global parameters'!B33+1,NA()))</f>
        <v>#N/A</v>
      </c>
      <c r="U6"/>
    </row>
    <row r="7" spans="1:22" x14ac:dyDescent="0.4">
      <c r="A7" s="125">
        <v>2026</v>
      </c>
      <c r="B7" s="18"/>
      <c r="C7" s="18"/>
      <c r="D7" s="18"/>
      <c r="E7" s="18"/>
      <c r="F7" s="18"/>
      <c r="G7" s="18"/>
      <c r="H7" s="18"/>
      <c r="I7" s="18"/>
      <c r="J7" s="18"/>
      <c r="K7" s="18" t="s">
        <v>219</v>
      </c>
      <c r="L7" s="14" t="s">
        <v>711</v>
      </c>
      <c r="M7" s="18" t="s">
        <v>407</v>
      </c>
      <c r="P7" t="s">
        <v>832</v>
      </c>
      <c r="Q7" s="162" t="b">
        <f>NOT(AND(Assessment!C199, Assessment!C203))</f>
        <v>1</v>
      </c>
    </row>
    <row r="8" spans="1:22" x14ac:dyDescent="0.4">
      <c r="A8" s="125">
        <v>2027</v>
      </c>
      <c r="B8" s="18"/>
      <c r="C8" s="18"/>
      <c r="D8" s="18"/>
      <c r="E8" s="18"/>
      <c r="F8" s="18"/>
      <c r="G8" s="18"/>
      <c r="H8" s="18"/>
      <c r="I8" s="18"/>
      <c r="J8" s="18"/>
      <c r="K8" s="18" t="s">
        <v>220</v>
      </c>
      <c r="L8" s="14" t="s">
        <v>712</v>
      </c>
      <c r="M8" s="18" t="s">
        <v>409</v>
      </c>
      <c r="P8" t="s">
        <v>705</v>
      </c>
      <c r="Q8" s="162" t="b">
        <f>OR(INDEX('Step 1 - Set global parameters'!21:21, COLUMN('Step 1 - Set global parameters'!$C$21)):INDEX('Step 1 - Set global parameters'!21:21, COLUMN('Step 1 - Set global parameters'!$C$21) + AdjustmentPeriod + 2))</f>
        <v>0</v>
      </c>
    </row>
    <row r="9" spans="1:22" x14ac:dyDescent="0.4">
      <c r="A9" s="125">
        <v>2028</v>
      </c>
      <c r="B9" s="18"/>
      <c r="C9" s="18"/>
      <c r="D9" s="18"/>
      <c r="E9" s="18"/>
      <c r="F9" s="18"/>
      <c r="G9" s="18"/>
      <c r="H9" s="18"/>
      <c r="I9" s="18"/>
      <c r="J9" s="18"/>
      <c r="K9" s="18" t="s">
        <v>221</v>
      </c>
      <c r="L9" s="14" t="s">
        <v>713</v>
      </c>
      <c r="M9" s="18" t="s">
        <v>438</v>
      </c>
      <c r="P9" t="s">
        <v>735</v>
      </c>
      <c r="Q9" s="162" t="str">
        <f>IF(Country="Select country","",INDEX(Validation!L3:L29,MATCH(Country,Validation!K3:K29,0)))</f>
        <v/>
      </c>
    </row>
    <row r="10" spans="1:22" x14ac:dyDescent="0.4">
      <c r="A10" s="125">
        <v>2029</v>
      </c>
      <c r="B10" s="18"/>
      <c r="C10" s="18"/>
      <c r="D10" s="18"/>
      <c r="E10" s="18"/>
      <c r="F10" s="18"/>
      <c r="G10" s="18"/>
      <c r="H10" s="18"/>
      <c r="I10" s="18"/>
      <c r="J10" s="18"/>
      <c r="K10" s="5" t="s">
        <v>222</v>
      </c>
      <c r="L10" s="14" t="s">
        <v>714</v>
      </c>
      <c r="M10" s="18" t="s">
        <v>436</v>
      </c>
      <c r="P10" t="s">
        <v>700</v>
      </c>
      <c r="Q10" s="166" t="str">
        <f>'Step 1 - Set global parameters'!B16</f>
        <v>Enter date</v>
      </c>
    </row>
    <row r="11" spans="1:22" x14ac:dyDescent="0.4">
      <c r="A11" s="125">
        <v>2030</v>
      </c>
      <c r="B11" s="18"/>
      <c r="C11" s="18"/>
      <c r="D11" s="18"/>
      <c r="E11" s="18"/>
      <c r="F11" s="18"/>
      <c r="G11" s="18"/>
      <c r="H11" s="18"/>
      <c r="I11" s="18"/>
      <c r="J11" s="18"/>
      <c r="K11" s="18" t="s">
        <v>223</v>
      </c>
      <c r="L11" s="14" t="s">
        <v>715</v>
      </c>
      <c r="M11" s="18" t="s">
        <v>440</v>
      </c>
      <c r="P11" t="s">
        <v>816</v>
      </c>
      <c r="Q11" s="160">
        <f>IF(MTP_BaseYearIsTminus2, MTP_YearT-2, MTP_YearT-1)</f>
        <v>2023</v>
      </c>
    </row>
    <row r="12" spans="1:22" x14ac:dyDescent="0.4">
      <c r="A12" s="125">
        <v>2031</v>
      </c>
      <c r="B12" s="18"/>
      <c r="C12" s="18"/>
      <c r="D12" s="18"/>
      <c r="E12" s="18"/>
      <c r="F12" s="18"/>
      <c r="G12" s="18"/>
      <c r="H12" s="18"/>
      <c r="I12" s="18"/>
      <c r="J12" s="18"/>
      <c r="K12" s="18" t="s">
        <v>224</v>
      </c>
      <c r="L12" s="14" t="s">
        <v>716</v>
      </c>
      <c r="M12" s="18" t="s">
        <v>445</v>
      </c>
      <c r="P12" s="159" t="s">
        <v>815</v>
      </c>
      <c r="Q12" s="267" t="b">
        <f>MTP_YearT-MTP_BaseYear=2</f>
        <v>0</v>
      </c>
    </row>
    <row r="13" spans="1:22" x14ac:dyDescent="0.4">
      <c r="A13" s="125">
        <v>2032</v>
      </c>
      <c r="B13" s="18"/>
      <c r="C13" s="18"/>
      <c r="D13" s="18"/>
      <c r="E13" s="18"/>
      <c r="F13" s="18"/>
      <c r="G13" s="18"/>
      <c r="H13" s="18"/>
      <c r="I13" s="18"/>
      <c r="J13" s="18"/>
      <c r="K13" s="18" t="s">
        <v>225</v>
      </c>
      <c r="L13" s="14" t="s">
        <v>717</v>
      </c>
      <c r="M13" s="18" t="s">
        <v>414</v>
      </c>
    </row>
    <row r="14" spans="1:22" x14ac:dyDescent="0.4">
      <c r="A14" s="125">
        <v>2033</v>
      </c>
      <c r="B14" s="18"/>
      <c r="C14" s="18"/>
      <c r="D14" s="18"/>
      <c r="E14" s="18"/>
      <c r="F14" s="18"/>
      <c r="G14" s="18"/>
      <c r="H14" s="18"/>
      <c r="I14" s="18"/>
      <c r="J14" s="18"/>
      <c r="K14" s="18" t="s">
        <v>226</v>
      </c>
      <c r="L14" s="14" t="s">
        <v>718</v>
      </c>
      <c r="M14" s="18" t="s">
        <v>416</v>
      </c>
    </row>
    <row r="15" spans="1:22" x14ac:dyDescent="0.4">
      <c r="A15" s="125">
        <v>2034</v>
      </c>
      <c r="B15" s="18"/>
      <c r="C15" s="18"/>
      <c r="D15" s="18"/>
      <c r="E15" s="18"/>
      <c r="F15" s="18"/>
      <c r="G15" s="18"/>
      <c r="H15" s="18"/>
      <c r="I15" s="18"/>
      <c r="J15" s="18"/>
      <c r="K15" s="18" t="s">
        <v>227</v>
      </c>
      <c r="L15" s="14" t="s">
        <v>719</v>
      </c>
      <c r="M15" s="18" t="s">
        <v>417</v>
      </c>
    </row>
    <row r="16" spans="1:22" x14ac:dyDescent="0.4">
      <c r="A16" s="125">
        <v>2035</v>
      </c>
      <c r="B16" s="18"/>
      <c r="C16" s="18"/>
      <c r="D16" s="18"/>
      <c r="E16" s="18"/>
      <c r="F16" s="18"/>
      <c r="G16" s="18"/>
      <c r="H16" s="18"/>
      <c r="I16" s="18"/>
      <c r="J16" s="18"/>
      <c r="K16" s="18" t="s">
        <v>228</v>
      </c>
      <c r="L16" s="14" t="s">
        <v>720</v>
      </c>
      <c r="M16" s="18" t="s">
        <v>410</v>
      </c>
    </row>
    <row r="17" spans="1:13" x14ac:dyDescent="0.4">
      <c r="A17" s="125">
        <v>2036</v>
      </c>
      <c r="B17" s="18"/>
      <c r="C17" s="18"/>
      <c r="D17" s="18"/>
      <c r="E17" s="18"/>
      <c r="F17" s="18"/>
      <c r="G17" s="18"/>
      <c r="H17" s="18"/>
      <c r="I17" s="18"/>
      <c r="J17" s="18"/>
      <c r="K17" s="18" t="s">
        <v>229</v>
      </c>
      <c r="L17" s="14" t="s">
        <v>721</v>
      </c>
      <c r="M17" s="18" t="s">
        <v>406</v>
      </c>
    </row>
    <row r="18" spans="1:13" x14ac:dyDescent="0.4">
      <c r="A18" s="125">
        <v>2037</v>
      </c>
      <c r="B18" s="18"/>
      <c r="C18" s="18"/>
      <c r="D18" s="18"/>
      <c r="E18" s="18"/>
      <c r="F18" s="18"/>
      <c r="G18" s="18"/>
      <c r="H18" s="18"/>
      <c r="I18" s="18"/>
      <c r="J18" s="18"/>
      <c r="K18" s="18" t="s">
        <v>230</v>
      </c>
      <c r="L18" s="14" t="s">
        <v>722</v>
      </c>
      <c r="M18" s="18" t="s">
        <v>418</v>
      </c>
    </row>
    <row r="19" spans="1:13" x14ac:dyDescent="0.4">
      <c r="A19" s="125">
        <v>2038</v>
      </c>
      <c r="B19" s="18"/>
      <c r="C19" s="18"/>
      <c r="D19" s="18"/>
      <c r="E19" s="18"/>
      <c r="F19" s="18"/>
      <c r="G19" s="18"/>
      <c r="H19" s="18"/>
      <c r="I19" s="18"/>
      <c r="J19" s="18"/>
      <c r="K19" s="18" t="s">
        <v>19</v>
      </c>
      <c r="L19" s="14" t="s">
        <v>723</v>
      </c>
      <c r="M19" s="18" t="s">
        <v>427</v>
      </c>
    </row>
    <row r="20" spans="1:13" x14ac:dyDescent="0.4">
      <c r="A20" s="125">
        <v>2039</v>
      </c>
      <c r="B20" s="18"/>
      <c r="C20" s="18"/>
      <c r="D20" s="18"/>
      <c r="E20" s="18"/>
      <c r="F20" s="18"/>
      <c r="G20" s="18"/>
      <c r="H20" s="18"/>
      <c r="I20" s="18"/>
      <c r="J20" s="18"/>
      <c r="K20" s="18" t="s">
        <v>231</v>
      </c>
      <c r="L20" s="14" t="s">
        <v>724</v>
      </c>
      <c r="M20" s="18" t="s">
        <v>433</v>
      </c>
    </row>
    <row r="21" spans="1:13" x14ac:dyDescent="0.4">
      <c r="A21" s="125">
        <v>2040</v>
      </c>
      <c r="B21" s="18"/>
      <c r="C21" s="18"/>
      <c r="D21" s="18"/>
      <c r="E21" s="18"/>
      <c r="F21" s="18"/>
      <c r="G21" s="18"/>
      <c r="H21" s="18"/>
      <c r="I21" s="18"/>
      <c r="J21" s="18"/>
      <c r="K21" s="18" t="s">
        <v>232</v>
      </c>
      <c r="L21" s="14" t="s">
        <v>725</v>
      </c>
      <c r="M21" s="18" t="s">
        <v>432</v>
      </c>
    </row>
    <row r="22" spans="1:13" x14ac:dyDescent="0.4">
      <c r="A22" s="125">
        <v>2041</v>
      </c>
      <c r="B22" s="18"/>
      <c r="C22" s="18"/>
      <c r="D22" s="18"/>
      <c r="E22" s="18"/>
      <c r="F22" s="18"/>
      <c r="G22" s="18"/>
      <c r="H22" s="18"/>
      <c r="I22" s="18"/>
      <c r="J22" s="18"/>
      <c r="K22" s="18" t="s">
        <v>233</v>
      </c>
      <c r="L22" s="14" t="s">
        <v>726</v>
      </c>
      <c r="M22" s="18" t="s">
        <v>446</v>
      </c>
    </row>
    <row r="23" spans="1:13" x14ac:dyDescent="0.4">
      <c r="A23" s="125">
        <v>2042</v>
      </c>
      <c r="B23" s="18"/>
      <c r="C23" s="18"/>
      <c r="D23" s="18"/>
      <c r="E23" s="18"/>
      <c r="F23" s="18"/>
      <c r="G23" s="18"/>
      <c r="H23" s="18"/>
      <c r="I23" s="18"/>
      <c r="J23" s="18"/>
      <c r="K23" s="18" t="s">
        <v>234</v>
      </c>
      <c r="L23" s="14" t="s">
        <v>727</v>
      </c>
      <c r="M23" s="18" t="s">
        <v>405</v>
      </c>
    </row>
    <row r="24" spans="1:13" x14ac:dyDescent="0.4">
      <c r="A24" s="125">
        <v>2043</v>
      </c>
      <c r="B24" s="18"/>
      <c r="C24" s="18"/>
      <c r="D24" s="18"/>
      <c r="E24" s="18"/>
      <c r="F24" s="18"/>
      <c r="G24" s="18"/>
      <c r="H24" s="18"/>
      <c r="I24" s="18"/>
      <c r="J24" s="18"/>
      <c r="K24" s="18" t="s">
        <v>235</v>
      </c>
      <c r="L24" s="14" t="s">
        <v>728</v>
      </c>
      <c r="M24" s="18" t="s">
        <v>330</v>
      </c>
    </row>
    <row r="25" spans="1:13" x14ac:dyDescent="0.4">
      <c r="A25" s="125">
        <v>2044</v>
      </c>
      <c r="B25" s="18"/>
      <c r="C25" s="18"/>
      <c r="D25" s="18"/>
      <c r="E25" s="18"/>
      <c r="F25" s="18"/>
      <c r="G25" s="18"/>
      <c r="H25" s="18"/>
      <c r="I25" s="18"/>
      <c r="J25" s="18"/>
      <c r="K25" s="18" t="s">
        <v>236</v>
      </c>
      <c r="L25" s="14" t="s">
        <v>729</v>
      </c>
      <c r="M25" s="18" t="s">
        <v>420</v>
      </c>
    </row>
    <row r="26" spans="1:13" x14ac:dyDescent="0.4">
      <c r="A26" s="125">
        <v>2045</v>
      </c>
      <c r="B26" s="18"/>
      <c r="C26" s="18"/>
      <c r="D26" s="18"/>
      <c r="E26" s="18"/>
      <c r="F26" s="18"/>
      <c r="G26" s="18"/>
      <c r="H26" s="18"/>
      <c r="I26" s="18"/>
      <c r="J26" s="18"/>
      <c r="K26" s="18" t="s">
        <v>237</v>
      </c>
      <c r="L26" s="14" t="s">
        <v>730</v>
      </c>
      <c r="M26" s="18" t="s">
        <v>422</v>
      </c>
    </row>
    <row r="27" spans="1:13" x14ac:dyDescent="0.4">
      <c r="A27" s="125">
        <v>2046</v>
      </c>
      <c r="B27" s="18"/>
      <c r="C27" s="18"/>
      <c r="D27" s="18"/>
      <c r="E27" s="18"/>
      <c r="F27" s="18"/>
      <c r="G27" s="18"/>
      <c r="H27" s="18"/>
      <c r="I27" s="18"/>
      <c r="J27" s="18"/>
      <c r="K27" s="18" t="s">
        <v>238</v>
      </c>
      <c r="L27" s="14" t="s">
        <v>731</v>
      </c>
      <c r="M27" s="18" t="s">
        <v>449</v>
      </c>
    </row>
    <row r="28" spans="1:13" x14ac:dyDescent="0.4">
      <c r="A28" s="125">
        <v>2047</v>
      </c>
      <c r="B28" s="18"/>
      <c r="C28" s="18"/>
      <c r="D28" s="18"/>
      <c r="E28" s="18"/>
      <c r="F28" s="18"/>
      <c r="G28" s="18"/>
      <c r="H28" s="18"/>
      <c r="I28" s="18"/>
      <c r="J28" s="18"/>
      <c r="K28" s="18" t="s">
        <v>239</v>
      </c>
      <c r="L28" s="14" t="s">
        <v>732</v>
      </c>
      <c r="M28" s="18" t="s">
        <v>429</v>
      </c>
    </row>
    <row r="29" spans="1:13" x14ac:dyDescent="0.4">
      <c r="A29" s="125">
        <v>2048</v>
      </c>
      <c r="B29" s="18"/>
      <c r="C29" s="18"/>
      <c r="D29" s="18"/>
      <c r="E29" s="18"/>
      <c r="F29" s="18"/>
      <c r="G29" s="18"/>
      <c r="H29" s="18"/>
      <c r="I29" s="18"/>
      <c r="J29" s="18"/>
      <c r="K29" s="18" t="s">
        <v>240</v>
      </c>
      <c r="L29" s="14" t="s">
        <v>733</v>
      </c>
      <c r="M29" s="18" t="s">
        <v>428</v>
      </c>
    </row>
    <row r="30" spans="1:13" x14ac:dyDescent="0.4">
      <c r="A30" s="125">
        <v>2049</v>
      </c>
      <c r="B30" s="18"/>
      <c r="C30" s="18"/>
      <c r="D30" s="18"/>
      <c r="E30" s="18"/>
      <c r="F30" s="18"/>
      <c r="G30" s="18"/>
      <c r="H30" s="18"/>
      <c r="I30" s="18"/>
      <c r="J30" s="18"/>
      <c r="K30" s="5" t="s">
        <v>241</v>
      </c>
      <c r="L30" s="5" t="s">
        <v>734</v>
      </c>
      <c r="M30" s="18" t="s">
        <v>426</v>
      </c>
    </row>
    <row r="31" spans="1:13" x14ac:dyDescent="0.4">
      <c r="A31" s="125">
        <v>2050</v>
      </c>
      <c r="B31" s="18"/>
      <c r="C31" s="18"/>
      <c r="D31" s="18"/>
      <c r="E31" s="18"/>
      <c r="F31" s="18"/>
      <c r="G31" s="18"/>
      <c r="H31" s="18"/>
      <c r="I31" s="18"/>
      <c r="J31" s="18"/>
      <c r="K31" s="18"/>
      <c r="L31" s="18"/>
      <c r="M31" s="18" t="s">
        <v>448</v>
      </c>
    </row>
    <row r="32" spans="1:13" x14ac:dyDescent="0.4">
      <c r="A32" s="125" t="e">
        <f>NA()</f>
        <v>#N/A</v>
      </c>
      <c r="B32" s="18"/>
      <c r="C32" s="18"/>
      <c r="D32" s="18"/>
      <c r="E32" s="18"/>
      <c r="F32" s="18"/>
      <c r="G32" s="18"/>
      <c r="H32" s="18"/>
      <c r="I32" s="18"/>
      <c r="J32" s="18"/>
      <c r="K32" s="18"/>
      <c r="L32" s="18"/>
      <c r="M32" s="18" t="s">
        <v>419</v>
      </c>
    </row>
    <row r="33" spans="1:13" x14ac:dyDescent="0.4">
      <c r="A33" s="18"/>
      <c r="B33" s="18"/>
      <c r="C33" s="18"/>
      <c r="D33" s="18"/>
      <c r="E33" s="18"/>
      <c r="F33" s="18"/>
      <c r="G33" s="18"/>
      <c r="H33" s="18"/>
      <c r="I33" s="18"/>
      <c r="J33" s="18"/>
      <c r="K33" s="18"/>
      <c r="L33" s="18"/>
      <c r="M33" s="18" t="s">
        <v>413</v>
      </c>
    </row>
    <row r="34" spans="1:13" x14ac:dyDescent="0.4">
      <c r="A34" s="18"/>
      <c r="B34" s="18"/>
      <c r="C34" s="18"/>
      <c r="D34" s="18"/>
      <c r="E34" s="18"/>
      <c r="F34" s="18"/>
      <c r="G34" s="18"/>
      <c r="H34" s="18"/>
      <c r="I34" s="18"/>
      <c r="J34" s="18"/>
      <c r="K34" s="18"/>
      <c r="L34" s="18"/>
      <c r="M34" s="18" t="s">
        <v>437</v>
      </c>
    </row>
    <row r="35" spans="1:13" x14ac:dyDescent="0.4">
      <c r="A35" s="18"/>
      <c r="B35" s="18"/>
      <c r="C35" s="18"/>
      <c r="D35" s="18"/>
      <c r="E35" s="18"/>
      <c r="F35" s="18"/>
      <c r="G35" s="18"/>
      <c r="H35" s="18"/>
      <c r="I35" s="18"/>
      <c r="J35" s="18"/>
      <c r="K35" s="18"/>
      <c r="L35" s="18"/>
      <c r="M35" s="18" t="s">
        <v>439</v>
      </c>
    </row>
    <row r="36" spans="1:13" x14ac:dyDescent="0.4">
      <c r="A36" s="18"/>
      <c r="B36" s="18"/>
      <c r="C36" s="18"/>
      <c r="D36" s="18"/>
      <c r="E36" s="18"/>
      <c r="F36" s="18"/>
      <c r="G36" s="18"/>
      <c r="H36" s="18"/>
      <c r="I36" s="18"/>
      <c r="J36" s="18"/>
      <c r="K36" s="18"/>
      <c r="L36" s="18"/>
      <c r="M36" s="18" t="s">
        <v>415</v>
      </c>
    </row>
    <row r="37" spans="1:13" x14ac:dyDescent="0.4">
      <c r="A37" s="18"/>
      <c r="B37" s="18"/>
      <c r="C37" s="18"/>
      <c r="D37" s="18"/>
      <c r="E37" s="18"/>
      <c r="F37" s="18"/>
      <c r="G37" s="18"/>
      <c r="H37" s="18"/>
      <c r="I37" s="18"/>
      <c r="J37" s="18"/>
      <c r="K37" s="18"/>
      <c r="L37" s="18"/>
      <c r="M37" s="18" t="s">
        <v>424</v>
      </c>
    </row>
    <row r="38" spans="1:13" x14ac:dyDescent="0.4">
      <c r="A38" s="18"/>
      <c r="B38" s="18"/>
      <c r="C38" s="18"/>
      <c r="D38" s="18"/>
      <c r="E38" s="18"/>
      <c r="F38" s="18"/>
      <c r="G38" s="18"/>
      <c r="H38" s="18"/>
      <c r="I38" s="18"/>
      <c r="J38" s="18"/>
      <c r="K38" s="18"/>
      <c r="L38" s="18"/>
      <c r="M38" s="18" t="s">
        <v>408</v>
      </c>
    </row>
    <row r="39" spans="1:13" x14ac:dyDescent="0.4">
      <c r="A39" s="18"/>
      <c r="B39" s="18"/>
      <c r="C39" s="18"/>
      <c r="D39" s="18"/>
      <c r="E39" s="18"/>
      <c r="F39" s="18"/>
      <c r="G39" s="18"/>
      <c r="H39" s="18"/>
      <c r="I39" s="18"/>
      <c r="J39" s="18"/>
      <c r="K39" s="18"/>
      <c r="L39" s="18"/>
      <c r="M39" s="18" t="s">
        <v>430</v>
      </c>
    </row>
    <row r="40" spans="1:13" x14ac:dyDescent="0.4">
      <c r="A40" s="18"/>
      <c r="B40" s="18"/>
      <c r="C40" s="18"/>
      <c r="D40" s="18"/>
      <c r="E40" s="18"/>
      <c r="F40" s="18"/>
      <c r="G40" s="18"/>
      <c r="H40" s="18"/>
      <c r="I40" s="18"/>
      <c r="J40" s="18"/>
      <c r="K40" s="18"/>
      <c r="L40" s="18"/>
      <c r="M40" s="18" t="s">
        <v>443</v>
      </c>
    </row>
    <row r="41" spans="1:13" x14ac:dyDescent="0.4">
      <c r="A41" s="18"/>
      <c r="B41" s="18"/>
      <c r="C41" s="18"/>
      <c r="D41" s="18"/>
      <c r="E41" s="18"/>
      <c r="F41" s="18"/>
      <c r="G41" s="18"/>
      <c r="H41" s="18"/>
      <c r="I41" s="18"/>
      <c r="J41" s="18"/>
      <c r="K41" s="18"/>
      <c r="L41" s="18"/>
      <c r="M41" s="287" t="s">
        <v>966</v>
      </c>
    </row>
    <row r="42" spans="1:13" x14ac:dyDescent="0.4">
      <c r="A42" s="18"/>
      <c r="B42" s="18"/>
      <c r="C42" s="18"/>
      <c r="D42" s="18"/>
      <c r="E42" s="18"/>
      <c r="F42" s="18"/>
      <c r="G42" s="18"/>
      <c r="H42" s="18"/>
      <c r="I42" s="18"/>
      <c r="J42" s="18"/>
      <c r="K42" s="5"/>
      <c r="L42" s="5"/>
      <c r="M42" s="18" t="s">
        <v>441</v>
      </c>
    </row>
    <row r="43" spans="1:13" x14ac:dyDescent="0.4">
      <c r="A43" s="18"/>
      <c r="B43" s="18"/>
      <c r="C43" s="18"/>
      <c r="D43" s="18"/>
      <c r="E43" s="18"/>
      <c r="F43" s="18"/>
      <c r="G43" s="18"/>
      <c r="H43" s="18"/>
      <c r="I43" s="18"/>
      <c r="J43" s="18"/>
      <c r="K43" s="18"/>
      <c r="L43" s="18"/>
      <c r="M43" s="18" t="s">
        <v>412</v>
      </c>
    </row>
    <row r="44" spans="1:13" x14ac:dyDescent="0.4">
      <c r="A44" s="18"/>
      <c r="B44" s="18"/>
      <c r="C44" s="18"/>
      <c r="D44" s="18"/>
      <c r="E44" s="18"/>
      <c r="F44" s="18"/>
      <c r="G44" s="18"/>
      <c r="H44" s="18"/>
      <c r="I44" s="18"/>
      <c r="J44" s="18"/>
      <c r="K44" s="18"/>
      <c r="L44" s="18"/>
      <c r="M44" s="18" t="s">
        <v>444</v>
      </c>
    </row>
    <row r="45" spans="1:13" x14ac:dyDescent="0.4">
      <c r="A45" s="18"/>
      <c r="B45" s="18"/>
      <c r="C45" s="18"/>
      <c r="D45" s="18"/>
      <c r="E45" s="18"/>
      <c r="F45" s="18"/>
      <c r="G45" s="18"/>
      <c r="H45" s="18"/>
      <c r="I45" s="18"/>
      <c r="J45" s="18"/>
      <c r="K45" s="18"/>
      <c r="L45" s="18"/>
      <c r="M45" s="18" t="s">
        <v>447</v>
      </c>
    </row>
    <row r="46" spans="1:13" x14ac:dyDescent="0.4">
      <c r="A46" s="18"/>
      <c r="B46" s="18"/>
      <c r="C46" s="18"/>
      <c r="D46" s="18"/>
      <c r="E46" s="18"/>
      <c r="F46" s="18"/>
      <c r="G46" s="18"/>
      <c r="H46" s="18"/>
      <c r="I46" s="18"/>
      <c r="J46" s="18"/>
      <c r="K46" s="18"/>
      <c r="L46" s="18"/>
      <c r="M46" s="18" t="s">
        <v>431</v>
      </c>
    </row>
    <row r="47" spans="1:13" x14ac:dyDescent="0.4">
      <c r="A47" s="18"/>
      <c r="B47" s="18"/>
      <c r="C47" s="18"/>
      <c r="D47" s="18"/>
      <c r="E47" s="18"/>
      <c r="F47" s="18"/>
      <c r="G47" s="18"/>
      <c r="H47" s="18"/>
      <c r="I47" s="18"/>
      <c r="J47" s="18"/>
      <c r="K47" s="18"/>
      <c r="L47" s="18"/>
      <c r="M47" s="18" t="s">
        <v>421</v>
      </c>
    </row>
    <row r="48" spans="1:13" x14ac:dyDescent="0.4">
      <c r="A48" s="18"/>
      <c r="B48" s="18"/>
      <c r="C48" s="18"/>
      <c r="D48" s="18"/>
      <c r="E48" s="18"/>
      <c r="F48" s="18"/>
      <c r="G48" s="18"/>
      <c r="H48" s="18"/>
      <c r="I48" s="18"/>
      <c r="J48" s="18"/>
      <c r="K48" s="18"/>
      <c r="L48" s="18"/>
      <c r="M48" s="5" t="s">
        <v>442</v>
      </c>
    </row>
    <row r="49" spans="1:13" x14ac:dyDescent="0.4">
      <c r="A49" s="18"/>
      <c r="B49" s="18"/>
      <c r="C49" s="18"/>
      <c r="D49" s="18"/>
      <c r="E49" s="18"/>
      <c r="F49" s="18"/>
      <c r="G49" s="18"/>
      <c r="H49" s="18"/>
      <c r="I49" s="18"/>
      <c r="J49" s="18"/>
      <c r="K49" s="18"/>
      <c r="L49" s="18"/>
      <c r="M49" s="18" t="s">
        <v>423</v>
      </c>
    </row>
    <row r="50" spans="1:13" x14ac:dyDescent="0.4">
      <c r="A50" s="18"/>
      <c r="B50" s="18"/>
      <c r="C50" s="18"/>
      <c r="D50" s="18"/>
      <c r="E50" s="18"/>
      <c r="F50" s="18"/>
      <c r="G50" s="18"/>
      <c r="H50" s="18"/>
      <c r="I50" s="18"/>
      <c r="J50" s="18"/>
      <c r="K50" s="18"/>
      <c r="L50" s="18"/>
      <c r="M50" s="5" t="s">
        <v>425</v>
      </c>
    </row>
    <row r="51" spans="1:13" x14ac:dyDescent="0.4">
      <c r="A51" s="18"/>
      <c r="B51" s="18"/>
      <c r="C51" s="18"/>
      <c r="D51" s="18"/>
      <c r="E51" s="18"/>
      <c r="F51" s="18"/>
      <c r="G51" s="18"/>
      <c r="H51" s="18"/>
      <c r="I51" s="18"/>
      <c r="J51" s="18"/>
      <c r="K51" s="18"/>
      <c r="L51" s="18"/>
      <c r="M51" s="18"/>
    </row>
    <row r="52" spans="1:13" x14ac:dyDescent="0.4">
      <c r="A52" s="18"/>
      <c r="B52" s="18"/>
      <c r="C52" s="18"/>
      <c r="D52" s="18"/>
      <c r="E52" s="18"/>
      <c r="F52" s="18"/>
      <c r="G52" s="18"/>
      <c r="H52" s="18"/>
      <c r="I52" s="18"/>
      <c r="J52" s="18"/>
      <c r="K52" s="18"/>
      <c r="L52" s="18"/>
      <c r="M52" s="18"/>
    </row>
    <row r="53" spans="1:13" x14ac:dyDescent="0.4">
      <c r="A53" s="18"/>
      <c r="B53" s="18"/>
      <c r="C53" s="18"/>
      <c r="D53" s="18"/>
      <c r="E53" s="18"/>
      <c r="F53" s="18"/>
      <c r="G53" s="18"/>
      <c r="H53" s="18"/>
      <c r="I53" s="18"/>
      <c r="J53" s="18"/>
      <c r="M53" s="18"/>
    </row>
    <row r="54" spans="1:13" x14ac:dyDescent="0.4">
      <c r="A54" s="18"/>
      <c r="B54" s="18"/>
      <c r="C54" s="18"/>
      <c r="D54" s="18"/>
      <c r="E54" s="18"/>
      <c r="F54" s="18"/>
      <c r="G54" s="18"/>
      <c r="H54" s="18"/>
      <c r="I54" s="18"/>
      <c r="J54" s="18"/>
      <c r="M54" s="18"/>
    </row>
    <row r="55" spans="1:13" x14ac:dyDescent="0.4">
      <c r="A55" s="18"/>
      <c r="B55" s="18"/>
      <c r="C55" s="18"/>
      <c r="D55" s="18"/>
      <c r="E55" s="18"/>
      <c r="F55" s="18"/>
      <c r="G55" s="18"/>
      <c r="H55" s="18"/>
      <c r="I55" s="18"/>
      <c r="J55" s="18"/>
      <c r="M55" s="18"/>
    </row>
    <row r="56" spans="1:13" x14ac:dyDescent="0.4">
      <c r="A56" s="18"/>
      <c r="B56" s="18"/>
      <c r="M56" s="18"/>
    </row>
    <row r="57" spans="1:13" x14ac:dyDescent="0.4">
      <c r="A57"/>
    </row>
    <row r="58" spans="1:13" x14ac:dyDescent="0.4">
      <c r="A58"/>
    </row>
    <row r="59" spans="1:13" x14ac:dyDescent="0.4">
      <c r="A59"/>
    </row>
    <row r="60" spans="1:13" x14ac:dyDescent="0.4">
      <c r="A60"/>
    </row>
    <row r="61" spans="1:13" x14ac:dyDescent="0.4">
      <c r="A61"/>
      <c r="C61"/>
      <c r="D61"/>
      <c r="E61"/>
      <c r="F61"/>
      <c r="G61"/>
      <c r="H61"/>
      <c r="I61"/>
      <c r="J61"/>
      <c r="K61"/>
    </row>
    <row r="62" spans="1:13" x14ac:dyDescent="0.4">
      <c r="A62"/>
      <c r="B62"/>
      <c r="C62"/>
      <c r="D62"/>
      <c r="E62"/>
      <c r="F62"/>
      <c r="G62"/>
      <c r="H62"/>
      <c r="I62"/>
      <c r="J62"/>
      <c r="K62"/>
    </row>
    <row r="63" spans="1:13" x14ac:dyDescent="0.4">
      <c r="A63"/>
      <c r="B63"/>
      <c r="C63"/>
      <c r="D63"/>
      <c r="E63"/>
      <c r="F63"/>
      <c r="G63"/>
      <c r="H63"/>
      <c r="I63"/>
      <c r="J63"/>
      <c r="K63"/>
    </row>
    <row r="64" spans="1:13" x14ac:dyDescent="0.4">
      <c r="A64"/>
      <c r="B64"/>
      <c r="C64"/>
      <c r="D64"/>
      <c r="E64"/>
      <c r="F64"/>
      <c r="G64"/>
      <c r="H64"/>
      <c r="I64"/>
      <c r="J64"/>
      <c r="K64"/>
    </row>
    <row r="65" spans="1:13" x14ac:dyDescent="0.4">
      <c r="A65"/>
      <c r="B65"/>
      <c r="C65"/>
      <c r="D65"/>
      <c r="E65"/>
      <c r="F65"/>
      <c r="G65"/>
      <c r="H65"/>
      <c r="I65"/>
      <c r="J65"/>
      <c r="K65"/>
    </row>
    <row r="66" spans="1:13" x14ac:dyDescent="0.4">
      <c r="A66"/>
      <c r="B66"/>
      <c r="C66"/>
      <c r="D66"/>
      <c r="E66"/>
      <c r="F66"/>
      <c r="G66"/>
      <c r="H66"/>
      <c r="I66"/>
      <c r="J66"/>
      <c r="K66"/>
    </row>
    <row r="67" spans="1:13" x14ac:dyDescent="0.4">
      <c r="A67"/>
      <c r="B67"/>
      <c r="C67"/>
      <c r="D67"/>
      <c r="E67"/>
      <c r="F67"/>
      <c r="G67"/>
      <c r="H67"/>
      <c r="I67"/>
      <c r="J67"/>
      <c r="K67"/>
    </row>
    <row r="68" spans="1:13" x14ac:dyDescent="0.4">
      <c r="A68"/>
      <c r="B68"/>
      <c r="C68"/>
      <c r="D68"/>
      <c r="E68"/>
      <c r="F68"/>
      <c r="G68"/>
      <c r="H68"/>
      <c r="I68"/>
      <c r="J68"/>
      <c r="K68"/>
    </row>
    <row r="69" spans="1:13" x14ac:dyDescent="0.4">
      <c r="A69"/>
      <c r="B69"/>
      <c r="C69"/>
      <c r="D69"/>
      <c r="E69"/>
      <c r="F69"/>
      <c r="G69"/>
      <c r="H69"/>
      <c r="I69"/>
      <c r="J69"/>
      <c r="K69"/>
    </row>
    <row r="70" spans="1:13" x14ac:dyDescent="0.4">
      <c r="A70"/>
      <c r="B70"/>
      <c r="C70"/>
      <c r="D70"/>
      <c r="E70"/>
      <c r="F70"/>
      <c r="G70"/>
      <c r="H70"/>
      <c r="I70"/>
      <c r="J70"/>
      <c r="K70"/>
    </row>
    <row r="71" spans="1:13" x14ac:dyDescent="0.4">
      <c r="A71"/>
      <c r="B71"/>
      <c r="C71"/>
      <c r="D71"/>
      <c r="E71"/>
      <c r="F71"/>
      <c r="G71"/>
      <c r="H71"/>
      <c r="I71"/>
      <c r="J71"/>
      <c r="K71"/>
    </row>
    <row r="72" spans="1:13" x14ac:dyDescent="0.4">
      <c r="A72"/>
      <c r="B72"/>
      <c r="C72"/>
      <c r="D72"/>
      <c r="E72"/>
      <c r="F72"/>
      <c r="G72"/>
      <c r="H72"/>
      <c r="I72"/>
      <c r="J72"/>
      <c r="K72"/>
    </row>
    <row r="73" spans="1:13" x14ac:dyDescent="0.4">
      <c r="A73"/>
      <c r="B73"/>
      <c r="C73"/>
      <c r="D73"/>
      <c r="E73"/>
      <c r="F73"/>
      <c r="G73"/>
      <c r="H73"/>
      <c r="I73"/>
      <c r="J73"/>
      <c r="K73"/>
    </row>
    <row r="74" spans="1:13" customFormat="1" ht="13.5" customHeight="1" x14ac:dyDescent="0.4">
      <c r="A74" s="14"/>
      <c r="B74" s="14"/>
      <c r="K74" s="38"/>
      <c r="M74" s="14"/>
    </row>
    <row r="75" spans="1:13" x14ac:dyDescent="0.4">
      <c r="A75"/>
      <c r="B75"/>
      <c r="C75"/>
      <c r="D75"/>
      <c r="E75"/>
      <c r="F75"/>
      <c r="G75"/>
      <c r="H75"/>
      <c r="I75"/>
      <c r="J75"/>
      <c r="K75"/>
      <c r="M75"/>
    </row>
    <row r="76" spans="1:13" x14ac:dyDescent="0.4">
      <c r="A76"/>
      <c r="B76"/>
    </row>
  </sheetData>
  <sortState xmlns:xlrd2="http://schemas.microsoft.com/office/spreadsheetml/2017/richdata2" ref="M3:M49">
    <sortCondition ref="M3:M49"/>
  </sortState>
  <dataValidations disablePrompts="1" count="1">
    <dataValidation type="list" allowBlank="1" showInputMessage="1" showErrorMessage="1" sqref="T4:T5" xr:uid="{784558B0-C07D-470B-AD54-CCF5D3A57AA3}">
      <formula1>$A$4:$A$32</formula1>
    </dataValidation>
  </dataValidation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07DA7-31D0-4BD8-88AC-881C47690F1F}">
  <sheetPr codeName="Sheet5"/>
  <dimension ref="B9:C23"/>
  <sheetViews>
    <sheetView showGridLines="0" zoomScaleNormal="100" workbookViewId="0"/>
  </sheetViews>
  <sheetFormatPr defaultRowHeight="13.15" x14ac:dyDescent="0.4"/>
  <cols>
    <col min="1" max="1" width="5.28515625" customWidth="1"/>
    <col min="2" max="2" width="11" customWidth="1"/>
    <col min="3" max="3" width="3.28515625" bestFit="1" customWidth="1"/>
  </cols>
  <sheetData>
    <row r="9" spans="2:3" x14ac:dyDescent="0.4">
      <c r="B9" t="s">
        <v>963</v>
      </c>
      <c r="C9" s="4"/>
    </row>
    <row r="10" spans="2:3" x14ac:dyDescent="0.4">
      <c r="C10" s="4"/>
    </row>
    <row r="11" spans="2:3" x14ac:dyDescent="0.4">
      <c r="B11" t="s">
        <v>556</v>
      </c>
    </row>
    <row r="12" spans="2:3" x14ac:dyDescent="0.4">
      <c r="B12" t="s">
        <v>557</v>
      </c>
    </row>
    <row r="13" spans="2:3" x14ac:dyDescent="0.4">
      <c r="B13" t="s">
        <v>581</v>
      </c>
    </row>
    <row r="14" spans="2:3" x14ac:dyDescent="0.4">
      <c r="B14" t="s">
        <v>828</v>
      </c>
    </row>
    <row r="15" spans="2:3" x14ac:dyDescent="0.4">
      <c r="B15" t="s">
        <v>829</v>
      </c>
    </row>
    <row r="16" spans="2:3" x14ac:dyDescent="0.4">
      <c r="B16" t="s">
        <v>558</v>
      </c>
    </row>
    <row r="18" spans="2:2" x14ac:dyDescent="0.4">
      <c r="B18" t="s">
        <v>559</v>
      </c>
    </row>
    <row r="19" spans="2:2" x14ac:dyDescent="0.4">
      <c r="B19" t="s">
        <v>560</v>
      </c>
    </row>
    <row r="20" spans="2:2" x14ac:dyDescent="0.4">
      <c r="B20" t="s">
        <v>561</v>
      </c>
    </row>
    <row r="22" spans="2:2" x14ac:dyDescent="0.4">
      <c r="B22" t="s">
        <v>964</v>
      </c>
    </row>
    <row r="23" spans="2:2" x14ac:dyDescent="0.4">
      <c r="B23" t="s">
        <v>580</v>
      </c>
    </row>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67BCFD6-38AB-4CF2-A8D1-66D5C15E688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26</vt:i4>
      </vt:variant>
    </vt:vector>
  </HeadingPairs>
  <TitlesOfParts>
    <vt:vector size="38" baseType="lpstr">
      <vt:lpstr>Step 1 - Set global parameters</vt:lpstr>
      <vt:lpstr>Step 2 - Update outturn data</vt:lpstr>
      <vt:lpstr>Step 3 (IMPL) - Enter outlook</vt:lpstr>
      <vt:lpstr>Step 4 (IMPL) - View results</vt:lpstr>
      <vt:lpstr>Step 3 (MTP) - Plan and prior</vt:lpstr>
      <vt:lpstr>Step 4 (MTP) - IFI scrutiny</vt:lpstr>
      <vt:lpstr>Step 5 (MTP) - View results</vt:lpstr>
      <vt:lpstr>Custom scenario tool</vt:lpstr>
      <vt:lpstr>Assessment</vt:lpstr>
      <vt:lpstr>Chart data</vt:lpstr>
      <vt:lpstr>Validation</vt:lpstr>
      <vt:lpstr>About FISCO</vt:lpstr>
      <vt:lpstr>AdjustmentPeriod</vt:lpstr>
      <vt:lpstr>AdjustmentPeriodEnd</vt:lpstr>
      <vt:lpstr>AssessmentEnd</vt:lpstr>
      <vt:lpstr>AssessmentRound</vt:lpstr>
      <vt:lpstr>Country</vt:lpstr>
      <vt:lpstr>Debt_EDP_Deadline</vt:lpstr>
      <vt:lpstr>EscapeClauseActivated</vt:lpstr>
      <vt:lpstr>EurostatCountryCode</vt:lpstr>
      <vt:lpstr>IFI_Name</vt:lpstr>
      <vt:lpstr>MTP_BaseYear</vt:lpstr>
      <vt:lpstr>MTP_BaseYearIsTminus2</vt:lpstr>
      <vt:lpstr>MTP_Council_Endorsed</vt:lpstr>
      <vt:lpstr>MTP_EndYear</vt:lpstr>
      <vt:lpstr>MTP_PlanFirstYear</vt:lpstr>
      <vt:lpstr>MTP_PlanningHorizon</vt:lpstr>
      <vt:lpstr>MTP_Requirement</vt:lpstr>
      <vt:lpstr>MTP_YearT</vt:lpstr>
      <vt:lpstr>OutturnThrough</vt:lpstr>
      <vt:lpstr>PriorGuidanceTransmissionDate</vt:lpstr>
      <vt:lpstr>Receives_reference_trajectory</vt:lpstr>
      <vt:lpstr>ScenarioName</vt:lpstr>
      <vt:lpstr>StochasticLastYear</vt:lpstr>
      <vt:lpstr>TFEU_Debt</vt:lpstr>
      <vt:lpstr>TFEU_Deficit</vt:lpstr>
      <vt:lpstr>TransEDP_End</vt:lpstr>
      <vt:lpstr>TransEDP_Start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Scott Cameron</dc:creator>
  <cp:lastModifiedBy>Scott Cameron</cp:lastModifiedBy>
  <cp:lastPrinted>2025-08-19T20:00:15Z</cp:lastPrinted>
  <dcterms:created xsi:type="dcterms:W3CDTF">2015-06-05T18:17:20Z</dcterms:created>
  <dcterms:modified xsi:type="dcterms:W3CDTF">2026-08-11T18:48:38Z</dcterms:modified>
</cp:coreProperties>
</file>