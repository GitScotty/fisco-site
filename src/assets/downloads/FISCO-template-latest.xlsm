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ef7a825b9bce984a/Desktop/"/>
    </mc:Choice>
  </mc:AlternateContent>
  <xr:revisionPtr revIDLastSave="0" documentId="8_{15F10959-2B98-4B7F-8479-A9114C472C01}" xr6:coauthVersionLast="47" xr6:coauthVersionMax="47" xr10:uidLastSave="{00000000-0000-0000-0000-000000000000}"/>
  <bookViews>
    <workbookView xWindow="-60" yWindow="-60" windowWidth="21720" windowHeight="12900" tabRatio="624" firstSheet="1" activeTab="3"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2" i="64" l="1"/>
  <c r="D14" i="76"/>
  <c r="E63" i="77"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40" i="76" l="1"/>
  <c r="J19" i="65"/>
  <c r="J18" i="65"/>
  <c r="I137" i="64"/>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G21" i="64"/>
  <c r="E23" i="74"/>
  <c r="E21" i="64"/>
  <c r="F23" i="74"/>
  <c r="F21" i="64" s="1"/>
  <c r="F8" i="74"/>
  <c r="F6" i="64" s="1"/>
  <c r="E8" i="74"/>
  <c r="D23" i="74"/>
  <c r="D21" i="6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C200" i="64" l="1"/>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101" i="64" s="1" a="1"/>
  <c r="C101"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8" i="64"/>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G129" i="64"/>
  <c r="H131" i="64" s="1"/>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F19" i="21"/>
  <c r="D130" i="64"/>
  <c r="D129" i="64"/>
  <c r="E131" i="64" s="1"/>
  <c r="E132" i="64" s="1"/>
  <c r="U44" i="65"/>
  <c r="U84" i="65"/>
  <c r="F84" i="65"/>
  <c r="P84" i="65"/>
  <c r="H84" i="65"/>
  <c r="J84" i="65"/>
  <c r="N44" i="65"/>
  <c r="M44" i="65"/>
  <c r="R44" i="65"/>
  <c r="T44" i="65"/>
  <c r="K44" i="65"/>
  <c r="S44" i="65"/>
  <c r="C307" i="64"/>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E142" i="64"/>
  <c r="E44" i="76" s="1"/>
  <c r="E141" i="64"/>
  <c r="E143" i="64" s="1"/>
  <c r="G37" i="76"/>
  <c r="G126" i="64"/>
  <c r="I37" i="76" l="1"/>
  <c r="I126" i="64"/>
  <c r="H41" i="76"/>
  <c r="H144" i="64"/>
  <c r="H45" i="76" s="1"/>
  <c r="G44" i="76"/>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C154" i="64" l="1"/>
  <c r="H143" i="64"/>
  <c r="H149" i="64" s="1"/>
  <c r="I141" i="64"/>
  <c r="I143" i="64" s="1"/>
  <c r="I149" i="64" s="1"/>
  <c r="G143" i="64"/>
  <c r="F149" i="64"/>
  <c r="C186" i="64" a="1"/>
  <c r="C186" i="64" s="1"/>
  <c r="C187" i="64" a="1"/>
  <c r="C187" i="64" s="1"/>
  <c r="C190" i="64"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6" i="64"/>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D323"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C159" i="64" l="1"/>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E10" i="76"/>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E14" i="76"/>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family val="2"/>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<sst xmlns="http://schemas.openxmlformats.org/spreadsheetml/2006/main" count="2100" uniqueCount="966">
  <si>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</si>
  <si>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</si>
  <si>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</si>
  <si>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</si>
  <si>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</si>
  <si>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</si>
  <si>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</si>
  <si>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</si>
  <si>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</si>
  <si>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</si>
  <si>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</si>
  <si>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</si>
  <si>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</si>
  <si>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</si>
  <si>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</si>
  <si>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</si>
  <si>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</si>
  <si>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</si>
  <si>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</si>
  <si>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</si>
  <si>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</si>
  <si>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</si>
  <si>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</si>
  <si>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</si>
  <si>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</si>
  <si>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</si>
  <si>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</si>
  <si>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</si>
  <si>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</si>
  <si>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</si>
  <si>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</si>
  <si>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</si>
  <si>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</si>
  <si>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</si>
  <si>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</si>
  <si>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</si>
  <si>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</si>
  <si>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</si>
  <si>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</si>
  <si>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</si>
  <si>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</si>
  <si>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</si>
  <si>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</si>
  <si>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</si>
  <si>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</si>
  <si>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</si>
  <si>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</si>
  <si>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</si>
  <si>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</si>
  <si>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</si>
  <si>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</si>
  <si>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</si>
  <si>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</si>
  <si>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</si>
  <si>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</si>
  <si>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</si>
  <si>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</si>
  <si>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</si>
  <si>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</si>
  <si>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</si>
  <si>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</si>
  <si>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</si>
  <si>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</si>
  <si>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</si>
  <si>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</si>
  <si>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</si>
  <si>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</si>
  <si>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</si>
  <si>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</si>
  <si>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</si>
  <si>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</si>
  <si>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</si>
  <si>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</si>
  <si>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</si>
  <si>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</si>
  <si>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</si>
  <si>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</si>
  <si>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</si>
  <si>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</si>
  <si>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</si>
  <si>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</si>
  <si>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</si>
  <si>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</si>
  <si>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</si>
  <si>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</si>
  <si>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</si>
  <si>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</si>
  <si>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</si>
  <si>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</si>
  <si>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</si>
  <si>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</si>
  <si>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</si>
  <si>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</si>
  <si>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</si>
  <si>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</si>
  <si>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</si>
  <si>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</si>
  <si>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</si>
  <si>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</si>
  <si>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</si>
  <si>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</si>
  <si>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</si>
  <si>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</si>
  <si>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</si>
  <si>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</si>
  <si>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</si>
  <si>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</si>
  <si>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</si>
  <si>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</si>
  <si>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</si>
  <si>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</si>
  <si>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</si>
  <si>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</si>
  <si>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</si>
  <si>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</si>
  <si>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</si>
  <si>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</si>
  <si>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</si>
  <si>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</si>
  <si>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</si>
  <si>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</si>
  <si>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</si>
  <si>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</si>
  <si>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</si>
  <si>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</si>
  <si>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</si>
  <si>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</si>
  <si>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</si>
  <si>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</si>
  <si>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</si>
  <si>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</si>
  <si>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</si>
  <si>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</si>
  <si>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</si>
  <si>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</si>
  <si>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</si>
  <si>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</si>
  <si>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</si>
  <si>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</si>
  <si>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</si>
  <si>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</si>
  <si>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</si>
  <si>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</si>
  <si>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</si>
  <si>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</si>
  <si>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</si>
  <si>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</si>
  <si>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</si>
  <si>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</si>
  <si>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</si>
  <si>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</si>
  <si>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</si>
  <si>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</si>
  <si>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</si>
  <si>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</si>
  <si>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</si>
  <si>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</si>
  <si>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</si>
  <si>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</si>
  <si>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</si>
  <si>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</si>
  <si>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</si>
  <si>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</si>
  <si>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</si>
  <si>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</si>
  <si>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</si>
  <si>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</si>
  <si>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</si>
  <si>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</si>
  <si>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</si>
  <si>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</si>
  <si>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</si>
  <si>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</si>
  <si>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</si>
  <si>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</si>
  <si>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</si>
  <si>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</si>
  <si>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</si>
  <si>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</si>
  <si>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</si>
  <si>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</si>
  <si>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</si>
  <si>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</si>
  <si>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</si>
  <si>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</si>
  <si>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</si>
  <si>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</si>
  <si>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</si>
  <si>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</si>
  <si>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</si>
  <si>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</si>
  <si>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</si>
  <si>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</si>
  <si>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</si>
  <si>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</si>
  <si>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</si>
  <si>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</si>
  <si>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</si>
  <si>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</si>
  <si>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</si>
  <si>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</si>
  <si>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</si>
  <si>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</si>
  <si>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</si>
  <si>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</si>
  <si>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</si>
  <si>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</si>
  <si>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</si>
  <si>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</si>
  <si>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</si>
  <si>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</si>
  <si>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</si>
  <si>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</si>
  <si>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</si>
  <si>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</si>
  <si>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</si>
  <si>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</si>
  <si>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</si>
  <si>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</si>
  <si>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</si>
  <si>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</si>
  <si>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</si>
  <si>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</si>
  <si>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</si>
  <si>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</si>
  <si>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</si>
  <si>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</si>
  <si>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</si>
  <si>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</si>
  <si>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</si>
  <si>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</si>
  <si>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</si>
  <si>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</si>
  <si>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</si>
  <si>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</si>
  <si>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</si>
  <si>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</si>
  <si>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</si>
  <si>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</si>
  <si>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</si>
  <si>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</si>
  <si>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</si>
  <si>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</si>
  <si>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</si>
  <si>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</si>
  <si>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</si>
  <si>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</si>
  <si>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</si>
  <si>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</si>
  <si>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</si>
  <si>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</si>
  <si>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</si>
  <si>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</si>
  <si>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</si>
  <si>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</si>
  <si>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</si>
  <si>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</si>
  <si>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</si>
  <si>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</si>
  <si>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</si>
  <si>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</si>
  <si>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</si>
  <si>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</si>
  <si>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</si>
  <si>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</si>
  <si>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</si>
  <si>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</si>
  <si>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</si>
  <si>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</si>
  <si>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</si>
  <si>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</si>
  <si>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</si>
  <si>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</si>
  <si>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</si>
  <si>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</si>
  <si>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</si>
  <si>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</si>
  <si>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</si>
  <si>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</si>
  <si>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</si>
  <si>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</si>
  <si>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</si>
  <si>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</si>
  <si>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</si>
  <si>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</si>
  <si>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</si>
  <si>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</si>
  <si>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</si>
  <si>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</si>
  <si>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</si>
  <si>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</si>
  <si>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</si>
  <si>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</si>
  <si>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</si>
  <si>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</si>
  <si>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</si>
  <si>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</si>
  <si>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</si>
  <si>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</si>
  <si>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</si>
  <si>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</si>
  <si>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</si>
  <si>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</si>
  <si>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</si>
  <si>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</si>
  <si>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</si>
  <si>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</si>
  <si>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</si>
  <si>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</si>
  <si>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</si>
  <si>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</si>
  <si>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</si>
  <si>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</si>
  <si>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</si>
  <si>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</si>
  <si>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</si>
  <si>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</si>
  <si>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</si>
  <si>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</si>
  <si>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</si>
  <si>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</si>
  <si>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</si>
  <si>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</si>
  <si>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</si>
  <si>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</si>
  <si>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</si>
  <si>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</si>
  <si>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</si>
  <si>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</si>
  <si>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</si>
  <si>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</si>
  <si>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</si>
  <si>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</si>
  <si>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</si>
  <si>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</si>
  <si>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</si>
  <si>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</si>
  <si>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</si>
  <si>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</si>
  <si>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</si>
  <si>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</si>
  <si>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</si>
  <si>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</si>
  <si>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</si>
  <si>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</si>
  <si>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</si>
  <si>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</si>
  <si>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</si>
  <si>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</si>
  <si>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</si>
  <si>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</si>
  <si>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</si>
  <si>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</si>
  <si>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</si>
  <si>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</si>
  <si>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</si>
  <si>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</si>
  <si>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</si>
  <si>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</si>
  <si>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</si>
  <si>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</si>
  <si>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</si>
  <si>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</si>
  <si>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</si>
  <si>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</si>
  <si>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</si>
  <si>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</si>
  <si>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</si>
  <si>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</si>
  <si>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</si>
  <si>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</si>
  <si>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</si>
  <si>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</si>
  <si>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</si>
  <si>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</si>
  <si>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</si>
  <si>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</si>
  <si>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</si>
  <si>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</si>
  <si>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</si>
  <si>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</si>
  <si>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</si>
  <si>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</si>
  <si>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</si>
  <si>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</si>
  <si>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</si>
  <si>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</si>
  <si>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</si>
  <si>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</si>
  <si>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</si>
  <si>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</si>
  <si>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</si>
  <si>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</si>
  <si>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</si>
  <si>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</si>
  <si>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</si>
  <si>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</si>
  <si>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</si>
  <si>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</si>
  <si>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</si>
  <si>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</si>
  <si>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</si>
  <si>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</si>
  <si>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</si>
  <si>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</si>
  <si>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</si>
  <si>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</si>
  <si>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</si>
  <si>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</si>
  <si>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</si>
  <si>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</si>
  <si>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</si>
  <si>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</si>
  <si>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</si>
  <si>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</si>
  <si>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</si>
  <si>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</si>
  <si>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</si>
  <si>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</si>
  <si>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</si>
  <si>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</si>
  <si>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</si>
  <si>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</si>
  <si>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</si>
  <si>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</si>
  <si>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</si>
  <si>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</si>
  <si>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</si>
  <si>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</si>
  <si>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</si>
  <si>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</si>
  <si>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</si>
  <si>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</si>
  <si>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</si>
  <si>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</si>
  <si>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</si>
  <si>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</si>
  <si>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</si>
  <si>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</si>
  <si>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</si>
  <si>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</si>
  <si>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</si>
  <si>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</si>
  <si>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</si>
  <si>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</si>
  <si>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</si>
  <si>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</si>
  <si>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</si>
  <si>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</si>
  <si>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</si>
  <si>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</si>
  <si>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</si>
  <si>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</si>
  <si>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</si>
  <si>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</si>
  <si>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</si>
  <si>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</si>
  <si>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</si>
  <si>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</si>
  <si>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</si>
  <si>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</si>
  <si>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</si>
  <si>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</si>
  <si>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</si>
  <si>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</si>
  <si>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</si>
  <si>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</si>
  <si>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</si>
  <si>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</si>
  <si>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</si>
  <si>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</si>
  <si>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</si>
  <si>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</si>
  <si>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</si>
  <si>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</si>
  <si>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</si>
  <si>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</si>
  <si>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</si>
  <si>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</si>
  <si>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</si>
  <si>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</si>
  <si>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</si>
  <si>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</si>
  <si>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</si>
  <si>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</si>
  <si>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</si>
  <si>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</si>
  <si>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</si>
  <si>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</si>
  <si>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</si>
  <si>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</si>
  <si>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</si>
  <si>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</si>
  <si>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</si>
  <si>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</si>
  <si>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</si>
  <si>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</si>
  <si>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</si>
  <si>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</si>
  <si>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</si>
  <si>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</si>
  <si>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</si>
  <si>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</si>
  <si>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</si>
  <si>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</si>
  <si>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</si>
  <si>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</si>
  <si>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</si>
  <si>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</si>
  <si>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</si>
  <si>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</si>
  <si>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</si>
  <si>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</si>
  <si>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</si>
  <si>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</si>
  <si>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</si>
  <si>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</si>
  <si>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</si>
  <si>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</si>
  <si>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</si>
  <si>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</si>
  <si>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</si>
  <si>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</si>
  <si>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</si>
  <si>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</si>
  <si>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</si>
  <si>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</si>
  <si>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</si>
  <si>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</si>
  <si>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</si>
  <si>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</si>
  <si>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</si>
  <si>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</si>
  <si>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</si>
  <si>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</si>
  <si>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</si>
  <si>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</si>
  <si>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</si>
  <si>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</si>
  <si>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</si>
  <si>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</si>
  <si>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</si>
  <si>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</si>
  <si>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</si>
  <si>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</si>
  <si>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</si>
  <si>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</si>
  <si>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</si>
  <si>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</si>
  <si>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</si>
  <si>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</si>
  <si>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</si>
  <si>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</si>
  <si>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</si>
  <si>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</si>
  <si>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</si>
  <si>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</si>
  <si>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</si>
  <si>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</si>
  <si>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</si>
  <si>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</si>
  <si>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</si>
  <si>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</si>
  <si>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</si>
  <si>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</si>
  <si>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</si>
  <si>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</si>
  <si>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</si>
  <si>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</si>
  <si>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</si>
  <si>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</si>
  <si>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</si>
  <si>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</si>
  <si>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</si>
  <si>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</si>
  <si>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</si>
  <si>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</si>
  <si>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</si>
  <si>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</si>
  <si>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</si>
  <si>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</si>
  <si>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</si>
  <si>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</si>
  <si>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</si>
  <si>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</si>
  <si>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</si>
  <si>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</si>
  <si>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</si>
  <si>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</si>
  <si>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</si>
  <si>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</si>
  <si>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</si>
  <si>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</si>
  <si>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</si>
  <si>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</si>
  <si>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</si>
  <si>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</si>
  <si>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</si>
  <si>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</si>
  <si>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</si>
  <si>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</si>
  <si>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</si>
  <si>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</si>
  <si>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</si>
  <si>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</si>
  <si>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</si>
  <si>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</si>
  <si>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</si>
  <si>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</si>
  <si>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</si>
  <si>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</si>
  <si>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</si>
  <si>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</si>
  <si>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</si>
  <si>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</si>
  <si>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</si>
  <si>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</si>
  <si>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</si>
  <si>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</si>
  <si>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</si>
  <si>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</si>
  <si>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</si>
  <si>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</si>
  <si>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</si>
  <si>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</si>
  <si>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</si>
  <si>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</si>
  <si>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</si>
  <si>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</si>
  <si>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</si>
  <si>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</si>
  <si>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</si>
  <si>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</si>
  <si>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</si>
  <si>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</si>
  <si>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</si>
  <si>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</si>
  <si>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</si>
  <si>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</si>
  <si>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</si>
  <si>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</si>
  <si>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</si>
  <si>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</si>
  <si>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</si>
  <si>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</si>
  <si>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</si>
  <si>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</si>
  <si>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</si>
  <si>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</si>
  <si>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</si>
  <si>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</si>
  <si>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</si>
  <si>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</si>
  <si>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</si>
  <si>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</si>
  <si>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</si>
  <si>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</si>
  <si>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</si>
  <si>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</si>
  <si>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</si>
  <si>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</si>
  <si>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</si>
  <si>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</si>
  <si>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</si>
  <si>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</si>
  <si>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</si>
  <si>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</si>
  <si>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</si>
  <si>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</si>
  <si>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</si>
  <si>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</si>
  <si>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</si>
  <si>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</si>
  <si>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</si>
  <si>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</si>
  <si>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</si>
  <si>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</si>
  <si>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</si>
  <si>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</si>
  <si>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</si>
  <si>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</si>
  <si>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</si>
  <si>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</si>
  <si>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</si>
  <si>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</si>
  <si>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</si>
  <si>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</si>
  <si>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</si>
  <si>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</si>
  <si>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</si>
  <si>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</si>
  <si>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</si>
  <si>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</si>
  <si>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</si>
  <si>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</si>
  <si>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</si>
  <si>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</si>
  <si>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</si>
  <si>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</si>
  <si>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</si>
  <si>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</si>
  <si>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</si>
  <si>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</si>
  <si>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</si>
  <si>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</si>
  <si>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</si>
  <si>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</si>
  <si>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</si>
  <si>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</si>
  <si>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</si>
  <si>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</si>
  <si>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</si>
  <si>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</si>
  <si>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</si>
  <si>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</si>
  <si>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</si>
  <si>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</si>
  <si>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</si>
  <si>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</si>
  <si>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</si>
  <si>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</si>
  <si>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</si>
  <si>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</si>
  <si>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</si>
  <si>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</si>
  <si>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</si>
  <si>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</si>
  <si>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</si>
  <si>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</si>
  <si>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</si>
  <si>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</si>
  <si>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</si>
  <si>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</si>
  <si>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</si>
  <si>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</si>
  <si>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</si>
  <si>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</si>
  <si>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</si>
  <si>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</si>
  <si>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</si>
  <si>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</si>
  <si>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</si>
  <si>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</si>
  <si>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</si>
  <si>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</si>
  <si>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</si>
  <si>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</si>
  <si>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</si>
  <si>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</si>
  <si>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</si>
  <si>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</si>
  <si>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</si>
  <si>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</si>
  <si>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</si>
  <si>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</si>
  <si>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</si>
  <si>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</si>
  <si>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</si>
  <si>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</si>
  <si>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</si>
  <si>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</si>
  <si>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</si>
  <si>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</si>
  <si>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</si>
  <si>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</si>
  <si>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</si>
  <si>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</si>
  <si>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</si>
  <si>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</si>
  <si>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</si>
  <si>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</si>
  <si>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</si>
  <si>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</si>
  <si>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</si>
  <si>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</si>
  <si>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</si>
  <si>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</si>
  <si>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</si>
  <si>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</si>
  <si>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</si>
  <si>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</si>
  <si>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</si>
  <si>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</si>
  <si>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</si>
  <si>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</si>
  <si>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</si>
  <si>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</si>
  <si>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</si>
  <si>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</si>
  <si>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</si>
  <si>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</si>
  <si>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</si>
  <si>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</si>
  <si>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</si>
  <si>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</si>
  <si>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</si>
  <si>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</si>
  <si>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</si>
  <si>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</si>
  <si>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</si>
  <si>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</si>
  <si>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</si>
  <si>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</si>
  <si>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</si>
  <si>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</si>
  <si>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</si>
  <si>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</si>
  <si>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</si>
  <si>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</si>
  <si>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</si>
  <si>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</si>
  <si>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</si>
  <si>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</si>
  <si>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</si>
  <si>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</si>
  <si>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</si>
  <si>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</si>
  <si>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</si>
  <si>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</si>
  <si>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</si>
  <si>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</si>
  <si>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</si>
  <si>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</si>
  <si>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</si>
  <si>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</si>
  <si>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</si>
  <si>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</si>
  <si>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</si>
  <si>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</si>
  <si>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</si>
  <si>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</si>
  <si>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</si>
  <si>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</si>
  <si>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</si>
  <si>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</si>
  <si>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</si>
  <si>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</si>
  <si>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</si>
  <si>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</si>
  <si>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</si>
  <si>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</si>
  <si>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</si>
  <si>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</si>
  <si>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</si>
  <si>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</si>
  <si>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</si>
  <si>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</si>
  <si>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</si>
  <si>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</si>
  <si>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</si>
  <si>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</si>
  <si>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</si>
  <si>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</si>
  <si>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</si>
  <si>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</si>
  <si>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</si>
  <si>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</si>
  <si>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</si>
  <si>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</si>
  <si>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</si>
  <si>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</si>
  <si>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</si>
  <si>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</si>
  <si>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</si>
  <si>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</si>
  <si>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</si>
  <si>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</si>
  <si>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</si>
  <si>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</si>
  <si>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</si>
  <si>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</si>
  <si>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</si>
  <si>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</si>
  <si>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</si>
  <si>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</si>
  <si>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</si>
  <si>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</si>
  <si>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</si>
  <si>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</si>
  <si>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</si>
  <si>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</si>
  <si>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</si>
  <si>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</si>
  <si>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</si>
  <si>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</si>
  <si>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</si>
  <si>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</si>
  <si>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</si>
  <si>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</si>
  <si>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</si>
  <si>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</si>
  <si>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</si>
  <si>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</si>
  <si>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</si>
  <si>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</si>
  <si>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</si>
  <si>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</si>
  <si>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</si>
  <si>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</si>
  <si>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</si>
  <si>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</si>
  <si>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</si>
  <si>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</si>
  <si>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</si>
  <si>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</si>
  <si>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</si>
  <si>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</si>
  <si>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</si>
  <si>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</si>
  <si>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</si>
  <si>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</si>
  <si>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</si>
  <si>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</si>
  <si>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</si>
  <si>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</si>
  <si>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</si>
  <si>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</si>
  <si>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</si>
  <si>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</si>
  <si>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</si>
  <si>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</si>
  <si>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</si>
  <si>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</si>
  <si>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</si>
  <si>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</si>
  <si>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</si>
  <si>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</si>
  <si>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</si>
  <si>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</si>
  <si>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</si>
  <si>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</si>
  <si>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</si>
  <si>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</si>
  <si>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</si>
  <si>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</si>
  <si>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</si>
  <si>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</si>
  <si>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</si>
  <si>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</si>
  <si>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</si>
  <si>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</si>
  <si>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</si>
  <si>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</si>
  <si>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</si>
  <si>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</si>
  <si>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</si>
  <si>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</si>
  <si>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Select country</t>
  </si>
  <si>
    <t>Select IFI</t>
  </si>
  <si>
    <t>Enter date</t>
  </si>
  <si>
    <t>Enter scenario name</t>
  </si>
  <si>
    <t>Cap on deviation from max growth rates of net expenditure, if applicable (% GDP)</t>
  </si>
  <si>
    <t>Intermediary MTP tables that are populated by macro</t>
  </si>
  <si>
    <t>Enter year</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</si>
  <si>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</si>
  <si>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</si>
  <si>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</si>
  <si>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</si>
  <si>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</si>
  <si>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</si>
  <si>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</si>
  <si>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</si>
  <si>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</si>
  <si>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</si>
  <si>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</si>
  <si>
    <t>Enter alternative scenario to override outturn net expenditure growth components (bn NAC)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</si>
</sst>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2"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0" fillId="0" borderId="0" xfId="0" applyNumberFormat="1" applyFont="1"/>
    <xf numFmtId="165" fontId="50" fillId="0" borderId="0" xfId="0" applyNumberFormat="1" applyFont="1"/>
    <xf numFmtId="0" fontId="51"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7">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2"/>
                <c:pt idx="0">
                  <c:v>#N/A</c:v>
                </c:pt>
                <c:pt idx="1">
                  <c:v>#N/A</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0</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zoomScaleNormal="100" workbookViewId="0">
      <selection activeCell="E7" sqref="E7"/>
    </sheetView>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947</v>
      </c>
    </row>
    <row r="3" spans="1:11" ht="13.5" customHeight="1" x14ac:dyDescent="0.4">
      <c r="A3" s="157" t="s">
        <v>305</v>
      </c>
      <c r="B3" s="284" t="s">
        <v>948</v>
      </c>
    </row>
    <row r="5" spans="1:11" ht="18" x14ac:dyDescent="0.55000000000000004">
      <c r="A5" s="50" t="s">
        <v>744</v>
      </c>
      <c r="K5" s="38"/>
    </row>
    <row r="6" spans="1:11" ht="13.5" customHeight="1" x14ac:dyDescent="0.4">
      <c r="A6" s="157" t="s">
        <v>743</v>
      </c>
      <c r="B6" s="285" t="s">
        <v>741</v>
      </c>
      <c r="K6" s="38"/>
    </row>
    <row r="7" spans="1:11" ht="13.5" customHeight="1" x14ac:dyDescent="0.4">
      <c r="A7" s="159" t="s">
        <v>745</v>
      </c>
      <c r="B7" s="286" t="s">
        <v>950</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t="s">
        <v>949</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7" t="str">
        <v>T+2</v>
      </c>
      <c r="E20" s="47" t="str">
        <v>T+3</v>
      </c>
      <c r="F20" s="47" t="str">
        <v>T+4</v>
      </c>
      <c r="G20" s="47"/>
      <c r="H20" s="47"/>
      <c r="J20" s="47"/>
    </row>
    <row r="21" spans="1:11" ht="13.5" customHeight="1" x14ac:dyDescent="0.4">
      <c r="A21" s="85" t="s">
        <v>823</v>
      </c>
      <c r="B21" s="87" t="b">
        <v>0</v>
      </c>
      <c r="C21" s="87" t="b">
        <v>0</v>
      </c>
      <c r="D21" s="87" t="b">
        <v>0</v>
      </c>
      <c r="E21" s="87" t="b">
        <v>0</v>
      </c>
      <c r="F21" s="87" t="b">
        <v>0</v>
      </c>
      <c r="G21" s="87" t="b">
        <v>0</v>
      </c>
      <c r="H21" s="87" t="b">
        <v>0</v>
      </c>
      <c r="I21" s="71" t="b">
        <v>0</v>
      </c>
      <c r="J21" s="71" t="b">
        <v>0</v>
      </c>
    </row>
    <row r="22" spans="1:11" ht="13.5" customHeight="1" x14ac:dyDescent="0.4">
      <c r="A22" t="s">
        <v>701</v>
      </c>
      <c r="B22" s="87" t="e">
        <v>#N/A</v>
      </c>
      <c r="C22" s="87" t="e">
        <v>#N/A</v>
      </c>
      <c r="D22" s="87" t="e">
        <v>#N/A</v>
      </c>
      <c r="E22" s="87" t="e">
        <v>#N/A</v>
      </c>
      <c r="F22" s="87" t="e">
        <v>#N/A</v>
      </c>
      <c r="G22" s="87" t="e">
        <v>#N/A</v>
      </c>
      <c r="H22" s="87" t="e">
        <v>#N/A</v>
      </c>
      <c r="I22" s="71" t="e">
        <v>#N/A</v>
      </c>
      <c r="J22" s="71" t="e">
        <v>#N/A</v>
      </c>
    </row>
    <row r="23" spans="1:11" ht="13.5" customHeight="1" x14ac:dyDescent="0.4">
      <c r="A23" t="s">
        <v>642</v>
      </c>
      <c r="B23" s="87" t="e">
        <v>#N/A</v>
      </c>
      <c r="C23" s="87" t="e">
        <v>#N/A</v>
      </c>
      <c r="D23" s="87" t="e">
        <v>#N/A</v>
      </c>
      <c r="E23" s="87" t="e">
        <v>#N/A</v>
      </c>
      <c r="F23" s="87" t="e">
        <v>#N/A</v>
      </c>
      <c r="G23" s="87" t="e">
        <v>#N/A</v>
      </c>
      <c r="H23" s="87" t="e">
        <v>#N/A</v>
      </c>
      <c r="I23" s="71" t="e">
        <v>#N/A</v>
      </c>
      <c r="J23" s="71" t="e">
        <v>#N/A</v>
      </c>
    </row>
    <row r="24" spans="1:11" ht="13.5" customHeight="1" x14ac:dyDescent="0.4">
      <c r="A24" s="86" t="s">
        <v>951</v>
      </c>
      <c r="B24" s="87"/>
      <c r="C24" s="87" t="e">
        <v>#N/A</v>
      </c>
      <c r="D24" s="87" t="e">
        <v>#N/A</v>
      </c>
      <c r="E24" s="87" t="e">
        <v>#N/A</v>
      </c>
      <c r="F24" s="87" t="e">
        <v>#N/A</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t="s">
        <v>953</v>
      </c>
      <c r="J26" s="71"/>
    </row>
    <row r="27" spans="1:11" ht="13.5" customHeight="1" x14ac:dyDescent="0.4">
      <c r="A27" t="s">
        <v>935</v>
      </c>
      <c r="B27" s="266" t="e">
        <v>#N/A</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16" priority="9">
      <formula>B19&lt;&gt;""</formula>
    </cfRule>
  </conditionalFormatting>
  <conditionalFormatting sqref="B20:H20">
    <cfRule type="expression" dxfId="215" priority="8">
      <formula>B19&lt;&gt;""</formula>
    </cfRule>
  </conditionalFormatting>
  <conditionalFormatting sqref="B21:H23">
    <cfRule type="expression" dxfId="214" priority="7">
      <formula>B$19&lt;&gt;""</formula>
    </cfRule>
  </conditionalFormatting>
  <conditionalFormatting sqref="B24:H24 B25">
    <cfRule type="expression" dxfId="213"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965</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0</v>
      </c>
      <c r="F6" s="140">
        <v>0</v>
      </c>
      <c r="G6" s="180">
        <v>0</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v>
      </c>
      <c r="F7" s="141">
        <v>0</v>
      </c>
      <c r="G7" s="181">
        <v>0</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v>
      </c>
      <c r="F8" s="141">
        <v>0</v>
      </c>
      <c r="G8" s="181">
        <v>0</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v>
      </c>
      <c r="F9" s="141">
        <v>0</v>
      </c>
      <c r="G9" s="181">
        <v>0</v>
      </c>
      <c r="H9" s="181"/>
      <c r="I9" s="181"/>
      <c r="J9" s="181"/>
      <c r="K9" s="181"/>
      <c r="L9" s="181"/>
      <c r="M9" s="181"/>
      <c r="N9" s="181"/>
      <c r="O9" s="181"/>
      <c r="P9" s="181"/>
      <c r="Q9" s="181"/>
      <c r="R9" s="257" t="b">
        <v>0</v>
      </c>
      <c r="S9" s="256" t="s">
        <v>596</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v>
      </c>
      <c r="F10" s="141">
        <v>0</v>
      </c>
      <c r="G10" s="181">
        <v>0</v>
      </c>
      <c r="H10" s="181"/>
      <c r="I10" s="181"/>
      <c r="J10" s="181"/>
      <c r="K10" s="181"/>
      <c r="L10" s="181"/>
      <c r="M10" s="181"/>
      <c r="N10" s="181"/>
      <c r="O10" s="181"/>
      <c r="P10" s="181"/>
      <c r="Q10" s="181"/>
      <c r="R10" s="262" t="b">
        <v>0</v>
      </c>
      <c r="S10" s="263" t="s">
        <v>598</v>
      </c>
      <c r="T10" s="264"/>
      <c r="U10" s="264"/>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0</v>
      </c>
      <c r="F12" s="141">
        <v>0</v>
      </c>
      <c r="G12" s="181">
        <v>0</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0</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0</v>
      </c>
      <c r="F14" s="141">
        <v>0</v>
      </c>
      <c r="G14" s="181">
        <v>0</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t="str">
        <v/>
      </c>
      <c r="G15" s="180" t="str">
        <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0</v>
      </c>
      <c r="G16" s="182">
        <v>0</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t="str" cm="1">
        <f t="array" ref="E17:G17">INDEX(139:139, _xlfn.XMATCH(INDEX(_xlfn.ANCHORARRAY(E4),1,1), 33:33, 0) + _xlfn.SEQUENCE(1, COLUMNS(_xlfn.ANCHORARRAY(E4))) - 1)</f>
        <v/>
      </c>
      <c r="F17" s="142" t="str">
        <v/>
      </c>
      <c r="G17" s="182" t="str">
        <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0</v>
      </c>
      <c r="F18" s="142">
        <v>0</v>
      </c>
      <c r="G18" s="182">
        <v>0</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0</v>
      </c>
      <c r="F19" s="142">
        <v>0</v>
      </c>
      <c r="G19" s="182">
        <v>0</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t="str" cm="1">
        <f t="array" ref="E20:G20">INDEX(145:145, _xlfn.XMATCH(INDEX(_xlfn.ANCHORARRAY(E4),1,1), 33:33, 0) + _xlfn.SEQUENCE(1, COLUMNS(_xlfn.ANCHORARRAY(E4))) - 1)</f>
        <v/>
      </c>
      <c r="F20" s="142" t="str">
        <v/>
      </c>
      <c r="G20" s="182" t="str">
        <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t="str" cm="1">
        <f t="array" ref="E21:G21">INDEX(146:146, _xlfn.XMATCH(INDEX(_xlfn.ANCHORARRAY(E4),1,1), 33:33, 0) + _xlfn.SEQUENCE(1, COLUMNS(_xlfn.ANCHORARRAY(E4))) - 1)</f>
        <v/>
      </c>
      <c r="F21" s="182" t="str">
        <v/>
      </c>
      <c r="G21" s="182" t="str">
        <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t="str" cm="1">
        <f t="array" ref="E22:G22">_xlfn.LET(
  _xlpm.pos,  _xlfn.XMATCH(INDEX(_xlfn.ANCHORARRAY(E4),1,1)+0, 33:33+0, 0) + _xlfn.SEQUENCE(1, COLUMNS(_xlfn.ANCHORARRAY(E4))),
  _xlpm.num,  INDEX(35:35, _xlpm.pos - 1),
  _xlpm.den,  INDEX(35:35, _xlpm.pos - 2),
  IF((_xlpm.num=0) + (_xlpm.den=0), "", 100*(_xlpm.num/_xlpm.den - 1))
)</f>
        <v/>
      </c>
      <c r="F22" s="140" t="str">
        <v/>
      </c>
      <c r="G22" s="180" t="str">
        <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t="str"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
      </c>
      <c r="F23" s="140" t="str">
        <v/>
      </c>
      <c r="G23" s="180" t="str">
        <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t="str" cm="1">
        <f t="array" ref="E24:G24">_xlfn.LET(
  _xlpm.pos,  _xlfn.XMATCH(INDEX(_xlfn.ANCHORARRAY(E4),1,1)+0, 33:33+0, 0) + _xlfn.SEQUENCE(1, COLUMNS(_xlfn.ANCHORARRAY(E4))),
  _xlpm.num,  INDEX(34:34, _xlpm.pos - 1),
  _xlpm.den,  INDEX(34:34, _xlpm.pos - 2),
  IF((_xlpm.num=0) + (_xlpm.den=0), "", 100*(_xlpm.num/_xlpm.den - 1))
)</f>
        <v/>
      </c>
      <c r="F24" s="140" t="str">
        <v/>
      </c>
      <c r="G24" s="180" t="str">
        <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t="str" cm="1">
        <f t="array" ref="E25:G25">_xlfn.LET(
  _xlpm.pos,  _xlfn.XMATCH(INDEX(_xlfn.ANCHORARRAY(E4),1,1)+0, 33:33+0, 0) + _xlfn.SEQUENCE(1, COLUMNS(_xlfn.ANCHORARRAY(E4))),
  _xlpm.num,  INDEX(90:90, _xlpm.pos - 1),
  _xlpm.den,  INDEX(90:90, _xlpm.pos - 2),
  IF((_xlpm.num=0) + (_xlpm.den=0), "", 100*(_xlpm.num/_xlpm.den - 1))
)</f>
        <v/>
      </c>
      <c r="F25" s="142" t="str">
        <v/>
      </c>
      <c r="G25" s="182" t="str">
        <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t="str" cm="1">
        <f t="array" ref="E26:G26">_xlfn.LET(
  _xlpm.pos,   _xlfn.XMATCH(INDEX(_xlfn.ANCHORARRAY(E4),1,1)+0, 33:33+0, 0) + _xlfn.SEQUENCE(1, COLUMNS(_xlfn.ANCHORARRAY(E4))),
  _xlpm.rGDP,  INDEX(89:89, _xlpm.pos - 1),
  _xlpm.pGDP,  INDEX(90:90, _xlpm.pos - 1),
  IF((_xlpm.rGDP=0) + (_xlpm.pGDP=0), "", 100*(_xlpm.rGDP/_xlpm.pGDP - 1))
)</f>
        <v/>
      </c>
      <c r="F26" s="142" t="str">
        <v/>
      </c>
      <c r="G26" s="182" t="str">
        <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0</v>
      </c>
      <c r="F27" s="142">
        <v>0</v>
      </c>
      <c r="G27" s="182">
        <v>0</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Select country</v>
      </c>
      <c r="C30" s="8"/>
    </row>
    <row r="31" spans="1:34" outlineLevel="1" x14ac:dyDescent="0.4">
      <c r="A31" s="150" t="s">
        <v>830</v>
      </c>
      <c r="B31" s="254">
        <v>46194.63318287037</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c r="E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c r="E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c r="E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c r="E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c r="E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c r="E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c r="E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c r="E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c r="E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c r="E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c r="E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c r="E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c r="E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c r="E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c r="E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c r="E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c r="E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c r="E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c r="E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c r="E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c r="E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c r="E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c r="E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c r="E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c r="E58" s="9"/>
    </row>
    <row r="59" spans="1:169" outlineLevel="1" x14ac:dyDescent="0.4">
      <c r="A59" t="s">
        <v>107</v>
      </c>
      <c r="B59" t="s">
        <v>106</v>
      </c>
      <c r="C59" t="s">
        <v>674</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c r="E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c r="E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c r="E62" s="9"/>
    </row>
    <row r="63" spans="1:169" outlineLevel="1" x14ac:dyDescent="0.4">
      <c r="A63" t="s">
        <v>668</v>
      </c>
      <c r="B63" t="s">
        <v>109</v>
      </c>
      <c r="C63" t="s">
        <v>674</v>
      </c>
      <c r="D63" s="9"/>
      <c r="E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c r="E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c r="E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c r="E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c r="E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c r="E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c r="E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c r="E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c r="E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c r="E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c r="E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c r="E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c r="E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c r="E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c r="E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c r="E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c r="E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c r="E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c r="E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c r="E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c r="E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c r="E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c r="E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c r="E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c r="E87" s="146"/>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c r="E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c r="E89" s="9"/>
      <c r="F89" s="9"/>
      <c r="G89" s="9"/>
      <c r="H89" s="9"/>
      <c r="I89" s="9"/>
      <c r="J89" s="9"/>
      <c r="K89" s="9"/>
      <c r="L89" s="9"/>
      <c r="M89" s="9"/>
      <c r="N89" s="9"/>
      <c r="O89" s="9"/>
      <c r="P89" s="9"/>
      <c r="Q89" s="9"/>
    </row>
    <row r="90" spans="1:169" outlineLevel="1" x14ac:dyDescent="0.4">
      <c r="A90" t="s">
        <v>681</v>
      </c>
      <c r="B90" t="s">
        <v>294</v>
      </c>
      <c r="C90" t="s">
        <v>672</v>
      </c>
      <c r="D90" s="9"/>
      <c r="E90" s="9"/>
      <c r="F90" s="9"/>
      <c r="G90" s="9"/>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c r="E91" s="9"/>
      <c r="F91" s="9"/>
      <c r="G91" s="9"/>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c r="E92" s="9"/>
      <c r="F92" s="9"/>
      <c r="G92" s="9"/>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c r="F93" s="9"/>
      <c r="G93" s="9"/>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c r="G94" s="9"/>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c r="F95" s="9"/>
      <c r="G95" s="9"/>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c r="F96" s="9"/>
      <c r="G96" s="9"/>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c r="E97" s="9"/>
      <c r="F97" s="9"/>
      <c r="G97" s="9"/>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c r="E98" s="9"/>
      <c r="F98" s="9"/>
      <c r="G98" s="9"/>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c r="E99" s="9"/>
      <c r="F99" s="9"/>
      <c r="G99" s="9"/>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t="str">
        <f t="shared" ref="D106:D115" si="0">IFERROR(D160/D$34*100,"")</f>
        <v/>
      </c>
      <c r="E106" s="4" t="str">
        <f t="shared" ref="E106:K106" si="1">IFERROR(E160/E$34*100,"")</f>
        <v/>
      </c>
      <c r="F106" s="4" t="str">
        <f t="shared" si="1"/>
        <v/>
      </c>
      <c r="G106" s="4" t="str">
        <f t="shared" si="1"/>
        <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t="str">
        <f t="shared" si="0"/>
        <v/>
      </c>
      <c r="E107" s="4" t="str">
        <f t="shared" ref="E107:K107" si="3">IFERROR(E161/E$34*100,"")</f>
        <v/>
      </c>
      <c r="F107" s="4" t="str">
        <f t="shared" si="3"/>
        <v/>
      </c>
      <c r="G107" s="4" t="str">
        <f t="shared" si="3"/>
        <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t="str">
        <f t="shared" si="0"/>
        <v/>
      </c>
      <c r="E108" s="4" t="str">
        <f t="shared" ref="E108:K108" si="6">IFERROR(E162/E$34*100,"")</f>
        <v/>
      </c>
      <c r="F108" s="4" t="str">
        <f t="shared" si="6"/>
        <v/>
      </c>
      <c r="G108" s="4" t="str">
        <f t="shared" si="6"/>
        <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t="str">
        <f t="shared" si="0"/>
        <v/>
      </c>
      <c r="E109" s="4" t="str">
        <f t="shared" ref="E109:K109" si="9">IFERROR(E163/E$34*100,"")</f>
        <v/>
      </c>
      <c r="F109" s="4" t="str">
        <f t="shared" si="9"/>
        <v/>
      </c>
      <c r="G109" s="4" t="str">
        <f t="shared" si="9"/>
        <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t="str">
        <f t="shared" si="0"/>
        <v/>
      </c>
      <c r="E110" s="4" t="str">
        <f t="shared" ref="E110:K110" si="12">IFERROR(E164/E$34*100,"")</f>
        <v/>
      </c>
      <c r="F110" s="4" t="str">
        <f t="shared" si="12"/>
        <v/>
      </c>
      <c r="G110" s="4" t="str">
        <f t="shared" si="12"/>
        <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t="str">
        <f t="shared" si="0"/>
        <v/>
      </c>
      <c r="E111" s="4" t="str">
        <f t="shared" ref="E111:K111" si="15">IFERROR(E165/E$34*100,"")</f>
        <v/>
      </c>
      <c r="F111" s="4" t="str">
        <f t="shared" si="15"/>
        <v/>
      </c>
      <c r="G111" s="4" t="str">
        <f t="shared" si="15"/>
        <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t="str">
        <f t="shared" si="0"/>
        <v/>
      </c>
      <c r="E112" s="4" t="str">
        <f t="shared" ref="E112:K112" si="18">IFERROR(E166/E$34*100,"")</f>
        <v/>
      </c>
      <c r="F112" s="4" t="str">
        <f t="shared" si="18"/>
        <v/>
      </c>
      <c r="G112" s="4" t="str">
        <f t="shared" si="18"/>
        <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t="str">
        <f t="shared" si="0"/>
        <v/>
      </c>
      <c r="E113" s="4" t="str">
        <f t="shared" ref="E113:K113" si="21">IFERROR(E167/E$34*100,"")</f>
        <v/>
      </c>
      <c r="F113" s="4" t="str">
        <f t="shared" si="21"/>
        <v/>
      </c>
      <c r="G113" s="4" t="str">
        <f t="shared" si="21"/>
        <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t="str">
        <f t="shared" si="0"/>
        <v/>
      </c>
      <c r="E114" s="4" t="str">
        <f t="shared" ref="E114:K114" si="24">IFERROR(E168/E$34*100,"")</f>
        <v/>
      </c>
      <c r="F114" s="4" t="str">
        <f t="shared" si="24"/>
        <v/>
      </c>
      <c r="G114" s="4" t="str">
        <f t="shared" si="24"/>
        <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t="str">
        <f t="shared" si="0"/>
        <v/>
      </c>
      <c r="E115" s="4" t="str">
        <f t="shared" ref="E115:K115" si="27">IFERROR(E169/E$34*100,"")</f>
        <v/>
      </c>
      <c r="F115" s="4" t="str">
        <f t="shared" si="27"/>
        <v/>
      </c>
      <c r="G115" s="4" t="str">
        <f t="shared" si="27"/>
        <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t="str">
        <f>IFERROR(D171/D$34*100,"")</f>
        <v/>
      </c>
      <c r="E116" s="4" t="str">
        <f t="shared" ref="E116:K116" si="30">IFERROR(E171/E$34*100,"")</f>
        <v/>
      </c>
      <c r="F116" s="4" t="str">
        <f t="shared" si="30"/>
        <v/>
      </c>
      <c r="G116" s="4" t="str">
        <f t="shared" si="30"/>
        <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t="str">
        <f t="shared" ref="D118:D129" si="34">IFERROR(D173/D$34*100,"")</f>
        <v/>
      </c>
      <c r="E118" s="4" t="str">
        <f t="shared" ref="E118:K118" si="35">IFERROR(E173/E$34*100,"")</f>
        <v/>
      </c>
      <c r="F118" s="4" t="str">
        <f t="shared" si="35"/>
        <v/>
      </c>
      <c r="G118" s="4" t="str">
        <f t="shared" si="35"/>
        <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t="str">
        <f t="shared" si="34"/>
        <v/>
      </c>
      <c r="E119" s="4" t="str">
        <f t="shared" ref="E119:K119" si="37">IFERROR(E174/E$34*100,"")</f>
        <v/>
      </c>
      <c r="F119" s="4" t="str">
        <f t="shared" si="37"/>
        <v/>
      </c>
      <c r="G119" s="4" t="str">
        <f t="shared" si="37"/>
        <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t="str">
        <f t="shared" si="34"/>
        <v/>
      </c>
      <c r="E120" s="4" t="str">
        <f t="shared" ref="E120:K120" si="40">IFERROR(E175/E$34*100,"")</f>
        <v/>
      </c>
      <c r="F120" s="4" t="str">
        <f t="shared" si="40"/>
        <v/>
      </c>
      <c r="G120" s="4" t="str">
        <f t="shared" si="40"/>
        <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t="str">
        <f t="shared" si="34"/>
        <v/>
      </c>
      <c r="E121" s="4" t="str">
        <f t="shared" ref="E121:K121" si="43">IFERROR(E176/E$34*100,"")</f>
        <v/>
      </c>
      <c r="F121" s="4" t="str">
        <f t="shared" si="43"/>
        <v/>
      </c>
      <c r="G121" s="4" t="str">
        <f t="shared" si="43"/>
        <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t="str">
        <f t="shared" si="34"/>
        <v/>
      </c>
      <c r="E122" s="4" t="str">
        <f t="shared" ref="E122:K122" si="46">IFERROR(E177/E$34*100,"")</f>
        <v/>
      </c>
      <c r="F122" s="4" t="str">
        <f t="shared" si="46"/>
        <v/>
      </c>
      <c r="G122" s="4" t="str">
        <f t="shared" si="46"/>
        <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t="str">
        <f t="shared" si="34"/>
        <v/>
      </c>
      <c r="E123" s="4" t="str">
        <f t="shared" ref="E123:K123" si="49">IFERROR(E178/E$34*100,"")</f>
        <v/>
      </c>
      <c r="F123" s="4" t="str">
        <f t="shared" si="49"/>
        <v/>
      </c>
      <c r="G123" s="4" t="str">
        <f t="shared" si="49"/>
        <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t="str">
        <f t="shared" si="34"/>
        <v/>
      </c>
      <c r="E124" s="4" t="str">
        <f t="shared" ref="E124:K124" si="52">IFERROR(E179/E$34*100,"")</f>
        <v/>
      </c>
      <c r="F124" s="4" t="str">
        <f t="shared" si="52"/>
        <v/>
      </c>
      <c r="G124" s="4" t="str">
        <f t="shared" si="52"/>
        <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t="str">
        <f t="shared" si="34"/>
        <v/>
      </c>
      <c r="E125" s="4" t="str">
        <f t="shared" ref="E125:K125" si="55">IFERROR(E180/E$34*100,"")</f>
        <v/>
      </c>
      <c r="F125" s="4" t="str">
        <f t="shared" si="55"/>
        <v/>
      </c>
      <c r="G125" s="4" t="str">
        <f t="shared" si="55"/>
        <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t="str">
        <f t="shared" si="34"/>
        <v/>
      </c>
      <c r="E126" s="4" t="str">
        <f t="shared" ref="E126:K126" si="58">IFERROR(E181/E$34*100,"")</f>
        <v/>
      </c>
      <c r="F126" s="4" t="str">
        <f t="shared" si="58"/>
        <v/>
      </c>
      <c r="G126" s="4" t="str">
        <f t="shared" si="58"/>
        <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t="str">
        <f t="shared" si="34"/>
        <v/>
      </c>
      <c r="E127" s="4" t="str">
        <f t="shared" ref="E127:K127" si="61">IFERROR(E182/E$34*100,"")</f>
        <v/>
      </c>
      <c r="F127" s="4" t="str">
        <f t="shared" si="61"/>
        <v/>
      </c>
      <c r="G127" s="4" t="str">
        <f t="shared" si="61"/>
        <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t="str">
        <f t="shared" si="34"/>
        <v/>
      </c>
      <c r="E128" s="4" t="str">
        <f t="shared" ref="E128:K128" si="64">IFERROR(E183/E$34*100,"")</f>
        <v/>
      </c>
      <c r="F128" s="4" t="str">
        <f t="shared" si="64"/>
        <v/>
      </c>
      <c r="G128" s="4" t="str">
        <f t="shared" si="64"/>
        <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t="str">
        <f t="shared" si="34"/>
        <v/>
      </c>
      <c r="E129" s="4" t="str">
        <f t="shared" ref="E129:K129" si="67">IFERROR(E184/E$34*100,"")</f>
        <v/>
      </c>
      <c r="F129" s="4" t="str">
        <f t="shared" si="67"/>
        <v/>
      </c>
      <c r="G129" s="4" t="str">
        <f t="shared" si="67"/>
        <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t="str">
        <f>IFERROR(D129-D130,"")</f>
        <v/>
      </c>
      <c r="E131" s="4" t="str">
        <f t="shared" ref="E131:K131" si="71">IFERROR(E129-E130,"")</f>
        <v/>
      </c>
      <c r="F131" s="4" t="str">
        <f t="shared" si="71"/>
        <v/>
      </c>
      <c r="G131" s="4" t="str">
        <f t="shared" si="71"/>
        <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t="str">
        <f>IFERROR(D187/D$34*100,"")</f>
        <v/>
      </c>
      <c r="E132" s="4" t="str">
        <f t="shared" ref="E132:K132" si="78">IFERROR(E187/E$34*100,"")</f>
        <v/>
      </c>
      <c r="F132" s="4" t="str">
        <f t="shared" si="78"/>
        <v/>
      </c>
      <c r="G132" s="4" t="str">
        <f t="shared" si="78"/>
        <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t="str">
        <f>IFERROR(D188/D$34*100,"")</f>
        <v/>
      </c>
      <c r="E133" s="4" t="str">
        <f t="shared" ref="E133:K133" si="89">IFERROR(E188/E$34*100,"")</f>
        <v/>
      </c>
      <c r="F133" s="4" t="str">
        <f t="shared" si="89"/>
        <v/>
      </c>
      <c r="G133" s="4" t="str">
        <f t="shared" si="89"/>
        <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t="str">
        <f>IFERROR(D189/D$34*100,"")</f>
        <v/>
      </c>
      <c r="E134" s="4" t="str">
        <f t="shared" ref="E134:K134" si="92">IFERROR(E189/E$34*100,"")</f>
        <v/>
      </c>
      <c r="F134" s="4" t="str">
        <f t="shared" si="92"/>
        <v/>
      </c>
      <c r="G134" s="4" t="str">
        <f t="shared" si="92"/>
        <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t="str">
        <f>IFERROR(D131-D132-D133-D134-D120,"")</f>
        <v/>
      </c>
      <c r="E135" s="4" t="str">
        <f t="shared" ref="E135:K135" si="95">IFERROR(E131-E132-E133-E134-E120,"")</f>
        <v/>
      </c>
      <c r="F135" s="4" t="str">
        <f t="shared" si="95"/>
        <v/>
      </c>
      <c r="G135" s="4" t="str">
        <f t="shared" si="95"/>
        <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t="str">
        <f>IFERROR(D194/D$34*100,"")</f>
        <v/>
      </c>
      <c r="E139" s="4" t="str">
        <f t="shared" ref="E139:K139" si="112">IFERROR(E194/E$34*100,"")</f>
        <v/>
      </c>
      <c r="F139" s="4" t="str">
        <f t="shared" si="112"/>
        <v/>
      </c>
      <c r="G139" s="4" t="str">
        <f t="shared" si="112"/>
        <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t="str">
        <f>IFERROR(D195/D$34*100,"")</f>
        <v/>
      </c>
      <c r="E140" s="4" t="str">
        <f t="shared" ref="E140:K140" si="114">IFERROR(E195/E$34*100,"")</f>
        <v/>
      </c>
      <c r="F140" s="4" t="str">
        <f t="shared" si="114"/>
        <v/>
      </c>
      <c r="G140" s="4" t="str">
        <f t="shared" si="114"/>
        <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0</v>
      </c>
      <c r="E142" s="4">
        <f t="shared" ref="E142:K142" si="118">IFERROR(E98,"")</f>
        <v>0</v>
      </c>
      <c r="F142" s="4">
        <f t="shared" si="118"/>
        <v>0</v>
      </c>
      <c r="G142" s="4">
        <f t="shared" si="118"/>
        <v>0</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0</v>
      </c>
      <c r="E143" s="4">
        <f t="shared" ref="E143:K143" si="120">IFERROR(E99,"")</f>
        <v>0</v>
      </c>
      <c r="F143" s="4">
        <f t="shared" si="120"/>
        <v>0</v>
      </c>
      <c r="G143" s="4">
        <f t="shared" si="120"/>
        <v>0</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t="str">
        <f>IFERROR(D200/D$34*100,"")</f>
        <v/>
      </c>
      <c r="E145" s="4" t="str">
        <f t="shared" ref="E145:K145" si="122">IFERROR(E200/E$34*100,"")</f>
        <v/>
      </c>
      <c r="F145" s="4" t="str">
        <f t="shared" si="122"/>
        <v/>
      </c>
      <c r="G145" s="4" t="str">
        <f t="shared" si="122"/>
        <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t="str">
        <f>IFERROR(D201/D$34*100,"")</f>
        <v/>
      </c>
      <c r="E146" s="4" t="str">
        <f t="shared" ref="E146:K146" si="124">IFERROR(E201/E$34*100,"")</f>
        <v/>
      </c>
      <c r="F146" s="4" t="str">
        <f t="shared" si="124"/>
        <v/>
      </c>
      <c r="G146" s="4" t="str">
        <f t="shared" si="124"/>
        <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t="str">
        <f t="shared" ref="D148:D153" si="128">IFERROR(D203/D$34*100,"")</f>
        <v/>
      </c>
      <c r="E148" s="4" t="str">
        <f t="shared" ref="E148:K148" si="129">IFERROR(E203/E$34*100,"")</f>
        <v/>
      </c>
      <c r="F148" s="4" t="str">
        <f t="shared" si="129"/>
        <v/>
      </c>
      <c r="G148" s="4" t="str">
        <f t="shared" si="129"/>
        <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t="str">
        <f t="shared" si="128"/>
        <v/>
      </c>
      <c r="E149" s="4" t="str">
        <f t="shared" ref="E149:K149" si="131">IFERROR(E204/E$34*100,"")</f>
        <v/>
      </c>
      <c r="F149" s="4" t="str">
        <f t="shared" si="131"/>
        <v/>
      </c>
      <c r="G149" s="4" t="str">
        <f t="shared" si="131"/>
        <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t="str">
        <f t="shared" si="128"/>
        <v/>
      </c>
      <c r="E150" s="4" t="str">
        <f t="shared" ref="E150:K150" si="134">IFERROR(E205/E$34*100,"")</f>
        <v/>
      </c>
      <c r="F150" s="4" t="str">
        <f t="shared" si="134"/>
        <v/>
      </c>
      <c r="G150" s="4" t="str">
        <f t="shared" si="134"/>
        <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t="str">
        <f t="shared" si="128"/>
        <v/>
      </c>
      <c r="E151" s="4" t="str">
        <f t="shared" ref="E151:K151" si="137">IFERROR(E206/E$34*100,"")</f>
        <v/>
      </c>
      <c r="F151" s="4" t="str">
        <f t="shared" si="137"/>
        <v/>
      </c>
      <c r="G151" s="4" t="str">
        <f t="shared" si="137"/>
        <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t="str">
        <f t="shared" si="128"/>
        <v/>
      </c>
      <c r="E152" s="4" t="str">
        <f t="shared" ref="E152:K152" si="140">IFERROR(E207/E$34*100,"")</f>
        <v/>
      </c>
      <c r="F152" s="4" t="str">
        <f t="shared" si="140"/>
        <v/>
      </c>
      <c r="G152" s="4" t="str">
        <f t="shared" si="140"/>
        <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t="str">
        <f t="shared" si="128"/>
        <v/>
      </c>
      <c r="E153" s="4" t="str">
        <f t="shared" ref="E153:K153" si="143">IFERROR(E208/E$34*100,"")</f>
        <v/>
      </c>
      <c r="F153" s="4" t="str">
        <f t="shared" si="143"/>
        <v/>
      </c>
      <c r="G153" s="4" t="str">
        <f t="shared" si="143"/>
        <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0</v>
      </c>
      <c r="E160" s="9">
        <f t="shared" si="147"/>
        <v>0</v>
      </c>
      <c r="F160" s="9">
        <f t="shared" ref="F160:K160" si="148">F50</f>
        <v>0</v>
      </c>
      <c r="G160" s="9">
        <f t="shared" si="148"/>
        <v>0</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0</v>
      </c>
      <c r="E161" s="9">
        <f t="shared" si="150"/>
        <v>0</v>
      </c>
      <c r="F161" s="9">
        <f t="shared" ref="F161:K161" si="151">F55</f>
        <v>0</v>
      </c>
      <c r="G161" s="9">
        <f t="shared" si="151"/>
        <v>0</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0</v>
      </c>
      <c r="E162" s="9">
        <f t="shared" si="153"/>
        <v>0</v>
      </c>
      <c r="F162" s="9">
        <f t="shared" ref="F162:K162" si="154">F70</f>
        <v>0</v>
      </c>
      <c r="G162" s="9">
        <f t="shared" si="154"/>
        <v>0</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0</v>
      </c>
      <c r="E163" s="9">
        <f t="shared" si="156"/>
        <v>0</v>
      </c>
      <c r="F163" s="9">
        <f t="shared" ref="F163:K163" si="157">(F85+F86+F87)+F67+F53+F57</f>
        <v>0</v>
      </c>
      <c r="G163" s="9">
        <f t="shared" si="157"/>
        <v>0</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0</v>
      </c>
      <c r="E164" s="9">
        <f t="shared" si="159"/>
        <v>0</v>
      </c>
      <c r="F164" s="9">
        <f t="shared" ref="F164:K164" si="160">F73</f>
        <v>0</v>
      </c>
      <c r="G164" s="9">
        <f t="shared" si="160"/>
        <v>0</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0</v>
      </c>
      <c r="E165" s="9">
        <f t="shared" si="162"/>
        <v>0</v>
      </c>
      <c r="F165" s="9">
        <f t="shared" ref="F165:K165" si="163">F74+F77</f>
        <v>0</v>
      </c>
      <c r="G165" s="9">
        <f t="shared" si="163"/>
        <v>0</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0</v>
      </c>
      <c r="E166" s="9">
        <f t="shared" si="165"/>
        <v>0</v>
      </c>
      <c r="F166" s="9">
        <f t="shared" ref="F166:K166" si="166">F160+F161+F162+F163+F164+F165</f>
        <v>0</v>
      </c>
      <c r="G166" s="9">
        <f t="shared" si="166"/>
        <v>0</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0</v>
      </c>
      <c r="E167" s="9">
        <f t="shared" si="168"/>
        <v>0</v>
      </c>
      <c r="F167" s="9">
        <f t="shared" ref="F167:K167" si="169">SUM(F58+F62)</f>
        <v>0</v>
      </c>
      <c r="G167" s="9">
        <f t="shared" si="169"/>
        <v>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0</v>
      </c>
      <c r="E168" s="9">
        <f t="shared" si="171"/>
        <v>0</v>
      </c>
      <c r="F168" s="9">
        <f t="shared" ref="F168:K168" si="172">F166-F167</f>
        <v>0</v>
      </c>
      <c r="G168" s="9">
        <f t="shared" si="172"/>
        <v>0</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0</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0</v>
      </c>
      <c r="E173" s="9">
        <f t="shared" si="175"/>
        <v>0</v>
      </c>
      <c r="F173" s="9">
        <f t="shared" ref="F173:K173" si="176">F49</f>
        <v>0</v>
      </c>
      <c r="G173" s="9">
        <f t="shared" si="176"/>
        <v>0</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0</v>
      </c>
      <c r="E174" s="9">
        <f t="shared" si="178"/>
        <v>0</v>
      </c>
      <c r="F174" s="9">
        <f t="shared" ref="F174:K174" si="179">F79</f>
        <v>0</v>
      </c>
      <c r="G174" s="9">
        <f t="shared" si="179"/>
        <v>0</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0</v>
      </c>
      <c r="E175" s="9">
        <f t="shared" si="181"/>
        <v>0</v>
      </c>
      <c r="F175" s="9">
        <f t="shared" ref="F175:K175" si="182">F68</f>
        <v>0</v>
      </c>
      <c r="G175" s="9">
        <f t="shared" si="182"/>
        <v>0</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0</v>
      </c>
      <c r="E176" s="9">
        <f t="shared" si="184"/>
        <v>0</v>
      </c>
      <c r="F176" s="9">
        <f t="shared" ref="F176:K176" si="185">F71</f>
        <v>0</v>
      </c>
      <c r="G176" s="9">
        <f t="shared" si="185"/>
        <v>0</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0</v>
      </c>
      <c r="E177" s="9">
        <f t="shared" si="187"/>
        <v>0</v>
      </c>
      <c r="F177" s="9">
        <f t="shared" ref="F177:K177" si="188">F72</f>
        <v>0</v>
      </c>
      <c r="G177" s="9">
        <f t="shared" si="188"/>
        <v>0</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0</v>
      </c>
      <c r="E178" s="9">
        <f t="shared" si="190"/>
        <v>0</v>
      </c>
      <c r="F178" s="9">
        <f t="shared" ref="F178:K178" si="191">F51</f>
        <v>0</v>
      </c>
      <c r="G178" s="9">
        <f t="shared" si="191"/>
        <v>0</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0</v>
      </c>
      <c r="E179" s="9">
        <f t="shared" si="193"/>
        <v>0</v>
      </c>
      <c r="F179" s="9">
        <f t="shared" ref="F179:K179" si="194">F64+(F52-F68)+F54+F56+F59</f>
        <v>0</v>
      </c>
      <c r="G179" s="9">
        <f t="shared" si="194"/>
        <v>0</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0</v>
      </c>
      <c r="E180" s="9">
        <f t="shared" si="196"/>
        <v>0</v>
      </c>
      <c r="F180" s="9">
        <f t="shared" ref="F180:K180" si="197">F83</f>
        <v>0</v>
      </c>
      <c r="G180" s="9">
        <f t="shared" si="197"/>
        <v>0</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0</v>
      </c>
      <c r="E182" s="145">
        <f t="shared" si="199"/>
        <v>0</v>
      </c>
      <c r="F182" s="145">
        <f t="shared" ref="F182:K182" si="200">F60</f>
        <v>0</v>
      </c>
      <c r="G182" s="145">
        <f t="shared" si="200"/>
        <v>0</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0</v>
      </c>
      <c r="E183" s="145">
        <f t="shared" si="202"/>
        <v>0</v>
      </c>
      <c r="F183" s="145">
        <f t="shared" ref="F183:K183" si="203">F84+F78</f>
        <v>0</v>
      </c>
      <c r="G183" s="145">
        <f t="shared" si="203"/>
        <v>0</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0</v>
      </c>
      <c r="E184" s="9">
        <f>E173+E174+E175+E176+E177+E178+E179+E180+E182+E183</f>
        <v>0</v>
      </c>
      <c r="F184" s="9">
        <f t="shared" ref="F184:K184" si="206">F173+F174+F175+F176+F177+F178+F179+F180+F182+F183</f>
        <v>0</v>
      </c>
      <c r="G184" s="9">
        <f t="shared" si="206"/>
        <v>0</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0</v>
      </c>
      <c r="E185">
        <f t="shared" ref="E185:J185" si="208">E167</f>
        <v>0</v>
      </c>
      <c r="F185">
        <f t="shared" si="208"/>
        <v>0</v>
      </c>
      <c r="G185">
        <f t="shared" si="208"/>
        <v>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0</v>
      </c>
      <c r="E186" s="9">
        <f t="shared" si="209"/>
        <v>0</v>
      </c>
      <c r="F186" s="9">
        <f t="shared" ref="F186:K186" si="210">F184-F185</f>
        <v>0</v>
      </c>
      <c r="G186" s="9">
        <f t="shared" si="210"/>
        <v>0</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0</v>
      </c>
      <c r="F187">
        <f t="shared" si="212"/>
        <v>0</v>
      </c>
      <c r="G187">
        <f t="shared" si="212"/>
        <v>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0</v>
      </c>
      <c r="F188" s="9">
        <f t="shared" si="213"/>
        <v>0</v>
      </c>
      <c r="G188" s="9">
        <f t="shared" si="213"/>
        <v>0</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0</v>
      </c>
      <c r="E190" s="9">
        <f t="shared" si="216"/>
        <v>0</v>
      </c>
      <c r="F190" s="9">
        <f t="shared" ref="F190:K190" si="217">F186-F187-F188-F189-F175</f>
        <v>0</v>
      </c>
      <c r="G190" s="9">
        <f t="shared" si="217"/>
        <v>0</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0</v>
      </c>
      <c r="E194" s="6">
        <f t="shared" si="219"/>
        <v>0</v>
      </c>
      <c r="F194" s="6">
        <f t="shared" ref="F194:K194" si="220">F166-F184</f>
        <v>0</v>
      </c>
      <c r="G194" s="6">
        <f t="shared" si="220"/>
        <v>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0</v>
      </c>
      <c r="E195" s="6">
        <f t="shared" si="222"/>
        <v>0</v>
      </c>
      <c r="F195" s="6">
        <f t="shared" ref="F195:K195" si="223">F194-F175</f>
        <v>0</v>
      </c>
      <c r="G195" s="6">
        <f t="shared" si="223"/>
        <v>0</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0</v>
      </c>
      <c r="E200" s="9">
        <f t="shared" si="225"/>
        <v>0</v>
      </c>
      <c r="F200" s="9">
        <f t="shared" ref="F200:K200" si="226">F88</f>
        <v>0</v>
      </c>
      <c r="G200" s="9">
        <f t="shared" si="226"/>
        <v>0</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0</v>
      </c>
      <c r="F201" s="9">
        <f t="shared" ref="F201" si="228">F200-E200</f>
        <v>0</v>
      </c>
      <c r="G201" s="9">
        <f t="shared" ref="G201" si="229">G200-F200</f>
        <v>0</v>
      </c>
      <c r="H201" s="9">
        <f t="shared" ref="H201" si="230">H200-G200</f>
        <v>0</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0</v>
      </c>
      <c r="E203" s="9">
        <f t="shared" si="248"/>
        <v>0</v>
      </c>
      <c r="F203" s="9">
        <f t="shared" ref="F203:K203" si="249">-F195</f>
        <v>0</v>
      </c>
      <c r="G203" s="9">
        <f t="shared" si="249"/>
        <v>0</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0</v>
      </c>
      <c r="E205" s="9">
        <f t="shared" si="251"/>
        <v>0</v>
      </c>
      <c r="F205" s="9">
        <f t="shared" ref="F205:K205" si="252">F175</f>
        <v>0</v>
      </c>
      <c r="G205" s="9">
        <f t="shared" si="252"/>
        <v>0</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0</v>
      </c>
      <c r="E208" s="9">
        <f t="shared" si="254"/>
        <v>0</v>
      </c>
      <c r="F208" s="9">
        <f t="shared" ref="F208:K208" si="255">F201-F203-F204</f>
        <v>0</v>
      </c>
      <c r="G208" s="9">
        <f t="shared" si="255"/>
        <v>0</v>
      </c>
      <c r="H208" s="9">
        <f t="shared" si="255"/>
        <v>0</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12" priority="14">
      <formula>ISNUMBER(D$33)</formula>
    </cfRule>
  </conditionalFormatting>
  <conditionalFormatting sqref="E4:Q4 V4:AC4">
    <cfRule type="expression" dxfId="211" priority="13">
      <formula>ISNUMBER(E4)</formula>
    </cfRule>
  </conditionalFormatting>
  <conditionalFormatting sqref="F5:Q5 W5:AC5">
    <cfRule type="expression" dxfId="210" priority="12">
      <formula>F4&lt;&gt;""</formula>
    </cfRule>
  </conditionalFormatting>
  <conditionalFormatting sqref="E27:Q27">
    <cfRule type="expression" dxfId="209" priority="11">
      <formula>ISNUMBER(E4)</formula>
    </cfRule>
  </conditionalFormatting>
  <conditionalFormatting sqref="AT49:AU49 AT58:AU58 AT62:AU62 AT84:AU84 AT88:AU90 AT45:AU47">
    <cfRule type="expression" dxfId="208" priority="139">
      <formula>ISNUMBER(#REF!)</formula>
    </cfRule>
  </conditionalFormatting>
  <conditionalFormatting sqref="F103:Q105 F117:Q168 F170:Q210">
    <cfRule type="expression" dxfId="207" priority="5">
      <formula>NOT(ISNUMBER(F$103))</formula>
    </cfRule>
  </conditionalFormatting>
  <conditionalFormatting sqref="E5">
    <cfRule type="expression" dxfId="206" priority="4">
      <formula>ISNUMBER(E4)</formula>
    </cfRule>
  </conditionalFormatting>
  <conditionalFormatting sqref="V5">
    <cfRule type="expression" dxfId="205" priority="3">
      <formula>ISNUMBER(V4)</formula>
    </cfRule>
  </conditionalFormatting>
  <conditionalFormatting sqref="R35:Z100">
    <cfRule type="expression" dxfId="204" priority="1027">
      <formula>ISNUMBER(R$34)</formula>
    </cfRule>
  </conditionalFormatting>
  <conditionalFormatting sqref="R28:Z28">
    <cfRule type="expression" dxfId="203" priority="1029">
      <formula>ISNUMBER(R4)</formula>
    </cfRule>
  </conditionalFormatting>
  <conditionalFormatting sqref="R104:Z106 R118:Z169 R171:Z211">
    <cfRule type="expression" dxfId="202" priority="1031">
      <formula>NOT(ISNUMBER(R$104))</formula>
    </cfRule>
  </conditionalFormatting>
  <conditionalFormatting sqref="V6:AD9">
    <cfRule type="expression" dxfId="201" priority="2">
      <formula>ISNUMBER(V$4)</formula>
    </cfRule>
  </conditionalFormatting>
  <conditionalFormatting sqref="V10:AC10">
    <cfRule type="expression" dxfId="200"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954</v>
      </c>
    </row>
    <row r="2" spans="2:16" ht="13.5" customHeight="1" x14ac:dyDescent="0.4"/>
    <row r="3" spans="2:16" ht="13.5" customHeight="1" x14ac:dyDescent="0.4">
      <c r="B3" s="169"/>
      <c r="C3" s="157"/>
      <c r="F3" s="184" t="s">
        <v>825</v>
      </c>
      <c r="G3" s="168">
        <v>2025</v>
      </c>
    </row>
    <row r="4" spans="2:16" ht="13.5" customHeight="1" x14ac:dyDescent="0.4">
      <c r="B4" s="169"/>
      <c r="C4" s="157"/>
    </row>
    <row r="5" spans="2:16" ht="18" x14ac:dyDescent="0.55000000000000004">
      <c r="B5" s="50" t="str">
        <f>ScenarioName</f>
        <v>Enter scenario name</v>
      </c>
    </row>
    <row r="6" spans="2:16" ht="15.75" x14ac:dyDescent="0.5">
      <c r="B6" s="39" t="s">
        <v>251</v>
      </c>
      <c r="C6" s="94"/>
      <c r="D6" s="44" cm="1">
        <f t="array" ref="D6:F6">_xlfn.SEQUENCE(1, AssessmentEnd-MTP_BaseYear+1, MTP_BaseYear)</f>
        <v>2023</v>
      </c>
      <c r="E6" s="44">
        <v>2024</v>
      </c>
      <c r="F6" s="44">
        <v>2025</v>
      </c>
      <c r="G6" s="44"/>
      <c r="H6" s="44"/>
      <c r="I6" s="44"/>
      <c r="J6" s="44"/>
      <c r="O6" s="79" t="s">
        <v>813</v>
      </c>
      <c r="P6" s="7"/>
    </row>
    <row r="7" spans="2:16" x14ac:dyDescent="0.4">
      <c r="B7" s="41" t="s">
        <v>274</v>
      </c>
      <c r="C7" s="19"/>
      <c r="D7" s="47" t="str" cm="1">
        <f t="array" ref="D7:F7">IF(
  AND(_xlfn.ANCHORARRAY(D6)&gt;=MTP_YearT-1,_xlfn.ANCHORARRAY( D6)&lt;=MTP_EndYear),
  CHOOSE(SIGN(_xlfn.ANCHORARRAY(D6)-MTP_YearT)+2, "T-1", "T", "T+"&amp;(_xlfn.ANCHORARRAY(D6)-MTP_YearT)),
  ""
)</f>
        <v>T-1</v>
      </c>
      <c r="E7" s="47" t="str">
        <v>T</v>
      </c>
      <c r="F7" s="47" t="str">
        <v>T+1</v>
      </c>
      <c r="G7" s="47"/>
      <c r="H7" s="47"/>
      <c r="I7" s="47"/>
      <c r="J7" s="47"/>
      <c r="O7" t="s">
        <v>810</v>
      </c>
      <c r="P7" s="179" t="s">
        <v>812</v>
      </c>
    </row>
    <row r="8" spans="2:16" x14ac:dyDescent="0.4">
      <c r="B8" s="59" t="s">
        <v>257</v>
      </c>
      <c r="C8" s="44" t="s">
        <v>6</v>
      </c>
      <c r="D8" s="167">
        <f>IF(ISNUMBER(D$6),IF(AND(D$6&gt;=MTP_BaseYear,D$6&lt;=OutturnThrough),'Step 2 - Update outturn data'!E6,INDEX($D$59:$J$59,MATCH(D$6,$D$34:$J$34,0))/100*D$29),"")</f>
        <v>0</v>
      </c>
      <c r="E8" s="167">
        <f>IF(ISNUMBER(E$6),IF(AND(E$6&gt;=MTP_BaseYear,E$6&lt;=OutturnThrough),'Step 2 - Update outturn data'!F6,INDEX($D$59:$J$59,MATCH(E$6,$D$34:$J$34,0))/100*E$29),"")</f>
        <v>0</v>
      </c>
      <c r="F8" s="167">
        <f>IF(ISNUMBER(F$6),IF(AND(F$6&gt;=MTP_BaseYear,F$6&lt;=OutturnThrough),'Step 2 - Update outturn data'!G6,INDEX($D$59:$J$59,MATCH(F$6,$D$34:$J$34,0))/100*F$29),"")</f>
        <v>0</v>
      </c>
      <c r="G8" s="167" t="str">
        <f>IF(ISNUMBER(G$6),IF(AND(G$6&gt;=MTP_BaseYear,G$6&lt;=OutturnThrough),'Step 2 - Update outturn data'!H6,INDEX($D$59:$J$59,MATCH(G$6,$D$34:$J$34,0))/100*G$29),"")</f>
        <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0</v>
      </c>
      <c r="E9" s="167">
        <f>IF(ISNUMBER(E$6),IF(AND(E$6&gt;=MTP_BaseYear,E$6&lt;=OutturnThrough),'Step 2 - Update outturn data'!F7,INDEX($D$50:$J$50,MATCH(E$6,$D$34:$J$34,0))/100*E$29),"")</f>
        <v>0</v>
      </c>
      <c r="F9" s="167">
        <f>IF(ISNUMBER(F$6),IF(AND(F$6&gt;=MTP_BaseYear,F$6&lt;=OutturnThrough),'Step 2 - Update outturn data'!G7,INDEX($D$50:$J$50,MATCH(F$6,$D$34:$J$34,0))/100*F$29),"")</f>
        <v>0</v>
      </c>
      <c r="G9" s="167" t="str">
        <f>IF(ISNUMBER(G$6),IF(AND(G$6&gt;=MTP_BaseYear,G$6&lt;=OutturnThrough),'Step 2 - Update outturn data'!H7,INDEX($D$50:$J$50,MATCH(G$6,$D$34:$J$34,0))/100*G$29),"")</f>
        <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0</v>
      </c>
      <c r="E10" s="167">
        <f>IF(ISNUMBER(E$6),IF(AND(E$6&gt;=MTP_BaseYear,E$6&lt;=OutturnThrough),'Step 2 - Update outturn data'!F8,INDEX($D$63:$J$63,MATCH(E$6,$D$34:$J$34,0))/100*E$29),"")</f>
        <v>0</v>
      </c>
      <c r="F10" s="167">
        <f>IF(ISNUMBER(F$6),IF(AND(F$6&gt;=MTP_BaseYear,F$6&lt;=OutturnThrough),'Step 2 - Update outturn data'!G8,INDEX($D$63:$J$63,MATCH(F$6,$D$34:$J$34,0))/100*F$29),"")</f>
        <v>0</v>
      </c>
      <c r="G10" s="167" t="str">
        <f>IF(ISNUMBER(G$6),IF(AND(G$6&gt;=MTP_BaseYear,G$6&lt;=OutturnThrough),'Step 2 - Update outturn data'!H8,INDEX($D$63:$J$63,MATCH(G$6,$D$34:$J$34,0))/100*G$29),"")</f>
        <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0</v>
      </c>
      <c r="E11" s="167">
        <f>IF(ISNUMBER(E$6),IF(AND(E$6&gt;=MTP_BaseYear,E$6&lt;=OutturnThrough),'Step 2 - Update outturn data'!F9,INDEX($D$60:$J$60,MATCH(E$6,$D$34:$J$34,0))/100*E$29),"")</f>
        <v>0</v>
      </c>
      <c r="F11" s="167">
        <f>IF(ISNUMBER(F$6),IF(AND(F$6&gt;=MTP_BaseYear,F$6&lt;=OutturnThrough),'Step 2 - Update outturn data'!G9,INDEX($D$60:$J$60,MATCH(F$6,$D$34:$J$34,0))/100*F$29),"")</f>
        <v>0</v>
      </c>
      <c r="G11" s="167" t="str">
        <f>IF(ISNUMBER(G$6),IF(AND(G$6&gt;=MTP_BaseYear,G$6&lt;=OutturnThrough),'Step 2 - Update outturn data'!H9,INDEX($D$60:$J$60,MATCH(G$6,$D$34:$J$34,0))/100*G$29),"")</f>
        <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v>
      </c>
      <c r="E12" s="167">
        <f>IF(ISNUMBER(E$6),IF(AND(E$6&gt;=MTP_BaseYear,E$6&lt;=OutturnThrough),'Step 2 - Update outturn data'!F10,INDEX($D$62:$J$62,MATCH(E$6,$D$34:$J$34,0))/100*E$29),"")</f>
        <v>0</v>
      </c>
      <c r="F12" s="167">
        <f>IF(ISNUMBER(F$6),IF(AND(F$6&gt;=MTP_BaseYear,F$6&lt;=OutturnThrough),'Step 2 - Update outturn data'!G10,INDEX($D$62:$J$62,MATCH(F$6,$D$34:$J$34,0))/100*F$29),"")</f>
        <v>0</v>
      </c>
      <c r="G12" s="167" t="str">
        <f>IF(ISNUMBER(G$6),IF(AND(G$6&gt;=MTP_BaseYear,G$6&lt;=OutturnThrough),'Step 2 - Update outturn data'!H10,INDEX($D$62:$J$62,MATCH(G$6,$D$34:$J$34,0))/100*G$29),"")</f>
        <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t="str">
        <f>IF(ISNUMBER(G$6),IF(AND(G$6&gt;=MTP_BaseYear,G$6&lt;=OutturnThrough),'Step 2 - Update outturn data'!H11,INDEX($D$64:$J$64,MATCH(G$6,$D$34:$J$34,0))/100*G$29),"")</f>
        <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0</v>
      </c>
      <c r="E14" s="167">
        <f>IF(ISNUMBER(E$6),IF(AND(E$6&gt;=MTP_BaseYear,E$6&lt;=OutturnThrough),'Step 2 - Update outturn data'!F12,INDEX($D$65:$J$65,MATCH(E$6,$D$34:$J$34,0))/100*E$29),"")</f>
        <v>0</v>
      </c>
      <c r="F14" s="167">
        <f>IF(ISNUMBER(F$6),IF(AND(F$6&gt;=MTP_BaseYear,F$6&lt;=OutturnThrough),'Step 2 - Update outturn data'!G12,INDEX($D$65:$J$65,MATCH(F$6,$D$34:$J$34,0))/100*F$29),"")</f>
        <v>0</v>
      </c>
      <c r="G14" s="167" t="str">
        <f>IF(ISNUMBER(G$6),IF(AND(G$6&gt;=MTP_BaseYear,G$6&lt;=OutturnThrough),'Step 2 - Update outturn data'!H12,INDEX($D$65:$J$65,MATCH(G$6,$D$34:$J$34,0))/100*G$29),"")</f>
        <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v>
      </c>
      <c r="F15" s="167">
        <f>IF(ISNUMBER(F$6),IF(AND(F$6&gt;=MTP_BaseYear,F$6&lt;=OutturnThrough),'Step 2 - Update outturn data'!G13,(INDEX($D$45:$J$45,MATCH(F$6,$D$34:$J$34,0))-INDEX($D$46:$J$46,MATCH(F$6,$D$34:$J$34,0)))/100*F$29),"")</f>
        <v>0</v>
      </c>
      <c r="G15" s="167" t="str">
        <f>IF(ISNUMBER(G$6),IF(AND(G$6&gt;=MTP_BaseYear,G$6&lt;=OutturnThrough),'Step 2 - Update outturn data'!H13,(INDEX($D$45:$J$45,MATCH(G$6,$D$34:$J$34,0))-INDEX($D$46:$J$46,MATCH(G$6,$D$34:$J$34,0)))/100*G$29),"")</f>
        <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0</v>
      </c>
      <c r="E16" s="167">
        <f>IF(ISNUMBER(E$6),IF(AND(E$6&gt;=MTP_BaseYear,E$6&lt;=OutturnThrough),'Step 2 - Update outturn data'!F14,INDEX($D$87:$J$87,MATCH(E$6,$D$34:$J$34,0))/100*E$29),"")</f>
        <v>0</v>
      </c>
      <c r="F16" s="167">
        <f>IF(ISNUMBER(F$6),IF(AND(F$6&gt;=MTP_BaseYear,F$6&lt;=OutturnThrough),'Step 2 - Update outturn data'!G14,INDEX($D$87:$J$87,MATCH(F$6,$D$34:$J$34,0))/100*F$29),"")</f>
        <v>0</v>
      </c>
      <c r="G16" s="167" t="str">
        <f>IF(ISNUMBER(G$6),IF(AND(G$6&gt;=MTP_BaseYear,G$6&lt;=OutturnThrough),'Step 2 - Update outturn data'!H14,INDEX($D$87:$J$87,MATCH(G$6,$D$34:$J$34,0))/100*G$29),"")</f>
        <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t="str">
        <f>IF(ISNUMBER(E$6),IF(AND(E$6&gt;=MTP_BaseYear,E$6&lt;=OutturnThrough),'Step 2 - Update outturn data'!F15,INDEX($D$67:$J$67,MATCH(E$6,$D$34:$J$34,0))),"")</f>
        <v/>
      </c>
      <c r="F17" s="167" t="str">
        <f>IF(ISNUMBER(F$6),IF(AND(F$6&gt;=MTP_BaseYear,F$6&lt;=OutturnThrough),'Step 2 - Update outturn data'!G15,INDEX($D$67:$J$67,MATCH(F$6,$D$34:$J$34,0))),"")</f>
        <v/>
      </c>
      <c r="G17" s="167" t="str">
        <f>IF(ISNUMBER(G$6),IF(AND(G$6&gt;=MTP_BaseYear,G$6&lt;=OutturnThrough),'Step 2 - Update outturn data'!H15,INDEX($D$67:$J$67,MATCH(G$6,$D$34:$J$34,0))),"")</f>
        <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t="str">
        <f>IF(ISNUMBER(E$6),IF(E$6&lt;=MTP_BaseYear,"",IF(ISNUMBER(D18),((1+D18/100)*(1+E17/100)-1)*100,E17)),"")</f>
        <v/>
      </c>
      <c r="F18" s="69" t="str">
        <f>IF(ISNUMBER(F$6),IF(F$6&lt;=MTP_BaseYear,"",IF(ISNUMBER(E18),((1+E18/100)*(1+F17/100)-1)*100,F17)),"")</f>
        <v/>
      </c>
      <c r="G18" s="69" t="str">
        <f>IF(ISNUMBER(G$6),IF(G$6&lt;=MTP_BaseYear,"",IF(ISNUMBER(F18),((1+F18/100)*(1+G17/100)-1)*100,G17)),"")</f>
        <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t="str">
        <f>IF(ISNUMBER(D$6),IF(AND(D$6&gt;=MTP_BaseYear,D$6&lt;=OutturnThrough),'Step 2 - Update outturn data'!E17,INDEX($D$69:$J$69,MATCH(D$6,$D$34:$J$34,0))),"")</f>
        <v/>
      </c>
      <c r="E19" s="167" t="str">
        <f>IF(ISNUMBER(E$6),IF(AND(E$6&gt;=MTP_BaseYear,E$6&lt;=OutturnThrough),'Step 2 - Update outturn data'!F17,INDEX($D$69:$J$69,MATCH(E$6,$D$34:$J$34,0))),"")</f>
        <v/>
      </c>
      <c r="F19" s="167" t="str">
        <f>IF(ISNUMBER(F$6),IF(AND(F$6&gt;=MTP_BaseYear,F$6&lt;=OutturnThrough),'Step 2 - Update outturn data'!G17,INDEX($D$69:$J$69,MATCH(F$6,$D$34:$J$34,0))),"")</f>
        <v/>
      </c>
      <c r="G19" s="167" t="str">
        <f>IF(ISNUMBER(G$6),IF(AND(G$6&gt;=MTP_BaseYear,G$6&lt;=OutturnThrough),'Step 2 - Update outturn data'!H17,INDEX($D$69:$J$69,MATCH(G$6,$D$34:$J$34,0))),"")</f>
        <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0</v>
      </c>
      <c r="E20" s="167">
        <f>IF(ISNUMBER(E$6),IF(AND(E$6&gt;=MTP_BaseYear,E$6&lt;=OutturnThrough),'Step 2 - Update outturn data'!F18,INDEX($D$72:$J$72,MATCH(E$6,$D$34:$J$34,0))),"")</f>
        <v>0</v>
      </c>
      <c r="F20" s="167">
        <f>IF(ISNUMBER(F$6),IF(AND(F$6&gt;=MTP_BaseYear,F$6&lt;=OutturnThrough),'Step 2 - Update outturn data'!G18,INDEX($D$72:$J$72,MATCH(F$6,$D$34:$J$34,0))),"")</f>
        <v>0</v>
      </c>
      <c r="G20" s="167" t="str">
        <f>IF(ISNUMBER(G$6),IF(AND(G$6&gt;=MTP_BaseYear,G$6&lt;=OutturnThrough),'Step 2 - Update outturn data'!H18,INDEX($D$72:$J$72,MATCH(G$6,$D$34:$J$34,0))),"")</f>
        <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0</v>
      </c>
      <c r="E21" s="167">
        <f>IF(ISNUMBER(E$6),IF(AND(E$6&gt;=MTP_BaseYear,E$6&lt;=OutturnThrough),'Step 2 - Update outturn data'!F19,INDEX($D$73:$J$73,MATCH(E$6,$D$34:$J$34,0))),"")</f>
        <v>0</v>
      </c>
      <c r="F21" s="167">
        <f>IF(ISNUMBER(F$6),IF(AND(F$6&gt;=MTP_BaseYear,F$6&lt;=OutturnThrough),'Step 2 - Update outturn data'!G19,INDEX($D$73:$J$73,MATCH(F$6,$D$34:$J$34,0))),"")</f>
        <v>0</v>
      </c>
      <c r="G21" s="167" t="str">
        <f>IF(ISNUMBER(G$6),IF(AND(G$6&gt;=MTP_BaseYear,G$6&lt;=OutturnThrough),'Step 2 - Update outturn data'!H19,INDEX($D$73:$J$73,MATCH(G$6,$D$34:$J$34,0))),"")</f>
        <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t="str">
        <f>IF(ISNUMBER(D$6),IF(AND(D$6&gt;=MTP_BaseYear,D$6&lt;=OutturnThrough),'Step 2 - Update outturn data'!E20,INDEX($D$75:$J$75,MATCH(D$6,$D$34:$J$34,0))),"")</f>
        <v/>
      </c>
      <c r="E22" s="167" t="str">
        <f>IF(ISNUMBER(E$6),IF(AND(E$6&gt;=MTP_BaseYear,E$6&lt;=OutturnThrough),'Step 2 - Update outturn data'!F20,INDEX($D$75:$J$75,MATCH(E$6,$D$34:$J$34,0))),"")</f>
        <v/>
      </c>
      <c r="F22" s="167" t="str">
        <f>IF(ISNUMBER(F$6),IF(AND(F$6&gt;=MTP_BaseYear,F$6&lt;=OutturnThrough),'Step 2 - Update outturn data'!G20,INDEX($D$75:$J$75,MATCH(F$6,$D$34:$J$34,0))),"")</f>
        <v/>
      </c>
      <c r="G22" s="167" t="str">
        <f>IF(ISNUMBER(G$6),IF(AND(G$6&gt;=MTP_BaseYear,G$6&lt;=OutturnThrough),'Step 2 - Update outturn data'!H20,INDEX($D$75:$J$75,MATCH(G$6,$D$34:$J$34,0))),"")</f>
        <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t="str">
        <f>IF(ISNUMBER(D$6),IF(AND(D$6&gt;=MTP_BaseYear,D$6&lt;=OutturnThrough),'Step 2 - Update outturn data'!E21,INDEX($D$76:$J$76,MATCH(D$6,$D$34:$J$34,0))),"")</f>
        <v/>
      </c>
      <c r="E23" s="167" t="str">
        <f>IF(ISNUMBER(E$6),IF(AND(E$6&gt;=MTP_BaseYear,E$6&lt;=OutturnThrough),'Step 2 - Update outturn data'!F21,INDEX($D$76:$J$76,MATCH(E$6,$D$34:$J$34,0))),"")</f>
        <v/>
      </c>
      <c r="F23" s="167" t="str">
        <f>IF(ISNUMBER(F$6),IF(AND(F$6&gt;=MTP_BaseYear,F$6&lt;=OutturnThrough),'Step 2 - Update outturn data'!G21,INDEX($D$76:$J$76,MATCH(F$6,$D$34:$J$34,0))),"")</f>
        <v/>
      </c>
      <c r="G23" s="167" t="str">
        <f>IF(ISNUMBER(G$6),IF(AND(G$6&gt;=MTP_BaseYear,G$6&lt;=OutturnThrough),'Step 2 - Update outturn data'!H21,INDEX($D$76:$J$76,MATCH(G$6,$D$34:$J$34,0))),"")</f>
        <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t="str">
        <f>IF(ISNUMBER(D$6),IF(AND(D$6&gt;=MTP_BaseYear,D$6&lt;=OutturnThrough),'Step 2 - Update outturn data'!E22,INDEX($D$94:$J$94,MATCH(D$6,$D$92:$J$92,0))),"")</f>
        <v/>
      </c>
      <c r="E24" s="167" t="str">
        <f>IF(ISNUMBER(E$6),IF(AND(E$6&gt;=MTP_BaseYear,E$6&lt;=OutturnThrough),'Step 2 - Update outturn data'!F22,INDEX($D$94:$J$94,MATCH(E$6,$D$92:$J$92,0))),"")</f>
        <v/>
      </c>
      <c r="F24" s="167" t="str">
        <f>IF(ISNUMBER(F$6),IF(AND(F$6&gt;=MTP_BaseYear,F$6&lt;=OutturnThrough),'Step 2 - Update outturn data'!G22,INDEX($D$94:$J$94,MATCH(F$6,$D$92:$J$92,0))),"")</f>
        <v/>
      </c>
      <c r="G24" s="167" t="str">
        <f>IF(ISNUMBER(G$6),IF(AND(G$6&gt;=MTP_BaseYear,G$6&lt;=OutturnThrough),'Step 2 - Update outturn data'!H22,INDEX($D$94:$J$94,MATCH(G$6,$D$92:$J$92,0))),"")</f>
        <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t="str">
        <f>IF(ISNUMBER(D$6),IF(AND(D$6&gt;=MTP_BaseYear,D$6&lt;=OutturnThrough),'Step 2 - Update outturn data'!E23,INDEX($D$95:$J$95,MATCH(D$6,$D$92:$J$92,0))),"")</f>
        <v/>
      </c>
      <c r="E25" s="167" t="str">
        <f>IF(ISNUMBER(E$6),IF(AND(E$6&gt;=MTP_BaseYear,E$6&lt;=OutturnThrough),'Step 2 - Update outturn data'!F23,INDEX($D$95:$J$95,MATCH(E$6,$D$92:$J$92,0))),"")</f>
        <v/>
      </c>
      <c r="F25" s="167" t="str">
        <f>IF(ISNUMBER(F$6),IF(AND(F$6&gt;=MTP_BaseYear,F$6&lt;=OutturnThrough),'Step 2 - Update outturn data'!G23,INDEX($D$95:$J$95,MATCH(F$6,$D$92:$J$92,0))),"")</f>
        <v/>
      </c>
      <c r="G25" s="167" t="str">
        <f>IF(ISNUMBER(G$6),IF(AND(G$6&gt;=MTP_BaseYear,G$6&lt;=OutturnThrough),'Step 2 - Update outturn data'!H23,INDEX($D$95:$J$95,MATCH(G$6,$D$92:$J$92,0))),"")</f>
        <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t="str">
        <f>IF(ISNUMBER(D$6),IF(AND(D$6&gt;=MTP_BaseYear,D$6&lt;=OutturnThrough),'Step 2 - Update outturn data'!E24,INDEX($D$96:$J$96,MATCH(D$6,$D$92:$J$92,0))),"")</f>
        <v/>
      </c>
      <c r="E26" s="167" t="str">
        <f>IF(ISNUMBER(E$6),IF(AND(E$6&gt;=MTP_BaseYear,E$6&lt;=OutturnThrough),'Step 2 - Update outturn data'!F24,INDEX($D$96:$J$96,MATCH(E$6,$D$92:$J$92,0))),"")</f>
        <v/>
      </c>
      <c r="F26" s="167" t="str">
        <f>IF(ISNUMBER(F$6),IF(AND(F$6&gt;=MTP_BaseYear,F$6&lt;=OutturnThrough),'Step 2 - Update outturn data'!G24,INDEX($D$96:$J$96,MATCH(F$6,$D$92:$J$92,0))),"")</f>
        <v/>
      </c>
      <c r="G26" s="167" t="str">
        <f>IF(ISNUMBER(G$6),IF(AND(G$6&gt;=MTP_BaseYear,G$6&lt;=OutturnThrough),'Step 2 - Update outturn data'!H24,INDEX($D$96:$J$96,MATCH(G$6,$D$92:$J$92,0))),"")</f>
        <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t="str">
        <f>IF(ISNUMBER(D$6),IF(AND(D$6&gt;=MTP_BaseYear,D$6&lt;=OutturnThrough),'Step 2 - Update outturn data'!E25,INDEX($D$125:$J$125,MATCH(D$6,$D$92:$J$92,0))),"")</f>
        <v/>
      </c>
      <c r="E27" s="167" t="str">
        <f>IF(ISNUMBER(E$6),IF(AND(E$6&gt;=MTP_BaseYear,E$6&lt;=OutturnThrough),'Step 2 - Update outturn data'!F25,INDEX($D$125:$J$125,MATCH(E$6,$D$92:$J$92,0))),"")</f>
        <v/>
      </c>
      <c r="F27" s="167" t="str">
        <f>IF(ISNUMBER(F$6),IF(AND(F$6&gt;=MTP_BaseYear,F$6&lt;=OutturnThrough),'Step 2 - Update outturn data'!G25,INDEX($D$125:$J$125,MATCH(F$6,$D$92:$J$92,0))),"")</f>
        <v/>
      </c>
      <c r="G27" s="167" t="str">
        <f>IF(ISNUMBER(G$6),IF(AND(G$6&gt;=MTP_BaseYear,G$6&lt;=OutturnThrough),'Step 2 - Update outturn data'!H25,INDEX($D$125:$J$125,MATCH(G$6,$D$92:$J$92,0))),"")</f>
        <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t="str">
        <f>IF(ISNUMBER(D$6),IF(AND(D$6&gt;=MTP_BaseYear,D$6&lt;=OutturnThrough),'Step 2 - Update outturn data'!E26,INDEX($D$131:$J$131,MATCH(D$6,$D$92:$J$92,0))),"")</f>
        <v/>
      </c>
      <c r="E28" s="167" t="str">
        <f>IF(ISNUMBER(E$6),IF(AND(E$6&gt;=MTP_BaseYear,E$6&lt;=OutturnThrough),'Step 2 - Update outturn data'!F26,INDEX($D$131:$J$131,MATCH(E$6,$D$92:$J$92,0))),"")</f>
        <v/>
      </c>
      <c r="F28" s="167" t="str">
        <f>IF(ISNUMBER(F$6),IF(AND(F$6&gt;=MTP_BaseYear,F$6&lt;=OutturnThrough),'Step 2 - Update outturn data'!G26,INDEX($D$131:$J$131,MATCH(F$6,$D$92:$J$92,0))),"")</f>
        <v/>
      </c>
      <c r="G28" s="167" t="str">
        <f>IF(ISNUMBER(G$6),IF(AND(G$6&gt;=MTP_BaseYear,G$6&lt;=OutturnThrough),'Step 2 - Update outturn data'!H26,INDEX($D$131:$J$131,MATCH(G$6,$D$92:$J$92,0))),"")</f>
        <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0</v>
      </c>
      <c r="E29" s="278">
        <f>IF(ISNUMBER(E$6),IF(AND(E$6&gt;=MTP_BaseYear,E$6&lt;=OutturnThrough),'Step 2 - Update outturn data'!F27,D29*(1+INDEX($D$96:$J$96,MATCH(E$6,$D$92:$J$92,0))/100)),"")</f>
        <v>0</v>
      </c>
      <c r="F29" s="278">
        <f>IF(ISNUMBER(F$6),IF(AND(F$6&gt;=MTP_BaseYear,F$6&lt;=OutturnThrough),'Step 2 - Update outturn data'!G27,E29*(1+INDEX($D$96:$J$96,MATCH(F$6,$D$92:$J$92,0))/100)),"")</f>
        <v>0</v>
      </c>
      <c r="G29" s="278" t="str">
        <f>IF(ISNUMBER(G$6),IF(AND(G$6&gt;=MTP_BaseYear,G$6&lt;=OutturnThrough),'Step 2 - Update outturn data'!H27,F29*(1+INDEX($D$96:$J$96,MATCH(G$6,$D$92:$J$92,0))/100)),"")</f>
        <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G34">_xlfn.SEQUENCE(1, AssessmentEnd-P9+1, P9)</f>
        <v>2023</v>
      </c>
      <c r="F34" s="272">
        <v>2024</v>
      </c>
      <c r="G34" s="272">
        <v>2025</v>
      </c>
      <c r="H34" s="272"/>
      <c r="I34" s="272"/>
      <c r="J34" s="272"/>
      <c r="K34" s="272"/>
    </row>
    <row r="35" spans="1:11" x14ac:dyDescent="0.4">
      <c r="A35" s="212"/>
      <c r="B35" s="212" t="s">
        <v>30</v>
      </c>
      <c r="C35" s="212" t="s">
        <v>31</v>
      </c>
      <c r="D35" s="235" t="s">
        <v>6</v>
      </c>
      <c r="E35" s="272" t="str" cm="1">
        <f t="array" ref="E35:G35">IF(ISNUMBER(_xlfn.ANCHORARRAY(E$34)),"% of GDP","")</f>
        <v>% of GDP</v>
      </c>
      <c r="F35" s="272" t="str">
        <v>% of GDP</v>
      </c>
      <c r="G35" s="272" t="str">
        <v>% of GDP</v>
      </c>
      <c r="H35" s="272"/>
      <c r="I35" s="272"/>
      <c r="J35" s="272"/>
      <c r="K35" s="272"/>
    </row>
    <row r="36" spans="1:11" x14ac:dyDescent="0.4">
      <c r="A36" s="212">
        <v>1</v>
      </c>
      <c r="B36" s="242" t="s">
        <v>32</v>
      </c>
      <c r="C36" s="242" t="s">
        <v>72</v>
      </c>
      <c r="D36" s="4"/>
      <c r="E36" s="4"/>
      <c r="F36" s="4"/>
      <c r="G36" s="4"/>
      <c r="H36" s="4"/>
      <c r="I36" s="4"/>
      <c r="J36" s="4"/>
    </row>
    <row r="37" spans="1:11" x14ac:dyDescent="0.4">
      <c r="A37" s="212">
        <v>2</v>
      </c>
      <c r="B37" s="242" t="s">
        <v>33</v>
      </c>
      <c r="C37" s="242" t="s">
        <v>73</v>
      </c>
      <c r="D37" s="4"/>
      <c r="E37" s="4"/>
      <c r="F37" s="4"/>
      <c r="G37" s="4"/>
      <c r="H37" s="4"/>
      <c r="I37" s="4"/>
      <c r="J37" s="4"/>
    </row>
    <row r="38" spans="1:11" x14ac:dyDescent="0.4">
      <c r="A38" s="212">
        <v>3</v>
      </c>
      <c r="B38" s="242" t="s">
        <v>34</v>
      </c>
      <c r="C38" s="242" t="s">
        <v>74</v>
      </c>
      <c r="D38" s="4"/>
      <c r="E38" s="4"/>
      <c r="F38" s="4"/>
      <c r="G38" s="4"/>
      <c r="H38" s="4"/>
      <c r="I38" s="4"/>
      <c r="J38" s="4"/>
    </row>
    <row r="39" spans="1:11" x14ac:dyDescent="0.4">
      <c r="A39" s="212">
        <v>4</v>
      </c>
      <c r="B39" s="242" t="s">
        <v>36</v>
      </c>
      <c r="C39" s="242" t="s">
        <v>75</v>
      </c>
      <c r="D39" s="4"/>
      <c r="E39" s="4"/>
      <c r="F39" s="4"/>
      <c r="G39" s="4"/>
      <c r="H39" s="4"/>
      <c r="I39" s="4"/>
      <c r="J39" s="4"/>
    </row>
    <row r="40" spans="1:11" x14ac:dyDescent="0.4">
      <c r="A40" s="212">
        <v>5</v>
      </c>
      <c r="B40" s="242" t="s">
        <v>37</v>
      </c>
      <c r="C40" s="242" t="s">
        <v>76</v>
      </c>
      <c r="D40" s="4"/>
      <c r="E40" s="4"/>
      <c r="F40" s="4"/>
      <c r="G40" s="4"/>
      <c r="H40" s="4"/>
      <c r="I40" s="4"/>
      <c r="J40" s="4"/>
    </row>
    <row r="41" spans="1:11" x14ac:dyDescent="0.4">
      <c r="A41" s="212">
        <v>6</v>
      </c>
      <c r="B41" s="242" t="s">
        <v>38</v>
      </c>
      <c r="C41" s="242" t="s">
        <v>77</v>
      </c>
      <c r="D41" s="4"/>
      <c r="E41" s="4"/>
      <c r="F41" s="4"/>
      <c r="G41" s="4"/>
      <c r="H41" s="4"/>
      <c r="I41" s="4"/>
      <c r="J41" s="4"/>
    </row>
    <row r="42" spans="1:11" x14ac:dyDescent="0.4">
      <c r="A42" s="212">
        <v>7</v>
      </c>
      <c r="B42" s="242" t="s">
        <v>39</v>
      </c>
      <c r="C42" s="242" t="s">
        <v>78</v>
      </c>
      <c r="D42" s="242"/>
      <c r="E42" s="242"/>
      <c r="F42" s="242"/>
      <c r="G42" s="242"/>
      <c r="H42" s="242"/>
      <c r="I42" s="242"/>
      <c r="J42" s="242"/>
    </row>
    <row r="43" spans="1:11" x14ac:dyDescent="0.4">
      <c r="A43" s="212">
        <v>8</v>
      </c>
      <c r="B43" s="242" t="s">
        <v>40</v>
      </c>
      <c r="C43" s="242" t="s">
        <v>79</v>
      </c>
      <c r="D43" s="4"/>
      <c r="E43" s="4"/>
      <c r="F43" s="4"/>
      <c r="G43" s="4"/>
      <c r="H43" s="4"/>
      <c r="I43" s="4"/>
      <c r="J43" s="4"/>
    </row>
    <row r="44" spans="1:11" x14ac:dyDescent="0.4">
      <c r="A44" s="212">
        <v>9</v>
      </c>
      <c r="B44" s="242" t="s">
        <v>41</v>
      </c>
      <c r="C44" s="242"/>
      <c r="D44" s="242"/>
      <c r="E44" s="242"/>
      <c r="F44" s="242"/>
      <c r="G44" s="242"/>
      <c r="H44" s="242"/>
      <c r="I44" s="242"/>
      <c r="J44" s="242"/>
    </row>
    <row r="45" spans="1:11" x14ac:dyDescent="0.4">
      <c r="A45" s="212">
        <v>10</v>
      </c>
      <c r="B45" s="242" t="s">
        <v>42</v>
      </c>
      <c r="C45" s="242"/>
      <c r="D45" s="4"/>
      <c r="E45" s="4"/>
      <c r="F45" s="4"/>
      <c r="G45" s="4"/>
      <c r="H45" s="4"/>
      <c r="I45" s="4"/>
      <c r="J45" s="4"/>
    </row>
    <row r="46" spans="1:11" x14ac:dyDescent="0.4">
      <c r="A46" s="212">
        <v>11</v>
      </c>
      <c r="B46" s="242" t="s">
        <v>43</v>
      </c>
      <c r="C46" s="242"/>
      <c r="D46" s="4"/>
      <c r="E46" s="4"/>
      <c r="F46" s="4"/>
      <c r="G46" s="4"/>
      <c r="H46" s="4"/>
      <c r="I46" s="4"/>
      <c r="J46" s="4"/>
    </row>
    <row r="47" spans="1:11" x14ac:dyDescent="0.4">
      <c r="A47" s="212"/>
      <c r="B47" s="212" t="s">
        <v>29</v>
      </c>
      <c r="C47" s="212" t="s">
        <v>31</v>
      </c>
      <c r="D47" s="236" t="s">
        <v>6</v>
      </c>
      <c r="E47" s="272" t="str" cm="1">
        <f t="array" ref="E47:G47">IF(ISNUMBER(_xlfn.ANCHORARRAY(E$34)),"% of GDP","")</f>
        <v>% of GDP</v>
      </c>
      <c r="F47" s="272" t="str">
        <v>% of GDP</v>
      </c>
      <c r="G47" s="272" t="str">
        <v>% of GDP</v>
      </c>
      <c r="H47" s="272"/>
      <c r="I47" s="272"/>
      <c r="J47" s="272"/>
      <c r="K47" s="272"/>
    </row>
    <row r="48" spans="1:11" x14ac:dyDescent="0.4">
      <c r="A48" s="212">
        <v>12</v>
      </c>
      <c r="B48" s="225" t="s">
        <v>44</v>
      </c>
      <c r="C48" s="225" t="s">
        <v>5</v>
      </c>
      <c r="D48" s="4"/>
      <c r="E48" s="4"/>
      <c r="F48" s="4"/>
      <c r="G48" s="4"/>
      <c r="H48" s="4"/>
      <c r="I48" s="4"/>
      <c r="J48" s="4"/>
    </row>
    <row r="49" spans="1:10" x14ac:dyDescent="0.4">
      <c r="A49" s="212">
        <v>13</v>
      </c>
      <c r="B49" s="225" t="s">
        <v>45</v>
      </c>
      <c r="C49" s="225" t="s">
        <v>80</v>
      </c>
      <c r="D49" s="4"/>
      <c r="E49" s="4"/>
      <c r="F49" s="4"/>
      <c r="G49" s="4"/>
      <c r="H49" s="4"/>
      <c r="I49" s="4"/>
      <c r="J49" s="4"/>
    </row>
    <row r="50" spans="1:10" x14ac:dyDescent="0.4">
      <c r="A50" s="212">
        <v>14</v>
      </c>
      <c r="B50" s="225" t="s">
        <v>46</v>
      </c>
      <c r="C50" s="225" t="s">
        <v>28</v>
      </c>
      <c r="D50" s="4"/>
      <c r="E50" s="4"/>
      <c r="F50" s="4"/>
      <c r="G50" s="4"/>
      <c r="H50" s="4"/>
      <c r="I50" s="4"/>
      <c r="J50" s="4"/>
    </row>
    <row r="51" spans="1:10" x14ac:dyDescent="0.4">
      <c r="A51" s="212">
        <v>15</v>
      </c>
      <c r="B51" s="225" t="s">
        <v>47</v>
      </c>
      <c r="C51" s="225" t="s">
        <v>81</v>
      </c>
      <c r="D51" s="4"/>
      <c r="E51" s="4"/>
      <c r="F51" s="4"/>
      <c r="G51" s="4"/>
      <c r="H51" s="4"/>
      <c r="I51" s="4"/>
      <c r="J51" s="4"/>
    </row>
    <row r="52" spans="1:10" x14ac:dyDescent="0.4">
      <c r="A52" s="212">
        <v>16</v>
      </c>
      <c r="B52" s="225" t="s">
        <v>48</v>
      </c>
      <c r="C52" s="225" t="s">
        <v>82</v>
      </c>
      <c r="D52" s="4"/>
      <c r="E52" s="4"/>
      <c r="F52" s="4"/>
      <c r="G52" s="4"/>
      <c r="H52" s="4"/>
      <c r="I52" s="4"/>
      <c r="J52" s="4"/>
    </row>
    <row r="53" spans="1:10" x14ac:dyDescent="0.4">
      <c r="A53" s="212">
        <v>17</v>
      </c>
      <c r="B53" s="225" t="s">
        <v>49</v>
      </c>
      <c r="C53" s="225" t="s">
        <v>83</v>
      </c>
      <c r="D53" s="4"/>
      <c r="E53" s="4"/>
      <c r="F53" s="4"/>
      <c r="G53" s="4"/>
      <c r="H53" s="4"/>
      <c r="I53" s="4"/>
      <c r="J53" s="4"/>
    </row>
    <row r="54" spans="1:10" x14ac:dyDescent="0.4">
      <c r="A54" s="212">
        <v>18</v>
      </c>
      <c r="B54" s="225" t="s">
        <v>50</v>
      </c>
      <c r="C54" s="225" t="s">
        <v>84</v>
      </c>
      <c r="D54" s="4"/>
      <c r="E54" s="4"/>
      <c r="F54" s="4"/>
      <c r="G54" s="4"/>
      <c r="H54" s="4"/>
      <c r="I54" s="4"/>
      <c r="J54" s="4"/>
    </row>
    <row r="55" spans="1:10" x14ac:dyDescent="0.4">
      <c r="A55" s="212">
        <v>19</v>
      </c>
      <c r="B55" s="225" t="s">
        <v>10</v>
      </c>
      <c r="C55" s="225" t="s">
        <v>4</v>
      </c>
      <c r="D55" s="4"/>
      <c r="E55" s="4"/>
      <c r="F55" s="4"/>
      <c r="G55" s="4"/>
      <c r="H55" s="4"/>
      <c r="I55" s="4"/>
      <c r="J55" s="4"/>
    </row>
    <row r="56" spans="1:10" x14ac:dyDescent="0.4">
      <c r="A56" s="212">
        <v>20</v>
      </c>
      <c r="B56" s="225" t="s">
        <v>51</v>
      </c>
      <c r="C56" s="225"/>
      <c r="D56" s="4"/>
      <c r="E56" s="4"/>
      <c r="F56" s="4"/>
      <c r="G56" s="4"/>
      <c r="H56" s="4"/>
      <c r="I56" s="4"/>
      <c r="J56" s="4"/>
    </row>
    <row r="57" spans="1:10" x14ac:dyDescent="0.4">
      <c r="A57" s="212">
        <v>21</v>
      </c>
      <c r="B57" s="225" t="s">
        <v>52</v>
      </c>
      <c r="C57" s="225" t="s">
        <v>85</v>
      </c>
      <c r="D57" s="4"/>
      <c r="E57" s="4"/>
      <c r="F57" s="4"/>
      <c r="G57" s="4"/>
      <c r="H57" s="4"/>
      <c r="I57" s="4"/>
      <c r="J57" s="4"/>
    </row>
    <row r="58" spans="1:10" x14ac:dyDescent="0.4">
      <c r="A58" s="212">
        <v>22</v>
      </c>
      <c r="B58" s="225" t="s">
        <v>53</v>
      </c>
      <c r="C58" s="225" t="s">
        <v>86</v>
      </c>
      <c r="D58" s="4"/>
      <c r="E58" s="4"/>
      <c r="F58" s="4"/>
      <c r="G58" s="4"/>
      <c r="H58" s="4"/>
      <c r="I58" s="4"/>
      <c r="J58" s="4"/>
    </row>
    <row r="59" spans="1:10" x14ac:dyDescent="0.4">
      <c r="A59" s="212">
        <v>23</v>
      </c>
      <c r="B59" s="225" t="s">
        <v>54</v>
      </c>
      <c r="C59" s="225" t="s">
        <v>87</v>
      </c>
      <c r="D59" s="242"/>
      <c r="E59" s="242"/>
      <c r="F59" s="242"/>
      <c r="G59" s="242"/>
      <c r="H59" s="242"/>
      <c r="I59" s="242"/>
      <c r="J59" s="242"/>
    </row>
    <row r="60" spans="1:10" x14ac:dyDescent="0.4">
      <c r="A60" s="212">
        <v>24</v>
      </c>
      <c r="B60" s="225" t="s">
        <v>55</v>
      </c>
      <c r="C60" s="225" t="s">
        <v>79</v>
      </c>
      <c r="D60" s="4"/>
      <c r="E60" s="4"/>
      <c r="F60" s="4"/>
      <c r="G60" s="4"/>
      <c r="H60" s="4"/>
      <c r="I60" s="4"/>
      <c r="J60" s="4"/>
    </row>
    <row r="61" spans="1:10" x14ac:dyDescent="0.4">
      <c r="A61" s="212">
        <v>25</v>
      </c>
      <c r="B61" s="225" t="s">
        <v>56</v>
      </c>
      <c r="C61" s="225"/>
      <c r="D61" s="242"/>
      <c r="E61" s="242"/>
      <c r="F61" s="242"/>
      <c r="G61" s="242"/>
      <c r="H61" s="242"/>
      <c r="I61" s="242"/>
      <c r="J61" s="242"/>
    </row>
    <row r="62" spans="1:10" x14ac:dyDescent="0.4">
      <c r="A62" s="212">
        <v>26</v>
      </c>
      <c r="B62" s="225" t="s">
        <v>751</v>
      </c>
      <c r="C62" s="225"/>
      <c r="D62" s="4"/>
      <c r="E62" s="4"/>
      <c r="F62" s="4"/>
      <c r="G62" s="4"/>
      <c r="H62" s="4"/>
      <c r="I62" s="4"/>
      <c r="J62" s="4"/>
    </row>
    <row r="63" spans="1:10" x14ac:dyDescent="0.4">
      <c r="A63" s="212">
        <v>27</v>
      </c>
      <c r="B63" s="225" t="s">
        <v>57</v>
      </c>
      <c r="C63" s="225"/>
      <c r="D63" s="4"/>
      <c r="E63" s="4"/>
      <c r="F63" s="4"/>
      <c r="G63" s="4"/>
      <c r="H63" s="4"/>
      <c r="I63" s="4"/>
      <c r="J63" s="4"/>
    </row>
    <row r="64" spans="1:10" x14ac:dyDescent="0.4">
      <c r="A64" s="212">
        <v>28</v>
      </c>
      <c r="B64" s="225" t="s">
        <v>58</v>
      </c>
      <c r="C64" s="225"/>
      <c r="D64" s="4"/>
      <c r="E64" s="4"/>
      <c r="F64" s="4"/>
      <c r="G64" s="4"/>
      <c r="H64" s="4"/>
      <c r="I64" s="4"/>
      <c r="J64" s="4"/>
    </row>
    <row r="65" spans="1:11" x14ac:dyDescent="0.4">
      <c r="A65" s="212">
        <v>29</v>
      </c>
      <c r="B65" s="225" t="s">
        <v>59</v>
      </c>
      <c r="C65" s="225"/>
      <c r="D65" s="242"/>
      <c r="E65" s="242"/>
      <c r="F65" s="242"/>
      <c r="G65" s="242"/>
      <c r="H65" s="242"/>
      <c r="I65" s="242"/>
      <c r="J65" s="242"/>
    </row>
    <row r="66" spans="1:11" x14ac:dyDescent="0.4">
      <c r="A66" s="212"/>
      <c r="B66" s="212" t="s">
        <v>35</v>
      </c>
      <c r="C66" s="212"/>
      <c r="D66" s="237"/>
      <c r="E66" s="272" t="str" cm="1">
        <f t="array" ref="E66:G66">IF(ISNUMBER(_xlfn.ANCHORARRAY(E$34)),"growth rate","")</f>
        <v>growth rate</v>
      </c>
      <c r="F66" s="272" t="str">
        <v>growth rate</v>
      </c>
      <c r="G66" s="272" t="str">
        <v>growth rate</v>
      </c>
      <c r="H66" s="272"/>
      <c r="I66" s="272"/>
      <c r="J66" s="272"/>
      <c r="K66" s="272"/>
    </row>
    <row r="67" spans="1:11" ht="14.25" x14ac:dyDescent="0.45">
      <c r="A67" s="212">
        <v>30</v>
      </c>
      <c r="B67" s="225" t="s">
        <v>826</v>
      </c>
      <c r="C67" s="225" t="s">
        <v>752</v>
      </c>
      <c r="D67" s="244"/>
      <c r="E67" s="4"/>
      <c r="F67" s="4"/>
      <c r="G67" s="4"/>
      <c r="H67" s="4"/>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c r="E69" s="4"/>
      <c r="F69" s="4"/>
      <c r="G69" s="4"/>
      <c r="H69" s="4"/>
      <c r="I69" s="4"/>
      <c r="J69" s="4"/>
    </row>
    <row r="70" spans="1:11" x14ac:dyDescent="0.4">
      <c r="A70" s="212">
        <v>32</v>
      </c>
      <c r="B70" s="225" t="s">
        <v>62</v>
      </c>
      <c r="C70" s="225" t="s">
        <v>88</v>
      </c>
      <c r="D70" s="4"/>
      <c r="E70" s="4"/>
      <c r="F70" s="4"/>
      <c r="G70" s="4"/>
      <c r="H70" s="4"/>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c r="F72" s="4"/>
      <c r="G72" s="4"/>
      <c r="H72" s="4"/>
      <c r="I72" s="4"/>
      <c r="J72" s="4"/>
    </row>
    <row r="73" spans="1:11" ht="14.25" x14ac:dyDescent="0.45">
      <c r="A73" s="212">
        <v>34</v>
      </c>
      <c r="B73" s="225" t="s">
        <v>3</v>
      </c>
      <c r="C73" s="225"/>
      <c r="D73" s="244"/>
      <c r="E73" s="4"/>
      <c r="F73" s="4"/>
      <c r="G73" s="4"/>
      <c r="H73" s="4"/>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c r="E75" s="4"/>
      <c r="F75" s="4"/>
      <c r="G75" s="4"/>
      <c r="H75" s="4"/>
      <c r="I75" s="4"/>
      <c r="J75" s="4"/>
    </row>
    <row r="76" spans="1:11" x14ac:dyDescent="0.4">
      <c r="A76" s="212">
        <v>36</v>
      </c>
      <c r="B76" s="225" t="s">
        <v>2</v>
      </c>
      <c r="C76" s="225"/>
      <c r="D76" s="4"/>
      <c r="E76" s="4"/>
      <c r="F76" s="4"/>
      <c r="G76" s="4"/>
      <c r="H76" s="4"/>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c r="F78" s="4"/>
      <c r="G78" s="4"/>
      <c r="H78" s="4"/>
      <c r="I78" s="4"/>
      <c r="J78" s="4"/>
    </row>
    <row r="79" spans="1:11" ht="14.25" x14ac:dyDescent="0.45">
      <c r="A79" s="212">
        <v>39</v>
      </c>
      <c r="B79" s="240" t="s">
        <v>754</v>
      </c>
      <c r="C79" s="225"/>
      <c r="D79" s="244"/>
      <c r="E79" s="4"/>
      <c r="F79" s="4"/>
      <c r="G79" s="4"/>
      <c r="H79" s="4"/>
      <c r="I79" s="4"/>
      <c r="J79" s="4"/>
    </row>
    <row r="80" spans="1:11" ht="14.25" x14ac:dyDescent="0.45">
      <c r="A80" s="212">
        <v>40</v>
      </c>
      <c r="B80" s="241" t="s">
        <v>755</v>
      </c>
      <c r="C80" s="225"/>
      <c r="D80" s="244"/>
      <c r="E80" s="4"/>
      <c r="F80" s="4"/>
      <c r="G80" s="4"/>
      <c r="H80" s="4"/>
      <c r="I80" s="4"/>
      <c r="J80" s="4"/>
    </row>
    <row r="81" spans="1:11" ht="14.25" x14ac:dyDescent="0.45">
      <c r="A81" s="212">
        <v>41</v>
      </c>
      <c r="B81" s="241" t="s">
        <v>756</v>
      </c>
      <c r="C81" s="225"/>
      <c r="D81" s="244"/>
      <c r="E81" s="4"/>
      <c r="F81" s="4"/>
      <c r="G81" s="4"/>
      <c r="H81" s="4"/>
      <c r="I81" s="4"/>
      <c r="J81" s="4"/>
    </row>
    <row r="82" spans="1:11" ht="14.25" x14ac:dyDescent="0.45">
      <c r="A82" s="212">
        <v>42</v>
      </c>
      <c r="B82" s="241" t="s">
        <v>757</v>
      </c>
      <c r="C82" s="225"/>
      <c r="D82" s="244"/>
      <c r="E82" s="4"/>
      <c r="F82" s="4"/>
      <c r="G82" s="4"/>
      <c r="H82" s="4"/>
      <c r="I82" s="4"/>
      <c r="J82" s="4"/>
    </row>
    <row r="83" spans="1:11" ht="14.25" x14ac:dyDescent="0.45">
      <c r="A83" s="212">
        <v>43</v>
      </c>
      <c r="B83" s="240" t="s">
        <v>758</v>
      </c>
      <c r="C83" s="225"/>
      <c r="D83" s="244"/>
      <c r="E83" s="4"/>
      <c r="F83" s="4"/>
      <c r="G83" s="4"/>
      <c r="H83" s="4"/>
      <c r="I83" s="4"/>
      <c r="J83" s="4"/>
    </row>
    <row r="84" spans="1:11" x14ac:dyDescent="0.4">
      <c r="A84" s="212"/>
      <c r="B84" s="212"/>
      <c r="C84" s="212"/>
      <c r="D84" s="237"/>
      <c r="E84" s="272" t="str" cm="1">
        <f t="array" ref="E84:G84">IF(ISNUMBER(_xlfn.ANCHORARRAY(E$34)),"%","")</f>
        <v>%</v>
      </c>
      <c r="F84" s="272" t="str">
        <v>%</v>
      </c>
      <c r="G84" s="272" t="str">
        <v>%</v>
      </c>
      <c r="H84" s="272"/>
      <c r="I84" s="272"/>
      <c r="J84" s="272"/>
      <c r="K84" s="272"/>
    </row>
    <row r="85" spans="1:11" ht="14.25" x14ac:dyDescent="0.45">
      <c r="A85" s="212">
        <v>44</v>
      </c>
      <c r="B85" s="225" t="s">
        <v>71</v>
      </c>
      <c r="C85" s="225"/>
      <c r="D85" s="244"/>
      <c r="E85" s="4"/>
      <c r="F85" s="4"/>
      <c r="G85" s="4"/>
      <c r="H85" s="4"/>
      <c r="I85" s="4"/>
      <c r="J85" s="4"/>
    </row>
    <row r="86" spans="1:11" x14ac:dyDescent="0.4">
      <c r="A86" s="212"/>
      <c r="B86" s="212"/>
      <c r="C86" s="212"/>
      <c r="D86" s="237" t="s">
        <v>6</v>
      </c>
      <c r="E86" s="272" t="s">
        <v>603</v>
      </c>
      <c r="F86" s="272" t="s">
        <v>603</v>
      </c>
      <c r="G86" s="272" t="s">
        <v>603</v>
      </c>
      <c r="H86" s="272" t="s">
        <v>603</v>
      </c>
      <c r="I86" s="272" t="s">
        <v>603</v>
      </c>
      <c r="J86" s="272" t="s">
        <v>603</v>
      </c>
      <c r="K86" s="272"/>
    </row>
    <row r="87" spans="1:11" x14ac:dyDescent="0.4">
      <c r="A87" s="212">
        <v>45</v>
      </c>
      <c r="B87" s="225" t="s">
        <v>759</v>
      </c>
      <c r="C87" s="225" t="s">
        <v>760</v>
      </c>
      <c r="D87" s="4"/>
      <c r="E87" s="4"/>
      <c r="F87" s="4"/>
      <c r="G87" s="4"/>
      <c r="H87" s="4"/>
      <c r="I87" s="4"/>
      <c r="J87" s="4"/>
    </row>
    <row r="88" spans="1:11" x14ac:dyDescent="0.4">
      <c r="A88" s="212">
        <v>46</v>
      </c>
      <c r="B88" s="225" t="s">
        <v>761</v>
      </c>
      <c r="C88" s="225" t="s">
        <v>762</v>
      </c>
      <c r="D88" s="4"/>
      <c r="E88" s="4"/>
      <c r="F88" s="4"/>
      <c r="G88" s="4"/>
      <c r="H88" s="4"/>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G93">IF(ISNUMBER(_xlfn.ANCHORARRAY(E$34)),"growth rate","")</f>
        <v>growth rate</v>
      </c>
      <c r="F93" s="272" t="str">
        <v>growth rate</v>
      </c>
      <c r="G93" s="272" t="str">
        <v>growth rate</v>
      </c>
      <c r="H93" s="272"/>
      <c r="I93" s="272"/>
      <c r="J93" s="272"/>
      <c r="K93" s="272"/>
    </row>
    <row r="94" spans="1:11" ht="14.25" x14ac:dyDescent="0.45">
      <c r="A94" s="212">
        <v>1</v>
      </c>
      <c r="B94" s="225" t="s">
        <v>7</v>
      </c>
      <c r="C94" s="225" t="s">
        <v>763</v>
      </c>
      <c r="D94" s="246"/>
      <c r="H94" s="4"/>
      <c r="I94" s="4"/>
      <c r="J94" s="4"/>
    </row>
    <row r="95" spans="1:11" ht="14.25" x14ac:dyDescent="0.45">
      <c r="A95" s="212">
        <v>2</v>
      </c>
      <c r="B95" s="225" t="s">
        <v>8</v>
      </c>
      <c r="C95" s="225"/>
      <c r="D95" s="246"/>
      <c r="H95" s="4"/>
      <c r="I95" s="4"/>
      <c r="J95" s="4"/>
    </row>
    <row r="96" spans="1:11" x14ac:dyDescent="0.4">
      <c r="A96" s="212">
        <v>3</v>
      </c>
      <c r="B96" s="225" t="s">
        <v>9</v>
      </c>
      <c r="C96" s="225" t="s">
        <v>763</v>
      </c>
      <c r="D96" s="144"/>
      <c r="H96" s="4"/>
      <c r="I96" s="4"/>
      <c r="J96" s="4"/>
    </row>
    <row r="97" spans="1:11" x14ac:dyDescent="0.4">
      <c r="A97" s="212"/>
      <c r="B97" s="212" t="s">
        <v>764</v>
      </c>
      <c r="C97" s="212"/>
      <c r="D97" s="235" t="s">
        <v>6</v>
      </c>
      <c r="E97" s="272" t="str" cm="1">
        <f t="array" ref="E97:G97">IF(ISNUMBER(_xlfn.ANCHORARRAY(E$34)),"growth rate","")</f>
        <v>growth rate</v>
      </c>
      <c r="F97" s="272" t="str">
        <v>growth rate</v>
      </c>
      <c r="G97" s="272" t="str">
        <v>growth rate</v>
      </c>
      <c r="H97" s="272"/>
      <c r="I97" s="272"/>
      <c r="J97" s="272"/>
      <c r="K97" s="272"/>
    </row>
    <row r="98" spans="1:11" ht="14.25" x14ac:dyDescent="0.45">
      <c r="A98" s="212">
        <v>4</v>
      </c>
      <c r="B98" s="225" t="s">
        <v>765</v>
      </c>
      <c r="C98" s="225" t="s">
        <v>766</v>
      </c>
      <c r="D98" s="246"/>
      <c r="H98" s="4"/>
      <c r="I98" s="4"/>
      <c r="J98" s="4"/>
    </row>
    <row r="99" spans="1:11" ht="14.25" x14ac:dyDescent="0.45">
      <c r="A99" s="212">
        <v>5</v>
      </c>
      <c r="B99" s="225" t="s">
        <v>767</v>
      </c>
      <c r="C99" s="225" t="s">
        <v>766</v>
      </c>
      <c r="D99" s="246"/>
      <c r="H99" s="4"/>
      <c r="I99" s="4"/>
      <c r="J99" s="4"/>
    </row>
    <row r="100" spans="1:11" ht="14.25" x14ac:dyDescent="0.45">
      <c r="A100" s="212">
        <v>6</v>
      </c>
      <c r="B100" s="225" t="s">
        <v>10</v>
      </c>
      <c r="C100" s="225" t="s">
        <v>4</v>
      </c>
      <c r="D100" s="246"/>
      <c r="H100" s="4"/>
      <c r="I100" s="4"/>
      <c r="J100" s="4"/>
    </row>
    <row r="101" spans="1:11" ht="14.25" x14ac:dyDescent="0.45">
      <c r="A101" s="212">
        <v>7</v>
      </c>
      <c r="B101" s="225" t="s">
        <v>768</v>
      </c>
      <c r="C101" s="225" t="s">
        <v>769</v>
      </c>
      <c r="D101" s="246"/>
      <c r="E101" s="282"/>
      <c r="F101" s="282"/>
      <c r="G101" s="282"/>
      <c r="H101" s="283"/>
      <c r="I101" s="283"/>
      <c r="J101" s="283"/>
    </row>
    <row r="102" spans="1:11" ht="14.25" x14ac:dyDescent="0.45">
      <c r="A102" s="212">
        <v>8</v>
      </c>
      <c r="B102" s="225" t="s">
        <v>770</v>
      </c>
      <c r="C102" s="225" t="s">
        <v>771</v>
      </c>
      <c r="D102" s="246"/>
      <c r="H102" s="4"/>
      <c r="I102" s="4"/>
      <c r="J102" s="4"/>
    </row>
    <row r="103" spans="1:11" ht="14.25" x14ac:dyDescent="0.45">
      <c r="A103" s="212">
        <v>9</v>
      </c>
      <c r="B103" s="225" t="s">
        <v>772</v>
      </c>
      <c r="C103" s="225" t="s">
        <v>773</v>
      </c>
      <c r="D103" s="246"/>
      <c r="H103" s="4"/>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H105" s="4"/>
      <c r="I105" s="4"/>
      <c r="J105" s="4"/>
    </row>
    <row r="106" spans="1:11" ht="14.25" x14ac:dyDescent="0.45">
      <c r="A106" s="212">
        <v>11</v>
      </c>
      <c r="B106" s="243" t="s">
        <v>776</v>
      </c>
      <c r="C106" s="225" t="s">
        <v>769</v>
      </c>
      <c r="D106" s="246"/>
      <c r="H106" s="4"/>
      <c r="I106" s="4"/>
      <c r="J106" s="4"/>
    </row>
    <row r="107" spans="1:11" ht="14.25" x14ac:dyDescent="0.45">
      <c r="A107" s="212">
        <v>12</v>
      </c>
      <c r="B107" s="243" t="s">
        <v>777</v>
      </c>
      <c r="C107" s="225" t="s">
        <v>778</v>
      </c>
      <c r="D107" s="246"/>
      <c r="H107" s="4"/>
      <c r="I107" s="4"/>
      <c r="J107" s="4"/>
    </row>
    <row r="108" spans="1:11" x14ac:dyDescent="0.4">
      <c r="A108" s="212"/>
      <c r="B108" s="212" t="s">
        <v>779</v>
      </c>
      <c r="C108" s="212"/>
      <c r="D108" s="235"/>
      <c r="E108" s="272" t="str" cm="1">
        <f t="array" ref="E108:G108">IF(ISNUMBER(_xlfn.ANCHORARRAY(E$34)),"growth rate","")</f>
        <v>growth rate</v>
      </c>
      <c r="F108" s="272" t="str">
        <v>growth rate</v>
      </c>
      <c r="G108" s="272" t="str">
        <v>growth rate</v>
      </c>
      <c r="H108" s="272"/>
      <c r="I108" s="272"/>
      <c r="J108" s="272"/>
      <c r="K108" s="272"/>
    </row>
    <row r="109" spans="1:11" ht="14.25" x14ac:dyDescent="0.45">
      <c r="A109" s="212">
        <v>13</v>
      </c>
      <c r="B109" s="225" t="s">
        <v>780</v>
      </c>
      <c r="C109" s="225"/>
      <c r="D109" s="246"/>
      <c r="H109" s="4"/>
      <c r="I109" s="4"/>
      <c r="J109" s="4"/>
    </row>
    <row r="110" spans="1:11" ht="14.25" x14ac:dyDescent="0.45">
      <c r="A110" s="212">
        <v>14</v>
      </c>
      <c r="B110" s="240" t="s">
        <v>781</v>
      </c>
      <c r="C110" s="225"/>
      <c r="D110" s="246"/>
      <c r="H110" s="4"/>
      <c r="I110" s="4"/>
      <c r="J110" s="4"/>
    </row>
    <row r="111" spans="1:11" ht="14.25" x14ac:dyDescent="0.45">
      <c r="A111" s="212">
        <v>15</v>
      </c>
      <c r="B111" s="225" t="s">
        <v>782</v>
      </c>
      <c r="C111" s="225"/>
      <c r="D111" s="246"/>
      <c r="H111" s="4"/>
      <c r="I111" s="4"/>
      <c r="J111" s="4"/>
    </row>
    <row r="112" spans="1:11" ht="14.25" x14ac:dyDescent="0.45">
      <c r="A112" s="212">
        <v>16</v>
      </c>
      <c r="B112" s="225" t="s">
        <v>783</v>
      </c>
      <c r="C112" s="225"/>
      <c r="D112" s="246"/>
      <c r="H112" s="4"/>
      <c r="I112" s="4"/>
      <c r="J112" s="4"/>
    </row>
    <row r="113" spans="1:11" ht="14.25" x14ac:dyDescent="0.45">
      <c r="A113" s="212">
        <v>17</v>
      </c>
      <c r="B113" s="225" t="s">
        <v>784</v>
      </c>
      <c r="C113" s="225"/>
      <c r="D113" s="246"/>
      <c r="H113" s="4"/>
      <c r="I113" s="4"/>
      <c r="J113" s="4"/>
    </row>
    <row r="114" spans="1:11" ht="14.25" x14ac:dyDescent="0.45">
      <c r="A114" s="212">
        <v>18</v>
      </c>
      <c r="B114" s="225" t="s">
        <v>785</v>
      </c>
      <c r="C114" s="225"/>
      <c r="D114" s="246"/>
      <c r="H114" s="4"/>
      <c r="I114" s="4"/>
      <c r="J114" s="4"/>
    </row>
    <row r="115" spans="1:11" x14ac:dyDescent="0.4">
      <c r="A115" s="212"/>
      <c r="B115" s="212" t="s">
        <v>786</v>
      </c>
      <c r="C115" s="212" t="s">
        <v>26</v>
      </c>
      <c r="D115" s="235" t="s">
        <v>787</v>
      </c>
      <c r="E115" s="272" t="str" cm="1">
        <f t="array" ref="E115:G115">IF(ISNUMBER(_xlfn.ANCHORARRAY(E$34)),"growth rate","")</f>
        <v>growth rate</v>
      </c>
      <c r="F115" s="272" t="str">
        <v>growth rate</v>
      </c>
      <c r="G115" s="272" t="str">
        <v>growth rate</v>
      </c>
      <c r="H115" s="272"/>
      <c r="I115" s="272"/>
      <c r="J115" s="272"/>
      <c r="K115" s="272"/>
    </row>
    <row r="116" spans="1:11" x14ac:dyDescent="0.4">
      <c r="A116" s="212">
        <v>19</v>
      </c>
      <c r="B116" s="225" t="s">
        <v>788</v>
      </c>
      <c r="C116" s="225"/>
      <c r="D116" s="144"/>
      <c r="E116" s="3"/>
      <c r="G116" s="3"/>
      <c r="H116" s="64"/>
      <c r="I116" s="64"/>
      <c r="J116" s="64"/>
    </row>
    <row r="117" spans="1:11" x14ac:dyDescent="0.4">
      <c r="A117" s="212">
        <v>20</v>
      </c>
      <c r="B117" s="225" t="s">
        <v>789</v>
      </c>
      <c r="C117" s="225"/>
      <c r="D117" s="144"/>
      <c r="H117" s="4"/>
      <c r="I117" s="4"/>
      <c r="J117" s="4"/>
    </row>
    <row r="118" spans="1:11" ht="14.25" x14ac:dyDescent="0.45">
      <c r="A118" s="212">
        <v>21</v>
      </c>
      <c r="B118" s="225" t="s">
        <v>790</v>
      </c>
      <c r="C118" s="225"/>
      <c r="D118" s="246"/>
      <c r="H118" s="4"/>
      <c r="I118" s="4"/>
      <c r="J118" s="4"/>
    </row>
    <row r="119" spans="1:11" ht="14.25" x14ac:dyDescent="0.45">
      <c r="A119" s="212">
        <v>22</v>
      </c>
      <c r="B119" s="225" t="s">
        <v>791</v>
      </c>
      <c r="C119" s="225"/>
      <c r="D119" s="246"/>
      <c r="H119" s="4"/>
      <c r="I119" s="4"/>
      <c r="J119" s="4"/>
    </row>
    <row r="120" spans="1:11" x14ac:dyDescent="0.4">
      <c r="A120" s="212">
        <v>23</v>
      </c>
      <c r="B120" s="225" t="s">
        <v>792</v>
      </c>
      <c r="C120" s="225" t="s">
        <v>5</v>
      </c>
      <c r="D120" s="144"/>
      <c r="H120" s="4"/>
      <c r="I120" s="4"/>
      <c r="J120" s="4"/>
    </row>
    <row r="121" spans="1:11" x14ac:dyDescent="0.4">
      <c r="A121" s="212">
        <v>24</v>
      </c>
      <c r="B121" s="225" t="s">
        <v>793</v>
      </c>
      <c r="C121" s="225"/>
      <c r="H121" s="4"/>
      <c r="I121" s="4"/>
      <c r="J121" s="4"/>
    </row>
    <row r="122" spans="1:11" x14ac:dyDescent="0.4">
      <c r="A122" s="212"/>
      <c r="B122" s="212"/>
      <c r="C122" s="212"/>
      <c r="D122" s="235"/>
      <c r="E122" s="272" t="str" cm="1">
        <f t="array" ref="E122:G122">IF(ISNUMBER(_xlfn.ANCHORARRAY(E$34)),"%","")</f>
        <v>%</v>
      </c>
      <c r="F122" s="272" t="str">
        <v>%</v>
      </c>
      <c r="G122" s="272" t="str">
        <v>%</v>
      </c>
      <c r="H122" s="272"/>
      <c r="I122" s="272"/>
      <c r="J122" s="272"/>
      <c r="K122" s="272"/>
    </row>
    <row r="123" spans="1:11" ht="14.25" x14ac:dyDescent="0.45">
      <c r="A123" s="212">
        <v>25</v>
      </c>
      <c r="B123" s="225" t="s">
        <v>794</v>
      </c>
      <c r="C123" s="225"/>
      <c r="D123" s="246"/>
      <c r="H123" s="4"/>
      <c r="I123" s="4"/>
      <c r="J123" s="4"/>
    </row>
    <row r="124" spans="1:11" x14ac:dyDescent="0.4">
      <c r="A124" s="212"/>
      <c r="B124" s="212" t="s">
        <v>795</v>
      </c>
      <c r="C124" s="212"/>
      <c r="D124" s="235"/>
      <c r="E124" s="272" t="str" cm="1">
        <f t="array" ref="E124:G124">IF(ISNUMBER(_xlfn.ANCHORARRAY(E$34)),"growth rate","")</f>
        <v>growth rate</v>
      </c>
      <c r="F124" s="272" t="str">
        <v>growth rate</v>
      </c>
      <c r="G124" s="272" t="str">
        <v>growth rate</v>
      </c>
      <c r="H124" s="272"/>
      <c r="I124" s="272"/>
      <c r="J124" s="272"/>
      <c r="K124" s="272"/>
    </row>
    <row r="125" spans="1:11" ht="14.25" x14ac:dyDescent="0.45">
      <c r="A125" s="212">
        <v>26</v>
      </c>
      <c r="B125" s="225" t="s">
        <v>796</v>
      </c>
      <c r="C125" s="225"/>
      <c r="D125" s="246"/>
      <c r="H125" s="4"/>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H127" s="4"/>
      <c r="I127" s="4"/>
      <c r="J127" s="4"/>
    </row>
    <row r="128" spans="1:11" ht="14.25" x14ac:dyDescent="0.45">
      <c r="A128" s="212">
        <v>28</v>
      </c>
      <c r="B128" s="240" t="s">
        <v>799</v>
      </c>
      <c r="C128" s="225"/>
      <c r="D128" s="246"/>
      <c r="H128" s="4"/>
      <c r="I128" s="4"/>
      <c r="J128" s="4"/>
    </row>
    <row r="129" spans="1:11" ht="14.25" x14ac:dyDescent="0.45">
      <c r="A129" s="212">
        <v>29</v>
      </c>
      <c r="B129" s="240" t="s">
        <v>800</v>
      </c>
      <c r="C129" s="225"/>
      <c r="D129" s="246"/>
      <c r="H129" s="4"/>
      <c r="I129" s="4"/>
      <c r="J129" s="4"/>
    </row>
    <row r="130" spans="1:11" x14ac:dyDescent="0.4">
      <c r="A130" s="212"/>
      <c r="B130" s="212"/>
      <c r="C130" s="212"/>
      <c r="D130" s="235"/>
      <c r="E130" s="272" t="str" cm="1">
        <f t="array" ref="E130:G130">IF(ISNUMBER(_xlfn.ANCHORARRAY(E$34)),"% pot. GDP","")</f>
        <v>% pot. GDP</v>
      </c>
      <c r="F130" s="272" t="str">
        <v>% pot. GDP</v>
      </c>
      <c r="G130" s="272" t="str">
        <v>% pot. GDP</v>
      </c>
      <c r="H130" s="272"/>
      <c r="I130" s="272"/>
      <c r="J130" s="272"/>
      <c r="K130" s="272"/>
    </row>
    <row r="131" spans="1:11" ht="14.25" x14ac:dyDescent="0.45">
      <c r="A131" s="212">
        <v>30</v>
      </c>
      <c r="B131" s="225" t="s">
        <v>89</v>
      </c>
      <c r="C131" s="225"/>
      <c r="D131" s="246"/>
      <c r="H131" s="4"/>
      <c r="I131" s="4"/>
      <c r="J131" s="4"/>
    </row>
  </sheetData>
  <conditionalFormatting sqref="D7:J7">
    <cfRule type="expression" dxfId="199" priority="47">
      <formula>ISNUMBER(D6)</formula>
    </cfRule>
  </conditionalFormatting>
  <conditionalFormatting sqref="D6:J6">
    <cfRule type="expression" dxfId="198" priority="46">
      <formula>ISNUMBER(D6)</formula>
    </cfRule>
  </conditionalFormatting>
  <conditionalFormatting sqref="D29:J29">
    <cfRule type="expression" dxfId="197" priority="45">
      <formula>ISNUMBER(D6)</formula>
    </cfRule>
  </conditionalFormatting>
  <conditionalFormatting sqref="E34:K35">
    <cfRule type="expression" dxfId="196" priority="39">
      <formula>ISNUMBER(E$34)</formula>
    </cfRule>
  </conditionalFormatting>
  <conditionalFormatting sqref="E47:K47">
    <cfRule type="expression" dxfId="195" priority="38">
      <formula>ISNUMBER(E$34)</formula>
    </cfRule>
  </conditionalFormatting>
  <conditionalFormatting sqref="E66:K66">
    <cfRule type="expression" dxfId="194" priority="37">
      <formula>ISNUMBER(E$34)</formula>
    </cfRule>
  </conditionalFormatting>
  <conditionalFormatting sqref="E68:K68">
    <cfRule type="expression" dxfId="193" priority="36">
      <formula>ISNUMBER(E$34)</formula>
    </cfRule>
  </conditionalFormatting>
  <conditionalFormatting sqref="E71:K71">
    <cfRule type="expression" dxfId="192" priority="35">
      <formula>ISNUMBER(E$34)</formula>
    </cfRule>
  </conditionalFormatting>
  <conditionalFormatting sqref="E74:K74">
    <cfRule type="expression" dxfId="191" priority="34">
      <formula>ISNUMBER(E$34)</formula>
    </cfRule>
  </conditionalFormatting>
  <conditionalFormatting sqref="E84:K84">
    <cfRule type="expression" dxfId="190" priority="33">
      <formula>ISNUMBER(E$34)</formula>
    </cfRule>
  </conditionalFormatting>
  <conditionalFormatting sqref="E86:K86">
    <cfRule type="expression" dxfId="189" priority="32">
      <formula>ISNUMBER(E$34)</formula>
    </cfRule>
  </conditionalFormatting>
  <conditionalFormatting sqref="E92:K93">
    <cfRule type="expression" dxfId="188" priority="31">
      <formula>ISNUMBER(E$34)</formula>
    </cfRule>
  </conditionalFormatting>
  <conditionalFormatting sqref="E97:K97">
    <cfRule type="expression" dxfId="187" priority="30">
      <formula>ISNUMBER(E$34)</formula>
    </cfRule>
  </conditionalFormatting>
  <conditionalFormatting sqref="E108:K108">
    <cfRule type="expression" dxfId="186" priority="29">
      <formula>ISNUMBER(E$34)</formula>
    </cfRule>
  </conditionalFormatting>
  <conditionalFormatting sqref="E115:K115">
    <cfRule type="expression" dxfId="185" priority="28">
      <formula>ISNUMBER(E$34)</formula>
    </cfRule>
  </conditionalFormatting>
  <conditionalFormatting sqref="E122:K122">
    <cfRule type="expression" dxfId="184" priority="27">
      <formula>ISNUMBER(E$34)</formula>
    </cfRule>
  </conditionalFormatting>
  <conditionalFormatting sqref="E124:K124">
    <cfRule type="expression" dxfId="183" priority="26">
      <formula>ISNUMBER(E$34)</formula>
    </cfRule>
  </conditionalFormatting>
  <conditionalFormatting sqref="E130:K130">
    <cfRule type="expression" dxfId="182" priority="25">
      <formula>ISNUMBER(E$34)</formula>
    </cfRule>
  </conditionalFormatting>
  <conditionalFormatting sqref="D42:K42">
    <cfRule type="expression" dxfId="181" priority="23">
      <formula>NOT(ISNUMBER(D$34))</formula>
    </cfRule>
    <cfRule type="expression" dxfId="180" priority="24">
      <formula>ISNUMBER(D$34)</formula>
    </cfRule>
  </conditionalFormatting>
  <conditionalFormatting sqref="D44:K44">
    <cfRule type="expression" dxfId="179" priority="21">
      <formula>NOT(ISNUMBER(D$34))</formula>
    </cfRule>
    <cfRule type="expression" dxfId="178" priority="22">
      <formula>ISNUMBER(D$34)</formula>
    </cfRule>
  </conditionalFormatting>
  <conditionalFormatting sqref="D59:K59">
    <cfRule type="expression" dxfId="177" priority="19">
      <formula>NOT(ISNUMBER(D$34))</formula>
    </cfRule>
    <cfRule type="expression" dxfId="176" priority="20">
      <formula>ISNUMBER(D$34)</formula>
    </cfRule>
  </conditionalFormatting>
  <conditionalFormatting sqref="D61:K61">
    <cfRule type="expression" dxfId="175" priority="17">
      <formula>NOT(ISNUMBER(D$34))</formula>
    </cfRule>
    <cfRule type="expression" dxfId="174" priority="18">
      <formula>ISNUMBER(D$34)</formula>
    </cfRule>
  </conditionalFormatting>
  <conditionalFormatting sqref="D65:K65">
    <cfRule type="expression" dxfId="173" priority="15">
      <formula>NOT(ISNUMBER(D$34))</formula>
    </cfRule>
    <cfRule type="expression" dxfId="172" priority="16">
      <formula>ISNUMBER(D$34)</formula>
    </cfRule>
  </conditionalFormatting>
  <conditionalFormatting sqref="D77:K77">
    <cfRule type="expression" dxfId="171" priority="13">
      <formula>NOT(ISNUMBER(D$34))</formula>
    </cfRule>
    <cfRule type="expression" dxfId="170" priority="14">
      <formula>ISNUMBER(D$34)</formula>
    </cfRule>
  </conditionalFormatting>
  <conditionalFormatting sqref="D104:K104">
    <cfRule type="expression" dxfId="169" priority="11">
      <formula>NOT(ISNUMBER(D$34))</formula>
    </cfRule>
    <cfRule type="expression" dxfId="168" priority="12">
      <formula>ISNUMBER(D$34)</formula>
    </cfRule>
  </conditionalFormatting>
  <conditionalFormatting sqref="D126:K126">
    <cfRule type="expression" dxfId="167" priority="9">
      <formula>NOT(ISNUMBER(D$34))</formula>
    </cfRule>
    <cfRule type="expression" dxfId="166" priority="10">
      <formula>ISNUMBER(D$34)</formula>
    </cfRule>
  </conditionalFormatting>
  <conditionalFormatting sqref="D62:K62">
    <cfRule type="expression" dxfId="165" priority="8">
      <formula>NOT(ISNUMBER(D$34))</formula>
    </cfRule>
  </conditionalFormatting>
  <conditionalFormatting sqref="D69:K70">
    <cfRule type="expression" dxfId="164" priority="7">
      <formula>NOT(ISNUMBER(D$34))</formula>
    </cfRule>
  </conditionalFormatting>
  <conditionalFormatting sqref="D78:K78">
    <cfRule type="expression" dxfId="163" priority="6">
      <formula>NOT(ISNUMBER(D$34))</formula>
    </cfRule>
  </conditionalFormatting>
  <conditionalFormatting sqref="D83:J83">
    <cfRule type="expression" dxfId="162" priority="5">
      <formula>NOT(ISNUMBER(D$34))</formula>
    </cfRule>
  </conditionalFormatting>
  <conditionalFormatting sqref="D80:J80">
    <cfRule type="expression" dxfId="161" priority="4">
      <formula>NOT(ISNUMBER(D$34))</formula>
    </cfRule>
  </conditionalFormatting>
  <conditionalFormatting sqref="E101:K101">
    <cfRule type="expression" dxfId="160" priority="3">
      <formula>ISNUMBER(E$34)</formula>
    </cfRule>
  </conditionalFormatting>
  <conditionalFormatting sqref="E34:H131">
    <cfRule type="expression" dxfId="159"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tabSelected="1" topLeftCell="B5"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Select country's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Select country is adhering to its Council-endorsed medium-term structural-fiscal plan.</v>
      </c>
      <c r="M4" s="26"/>
      <c r="N4" s="26"/>
      <c r="Q4" s="28"/>
      <c r="R4" s="28"/>
      <c r="AU4" s="173"/>
      <c r="AV4" s="25"/>
    </row>
    <row r="5" spans="1:54" customFormat="1" x14ac:dyDescent="0.45">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Select country's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N/A</v>
      </c>
      <c r="E10" s="22" t="e">
        <f>IF(AssessmentRound="New or revised MTP",NA(),Assessment!C101)</f>
        <v>#N/A</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N/A</v>
      </c>
      <c r="E11" s="22" t="e">
        <f>IF(AssessmentRound="New or revised MTP",NA(),Assessment!C161)</f>
        <v>#N/A</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N/A</v>
      </c>
      <c r="E12" s="22" t="e">
        <f>IF(AssessmentRound="New or revised MTP",NA(),Assessment!C169)</f>
        <v>#N/A</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N/A</v>
      </c>
      <c r="E13" s="22" t="e">
        <f>IF(AssessmentRound="New or revised MTP",NA(),Assessment!C181)</f>
        <v>#N/A</v>
      </c>
    </row>
    <row r="14" spans="1:54" ht="19.149999999999999" customHeight="1" x14ac:dyDescent="0.7">
      <c r="A14" s="112" t="s">
        <v>503</v>
      </c>
      <c r="B14" s="78" t="s">
        <v>597</v>
      </c>
      <c r="C14" s="75" t="str">
        <f>IF(D14="At risk","⚠",IF(D14="Compliant","☑",IF(D14="Breach","⮽","☐")))</f>
        <v>☐</v>
      </c>
      <c r="D14" s="78" t="str">
        <f>IF(AssessmentRound="New or revised MTP","N/A",IF(ISNA(Assessment!C190),"N/A",IF(Assessment!C190,"Compliant",IF(EscapeClauseActivated,"At risk","Breach"))))</f>
        <v>N/A</v>
      </c>
      <c r="E14" s="22" t="e">
        <f>IF(AssessmentRound="New or revised MTP",NA(),Assessment!C192)</f>
        <v>#N/A</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N/A</v>
      </c>
      <c r="E15" s="73" t="e">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#N/A</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IF(AssessmentRound="New or revised MTP", "", IF(_xlfn.ANCHORARRAY(D21)&lt;=AdjustmentPeriodEnd, IF(_xlfn.ANCHORARRAY(D21)&lt;=OutturnThrough, "Observed", "Planned"), ""))</f>
        <v/>
      </c>
      <c r="E18" s="30"/>
      <c r="F18" s="30"/>
      <c r="G18" s="30"/>
      <c r="H18" s="30"/>
      <c r="I18" s="30"/>
      <c r="J18" s="22"/>
      <c r="P18" s="22"/>
      <c r="Q18" s="22"/>
      <c r="R18" s="22"/>
      <c r="S18" s="22"/>
      <c r="T18" s="22"/>
      <c r="U18" s="22"/>
    </row>
    <row r="19" spans="1:21" customFormat="1" ht="14.85" customHeight="1" x14ac:dyDescent="0.45">
      <c r="A19" s="3"/>
      <c r="B19" s="66" t="s">
        <v>495</v>
      </c>
      <c r="C19" s="66"/>
      <c r="D19" s="96" t="str" cm="1">
        <f t="array" aca="1" ref="D19" ca="1">IF(AssessmentRound="New or revised MTP", "", IF(AssessmentRound="Revised MTP","",_xlfn.HSTACK("",IF(OFFSET(Assessment!$F$145,0,0,1,COLUMNS(_xlfn.ANCHORARRAY(D21))-1),"Yes","No"))))</f>
        <v/>
      </c>
      <c r="E19" s="96"/>
      <c r="F19" s="96"/>
      <c r="G19" s="96"/>
      <c r="H19" s="96"/>
      <c r="I19" s="96"/>
      <c r="J19" s="22"/>
    </row>
    <row r="20" spans="1:21" customFormat="1" ht="14.85" customHeight="1" x14ac:dyDescent="0.45">
      <c r="A20" s="3"/>
      <c r="B20" s="66" t="s">
        <v>274</v>
      </c>
      <c r="C20" s="66"/>
      <c r="D20" s="30" t="str" cm="1">
        <f t="array" ref="D20:F20">IF((_xlfn.ANCHORARRAY(D21)&gt;=MTP_YearT-1)*(_xlfn.ANCHORARRAY(D21)&lt;=AdjustmentPeriodEnd), IF(_xlfn.ANCHORARRAY(D21)=MTP_YearT-1, "T-1", IF(_xlfn.ANCHORARRAY(D21)=MTP_YearT, "T", "T+"&amp;(_xlfn.ANCHORARRAY(D21)-MTP_YearT))), "")</f>
        <v>T-1</v>
      </c>
      <c r="E20" s="30" t="str">
        <v>T</v>
      </c>
      <c r="F20" s="30" t="str">
        <v>T+1</v>
      </c>
      <c r="G20" s="30"/>
      <c r="H20" s="30"/>
      <c r="I20" s="30"/>
      <c r="J20" s="22"/>
    </row>
    <row r="21" spans="1:21" customFormat="1" ht="14.85" customHeight="1" x14ac:dyDescent="0.45">
      <c r="A21" s="3"/>
      <c r="B21" s="66" t="s">
        <v>251</v>
      </c>
      <c r="C21" s="66"/>
      <c r="D21" s="29" cm="1">
        <f t="array" ref="D21:F21">_xlfn.SEQUENCE(1, AssessmentEnd-MTP_BaseYear+1, MTP_BaseYear)</f>
        <v>2023</v>
      </c>
      <c r="E21" s="29">
        <v>2024</v>
      </c>
      <c r="F21" s="29">
        <v>2025</v>
      </c>
      <c r="G21" s="29"/>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0</v>
      </c>
      <c r="E23" s="4">
        <f>Assessment!E108</f>
        <v>0</v>
      </c>
      <c r="F23" s="4">
        <f>Assessment!F108</f>
        <v>0</v>
      </c>
      <c r="G23" s="4" t="str">
        <f>Assessment!G108</f>
        <v/>
      </c>
      <c r="H23" t="str">
        <f>Assessment!H108</f>
        <v/>
      </c>
      <c r="I23" t="str">
        <f>Assessment!I108</f>
        <v/>
      </c>
      <c r="J23" t="str">
        <f>Assessment!J108</f>
        <v/>
      </c>
    </row>
    <row r="24" spans="1:21" customFormat="1" ht="14.85" customHeight="1" x14ac:dyDescent="0.4">
      <c r="A24" s="3">
        <v>2</v>
      </c>
      <c r="B24" t="s">
        <v>25</v>
      </c>
      <c r="C24" t="s">
        <v>6</v>
      </c>
      <c r="D24" s="4">
        <f>Assessment!D109</f>
        <v>0</v>
      </c>
      <c r="E24" s="4">
        <f>Assessment!E109</f>
        <v>0</v>
      </c>
      <c r="F24" s="4">
        <f>Assessment!F109</f>
        <v>0</v>
      </c>
      <c r="G24" s="4" t="str">
        <f>Assessment!G109</f>
        <v/>
      </c>
      <c r="H24" t="str">
        <f>Assessment!H109</f>
        <v/>
      </c>
      <c r="I24" t="str">
        <f>Assessment!I109</f>
        <v/>
      </c>
      <c r="J24" t="str">
        <f>Assessment!J109</f>
        <v/>
      </c>
    </row>
    <row r="25" spans="1:21" customFormat="1" ht="14.85" customHeight="1" x14ac:dyDescent="0.4">
      <c r="A25" s="3">
        <v>3</v>
      </c>
      <c r="B25" t="s">
        <v>276</v>
      </c>
      <c r="C25" t="s">
        <v>6</v>
      </c>
      <c r="D25" s="4">
        <f>Assessment!D110</f>
        <v>0</v>
      </c>
      <c r="E25" s="4">
        <f>Assessment!E110</f>
        <v>0</v>
      </c>
      <c r="F25" s="4">
        <f>Assessment!F110</f>
        <v>0</v>
      </c>
      <c r="G25" s="4" t="str">
        <f>Assessment!G110</f>
        <v/>
      </c>
      <c r="H25" t="str">
        <f>Assessment!H110</f>
        <v/>
      </c>
      <c r="I25" t="str">
        <f>Assessment!I110</f>
        <v/>
      </c>
      <c r="J25" t="str">
        <f>Assessment!J110</f>
        <v/>
      </c>
    </row>
    <row r="26" spans="1:21" customFormat="1" ht="14.85" customHeight="1" x14ac:dyDescent="0.4">
      <c r="A26" s="3">
        <v>4</v>
      </c>
      <c r="B26" t="s">
        <v>625</v>
      </c>
      <c r="C26" t="s">
        <v>6</v>
      </c>
      <c r="D26" s="4">
        <f>Assessment!D111</f>
        <v>0</v>
      </c>
      <c r="E26" s="4">
        <f>Assessment!E111</f>
        <v>0</v>
      </c>
      <c r="F26" s="4">
        <f>Assessment!F111</f>
        <v>0</v>
      </c>
      <c r="G26" s="4" t="str">
        <f>Assessment!G111</f>
        <v/>
      </c>
      <c r="H26" t="str">
        <f>Assessment!H111</f>
        <v/>
      </c>
      <c r="I26" t="str">
        <f>Assessment!I111</f>
        <v/>
      </c>
      <c r="J26" t="str">
        <f>Assessment!J111</f>
        <v/>
      </c>
    </row>
    <row r="27" spans="1:21" customFormat="1" ht="14.85" customHeight="1" x14ac:dyDescent="0.4">
      <c r="A27" s="3">
        <v>5</v>
      </c>
      <c r="B27" t="s">
        <v>278</v>
      </c>
      <c r="C27" t="s">
        <v>6</v>
      </c>
      <c r="D27" s="4">
        <f>Assessment!D112</f>
        <v>0</v>
      </c>
      <c r="E27" s="4">
        <f>Assessment!E112</f>
        <v>0</v>
      </c>
      <c r="F27" s="4">
        <f>Assessment!F112</f>
        <v>0</v>
      </c>
      <c r="G27" s="4" t="str">
        <f>Assessment!G112</f>
        <v/>
      </c>
      <c r="H27" t="str">
        <f>Assessment!H112</f>
        <v/>
      </c>
      <c r="I27" t="str">
        <f>Assessment!I112</f>
        <v/>
      </c>
      <c r="J27" t="str">
        <f>Assessment!J112</f>
        <v/>
      </c>
    </row>
    <row r="28" spans="1:21" customFormat="1" ht="14.65" customHeight="1" x14ac:dyDescent="0.4">
      <c r="A28" s="3">
        <v>6</v>
      </c>
      <c r="B28" t="s">
        <v>626</v>
      </c>
      <c r="C28" t="s">
        <v>6</v>
      </c>
      <c r="D28" s="4">
        <f>Assessment!D113</f>
        <v>0</v>
      </c>
      <c r="E28" s="4">
        <f>Assessment!E113</f>
        <v>0</v>
      </c>
      <c r="F28" s="4">
        <f>Assessment!F113</f>
        <v>0</v>
      </c>
      <c r="G28" s="4" t="str">
        <f>Assessment!G113</f>
        <v/>
      </c>
      <c r="H28" t="str">
        <f>Assessment!H113</f>
        <v/>
      </c>
      <c r="I28" t="str">
        <f>Assessment!I113</f>
        <v/>
      </c>
      <c r="J28" t="str">
        <f>Assessment!J113</f>
        <v/>
      </c>
    </row>
    <row r="29" spans="1:21" customFormat="1" ht="14.65" customHeight="1" x14ac:dyDescent="0.4">
      <c r="A29" s="3">
        <v>7</v>
      </c>
      <c r="B29" t="s">
        <v>627</v>
      </c>
      <c r="C29" t="s">
        <v>6</v>
      </c>
      <c r="D29" s="4">
        <f>Assessment!D114</f>
        <v>0</v>
      </c>
      <c r="E29" s="4">
        <f>Assessment!E114</f>
        <v>0</v>
      </c>
      <c r="F29" s="4">
        <f>Assessment!F114</f>
        <v>0</v>
      </c>
      <c r="G29" s="4" t="str">
        <f>Assessment!G114</f>
        <v/>
      </c>
      <c r="H29" t="str">
        <f>Assessment!H114</f>
        <v/>
      </c>
      <c r="I29" t="str">
        <f>Assessment!I114</f>
        <v/>
      </c>
      <c r="J29" t="str">
        <f>Assessment!J114</f>
        <v/>
      </c>
    </row>
    <row r="30" spans="1:21" customFormat="1" ht="14.65" customHeight="1" x14ac:dyDescent="0.4">
      <c r="A30" s="3">
        <v>8</v>
      </c>
      <c r="B30" t="s">
        <v>628</v>
      </c>
      <c r="C30" t="s">
        <v>6</v>
      </c>
      <c r="D30" s="4"/>
      <c r="E30" s="4">
        <f>Assessment!E115</f>
        <v>0</v>
      </c>
      <c r="F30" s="4">
        <f>Assessment!F115</f>
        <v>0</v>
      </c>
      <c r="G30" s="4" t="str">
        <f>Assessment!G115</f>
        <v/>
      </c>
      <c r="H30" t="str">
        <f>Assessment!H115</f>
        <v/>
      </c>
      <c r="I30" t="str">
        <f>Assessment!I115</f>
        <v/>
      </c>
      <c r="J30" t="str">
        <f>Assessment!J115</f>
        <v/>
      </c>
    </row>
    <row r="31" spans="1:21" customFormat="1" ht="14.65" customHeight="1" x14ac:dyDescent="0.4">
      <c r="A31" s="3">
        <v>9</v>
      </c>
      <c r="B31" t="s">
        <v>629</v>
      </c>
      <c r="C31" t="s">
        <v>6</v>
      </c>
      <c r="D31" s="4"/>
      <c r="E31" s="4">
        <f>Assessment!E116</f>
        <v>0</v>
      </c>
      <c r="F31" s="4">
        <f>Assessment!F116</f>
        <v>0</v>
      </c>
      <c r="G31" s="4" t="str">
        <f>Assessment!G116</f>
        <v/>
      </c>
      <c r="H31" t="str">
        <f>Assessment!H116</f>
        <v/>
      </c>
      <c r="I31" t="str">
        <f>Assessment!I116</f>
        <v/>
      </c>
      <c r="J31" t="str">
        <f>Assessment!J116</f>
        <v/>
      </c>
    </row>
    <row r="32" spans="1:21" customFormat="1" ht="14.65" customHeight="1" x14ac:dyDescent="0.4">
      <c r="A32" s="3">
        <v>10</v>
      </c>
      <c r="B32" t="s">
        <v>630</v>
      </c>
      <c r="C32" t="s">
        <v>6</v>
      </c>
      <c r="D32" s="4"/>
      <c r="E32" s="4">
        <f>Assessment!E117</f>
        <v>0</v>
      </c>
      <c r="F32" s="4">
        <f>Assessment!F117</f>
        <v>0</v>
      </c>
      <c r="G32" s="4" t="str">
        <f>Assessment!G117</f>
        <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t="e">
        <f>Assessment!E119</f>
        <v>#DIV/0!</v>
      </c>
      <c r="F34" s="4" t="e">
        <f>Assessment!F119</f>
        <v>#DIV/0!</v>
      </c>
      <c r="G34" s="4" t="str">
        <f>Assessment!G119</f>
        <v/>
      </c>
      <c r="H34" t="str">
        <f>Assessment!H119</f>
        <v/>
      </c>
      <c r="I34" t="str">
        <f>Assessment!I119</f>
        <v/>
      </c>
      <c r="J34" t="str">
        <f>Assessment!J119</f>
        <v/>
      </c>
    </row>
    <row r="35" spans="1:23" customFormat="1" ht="14.65" customHeight="1" x14ac:dyDescent="0.4">
      <c r="A35" s="3">
        <v>12</v>
      </c>
      <c r="B35" t="s">
        <v>946</v>
      </c>
      <c r="C35" t="s">
        <v>601</v>
      </c>
      <c r="D35" s="4"/>
      <c r="E35" s="258">
        <f>Assessment!E120</f>
        <v>0</v>
      </c>
      <c r="F35" s="4">
        <f>Assessment!F120</f>
        <v>0</v>
      </c>
      <c r="G35" s="4" t="str">
        <f>Assessment!G120</f>
        <v/>
      </c>
      <c r="H35" t="str">
        <f>Assessment!H120</f>
        <v/>
      </c>
      <c r="I35" t="str">
        <f>Assessment!I120</f>
        <v/>
      </c>
      <c r="J35" t="str">
        <f>Assessment!J120</f>
        <v/>
      </c>
    </row>
    <row r="36" spans="1:23" customFormat="1" ht="14.65" customHeight="1" x14ac:dyDescent="0.4">
      <c r="A36" s="3">
        <v>13</v>
      </c>
      <c r="B36" t="s">
        <v>929</v>
      </c>
      <c r="C36" t="s">
        <v>6</v>
      </c>
      <c r="D36" s="4"/>
      <c r="E36" s="258" t="e">
        <f>Assessment!E121</f>
        <v>#DIV/0!</v>
      </c>
      <c r="F36" s="4" t="e">
        <f>Assessment!F121</f>
        <v>#DIV/0!</v>
      </c>
      <c r="G36" s="4" t="str">
        <f>Assessment!G121</f>
        <v/>
      </c>
      <c r="H36" t="str">
        <f>Assessment!H121</f>
        <v/>
      </c>
      <c r="I36" t="str">
        <f>Assessment!I121</f>
        <v/>
      </c>
      <c r="J36" t="str">
        <f>Assessment!J121</f>
        <v/>
      </c>
    </row>
    <row r="37" spans="1:23" customFormat="1" ht="14.65" customHeight="1" x14ac:dyDescent="0.4">
      <c r="A37" s="3">
        <v>14</v>
      </c>
      <c r="B37" t="s">
        <v>930</v>
      </c>
      <c r="C37" t="s">
        <v>6</v>
      </c>
      <c r="D37" s="4"/>
      <c r="E37" s="258" t="e">
        <f>Assessment!E122</f>
        <v>#DIV/0!</v>
      </c>
      <c r="F37" s="4" t="e">
        <f>Assessment!F122</f>
        <v>#DIV/0!</v>
      </c>
      <c r="G37" s="4" t="str">
        <f>Assessment!G122</f>
        <v/>
      </c>
      <c r="H37" t="str">
        <f>Assessment!H122</f>
        <v/>
      </c>
      <c r="I37" t="str">
        <f>Assessment!I122</f>
        <v/>
      </c>
      <c r="J37" t="str">
        <f>Assessment!J122</f>
        <v/>
      </c>
    </row>
    <row r="38" spans="1:23" customFormat="1" ht="14.65" customHeight="1" x14ac:dyDescent="0.4">
      <c r="A38" s="3">
        <v>15</v>
      </c>
      <c r="B38" t="s">
        <v>9</v>
      </c>
      <c r="C38" t="s">
        <v>6</v>
      </c>
      <c r="D38" s="4">
        <f>Assessment!D123</f>
        <v>0</v>
      </c>
      <c r="E38" s="4">
        <f>Assessment!E123</f>
        <v>0</v>
      </c>
      <c r="F38" s="4">
        <f>Assessment!F123</f>
        <v>0</v>
      </c>
      <c r="G38" s="4" t="str">
        <f>Assessment!G123</f>
        <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t="e">
        <f>Assessment!E125</f>
        <v>#DIV/0!</v>
      </c>
      <c r="F40" s="4" t="e">
        <f>Assessment!F125</f>
        <v>#DIV/0!</v>
      </c>
      <c r="G40" s="4" t="str">
        <f>Assessment!G125</f>
        <v/>
      </c>
      <c r="H40" t="str">
        <f>Assessment!H125</f>
        <v/>
      </c>
      <c r="I40" t="str">
        <f>Assessment!I125</f>
        <v/>
      </c>
      <c r="J40" t="str">
        <f>Assessment!J125</f>
        <v/>
      </c>
    </row>
    <row r="41" spans="1:23" customFormat="1" ht="14.65" customHeight="1" x14ac:dyDescent="0.45">
      <c r="A41" s="3">
        <v>17</v>
      </c>
      <c r="B41" t="s">
        <v>945</v>
      </c>
      <c r="C41" t="s">
        <v>603</v>
      </c>
      <c r="D41" s="4"/>
      <c r="E41" s="258" t="e">
        <f>Assessment!E126</f>
        <v>#DIV/0!</v>
      </c>
      <c r="F41" s="4" t="e">
        <f>Assessment!F126</f>
        <v>#DIV/0!</v>
      </c>
      <c r="G41" s="4" t="str">
        <f>Assessment!G126</f>
        <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Enter year</v>
      </c>
      <c r="C43" t="s">
        <v>603</v>
      </c>
      <c r="D43" s="4"/>
      <c r="E43" s="4"/>
      <c r="F43" s="4" t="e">
        <f>Assessment!F134</f>
        <v>#DIV/0!</v>
      </c>
      <c r="G43" s="4" t="str">
        <f>Assessment!G134</f>
        <v/>
      </c>
      <c r="H43" t="str">
        <f>Assessment!H134</f>
        <v/>
      </c>
      <c r="I43" t="str">
        <f>Assessment!I134</f>
        <v/>
      </c>
      <c r="J43" t="str">
        <f>Assessment!J134</f>
        <v/>
      </c>
    </row>
    <row r="44" spans="1:23" customFormat="1" ht="14.65" customHeight="1" x14ac:dyDescent="0.4">
      <c r="A44" s="3">
        <v>19</v>
      </c>
      <c r="B44" t="s">
        <v>938</v>
      </c>
      <c r="C44" t="s">
        <v>603</v>
      </c>
      <c r="D44" s="4"/>
      <c r="E44" s="4" t="e">
        <f>Assessment!E142</f>
        <v>#DIV/0!</v>
      </c>
      <c r="F44" s="4" t="e">
        <f>Assessment!F142</f>
        <v>#DIV/0!</v>
      </c>
      <c r="G44" s="4" t="str">
        <f>Assessment!G142</f>
        <v/>
      </c>
    </row>
    <row r="45" spans="1:23" customFormat="1" ht="14.65" customHeight="1" x14ac:dyDescent="0.4">
      <c r="A45" s="3">
        <v>20</v>
      </c>
      <c r="B45" s="261" t="s">
        <v>932</v>
      </c>
      <c r="C45" s="261" t="s">
        <v>603</v>
      </c>
      <c r="D45" s="4"/>
      <c r="E45" s="4"/>
      <c r="F45" s="4" t="e">
        <f>Assessment!F144</f>
        <v>#DIV/0!</v>
      </c>
      <c r="G45" s="4" t="str">
        <f>Assessment!G144</f>
        <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0</v>
      </c>
      <c r="E52" s="45">
        <v>0</v>
      </c>
      <c r="F52" s="45">
        <v>0</v>
      </c>
      <c r="G52" s="47">
        <v>0</v>
      </c>
      <c r="H52" s="45">
        <v>0</v>
      </c>
      <c r="I52" s="45"/>
      <c r="J52" s="64"/>
      <c r="K52" s="64"/>
      <c r="L52" s="64"/>
      <c r="M52" s="22"/>
    </row>
    <row r="53" spans="1:13" customFormat="1" x14ac:dyDescent="0.45">
      <c r="A53" s="22"/>
      <c r="B53" s="135" t="str">
        <f>ScenarioName</f>
        <v>Enter scenario name</v>
      </c>
      <c r="C53" s="64" t="str" cm="1">
        <f t="array" ref="C53:H53">INDEX(
  Assessment!$15:$15,
  1,
  MATCH(MTP_BaseYear,Assessment!$4:$4,0)
    + _xlfn.SEQUENCE(1, COLUMNS(_xlfn.ANCHORARRAY(C50)), 0)
)</f>
        <v/>
      </c>
      <c r="D53" s="64" t="str">
        <v/>
      </c>
      <c r="E53" s="64" t="str">
        <v/>
      </c>
      <c r="F53" s="64" t="str">
        <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0</v>
      </c>
      <c r="D54" s="45">
        <v>0</v>
      </c>
      <c r="E54" s="45">
        <v>0</v>
      </c>
      <c r="F54" s="45">
        <v>0</v>
      </c>
      <c r="G54" s="47">
        <v>0</v>
      </c>
      <c r="H54" s="47">
        <v>0</v>
      </c>
      <c r="I54" s="47"/>
      <c r="J54" s="64"/>
      <c r="K54" s="64"/>
      <c r="L54" s="64"/>
      <c r="M54" s="22"/>
    </row>
    <row r="55" spans="1:13" customFormat="1" x14ac:dyDescent="0.45">
      <c r="A55" s="22"/>
      <c r="B55" s="135" t="str">
        <f>ScenarioName</f>
        <v>Enter scenario name</v>
      </c>
      <c r="C55" s="64" t="str" cm="1">
        <f t="array" ref="C55:H55">INDEX(
  Assessment!$17:$17,
  1,
  MATCH(MTP_BaseYear,Assessment!$4:$4,0)
    + _xlfn.SEQUENCE(1, COLUMNS(_xlfn.ANCHORARRAY(C50)), 0)
)</f>
        <v/>
      </c>
      <c r="D55" s="64" t="str">
        <v/>
      </c>
      <c r="E55" s="64" t="str">
        <v/>
      </c>
      <c r="F55" s="64" t="str">
        <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0</v>
      </c>
      <c r="D56" s="47">
        <v>0</v>
      </c>
      <c r="E56" s="47">
        <v>0</v>
      </c>
      <c r="F56" s="47">
        <v>0</v>
      </c>
      <c r="G56" s="47">
        <v>0</v>
      </c>
      <c r="H56" s="47">
        <v>0</v>
      </c>
      <c r="I56" s="47"/>
      <c r="J56" s="64"/>
      <c r="K56" s="64"/>
      <c r="L56" s="64"/>
      <c r="M56" s="22"/>
    </row>
    <row r="57" spans="1:13" customFormat="1" x14ac:dyDescent="0.45">
      <c r="A57" s="22"/>
      <c r="B57" s="135" t="str">
        <f>ScenarioName</f>
        <v>Enter scenario name</v>
      </c>
      <c r="C57" s="64" cm="1">
        <f t="array" ref="C57:H57">INDEX(
  Assessment!$18:$18,
  1,
  MATCH(MTP_BaseYear,Assessment!$4:$4,0)
    + _xlfn.SEQUENCE(1, COLUMNS(_xlfn.ANCHORARRAY(C50)), 0)
)</f>
        <v>0</v>
      </c>
      <c r="D57" s="64">
        <v>0</v>
      </c>
      <c r="E57" s="64">
        <v>0</v>
      </c>
      <c r="F57" s="64" t="str">
        <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0</v>
      </c>
      <c r="D58" s="45">
        <v>0</v>
      </c>
      <c r="E58" s="45">
        <v>0</v>
      </c>
      <c r="F58" s="45">
        <v>0</v>
      </c>
      <c r="G58" s="47">
        <v>0</v>
      </c>
      <c r="H58" s="47">
        <v>0</v>
      </c>
      <c r="I58" s="47"/>
      <c r="J58" s="64"/>
      <c r="K58" s="64"/>
      <c r="L58" s="64"/>
      <c r="M58" s="22"/>
    </row>
    <row r="59" spans="1:13" customFormat="1" x14ac:dyDescent="0.45">
      <c r="A59" s="22"/>
      <c r="B59" s="135" t="str">
        <f>ScenarioName</f>
        <v>Enter scenario name</v>
      </c>
      <c r="C59" s="64" cm="1">
        <f t="array" ref="C59:H59">INDEX(
  Assessment!$19:$19,
  1,
  MATCH(MTP_BaseYear,Assessment!$4:$4,0)
    + _xlfn.SEQUENCE(1, COLUMNS(_xlfn.ANCHORARRAY(C50)), 0)
)</f>
        <v>0</v>
      </c>
      <c r="D59" s="64">
        <v>0</v>
      </c>
      <c r="E59" s="64">
        <v>0</v>
      </c>
      <c r="F59" s="64" t="str">
        <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0</v>
      </c>
      <c r="D60" s="45">
        <v>0</v>
      </c>
      <c r="E60" s="45">
        <v>0</v>
      </c>
      <c r="F60" s="45">
        <v>0</v>
      </c>
      <c r="G60" s="45">
        <v>0</v>
      </c>
      <c r="H60" s="45">
        <v>0</v>
      </c>
      <c r="I60" s="45"/>
      <c r="J60" s="64"/>
      <c r="K60" s="64"/>
      <c r="L60" s="64"/>
      <c r="M60" s="22"/>
    </row>
    <row r="61" spans="1:13" customFormat="1" x14ac:dyDescent="0.45">
      <c r="A61" s="22"/>
      <c r="B61" s="135" t="str">
        <f>ScenarioName</f>
        <v>Enter scenario name</v>
      </c>
      <c r="C61" s="64" t="str" cm="1">
        <f t="array" ref="C61:H61">INDEX(
  Assessment!$20:$20,
  1,
  MATCH(MTP_BaseYear,Assessment!$4:$4,0)
    + _xlfn.SEQUENCE(1, COLUMNS(_xlfn.ANCHORARRAY(C50)), 0)
)</f>
        <v/>
      </c>
      <c r="D61" s="64" t="str">
        <v/>
      </c>
      <c r="E61" s="64" t="str">
        <v/>
      </c>
      <c r="F61" s="64" t="str">
        <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0</v>
      </c>
      <c r="D62" s="45">
        <v>0</v>
      </c>
      <c r="E62" s="45">
        <v>0</v>
      </c>
      <c r="F62" s="45">
        <v>0</v>
      </c>
      <c r="G62" s="45">
        <v>0</v>
      </c>
      <c r="H62" s="45">
        <v>0</v>
      </c>
      <c r="I62" s="45"/>
      <c r="J62" s="64"/>
      <c r="K62" s="64"/>
      <c r="L62" s="64"/>
      <c r="M62" s="22"/>
    </row>
    <row r="63" spans="1:13" customFormat="1" x14ac:dyDescent="0.45">
      <c r="A63" s="22"/>
      <c r="B63" s="135" t="str">
        <f>ScenarioName</f>
        <v>Enter scenario name</v>
      </c>
      <c r="C63" s="64" t="str" cm="1">
        <f t="array" ref="C63:H63">INDEX(
  Assessment!$21:$21,
  1,
  MATCH(MTP_BaseYear,Assessment!$4:$4,0)
    + _xlfn.SEQUENCE(1, COLUMNS(_xlfn.ANCHORARRAY(C50)), 0)
)</f>
        <v/>
      </c>
      <c r="D63" s="64" t="str">
        <v/>
      </c>
      <c r="E63" s="64" t="str">
        <v/>
      </c>
      <c r="F63" s="64" t="str">
        <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0</v>
      </c>
      <c r="D65" s="107">
        <v>0</v>
      </c>
      <c r="E65" s="107">
        <v>0</v>
      </c>
      <c r="F65" s="107">
        <v>0</v>
      </c>
      <c r="G65" s="107">
        <v>0</v>
      </c>
      <c r="H65" s="107">
        <v>0</v>
      </c>
      <c r="I65" s="107"/>
      <c r="J65" s="108"/>
      <c r="K65" s="108"/>
      <c r="L65" s="108"/>
      <c r="M65" s="22"/>
    </row>
    <row r="66" spans="1:13" customFormat="1" x14ac:dyDescent="0.45">
      <c r="A66" s="22"/>
      <c r="B66" s="171" t="str">
        <f>ScenarioName</f>
        <v>Enter scenario name</v>
      </c>
      <c r="C66" s="108" t="str" cm="1">
        <f t="array" ref="C66:H66">INDEX(
  Assessment!$22:$22,
  1,
  MATCH(MTP_BaseYear,Assessment!$4:$4,0)
    + _xlfn.SEQUENCE(1, COLUMNS(_xlfn.ANCHORARRAY(C50)), 0)
)</f>
        <v/>
      </c>
      <c r="D66" s="64" t="str">
        <v/>
      </c>
      <c r="E66" s="64" t="str">
        <v/>
      </c>
      <c r="F66" s="64" t="str">
        <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0</v>
      </c>
      <c r="D67" s="107">
        <v>0</v>
      </c>
      <c r="E67" s="107">
        <v>0</v>
      </c>
      <c r="F67" s="107">
        <v>0</v>
      </c>
      <c r="G67" s="107">
        <v>0</v>
      </c>
      <c r="H67" s="107">
        <v>0</v>
      </c>
      <c r="I67" s="107"/>
    </row>
    <row r="68" spans="1:13" customFormat="1" x14ac:dyDescent="0.45">
      <c r="A68" s="22"/>
      <c r="B68" s="171" t="str">
        <f>ScenarioName</f>
        <v>Enter scenario name</v>
      </c>
      <c r="C68" s="108" t="str" cm="1">
        <f t="array" ref="C68:H68">INDEX(
  Assessment!$23:$23,
  1,
  MATCH(MTP_BaseYear,Assessment!$4:$4,0)
    + _xlfn.SEQUENCE(1, COLUMNS(_xlfn.ANCHORARRAY(C50)), 0)
)</f>
        <v/>
      </c>
      <c r="D68" s="64" t="str">
        <v/>
      </c>
      <c r="E68" s="64" t="str">
        <v/>
      </c>
      <c r="F68" s="64" t="str">
        <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0</v>
      </c>
      <c r="D69" s="107">
        <v>0</v>
      </c>
      <c r="E69" s="107">
        <v>0</v>
      </c>
      <c r="F69" s="107">
        <v>0</v>
      </c>
      <c r="G69" s="107">
        <v>0</v>
      </c>
      <c r="H69" s="107">
        <v>0</v>
      </c>
      <c r="I69" s="107"/>
    </row>
    <row r="70" spans="1:13" x14ac:dyDescent="0.45">
      <c r="B70" s="171" t="str">
        <f>ScenarioName</f>
        <v>Enter scenario name</v>
      </c>
      <c r="C70" s="108" t="str" cm="1">
        <f t="array" ref="C70:H70">INDEX(
  Assessment!$24:$24,
  1,
  MATCH(MTP_BaseYear,Assessment!$4:$4,0)
    + _xlfn.SEQUENCE(1, COLUMNS(_xlfn.ANCHORARRAY(C50)), 0)
)</f>
        <v/>
      </c>
      <c r="D70" s="64" t="str">
        <v/>
      </c>
      <c r="E70" s="64" t="str">
        <v/>
      </c>
      <c r="F70" s="64" t="str">
        <v/>
      </c>
      <c r="G70" s="64" t="str">
        <v/>
      </c>
      <c r="H70" s="64" t="str">
        <v/>
      </c>
      <c r="I70" s="64"/>
    </row>
    <row r="71" spans="1:13" x14ac:dyDescent="0.45">
      <c r="B71" s="170" t="s">
        <v>275</v>
      </c>
      <c r="C71" s="107" cm="1">
        <f t="array" ref="C71:H71">INDEX(
  Assessment!$43:$43,
  1,
  MATCH(MTP_BaseYear,Assessment!$32:$32,0)
    + _xlfn.SEQUENCE(1, COLUMNS(_xlfn.ANCHORARRAY(C50)), 0)
)</f>
        <v>0</v>
      </c>
      <c r="D71" s="107">
        <v>0</v>
      </c>
      <c r="E71" s="107">
        <v>0</v>
      </c>
      <c r="F71" s="107">
        <v>0</v>
      </c>
      <c r="G71" s="107">
        <v>0</v>
      </c>
      <c r="H71" s="107">
        <v>0</v>
      </c>
      <c r="I71" s="107"/>
    </row>
    <row r="72" spans="1:13" x14ac:dyDescent="0.45">
      <c r="B72" s="171" t="str">
        <f>ScenarioName</f>
        <v>Enter scenario name</v>
      </c>
      <c r="C72" s="108" t="str" cm="1">
        <f t="array" ref="C72:H72">INDEX(
  Assessment!$25:$25,
  1,
  MATCH(MTP_BaseYear,Assessment!$4:$4,0)
    + _xlfn.SEQUENCE(1, COLUMNS(_xlfn.ANCHORARRAY(C50)), 0)
)</f>
        <v/>
      </c>
      <c r="D72" s="64" t="str">
        <v/>
      </c>
      <c r="E72" s="64" t="str">
        <v/>
      </c>
      <c r="F72" s="64" t="str">
        <v/>
      </c>
      <c r="G72" s="64" t="str">
        <v/>
      </c>
      <c r="H72" s="64" t="str">
        <v/>
      </c>
      <c r="I72" s="64"/>
    </row>
    <row r="73" spans="1:13" x14ac:dyDescent="0.45">
      <c r="B73" s="170" t="s">
        <v>272</v>
      </c>
      <c r="C73" s="107" cm="1">
        <f t="array" ref="C73:H73">INDEX(
  Assessment!$44:$44,
  1,
  MATCH(MTP_BaseYear,Assessment!$32:$32,0)
    + _xlfn.SEQUENCE(1, COLUMNS(_xlfn.ANCHORARRAY(C50)), 0)
)</f>
        <v>0</v>
      </c>
      <c r="D73" s="107">
        <v>0</v>
      </c>
      <c r="E73" s="107">
        <v>0</v>
      </c>
      <c r="F73" s="107">
        <v>0</v>
      </c>
      <c r="G73" s="107">
        <v>0</v>
      </c>
      <c r="H73" s="107">
        <v>0</v>
      </c>
      <c r="I73" s="107"/>
    </row>
    <row r="74" spans="1:13" x14ac:dyDescent="0.45">
      <c r="B74" s="172" t="str">
        <f>ScenarioName</f>
        <v>Enter scenario name</v>
      </c>
      <c r="C74" s="109" t="str" cm="1">
        <f t="array" ref="C74:H74">INDEX(
  Assessment!$26:$26,
  1,
  MATCH(MTP_BaseYear,Assessment!$4:$4,0)
    + _xlfn.SEQUENCE(1, COLUMNS(_xlfn.ANCHORARRAY(C50)), 0)
)</f>
        <v/>
      </c>
      <c r="D74" s="109" t="str">
        <v/>
      </c>
      <c r="E74" s="109" t="str">
        <v/>
      </c>
      <c r="F74" s="109" t="str">
        <v/>
      </c>
      <c r="G74" s="109" t="str">
        <v/>
      </c>
      <c r="H74" s="109" t="str">
        <v/>
      </c>
      <c r="I74" s="108"/>
    </row>
    <row r="75" spans="1:13" x14ac:dyDescent="0.45">
      <c r="B75" s="153" t="str">
        <f>"Numbers in green indicate "&amp;ScenarioName&amp;" is outperforming the medium-term plan"</f>
        <v>Numbers in green indicate Enter scenario name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Enter scenario name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Enter scenario name is underperforming the medium-term plan but an escape clause is in place</v>
      </c>
      <c r="C77"/>
      <c r="D77"/>
      <c r="E77"/>
      <c r="F77"/>
      <c r="G77"/>
      <c r="H77"/>
      <c r="I77"/>
    </row>
  </sheetData>
  <conditionalFormatting sqref="K18:K19">
    <cfRule type="expression" dxfId="158" priority="127">
      <formula>K18&gt;#REF!</formula>
    </cfRule>
    <cfRule type="expression" dxfId="157" priority="128">
      <formula>K18&lt;=#REF!</formula>
    </cfRule>
  </conditionalFormatting>
  <conditionalFormatting sqref="C49:H51 I51 D18:I21">
    <cfRule type="expression" dxfId="156" priority="120">
      <formula>C18&lt;&gt;""</formula>
    </cfRule>
  </conditionalFormatting>
  <conditionalFormatting sqref="C75:H77 M20 L18:N19 L20:L21">
    <cfRule type="expression" dxfId="155" priority="144">
      <formula>ROUND(#REF!,1)&gt;ROUND(C18,1)</formula>
    </cfRule>
    <cfRule type="expression" dxfId="154" priority="145">
      <formula>ROUND(#REF!,1)&lt;=ROUND(C18,1)</formula>
    </cfRule>
  </conditionalFormatting>
  <conditionalFormatting sqref="C10:C14">
    <cfRule type="expression" dxfId="153" priority="59">
      <formula>D10="At risk"</formula>
    </cfRule>
    <cfRule type="expression" dxfId="152" priority="60">
      <formula>D10="Breach"</formula>
    </cfRule>
    <cfRule type="expression" dxfId="151" priority="61">
      <formula>D10="Compliant"</formula>
    </cfRule>
    <cfRule type="expression" dxfId="150" priority="62">
      <formula>AND(D10&lt;&gt;"Compliant", D10&lt;&gt;"Caution", D10&lt;&gt;"Breach")</formula>
    </cfRule>
  </conditionalFormatting>
  <conditionalFormatting sqref="I49:I50">
    <cfRule type="expression" dxfId="149" priority="58">
      <formula>I49&lt;&gt;""</formula>
    </cfRule>
  </conditionalFormatting>
  <conditionalFormatting sqref="D53:L53 D61:L61 D63:L63 D68:I68">
    <cfRule type="expression" dxfId="148" priority="50">
      <formula>ROUND(D52,1)&gt;=ROUND(D53,1)</formula>
    </cfRule>
  </conditionalFormatting>
  <conditionalFormatting sqref="D55:L55 D57:L57 D59:L59 D66:L66 D70:I70 D72:I72">
    <cfRule type="expression" dxfId="147" priority="47">
      <formula>ROUND(D54,1)&lt;=ROUND(D55,1)</formula>
    </cfRule>
  </conditionalFormatting>
  <conditionalFormatting sqref="D74:I74">
    <cfRule type="expression" dxfId="146" priority="2">
      <formula>ROUND(D73,1)&lt;=ROUND(D74,1)</formula>
    </cfRule>
  </conditionalFormatting>
  <conditionalFormatting sqref="B15:BB15">
    <cfRule type="expression" dxfId="145" priority="851">
      <formula>$D$15="Compliant"</formula>
    </cfRule>
    <cfRule type="expression" dxfId="144" priority="852">
      <formula>$D$15="Caution"</formula>
    </cfRule>
    <cfRule type="expression" dxfId="143" priority="853">
      <formula>$D$15="Breach"</formula>
    </cfRule>
    <cfRule type="expression" dxfId="142" priority="854">
      <formula>$D$15="N/A"</formula>
    </cfRule>
  </conditionalFormatting>
  <conditionalFormatting sqref="I48">
    <cfRule type="expression" dxfId="141" priority="859">
      <formula>ROUND(#REF!,1)&lt;ROUND(I48,1)</formula>
    </cfRule>
    <cfRule type="expression" dxfId="140" priority="860">
      <formula>ROUND(#REF!,1)&gt;=ROUND(I48,1)</formula>
    </cfRule>
  </conditionalFormatting>
  <conditionalFormatting sqref="D18:I21">
    <cfRule type="expression" dxfId="139" priority="998">
      <formula>D$21&lt;&gt;""</formula>
    </cfRule>
  </conditionalFormatting>
  <conditionalFormatting sqref="D45:J45">
    <cfRule type="expression" dxfId="138" priority="1">
      <formula>ISNUMBER(D$21)</formula>
    </cfRule>
  </conditionalFormatting>
  <conditionalFormatting sqref="I74">
    <cfRule type="expression" dxfId="137"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0</v>
      </c>
      <c r="F6" s="164">
        <f t="shared" ref="F6:I6" si="0">G103</f>
        <v>0</v>
      </c>
      <c r="G6" s="164">
        <f t="shared" si="0"/>
        <v>0</v>
      </c>
      <c r="H6" s="164">
        <f t="shared" si="0"/>
        <v>0</v>
      </c>
      <c r="I6" s="164">
        <f t="shared" si="0"/>
        <v>0</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0</v>
      </c>
      <c r="E7" s="165">
        <f t="shared" ref="E7:I7" si="1">F105</f>
        <v>0</v>
      </c>
      <c r="F7" s="165">
        <f t="shared" si="1"/>
        <v>0</v>
      </c>
      <c r="G7" s="165">
        <f t="shared" si="1"/>
        <v>0</v>
      </c>
      <c r="H7" s="165">
        <f t="shared" si="1"/>
        <v>0</v>
      </c>
      <c r="I7" s="165">
        <f t="shared" si="1"/>
        <v>0</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0</v>
      </c>
      <c r="E8" s="165">
        <f t="shared" ref="E8:I8" si="2">F108</f>
        <v>0</v>
      </c>
      <c r="F8" s="165">
        <f t="shared" si="2"/>
        <v>0</v>
      </c>
      <c r="G8" s="165">
        <f t="shared" si="2"/>
        <v>0</v>
      </c>
      <c r="H8" s="165">
        <f t="shared" si="2"/>
        <v>0</v>
      </c>
      <c r="I8" s="165">
        <f t="shared" si="2"/>
        <v>0</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0</v>
      </c>
      <c r="E9" s="165">
        <f t="shared" ref="E9:I9" si="3">F109</f>
        <v>0</v>
      </c>
      <c r="F9" s="165">
        <f t="shared" si="3"/>
        <v>0</v>
      </c>
      <c r="G9" s="165">
        <f t="shared" si="3"/>
        <v>0</v>
      </c>
      <c r="H9" s="165">
        <f t="shared" si="3"/>
        <v>0</v>
      </c>
      <c r="I9" s="165">
        <f t="shared" si="3"/>
        <v>0</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0</v>
      </c>
      <c r="E10" s="165">
        <f t="shared" ref="E10:I10" si="4">F111</f>
        <v>0</v>
      </c>
      <c r="F10" s="165">
        <f t="shared" si="4"/>
        <v>0</v>
      </c>
      <c r="G10" s="165">
        <f t="shared" si="4"/>
        <v>0</v>
      </c>
      <c r="H10" s="165">
        <f t="shared" si="4"/>
        <v>0</v>
      </c>
      <c r="I10" s="165">
        <f t="shared" si="4"/>
        <v>0</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0</v>
      </c>
      <c r="E11" s="165">
        <f t="shared" ref="E11:I11" si="5">F112</f>
        <v>0</v>
      </c>
      <c r="F11" s="165">
        <f t="shared" si="5"/>
        <v>0</v>
      </c>
      <c r="G11" s="165">
        <f t="shared" si="5"/>
        <v>0</v>
      </c>
      <c r="H11" s="165">
        <f t="shared" si="5"/>
        <v>0</v>
      </c>
      <c r="I11" s="165">
        <f t="shared" si="5"/>
        <v>0</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0</v>
      </c>
      <c r="E12" s="165">
        <f t="shared" ref="E12:I12" si="6">F130</f>
        <v>0</v>
      </c>
      <c r="F12" s="165">
        <f t="shared" si="6"/>
        <v>0</v>
      </c>
      <c r="G12" s="165">
        <f t="shared" si="6"/>
        <v>0</v>
      </c>
      <c r="H12" s="165">
        <f t="shared" si="6"/>
        <v>0</v>
      </c>
      <c r="I12" s="165">
        <f t="shared" si="6"/>
        <v>0</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0</v>
      </c>
      <c r="E13" s="165">
        <f t="shared" ref="E13:I13" si="7">F131</f>
        <v>0</v>
      </c>
      <c r="F13" s="165">
        <f t="shared" si="7"/>
        <v>0</v>
      </c>
      <c r="G13" s="165">
        <f t="shared" si="7"/>
        <v>0</v>
      </c>
      <c r="H13" s="165">
        <f t="shared" si="7"/>
        <v>0</v>
      </c>
      <c r="I13" s="165">
        <f t="shared" si="7"/>
        <v>0</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0</v>
      </c>
      <c r="E14" s="165">
        <f t="shared" ref="E14:I14" si="8">F132</f>
        <v>0</v>
      </c>
      <c r="F14" s="165">
        <f t="shared" si="8"/>
        <v>0</v>
      </c>
      <c r="G14" s="165">
        <f t="shared" si="8"/>
        <v>0</v>
      </c>
      <c r="H14" s="165">
        <f t="shared" si="8"/>
        <v>0</v>
      </c>
      <c r="I14" s="165">
        <f t="shared" si="8"/>
        <v>0</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0</v>
      </c>
      <c r="E15" s="37">
        <f t="shared" ref="E15:I15" si="9">F161</f>
        <v>0</v>
      </c>
      <c r="F15" s="37">
        <f t="shared" si="9"/>
        <v>0</v>
      </c>
      <c r="G15" s="37">
        <f t="shared" si="9"/>
        <v>0</v>
      </c>
      <c r="H15" s="37">
        <f t="shared" si="9"/>
        <v>0</v>
      </c>
      <c r="I15" s="37">
        <f t="shared" si="9"/>
        <v>0</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0</v>
      </c>
      <c r="E16" s="164">
        <f t="shared" ref="E16:I16" si="10">F167</f>
        <v>0</v>
      </c>
      <c r="F16" s="164">
        <f t="shared" si="10"/>
        <v>0</v>
      </c>
      <c r="G16" s="164">
        <f t="shared" si="10"/>
        <v>0</v>
      </c>
      <c r="H16" s="164">
        <f t="shared" si="10"/>
        <v>0</v>
      </c>
      <c r="I16" s="164">
        <f t="shared" si="10"/>
        <v>0</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Select country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0</v>
      </c>
      <c r="E25" s="253">
        <f t="shared" ref="E25:S25" si="11">F173</f>
        <v>0</v>
      </c>
      <c r="F25" s="253">
        <f t="shared" si="11"/>
        <v>0</v>
      </c>
      <c r="G25" s="253">
        <f t="shared" si="11"/>
        <v>0</v>
      </c>
      <c r="H25" s="253">
        <f t="shared" si="11"/>
        <v>0</v>
      </c>
      <c r="I25" s="253">
        <f t="shared" si="11"/>
        <v>0</v>
      </c>
      <c r="J25" s="253">
        <f t="shared" si="11"/>
        <v>0</v>
      </c>
      <c r="K25" s="253">
        <f t="shared" si="11"/>
        <v>0</v>
      </c>
      <c r="L25" s="253">
        <f t="shared" si="11"/>
        <v>0</v>
      </c>
      <c r="M25" s="253">
        <f t="shared" si="11"/>
        <v>0</v>
      </c>
      <c r="N25" s="253">
        <f t="shared" si="11"/>
        <v>0</v>
      </c>
      <c r="O25" s="253">
        <f t="shared" si="11"/>
        <v>0</v>
      </c>
      <c r="P25" s="253">
        <f t="shared" si="11"/>
        <v>0</v>
      </c>
      <c r="Q25" s="253">
        <f t="shared" si="11"/>
        <v>0</v>
      </c>
      <c r="R25" s="253">
        <f t="shared" si="11"/>
        <v>0</v>
      </c>
      <c r="S25" s="253">
        <f t="shared" si="11"/>
        <v>0</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0</v>
      </c>
      <c r="E27" s="253">
        <f t="shared" ref="E27:S27" si="12">F172</f>
        <v>0</v>
      </c>
      <c r="F27" s="253">
        <f t="shared" si="12"/>
        <v>0</v>
      </c>
      <c r="G27" s="253">
        <f t="shared" si="12"/>
        <v>0</v>
      </c>
      <c r="H27" s="253">
        <f t="shared" si="12"/>
        <v>0</v>
      </c>
      <c r="I27" s="253">
        <f t="shared" si="12"/>
        <v>0</v>
      </c>
      <c r="J27" s="253">
        <f t="shared" si="12"/>
        <v>0</v>
      </c>
      <c r="K27" s="253">
        <f t="shared" si="12"/>
        <v>0</v>
      </c>
      <c r="L27" s="253">
        <f t="shared" si="12"/>
        <v>0</v>
      </c>
      <c r="M27" s="253">
        <f t="shared" si="12"/>
        <v>0</v>
      </c>
      <c r="N27" s="253">
        <f t="shared" si="12"/>
        <v>0</v>
      </c>
      <c r="O27" s="253">
        <f t="shared" si="12"/>
        <v>0</v>
      </c>
      <c r="P27" s="253">
        <f t="shared" si="12"/>
        <v>0</v>
      </c>
      <c r="Q27" s="253">
        <f t="shared" si="12"/>
        <v>0</v>
      </c>
      <c r="R27" s="253">
        <f t="shared" si="12"/>
        <v>0</v>
      </c>
      <c r="S27" s="253">
        <f t="shared" si="12"/>
        <v>0</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3">F206</f>
        <v>0</v>
      </c>
      <c r="F29" s="253">
        <f t="shared" si="13"/>
        <v>0</v>
      </c>
      <c r="G29" s="253">
        <f t="shared" si="13"/>
        <v>0</v>
      </c>
      <c r="H29" s="253">
        <f t="shared" si="13"/>
        <v>0</v>
      </c>
      <c r="I29" s="253">
        <f t="shared" si="13"/>
        <v>0</v>
      </c>
      <c r="J29" s="253">
        <f t="shared" si="13"/>
        <v>0</v>
      </c>
      <c r="K29" s="253">
        <f t="shared" si="13"/>
        <v>0</v>
      </c>
      <c r="L29" s="253">
        <f t="shared" si="13"/>
        <v>0</v>
      </c>
      <c r="M29" s="253">
        <f t="shared" si="13"/>
        <v>0</v>
      </c>
      <c r="N29" s="253">
        <f t="shared" si="13"/>
        <v>0</v>
      </c>
      <c r="O29" s="253">
        <f t="shared" si="13"/>
        <v>0</v>
      </c>
      <c r="P29" s="253">
        <f t="shared" si="13"/>
        <v>0</v>
      </c>
      <c r="Q29" s="253">
        <f t="shared" si="13"/>
        <v>0</v>
      </c>
      <c r="R29" s="253">
        <f t="shared" si="13"/>
        <v>0</v>
      </c>
      <c r="S29" s="253">
        <f t="shared" si="13"/>
        <v>0</v>
      </c>
      <c r="T29" s="253" t="s">
        <v>698</v>
      </c>
      <c r="U29" s="253" t="s">
        <v>698</v>
      </c>
      <c r="V29" s="253" t="s">
        <v>698</v>
      </c>
      <c r="W29" s="253" t="s">
        <v>698</v>
      </c>
      <c r="X29" s="37"/>
      <c r="Y29" s="37"/>
      <c r="Z29" s="14"/>
    </row>
    <row r="30" spans="1:26" s="14" customFormat="1" x14ac:dyDescent="0.4">
      <c r="A30"/>
      <c r="B30" s="46" t="s">
        <v>286</v>
      </c>
      <c r="D30" s="253">
        <f t="shared" ref="D30:S30" si="14">E189</f>
        <v>0</v>
      </c>
      <c r="E30" s="253">
        <f t="shared" si="14"/>
        <v>0</v>
      </c>
      <c r="F30" s="253">
        <f t="shared" si="14"/>
        <v>0</v>
      </c>
      <c r="G30" s="253">
        <f t="shared" si="14"/>
        <v>0</v>
      </c>
      <c r="H30" s="253">
        <f t="shared" si="14"/>
        <v>0</v>
      </c>
      <c r="I30" s="253">
        <f t="shared" si="14"/>
        <v>0</v>
      </c>
      <c r="J30" s="253">
        <f t="shared" si="14"/>
        <v>0</v>
      </c>
      <c r="K30" s="253">
        <f t="shared" si="14"/>
        <v>0</v>
      </c>
      <c r="L30" s="253">
        <f t="shared" si="14"/>
        <v>0</v>
      </c>
      <c r="M30" s="253">
        <f t="shared" si="14"/>
        <v>0</v>
      </c>
      <c r="N30" s="253">
        <f t="shared" si="14"/>
        <v>0</v>
      </c>
      <c r="O30" s="253">
        <f t="shared" si="14"/>
        <v>0</v>
      </c>
      <c r="P30" s="253">
        <f t="shared" si="14"/>
        <v>0</v>
      </c>
      <c r="Q30" s="253">
        <f t="shared" si="14"/>
        <v>0</v>
      </c>
      <c r="R30" s="253">
        <f t="shared" si="14"/>
        <v>0</v>
      </c>
      <c r="S30" s="253">
        <f t="shared" si="14"/>
        <v>0</v>
      </c>
      <c r="T30" s="253" t="s">
        <v>698</v>
      </c>
      <c r="U30" s="253" t="s">
        <v>698</v>
      </c>
      <c r="V30" s="253" t="s">
        <v>698</v>
      </c>
      <c r="W30" s="253" t="s">
        <v>698</v>
      </c>
      <c r="X30" s="37"/>
      <c r="Y30" s="37"/>
    </row>
    <row r="31" spans="1:26" s="14" customFormat="1" x14ac:dyDescent="0.4">
      <c r="A31"/>
      <c r="B31" s="46" t="s">
        <v>287</v>
      </c>
      <c r="D31" s="253">
        <f t="shared" ref="D31:S31" si="15">E193</f>
        <v>0</v>
      </c>
      <c r="E31" s="253">
        <f t="shared" si="15"/>
        <v>0</v>
      </c>
      <c r="F31" s="253">
        <f t="shared" si="15"/>
        <v>0</v>
      </c>
      <c r="G31" s="253">
        <f t="shared" si="15"/>
        <v>0</v>
      </c>
      <c r="H31" s="253">
        <f t="shared" si="15"/>
        <v>0</v>
      </c>
      <c r="I31" s="253">
        <f t="shared" si="15"/>
        <v>0</v>
      </c>
      <c r="J31" s="253">
        <f t="shared" si="15"/>
        <v>0</v>
      </c>
      <c r="K31" s="253">
        <f t="shared" si="15"/>
        <v>0</v>
      </c>
      <c r="L31" s="253">
        <f t="shared" si="15"/>
        <v>0</v>
      </c>
      <c r="M31" s="253">
        <f t="shared" si="15"/>
        <v>0</v>
      </c>
      <c r="N31" s="253">
        <f t="shared" si="15"/>
        <v>0</v>
      </c>
      <c r="O31" s="253">
        <f t="shared" si="15"/>
        <v>0</v>
      </c>
      <c r="P31" s="253">
        <f t="shared" si="15"/>
        <v>0</v>
      </c>
      <c r="Q31" s="253">
        <f t="shared" si="15"/>
        <v>0</v>
      </c>
      <c r="R31" s="253">
        <f t="shared" si="15"/>
        <v>0</v>
      </c>
      <c r="S31" s="253">
        <f t="shared" si="15"/>
        <v>0</v>
      </c>
      <c r="T31" s="253" t="s">
        <v>698</v>
      </c>
      <c r="U31" s="253" t="s">
        <v>698</v>
      </c>
      <c r="V31" s="253" t="s">
        <v>698</v>
      </c>
      <c r="W31" s="253" t="s">
        <v>698</v>
      </c>
      <c r="X31" s="37"/>
      <c r="Y31" s="37"/>
    </row>
    <row r="32" spans="1:26" x14ac:dyDescent="0.4">
      <c r="B32" s="46" t="s">
        <v>288</v>
      </c>
      <c r="C32" s="14"/>
      <c r="D32" s="253">
        <f t="shared" ref="D32:S32" si="16">E196</f>
        <v>0</v>
      </c>
      <c r="E32" s="253">
        <f t="shared" si="16"/>
        <v>0</v>
      </c>
      <c r="F32" s="253">
        <f t="shared" si="16"/>
        <v>0</v>
      </c>
      <c r="G32" s="253">
        <f t="shared" si="16"/>
        <v>0</v>
      </c>
      <c r="H32" s="253">
        <f t="shared" si="16"/>
        <v>0</v>
      </c>
      <c r="I32" s="253">
        <f t="shared" si="16"/>
        <v>0</v>
      </c>
      <c r="J32" s="253">
        <f t="shared" si="16"/>
        <v>0</v>
      </c>
      <c r="K32" s="253">
        <f t="shared" si="16"/>
        <v>0</v>
      </c>
      <c r="L32" s="253">
        <f t="shared" si="16"/>
        <v>0</v>
      </c>
      <c r="M32" s="253">
        <f t="shared" si="16"/>
        <v>0</v>
      </c>
      <c r="N32" s="253">
        <f t="shared" si="16"/>
        <v>0</v>
      </c>
      <c r="O32" s="253">
        <f t="shared" si="16"/>
        <v>0</v>
      </c>
      <c r="P32" s="253">
        <f t="shared" si="16"/>
        <v>0</v>
      </c>
      <c r="Q32" s="253">
        <f t="shared" si="16"/>
        <v>0</v>
      </c>
      <c r="R32" s="253">
        <f t="shared" si="16"/>
        <v>0</v>
      </c>
      <c r="S32" s="253">
        <f t="shared" si="16"/>
        <v>0</v>
      </c>
      <c r="T32" s="253" t="s">
        <v>698</v>
      </c>
      <c r="U32" s="253" t="s">
        <v>698</v>
      </c>
      <c r="V32" s="253" t="s">
        <v>698</v>
      </c>
      <c r="W32" s="253" t="s">
        <v>698</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3"/>
      <c r="E40" s="253"/>
      <c r="F40" s="253"/>
      <c r="G40" s="253"/>
      <c r="H40" s="253"/>
      <c r="I40" s="253"/>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3"/>
      <c r="E41" s="253"/>
      <c r="F41" s="253"/>
      <c r="G41" s="253"/>
      <c r="H41" s="253"/>
      <c r="I41" s="253"/>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c r="E44" s="253"/>
      <c r="F44" s="253"/>
      <c r="G44" s="253"/>
      <c r="H44" s="253"/>
      <c r="I44" s="253"/>
      <c r="J44" s="253"/>
      <c r="K44" s="253"/>
      <c r="L44" s="253"/>
      <c r="M44" s="253"/>
      <c r="N44" s="253"/>
      <c r="O44" s="253"/>
      <c r="P44" s="253"/>
      <c r="Q44" s="253"/>
      <c r="R44" s="253"/>
      <c r="S44" s="253"/>
      <c r="T44" s="253"/>
      <c r="U44" s="253"/>
      <c r="V44" s="253"/>
      <c r="W44" s="253"/>
    </row>
    <row r="45" spans="1:26" x14ac:dyDescent="0.4">
      <c r="B45" s="46" t="s">
        <v>206</v>
      </c>
      <c r="C45" s="14"/>
      <c r="D45" s="253"/>
      <c r="E45" s="253"/>
      <c r="F45" s="253"/>
      <c r="G45" s="253"/>
      <c r="H45" s="253"/>
      <c r="I45" s="253"/>
      <c r="J45" s="253"/>
      <c r="K45" s="253"/>
      <c r="L45" s="253"/>
      <c r="M45" s="253"/>
      <c r="N45" s="253"/>
      <c r="O45" s="253"/>
      <c r="P45" s="253"/>
      <c r="Q45" s="253"/>
      <c r="R45" s="253"/>
      <c r="S45" s="253"/>
      <c r="T45" s="253"/>
      <c r="U45" s="253"/>
      <c r="V45" s="253"/>
      <c r="W45" s="253"/>
    </row>
    <row r="46" spans="1:26" x14ac:dyDescent="0.4">
      <c r="B46" s="46" t="s">
        <v>3</v>
      </c>
      <c r="C46" s="14"/>
      <c r="D46" s="253"/>
      <c r="E46" s="253"/>
      <c r="F46" s="253"/>
      <c r="G46" s="253"/>
      <c r="H46" s="253"/>
      <c r="I46" s="253"/>
      <c r="J46" s="253"/>
      <c r="K46" s="253"/>
      <c r="L46" s="253"/>
      <c r="M46" s="253"/>
      <c r="N46" s="253"/>
      <c r="O46" s="253"/>
      <c r="P46" s="253"/>
      <c r="Q46" s="253"/>
      <c r="R46" s="253"/>
      <c r="S46" s="253"/>
      <c r="T46" s="253"/>
      <c r="U46" s="253"/>
      <c r="V46" s="253"/>
      <c r="W46" s="253"/>
    </row>
    <row r="47" spans="1:26" s="14" customFormat="1" x14ac:dyDescent="0.4">
      <c r="A47"/>
      <c r="B47" s="46" t="s">
        <v>1</v>
      </c>
      <c r="D47" s="253"/>
      <c r="E47" s="253"/>
      <c r="F47" s="253"/>
      <c r="G47" s="253"/>
      <c r="H47" s="253"/>
      <c r="I47" s="253"/>
      <c r="J47" s="253"/>
      <c r="K47" s="253"/>
      <c r="L47" s="253"/>
      <c r="M47" s="253"/>
      <c r="N47" s="253"/>
      <c r="O47" s="253"/>
      <c r="P47" s="253"/>
      <c r="Q47" s="253"/>
      <c r="R47" s="253"/>
      <c r="S47" s="253"/>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952</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c r="E72" s="4"/>
      <c r="F72" s="4"/>
      <c r="G72" s="4"/>
      <c r="H72" s="4"/>
      <c r="I72" s="4"/>
      <c r="J72" s="4"/>
    </row>
    <row r="73" spans="1:26" x14ac:dyDescent="0.4">
      <c r="A73" s="212">
        <v>2</v>
      </c>
      <c r="B73" s="238" t="s">
        <v>33</v>
      </c>
      <c r="C73" s="238" t="s">
        <v>73</v>
      </c>
      <c r="D73" s="4"/>
      <c r="E73" s="4"/>
      <c r="F73" s="4"/>
      <c r="G73" s="4"/>
      <c r="H73" s="4"/>
      <c r="I73" s="4"/>
      <c r="J73" s="4"/>
    </row>
    <row r="74" spans="1:26" x14ac:dyDescent="0.4">
      <c r="A74" s="212">
        <v>3</v>
      </c>
      <c r="B74" s="238" t="s">
        <v>34</v>
      </c>
      <c r="C74" s="238" t="s">
        <v>74</v>
      </c>
      <c r="D74" s="4"/>
      <c r="E74" s="4"/>
      <c r="F74" s="4"/>
      <c r="G74" s="4"/>
      <c r="H74" s="4"/>
      <c r="I74" s="4"/>
      <c r="J74" s="4"/>
    </row>
    <row r="75" spans="1:26" x14ac:dyDescent="0.4">
      <c r="A75" s="212">
        <v>4</v>
      </c>
      <c r="B75" s="238" t="s">
        <v>36</v>
      </c>
      <c r="C75" s="238" t="s">
        <v>75</v>
      </c>
      <c r="D75" s="4"/>
      <c r="E75" s="4"/>
      <c r="F75" s="4"/>
      <c r="G75" s="4"/>
      <c r="H75" s="4"/>
      <c r="I75" s="4"/>
      <c r="J75" s="4"/>
    </row>
    <row r="76" spans="1:26" x14ac:dyDescent="0.4">
      <c r="A76" s="212">
        <v>5</v>
      </c>
      <c r="B76" s="238" t="s">
        <v>37</v>
      </c>
      <c r="C76" s="238" t="s">
        <v>76</v>
      </c>
      <c r="D76" s="4"/>
      <c r="E76" s="4"/>
      <c r="F76" s="4"/>
      <c r="G76" s="4"/>
      <c r="H76" s="4"/>
      <c r="I76" s="4"/>
      <c r="J76" s="4"/>
    </row>
    <row r="77" spans="1:26" x14ac:dyDescent="0.4">
      <c r="A77" s="212">
        <v>6</v>
      </c>
      <c r="B77" s="238" t="s">
        <v>38</v>
      </c>
      <c r="C77" s="238" t="s">
        <v>77</v>
      </c>
      <c r="D77" s="4"/>
      <c r="E77" s="4"/>
      <c r="F77" s="4"/>
      <c r="G77" s="4"/>
      <c r="H77" s="4"/>
      <c r="I77" s="4"/>
      <c r="J77" s="4"/>
    </row>
    <row r="78" spans="1:26" x14ac:dyDescent="0.4">
      <c r="A78" s="212">
        <v>7</v>
      </c>
      <c r="B78" s="238" t="s">
        <v>39</v>
      </c>
      <c r="C78" s="238" t="s">
        <v>78</v>
      </c>
      <c r="D78" s="238"/>
      <c r="E78" s="238"/>
      <c r="F78" s="238"/>
      <c r="G78" s="238"/>
      <c r="H78" s="238"/>
      <c r="I78" s="238"/>
      <c r="J78" s="238"/>
    </row>
    <row r="79" spans="1:26" x14ac:dyDescent="0.4">
      <c r="A79" s="212">
        <v>8</v>
      </c>
      <c r="B79" s="238" t="s">
        <v>40</v>
      </c>
      <c r="C79" s="238" t="s">
        <v>79</v>
      </c>
      <c r="D79" s="4"/>
      <c r="E79" s="4"/>
      <c r="F79" s="4"/>
      <c r="G79" s="4"/>
      <c r="H79" s="4"/>
      <c r="I79" s="4"/>
      <c r="J79" s="4"/>
    </row>
    <row r="80" spans="1:26" x14ac:dyDescent="0.4">
      <c r="A80" s="212">
        <v>9</v>
      </c>
      <c r="B80" s="238" t="s">
        <v>41</v>
      </c>
      <c r="C80" s="238"/>
      <c r="D80" s="238"/>
      <c r="E80" s="238"/>
      <c r="F80" s="238"/>
      <c r="G80" s="238"/>
      <c r="H80" s="238"/>
      <c r="I80" s="238"/>
      <c r="J80" s="238"/>
    </row>
    <row r="81" spans="1:10" x14ac:dyDescent="0.4">
      <c r="A81" s="212">
        <v>10</v>
      </c>
      <c r="B81" s="238" t="s">
        <v>42</v>
      </c>
      <c r="C81" s="238"/>
      <c r="D81" s="4"/>
      <c r="E81" s="4"/>
      <c r="F81" s="4"/>
      <c r="G81" s="4"/>
      <c r="H81" s="4"/>
      <c r="I81" s="4"/>
      <c r="J81" s="4"/>
    </row>
    <row r="82" spans="1:10" x14ac:dyDescent="0.4">
      <c r="A82" s="212">
        <v>11</v>
      </c>
      <c r="B82" s="238" t="s">
        <v>43</v>
      </c>
      <c r="C82" s="238"/>
      <c r="D82" s="4"/>
      <c r="E82" s="4"/>
      <c r="F82" s="4"/>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c r="E84" s="4"/>
      <c r="F84" s="4"/>
      <c r="G84" s="4"/>
      <c r="H84" s="4"/>
      <c r="I84" s="4"/>
      <c r="J84" s="4"/>
    </row>
    <row r="85" spans="1:10" x14ac:dyDescent="0.4">
      <c r="A85" s="212">
        <v>13</v>
      </c>
      <c r="B85" s="225" t="s">
        <v>45</v>
      </c>
      <c r="C85" s="225" t="s">
        <v>80</v>
      </c>
      <c r="D85" s="4"/>
      <c r="E85" s="4"/>
      <c r="F85" s="4"/>
      <c r="G85" s="4"/>
      <c r="H85" s="4"/>
      <c r="I85" s="4"/>
      <c r="J85" s="4"/>
    </row>
    <row r="86" spans="1:10" x14ac:dyDescent="0.4">
      <c r="A86" s="212">
        <v>14</v>
      </c>
      <c r="B86" s="225" t="s">
        <v>46</v>
      </c>
      <c r="C86" s="225" t="s">
        <v>28</v>
      </c>
      <c r="D86" s="4"/>
      <c r="E86" s="4"/>
      <c r="F86" s="4"/>
      <c r="G86" s="4"/>
      <c r="H86" s="4"/>
      <c r="I86" s="4"/>
      <c r="J86" s="4"/>
    </row>
    <row r="87" spans="1:10" x14ac:dyDescent="0.4">
      <c r="A87" s="212">
        <v>15</v>
      </c>
      <c r="B87" s="225" t="s">
        <v>47</v>
      </c>
      <c r="C87" s="225" t="s">
        <v>81</v>
      </c>
      <c r="D87" s="4"/>
      <c r="E87" s="4"/>
      <c r="F87" s="4"/>
      <c r="G87" s="4"/>
      <c r="H87" s="4"/>
      <c r="I87" s="4"/>
      <c r="J87" s="4"/>
    </row>
    <row r="88" spans="1:10" x14ac:dyDescent="0.4">
      <c r="A88" s="212">
        <v>16</v>
      </c>
      <c r="B88" s="225" t="s">
        <v>48</v>
      </c>
      <c r="C88" s="225" t="s">
        <v>82</v>
      </c>
      <c r="D88" s="4"/>
      <c r="E88" s="4"/>
      <c r="F88" s="4"/>
      <c r="G88" s="4"/>
      <c r="H88" s="4"/>
      <c r="I88" s="4"/>
      <c r="J88" s="4"/>
    </row>
    <row r="89" spans="1:10" x14ac:dyDescent="0.4">
      <c r="A89" s="212">
        <v>17</v>
      </c>
      <c r="B89" s="225" t="s">
        <v>49</v>
      </c>
      <c r="C89" s="225" t="s">
        <v>83</v>
      </c>
      <c r="D89" s="4"/>
      <c r="E89" s="4"/>
      <c r="F89" s="4"/>
      <c r="G89" s="4"/>
      <c r="H89" s="4"/>
      <c r="I89" s="4"/>
      <c r="J89" s="4"/>
    </row>
    <row r="90" spans="1:10" x14ac:dyDescent="0.4">
      <c r="A90" s="212">
        <v>18</v>
      </c>
      <c r="B90" s="225" t="s">
        <v>50</v>
      </c>
      <c r="C90" s="225" t="s">
        <v>84</v>
      </c>
      <c r="D90" s="4"/>
      <c r="E90" s="4"/>
      <c r="F90" s="4"/>
      <c r="G90" s="4"/>
      <c r="H90" s="4"/>
      <c r="I90" s="4"/>
      <c r="J90" s="4"/>
    </row>
    <row r="91" spans="1:10" x14ac:dyDescent="0.4">
      <c r="A91" s="212">
        <v>19</v>
      </c>
      <c r="B91" s="225" t="s">
        <v>10</v>
      </c>
      <c r="C91" s="225" t="s">
        <v>4</v>
      </c>
      <c r="D91" s="4"/>
      <c r="E91" s="4"/>
      <c r="F91" s="4"/>
      <c r="G91" s="4"/>
      <c r="H91" s="4"/>
      <c r="I91" s="4"/>
      <c r="J91" s="4"/>
    </row>
    <row r="92" spans="1:10" x14ac:dyDescent="0.4">
      <c r="A92" s="212">
        <v>20</v>
      </c>
      <c r="B92" s="225" t="s">
        <v>51</v>
      </c>
      <c r="C92" s="225"/>
      <c r="D92" s="4"/>
      <c r="E92" s="4"/>
      <c r="F92" s="4"/>
      <c r="G92" s="4"/>
      <c r="H92" s="4"/>
      <c r="I92" s="4"/>
      <c r="J92" s="4"/>
    </row>
    <row r="93" spans="1:10" x14ac:dyDescent="0.4">
      <c r="A93" s="212">
        <v>21</v>
      </c>
      <c r="B93" s="225" t="s">
        <v>52</v>
      </c>
      <c r="C93" s="225" t="s">
        <v>85</v>
      </c>
      <c r="D93" s="4"/>
      <c r="E93" s="4"/>
      <c r="F93" s="4"/>
      <c r="G93" s="4"/>
      <c r="H93" s="4"/>
      <c r="I93" s="4"/>
      <c r="J93" s="4"/>
    </row>
    <row r="94" spans="1:10" x14ac:dyDescent="0.4">
      <c r="A94" s="212">
        <v>22</v>
      </c>
      <c r="B94" s="225" t="s">
        <v>53</v>
      </c>
      <c r="C94" s="225" t="s">
        <v>86</v>
      </c>
      <c r="D94" s="4"/>
      <c r="E94" s="4"/>
      <c r="F94" s="4"/>
      <c r="G94" s="4"/>
      <c r="H94" s="4"/>
      <c r="I94" s="4"/>
      <c r="J94" s="4"/>
    </row>
    <row r="95" spans="1:10" x14ac:dyDescent="0.4">
      <c r="A95" s="212">
        <v>23</v>
      </c>
      <c r="B95" s="225" t="s">
        <v>54</v>
      </c>
      <c r="C95" s="225" t="s">
        <v>87</v>
      </c>
      <c r="D95" s="238"/>
      <c r="E95" s="238"/>
      <c r="F95" s="238"/>
      <c r="G95" s="238"/>
      <c r="H95" s="238"/>
      <c r="I95" s="238"/>
      <c r="J95" s="238"/>
    </row>
    <row r="96" spans="1:10" x14ac:dyDescent="0.4">
      <c r="A96" s="212">
        <v>24</v>
      </c>
      <c r="B96" s="225" t="s">
        <v>55</v>
      </c>
      <c r="C96" s="225" t="s">
        <v>79</v>
      </c>
      <c r="D96" s="4"/>
      <c r="E96" s="4"/>
      <c r="F96" s="4"/>
      <c r="G96" s="4"/>
      <c r="H96" s="4"/>
      <c r="I96" s="4"/>
      <c r="J96" s="4"/>
    </row>
    <row r="97" spans="1:10" x14ac:dyDescent="0.4">
      <c r="A97" s="212">
        <v>25</v>
      </c>
      <c r="B97" s="225" t="s">
        <v>56</v>
      </c>
      <c r="C97" s="225"/>
      <c r="D97" s="238"/>
      <c r="E97" s="238"/>
      <c r="F97" s="238"/>
      <c r="G97" s="238"/>
      <c r="H97" s="238"/>
      <c r="I97" s="238"/>
      <c r="J97" s="238"/>
    </row>
    <row r="98" spans="1:10" x14ac:dyDescent="0.4">
      <c r="A98" s="212">
        <v>26</v>
      </c>
      <c r="B98" s="225" t="s">
        <v>751</v>
      </c>
      <c r="C98" s="225"/>
      <c r="D98" s="4"/>
      <c r="E98" s="4"/>
      <c r="F98" s="4"/>
      <c r="G98" s="4"/>
      <c r="H98" s="4"/>
      <c r="I98" s="4"/>
      <c r="J98" s="4"/>
    </row>
    <row r="99" spans="1:10" x14ac:dyDescent="0.4">
      <c r="A99" s="212">
        <v>27</v>
      </c>
      <c r="B99" s="225" t="s">
        <v>57</v>
      </c>
      <c r="C99" s="225"/>
      <c r="D99" s="4"/>
      <c r="E99" s="4"/>
      <c r="F99" s="4"/>
      <c r="G99" s="4"/>
      <c r="H99" s="4"/>
      <c r="I99" s="4"/>
      <c r="J99" s="4"/>
    </row>
    <row r="100" spans="1:10" x14ac:dyDescent="0.4">
      <c r="A100" s="212">
        <v>28</v>
      </c>
      <c r="B100" s="225" t="s">
        <v>58</v>
      </c>
      <c r="C100" s="225"/>
      <c r="D100" s="4"/>
      <c r="E100" s="4"/>
      <c r="F100" s="4"/>
      <c r="G100" s="4"/>
      <c r="H100" s="4"/>
      <c r="I100" s="4"/>
      <c r="J100" s="4"/>
    </row>
    <row r="101" spans="1:10" x14ac:dyDescent="0.4">
      <c r="A101" s="212">
        <v>29</v>
      </c>
      <c r="B101" s="225" t="s">
        <v>59</v>
      </c>
      <c r="C101" s="225"/>
      <c r="D101" s="238"/>
      <c r="E101" s="238"/>
      <c r="F101" s="238"/>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c r="G103" s="4"/>
      <c r="H103" s="4"/>
      <c r="I103" s="4"/>
      <c r="J103" s="4"/>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c r="E105" s="4"/>
      <c r="F105" s="4"/>
      <c r="G105" s="4"/>
      <c r="H105" s="4"/>
      <c r="I105" s="4"/>
      <c r="J105" s="4"/>
    </row>
    <row r="106" spans="1:10" x14ac:dyDescent="0.4">
      <c r="A106" s="212">
        <v>32</v>
      </c>
      <c r="B106" s="225" t="s">
        <v>62</v>
      </c>
      <c r="C106" s="225" t="s">
        <v>88</v>
      </c>
      <c r="D106" s="4"/>
      <c r="E106" s="4"/>
      <c r="F106" s="4"/>
      <c r="G106" s="4"/>
      <c r="H106" s="4"/>
      <c r="I106" s="4"/>
      <c r="J106" s="4"/>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c r="F108" s="4"/>
      <c r="G108" s="4"/>
      <c r="H108" s="4"/>
      <c r="I108" s="4"/>
      <c r="J108" s="4"/>
    </row>
    <row r="109" spans="1:10" ht="14.25" x14ac:dyDescent="0.45">
      <c r="A109" s="212">
        <v>34</v>
      </c>
      <c r="B109" s="239" t="s">
        <v>3</v>
      </c>
      <c r="C109" s="239"/>
      <c r="D109" s="244"/>
      <c r="E109" s="4"/>
      <c r="F109" s="4"/>
      <c r="G109" s="4"/>
      <c r="H109" s="4"/>
      <c r="I109" s="4"/>
      <c r="J109" s="4"/>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c r="E111" s="4"/>
      <c r="F111" s="4"/>
      <c r="G111" s="4"/>
      <c r="H111" s="4"/>
      <c r="I111" s="4"/>
      <c r="J111" s="4"/>
    </row>
    <row r="112" spans="1:10" x14ac:dyDescent="0.4">
      <c r="A112" s="212">
        <v>36</v>
      </c>
      <c r="B112" s="225" t="s">
        <v>2</v>
      </c>
      <c r="C112" s="225"/>
      <c r="D112" s="4"/>
      <c r="E112" s="4"/>
      <c r="F112" s="4"/>
      <c r="G112" s="4"/>
      <c r="H112" s="4"/>
      <c r="I112" s="4"/>
      <c r="J112" s="4"/>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c r="F114" s="4"/>
      <c r="G114" s="4"/>
      <c r="H114" s="4"/>
      <c r="I114" s="4"/>
      <c r="J114" s="4"/>
    </row>
    <row r="115" spans="1:13" ht="14.25" x14ac:dyDescent="0.45">
      <c r="A115" s="212">
        <v>39</v>
      </c>
      <c r="B115" s="240" t="s">
        <v>754</v>
      </c>
      <c r="C115" s="225"/>
      <c r="D115" s="244"/>
      <c r="E115" s="4"/>
      <c r="F115" s="4"/>
      <c r="G115" s="4"/>
      <c r="H115" s="4"/>
      <c r="I115" s="4"/>
      <c r="J115" s="4"/>
    </row>
    <row r="116" spans="1:13" ht="14.25" x14ac:dyDescent="0.45">
      <c r="A116" s="212">
        <v>40</v>
      </c>
      <c r="B116" s="241" t="s">
        <v>755</v>
      </c>
      <c r="C116" s="225"/>
      <c r="D116" s="244"/>
      <c r="E116" s="4"/>
      <c r="F116" s="4"/>
      <c r="G116" s="4"/>
      <c r="H116" s="4"/>
      <c r="I116" s="4"/>
      <c r="J116" s="4"/>
    </row>
    <row r="117" spans="1:13" ht="14.25" x14ac:dyDescent="0.45">
      <c r="A117" s="212">
        <v>41</v>
      </c>
      <c r="B117" s="241" t="s">
        <v>756</v>
      </c>
      <c r="C117" s="225"/>
      <c r="D117" s="244"/>
      <c r="E117" s="4"/>
      <c r="F117" s="4"/>
      <c r="G117" s="4"/>
      <c r="H117" s="4"/>
      <c r="I117" s="4"/>
      <c r="J117" s="4"/>
    </row>
    <row r="118" spans="1:13" ht="14.25" x14ac:dyDescent="0.45">
      <c r="A118" s="212">
        <v>42</v>
      </c>
      <c r="B118" s="241" t="s">
        <v>757</v>
      </c>
      <c r="C118" s="225"/>
      <c r="D118" s="244"/>
      <c r="E118" s="4"/>
      <c r="F118" s="4"/>
      <c r="G118" s="4"/>
      <c r="H118" s="4"/>
      <c r="I118" s="4"/>
      <c r="J118" s="4"/>
    </row>
    <row r="119" spans="1:13" ht="14.25" x14ac:dyDescent="0.45">
      <c r="A119" s="212">
        <v>43</v>
      </c>
      <c r="B119" s="240" t="s">
        <v>758</v>
      </c>
      <c r="C119" s="225"/>
      <c r="D119" s="244"/>
      <c r="E119" s="4"/>
      <c r="F119" s="4"/>
      <c r="G119" s="4"/>
      <c r="H119" s="4"/>
      <c r="I119" s="4"/>
      <c r="J119" s="4"/>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c r="F121" s="4"/>
      <c r="G121" s="4"/>
      <c r="H121" s="4"/>
      <c r="I121" s="4"/>
      <c r="J121" s="4"/>
      <c r="M121" s="4"/>
    </row>
    <row r="122" spans="1:13" x14ac:dyDescent="0.4">
      <c r="A122" s="212"/>
      <c r="B122" s="212"/>
      <c r="C122" s="212"/>
      <c r="D122" s="237" t="s">
        <v>6</v>
      </c>
      <c r="E122" s="237" t="s">
        <v>603</v>
      </c>
      <c r="F122" s="237" t="s">
        <v>603</v>
      </c>
      <c r="G122" s="237" t="s">
        <v>603</v>
      </c>
      <c r="H122" s="237" t="s">
        <v>603</v>
      </c>
      <c r="I122" s="237" t="s">
        <v>603</v>
      </c>
      <c r="J122" s="237" t="s">
        <v>603</v>
      </c>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H130" s="4"/>
      <c r="I130" s="4"/>
      <c r="J130" s="4"/>
    </row>
    <row r="131" spans="1:10" ht="14.25" x14ac:dyDescent="0.45">
      <c r="A131" s="212">
        <v>2</v>
      </c>
      <c r="B131" s="225" t="s">
        <v>8</v>
      </c>
      <c r="C131" s="225"/>
      <c r="D131" s="246"/>
      <c r="H131" s="4"/>
      <c r="I131" s="4"/>
      <c r="J131" s="4"/>
    </row>
    <row r="132" spans="1:10" x14ac:dyDescent="0.4">
      <c r="A132" s="212">
        <v>3</v>
      </c>
      <c r="B132" s="225" t="s">
        <v>9</v>
      </c>
      <c r="C132" s="225" t="s">
        <v>763</v>
      </c>
      <c r="D132" s="144"/>
      <c r="H132" s="4"/>
      <c r="I132" s="4"/>
      <c r="J132" s="4"/>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H134" s="4"/>
      <c r="I134" s="4"/>
      <c r="J134" s="4"/>
    </row>
    <row r="135" spans="1:10" ht="14.25" x14ac:dyDescent="0.45">
      <c r="A135" s="212">
        <v>5</v>
      </c>
      <c r="B135" s="225" t="s">
        <v>767</v>
      </c>
      <c r="C135" s="225" t="s">
        <v>766</v>
      </c>
      <c r="D135" s="246"/>
      <c r="H135" s="4"/>
      <c r="I135" s="4"/>
      <c r="J135" s="4"/>
    </row>
    <row r="136" spans="1:10" ht="14.25" x14ac:dyDescent="0.45">
      <c r="A136" s="212">
        <v>6</v>
      </c>
      <c r="B136" s="225" t="s">
        <v>10</v>
      </c>
      <c r="C136" s="225" t="s">
        <v>4</v>
      </c>
      <c r="D136" s="246"/>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H138" s="4"/>
      <c r="I138" s="4"/>
      <c r="J138" s="4"/>
    </row>
    <row r="139" spans="1:10" ht="14.25" x14ac:dyDescent="0.45">
      <c r="A139" s="212">
        <v>9</v>
      </c>
      <c r="B139" s="225" t="s">
        <v>772</v>
      </c>
      <c r="C139" s="225" t="s">
        <v>773</v>
      </c>
      <c r="D139" s="246"/>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H141" s="4"/>
      <c r="I141" s="4"/>
      <c r="J141" s="4"/>
    </row>
    <row r="142" spans="1:10" ht="14.25" x14ac:dyDescent="0.45">
      <c r="A142" s="212">
        <v>11</v>
      </c>
      <c r="B142" s="243" t="s">
        <v>776</v>
      </c>
      <c r="C142" s="225" t="s">
        <v>769</v>
      </c>
      <c r="D142" s="246"/>
      <c r="H142" s="4"/>
      <c r="I142" s="4"/>
      <c r="J142" s="4"/>
    </row>
    <row r="143" spans="1:10" ht="14.25" x14ac:dyDescent="0.45">
      <c r="A143" s="212">
        <v>12</v>
      </c>
      <c r="B143" s="243" t="s">
        <v>777</v>
      </c>
      <c r="C143" s="225" t="s">
        <v>778</v>
      </c>
      <c r="D143" s="246"/>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H145" s="4"/>
      <c r="I145" s="4"/>
      <c r="J145" s="4"/>
    </row>
    <row r="146" spans="1:10" ht="14.25" x14ac:dyDescent="0.45">
      <c r="A146" s="212">
        <v>14</v>
      </c>
      <c r="B146" s="240" t="s">
        <v>781</v>
      </c>
      <c r="C146" s="225"/>
      <c r="D146" s="246"/>
      <c r="H146" s="4"/>
      <c r="I146" s="4"/>
      <c r="J146" s="4"/>
    </row>
    <row r="147" spans="1:10" ht="14.25" x14ac:dyDescent="0.45">
      <c r="A147" s="212">
        <v>15</v>
      </c>
      <c r="B147" s="225" t="s">
        <v>782</v>
      </c>
      <c r="C147" s="225"/>
      <c r="D147" s="246"/>
      <c r="H147" s="4"/>
      <c r="I147" s="4"/>
      <c r="J147" s="4"/>
    </row>
    <row r="148" spans="1:10" ht="14.25" x14ac:dyDescent="0.45">
      <c r="A148" s="212">
        <v>16</v>
      </c>
      <c r="B148" s="225" t="s">
        <v>783</v>
      </c>
      <c r="C148" s="225"/>
      <c r="D148" s="246"/>
      <c r="H148" s="4"/>
      <c r="I148" s="4"/>
      <c r="J148" s="4"/>
    </row>
    <row r="149" spans="1:10" ht="14.25" x14ac:dyDescent="0.45">
      <c r="A149" s="212">
        <v>17</v>
      </c>
      <c r="B149" s="225" t="s">
        <v>784</v>
      </c>
      <c r="C149" s="225"/>
      <c r="D149" s="246"/>
      <c r="H149" s="4"/>
      <c r="I149" s="4"/>
      <c r="J149" s="4"/>
    </row>
    <row r="150" spans="1:10" ht="14.25" x14ac:dyDescent="0.45">
      <c r="A150" s="212">
        <v>18</v>
      </c>
      <c r="B150" s="225" t="s">
        <v>785</v>
      </c>
      <c r="C150" s="225"/>
      <c r="D150" s="246"/>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c r="E152" s="3"/>
      <c r="G152" s="3"/>
      <c r="H152" s="64"/>
      <c r="I152" s="64"/>
      <c r="J152" s="64"/>
    </row>
    <row r="153" spans="1:10" x14ac:dyDescent="0.4">
      <c r="A153" s="212">
        <v>20</v>
      </c>
      <c r="B153" s="225" t="s">
        <v>789</v>
      </c>
      <c r="C153" s="225"/>
      <c r="D153" s="144"/>
      <c r="H153" s="4"/>
      <c r="I153" s="4"/>
      <c r="J153" s="4"/>
    </row>
    <row r="154" spans="1:10" ht="14.25" x14ac:dyDescent="0.45">
      <c r="A154" s="212">
        <v>21</v>
      </c>
      <c r="B154" s="225" t="s">
        <v>790</v>
      </c>
      <c r="C154" s="225"/>
      <c r="D154" s="246"/>
      <c r="H154" s="4"/>
      <c r="I154" s="4"/>
      <c r="J154" s="4"/>
    </row>
    <row r="155" spans="1:10" ht="14.25" x14ac:dyDescent="0.45">
      <c r="A155" s="212">
        <v>22</v>
      </c>
      <c r="B155" s="225" t="s">
        <v>791</v>
      </c>
      <c r="C155" s="225"/>
      <c r="D155" s="246"/>
      <c r="H155" s="4"/>
      <c r="I155" s="4"/>
      <c r="J155" s="4"/>
    </row>
    <row r="156" spans="1:10" x14ac:dyDescent="0.4">
      <c r="A156" s="212">
        <v>23</v>
      </c>
      <c r="B156" s="225" t="s">
        <v>792</v>
      </c>
      <c r="C156" s="225" t="s">
        <v>5</v>
      </c>
      <c r="D156" s="144"/>
      <c r="H156" s="4"/>
      <c r="I156" s="4"/>
      <c r="J156" s="4"/>
    </row>
    <row r="157" spans="1:10" x14ac:dyDescent="0.4">
      <c r="A157" s="212">
        <v>24</v>
      </c>
      <c r="B157" s="225" t="s">
        <v>793</v>
      </c>
      <c r="C157" s="225"/>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H161" s="4"/>
      <c r="I161" s="4"/>
      <c r="J161" s="4"/>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H163" s="4"/>
      <c r="I163" s="4"/>
      <c r="J163" s="4"/>
    </row>
    <row r="164" spans="1:26" ht="14.25" x14ac:dyDescent="0.45">
      <c r="A164" s="212">
        <v>28</v>
      </c>
      <c r="B164" s="240" t="s">
        <v>799</v>
      </c>
      <c r="C164" s="225"/>
      <c r="D164" s="246"/>
      <c r="H164" s="4"/>
      <c r="I164" s="4"/>
      <c r="J164" s="4"/>
    </row>
    <row r="165" spans="1:26" ht="14.25" x14ac:dyDescent="0.45">
      <c r="A165" s="212">
        <v>29</v>
      </c>
      <c r="B165" s="240" t="s">
        <v>800</v>
      </c>
      <c r="C165" s="225"/>
      <c r="D165" s="246"/>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c r="H167" s="4"/>
      <c r="I167" s="4"/>
      <c r="J167" s="4"/>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c r="F172" s="197"/>
      <c r="G172" s="197"/>
      <c r="H172" s="197"/>
      <c r="I172" s="197"/>
      <c r="J172" s="197"/>
      <c r="K172" s="198"/>
      <c r="L172" s="198"/>
      <c r="M172" s="198"/>
      <c r="N172" s="198"/>
      <c r="O172" s="198"/>
      <c r="P172" s="198"/>
      <c r="Q172" s="198"/>
      <c r="R172" s="198"/>
      <c r="S172" s="198"/>
      <c r="T172" s="198"/>
      <c r="U172" s="198"/>
      <c r="V172" s="198"/>
      <c r="W172" s="198"/>
    </row>
    <row r="173" spans="1:26" x14ac:dyDescent="0.4">
      <c r="A173" s="194">
        <v>2</v>
      </c>
      <c r="B173" s="195" t="s">
        <v>836</v>
      </c>
      <c r="C173" s="196" t="s">
        <v>837</v>
      </c>
      <c r="D173" s="196"/>
      <c r="E173" s="197"/>
      <c r="F173" s="197"/>
      <c r="G173" s="197"/>
      <c r="H173" s="197"/>
      <c r="I173" s="197"/>
      <c r="J173" s="197"/>
      <c r="K173" s="198"/>
      <c r="L173" s="198"/>
      <c r="M173" s="198"/>
      <c r="N173" s="198"/>
      <c r="O173" s="198"/>
      <c r="P173" s="198"/>
      <c r="Q173" s="198"/>
      <c r="R173" s="198"/>
      <c r="S173" s="198"/>
      <c r="T173" s="198"/>
      <c r="U173" s="198"/>
      <c r="V173" s="198"/>
      <c r="W173" s="198"/>
    </row>
    <row r="174" spans="1:26" x14ac:dyDescent="0.4">
      <c r="A174" s="194">
        <v>3</v>
      </c>
      <c r="B174" s="195" t="s">
        <v>3</v>
      </c>
      <c r="C174" s="196" t="s">
        <v>838</v>
      </c>
      <c r="D174" s="196"/>
      <c r="E174" s="197"/>
      <c r="F174" s="197"/>
      <c r="G174" s="197"/>
      <c r="H174" s="197"/>
      <c r="I174" s="197"/>
      <c r="J174" s="197"/>
      <c r="K174" s="198"/>
      <c r="L174" s="198"/>
      <c r="M174" s="198"/>
      <c r="N174" s="198"/>
      <c r="O174" s="198"/>
      <c r="P174" s="198"/>
      <c r="Q174" s="198"/>
      <c r="R174" s="198"/>
      <c r="S174" s="198"/>
      <c r="T174" s="198"/>
      <c r="U174" s="198"/>
      <c r="V174" s="198"/>
      <c r="W174" s="198"/>
    </row>
    <row r="175" spans="1:26" x14ac:dyDescent="0.4">
      <c r="A175" s="194">
        <v>4</v>
      </c>
      <c r="B175" s="195" t="s">
        <v>839</v>
      </c>
      <c r="C175" s="196"/>
      <c r="D175" s="196"/>
      <c r="E175" s="197"/>
      <c r="F175" s="197"/>
      <c r="G175" s="197"/>
      <c r="H175" s="197"/>
      <c r="I175" s="197"/>
      <c r="J175" s="197"/>
      <c r="K175" s="198"/>
      <c r="L175" s="198"/>
      <c r="M175" s="198"/>
      <c r="N175" s="198"/>
      <c r="O175" s="198"/>
      <c r="P175" s="198"/>
      <c r="Q175" s="198"/>
      <c r="R175" s="198"/>
      <c r="S175" s="198"/>
      <c r="T175" s="198"/>
      <c r="U175" s="198"/>
      <c r="V175" s="198"/>
      <c r="W175" s="198"/>
    </row>
    <row r="176" spans="1:26" x14ac:dyDescent="0.4">
      <c r="A176" s="194">
        <v>5</v>
      </c>
      <c r="B176" s="195" t="s">
        <v>840</v>
      </c>
      <c r="C176" s="196"/>
      <c r="D176" s="196"/>
      <c r="E176" s="197"/>
      <c r="F176" s="197"/>
      <c r="G176" s="197"/>
      <c r="H176" s="197"/>
      <c r="I176" s="197"/>
      <c r="J176" s="197"/>
      <c r="K176" s="197"/>
      <c r="L176" s="197"/>
      <c r="M176" s="197"/>
      <c r="N176" s="197"/>
      <c r="O176" s="197"/>
      <c r="P176" s="197"/>
      <c r="Q176" s="197"/>
      <c r="R176" s="197"/>
      <c r="S176" s="197"/>
      <c r="T176" s="197"/>
      <c r="U176" s="197"/>
      <c r="V176" s="197"/>
      <c r="W176" s="197"/>
    </row>
    <row r="177" spans="1:26" x14ac:dyDescent="0.4">
      <c r="A177" s="194">
        <v>6</v>
      </c>
      <c r="B177" s="195" t="s">
        <v>25</v>
      </c>
      <c r="C177" s="196" t="s">
        <v>841</v>
      </c>
      <c r="D177" s="196"/>
      <c r="E177" s="197"/>
      <c r="F177" s="197"/>
      <c r="G177" s="197"/>
      <c r="H177" s="197"/>
      <c r="I177" s="197"/>
      <c r="J177" s="197"/>
      <c r="K177" s="198"/>
      <c r="L177" s="198"/>
      <c r="M177" s="198"/>
      <c r="N177" s="198"/>
      <c r="O177" s="198"/>
      <c r="P177" s="198"/>
      <c r="Q177" s="198"/>
      <c r="R177" s="198"/>
      <c r="S177" s="198"/>
      <c r="T177" s="198"/>
      <c r="U177" s="198"/>
      <c r="V177" s="198"/>
      <c r="W177" s="198"/>
    </row>
    <row r="178" spans="1:26" x14ac:dyDescent="0.4">
      <c r="A178" s="194">
        <v>7</v>
      </c>
      <c r="B178" s="199" t="s">
        <v>842</v>
      </c>
      <c r="C178" s="196" t="s">
        <v>843</v>
      </c>
      <c r="D178" s="196"/>
      <c r="E178" s="197"/>
      <c r="F178" s="197"/>
      <c r="G178" s="197"/>
      <c r="H178" s="197"/>
      <c r="I178" s="197"/>
      <c r="J178" s="197"/>
      <c r="K178" s="198"/>
      <c r="L178" s="198"/>
      <c r="M178" s="198"/>
      <c r="N178" s="198"/>
      <c r="O178" s="198"/>
      <c r="P178" s="198"/>
      <c r="Q178" s="198"/>
      <c r="R178" s="198"/>
      <c r="S178" s="198"/>
      <c r="T178" s="198"/>
      <c r="U178" s="198"/>
      <c r="V178" s="198"/>
      <c r="W178" s="198"/>
    </row>
    <row r="179" spans="1:26" x14ac:dyDescent="0.4">
      <c r="A179" s="194">
        <v>8</v>
      </c>
      <c r="B179" s="199" t="s">
        <v>844</v>
      </c>
      <c r="C179" s="196" t="s">
        <v>845</v>
      </c>
      <c r="D179" s="196"/>
      <c r="E179" s="197"/>
      <c r="F179" s="197"/>
      <c r="G179" s="197"/>
      <c r="H179" s="197"/>
      <c r="I179" s="197"/>
      <c r="J179" s="197"/>
      <c r="K179" s="198"/>
      <c r="L179" s="198"/>
      <c r="M179" s="198"/>
      <c r="N179" s="198"/>
      <c r="O179" s="198"/>
      <c r="P179" s="198"/>
      <c r="Q179" s="198"/>
      <c r="R179" s="198"/>
      <c r="S179" s="198"/>
      <c r="T179" s="198"/>
      <c r="U179" s="198"/>
      <c r="V179" s="198"/>
      <c r="W179" s="198"/>
    </row>
    <row r="180" spans="1:26" s="189" customFormat="1" ht="16.5" x14ac:dyDescent="0.6">
      <c r="A180" s="194">
        <v>9</v>
      </c>
      <c r="B180" s="195" t="s">
        <v>846</v>
      </c>
      <c r="C180" s="196" t="s">
        <v>847</v>
      </c>
      <c r="D180" s="196"/>
      <c r="E180" s="197"/>
      <c r="F180" s="197"/>
      <c r="G180" s="197"/>
      <c r="H180" s="197"/>
      <c r="I180" s="197"/>
      <c r="J180" s="197"/>
      <c r="K180" s="197"/>
      <c r="L180" s="197"/>
      <c r="M180" s="197"/>
      <c r="N180" s="197"/>
      <c r="O180" s="197"/>
      <c r="P180" s="197"/>
      <c r="Q180" s="197"/>
      <c r="R180" s="197"/>
      <c r="S180" s="197"/>
      <c r="T180" s="197"/>
      <c r="U180" s="197"/>
      <c r="V180" s="197"/>
      <c r="W180" s="197"/>
      <c r="X180"/>
      <c r="Y180"/>
      <c r="Z180"/>
    </row>
    <row r="181" spans="1:26" x14ac:dyDescent="0.4">
      <c r="A181" s="194">
        <v>10</v>
      </c>
      <c r="B181" s="195" t="s">
        <v>848</v>
      </c>
      <c r="C181" s="196" t="s">
        <v>849</v>
      </c>
      <c r="D181" s="196"/>
      <c r="E181" s="197"/>
      <c r="F181" s="197"/>
      <c r="G181" s="197"/>
      <c r="H181" s="197"/>
      <c r="I181" s="197"/>
      <c r="J181" s="197"/>
      <c r="K181" s="198"/>
      <c r="L181" s="198"/>
      <c r="M181" s="198"/>
      <c r="N181" s="198"/>
      <c r="O181" s="198"/>
      <c r="P181" s="198"/>
      <c r="Q181" s="198"/>
      <c r="R181" s="198"/>
      <c r="S181" s="198"/>
      <c r="T181" s="198"/>
      <c r="U181" s="198"/>
      <c r="V181" s="198"/>
      <c r="W181" s="198"/>
    </row>
    <row r="182" spans="1:26" x14ac:dyDescent="0.4">
      <c r="A182" s="194">
        <v>11</v>
      </c>
      <c r="B182" s="200" t="s">
        <v>850</v>
      </c>
      <c r="C182" s="196" t="s">
        <v>851</v>
      </c>
      <c r="D182" s="196"/>
      <c r="E182" s="197"/>
      <c r="F182" s="197"/>
      <c r="G182" s="197"/>
      <c r="H182" s="197"/>
      <c r="I182" s="197"/>
      <c r="J182" s="197"/>
      <c r="K182" s="198"/>
      <c r="L182" s="198"/>
      <c r="M182" s="198"/>
      <c r="N182" s="198"/>
      <c r="O182" s="198"/>
      <c r="P182" s="198"/>
      <c r="Q182" s="198"/>
      <c r="R182" s="198"/>
      <c r="S182" s="198"/>
      <c r="T182" s="198"/>
      <c r="U182" s="198"/>
      <c r="V182" s="198"/>
      <c r="W182" s="198"/>
    </row>
    <row r="183" spans="1:26" x14ac:dyDescent="0.4">
      <c r="A183" s="194">
        <v>12</v>
      </c>
      <c r="B183" s="200" t="s">
        <v>7</v>
      </c>
      <c r="C183" s="196" t="s">
        <v>852</v>
      </c>
      <c r="D183" s="196"/>
      <c r="E183" s="197"/>
      <c r="F183" s="197"/>
      <c r="G183" s="197"/>
      <c r="H183" s="197"/>
      <c r="I183" s="197"/>
      <c r="J183" s="197"/>
      <c r="K183" s="198"/>
      <c r="L183" s="198"/>
      <c r="M183" s="198"/>
      <c r="N183" s="198"/>
      <c r="O183" s="198"/>
      <c r="P183" s="198"/>
      <c r="Q183" s="198"/>
      <c r="R183" s="198"/>
      <c r="S183" s="198"/>
      <c r="T183" s="198"/>
      <c r="U183" s="198"/>
      <c r="V183" s="198"/>
      <c r="W183" s="198"/>
    </row>
    <row r="184" spans="1:26" x14ac:dyDescent="0.4">
      <c r="A184" s="194">
        <v>13</v>
      </c>
      <c r="B184" s="201" t="s">
        <v>8</v>
      </c>
      <c r="C184" s="196" t="s">
        <v>853</v>
      </c>
      <c r="D184" s="196"/>
      <c r="E184" s="197"/>
      <c r="F184" s="197"/>
      <c r="G184" s="197"/>
      <c r="H184" s="197"/>
      <c r="I184" s="197"/>
      <c r="J184" s="197"/>
      <c r="K184" s="198"/>
      <c r="L184" s="198"/>
      <c r="M184" s="198"/>
      <c r="N184" s="198"/>
      <c r="O184" s="198"/>
      <c r="P184" s="198"/>
      <c r="Q184" s="198"/>
      <c r="R184" s="198"/>
      <c r="S184" s="198"/>
      <c r="T184" s="198"/>
      <c r="U184" s="198"/>
      <c r="V184" s="198"/>
      <c r="W184" s="198"/>
    </row>
    <row r="185" spans="1:26" x14ac:dyDescent="0.4">
      <c r="A185" s="202">
        <v>14</v>
      </c>
      <c r="B185" s="203" t="s">
        <v>9</v>
      </c>
      <c r="C185" s="204" t="s">
        <v>854</v>
      </c>
      <c r="D185" s="204"/>
      <c r="E185" s="205"/>
      <c r="F185" s="205"/>
      <c r="G185" s="205"/>
      <c r="H185" s="205"/>
      <c r="I185" s="205"/>
      <c r="J185" s="205"/>
      <c r="K185" s="205"/>
      <c r="L185" s="205"/>
      <c r="M185" s="205"/>
      <c r="N185" s="205"/>
      <c r="O185" s="205"/>
      <c r="P185" s="205"/>
      <c r="Q185" s="205"/>
      <c r="R185" s="205"/>
      <c r="S185" s="205"/>
      <c r="T185" s="205"/>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842</v>
      </c>
      <c r="C190" s="196" t="s">
        <v>843</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844</v>
      </c>
      <c r="C191" s="196" t="s">
        <v>845</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838</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842</v>
      </c>
      <c r="C197" s="196" t="s">
        <v>843</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844</v>
      </c>
      <c r="C198" s="196" t="s">
        <v>845</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852</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850</v>
      </c>
      <c r="C200" s="196" t="s">
        <v>851</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row>
    <row r="207" spans="1:23" x14ac:dyDescent="0.4">
      <c r="A207" s="224">
        <v>2</v>
      </c>
      <c r="B207" s="225" t="s">
        <v>836</v>
      </c>
      <c r="C207" s="225" t="s">
        <v>837</v>
      </c>
      <c r="D207" s="225"/>
    </row>
    <row r="208" spans="1:23" x14ac:dyDescent="0.4">
      <c r="A208" s="224">
        <v>3</v>
      </c>
      <c r="B208" s="225" t="s">
        <v>3</v>
      </c>
      <c r="C208" s="225" t="s">
        <v>838</v>
      </c>
      <c r="D208" s="225"/>
    </row>
    <row r="209" spans="1:23" x14ac:dyDescent="0.4">
      <c r="A209" s="224">
        <v>4</v>
      </c>
      <c r="B209" s="225" t="s">
        <v>839</v>
      </c>
      <c r="C209" s="225"/>
      <c r="D209" s="225"/>
    </row>
    <row r="210" spans="1:23" x14ac:dyDescent="0.4">
      <c r="A210" s="224">
        <v>5</v>
      </c>
      <c r="B210" s="225" t="s">
        <v>25</v>
      </c>
      <c r="C210" s="225" t="s">
        <v>841</v>
      </c>
      <c r="D210" s="225"/>
    </row>
    <row r="211" spans="1:23" x14ac:dyDescent="0.4">
      <c r="A211" s="224">
        <v>6</v>
      </c>
      <c r="B211" s="225" t="s">
        <v>842</v>
      </c>
      <c r="C211" s="225" t="s">
        <v>843</v>
      </c>
      <c r="D211" s="225"/>
    </row>
    <row r="212" spans="1:23" x14ac:dyDescent="0.4">
      <c r="A212" s="224">
        <v>7</v>
      </c>
      <c r="B212" s="225" t="s">
        <v>844</v>
      </c>
      <c r="C212" s="225" t="s">
        <v>845</v>
      </c>
      <c r="D212" s="225"/>
    </row>
    <row r="213" spans="1:23" x14ac:dyDescent="0.4">
      <c r="A213" s="224">
        <v>8</v>
      </c>
      <c r="B213" s="225" t="s">
        <v>846</v>
      </c>
      <c r="C213" s="225" t="s">
        <v>847</v>
      </c>
      <c r="D213" s="225"/>
    </row>
    <row r="214" spans="1:23" x14ac:dyDescent="0.4">
      <c r="A214" s="224">
        <v>9</v>
      </c>
      <c r="B214" s="225" t="s">
        <v>850</v>
      </c>
      <c r="C214" s="225" t="s">
        <v>851</v>
      </c>
      <c r="D214" s="225"/>
    </row>
    <row r="215" spans="1:23" x14ac:dyDescent="0.4">
      <c r="A215" s="224">
        <v>10</v>
      </c>
      <c r="B215" s="225" t="s">
        <v>7</v>
      </c>
      <c r="C215" s="225" t="s">
        <v>852</v>
      </c>
      <c r="D215" s="225"/>
    </row>
    <row r="216" spans="1:23" x14ac:dyDescent="0.4">
      <c r="A216" s="224">
        <v>11</v>
      </c>
      <c r="B216" s="225" t="s">
        <v>8</v>
      </c>
      <c r="C216" s="225" t="s">
        <v>853</v>
      </c>
      <c r="D216" s="225"/>
    </row>
    <row r="217" spans="1:23" x14ac:dyDescent="0.4">
      <c r="A217" s="224">
        <v>12</v>
      </c>
      <c r="B217" s="225" t="s">
        <v>9</v>
      </c>
      <c r="C217" s="225" t="s">
        <v>854</v>
      </c>
      <c r="D217" s="225"/>
    </row>
    <row r="218" spans="1:23" x14ac:dyDescent="0.4">
      <c r="A218" s="226">
        <v>13</v>
      </c>
      <c r="B218" s="227" t="s">
        <v>858</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860</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861</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862</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863</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30" priority="21">
      <formula>ISNUMBER(D4)</formula>
    </cfRule>
  </conditionalFormatting>
  <conditionalFormatting sqref="D4:N4">
    <cfRule type="expression" dxfId="129" priority="20">
      <formula>ISNUMBER(D4)</formula>
    </cfRule>
  </conditionalFormatting>
  <conditionalFormatting sqref="D19:K19">
    <cfRule type="expression" dxfId="128" priority="19">
      <formula>ISNUMBER(D$4)</formula>
    </cfRule>
  </conditionalFormatting>
  <conditionalFormatting sqref="D63:W63">
    <cfRule type="expression" dxfId="127" priority="18">
      <formula>ISNUMBER(D37)</formula>
    </cfRule>
  </conditionalFormatting>
  <conditionalFormatting sqref="D37:W37">
    <cfRule type="expression" dxfId="126" priority="17">
      <formula>ISNUMBER(D37)</formula>
    </cfRule>
  </conditionalFormatting>
  <conditionalFormatting sqref="D22:W22 D38:W38">
    <cfRule type="expression" dxfId="125" priority="16">
      <formula>ISNUMBER(D21)</formula>
    </cfRule>
  </conditionalFormatting>
  <conditionalFormatting sqref="D21:W21">
    <cfRule type="expression" dxfId="124" priority="15">
      <formula>ISNUMBER(D21)</formula>
    </cfRule>
  </conditionalFormatting>
  <conditionalFormatting sqref="D33:W33">
    <cfRule type="expression" dxfId="123" priority="14">
      <formula>ISNUMBER(D$21)</formula>
    </cfRule>
  </conditionalFormatting>
  <conditionalFormatting sqref="D40:Z41">
    <cfRule type="expression" dxfId="122" priority="13">
      <formula>AND(D$37=AdjustmentPeriodEnd, Receives_reference_trajectory=FALSE)</formula>
    </cfRule>
  </conditionalFormatting>
  <conditionalFormatting sqref="D25:Z25 D27:Z27 D44:Z47">
    <cfRule type="expression" dxfId="121" priority="12">
      <formula>AND(D$37&lt;&gt;"", Receives_reference_trajectory=FALSE)</formula>
    </cfRule>
  </conditionalFormatting>
  <conditionalFormatting sqref="D33">
    <cfRule type="expression" dxfId="120" priority="9">
      <formula>AND(Receives_reference_trajectory=TRUE,D$21&lt;&gt;"")</formula>
    </cfRule>
  </conditionalFormatting>
  <conditionalFormatting sqref="D25:Z25 D29:Z32 D27:Z27">
    <cfRule type="expression" dxfId="119" priority="8">
      <formula>AND(Receives_reference_trajectory=TRUE,D$21&lt;&gt;"")</formula>
    </cfRule>
  </conditionalFormatting>
  <conditionalFormatting sqref="D49:Z52 D29:S32 D44:Z47">
    <cfRule type="expression" dxfId="118" priority="7">
      <formula>AND(Receives_reference_trajectory,D$37&lt;&gt;"")</formula>
    </cfRule>
  </conditionalFormatting>
  <conditionalFormatting sqref="F39:L39">
    <cfRule type="expression" dxfId="117" priority="6">
      <formula>AND(Receives_reference_trajectory,F$38&lt;&gt;"")</formula>
    </cfRule>
  </conditionalFormatting>
  <conditionalFormatting sqref="D54:Z62">
    <cfRule type="expression" dxfId="116" priority="5">
      <formula>AND(D$37&gt;AdjustmentPeriodEnd,D$37&lt;=StochasticLastYear,Receives_reference_trajectory)</formula>
    </cfRule>
  </conditionalFormatting>
  <conditionalFormatting sqref="D63:Z63">
    <cfRule type="expression" dxfId="115" priority="4">
      <formula>AND(D$37&gt;AdjustmentPeriodEnd,D$37&lt;=StochasticLastYear,Receives_reference_trajectory)</formula>
    </cfRule>
  </conditionalFormatting>
  <conditionalFormatting sqref="O6">
    <cfRule type="expression" dxfId="114" priority="760">
      <formula>ISNUMBER(AA14)</formula>
    </cfRule>
  </conditionalFormatting>
  <conditionalFormatting sqref="D29:W33">
    <cfRule type="expression" dxfId="113" priority="2">
      <formula>NOT(Receives_reference_trajectory)</formula>
    </cfRule>
  </conditionalFormatting>
  <conditionalFormatting sqref="G6:M16">
    <cfRule type="expression" dxfId="112" priority="1">
      <formula>NOT(ISNUMBER(G$4))</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Select country's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4"/>
      <c r="L4" s="158"/>
    </row>
    <row r="5" spans="1:27" x14ac:dyDescent="0.45">
      <c r="A5" s="20"/>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Select country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Select country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Select IFI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Select IFI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Select country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N/A</v>
      </c>
      <c r="F14" s="22" t="str">
        <f>Assessment!C236</f>
        <v>N/A</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Select country's latest MTP adheres to the Commission's reference trajectory.</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Select country's planned net expenditure ensures gross government debt remains at prudent levels below 60% over the medium-term.</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Select country's net expenditure path maintains the government deficit below 3% of GDP throughout the adjustment period and over the medium term.</v>
      </c>
    </row>
    <row r="18" spans="1:34" ht="19.149999999999999" customHeight="1" x14ac:dyDescent="0.7">
      <c r="A18" s="112" t="s">
        <v>401</v>
      </c>
      <c r="B18" s="78" t="s">
        <v>500</v>
      </c>
      <c r="C18" s="78" t="s">
        <v>923</v>
      </c>
      <c r="D18" s="75" t="str">
        <f t="shared" si="0"/>
        <v>☑</v>
      </c>
      <c r="E18" s="27" t="str">
        <f>IF(Receives_reference_trajectory,IF(Assessment!C294,"Compliant","Breach"),"N/A")</f>
        <v>Compliant</v>
      </c>
      <c r="F18" s="22" t="str">
        <f>Assessment!C296</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Select country.</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The debt sustainability safeguard does not apply.</v>
      </c>
      <c r="F21" s="22" t="str">
        <f>Assessment!C319</f>
        <v>The debt sustainability safeguard does not apply as Select country's debt is below 60%.</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The deficit resilience safeguard does not apply, as the structural deficit does not exceed 1.5% of GDP during the adjustment period.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N/A</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Select country's latest MTP adheres to the Commission's reference trajectory and it meets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955</v>
      </c>
      <c r="C2" s="179">
        <v>2023</v>
      </c>
    </row>
    <row r="4" spans="1:14" ht="23.25" x14ac:dyDescent="0.7">
      <c r="A4" s="13" t="s">
        <v>802</v>
      </c>
    </row>
    <row r="5" spans="1:14" x14ac:dyDescent="0.4">
      <c r="A5" s="234"/>
      <c r="B5" s="234"/>
      <c r="C5" s="234"/>
      <c r="D5" s="272">
        <f>C2</f>
        <v>2023</v>
      </c>
      <c r="E5" s="272" cm="1">
        <f t="array" ref="E5:G5">_xlfn.SEQUENCE(1, AssessmentEnd-C2+1, C2)</f>
        <v>2023</v>
      </c>
      <c r="F5" s="272">
        <v>2024</v>
      </c>
      <c r="G5" s="272">
        <v>2025</v>
      </c>
      <c r="H5" s="272"/>
      <c r="I5" s="272"/>
      <c r="J5" s="272"/>
      <c r="K5" s="272"/>
      <c r="L5" s="272"/>
      <c r="M5" s="272"/>
    </row>
    <row r="6" spans="1:14" x14ac:dyDescent="0.4">
      <c r="A6" s="212"/>
      <c r="B6" s="212" t="s">
        <v>30</v>
      </c>
      <c r="C6" s="212" t="s">
        <v>31</v>
      </c>
      <c r="D6" s="272" t="s">
        <v>6</v>
      </c>
      <c r="E6" s="272" t="str" cm="1">
        <f t="array" ref="E6:G6">IF(ISNUMBER(_xlfn.ANCHORARRAY(E$5)),"% of GDP","")</f>
        <v>% of GDP</v>
      </c>
      <c r="F6" s="272" t="str">
        <v>% of GDP</v>
      </c>
      <c r="G6" s="272" t="str">
        <v>% of GDP</v>
      </c>
      <c r="H6" s="272"/>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G18">IF(ISNUMBER(_xlfn.ANCHORARRAY(E$5)),"% of GDP","")</f>
        <v>% of GDP</v>
      </c>
      <c r="F18" s="272" t="str">
        <v>% of GDP</v>
      </c>
      <c r="G18" s="272" t="str">
        <v>% of GDP</v>
      </c>
      <c r="H18" s="272"/>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G37">IF(ISNUMBER(_xlfn.ANCHORARRAY(E$5)),"growth rate","")</f>
        <v>growth rate</v>
      </c>
      <c r="F37" s="272" t="str">
        <v>growth rate</v>
      </c>
      <c r="G37" s="272" t="str">
        <v>growth rate</v>
      </c>
      <c r="H37" s="272"/>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G55">IF(ISNUMBER(_xlfn.ANCHORARRAY(E$37)),"%","")</f>
        <v/>
      </c>
      <c r="F55" s="272" t="str">
        <v/>
      </c>
      <c r="G55" s="272" t="str">
        <v/>
      </c>
      <c r="H55" s="272"/>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G63">_xlfn.SEQUENCE(1, AssessmentEnd-C2+1, C2)</f>
        <v>2023</v>
      </c>
      <c r="F63" s="272">
        <v>2024</v>
      </c>
      <c r="G63" s="272">
        <v>2025</v>
      </c>
      <c r="H63" s="272"/>
      <c r="I63" s="272"/>
      <c r="J63" s="272"/>
      <c r="K63" s="272"/>
      <c r="L63" s="272"/>
      <c r="M63" s="272"/>
    </row>
    <row r="64" spans="1:13" x14ac:dyDescent="0.4">
      <c r="A64" s="212"/>
      <c r="B64" s="212"/>
      <c r="C64" s="212"/>
      <c r="D64" s="272" t="s">
        <v>6</v>
      </c>
      <c r="E64" s="272" t="str" cm="1">
        <f t="array" ref="E64:G64">IF(ISNUMBER(_xlfn.ANCHORARRAY(E$37)),"growth rate","")</f>
        <v/>
      </c>
      <c r="F64" s="272" t="str">
        <v/>
      </c>
      <c r="G64" s="272" t="str">
        <v/>
      </c>
      <c r="H64" s="272"/>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G68">IF(ISNUMBER(_xlfn.ANCHORARRAY(E$37)),"growth rate","")</f>
        <v/>
      </c>
      <c r="F68" s="272" t="str">
        <v/>
      </c>
      <c r="G68" s="272" t="str">
        <v/>
      </c>
      <c r="H68" s="272"/>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G79">IF(ISNUMBER(_xlfn.ANCHORARRAY(E$37)),"growth rate","")</f>
        <v/>
      </c>
      <c r="F79" s="272" t="str">
        <v/>
      </c>
      <c r="G79" s="272" t="str">
        <v/>
      </c>
      <c r="H79" s="272"/>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G86">IF(ISNUMBER(_xlfn.ANCHORARRAY(E$37)),"growth rate","")</f>
        <v/>
      </c>
      <c r="F86" s="272" t="str">
        <v/>
      </c>
      <c r="G86" s="272" t="str">
        <v/>
      </c>
      <c r="H86" s="272"/>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G93">IF(ISNUMBER(_xlfn.ANCHORARRAY(E$37)),"%","")</f>
        <v/>
      </c>
      <c r="F93" s="272" t="str">
        <v/>
      </c>
      <c r="G93" s="272" t="str">
        <v/>
      </c>
      <c r="H93" s="272"/>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G95">IF(ISNUMBER(_xlfn.ANCHORARRAY(E$37)),"growth rate","")</f>
        <v/>
      </c>
      <c r="F95" s="272" t="str">
        <v/>
      </c>
      <c r="G95" s="272" t="str">
        <v/>
      </c>
      <c r="H95" s="272"/>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G101">IF(ISNUMBER(_xlfn.ANCHORARRAY(E$37)),"% pot. GDP","")</f>
        <v/>
      </c>
      <c r="F101" s="272" t="str">
        <v/>
      </c>
      <c r="G101" s="272" t="str">
        <v/>
      </c>
      <c r="H101" s="272"/>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v>
      </c>
    </row>
    <row r="3" spans="2:23" customFormat="1" ht="15.75" x14ac:dyDescent="0.5">
      <c r="B3" s="79"/>
    </row>
    <row r="4" spans="2:23" customFormat="1" ht="14.65" customHeight="1" x14ac:dyDescent="0.4">
      <c r="B4" s="39" t="s">
        <v>251</v>
      </c>
      <c r="C4" s="94"/>
      <c r="D4" s="44" cm="1">
        <f t="array" ref="D4:F4">_xlfn.SEQUENCE(1, AssessmentEnd-MTP_BaseYear+1, MTP_BaseYear)</f>
        <v>2023</v>
      </c>
      <c r="E4" s="44">
        <v>2024</v>
      </c>
      <c r="F4" s="44">
        <v>2025</v>
      </c>
      <c r="G4" s="44"/>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F5">IF(
  AND(_xlfn.ANCHORARRAY(D4)&gt;=MTP_YearT-1,_xlfn.ANCHORARRAY( D4)&lt;=MTP_EndYear),
  CHOOSE(SIGN(_xlfn.ANCHORARRAY(D4)-MTP_YearT)+2, "T-1", "T", "T+"&amp;(_xlfn.ANCHORARRAY(D4)-MTP_YearT)),
  ""
)</f>
        <v>T-1</v>
      </c>
      <c r="E5" s="47" t="str">
        <v>T</v>
      </c>
      <c r="F5" s="47" t="str">
        <v>T+1</v>
      </c>
      <c r="G5" s="47"/>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0</v>
      </c>
      <c r="E6" s="155">
        <f>IF(E$4&lt;=OutturnThrough,IF(ISNUMBER('Step 2 - Update outturn data'!F6),'Step 2 - Update outturn data'!F6,""),IF(ISNUMBER('Step 3 (IMPL) - Enter outlook'!E8),'Step 3 (IMPL) - Enter outlook'!E8,""))</f>
        <v>0</v>
      </c>
      <c r="F6" s="155">
        <f>IF(F$4&lt;=OutturnThrough,IF(ISNUMBER('Step 2 - Update outturn data'!G6),'Step 2 - Update outturn data'!G6,""),IF(ISNUMBER('Step 3 (IMPL) - Enter outlook'!F8),'Step 3 (IMPL) - Enter outlook'!F8,""))</f>
        <v>0</v>
      </c>
      <c r="G6" s="155" t="str">
        <f>IF(G$4&lt;=OutturnThrough,IF(ISNUMBER('Step 2 - Update outturn data'!H6),'Step 2 - Update outturn data'!H6,""),IF(ISNUMBER('Step 3 (IMPL) - Enter outlook'!G8),'Step 3 (IMPL) - Enter outlook'!G8,""))</f>
        <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v>
      </c>
      <c r="E7" s="155">
        <f>IF(E$4&lt;=OutturnThrough,IF(ISNUMBER('Step 2 - Update outturn data'!F7),'Step 2 - Update outturn data'!F7,""),IF(ISNUMBER('Step 3 (IMPL) - Enter outlook'!E9),'Step 3 (IMPL) - Enter outlook'!E9,""))</f>
        <v>0</v>
      </c>
      <c r="F7" s="155">
        <f>IF(F$4&lt;=OutturnThrough,IF(ISNUMBER('Step 2 - Update outturn data'!G7),'Step 2 - Update outturn data'!G7,""),IF(ISNUMBER('Step 3 (IMPL) - Enter outlook'!F9),'Step 3 (IMPL) - Enter outlook'!F9,""))</f>
        <v>0</v>
      </c>
      <c r="G7" s="155" t="str">
        <f>IF(G$4&lt;=OutturnThrough,IF(ISNUMBER('Step 2 - Update outturn data'!H7),'Step 2 - Update outturn data'!H7,""),IF(ISNUMBER('Step 3 (IMPL) - Enter outlook'!G9),'Step 3 (IMPL) - Enter outlook'!G9,""))</f>
        <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v>
      </c>
      <c r="E8" s="155">
        <f>IF(E$4&lt;=OutturnThrough,IF(ISNUMBER('Step 2 - Update outturn data'!F8),'Step 2 - Update outturn data'!F8,""),IF(ISNUMBER('Step 3 (IMPL) - Enter outlook'!E10),'Step 3 (IMPL) - Enter outlook'!E10,""))</f>
        <v>0</v>
      </c>
      <c r="F8" s="155">
        <f>IF(F$4&lt;=OutturnThrough,IF(ISNUMBER('Step 2 - Update outturn data'!G8),'Step 2 - Update outturn data'!G8,""),IF(ISNUMBER('Step 3 (IMPL) - Enter outlook'!F10),'Step 3 (IMPL) - Enter outlook'!F10,""))</f>
        <v>0</v>
      </c>
      <c r="G8" s="155" t="str">
        <f>IF(G$4&lt;=OutturnThrough,IF(ISNUMBER('Step 2 - Update outturn data'!H8),'Step 2 - Update outturn data'!H8,""),IF(ISNUMBER('Step 3 (IMPL) - Enter outlook'!G10),'Step 3 (IMPL) - Enter outlook'!G10,""))</f>
        <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v>
      </c>
      <c r="E9" s="155">
        <f>IF(E$4&lt;=OutturnThrough,IF(ISNUMBER('Step 2 - Update outturn data'!F9),'Step 2 - Update outturn data'!F9,""),IF(ISNUMBER('Step 3 (IMPL) - Enter outlook'!E11),'Step 3 (IMPL) - Enter outlook'!E11,""))</f>
        <v>0</v>
      </c>
      <c r="F9" s="155">
        <f>IF(F$4&lt;=OutturnThrough,IF(ISNUMBER('Step 2 - Update outturn data'!G9),'Step 2 - Update outturn data'!G9,""),IF(ISNUMBER('Step 3 (IMPL) - Enter outlook'!F11),'Step 3 (IMPL) - Enter outlook'!F11,""))</f>
        <v>0</v>
      </c>
      <c r="G9" s="155" t="str">
        <f>IF(G$4&lt;=OutturnThrough,IF(ISNUMBER('Step 2 - Update outturn data'!H9),'Step 2 - Update outturn data'!H9,""),IF(ISNUMBER('Step 3 (IMPL) - Enter outlook'!G11),'Step 3 (IMPL) - Enter outlook'!G11,""))</f>
        <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v>
      </c>
      <c r="E10" s="155">
        <f>IF(E$4&lt;=OutturnThrough,IF(ISNUMBER('Step 2 - Update outturn data'!F10),'Step 2 - Update outturn data'!F10,""),IF(ISNUMBER('Step 3 (IMPL) - Enter outlook'!E12),'Step 3 (IMPL) - Enter outlook'!E12,""))</f>
        <v>0</v>
      </c>
      <c r="F10" s="155">
        <f>IF(F$4&lt;=OutturnThrough,IF(ISNUMBER('Step 2 - Update outturn data'!G10),'Step 2 - Update outturn data'!G10,""),IF(ISNUMBER('Step 3 (IMPL) - Enter outlook'!F12),'Step 3 (IMPL) - Enter outlook'!F12,""))</f>
        <v>0</v>
      </c>
      <c r="G10" s="155" t="str">
        <f>IF(G$4&lt;=OutturnThrough,IF(ISNUMBER('Step 2 - Update outturn data'!H10),'Step 2 - Update outturn data'!H10,""),IF(ISNUMBER('Step 3 (IMPL) - Enter outlook'!G12),'Step 3 (IMPL) - Enter outlook'!G12,""))</f>
        <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t="str">
        <f>IF(G$4&lt;=OutturnThrough,IF(ISNUMBER('Step 2 - Update outturn data'!H11),'Step 2 - Update outturn data'!H11,""),IF(ISNUMBER('Step 3 (IMPL) - Enter outlook'!G13),'Step 3 (IMPL) - Enter outlook'!G13,""))</f>
        <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0</v>
      </c>
      <c r="E12" s="155">
        <f>IF(E$4&lt;=OutturnThrough,IF(ISNUMBER('Step 2 - Update outturn data'!F12),'Step 2 - Update outturn data'!F12,""),IF(ISNUMBER('Step 3 (IMPL) - Enter outlook'!E14),'Step 3 (IMPL) - Enter outlook'!E14,""))</f>
        <v>0</v>
      </c>
      <c r="F12" s="155">
        <f>IF(F$4&lt;=OutturnThrough,IF(ISNUMBER('Step 2 - Update outturn data'!G12),'Step 2 - Update outturn data'!G12,""),IF(ISNUMBER('Step 3 (IMPL) - Enter outlook'!F14),'Step 3 (IMPL) - Enter outlook'!F14,""))</f>
        <v>0</v>
      </c>
      <c r="G12" s="155" t="str">
        <f>IF(G$4&lt;=OutturnThrough,IF(ISNUMBER('Step 2 - Update outturn data'!H12),'Step 2 - Update outturn data'!H12,""),IF(ISNUMBER('Step 3 (IMPL) - Enter outlook'!G14),'Step 3 (IMPL) - Enter outlook'!G14,""))</f>
        <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v>
      </c>
      <c r="F13" s="155">
        <f>IF(F$4&lt;=OutturnThrough,IF(ISNUMBER('Step 2 - Update outturn data'!G13),'Step 2 - Update outturn data'!G13,""),IF(ISNUMBER('Step 3 (IMPL) - Enter outlook'!F15),'Step 3 (IMPL) - Enter outlook'!F15,""))</f>
        <v>0</v>
      </c>
      <c r="G13" s="155" t="str">
        <f>IF(G$4&lt;=OutturnThrough,IF(ISNUMBER('Step 2 - Update outturn data'!H13),'Step 2 - Update outturn data'!H13,""),IF(ISNUMBER('Step 3 (IMPL) - Enter outlook'!G15),'Step 3 (IMPL) - Enter outlook'!G15,""))</f>
        <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0</v>
      </c>
      <c r="E14" s="155">
        <f>IF(E$4&lt;=OutturnThrough,IF(ISNUMBER('Step 2 - Update outturn data'!F14),'Step 2 - Update outturn data'!F14,""),IF(ISNUMBER('Step 3 (IMPL) - Enter outlook'!E16),'Step 3 (IMPL) - Enter outlook'!E16,""))</f>
        <v>0</v>
      </c>
      <c r="F14" s="155">
        <f>IF(F$4&lt;=OutturnThrough,IF(ISNUMBER('Step 2 - Update outturn data'!G14),'Step 2 - Update outturn data'!G14,""),IF(ISNUMBER('Step 3 (IMPL) - Enter outlook'!F16),'Step 3 (IMPL) - Enter outlook'!F16,""))</f>
        <v>0</v>
      </c>
      <c r="G14" s="155" t="str">
        <f>IF(G$4&lt;=OutturnThrough,IF(ISNUMBER('Step 2 - Update outturn data'!H14),'Step 2 - Update outturn data'!H14,""),IF(ISNUMBER('Step 3 (IMPL) - Enter outlook'!G16),'Step 3 (IMPL) - Enter outlook'!G16,""))</f>
        <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t="str">
        <f>IF(E$4&lt;=OutturnThrough,IF(ISNUMBER('Step 2 - Update outturn data'!F15),'Step 2 - Update outturn data'!F15,""),IF(ISNUMBER('Step 3 (IMPL) - Enter outlook'!E17),'Step 3 (IMPL) - Enter outlook'!E17,""))</f>
        <v/>
      </c>
      <c r="F15" s="155" t="str">
        <f>IF(F$4&lt;=OutturnThrough,IF(ISNUMBER('Step 2 - Update outturn data'!G15),'Step 2 - Update outturn data'!G15,""),IF(ISNUMBER('Step 3 (IMPL) - Enter outlook'!F17),'Step 3 (IMPL) - Enter outlook'!F17,""))</f>
        <v/>
      </c>
      <c r="G15" s="155" t="str">
        <f>IF(G$4&lt;=OutturnThrough,IF(ISNUMBER('Step 2 - Update outturn data'!H15),'Step 2 - Update outturn data'!H15,""),IF(ISNUMBER('Step 3 (IMPL) - Enter outlook'!G17),'Step 3 (IMPL) - Enter outlook'!G17,""))</f>
        <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0</v>
      </c>
      <c r="F16" s="155">
        <f>IF(F$4&lt;=OutturnThrough,IF(ISNUMBER('Step 2 - Update outturn data'!G16),'Step 2 - Update outturn data'!G16,""),IF(ISNUMBER('Step 3 (IMPL) - Enter outlook'!F18),'Step 3 (IMPL) - Enter outlook'!F18,""))</f>
        <v>0</v>
      </c>
      <c r="G16" s="155" t="str">
        <f>IF(G$4&lt;=OutturnThrough,IF(ISNUMBER('Step 2 - Update outturn data'!H16),'Step 2 - Update outturn data'!H16,""),IF(ISNUMBER('Step 3 (IMPL) - Enter outlook'!G18),'Step 3 (IMPL) - Enter outlook'!G18,""))</f>
        <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t="str">
        <f>IF(D$4&lt;=OutturnThrough,IF(ISNUMBER('Step 2 - Update outturn data'!E17),'Step 2 - Update outturn data'!E17,""),IF(ISNUMBER('Step 3 (IMPL) - Enter outlook'!D19),'Step 3 (IMPL) - Enter outlook'!D19,""))</f>
        <v/>
      </c>
      <c r="E17" s="155" t="str">
        <f>IF(E$4&lt;=OutturnThrough,IF(ISNUMBER('Step 2 - Update outturn data'!F17),'Step 2 - Update outturn data'!F17,""),IF(ISNUMBER('Step 3 (IMPL) - Enter outlook'!E19),'Step 3 (IMPL) - Enter outlook'!E19,""))</f>
        <v/>
      </c>
      <c r="F17" s="155" t="str">
        <f>IF(F$4&lt;=OutturnThrough,IF(ISNUMBER('Step 2 - Update outturn data'!G17),'Step 2 - Update outturn data'!G17,""),IF(ISNUMBER('Step 3 (IMPL) - Enter outlook'!F19),'Step 3 (IMPL) - Enter outlook'!F19,""))</f>
        <v/>
      </c>
      <c r="G17" s="155" t="str">
        <f>IF(G$4&lt;=OutturnThrough,IF(ISNUMBER('Step 2 - Update outturn data'!H17),'Step 2 - Update outturn data'!H17,""),IF(ISNUMBER('Step 3 (IMPL) - Enter outlook'!G19),'Step 3 (IMPL) - Enter outlook'!G19,""))</f>
        <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0</v>
      </c>
      <c r="E18" s="155">
        <f>IF(E$4&lt;=OutturnThrough,IF(ISNUMBER('Step 2 - Update outturn data'!F18),'Step 2 - Update outturn data'!F18,""),IF(ISNUMBER('Step 3 (IMPL) - Enter outlook'!E20),'Step 3 (IMPL) - Enter outlook'!E20,""))</f>
        <v>0</v>
      </c>
      <c r="F18" s="155">
        <f>IF(F$4&lt;=OutturnThrough,IF(ISNUMBER('Step 2 - Update outturn data'!G18),'Step 2 - Update outturn data'!G18,""),IF(ISNUMBER('Step 3 (IMPL) - Enter outlook'!F20),'Step 3 (IMPL) - Enter outlook'!F20,""))</f>
        <v>0</v>
      </c>
      <c r="G18" s="155" t="str">
        <f>IF(G$4&lt;=OutturnThrough,IF(ISNUMBER('Step 2 - Update outturn data'!H18),'Step 2 - Update outturn data'!H18,""),IF(ISNUMBER('Step 3 (IMPL) - Enter outlook'!G20),'Step 3 (IMPL) - Enter outlook'!G20,""))</f>
        <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0</v>
      </c>
      <c r="E19" s="155">
        <f>IF(E$4&lt;=OutturnThrough,IF(ISNUMBER('Step 2 - Update outturn data'!F19),'Step 2 - Update outturn data'!F19,""),IF(ISNUMBER('Step 3 (IMPL) - Enter outlook'!E21),'Step 3 (IMPL) - Enter outlook'!E21,""))</f>
        <v>0</v>
      </c>
      <c r="F19" s="155">
        <f>IF(F$4&lt;=OutturnThrough,IF(ISNUMBER('Step 2 - Update outturn data'!G19),'Step 2 - Update outturn data'!G19,""),IF(ISNUMBER('Step 3 (IMPL) - Enter outlook'!F21),'Step 3 (IMPL) - Enter outlook'!F21,""))</f>
        <v>0</v>
      </c>
      <c r="G19" s="155" t="str">
        <f>IF(G$4&lt;=OutturnThrough,IF(ISNUMBER('Step 2 - Update outturn data'!H19),'Step 2 - Update outturn data'!H19,""),IF(ISNUMBER('Step 3 (IMPL) - Enter outlook'!G21),'Step 3 (IMPL) - Enter outlook'!G21,""))</f>
        <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t="str">
        <f>IF(D$4&lt;=OutturnThrough,IF(ISNUMBER('Step 2 - Update outturn data'!E20),'Step 2 - Update outturn data'!E20,""),IF(ISNUMBER('Step 3 (IMPL) - Enter outlook'!D22),'Step 3 (IMPL) - Enter outlook'!D22,""))</f>
        <v/>
      </c>
      <c r="E20" s="155" t="str">
        <f>IF(E$4&lt;=OutturnThrough,IF(ISNUMBER('Step 2 - Update outturn data'!F20),'Step 2 - Update outturn data'!F20,""),IF(ISNUMBER('Step 3 (IMPL) - Enter outlook'!E22),'Step 3 (IMPL) - Enter outlook'!E22,""))</f>
        <v/>
      </c>
      <c r="F20" s="155" t="str">
        <f>IF(F$4&lt;=OutturnThrough,IF(ISNUMBER('Step 2 - Update outturn data'!G20),'Step 2 - Update outturn data'!G20,""),IF(ISNUMBER('Step 3 (IMPL) - Enter outlook'!F22),'Step 3 (IMPL) - Enter outlook'!F22,""))</f>
        <v/>
      </c>
      <c r="G20" s="155" t="str">
        <f>IF(G$4&lt;=OutturnThrough,IF(ISNUMBER('Step 2 - Update outturn data'!H20),'Step 2 - Update outturn data'!H20,""),IF(ISNUMBER('Step 3 (IMPL) - Enter outlook'!G22),'Step 3 (IMPL) - Enter outlook'!G22,""))</f>
        <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t="str">
        <f>IF(D$4&lt;=OutturnThrough,IF(ISNUMBER('Step 2 - Update outturn data'!E21),'Step 2 - Update outturn data'!E21,""),IF(ISNUMBER('Step 3 (IMPL) - Enter outlook'!D23),'Step 3 (IMPL) - Enter outlook'!D23,""))</f>
        <v/>
      </c>
      <c r="E21" s="155" t="str">
        <f>IF(E$4&lt;=OutturnThrough,IF(ISNUMBER('Step 2 - Update outturn data'!F21),'Step 2 - Update outturn data'!F21,""),IF(ISNUMBER('Step 3 (IMPL) - Enter outlook'!E23),'Step 3 (IMPL) - Enter outlook'!E23,""))</f>
        <v/>
      </c>
      <c r="F21" s="155" t="str">
        <f>IF(F$4&lt;=OutturnThrough,IF(ISNUMBER('Step 2 - Update outturn data'!G21),'Step 2 - Update outturn data'!G21,""),IF(ISNUMBER('Step 3 (IMPL) - Enter outlook'!F23),'Step 3 (IMPL) - Enter outlook'!F23,""))</f>
        <v/>
      </c>
      <c r="G21" s="155" t="str">
        <f>IF(G$4&lt;=OutturnThrough,IF(ISNUMBER('Step 2 - Update outturn data'!H21),'Step 2 - Update outturn data'!H21,""),IF(ISNUMBER('Step 3 (IMPL) - Enter outlook'!G23),'Step 3 (IMPL) - Enter outlook'!G23,""))</f>
        <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t="str">
        <f>IF(D$4&lt;=OutturnThrough,IF(ISNUMBER('Step 2 - Update outturn data'!E22),'Step 2 - Update outturn data'!E22,""),IF(ISNUMBER('Step 3 (IMPL) - Enter outlook'!D24),'Step 3 (IMPL) - Enter outlook'!D24,""))</f>
        <v/>
      </c>
      <c r="E22" s="155" t="str">
        <f>IF(E$4&lt;=OutturnThrough,IF(ISNUMBER('Step 2 - Update outturn data'!F22),'Step 2 - Update outturn data'!F22,""),IF(ISNUMBER('Step 3 (IMPL) - Enter outlook'!E24),'Step 3 (IMPL) - Enter outlook'!E24,""))</f>
        <v/>
      </c>
      <c r="F22" s="155" t="str">
        <f>IF(F$4&lt;=OutturnThrough,IF(ISNUMBER('Step 2 - Update outturn data'!G22),'Step 2 - Update outturn data'!G22,""),IF(ISNUMBER('Step 3 (IMPL) - Enter outlook'!F24),'Step 3 (IMPL) - Enter outlook'!F24,""))</f>
        <v/>
      </c>
      <c r="G22" s="155" t="str">
        <f>IF(G$4&lt;=OutturnThrough,IF(ISNUMBER('Step 2 - Update outturn data'!H22),'Step 2 - Update outturn data'!H22,""),IF(ISNUMBER('Step 3 (IMPL) - Enter outlook'!G24),'Step 3 (IMPL) - Enter outlook'!G24,""))</f>
        <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t="str">
        <f>IF(D$4&lt;=OutturnThrough,IF(ISNUMBER('Step 2 - Update outturn data'!E23),'Step 2 - Update outturn data'!E23,""),IF(ISNUMBER('Step 3 (IMPL) - Enter outlook'!D25),'Step 3 (IMPL) - Enter outlook'!D25,""))</f>
        <v/>
      </c>
      <c r="E23" s="155" t="str">
        <f>IF(E$4&lt;=OutturnThrough,IF(ISNUMBER('Step 2 - Update outturn data'!F23),'Step 2 - Update outturn data'!F23,""),IF(ISNUMBER('Step 3 (IMPL) - Enter outlook'!E25),'Step 3 (IMPL) - Enter outlook'!E25,""))</f>
        <v/>
      </c>
      <c r="F23" s="155" t="str">
        <f>IF(F$4&lt;=OutturnThrough,IF(ISNUMBER('Step 2 - Update outturn data'!G23),'Step 2 - Update outturn data'!G23,""),IF(ISNUMBER('Step 3 (IMPL) - Enter outlook'!F25),'Step 3 (IMPL) - Enter outlook'!F25,""))</f>
        <v/>
      </c>
      <c r="G23" s="155" t="str">
        <f>IF(G$4&lt;=OutturnThrough,IF(ISNUMBER('Step 2 - Update outturn data'!H23),'Step 2 - Update outturn data'!H23,""),IF(ISNUMBER('Step 3 (IMPL) - Enter outlook'!G25),'Step 3 (IMPL) - Enter outlook'!G25,""))</f>
        <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t="str">
        <f>IF(D$4&lt;=OutturnThrough,IF(ISNUMBER('Step 2 - Update outturn data'!E24),'Step 2 - Update outturn data'!E24,""),IF(ISNUMBER('Step 3 (IMPL) - Enter outlook'!D26),'Step 3 (IMPL) - Enter outlook'!D26,""))</f>
        <v/>
      </c>
      <c r="E24" s="155" t="str">
        <f>IF(E$4&lt;=OutturnThrough,IF(ISNUMBER('Step 2 - Update outturn data'!F24),'Step 2 - Update outturn data'!F24,""),IF(ISNUMBER('Step 3 (IMPL) - Enter outlook'!E26),'Step 3 (IMPL) - Enter outlook'!E26,""))</f>
        <v/>
      </c>
      <c r="F24" s="155" t="str">
        <f>IF(F$4&lt;=OutturnThrough,IF(ISNUMBER('Step 2 - Update outturn data'!G24),'Step 2 - Update outturn data'!G24,""),IF(ISNUMBER('Step 3 (IMPL) - Enter outlook'!F26),'Step 3 (IMPL) - Enter outlook'!F26,""))</f>
        <v/>
      </c>
      <c r="G24" s="155" t="str">
        <f>IF(G$4&lt;=OutturnThrough,IF(ISNUMBER('Step 2 - Update outturn data'!H24),'Step 2 - Update outturn data'!H24,""),IF(ISNUMBER('Step 3 (IMPL) - Enter outlook'!G26),'Step 3 (IMPL) - Enter outlook'!G26,""))</f>
        <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t="str">
        <f>IF(D$4&lt;=OutturnThrough,IF(ISNUMBER('Step 2 - Update outturn data'!E25),'Step 2 - Update outturn data'!E25,""),IF(ISNUMBER('Step 3 (IMPL) - Enter outlook'!D27),'Step 3 (IMPL) - Enter outlook'!D27,""))</f>
        <v/>
      </c>
      <c r="E25" s="155" t="str">
        <f>IF(E$4&lt;=OutturnThrough,IF(ISNUMBER('Step 2 - Update outturn data'!F25),'Step 2 - Update outturn data'!F25,""),IF(ISNUMBER('Step 3 (IMPL) - Enter outlook'!E27),'Step 3 (IMPL) - Enter outlook'!E27,""))</f>
        <v/>
      </c>
      <c r="F25" s="155" t="str">
        <f>IF(F$4&lt;=OutturnThrough,IF(ISNUMBER('Step 2 - Update outturn data'!G25),'Step 2 - Update outturn data'!G25,""),IF(ISNUMBER('Step 3 (IMPL) - Enter outlook'!F27),'Step 3 (IMPL) - Enter outlook'!F27,""))</f>
        <v/>
      </c>
      <c r="G25" s="155" t="str">
        <f>IF(G$4&lt;=OutturnThrough,IF(ISNUMBER('Step 2 - Update outturn data'!H25),'Step 2 - Update outturn data'!H25,""),IF(ISNUMBER('Step 3 (IMPL) - Enter outlook'!G27),'Step 3 (IMPL) - Enter outlook'!G27,""))</f>
        <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t="str">
        <f>IF(D$4&lt;=OutturnThrough,IF(ISNUMBER('Step 2 - Update outturn data'!E26),'Step 2 - Update outturn data'!E26,""),IF(ISNUMBER('Step 3 (IMPL) - Enter outlook'!D28),'Step 3 (IMPL) - Enter outlook'!D28,""))</f>
        <v/>
      </c>
      <c r="E26" s="155" t="str">
        <f>IF(E$4&lt;=OutturnThrough,IF(ISNUMBER('Step 2 - Update outturn data'!F26),'Step 2 - Update outturn data'!F26,""),IF(ISNUMBER('Step 3 (IMPL) - Enter outlook'!E28),'Step 3 (IMPL) - Enter outlook'!E28,""))</f>
        <v/>
      </c>
      <c r="F26" s="155" t="str">
        <f>IF(F$4&lt;=OutturnThrough,IF(ISNUMBER('Step 2 - Update outturn data'!G26),'Step 2 - Update outturn data'!G26,""),IF(ISNUMBER('Step 3 (IMPL) - Enter outlook'!F28),'Step 3 (IMPL) - Enter outlook'!F28,""))</f>
        <v/>
      </c>
      <c r="G26" s="155" t="str">
        <f>IF(G$4&lt;=OutturnThrough,IF(ISNUMBER('Step 2 - Update outturn data'!H26),'Step 2 - Update outturn data'!H26,""),IF(ISNUMBER('Step 3 (IMPL) - Enter outlook'!G28),'Step 3 (IMPL) - Enter outlook'!G28,""))</f>
        <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0</v>
      </c>
      <c r="E27" s="156">
        <f>IF(E$4&lt;=OutturnThrough,IF(ISNUMBER('Step 2 - Update outturn data'!F27),'Step 2 - Update outturn data'!F27,""),IF(ISNUMBER('Step 3 (IMPL) - Enter outlook'!E29),'Step 3 (IMPL) - Enter outlook'!E29,""))</f>
        <v>0</v>
      </c>
      <c r="F27" s="156">
        <f>IF(F$4&lt;=OutturnThrough,IF(ISNUMBER('Step 2 - Update outturn data'!G27),'Step 2 - Update outturn data'!G27,""),IF(ISNUMBER('Step 3 (IMPL) - Enter outlook'!F29),'Step 3 (IMPL) - Enter outlook'!F29,""))</f>
        <v>0</v>
      </c>
      <c r="G27" s="156" t="str">
        <f>IF(G$4&lt;=OutturnThrough,IF(ISNUMBER('Step 2 - Update outturn data'!H27),'Step 2 - Update outturn data'!H27,""),IF(ISNUMBER('Step 3 (IMPL) - Enter outlook'!G29),'Step 3 (IMPL) - Enter outlook'!G29,""))</f>
        <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0</v>
      </c>
      <c r="F34" s="44">
        <f>IF(ISNUMBER('Step 3 (MTP) - Plan and prior'!F6),'Step 3 (MTP) - Plan and prior'!F6,"")</f>
        <v>0</v>
      </c>
      <c r="G34" s="44">
        <f>IF(ISNUMBER('Step 3 (MTP) - Plan and prior'!G6),'Step 3 (MTP) - Plan and prior'!G6,"")</f>
        <v>0</v>
      </c>
      <c r="H34" s="44">
        <f>IF(ISNUMBER('Step 3 (MTP) - Plan and prior'!H6),'Step 3 (MTP) - Plan and prior'!H6,"")</f>
        <v>0</v>
      </c>
      <c r="I34" s="44">
        <f>IF(ISNUMBER('Step 3 (MTP) - Plan and prior'!I6),'Step 3 (MTP) - Plan and prior'!I6,"")</f>
        <v>0</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0</v>
      </c>
      <c r="E35" s="58">
        <f>IF(ISNUMBER('Step 3 (MTP) - Plan and prior'!E7),'Step 3 (MTP) - Plan and prior'!E7,"")</f>
        <v>0</v>
      </c>
      <c r="F35" s="58">
        <f>IF(ISNUMBER('Step 3 (MTP) - Plan and prior'!F7),'Step 3 (MTP) - Plan and prior'!F7,"")</f>
        <v>0</v>
      </c>
      <c r="G35" s="58">
        <f>IF(ISNUMBER('Step 3 (MTP) - Plan and prior'!G7),'Step 3 (MTP) - Plan and prior'!G7,"")</f>
        <v>0</v>
      </c>
      <c r="H35" s="58">
        <f>IF(ISNUMBER('Step 3 (MTP) - Plan and prior'!H7),'Step 3 (MTP) - Plan and prior'!H7,"")</f>
        <v>0</v>
      </c>
      <c r="I35" s="58">
        <f>IF(ISNUMBER('Step 3 (MTP) - Plan and prior'!I7),'Step 3 (MTP) - Plan and prior'!I7,"")</f>
        <v>0</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0</v>
      </c>
      <c r="E36" s="58">
        <f>IF(ISNUMBER('Step 3 (MTP) - Plan and prior'!E8),'Step 3 (MTP) - Plan and prior'!E8,"")</f>
        <v>0</v>
      </c>
      <c r="F36" s="58">
        <f>IF(ISNUMBER('Step 3 (MTP) - Plan and prior'!F8),'Step 3 (MTP) - Plan and prior'!F8,"")</f>
        <v>0</v>
      </c>
      <c r="G36" s="58">
        <f>IF(ISNUMBER('Step 3 (MTP) - Plan and prior'!G8),'Step 3 (MTP) - Plan and prior'!G8,"")</f>
        <v>0</v>
      </c>
      <c r="H36" s="58">
        <f>IF(ISNUMBER('Step 3 (MTP) - Plan and prior'!H8),'Step 3 (MTP) - Plan and prior'!H8,"")</f>
        <v>0</v>
      </c>
      <c r="I36" s="58">
        <f>IF(ISNUMBER('Step 3 (MTP) - Plan and prior'!I8),'Step 3 (MTP) - Plan and prior'!I8,"")</f>
        <v>0</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0</v>
      </c>
      <c r="E37" s="58">
        <f>IF(ISNUMBER('Step 3 (MTP) - Plan and prior'!E9),'Step 3 (MTP) - Plan and prior'!E9,"")</f>
        <v>0</v>
      </c>
      <c r="F37" s="58">
        <f>IF(ISNUMBER('Step 3 (MTP) - Plan and prior'!F9),'Step 3 (MTP) - Plan and prior'!F9,"")</f>
        <v>0</v>
      </c>
      <c r="G37" s="58">
        <f>IF(ISNUMBER('Step 3 (MTP) - Plan and prior'!G9),'Step 3 (MTP) - Plan and prior'!G9,"")</f>
        <v>0</v>
      </c>
      <c r="H37" s="58">
        <f>IF(ISNUMBER('Step 3 (MTP) - Plan and prior'!H9),'Step 3 (MTP) - Plan and prior'!H9,"")</f>
        <v>0</v>
      </c>
      <c r="I37" s="58">
        <f>IF(ISNUMBER('Step 3 (MTP) - Plan and prior'!I9),'Step 3 (MTP) - Plan and prior'!I9,"")</f>
        <v>0</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0</v>
      </c>
      <c r="E38" s="58">
        <f>IF(ISNUMBER('Step 3 (MTP) - Plan and prior'!E10),'Step 3 (MTP) - Plan and prior'!E10,"")</f>
        <v>0</v>
      </c>
      <c r="F38" s="58">
        <f>IF(ISNUMBER('Step 3 (MTP) - Plan and prior'!F10),'Step 3 (MTP) - Plan and prior'!F10,"")</f>
        <v>0</v>
      </c>
      <c r="G38" s="58">
        <f>IF(ISNUMBER('Step 3 (MTP) - Plan and prior'!G10),'Step 3 (MTP) - Plan and prior'!G10,"")</f>
        <v>0</v>
      </c>
      <c r="H38" s="58">
        <f>IF(ISNUMBER('Step 3 (MTP) - Plan and prior'!H10),'Step 3 (MTP) - Plan and prior'!H10,"")</f>
        <v>0</v>
      </c>
      <c r="I38" s="58">
        <f>IF(ISNUMBER('Step 3 (MTP) - Plan and prior'!I10),'Step 3 (MTP) - Plan and prior'!I10,"")</f>
        <v>0</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0</v>
      </c>
      <c r="E39" s="58">
        <f>IF(ISNUMBER('Step 3 (MTP) - Plan and prior'!E11),'Step 3 (MTP) - Plan and prior'!E11,"")</f>
        <v>0</v>
      </c>
      <c r="F39" s="58">
        <f>IF(ISNUMBER('Step 3 (MTP) - Plan and prior'!F11),'Step 3 (MTP) - Plan and prior'!F11,"")</f>
        <v>0</v>
      </c>
      <c r="G39" s="58">
        <f>IF(ISNUMBER('Step 3 (MTP) - Plan and prior'!G11),'Step 3 (MTP) - Plan and prior'!G11,"")</f>
        <v>0</v>
      </c>
      <c r="H39" s="58">
        <f>IF(ISNUMBER('Step 3 (MTP) - Plan and prior'!H11),'Step 3 (MTP) - Plan and prior'!H11,"")</f>
        <v>0</v>
      </c>
      <c r="I39" s="58">
        <f>IF(ISNUMBER('Step 3 (MTP) - Plan and prior'!I11),'Step 3 (MTP) - Plan and prior'!I11,"")</f>
        <v>0</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v>
      </c>
      <c r="E40" s="58">
        <f>IF(ISNUMBER('Step 3 (MTP) - Plan and prior'!E12),'Step 3 (MTP) - Plan and prior'!E12,"")</f>
        <v>0</v>
      </c>
      <c r="F40" s="58">
        <f>IF(ISNUMBER('Step 3 (MTP) - Plan and prior'!F12),'Step 3 (MTP) - Plan and prior'!F12,"")</f>
        <v>0</v>
      </c>
      <c r="G40" s="58">
        <f>IF(ISNUMBER('Step 3 (MTP) - Plan and prior'!G12),'Step 3 (MTP) - Plan and prior'!G12,"")</f>
        <v>0</v>
      </c>
      <c r="H40" s="58">
        <f>IF(ISNUMBER('Step 3 (MTP) - Plan and prior'!H12),'Step 3 (MTP) - Plan and prior'!H12,"")</f>
        <v>0</v>
      </c>
      <c r="I40" s="58">
        <f>IF(ISNUMBER('Step 3 (MTP) - Plan and prior'!I12),'Step 3 (MTP) - Plan and prior'!I12,"")</f>
        <v>0</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0</v>
      </c>
      <c r="E41" s="58">
        <f>IF(ISNUMBER('Step 3 (MTP) - Plan and prior'!E13),'Step 3 (MTP) - Plan and prior'!E13,"")</f>
        <v>0</v>
      </c>
      <c r="F41" s="58">
        <f>IF(ISNUMBER('Step 3 (MTP) - Plan and prior'!F13),'Step 3 (MTP) - Plan and prior'!F13,"")</f>
        <v>0</v>
      </c>
      <c r="G41" s="58">
        <f>IF(ISNUMBER('Step 3 (MTP) - Plan and prior'!G13),'Step 3 (MTP) - Plan and prior'!G13,"")</f>
        <v>0</v>
      </c>
      <c r="H41" s="58">
        <f>IF(ISNUMBER('Step 3 (MTP) - Plan and prior'!H13),'Step 3 (MTP) - Plan and prior'!H13,"")</f>
        <v>0</v>
      </c>
      <c r="I41" s="58">
        <f>IF(ISNUMBER('Step 3 (MTP) - Plan and prior'!I13),'Step 3 (MTP) - Plan and prior'!I13,"")</f>
        <v>0</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0</v>
      </c>
      <c r="E42" s="58">
        <f>IF(ISNUMBER('Step 3 (MTP) - Plan and prior'!E14),'Step 3 (MTP) - Plan and prior'!E14,"")</f>
        <v>0</v>
      </c>
      <c r="F42" s="58">
        <f>IF(ISNUMBER('Step 3 (MTP) - Plan and prior'!F14),'Step 3 (MTP) - Plan and prior'!F14,"")</f>
        <v>0</v>
      </c>
      <c r="G42" s="58">
        <f>IF(ISNUMBER('Step 3 (MTP) - Plan and prior'!G14),'Step 3 (MTP) - Plan and prior'!G14,"")</f>
        <v>0</v>
      </c>
      <c r="H42" s="58">
        <f>IF(ISNUMBER('Step 3 (MTP) - Plan and prior'!H14),'Step 3 (MTP) - Plan and prior'!H14,"")</f>
        <v>0</v>
      </c>
      <c r="I42" s="58">
        <f>IF(ISNUMBER('Step 3 (MTP) - Plan and prior'!I14),'Step 3 (MTP) - Plan and prior'!I14,"")</f>
        <v>0</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v>
      </c>
      <c r="E43" s="44">
        <f>IF(ISNUMBER('Step 3 (MTP) - Plan and prior'!E15),'Step 3 (MTP) - Plan and prior'!E15,"")</f>
        <v>0</v>
      </c>
      <c r="F43" s="44">
        <f>IF(ISNUMBER('Step 3 (MTP) - Plan and prior'!F15),'Step 3 (MTP) - Plan and prior'!F15,"")</f>
        <v>0</v>
      </c>
      <c r="G43" s="44">
        <f>IF(ISNUMBER('Step 3 (MTP) - Plan and prior'!G15),'Step 3 (MTP) - Plan and prior'!G15,"")</f>
        <v>0</v>
      </c>
      <c r="H43" s="44">
        <f>IF(ISNUMBER('Step 3 (MTP) - Plan and prior'!H15),'Step 3 (MTP) - Plan and prior'!H15,"")</f>
        <v>0</v>
      </c>
      <c r="I43" s="44">
        <f>IF(ISNUMBER('Step 3 (MTP) - Plan and prior'!I15),'Step 3 (MTP) - Plan and prior'!I15,"")</f>
        <v>0</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0</v>
      </c>
      <c r="E44" s="48">
        <f>IF(ISNUMBER('Step 3 (MTP) - Plan and prior'!E16),'Step 3 (MTP) - Plan and prior'!E16,"")</f>
        <v>0</v>
      </c>
      <c r="F44" s="48">
        <f>IF(ISNUMBER('Step 3 (MTP) - Plan and prior'!F16),'Step 3 (MTP) - Plan and prior'!F16,"")</f>
        <v>0</v>
      </c>
      <c r="G44" s="48">
        <f>IF(ISNUMBER('Step 3 (MTP) - Plan and prior'!G16),'Step 3 (MTP) - Plan and prior'!G16,"")</f>
        <v>0</v>
      </c>
      <c r="H44" s="48">
        <f>IF(ISNUMBER('Step 3 (MTP) - Plan and prior'!H16),'Step 3 (MTP) - Plan and prior'!H16,"")</f>
        <v>0</v>
      </c>
      <c r="I44" s="48">
        <f>IF(ISNUMBER('Step 3 (MTP) - Plan and prior'!I16),'Step 3 (MTP) - Plan and prior'!I16,"")</f>
        <v>0</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0</v>
      </c>
      <c r="E50" s="68">
        <f>IF(ISNUMBER('Step 3 (MTP) - Plan and prior'!E25),'Step 3 (MTP) - Plan and prior'!E25,"")</f>
        <v>0</v>
      </c>
      <c r="F50" s="68">
        <f>IF(ISNUMBER('Step 3 (MTP) - Plan and prior'!F25),'Step 3 (MTP) - Plan and prior'!F25,"")</f>
        <v>0</v>
      </c>
      <c r="G50" s="68">
        <f>IF(ISNUMBER('Step 3 (MTP) - Plan and prior'!G25),'Step 3 (MTP) - Plan and prior'!G25,"")</f>
        <v>0</v>
      </c>
      <c r="H50" s="68">
        <f>IF(ISNUMBER('Step 3 (MTP) - Plan and prior'!H25),'Step 3 (MTP) - Plan and prior'!H25,"")</f>
        <v>0</v>
      </c>
      <c r="I50" s="68">
        <f>IF(ISNUMBER('Step 3 (MTP) - Plan and prior'!I25),'Step 3 (MTP) - Plan and prior'!I25,"")</f>
        <v>0</v>
      </c>
      <c r="J50" s="68">
        <f>IF(ISNUMBER('Step 3 (MTP) - Plan and prior'!J25),'Step 3 (MTP) - Plan and prior'!J25,"")</f>
        <v>0</v>
      </c>
      <c r="K50" s="68">
        <f>IF(ISNUMBER('Step 3 (MTP) - Plan and prior'!K25),'Step 3 (MTP) - Plan and prior'!K25,"")</f>
        <v>0</v>
      </c>
      <c r="L50" s="68">
        <f>IF(ISNUMBER('Step 3 (MTP) - Plan and prior'!L25),'Step 3 (MTP) - Plan and prior'!L25,"")</f>
        <v>0</v>
      </c>
      <c r="M50" s="68">
        <f>IF(ISNUMBER('Step 3 (MTP) - Plan and prior'!M25),'Step 3 (MTP) - Plan and prior'!M25,"")</f>
        <v>0</v>
      </c>
      <c r="N50" s="68">
        <f>IF(ISNUMBER('Step 3 (MTP) - Plan and prior'!N25),'Step 3 (MTP) - Plan and prior'!N25,"")</f>
        <v>0</v>
      </c>
      <c r="O50" s="68">
        <f>IF(ISNUMBER('Step 3 (MTP) - Plan and prior'!O25),'Step 3 (MTP) - Plan and prior'!O25,"")</f>
        <v>0</v>
      </c>
      <c r="P50" s="68">
        <f>IF(ISNUMBER('Step 3 (MTP) - Plan and prior'!P25),'Step 3 (MTP) - Plan and prior'!P25,"")</f>
        <v>0</v>
      </c>
      <c r="Q50" s="68">
        <f>IF(ISNUMBER('Step 3 (MTP) - Plan and prior'!Q25),'Step 3 (MTP) - Plan and prior'!Q25,"")</f>
        <v>0</v>
      </c>
      <c r="R50" s="68">
        <f>IF(ISNUMBER('Step 3 (MTP) - Plan and prior'!R25),'Step 3 (MTP) - Plan and prior'!R25,"")</f>
        <v>0</v>
      </c>
      <c r="S50" s="68">
        <f>IF(ISNUMBER('Step 3 (MTP) - Plan and prior'!S25),'Step 3 (MTP) - Plan and prior'!S25,"")</f>
        <v>0</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0</v>
      </c>
      <c r="E52" s="68">
        <f>IF(ISNUMBER('Step 3 (MTP) - Plan and prior'!E27),'Step 3 (MTP) - Plan and prior'!E27,"")</f>
        <v>0</v>
      </c>
      <c r="F52" s="68">
        <f>IF(ISNUMBER('Step 3 (MTP) - Plan and prior'!F27),'Step 3 (MTP) - Plan and prior'!F27,"")</f>
        <v>0</v>
      </c>
      <c r="G52" s="68">
        <f>IF(ISNUMBER('Step 3 (MTP) - Plan and prior'!G27),'Step 3 (MTP) - Plan and prior'!G27,"")</f>
        <v>0</v>
      </c>
      <c r="H52" s="68">
        <f>IF(ISNUMBER('Step 3 (MTP) - Plan and prior'!H27),'Step 3 (MTP) - Plan and prior'!H27,"")</f>
        <v>0</v>
      </c>
      <c r="I52" s="68">
        <f>IF(ISNUMBER('Step 3 (MTP) - Plan and prior'!I27),'Step 3 (MTP) - Plan and prior'!I27,"")</f>
        <v>0</v>
      </c>
      <c r="J52" s="68">
        <f>IF(ISNUMBER('Step 3 (MTP) - Plan and prior'!J27),'Step 3 (MTP) - Plan and prior'!J27,"")</f>
        <v>0</v>
      </c>
      <c r="K52" s="68">
        <f>IF(ISNUMBER('Step 3 (MTP) - Plan and prior'!K27),'Step 3 (MTP) - Plan and prior'!K27,"")</f>
        <v>0</v>
      </c>
      <c r="L52" s="68">
        <f>IF(ISNUMBER('Step 3 (MTP) - Plan and prior'!L27),'Step 3 (MTP) - Plan and prior'!L27,"")</f>
        <v>0</v>
      </c>
      <c r="M52" s="68">
        <f>IF(ISNUMBER('Step 3 (MTP) - Plan and prior'!M27),'Step 3 (MTP) - Plan and prior'!M27,"")</f>
        <v>0</v>
      </c>
      <c r="N52" s="68">
        <f>IF(ISNUMBER('Step 3 (MTP) - Plan and prior'!N27),'Step 3 (MTP) - Plan and prior'!N27,"")</f>
        <v>0</v>
      </c>
      <c r="O52" s="68">
        <f>IF(ISNUMBER('Step 3 (MTP) - Plan and prior'!O27),'Step 3 (MTP) - Plan and prior'!O27,"")</f>
        <v>0</v>
      </c>
      <c r="P52" s="68">
        <f>IF(ISNUMBER('Step 3 (MTP) - Plan and prior'!P27),'Step 3 (MTP) - Plan and prior'!P27,"")</f>
        <v>0</v>
      </c>
      <c r="Q52" s="68">
        <f>IF(ISNUMBER('Step 3 (MTP) - Plan and prior'!Q27),'Step 3 (MTP) - Plan and prior'!Q27,"")</f>
        <v>0</v>
      </c>
      <c r="R52" s="68">
        <f>IF(ISNUMBER('Step 3 (MTP) - Plan and prior'!R27),'Step 3 (MTP) - Plan and prior'!R27,"")</f>
        <v>0</v>
      </c>
      <c r="S52" s="68">
        <f>IF(ISNUMBER('Step 3 (MTP) - Plan and prior'!S27),'Step 3 (MTP) - Plan and prior'!S27,"")</f>
        <v>0</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t="str">
        <f>IF(ISNUMBER('Step 3 (MTP) - Plan and prior'!D44),'Step 3 (MTP) - Plan and prior'!D44,"")</f>
        <v/>
      </c>
      <c r="E69" s="68" t="str">
        <f>IF(ISNUMBER('Step 3 (MTP) - Plan and prior'!E44),'Step 3 (MTP) - Plan and prior'!E44,"")</f>
        <v/>
      </c>
      <c r="F69" s="68" t="str">
        <f>IF(ISNUMBER('Step 3 (MTP) - Plan and prior'!F44),'Step 3 (MTP) - Plan and prior'!F44,"")</f>
        <v/>
      </c>
      <c r="G69" s="68" t="str">
        <f>IF(ISNUMBER('Step 3 (MTP) - Plan and prior'!G44),'Step 3 (MTP) - Plan and prior'!G44,"")</f>
        <v/>
      </c>
      <c r="H69" s="68" t="str">
        <f>IF(ISNUMBER('Step 3 (MTP) - Plan and prior'!H44),'Step 3 (MTP) - Plan and prior'!H44,"")</f>
        <v/>
      </c>
      <c r="I69" s="68" t="str">
        <f>IF(ISNUMBER('Step 3 (MTP) - Plan and prior'!I44),'Step 3 (MTP) - Plan and prior'!I44,"")</f>
        <v/>
      </c>
      <c r="J69" s="68" t="str">
        <f>IF(ISNUMBER('Step 3 (MTP) - Plan and prior'!J44),'Step 3 (MTP) - Plan and prior'!J44,"")</f>
        <v/>
      </c>
      <c r="K69" s="68" t="str">
        <f>IF(ISNUMBER('Step 3 (MTP) - Plan and prior'!K44),'Step 3 (MTP) - Plan and prior'!K44,"")</f>
        <v/>
      </c>
      <c r="L69" s="68" t="str">
        <f>IF(ISNUMBER('Step 3 (MTP) - Plan and prior'!L44),'Step 3 (MTP) - Plan and prior'!L44,"")</f>
        <v/>
      </c>
      <c r="M69" s="68" t="str">
        <f>IF(ISNUMBER('Step 3 (MTP) - Plan and prior'!M44),'Step 3 (MTP) - Plan and prior'!M44,"")</f>
        <v/>
      </c>
      <c r="N69" s="68" t="str">
        <f>IF(ISNUMBER('Step 3 (MTP) - Plan and prior'!N44),'Step 3 (MTP) - Plan and prior'!N44,"")</f>
        <v/>
      </c>
      <c r="O69" s="68" t="str">
        <f>IF(ISNUMBER('Step 3 (MTP) - Plan and prior'!O44),'Step 3 (MTP) - Plan and prior'!O44,"")</f>
        <v/>
      </c>
      <c r="P69" s="68" t="str">
        <f>IF(ISNUMBER('Step 3 (MTP) - Plan and prior'!P44),'Step 3 (MTP) - Plan and prior'!P44,"")</f>
        <v/>
      </c>
      <c r="Q69" s="68" t="str">
        <f>IF(ISNUMBER('Step 3 (MTP) - Plan and prior'!Q44),'Step 3 (MTP) - Plan and prior'!Q44,"")</f>
        <v/>
      </c>
      <c r="R69" s="68" t="str">
        <f>IF(ISNUMBER('Step 3 (MTP) - Plan and prior'!R44),'Step 3 (MTP) - Plan and prior'!R44,"")</f>
        <v/>
      </c>
      <c r="S69" s="68" t="str">
        <f>IF(ISNUMBER('Step 3 (MTP) - Plan and prior'!S44),'Step 3 (MTP) - Plan and prior'!S44,"")</f>
        <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t="str">
        <f>IF(ISNUMBER('Step 3 (MTP) - Plan and prior'!D46),'Step 3 (MTP) - Plan and prior'!D46,"")</f>
        <v/>
      </c>
      <c r="E71" s="68" t="str">
        <f>IF(ISNUMBER('Step 3 (MTP) - Plan and prior'!E46),'Step 3 (MTP) - Plan and prior'!E46,"")</f>
        <v/>
      </c>
      <c r="F71" s="68" t="str">
        <f>IF(ISNUMBER('Step 3 (MTP) - Plan and prior'!F46),'Step 3 (MTP) - Plan and prior'!F46,"")</f>
        <v/>
      </c>
      <c r="G71" s="68" t="str">
        <f>IF(ISNUMBER('Step 3 (MTP) - Plan and prior'!G46),'Step 3 (MTP) - Plan and prior'!G46,"")</f>
        <v/>
      </c>
      <c r="H71" s="68" t="str">
        <f>IF(ISNUMBER('Step 3 (MTP) - Plan and prior'!H46),'Step 3 (MTP) - Plan and prior'!H46,"")</f>
        <v/>
      </c>
      <c r="I71" s="68" t="str">
        <f>IF(ISNUMBER('Step 3 (MTP) - Plan and prior'!I46),'Step 3 (MTP) - Plan and prior'!I46,"")</f>
        <v/>
      </c>
      <c r="J71" s="68" t="str">
        <f>IF(ISNUMBER('Step 3 (MTP) - Plan and prior'!J46),'Step 3 (MTP) - Plan and prior'!J46,"")</f>
        <v/>
      </c>
      <c r="K71" s="68" t="str">
        <f>IF(ISNUMBER('Step 3 (MTP) - Plan and prior'!K46),'Step 3 (MTP) - Plan and prior'!K46,"")</f>
        <v/>
      </c>
      <c r="L71" s="68" t="str">
        <f>IF(ISNUMBER('Step 3 (MTP) - Plan and prior'!L46),'Step 3 (MTP) - Plan and prior'!L46,"")</f>
        <v/>
      </c>
      <c r="M71" s="68" t="str">
        <f>IF(ISNUMBER('Step 3 (MTP) - Plan and prior'!M46),'Step 3 (MTP) - Plan and prior'!M46,"")</f>
        <v/>
      </c>
      <c r="N71" s="68" t="str">
        <f>IF(ISNUMBER('Step 3 (MTP) - Plan and prior'!N46),'Step 3 (MTP) - Plan and prior'!N46,"")</f>
        <v/>
      </c>
      <c r="O71" s="68" t="str">
        <f>IF(ISNUMBER('Step 3 (MTP) - Plan and prior'!O46),'Step 3 (MTP) - Plan and prior'!O46,"")</f>
        <v/>
      </c>
      <c r="P71" s="68" t="str">
        <f>IF(ISNUMBER('Step 3 (MTP) - Plan and prior'!P46),'Step 3 (MTP) - Plan and prior'!P46,"")</f>
        <v/>
      </c>
      <c r="Q71" s="68" t="str">
        <f>IF(ISNUMBER('Step 3 (MTP) - Plan and prior'!Q46),'Step 3 (MTP) - Plan and prior'!Q46,"")</f>
        <v/>
      </c>
      <c r="R71" s="68" t="str">
        <f>IF(ISNUMBER('Step 3 (MTP) - Plan and prior'!R46),'Step 3 (MTP) - Plan and prior'!R46,"")</f>
        <v/>
      </c>
      <c r="S71" s="68" t="str">
        <f>IF(ISNUMBER('Step 3 (MTP) - Plan and prior'!S46),'Step 3 (MTP) - Plan and prior'!S46,"")</f>
        <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t="str">
        <f>IF(ISNUMBER('Step 3 (MTP) - Plan and prior'!D47),'Step 3 (MTP) - Plan and prior'!D47,"")</f>
        <v/>
      </c>
      <c r="E72" s="68" t="str">
        <f>IF(ISNUMBER('Step 3 (MTP) - Plan and prior'!E47),'Step 3 (MTP) - Plan and prior'!E47,"")</f>
        <v/>
      </c>
      <c r="F72" s="68" t="str">
        <f>IF(ISNUMBER('Step 3 (MTP) - Plan and prior'!F47),'Step 3 (MTP) - Plan and prior'!F47,"")</f>
        <v/>
      </c>
      <c r="G72" s="68" t="str">
        <f>IF(ISNUMBER('Step 3 (MTP) - Plan and prior'!G47),'Step 3 (MTP) - Plan and prior'!G47,"")</f>
        <v/>
      </c>
      <c r="H72" s="68" t="str">
        <f>IF(ISNUMBER('Step 3 (MTP) - Plan and prior'!H47),'Step 3 (MTP) - Plan and prior'!H47,"")</f>
        <v/>
      </c>
      <c r="I72" s="68" t="str">
        <f>IF(ISNUMBER('Step 3 (MTP) - Plan and prior'!I47),'Step 3 (MTP) - Plan and prior'!I47,"")</f>
        <v/>
      </c>
      <c r="J72" s="68" t="str">
        <f>IF(ISNUMBER('Step 3 (MTP) - Plan and prior'!J47),'Step 3 (MTP) - Plan and prior'!J47,"")</f>
        <v/>
      </c>
      <c r="K72" s="68" t="str">
        <f>IF(ISNUMBER('Step 3 (MTP) - Plan and prior'!K47),'Step 3 (MTP) - Plan and prior'!K47,"")</f>
        <v/>
      </c>
      <c r="L72" s="68" t="str">
        <f>IF(ISNUMBER('Step 3 (MTP) - Plan and prior'!L47),'Step 3 (MTP) - Plan and prior'!L47,"")</f>
        <v/>
      </c>
      <c r="M72" s="68" t="str">
        <f>IF(ISNUMBER('Step 3 (MTP) - Plan and prior'!M47),'Step 3 (MTP) - Plan and prior'!M47,"")</f>
        <v/>
      </c>
      <c r="N72" s="68" t="str">
        <f>IF(ISNUMBER('Step 3 (MTP) - Plan and prior'!N47),'Step 3 (MTP) - Plan and prior'!N47,"")</f>
        <v/>
      </c>
      <c r="O72" s="68" t="str">
        <f>IF(ISNUMBER('Step 3 (MTP) - Plan and prior'!O47),'Step 3 (MTP) - Plan and prior'!O47,"")</f>
        <v/>
      </c>
      <c r="P72" s="68" t="str">
        <f>IF(ISNUMBER('Step 3 (MTP) - Plan and prior'!P47),'Step 3 (MTP) - Plan and prior'!P47,"")</f>
        <v/>
      </c>
      <c r="Q72" s="68" t="str">
        <f>IF(ISNUMBER('Step 3 (MTP) - Plan and prior'!Q47),'Step 3 (MTP) - Plan and prior'!Q47,"")</f>
        <v/>
      </c>
      <c r="R72" s="68" t="str">
        <f>IF(ISNUMBER('Step 3 (MTP) - Plan and prior'!R47),'Step 3 (MTP) - Plan and prior'!R47,"")</f>
        <v/>
      </c>
      <c r="S72" s="68" t="str">
        <f>IF(ISNUMBER('Step 3 (MTP) - Plan and prior'!S47),'Step 3 (MTP) - Plan and prior'!S47,"")</f>
        <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0</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e" cm="1">
        <f t="array" ref="C94">IF(
   AssessmentEnd &lt;= OutturnThrough,
   NA(),
   SUMPRODUCT(
      (4:4 &gt;= OutturnThrough+1) *
      (4:4 &lt;= AssessmentEnd) *
      (34:34 &lt; 15:15)
   ) = 0
)</f>
        <v>#N/A</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956</v>
      </c>
      <c r="C95" s="15" t="b"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0</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958</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0</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957</v>
      </c>
      <c r="C97" s="15" t="str"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Not applicable (all years adhere to the net expenditure path)</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959</v>
      </c>
      <c r="C98" s="15" t="e"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#N/A</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960</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N/A</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e"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#N/A</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F105">_xlfn.SEQUENCE(1, AssessmentEnd-MTP_BaseYear+1, MTP_BaseYear)</f>
        <v>2023</v>
      </c>
      <c r="E105" s="3">
        <v>2024</v>
      </c>
      <c r="F105" s="3">
        <v>2025</v>
      </c>
      <c r="G105" s="3"/>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F106">IF(_xlfn.SEQUENCE(1,COLUMNS(_xlfn.ANCHORARRAY(D105)),-1)=-1,"T-1",IF(_xlfn.SEQUENCE(1,COLUMNS(_xlfn.ANCHORARRAY(D105)),-1)=0,"T","T+"&amp;_xlfn.SEQUENCE(1,COLUMNS(_xlfn.ANCHORARRAY(D105)),-1)))</f>
        <v>T-1</v>
      </c>
      <c r="E106" s="3" t="str">
        <v>T</v>
      </c>
      <c r="F106" s="3" t="str">
        <v>T+1</v>
      </c>
      <c r="G106" s="3"/>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0</v>
      </c>
      <c r="E108" s="144">
        <f t="shared" si="2"/>
        <v>0</v>
      </c>
      <c r="F108" s="144">
        <f t="shared" si="2"/>
        <v>0</v>
      </c>
      <c r="G108" s="144" t="str">
        <f t="shared" si="2"/>
        <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v>
      </c>
      <c r="E109" s="144">
        <f t="shared" si="3"/>
        <v>0</v>
      </c>
      <c r="F109" s="144">
        <f t="shared" si="3"/>
        <v>0</v>
      </c>
      <c r="G109" s="144" t="str">
        <f t="shared" si="3"/>
        <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0</v>
      </c>
      <c r="E110" s="144">
        <f t="shared" si="4"/>
        <v>0</v>
      </c>
      <c r="F110" s="144">
        <f t="shared" si="4"/>
        <v>0</v>
      </c>
      <c r="G110" s="144" t="str">
        <f t="shared" si="4"/>
        <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0</v>
      </c>
      <c r="E111" s="144">
        <f t="shared" si="5"/>
        <v>0</v>
      </c>
      <c r="F111" s="144">
        <f t="shared" si="5"/>
        <v>0</v>
      </c>
      <c r="G111" s="144" t="str">
        <f t="shared" si="5"/>
        <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v>
      </c>
      <c r="E112" s="144">
        <f t="shared" si="6"/>
        <v>0</v>
      </c>
      <c r="F112" s="144">
        <f t="shared" si="6"/>
        <v>0</v>
      </c>
      <c r="G112" s="144" t="str">
        <f t="shared" si="6"/>
        <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v>
      </c>
      <c r="E113" s="144">
        <f t="shared" si="7"/>
        <v>0</v>
      </c>
      <c r="F113" s="144">
        <f t="shared" si="7"/>
        <v>0</v>
      </c>
      <c r="G113" s="144" t="str">
        <f t="shared" si="7"/>
        <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0</v>
      </c>
      <c r="E114" s="144">
        <f t="shared" si="8"/>
        <v>0</v>
      </c>
      <c r="F114" s="144">
        <f t="shared" si="8"/>
        <v>0</v>
      </c>
      <c r="G114" s="144" t="str">
        <f t="shared" si="8"/>
        <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0</v>
      </c>
      <c r="F115" s="91">
        <f t="shared" ref="F115:J115" si="9">IF(ISNUMBER(F105),F114-E114,"")</f>
        <v>0</v>
      </c>
      <c r="G115" s="91" t="str">
        <f t="shared" si="9"/>
        <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0</v>
      </c>
      <c r="F116" s="144">
        <f t="shared" si="10"/>
        <v>0</v>
      </c>
      <c r="G116" s="144" t="str">
        <f t="shared" si="10"/>
        <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v>
      </c>
      <c r="F117" s="144">
        <f t="shared" ref="F117:J117" si="11">IF(ISNUMBER(F105),F115-F116,"")</f>
        <v>0</v>
      </c>
      <c r="G117" s="144" t="str">
        <f t="shared" si="11"/>
        <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t="e">
        <f>IF(ISNUMBER(E105),E117/D114*100,"")</f>
        <v>#DIV/0!</v>
      </c>
      <c r="F119" s="144" t="e">
        <f t="shared" ref="F119:J119" si="12">IF(ISNUMBER(F105),F117/E114*100,"")</f>
        <v>#DIV/0!</v>
      </c>
      <c r="G119" s="144" t="str">
        <f t="shared" si="12"/>
        <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0</v>
      </c>
      <c r="F120" s="144">
        <f t="shared" si="13"/>
        <v>0</v>
      </c>
      <c r="G120" s="144" t="str">
        <f t="shared" si="13"/>
        <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t="e">
        <f>IF(ISNUMBER(E105),((E119-E120)/100)*D114,"")</f>
        <v>#DIV/0!</v>
      </c>
      <c r="F121" s="144" t="e">
        <f t="shared" ref="F121:J121" si="14">IF(ISNUMBER(F105),((F119-F120)/100)*E114,"")</f>
        <v>#DIV/0!</v>
      </c>
      <c r="G121" s="144" t="str">
        <f t="shared" si="14"/>
        <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t="e">
        <f>IF(ISNUMBER(E105),E121+IF(ISNUMBER(D105),D122,0),"")</f>
        <v>#DIV/0!</v>
      </c>
      <c r="F122" s="144" t="e">
        <f t="shared" ref="F122:J122" si="15">IF(ISNUMBER(F105),F121+IF(ISNUMBER(E105),E122,0),"")</f>
        <v>#DIV/0!</v>
      </c>
      <c r="G122" s="144" t="str">
        <f t="shared" si="15"/>
        <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0</v>
      </c>
      <c r="E123" s="144">
        <f t="shared" si="16"/>
        <v>0</v>
      </c>
      <c r="F123" s="144">
        <f t="shared" si="16"/>
        <v>0</v>
      </c>
      <c r="G123" s="144" t="str">
        <f t="shared" si="16"/>
        <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t="e">
        <f>IF(ISNUMBER(E105),E121/E$123*100,"")</f>
        <v>#DIV/0!</v>
      </c>
      <c r="F125" s="4" t="e">
        <f t="shared" ref="F125:J125" si="17">IF(ISNUMBER(F105),F121/F$123*100,"")</f>
        <v>#DIV/0!</v>
      </c>
      <c r="G125" s="4" t="str">
        <f t="shared" si="17"/>
        <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t="e">
        <f>IF(ISNUMBER(E105),E122/E$123*100,"")</f>
        <v>#DIV/0!</v>
      </c>
      <c r="F126" s="4" t="e">
        <f t="shared" ref="F126:J126" si="18">IF(ISNUMBER(F105),F122/F$123*100,"")</f>
        <v>#DIV/0!</v>
      </c>
      <c r="G126" s="4" t="str">
        <f t="shared" si="18"/>
        <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t="e">
        <f>IF(ISNUMBER(E105),E121/E$123*100,"")</f>
        <v>#DIV/0!</v>
      </c>
      <c r="F128" s="4" t="e">
        <f t="shared" ref="F128:J128" si="19">IF(ISNUMBER(F105),F121/F$123*100,"")</f>
        <v>#DIV/0!</v>
      </c>
      <c r="G128" s="4" t="str">
        <f t="shared" si="19"/>
        <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0</v>
      </c>
      <c r="E129" s="144">
        <f t="shared" si="20"/>
        <v>0</v>
      </c>
      <c r="F129" s="144">
        <f t="shared" si="20"/>
        <v>0</v>
      </c>
      <c r="G129" s="144" t="str">
        <f t="shared" si="20"/>
        <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t="e">
        <f t="shared" ref="D130:J130" si="21">IF(ISNUMBER(D105),D14/D123*100,"")</f>
        <v>#DIV/0!</v>
      </c>
      <c r="E130" s="4" t="e">
        <f t="shared" si="21"/>
        <v>#DIV/0!</v>
      </c>
      <c r="F130" s="4" t="e">
        <f t="shared" si="21"/>
        <v>#DIV/0!</v>
      </c>
      <c r="G130" s="4" t="str">
        <f t="shared" si="21"/>
        <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0</v>
      </c>
      <c r="F131" s="4">
        <f t="shared" ref="F131:J131" si="22">IF(ISNUMBER(F105),F129-E129,"")</f>
        <v>0</v>
      </c>
      <c r="G131" s="4" t="str">
        <f t="shared" si="22"/>
        <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t="e">
        <f>IF(ISNUMBER(E105),E131/E$27*100,"")</f>
        <v>#DIV/0!</v>
      </c>
      <c r="F132" s="4" t="e">
        <f>IF(ISNUMBER(F105),F131/F$27*100,"")</f>
        <v>#DIV/0!</v>
      </c>
      <c r="G132" s="4" t="str">
        <f t="shared" ref="G132:J132" si="23">IF(ISNUMBER(G105),G131/G$27*100,"")</f>
        <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Enter year</v>
      </c>
      <c r="C133" t="s">
        <v>6</v>
      </c>
      <c r="E133" s="4" t="e">
        <f>IF(ISNUMBER(E105),E134/100*E$27,"")</f>
        <v>#DIV/0!</v>
      </c>
      <c r="F133" s="4" t="e">
        <f t="shared" ref="F133:G133" si="24">IF(ISNUMBER(F105),F134/100*F$27,"")</f>
        <v>#DIV/0!</v>
      </c>
      <c r="G133" s="4" t="str">
        <f t="shared" si="24"/>
        <v/>
      </c>
      <c r="H133" s="4"/>
      <c r="I133" s="4"/>
      <c r="J133" s="4"/>
      <c r="K133" s="4"/>
    </row>
    <row r="134" spans="1:35" x14ac:dyDescent="0.4">
      <c r="B134" s="5" t="str">
        <f>"Growth of defence expenditure since "&amp;'Step 1 - Set global parameters'!B26&amp;""</f>
        <v>Growth of defence expenditure since Enter year</v>
      </c>
      <c r="C134" t="s">
        <v>603</v>
      </c>
      <c r="E134" s="4" t="e">
        <f>IF(ISNUMBER(E105),E130-'Step 1 - Set global parameters'!$B$27,"")</f>
        <v>#DIV/0!</v>
      </c>
      <c r="F134" s="4" t="e">
        <f>IF(ISNUMBER(F105),F130-'Step 1 - Set global parameters'!$B$27,"")</f>
        <v>#DIV/0!</v>
      </c>
      <c r="G134" s="4" t="str">
        <f>IF(ISNUMBER(G105),G130-'Step 1 - Set global parameters'!$B$27,"")</f>
        <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t="e">
        <f t="shared" ref="E135:J135" si="25">IF(ISNUMBER(E105),IF((E128-E134)&gt;0,E128-E134,0),"")</f>
        <v>#DIV/0!</v>
      </c>
      <c r="F135" s="117" t="e">
        <f t="shared" si="25"/>
        <v>#DIV/0!</v>
      </c>
      <c r="G135" s="117" t="str">
        <f t="shared" si="25"/>
        <v/>
      </c>
      <c r="H135" s="117" t="str">
        <f t="shared" si="25"/>
        <v/>
      </c>
      <c r="I135" s="117" t="str">
        <f t="shared" si="25"/>
        <v/>
      </c>
      <c r="J135" s="117" t="str">
        <f t="shared" si="25"/>
        <v/>
      </c>
      <c r="K135" s="117"/>
    </row>
    <row r="136" spans="1:35" s="44" customFormat="1" x14ac:dyDescent="0.4">
      <c r="B136" s="82" t="s">
        <v>652</v>
      </c>
      <c r="C136" s="44" t="s">
        <v>651</v>
      </c>
      <c r="E136" s="48" t="e">
        <f>IF(ISNUMBER(E105),E121,"")</f>
        <v>#DIV/0!</v>
      </c>
      <c r="F136" s="48" t="e">
        <f t="shared" ref="F136:J136" si="26">IF(ISNUMBER(F105),F121,"")</f>
        <v>#DIV/0!</v>
      </c>
      <c r="G136" s="48" t="str">
        <f t="shared" si="26"/>
        <v/>
      </c>
      <c r="H136" s="48" t="str">
        <f t="shared" si="26"/>
        <v/>
      </c>
      <c r="I136" s="48" t="str">
        <f t="shared" si="26"/>
        <v/>
      </c>
      <c r="J136" s="48" t="str">
        <f t="shared" si="26"/>
        <v/>
      </c>
      <c r="K136" s="48"/>
    </row>
    <row r="137" spans="1:35" s="44" customFormat="1" x14ac:dyDescent="0.4">
      <c r="B137" s="90" t="s">
        <v>249</v>
      </c>
      <c r="C137" s="44" t="s">
        <v>651</v>
      </c>
      <c r="D137" s="48"/>
      <c r="E137" s="48" t="e">
        <f>IF(ISNUMBER(E105),IF(OR(E136="",ISNA(E136)),"",MAX(E136,0)),"")</f>
        <v>#DIV/0!</v>
      </c>
      <c r="F137" s="48" t="e">
        <f t="shared" ref="F137:J137" si="27">IF(ISNUMBER(F105),IF(OR(F136="",ISNA(F136)),"",MAX(F136,0)),"")</f>
        <v>#DIV/0!</v>
      </c>
      <c r="G137" s="48" t="str">
        <f t="shared" si="27"/>
        <v/>
      </c>
      <c r="H137" s="48" t="str">
        <f t="shared" si="27"/>
        <v/>
      </c>
      <c r="I137" s="48" t="str">
        <f t="shared" si="27"/>
        <v/>
      </c>
      <c r="J137" s="48" t="str">
        <f t="shared" si="27"/>
        <v/>
      </c>
      <c r="K137" s="48"/>
    </row>
    <row r="138" spans="1:35" s="44" customFormat="1" x14ac:dyDescent="0.4">
      <c r="B138" s="90" t="s">
        <v>649</v>
      </c>
      <c r="C138" s="44" t="s">
        <v>651</v>
      </c>
      <c r="E138" s="48" t="e">
        <f>IF(ISNUMBER(E105),IF((E137-MAX(E133,0))&gt;0,E137-MAX(E133,0),0),"")</f>
        <v>#DIV/0!</v>
      </c>
      <c r="F138" s="48" t="e">
        <f t="shared" ref="F138:G138" si="28">IF(ISNUMBER(F105),IF((F137-MAX(F133,0))&gt;0,F137-MAX(F133,0),0),"")</f>
        <v>#DIV/0!</v>
      </c>
      <c r="G138" s="48" t="str">
        <f t="shared" si="28"/>
        <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t="e">
        <f>IF(ISNUMBER(E105),IF(OR(E136="",ISNA(E136)),"",ABS(MIN(E136,0))),"")</f>
        <v>#DIV/0!</v>
      </c>
      <c r="F139" s="48" t="e">
        <f t="shared" ref="F139:J139" si="30">IF(ISNUMBER(F105),IF(OR(F136="",ISNA(F136)),"",ABS(MIN(F136,0))),"")</f>
        <v>#DIV/0!</v>
      </c>
      <c r="G139" s="48" t="str">
        <f t="shared" si="30"/>
        <v/>
      </c>
      <c r="H139" s="48" t="str">
        <f t="shared" si="30"/>
        <v/>
      </c>
      <c r="I139" s="48" t="str">
        <f t="shared" si="30"/>
        <v/>
      </c>
      <c r="J139" s="48" t="str">
        <f t="shared" si="30"/>
        <v/>
      </c>
      <c r="K139" s="48"/>
    </row>
    <row r="140" spans="1:35" s="44" customFormat="1" x14ac:dyDescent="0.4">
      <c r="B140" s="55" t="s">
        <v>653</v>
      </c>
      <c r="C140" s="44" t="s">
        <v>651</v>
      </c>
      <c r="E140" s="48" t="e">
        <f>IF(ISNUMBER(E105),IF(E145=FALSE,E137-E139,IF(E146=TRUE,E138-E139,E139)),"")</f>
        <v>#DIV/0!</v>
      </c>
      <c r="F140" s="48" t="e">
        <f t="shared" ref="F140:J140" si="31">IF(ISNUMBER(F105),IF(F145=FALSE,F137-F139,IF(F146=TRUE,F138-F139,F139)),"")</f>
        <v>#DIV/0!</v>
      </c>
      <c r="G140" s="48" t="str">
        <f t="shared" si="31"/>
        <v/>
      </c>
      <c r="H140" s="48" t="str">
        <f t="shared" si="31"/>
        <v/>
      </c>
      <c r="I140" s="48" t="str">
        <f t="shared" si="31"/>
        <v/>
      </c>
      <c r="J140" s="48" t="str">
        <f t="shared" si="31"/>
        <v/>
      </c>
      <c r="K140" s="48"/>
    </row>
    <row r="141" spans="1:35" s="44" customFormat="1" x14ac:dyDescent="0.4">
      <c r="B141" s="55" t="s">
        <v>697</v>
      </c>
      <c r="C141" s="44" t="s">
        <v>651</v>
      </c>
      <c r="E141" s="48" t="e">
        <f>IF(ISNUMBER(E105),E140+IF(ISNUMBER(D105),D141,0),"")</f>
        <v>#DIV/0!</v>
      </c>
      <c r="F141" s="48" t="e">
        <f>IF(ISNUMBER(F105),F140+IF(ISNUMBER(E105),E141,0),"")</f>
        <v>#DIV/0!</v>
      </c>
      <c r="G141" s="48" t="str">
        <f>IF(ISNUMBER(G105),G140+IF(ISNUMBER(F105),F141,0),"")</f>
        <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t="e">
        <f>IF(ISNUMBER(E105),E140/E123*100,"")</f>
        <v>#DIV/0!</v>
      </c>
      <c r="F142" s="4" t="e">
        <f t="shared" ref="F142:J142" si="33">IF(ISNUMBER(F105),F140/F123*100,"")</f>
        <v>#DIV/0!</v>
      </c>
      <c r="G142" s="4" t="str">
        <f t="shared" si="33"/>
        <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t="e">
        <f>IF(ISNUMBER(E105),E141/E$123*100,"")</f>
        <v>#DIV/0!</v>
      </c>
      <c r="F143" s="4" t="e">
        <f t="shared" ref="F143:J143" si="34">IF(ISNUMBER(F105),F141/F$123*100,"")</f>
        <v>#DIV/0!</v>
      </c>
      <c r="G143" s="4" t="str">
        <f t="shared" si="34"/>
        <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t="e">
        <f>IF(ISNUMBER(E105),E126-E134,"")</f>
        <v>#DIV/0!</v>
      </c>
      <c r="F144" s="4" t="e">
        <f t="shared" ref="F144:J144" si="35">IF(ISNUMBER(F105),F126-F134,"")</f>
        <v>#DIV/0!</v>
      </c>
      <c r="G144" s="4" t="str">
        <f t="shared" si="35"/>
        <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0</v>
      </c>
      <c r="G145" s="148" t="b">
        <f>'Step 1 - Set global parameters'!D21</f>
        <v>0</v>
      </c>
      <c r="H145" s="148" t="b">
        <f>'Step 1 - Set global parameters'!E21</f>
        <v>0</v>
      </c>
      <c r="I145" s="148" t="b">
        <f>'Step 1 - Set global parameters'!F21</f>
        <v>0</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e">
        <f>IF('Step 1 - Set global parameters'!C21,IF('Step 1 - Set global parameters'!C23="Defence", TRUE, FALSE),NA())</f>
        <v>#N/A</v>
      </c>
      <c r="G146" s="148" t="e">
        <f>IF('Step 1 - Set global parameters'!D21,IF('Step 1 - Set global parameters'!D23="Defence", TRUE, FALSE),NA())</f>
        <v>#N/A</v>
      </c>
      <c r="H146" s="148" t="e">
        <f>IF('Step 1 - Set global parameters'!E21,IF('Step 1 - Set global parameters'!E23="Defence", TRUE, FALSE),NA())</f>
        <v>#N/A</v>
      </c>
      <c r="I146" s="148" t="e">
        <f>IF('Step 1 - Set global parameters'!F21,IF('Step 1 - Set global parameters'!F23="Defence", TRUE, FALSE),NA())</f>
        <v>#N/A</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t="e">
        <f>IF('Step 1 - Set global parameters'!C21,'Step 1 - Set global parameters'!C24,NA())</f>
        <v>#N/A</v>
      </c>
      <c r="G147" s="148" t="e">
        <f>IF('Step 1 - Set global parameters'!D21,'Step 1 - Set global parameters'!D24,NA())</f>
        <v>#N/A</v>
      </c>
      <c r="H147" s="148" t="e">
        <f>IF('Step 1 - Set global parameters'!E21,'Step 1 - Set global parameters'!E24,NA())</f>
        <v>#N/A</v>
      </c>
      <c r="I147" s="148" t="e">
        <f>IF('Step 1 - Set global parameters'!F21,'Step 1 - Set global parameters'!F24,NA())</f>
        <v>#N/A</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e">
        <f>F142 &gt; 0.3</f>
        <v>#DIV/0!</v>
      </c>
      <c r="G148" s="76" t="b">
        <f>G142 &gt; 0.3</f>
        <v>1</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e">
        <f>IF(F143 &gt; 0.6, TRUE, FALSE)</f>
        <v>#DIV/0!</v>
      </c>
      <c r="G149" s="119" t="b">
        <f>IF(G143 &gt; 0.6, TRUE, FALSE)</f>
        <v>1</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e">
        <f>MAX(INDEX(142:142,_xlfn.XMATCH(MTP_YearT,105:105,0)):INDEX(142:142,_xlfn.XMATCH(AssessmentEnd,105:105,0)))&gt;0.3</f>
        <v>#DIV/0!</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e">
        <f>MAX(INDEX(143:143,_xlfn.XMATCH(MTP_YearT,105:105,0)):INDEX(143:143,_xlfn.XMATCH(AssessmentEnd,105:105,0)))&gt;0.6</f>
        <v>#DIV/0!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e">
        <f>MAX(INDEX(142:142,_xlfn.XMATCH(MTP_YearT,105:105,0)):INDEX(142:142,_xlfn.XMATCH(OutturnThrough,105:105,0)))&gt;0.3</f>
        <v>#DIV/0!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e">
        <f>MAX(INDEX(143:143,_xlfn.XMATCH(MTP_YearT,105:105,0)):INDEX(143:143,_xlfn.XMATCH(OutturnThrough,105:105,0)))&gt;0.6</f>
        <v>#DIV/0!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e"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#N/A</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e"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#N/A</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e"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#DIV/0!</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e"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#DIV/0!</v>
      </c>
      <c r="D158" s="58"/>
      <c r="E158" s="58"/>
      <c r="F158" s="58"/>
      <c r="G158" s="58"/>
      <c r="H158" s="58"/>
      <c r="I158" s="58"/>
      <c r="J158" s="58"/>
      <c r="K158" s="58"/>
      <c r="L158" s="58"/>
      <c r="M158" s="58"/>
      <c r="N158" s="58"/>
      <c r="O158" s="58"/>
      <c r="P158" s="58"/>
      <c r="Q158" s="58"/>
      <c r="R158" s="58"/>
      <c r="S158" s="58"/>
      <c r="T158" s="58"/>
    </row>
    <row r="159" spans="1:35" x14ac:dyDescent="0.4">
      <c r="B159" s="46" t="s">
        <v>962</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N/A</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e">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#DIV/0!</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0</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e"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#N/A</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does not apply as Select country's debt is not above 60% of GDP.</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F172">_xlfn.SEQUENCE(1, AssessmentEnd-MTP_BaseYear+1, MTP_BaseYear)</f>
        <v>2023</v>
      </c>
      <c r="E172" s="14">
        <v>2024</v>
      </c>
      <c r="F172" s="17">
        <v>2025</v>
      </c>
      <c r="G172" s="14"/>
      <c r="H172" s="14"/>
      <c r="I172" s="14"/>
    </row>
    <row r="173" spans="2:35" customFormat="1" x14ac:dyDescent="0.4">
      <c r="B173" t="s">
        <v>383</v>
      </c>
      <c r="C173" s="37"/>
      <c r="D173" s="91" cm="1">
        <f t="array" ref="D173:F173">INDEX(18:18, COLUMN($D$18) + _xlfn.SEQUENCE(1, COLUMNS(_xlfn.ANCHORARRAY(D4))) - 1)</f>
        <v>0</v>
      </c>
      <c r="E173" s="91">
        <v>0</v>
      </c>
      <c r="F173" s="91">
        <v>0</v>
      </c>
      <c r="G173" s="91"/>
      <c r="H173" s="91"/>
      <c r="I173" s="91"/>
      <c r="J173" s="91"/>
      <c r="K173" s="91"/>
      <c r="L173" s="91"/>
      <c r="M173" s="91"/>
      <c r="N173" s="91"/>
    </row>
    <row r="174" spans="2:35" customFormat="1" x14ac:dyDescent="0.4">
      <c r="B174" t="s">
        <v>214</v>
      </c>
      <c r="C174" s="37"/>
      <c r="D174" s="91" cm="1">
        <f t="array" ref="D174:F174">INDEX(19:19, COLUMN($D$19) + _xlfn.SEQUENCE(1, COLUMNS(_xlfn.ANCHORARRAY(D4))) - 1)</f>
        <v>0</v>
      </c>
      <c r="E174" s="91">
        <v>0</v>
      </c>
      <c r="F174" s="91">
        <v>0</v>
      </c>
      <c r="G174" s="91"/>
      <c r="H174" s="91"/>
      <c r="I174" s="91"/>
      <c r="J174" s="91"/>
      <c r="K174" s="91"/>
      <c r="L174" s="91"/>
      <c r="M174" s="91"/>
    </row>
    <row r="175" spans="2:35" customFormat="1" x14ac:dyDescent="0.4">
      <c r="B175" s="7" t="s">
        <v>384</v>
      </c>
      <c r="C175" s="93"/>
      <c r="D175" s="91"/>
      <c r="E175" s="117" cm="1">
        <f t="array" ref="E175:F175">_xlfn.DROP(_xlfn.ANCHORARRAY(D174),,1) - _xlfn.TAKE(_xlfn.ANCHORARRAY(D174),,COLUMNS(_xlfn.ANCHORARRAY(D172))-1)</f>
        <v>0</v>
      </c>
      <c r="F175" s="91">
        <v>0</v>
      </c>
      <c r="G175" s="91"/>
      <c r="H175" s="91"/>
      <c r="I175" s="91"/>
      <c r="J175" s="91"/>
      <c r="K175" s="91"/>
      <c r="L175" s="91"/>
    </row>
    <row r="176" spans="2:35" customFormat="1" x14ac:dyDescent="0.4">
      <c r="B176" t="s">
        <v>660</v>
      </c>
      <c r="D176" s="3" t="b">
        <f>IF(ISNUMBER(D172),D173&lt;-1.5,"")</f>
        <v>0</v>
      </c>
      <c r="E176" s="3" t="b">
        <f t="shared" ref="E176:K176" si="36">IF(ISNUMBER(E172),E173&lt;-1.5,"")</f>
        <v>0</v>
      </c>
      <c r="F176" s="3" t="b">
        <f t="shared" si="36"/>
        <v>0</v>
      </c>
      <c r="G176" s="3" t="str">
        <f t="shared" si="36"/>
        <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b" cm="1">
        <f t="array" ref="C177">IF(
  Receives_reference_trajectory,
  SUMPRODUCT(
    --(
      INDEX(176:176,1,COLUMN($D$172)):
      INDEX(176:176,1,COLUMN($D$172)+COLUMNS(_xlfn.ANCHORARRAY($D$172))-1)
    )
  )&gt;0,
  NA()
)</f>
        <v>0</v>
      </c>
    </row>
    <row r="178" spans="2:35" x14ac:dyDescent="0.4">
      <c r="B178" t="s">
        <v>306</v>
      </c>
      <c r="C178" s="15">
        <f>IF(Receives_reference_trajectory,IF(AdjustmentPeriod=4,0.4,0.25),"Not applicable")</f>
        <v>0.4</v>
      </c>
      <c r="E178" s="17"/>
    </row>
    <row r="179" spans="2:35" x14ac:dyDescent="0.4">
      <c r="B179" t="s">
        <v>961</v>
      </c>
      <c r="C179" s="121" t="e"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#N/A</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does not apply, as Select country's structural deficit never exceeds 1.5 % of GDP over the adjustment period.</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0</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0</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t="e" cm="1">
        <f t="array" ref="C188">IF(
  AssessmentEnd &gt; OutturnThrough,
  (
    INDEX($19:$19, _xlfn.XMATCH(AssessmentEnd, $4:$4, 0))
    - INDEX($19:$19, _xlfn.XMATCH(OutturnThrough, $4:$4, 0))
  ) / (AssessmentEnd - OutturnThrough),
  NA()
)</f>
        <v>#N/A</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0</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e">
        <f>IF(OR(ISNA(C188), ISNA(C187)), NA(), AND(ISNUMBER(C188), ISNUMBER(C187), C188 &gt;= C187))</f>
        <v>#N/A</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Not applicable — the assessment period does not extend beyond the latest outturn year; there is no forward-looking SPB path to assess.</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Select country's MTP must not exceed (or Select country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0</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Select country's gross general government debt in 2023 was % of GDP, which does not exceed the 60% TFEU reference level.</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Select country's net lending (general government surplus) in 2023 was %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1</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Select IFI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Select IFI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Select country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t="e">
        <f>IFERROR(
  AVERAGEIFS(
    69:69,
    32:32, "&gt;" &amp; MTP_YearT,
    32:32, "&lt;=" &amp; AdjustmentPeriodEnd
  ),
  NA()
)</f>
        <v>#N/A</v>
      </c>
    </row>
    <row r="233" spans="2:35" customFormat="1" x14ac:dyDescent="0.4">
      <c r="B233" t="s">
        <v>492</v>
      </c>
      <c r="C233" s="126">
        <f>AVERAGEIFS(
  34:34,
  32:32, "&gt;" &amp; MTP_YearT,
  32:32, "&lt;=" &amp; AdjustmentPeriodEnd
)</f>
        <v>0</v>
      </c>
    </row>
    <row r="234" spans="2:35" customFormat="1" x14ac:dyDescent="0.4">
      <c r="B234" t="s">
        <v>493</v>
      </c>
      <c r="C234" s="126" t="e">
        <f>IFERROR(C232-C233&lt;0, NA())</f>
        <v>#N/A</v>
      </c>
    </row>
    <row r="235" spans="2:35" x14ac:dyDescent="0.4">
      <c r="B235" s="14" t="s">
        <v>494</v>
      </c>
      <c r="C235" s="15" t="b">
        <f>IF(Receives_reference_trajectory,'Step 4 (MTP) - IFI scrutiny'!D3="Yes","Not applicable")</f>
        <v>1</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N/A</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b" cm="1">
        <f t="array" ref="C240">IF(Receives_reference_trajectory,SUMPRODUCT(((46:46&gt;=MTP_YearT)*(46:46&lt;=AdjustmentPeriodEnd)*(64:64&lt;=34:34)))=0,NA())</f>
        <v>1</v>
      </c>
      <c r="E240" s="18"/>
      <c r="J240" s="16"/>
    </row>
    <row r="241" spans="2:35" x14ac:dyDescent="0.4">
      <c r="B241" s="14" t="s">
        <v>519</v>
      </c>
      <c r="C241" s="15" t="e">
        <f>IF(AND(Receives_reference_trajectory,NOT(C240)),'Step 4 (MTP) - IFI scrutiny'!D3="Yes",NA())</f>
        <v>#N/A</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b">
        <f>IF(
  Receives_reference_trajectory,
  OR(C240, IFERROR(C241, TRUE)),
  NA()
)</f>
        <v>1</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Select country's latest MTP adheres to the Commission's reference trajectory.</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t="e">
        <f>IF(
  Receives_reference_trajectory,
  NA(),
  INDEX($65:$65, MATCH(AdjustmentPeriodEnd, $62:$62, 0))
)</f>
        <v>#N/A</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t="e">
        <f>IF(
  Receives_reference_trajectory,
  NA(),
  INDEX($66:$66, MATCH(AdjustmentPeriodEnd, $62:$62, 0))
)</f>
        <v>#N/A</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t="e">
        <f>IF(
  Receives_reference_trajectory,
  NA(),
  INDEX(37:37, MATCH(AdjustmentPeriodEnd, 32:32, 0))
)</f>
        <v>#N/A</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e">
        <f>IF(
  Receives_reference_trajectory,
  NA(),
  C248 &gt;= C246
)</f>
        <v>#N/A</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e">
        <f>IF(
  Receives_reference_trajectory,
  NA(),
  OR(
    C250,
    IF(ISNA(C251), TRUE, C251)
  )
)</f>
        <v>#N/A</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b">
        <f>IF(
  NOT(Receives_reference_trajectory),
  "Not applicable",
  MAX(
    _xlfn.CHOOSECOLS(
      52:52,
      _xlfn.SEQUENCE(
        1,
        _xlfn.XMATCH(AdjustmentPeriodEnd+10,46:46,1) - _xlfn.XMATCH(AdjustmentPeriodEnd,46:46,0),
        _xlfn.XMATCH(AdjustmentPeriodEnd,46:46,0) + 1
      )
    )
  ) &lt;= TFEU_Debt
)</f>
        <v>1</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str"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60" s="18"/>
      <c r="J260" s="16"/>
    </row>
    <row r="261" spans="2:35" x14ac:dyDescent="0.4">
      <c r="B261" s="12" t="s">
        <v>357</v>
      </c>
      <c r="C261" s="15" t="str"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61" s="18"/>
      <c r="J261" s="16"/>
    </row>
    <row r="262" spans="2:35" x14ac:dyDescent="0.4">
      <c r="B262" s="12" t="s">
        <v>358</v>
      </c>
      <c r="C262" s="15" t="str"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62" s="18"/>
      <c r="J262" s="16"/>
    </row>
    <row r="263" spans="2:35" x14ac:dyDescent="0.4">
      <c r="B263" s="12" t="s">
        <v>359</v>
      </c>
      <c r="C263" s="15" t="str"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63" s="18"/>
      <c r="J263" s="16"/>
    </row>
    <row r="264" spans="2:35" x14ac:dyDescent="0.4">
      <c r="B264" s="12" t="s">
        <v>360</v>
      </c>
      <c r="C264" s="15" t="str" cm="1">
        <f t="array" ref="C264">IF(OR(NOT(Receives_reference_trajectory),C258),"Not applicable",
 IF(_xlfn.XMATCH(AdjustmentPeriodEnd+5,46:46,1)-_xlfn.XMATCH(AdjustmentPeriodEnd,46:46,0)&lt;=0,TRUE,
   INDEX(87:87,_xlfn.XMATCH(AdjustmentPeriodEnd+5,46:46,1)) &lt; INDEX(87:87,_xlfn.XMATCH(AdjustmentPeriodEnd,46:46,0))
 ))</f>
        <v>Not applicable</v>
      </c>
      <c r="E264" s="18"/>
      <c r="J264" s="16"/>
    </row>
    <row r="265" spans="2:35" x14ac:dyDescent="0.4">
      <c r="B265" t="s">
        <v>361</v>
      </c>
      <c r="C265" s="15" t="b"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65" s="18"/>
      <c r="J265" s="16"/>
    </row>
    <row r="266" spans="2:35" ht="20.25" customHeight="1" x14ac:dyDescent="0.4">
      <c r="B266" s="14" t="s">
        <v>258</v>
      </c>
      <c r="C266" s="102" t="str">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Select country's planned net expenditure ensures gross government debt remains at prudent levels below 60% over the medium-term.</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e" cm="1">
        <f t="array" ref="C269">IF(
  Receives_reference_trajectory,
  NA(),
  MAX(IF((46:46&gt;AdjustmentPeriodEnd)*(46:46&lt;=AdjustmentPeriodEnd+10), 52:52)) &lt;= TFEU_Debt
)</f>
        <v>#N/A</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Not applicable</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b" cm="1">
        <f t="array" ref="C274">IF(
  Receives_reference_trajectory,
  IFERROR(
    AND(
      _xlfn._xlws.FILTER(
        50:50,
        (46:46&gt;=MTP_YearT)*(46:46&lt;=AdjustmentPeriodEnd)
      ) &gt; -TFEU_Deficit
    ),
    NA()
  ),
  NA()
)</f>
        <v>1</v>
      </c>
      <c r="E274" s="18"/>
      <c r="J274" s="16"/>
    </row>
    <row r="275" spans="2:35" x14ac:dyDescent="0.4">
      <c r="B275" t="s">
        <v>499</v>
      </c>
      <c r="C275" s="15" t="b" cm="1">
        <f t="array" ref="C275">IF(
  Receives_reference_trajectory,
  IFERROR(
    AND(
      _xlfn._xlws.FILTER(
        50:50,
        (46:46&gt;=AdjustmentPeriodEnd)*(46:46&lt;=AdjustmentPeriodEnd+10)
      ) &gt; -TFEU_Deficit
    ),
    NA()
  ),
  NA()
)</f>
        <v>1</v>
      </c>
      <c r="E275" s="18"/>
      <c r="J275" s="16"/>
    </row>
    <row r="276" spans="2:35" ht="20.25" customHeight="1" x14ac:dyDescent="0.4">
      <c r="B276" s="14" t="s">
        <v>258</v>
      </c>
      <c r="C276" s="102" t="str">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Select country's net expenditure path maintains the government deficit below 3% of GDP throughout the adjustment period and over the medium term.</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e" cm="1">
        <f t="array" ref="C279">IF(
  Receives_reference_trajectory,
  NA(),
  MIN(IF((46:46&gt;=AdjustmentPeriodEnd)*(46:46&lt;=AdjustmentPeriodEnd+10), 50:50)) &gt;= -TFEU_Deficit
)</f>
        <v>#N/A</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e" cm="1">
        <f t="array" ref="C280">IF(
  Receives_reference_trajectory,
  NA(),
  MIN(IF(46:46=AdjustmentPeriodEnd, 50:50)) &gt;= -TFEU_Deficit
)</f>
        <v>#N/A</v>
      </c>
      <c r="E280" s="18"/>
      <c r="J280" s="16"/>
    </row>
    <row r="281" spans="2:35" x14ac:dyDescent="0.4">
      <c r="B281" s="2" t="s">
        <v>525</v>
      </c>
      <c r="C281" s="15" t="e" cm="1">
        <f t="array" ref="C281">IF(
  Receives_reference_trajectory,
  NA(),
  MIN(IF((46:46&gt;AdjustmentPeriodEnd)*(46:46&lt;=AdjustmentPeriodEnd+10), 50:50)) &gt;= -TFEU_Deficit
)</f>
        <v>#N/A</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0</v>
      </c>
      <c r="E287" s="91">
        <v>0</v>
      </c>
      <c r="F287" s="91">
        <v>0</v>
      </c>
      <c r="G287" s="91">
        <v>0</v>
      </c>
      <c r="H287" s="91">
        <v>0</v>
      </c>
      <c r="I287" s="91">
        <v>0</v>
      </c>
    </row>
    <row r="288" spans="2:35" ht="13.5" customHeight="1" x14ac:dyDescent="0.4">
      <c r="B288" s="7" t="s">
        <v>346</v>
      </c>
      <c r="C288" s="93"/>
      <c r="E288" s="100">
        <f>IF(ISNUMBER(E287),E287-D287,"")</f>
        <v>0</v>
      </c>
      <c r="F288" s="100">
        <f t="shared" ref="F288:M288" si="37">IF(ISNUMBER(F287),F287-E287,"")</f>
        <v>0</v>
      </c>
      <c r="G288" s="100">
        <f t="shared" si="37"/>
        <v>0</v>
      </c>
      <c r="H288" s="100">
        <f t="shared" si="37"/>
        <v>0</v>
      </c>
      <c r="I288" s="100">
        <f t="shared" si="37"/>
        <v>0</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b" cm="1">
        <f t="array" ref="C290">IF(
  Receives_reference_trajectory,
  MAX(ROUND(_xlfn._xlws.FILTER(288:288, ISNUMBER(286:286)*(286:286&gt;=MTP_YearT+1)*(286:286&lt;=AdjustmentPeriodEnd)), 1))
  =
  MIN(ROUND(_xlfn._xlws.FILTER(288:288, ISNUMBER(286:286)*(286:286&gt;=MTP_YearT+1)*(286:286&lt;=AdjustmentPeriodEnd)), 1)),
  NA()
)</f>
        <v>1</v>
      </c>
      <c r="D290" s="51"/>
    </row>
    <row r="291" spans="2:15" x14ac:dyDescent="0.4">
      <c r="B291" t="s">
        <v>353</v>
      </c>
      <c r="C291" s="97" t="b" cm="1">
        <f t="array" ref="C291">IF(
  Receives_reference_trajectory,
  MAX(
    _xlfn.DROP(
      ROUND(
        _xlfn._xlws.FILTER(288:288, ISNUMBER(286:286)*(286:286&gt;=MTP_YearT+1)*(286:286&lt;=AdjustmentPeriodEnd)),
        1
      ),
      ,1
    )
    -
    _xlfn.DROP(
      ROUND(
        _xlfn._xlws.FILTER(288:288, ISNUMBER(286:286)*(286:286&gt;=MTP_YearT+1)*(286:286&lt;=AdjustmentPeriodEnd)),
        1
      ),
      ,-1
    )
  )&lt;=0,
  NA()
)</f>
        <v>1</v>
      </c>
      <c r="D291" s="51"/>
    </row>
    <row r="292" spans="2:15" x14ac:dyDescent="0.4">
      <c r="B292" t="s">
        <v>354</v>
      </c>
      <c r="C292" s="97" t="b" cm="1">
        <f t="array" ref="C292">IF(
  Receives_reference_trajectory,
  AND(
    MAX(ROUND(_xlfn._xlws.FILTER(288:288,ISNUMBER(286:286)*(286:286&gt;=MTP_YearT+1)*(286:286&lt;=AdjustmentPeriodEnd)),1))=ROUND($C$293,1),
    MIN(ROUND(_xlfn._xlws.FILTER(288:288,ISNUMBER(286:286)*(286:286&gt;=MTP_YearT+1)*(286:286&lt;=AdjustmentPeriodEnd)),1))=ROUND($C$293,1)
  ),
  NA()
)</f>
        <v>1</v>
      </c>
      <c r="D292" s="51"/>
    </row>
    <row r="293" spans="2:15" x14ac:dyDescent="0.4">
      <c r="B293" s="3" t="s">
        <v>347</v>
      </c>
      <c r="C293" s="97" cm="1">
        <f t="array" ref="C293">IF(
  Receives_reference_trajectory,
  AVERAGE(
    _xlfn.DROP(
      _xlfn._xlws.FILTER(287:287, ISNUMBER(286:286)*(286:286&gt;=MTP_YearT+1)*(286:286&lt;=AdjustmentPeriodEnd)),
      ,1
    )
    -
    _xlfn.DROP(
      _xlfn._xlws.FILTER(287:287, ISNUMBER(286:286)*(286:286&gt;=MTP_YearT+1)*(286:286&lt;=AdjustmentPeriodEnd)),
      ,-1
    )
  ),
  NA()
)</f>
        <v>0</v>
      </c>
      <c r="D293" s="51"/>
    </row>
    <row r="294" spans="2:15" x14ac:dyDescent="0.4">
      <c r="B294" s="5" t="s">
        <v>348</v>
      </c>
      <c r="C294" s="97" t="b">
        <f>IF(Receives_reference_trajectory,AND(C290:C292),NA())</f>
        <v>1</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Select country.</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0</v>
      </c>
    </row>
    <row r="313" spans="2:35" x14ac:dyDescent="0.4">
      <c r="B313" t="s">
        <v>381</v>
      </c>
      <c r="C313" s="15" t="b">
        <f>MAX(INDEX(52:52,1,COLUMN($D$46)):INDEX(52:52,1,COLUMN($D$46)+COLUMNS(_xlfn.ANCHORARRAY($D$46))-1))&gt;90</f>
        <v>0</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e"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#N/A</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e">
        <f>IF(
  NOT(Receives_reference_trajectory),
  NA(),
  IF(
    OR(C313=TRUE, C314=TRUE),
    IF(
      OR(
        IF(C313=TRUE, C315=FALSE, FALSE),
        IF(C314=TRUE, C316=FALSE, FALSE)
      ),
      FALSE,
      TRUE
    ),
    NA()
  )
)</f>
        <v>#N/A</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does not apply as Select country's debt is below 60%.</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0</v>
      </c>
      <c r="E323" s="91">
        <v>0</v>
      </c>
      <c r="F323" s="91">
        <v>0</v>
      </c>
      <c r="G323" s="91">
        <v>0</v>
      </c>
      <c r="H323" s="91">
        <v>0</v>
      </c>
      <c r="I323" s="91">
        <v>0</v>
      </c>
      <c r="J323" s="91"/>
      <c r="K323" s="91"/>
      <c r="L323" s="91"/>
      <c r="M323" s="91"/>
      <c r="N323" s="91"/>
    </row>
    <row r="324" spans="2:35" customFormat="1" x14ac:dyDescent="0.4">
      <c r="B324" t="s">
        <v>214</v>
      </c>
      <c r="C324" s="37"/>
      <c r="D324" s="91" cm="1">
        <f t="array" ref="D324:I324">INDEX(37:37, COLUMN($D$37) + _xlfn.SEQUENCE(1, COLUMNS(_xlfn.ANCHORARRAY(D322))) - 1)</f>
        <v>0</v>
      </c>
      <c r="E324" s="91">
        <v>0</v>
      </c>
      <c r="F324" s="91">
        <v>0</v>
      </c>
      <c r="G324" s="91">
        <v>0</v>
      </c>
      <c r="H324" s="91">
        <v>0</v>
      </c>
      <c r="I324" s="91">
        <v>0</v>
      </c>
      <c r="J324" s="91"/>
      <c r="K324" s="91"/>
      <c r="L324" s="91"/>
      <c r="M324" s="91"/>
    </row>
    <row r="325" spans="2:35" customFormat="1" x14ac:dyDescent="0.4">
      <c r="B325" s="7" t="s">
        <v>384</v>
      </c>
      <c r="C325" s="93"/>
      <c r="D325" s="91"/>
      <c r="E325" s="91"/>
      <c r="F325" s="91">
        <f>IF(COUNT(E324,F324)=2, F324-E324, "")</f>
        <v>0</v>
      </c>
      <c r="G325" s="91">
        <f t="shared" ref="G325:L325" si="38">IF(COUNT(F324,G324)=2, G324-F324, "")</f>
        <v>0</v>
      </c>
      <c r="H325" s="91">
        <f t="shared" si="38"/>
        <v>0</v>
      </c>
      <c r="I325" s="91">
        <f t="shared" si="38"/>
        <v>0</v>
      </c>
      <c r="J325" s="91" t="str">
        <f t="shared" si="38"/>
        <v/>
      </c>
      <c r="K325" s="91" t="str">
        <f t="shared" si="38"/>
        <v/>
      </c>
      <c r="L325" s="91" t="str">
        <f t="shared" si="38"/>
        <v/>
      </c>
    </row>
    <row r="326" spans="2:35" customFormat="1" x14ac:dyDescent="0.4">
      <c r="B326" t="s">
        <v>660</v>
      </c>
      <c r="D326" s="3" t="b">
        <f>IF(ISNUMBER(D322),D323&lt;-1.5,"")</f>
        <v>0</v>
      </c>
      <c r="E326" s="3" t="b">
        <f>IF(ISNUMBER(E322),E323&lt;-1.5,"")</f>
        <v>0</v>
      </c>
      <c r="F326" s="3" t="b">
        <f>IF(ISNUMBER(F322),F323&lt;-1.5,"")</f>
        <v>0</v>
      </c>
      <c r="G326" s="3" t="b">
        <f t="shared" ref="G326:M326" si="39">IF(ISNUMBER(G322),G323&lt;-1.5,"")</f>
        <v>0</v>
      </c>
      <c r="H326" s="3" t="b">
        <f t="shared" si="39"/>
        <v>0</v>
      </c>
      <c r="I326" s="3" t="b">
        <f t="shared" si="39"/>
        <v>0</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b" cm="1">
        <f t="array" ref="C328">IF(
  NOT(Receives_reference_trajectory),
  NA(),
  SUMPRODUCT(
    --(
      INDEX(326:326,1,COLUMN($D$322)):
      INDEX(326:326,1,COLUMN($D$322)+COLUMNS(_xlfn.ANCHORARRAY($D$322))-1)
    )
  )&gt;0
)</f>
        <v>0</v>
      </c>
    </row>
    <row r="329" spans="2:35" x14ac:dyDescent="0.4">
      <c r="B329" t="s">
        <v>306</v>
      </c>
      <c r="C329" s="15">
        <f>IF(Receives_reference_trajectory,IF(AdjustmentPeriod=4,0.4,0.25),NA())</f>
        <v>0.4</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t="e" cm="1">
        <f t="array" ref="C338">IF(
  Receives_reference_trajectory,
  IFERROR(
    INDEX(71:71, _xlfn.XMATCH(AdjustmentPeriodEnd, 62:62, 0)) -
    INDEX(71:71, _xlfn.XMATCH(MTP_YearT,        62:62, 0)),
    NA()
  ),
  NA()
)</f>
        <v>#N/A</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t="e" cm="1">
        <f t="array" ref="C339">IF(
  Receives_reference_trajectory,
  IFERROR(
    (
      INDEX(71:71, _xlfn.XMATCH(AdjustmentPeriodEnd, 62:62, 0)) -
      INDEX(71:71, _xlfn.XMATCH(MTP_YearT,        62:62, 0))
    ) / (AdjustmentPeriodEnd - MTP_YearT),
    NA()
  ),
  NA()
)</f>
        <v>#N/A</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cm="1">
        <f t="array" ref="C340">IF(
  Receives_reference_trajectory,
  IFERROR(
    INDEX(37:37, _xlfn.XMATCH(AdjustmentPeriodEnd, 32:32, 0)) -
    INDEX(37:37, _xlfn.XMATCH(MTP_YearT,        32:32, 0)),
    NA()
  ),
  NA()
)</f>
        <v>0</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e">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#N/A</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t="e">
        <f>IF(Receives_reference_trajectory,NA(),INDEX(65:65, MATCH(AdjustmentPeriodEnd, 46:46, 0)))</f>
        <v>#N/A</v>
      </c>
    </row>
    <row r="346" spans="2:35" customFormat="1" x14ac:dyDescent="0.4">
      <c r="B346" t="str">
        <f>"Minimum level of structural primary balance in "&amp;AdjustmentPeriodEnd&amp;", with safeguard"</f>
        <v>Minimum level of structural primary balance in 2028, with safeguard</v>
      </c>
      <c r="C346" s="126" t="e">
        <f>IF(Receives_reference_trajectory,NA(),INDEX(66:66, MATCH(AdjustmentPeriodEnd, 46:46, 0)))</f>
        <v>#N/A</v>
      </c>
    </row>
    <row r="347" spans="2:35" customFormat="1" x14ac:dyDescent="0.4">
      <c r="B347" t="s">
        <v>378</v>
      </c>
      <c r="C347" s="2" t="e">
        <f>IF(Receives_reference_trajectory,NA(),INDEX(37:37, MATCH(AdjustmentPeriodEnd, 46:46, 0)))</f>
        <v>#N/A</v>
      </c>
    </row>
    <row r="348" spans="2:35" x14ac:dyDescent="0.4">
      <c r="B348" t="s">
        <v>376</v>
      </c>
      <c r="C348" s="15" t="e">
        <f>IF(Receives_reference_trajectory, NA(), C347 &gt;= C345)</f>
        <v>#N/A</v>
      </c>
      <c r="E348" s="18"/>
      <c r="J348" s="16"/>
    </row>
    <row r="349" spans="2:35" x14ac:dyDescent="0.4">
      <c r="B349" t="s">
        <v>377</v>
      </c>
      <c r="C349" s="15" t="e">
        <f>IF(Receives_reference_trajectory, NA(), C347 &gt;= C346)</f>
        <v>#N/A</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e">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b">
        <f>IF(
  NOT(Receives_reference_trajectory),
  NA(),
  IFERROR(
    AND(
      C220,
      IF(AdjustmentPeriod=7, C225, TRUE),
      C242,
      C265,
      C275,
      C294,
      IF(ISNA(C307), TRUE, C307),
      IF(ISNA(C317), TRUE, C317),
      IF(ISNA(C330), TRUE, C330)
    ),
    NA()
  )
)</f>
        <v>1</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The net expenditure path in Select country's latest MTP adheres to the Commission's reference trajectory and it meets all requirements of Regulation (EU) 2024/1263.</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e">
        <f>IF(
  Receives_reference_trajectory,
  NA(),
  AND(C252, C269, C279)
)</f>
        <v>#N/A</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0</v>
      </c>
      <c r="G4" s="64">
        <f>IF(MTP_Council_Endorsed,IF(Assessment!F34="",NA(),Assessment!F34),NA())</f>
        <v>0</v>
      </c>
      <c r="H4" s="64">
        <f>IF(MTP_Council_Endorsed,IF(Assessment!G34="",NA(),Assessment!G34),NA())</f>
        <v>0</v>
      </c>
      <c r="I4" s="64">
        <f>IF(MTP_Council_Endorsed,IF(Assessment!H34="",NA(),Assessment!H34),NA())</f>
        <v>0</v>
      </c>
      <c r="J4" s="64">
        <f>IF(MTP_Council_Endorsed,IF(Assessment!I34="",NA(),Assessment!I34),NA())</f>
        <v>0</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t="e">
        <f>IF(OR(ISNUMBER(H8),ISNUMBER(H9)),NA(),IF(ISNUMBER(Assessment!G15),Assessment!G15,NA()))</f>
        <v>#N/A</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t="e"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#N/A</v>
      </c>
      <c r="G8" s="64"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0</v>
      </c>
    </row>
    <row r="13" spans="2:24" x14ac:dyDescent="0.4">
      <c r="C13" s="110"/>
    </row>
    <row r="14" spans="2:24" ht="16.5" x14ac:dyDescent="0.6">
      <c r="B14" s="110" t="s">
        <v>480</v>
      </c>
      <c r="C14" s="11" t="s">
        <v>944</v>
      </c>
    </row>
    <row r="15" spans="2:24" x14ac:dyDescent="0.4">
      <c r="C15" s="2" t="s">
        <v>484</v>
      </c>
      <c r="F15" s="64" t="e"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G15" s="64" t="e"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#DIV/0!</v>
      </c>
      <c r="G16" s="64" t="e">
        <f>IF(COUNTIF('Step 1 - Set global parameters'!$B$21:$G$21,TRUE)&gt;0,
  IF(MTP_Council_Endorsed,IF(ISNUMBER(G15),NA(),IF(Assessment!F144="",NA(),Assessment!F144)),NA()),
  IF(MTP_Council_Endorsed,IF(ISNUMBER(G15),NA(),IF(Assessment!F126="",NA(),Assessment!F126)),NA())
)</f>
        <v>#DIV/0!</v>
      </c>
      <c r="H16" s="64" t="e">
        <f>IF(COUNTIF('Step 1 - Set global parameters'!$B$21:$G$21,TRUE)&gt;0,
  IF(MTP_Council_Endorsed,IF(ISNUMBER(H15),NA(),IF(Assessment!G144="",NA(),Assessment!G144)),NA()),
  IF(MTP_Council_Endorsed,IF(ISNUMBER(H15),NA(),IF(Assessment!G126="",NA(),Assessment!G126)),NA())
)</f>
        <v>#N/A</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t="e">
        <f>IF(COUNTIF('Step 1 - Set global parameters'!$B$21:$G$21,TRUE)&gt;0,
  IF(MTP_Council_Endorsed,IF(NOT(Assessment!E145),IF(Assessment!E142&lt;=0,Assessment!E142,NA()),NA()),NA()),
  IF(MTP_Council_Endorsed,IF(NOT(Assessment!E127),IF(Assessment!E125&lt;=0,Assessment!E125,NA()),NA()),NA())
)</f>
        <v>#DIV/0!</v>
      </c>
      <c r="G18" s="64" t="e">
        <f>IF(COUNTIF('Step 1 - Set global parameters'!$B$21:$G$21,TRUE)&gt;0,
  IF(MTP_Council_Endorsed,IF(NOT(Assessment!F145),IF(Assessment!F142&lt;=0,Assessment!F142,NA()),NA()),NA()),
  IF(MTP_Council_Endorsed,IF(NOT(Assessment!F127),IF(Assessment!F125&lt;=0,Assessment!F125,NA()),NA()),NA())
)</f>
        <v>#DIV/0!</v>
      </c>
      <c r="H18" s="64" t="e">
        <f>IF(COUNTIF('Step 1 - Set global parameters'!$B$21:$G$21,TRUE)&gt;0,
  IF(MTP_Council_Endorsed,IF(NOT(Assessment!G145),IF(Assessment!G142&lt;=0,Assessment!G142,NA()),NA()),NA()),
  IF(MTP_Council_Endorsed,IF(NOT(Assessment!G127),IF(Assessment!G125&lt;=0,Assessment!G125,NA()),NA()),NA())
)</f>
        <v>#N/A</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#DIV/0!</v>
      </c>
      <c r="G19" s="64" t="e">
        <f>IF(COUNTIF('Step 1 - Set global parameters'!$B$21:$G$21,TRUE)&gt;0,
  IF(MTP_Council_Endorsed,IF(NOT(Assessment!F145),IF(Assessment!F142&gt;0,Assessment!F142,NA()),NA()),NA()),
  IF(MTP_Council_Endorsed,IF(NOT(Assessment!F127),IF(Assessment!F125&gt;0,Assessment!F125,NA()),NA()),NA())
)</f>
        <v>#DIV/0!</v>
      </c>
      <c r="H19" s="64" t="str">
        <f>IF(COUNTIF('Step 1 - Set global parameters'!$B$21:$G$21,TRUE)&gt;0,
  IF(MTP_Council_Endorsed,IF(NOT(Assessment!G145),IF(Assessment!G142&gt;0,Assessment!G142,NA()),NA()),NA()),
  IF(MTP_Council_Endorsed,IF(NOT(Assessment!G127),IF(Assessment!G125&gt;0,Assessment!G125,NA()),NA()),NA())
)</f>
        <v/>
      </c>
      <c r="I19" s="64" t="str">
        <f>IF(COUNTIF('Step 1 - Set global parameters'!$B$21:$G$21,TRUE)&gt;0,
  IF(MTP_Council_Endorsed,IF(NOT(Assessment!H145),IF(Assessment!H142&gt;0,Assessment!H142,NA()),NA()),NA()),
  IF(MTP_Council_Endorsed,IF(NOT(Assessment!H127),IF(Assessment!H125&gt;0,Assessment!H125,NA()),NA()),NA())
)</f>
        <v/>
      </c>
      <c r="J19" s="64" t="str">
        <f>IF(COUNTIF('Step 1 - Set global parameters'!$B$21:$G$21,TRUE)&gt;0,
  IF(MTP_Council_Endorsed,IF(NOT(Assessment!I145),IF(Assessment!I142&gt;0,Assessment!I142,NA()),NA()),NA()),
  IF(MTP_Council_Endorsed,IF(NOT(Assessment!I127),IF(Assessment!I125&gt;0,Assessment!I125,NA()),NA()),NA())
)</f>
        <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t="e">
        <f>IF(MTP_Council_Endorsed,IF(Assessment!F145,Assessment!F142,NA()),NA())</f>
        <v>#N/A</v>
      </c>
      <c r="H21" s="64" t="e">
        <f>IF(MTP_Council_Endorsed,IF(Assessment!G145,Assessment!G142,NA()),NA())</f>
        <v>#N/A</v>
      </c>
      <c r="I21" s="64" t="e">
        <f>IF(MTP_Council_Endorsed,IF(Assessment!H145,Assessment!H142,NA()),NA())</f>
        <v>#N/A</v>
      </c>
      <c r="J21" s="64" t="e">
        <f>IF(MTP_Council_Endorsed,IF(Assessment!I145,Assessment!I142,NA()),NA())</f>
        <v>#N/A</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0</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940</v>
      </c>
    </row>
    <row r="29" spans="2:23" x14ac:dyDescent="0.4">
      <c r="C29" s="2" t="s">
        <v>497</v>
      </c>
      <c r="E29" s="64">
        <f>IF(ISNUMBER(Assessment!D38),Assessment!D38,NA())</f>
        <v>0</v>
      </c>
      <c r="F29" s="64">
        <f>IF(ISNUMBER(Assessment!E38),Assessment!E38,NA())</f>
        <v>0</v>
      </c>
      <c r="G29" s="64">
        <f>IF(ISNUMBER(Assessment!F38),Assessment!F38,NA())</f>
        <v>0</v>
      </c>
      <c r="H29" s="64">
        <f>IF(ISNUMBER(Assessment!G38),Assessment!G38,NA())</f>
        <v>0</v>
      </c>
      <c r="I29" s="64">
        <f>IF(ISNUMBER(Assessment!H38),Assessment!H38,NA())</f>
        <v>0</v>
      </c>
      <c r="J29" s="64">
        <f>IF(ISNUMBER(Assessment!I38),Assessment!I38,NA())</f>
        <v>0</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t="e">
        <f>IF(OR(ISNUMBER(E91),ISNUMBER(E92)),NA(),IF(ISNUMBER(Assessment!D20),Assessment!D20,NA()))</f>
        <v>#N/A</v>
      </c>
      <c r="F31" s="64" t="e">
        <f>IF(OR(ISNUMBER(F91),ISNUMBER(F92)),NA(),IF(ISNUMBER(Assessment!E20),Assessment!E20,NA()))</f>
        <v>#N/A</v>
      </c>
      <c r="G31" s="64" t="e">
        <f>IF(OR(ISNUMBER(G91),ISNUMBER(G92)),NA(),IF(ISNUMBER(Assessment!F20),Assessment!F20,NA()))</f>
        <v>#N/A</v>
      </c>
      <c r="H31" s="64" t="e">
        <f>IF(OR(ISNUMBER(H91),ISNUMBER(H92)),NA(),IF(ISNUMBER(Assessment!G20),Assessment!G20,NA()))</f>
        <v>#N/A</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t="e"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#N/A</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0</v>
      </c>
      <c r="G39" s="64">
        <f>Assessment!F50</f>
        <v>0</v>
      </c>
      <c r="H39" s="64">
        <f>Assessment!G50</f>
        <v>0</v>
      </c>
      <c r="I39" s="64">
        <f>Assessment!H50</f>
        <v>0</v>
      </c>
      <c r="J39" s="64">
        <f>Assessment!I50</f>
        <v>0</v>
      </c>
      <c r="K39" s="64">
        <f>Assessment!J50</f>
        <v>0</v>
      </c>
      <c r="L39" s="64">
        <f>Assessment!K50</f>
        <v>0</v>
      </c>
      <c r="M39" s="64">
        <f>Assessment!L50</f>
        <v>0</v>
      </c>
      <c r="N39" s="64">
        <f>Assessment!M50</f>
        <v>0</v>
      </c>
      <c r="O39" s="64">
        <f>Assessment!N50</f>
        <v>0</v>
      </c>
      <c r="P39" s="64">
        <f>Assessment!O50</f>
        <v>0</v>
      </c>
      <c r="Q39" s="64">
        <f>Assessment!P50</f>
        <v>0</v>
      </c>
      <c r="R39" s="64">
        <f>Assessment!Q50</f>
        <v>0</v>
      </c>
      <c r="S39" s="64">
        <f>Assessment!R50</f>
        <v>0</v>
      </c>
      <c r="T39" s="64">
        <f>Assessment!S50</f>
        <v>0</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t="e">
        <f>IF(OR(ISNUMBER(H41),ISNUMBER(H42)),NA(),IF(ISNUMBER(Assessment!G17),Assessment!G17,NA()))</f>
        <v>#N/A</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t="e"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#N/A</v>
      </c>
      <c r="G41" s="64"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0</v>
      </c>
      <c r="G44" s="64">
        <f t="shared" si="0"/>
        <v>0</v>
      </c>
      <c r="H44" s="64">
        <f t="shared" si="0"/>
        <v>0</v>
      </c>
      <c r="I44" s="64">
        <f t="shared" si="0"/>
        <v>0</v>
      </c>
      <c r="J44" s="64">
        <f t="shared" si="0"/>
        <v>0</v>
      </c>
      <c r="K44" s="64">
        <f t="shared" si="0"/>
        <v>0</v>
      </c>
      <c r="L44" s="64">
        <f t="shared" si="0"/>
        <v>0</v>
      </c>
      <c r="M44" s="64">
        <f t="shared" si="0"/>
        <v>0</v>
      </c>
      <c r="N44" s="64">
        <f t="shared" si="0"/>
        <v>0</v>
      </c>
      <c r="O44" s="64">
        <f t="shared" si="0"/>
        <v>0</v>
      </c>
      <c r="P44" s="64">
        <f t="shared" si="0"/>
        <v>0</v>
      </c>
      <c r="Q44" s="64">
        <f t="shared" si="0"/>
        <v>0</v>
      </c>
      <c r="R44" s="64">
        <f t="shared" si="0"/>
        <v>0</v>
      </c>
      <c r="S44" s="64">
        <f t="shared" si="0"/>
        <v>0</v>
      </c>
      <c r="T44" s="64">
        <f t="shared" si="0"/>
        <v>0</v>
      </c>
      <c r="U44" s="64" t="e">
        <f t="shared" ref="U44:W44" si="1">IF(U79&lt;&gt;"",-U79,NA())</f>
        <v>#N/A</v>
      </c>
      <c r="V44" s="64" t="e">
        <f t="shared" si="1"/>
        <v>#N/A</v>
      </c>
      <c r="W44" s="64" t="e">
        <f t="shared" si="1"/>
        <v>#N/A</v>
      </c>
    </row>
    <row r="45" spans="2:23" x14ac:dyDescent="0.4">
      <c r="C45" s="2" t="s">
        <v>301</v>
      </c>
      <c r="F45" s="64" t="e">
        <f t="shared" ref="F45:T45" si="2">IF(F81&lt;&gt;"",-F81,NA())</f>
        <v>#N/A</v>
      </c>
      <c r="G45" s="64" t="e">
        <f t="shared" si="2"/>
        <v>#N/A</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v>
      </c>
      <c r="G49" s="64">
        <f>Assessment!F37</f>
        <v>0</v>
      </c>
      <c r="H49" s="64">
        <f>Assessment!G37</f>
        <v>0</v>
      </c>
      <c r="I49" s="64">
        <f>Assessment!H37</f>
        <v>0</v>
      </c>
      <c r="J49" s="64">
        <f>Assessment!I37</f>
        <v>0</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t="e">
        <f>IF(OR(ISNUMBER(H53),ISNUMBER(H54)),NA(),IF(ISNUMBER(Assessment!G19),Assessment!G19,NA()))</f>
        <v>#N/A</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t="e" cm="1">
        <f t="array" ref="F53">IF(
  AND(
    INDEX($2:$2, COLUMN()) &gt;= MTP_BaseYear,
    INDEX($2:$2, COLUMN()) &lt;= OutturnThrough
  ),
  IFERROR(
    IF(
      F49 - INDEX(Assessment!$19:$19,
                   _xlfn.XMATCH(INDEX($2:$2, COLUMN()),
                          Assessment!$4:$4, 0)
            ) &lt; 0,
      INDEX(Assessment!$19:$19,
            _xlfn.XMATCH(INDEX($2:$2, COLUMN()),
                   Assessment!$4:$4, 0)
      ),
      NA()
    ),
    NA()
  ),
  NA()
)</f>
        <v>#N/A</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0</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0</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0</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0</v>
      </c>
      <c r="G59" s="64">
        <f>IF(
  AND(
    ISNUMBER(Assessment!E38),
    ISNUMBER(Assessment!F38)
  ),
  Assessment!F38-Assessment!E38,
  NA()
)</f>
        <v>0</v>
      </c>
      <c r="H59" s="64">
        <f>IF(
  AND(
    ISNUMBER(Assessment!F38),
    ISNUMBER(Assessment!G38)
  ),
  Assessment!G38-Assessment!F38,
  NA()
)</f>
        <v>0</v>
      </c>
      <c r="I59" s="64">
        <f>IF(
  AND(
    ISNUMBER(Assessment!G38),
    ISNUMBER(Assessment!H38)
  ),
  Assessment!H38-Assessment!G38,
  NA()
)</f>
        <v>0</v>
      </c>
      <c r="J59" s="64">
        <f>IF(
  AND(
    ISNUMBER(Assessment!H38),
    ISNUMBER(Assessment!I38)
  ),
  Assessment!I38-Assessment!H38,
  NA()
)</f>
        <v>0</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t="e" cm="1">
        <f t="array" ref="F63">IF(
  AND(
    INDEX(2:2, COLUMN()) &gt; MTP_BaseYear,
    INDEX(2:2, COLUMN()) &lt;= OutturnThrough
  ),
  IFERROR(
    IF(
      Assessment!E21 &gt; INDEX($65:$65, COLUMN()),
      Assessment!E21,
      NA()
    ),
    NA()
  ),
  NA()
)</f>
        <v>#N/A</v>
      </c>
      <c r="G63" s="64" t="e" cm="1">
        <f t="array" ref="G63">IF(
  AND(
    INDEX(2:2, COLUMN()) &gt; MTP_BaseYear,
    INDEX(2:2, COLUMN()) &lt;= OutturnThrough
  ),
  IFERROR(
    IF(
      Assessment!F21 &gt; INDEX($65:$65, COLUMN()),
      Assessment!F21,
      NA()
    ),
    NA()
  ),
  NA()
)</f>
        <v>#N/A</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t="e">
        <f>IF(OR(ISNUMBER(E62),ISNUMBER(E63)),NA(),IF(ISNUMBER(Assessment!D21),Assessment!D21,NA()))</f>
        <v>#N/A</v>
      </c>
      <c r="F64" s="64" t="e">
        <f>IF(OR(ISNUMBER(F62),ISNUMBER(F63)),NA(),IF(ISNUMBER(Assessment!E21),Assessment!E21,NA()))</f>
        <v>#N/A</v>
      </c>
      <c r="G64" s="64" t="e">
        <f>IF(OR(ISNUMBER(G62),ISNUMBER(G63)),NA(),IF(ISNUMBER(Assessment!F21),Assessment!F21,NA()))</f>
        <v>#N/A</v>
      </c>
      <c r="H64" s="64" t="e">
        <f>IF(OR(ISNUMBER(H62),ISNUMBER(H63)),NA(),IF(ISNUMBER(Assessment!G21),Assessment!G21,NA()))</f>
        <v>#N/A</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t="e">
        <f>IF(
  ISNUMBER(Assessment!D20),
  IF(Assessment!D20&gt;90,-1,
     IF(Assessment!D20&gt;60,-0.5,0)
  ),
  NA()
)</f>
        <v>#N/A</v>
      </c>
      <c r="F65" s="64" t="e">
        <f>IF(
  ISNUMBER(Assessment!E20),
  IF(Assessment!E20&gt;90,-1,
     IF(Assessment!E20&gt;60,-0.5,0)
  ),
  NA()
)</f>
        <v>#N/A</v>
      </c>
      <c r="G65" s="64" t="e">
        <f>IF(
  ISNUMBER(Assessment!F20),
  IF(Assessment!F20&gt;90,-1,
     IF(Assessment!F20&gt;60,-0.5,0)
  ),
  NA()
)</f>
        <v>#N/A</v>
      </c>
      <c r="H65" s="64" t="e">
        <f>IF(
  ISNUMBER(Assessment!G20),
  IF(Assessment!G20&gt;90,-1,
     IF(Assessment!G20&gt;60,-0.5,0)
  ),
  NA()
)</f>
        <v>#N/A</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0</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t="e">
        <f>IF(ISNUMBER(H74),NA(),IF(ISNUMBER(Assessment!G19),Assessment!G19-Assessment!F19,NA()))</f>
        <v>#N/A</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0</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0</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0</v>
      </c>
      <c r="G79" s="64">
        <f>Assessment!F50</f>
        <v>0</v>
      </c>
      <c r="H79" s="64">
        <f>Assessment!G50</f>
        <v>0</v>
      </c>
      <c r="I79" s="64">
        <f>Assessment!H50</f>
        <v>0</v>
      </c>
      <c r="J79" s="64">
        <f>Assessment!I50</f>
        <v>0</v>
      </c>
      <c r="K79" s="64">
        <f>Assessment!J50</f>
        <v>0</v>
      </c>
      <c r="L79" s="64">
        <f>Assessment!K50</f>
        <v>0</v>
      </c>
      <c r="M79" s="64">
        <f>Assessment!L50</f>
        <v>0</v>
      </c>
      <c r="N79" s="64">
        <f>Assessment!M50</f>
        <v>0</v>
      </c>
      <c r="O79" s="64">
        <f>Assessment!N50</f>
        <v>0</v>
      </c>
      <c r="P79" s="64">
        <f>Assessment!O50</f>
        <v>0</v>
      </c>
      <c r="Q79" s="64">
        <f>Assessment!P50</f>
        <v>0</v>
      </c>
      <c r="R79" s="64">
        <f>Assessment!Q50</f>
        <v>0</v>
      </c>
      <c r="S79" s="64">
        <f>Assessment!R50</f>
        <v>0</v>
      </c>
      <c r="T79" s="64">
        <f>Assessment!S50</f>
        <v>0</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t="e">
        <f>IF(OR(ISNUMBER(H81),ISNUMBER(H82)),NA(),IF(ISNUMBER(Assessment!G17),Assessment!G17,NA()))</f>
        <v>#N/A</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t="e"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#N/A</v>
      </c>
      <c r="G81" s="106"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0</v>
      </c>
      <c r="G84" s="64">
        <f t="shared" si="6"/>
        <v>0</v>
      </c>
      <c r="H84" s="64">
        <f t="shared" si="6"/>
        <v>0</v>
      </c>
      <c r="I84" s="64">
        <f t="shared" si="6"/>
        <v>0</v>
      </c>
      <c r="J84" s="64">
        <f t="shared" si="6"/>
        <v>0</v>
      </c>
      <c r="K84" s="64">
        <f t="shared" si="6"/>
        <v>0</v>
      </c>
      <c r="L84" s="64">
        <f t="shared" si="6"/>
        <v>0</v>
      </c>
      <c r="M84" s="64">
        <f t="shared" si="6"/>
        <v>0</v>
      </c>
      <c r="N84" s="64">
        <f t="shared" si="6"/>
        <v>0</v>
      </c>
      <c r="O84" s="64">
        <f t="shared" si="6"/>
        <v>0</v>
      </c>
      <c r="P84" s="64">
        <f t="shared" si="6"/>
        <v>0</v>
      </c>
      <c r="Q84" s="64">
        <f t="shared" si="6"/>
        <v>0</v>
      </c>
      <c r="R84" s="64">
        <f t="shared" si="6"/>
        <v>0</v>
      </c>
      <c r="S84" s="64">
        <f t="shared" si="6"/>
        <v>0</v>
      </c>
      <c r="T84" s="64">
        <f t="shared" si="6"/>
        <v>0</v>
      </c>
      <c r="U84" s="64" t="e">
        <f t="shared" ref="U84:W84" si="7">IF(U79&lt;&gt;"",-U79,NA())</f>
        <v>#N/A</v>
      </c>
      <c r="V84" s="64" t="e">
        <f t="shared" si="7"/>
        <v>#N/A</v>
      </c>
      <c r="W84" s="64" t="e">
        <f t="shared" si="7"/>
        <v>#N/A</v>
      </c>
    </row>
    <row r="85" spans="2:23" x14ac:dyDescent="0.4">
      <c r="C85" s="2" t="s">
        <v>301</v>
      </c>
      <c r="F85" s="64" t="e">
        <f t="shared" ref="F85:T85" si="8">IF(F81&lt;&gt;"",-F81,NA())</f>
        <v>#N/A</v>
      </c>
      <c r="G85" s="64" t="e">
        <f t="shared" si="8"/>
        <v>#N/A</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t="str">
        <f>Assessment!D72</f>
        <v/>
      </c>
      <c r="F89" s="64" t="str">
        <f>Assessment!E72</f>
        <v/>
      </c>
      <c r="G89" s="64" t="str">
        <f>Assessment!F72</f>
        <v/>
      </c>
      <c r="H89" s="64" t="str">
        <f>Assessment!G72</f>
        <v/>
      </c>
      <c r="I89" s="64" t="str">
        <f>Assessment!H72</f>
        <v/>
      </c>
      <c r="J89" s="64" t="str">
        <f>Assessment!I72</f>
        <v/>
      </c>
      <c r="K89" s="64" t="str">
        <f>Assessment!J72</f>
        <v/>
      </c>
      <c r="L89" s="64" t="str">
        <f>Assessment!K72</f>
        <v/>
      </c>
      <c r="M89" s="64" t="str">
        <f>Assessment!L72</f>
        <v/>
      </c>
      <c r="N89" s="64" t="str">
        <f>Assessment!M72</f>
        <v/>
      </c>
      <c r="O89" s="64" t="str">
        <f>Assessment!N72</f>
        <v/>
      </c>
      <c r="P89" s="64" t="str">
        <f>Assessment!O72</f>
        <v/>
      </c>
      <c r="Q89" s="64" t="str">
        <f>Assessment!P72</f>
        <v/>
      </c>
      <c r="R89" s="64" t="str">
        <f>Assessment!Q72</f>
        <v/>
      </c>
      <c r="S89" s="64" t="str">
        <f>Assessment!R72</f>
        <v/>
      </c>
      <c r="T89" s="64" t="str">
        <f>Assessment!S72</f>
        <v/>
      </c>
      <c r="U89" s="64" t="str">
        <f>Assessment!T72</f>
        <v/>
      </c>
      <c r="V89" s="64" t="str">
        <f>Assessment!U72</f>
        <v/>
      </c>
      <c r="W89" s="64" t="str">
        <f>Assessment!V72</f>
        <v/>
      </c>
    </row>
    <row r="90" spans="2:23" x14ac:dyDescent="0.4">
      <c r="C90" s="2" t="s">
        <v>243</v>
      </c>
      <c r="E90" s="64" t="e">
        <f>IF(OR(ISNUMBER(E91),ISNUMBER(E92)),NA(),IF(ISNUMBER(Assessment!D20),Assessment!D20,NA()))</f>
        <v>#N/A</v>
      </c>
      <c r="F90" s="64" t="e">
        <f>IF(OR(ISNUMBER(F91),ISNUMBER(F92)),NA(),IF(ISNUMBER(Assessment!E20),Assessment!E20,NA()))</f>
        <v>#N/A</v>
      </c>
      <c r="G90" s="64" t="e">
        <f>IF(OR(ISNUMBER(G91),ISNUMBER(G92)),NA(),IF(ISNUMBER(Assessment!F20),Assessment!F20,NA()))</f>
        <v>#N/A</v>
      </c>
      <c r="H90" s="64" t="e">
        <f>IF(OR(ISNUMBER(H91),ISNUMBER(H92)),NA(),IF(ISNUMBER(Assessment!G20),Assessment!G20,NA()))</f>
        <v>#N/A</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0</v>
      </c>
      <c r="F96" s="6">
        <f>IF(ISNUMBER(Assessment!E52),Assessment!E52,NA())</f>
        <v>0</v>
      </c>
      <c r="G96" s="6">
        <f>IF(ISNUMBER(Assessment!F52),Assessment!F52,NA())</f>
        <v>0</v>
      </c>
      <c r="H96" s="6">
        <f>IF(ISNUMBER(Assessment!G52),Assessment!G52,NA())</f>
        <v>0</v>
      </c>
      <c r="I96" s="6">
        <f>IF(ISNUMBER(Assessment!H52),Assessment!H52,NA())</f>
        <v>0</v>
      </c>
      <c r="J96" s="6">
        <f>IF(ISNUMBER(Assessment!I52),Assessment!I52,NA())</f>
        <v>0</v>
      </c>
      <c r="K96" s="6">
        <f>IF(ISNUMBER(Assessment!J52),Assessment!J52,NA())</f>
        <v>0</v>
      </c>
      <c r="L96" s="6">
        <f>IF(ISNUMBER(Assessment!K52),Assessment!K52,NA())</f>
        <v>0</v>
      </c>
      <c r="M96" s="6">
        <f>IF(ISNUMBER(Assessment!L52),Assessment!L52,NA())</f>
        <v>0</v>
      </c>
      <c r="N96" s="6">
        <f>IF(ISNUMBER(Assessment!M52),Assessment!M52,NA())</f>
        <v>0</v>
      </c>
      <c r="O96" s="6">
        <f>IF(ISNUMBER(Assessment!N52),Assessment!N52,NA())</f>
        <v>0</v>
      </c>
      <c r="P96" s="6">
        <f>IF(ISNUMBER(Assessment!O52),Assessment!O52,NA())</f>
        <v>0</v>
      </c>
      <c r="Q96" s="6">
        <f>IF(ISNUMBER(Assessment!P52),Assessment!P52,NA())</f>
        <v>0</v>
      </c>
      <c r="R96" s="6">
        <f>IF(ISNUMBER(Assessment!Q52),Assessment!Q52,NA())</f>
        <v>0</v>
      </c>
      <c r="S96" s="6">
        <f>IF(ISNUMBER(Assessment!R52),Assessment!R52,NA())</f>
        <v>0</v>
      </c>
      <c r="T96" s="6">
        <f>IF(ISNUMBER(Assessment!S52),Assessment!S52,NA())</f>
        <v>0</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t="e">
        <f>IF(Assessment!D20="",NA(),Assessment!D20)</f>
        <v>#N/A</v>
      </c>
      <c r="F111" s="88" t="e">
        <f>IF(Assessment!E20="",NA(),Assessment!E20)</f>
        <v>#N/A</v>
      </c>
      <c r="G111" s="88" t="e">
        <f>IF(Assessment!F20="",NA(),Assessment!F20)</f>
        <v>#N/A</v>
      </c>
      <c r="H111" s="88" t="e">
        <f>IF(Assessment!G20="",NA(),Assessment!G20)</f>
        <v>#N/A</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t="str">
        <f>Assessment!E69</f>
        <v/>
      </c>
      <c r="G114" s="64" t="str">
        <f>Assessment!F69</f>
        <v/>
      </c>
      <c r="H114" s="64" t="str">
        <f>Assessment!G69</f>
        <v/>
      </c>
      <c r="I114" s="64" t="str">
        <f>Assessment!H69</f>
        <v/>
      </c>
      <c r="J114" s="64" t="str">
        <f>Assessment!I69</f>
        <v/>
      </c>
      <c r="K114" s="64" t="str">
        <f>Assessment!J69</f>
        <v/>
      </c>
      <c r="L114" s="64" t="str">
        <f>Assessment!K69</f>
        <v/>
      </c>
      <c r="M114" s="64" t="str">
        <f>Assessment!L69</f>
        <v/>
      </c>
      <c r="N114" s="64" t="str">
        <f>Assessment!M69</f>
        <v/>
      </c>
      <c r="O114" s="64" t="str">
        <f>Assessment!N69</f>
        <v/>
      </c>
      <c r="P114" s="64" t="str">
        <f>Assessment!O69</f>
        <v/>
      </c>
      <c r="Q114" s="64" t="str">
        <f>Assessment!P69</f>
        <v/>
      </c>
      <c r="R114" s="64" t="str">
        <f>Assessment!Q69</f>
        <v/>
      </c>
      <c r="S114" s="64" t="str">
        <f>Assessment!R69</f>
        <v/>
      </c>
      <c r="T114" s="64" t="str">
        <f>Assessment!S69</f>
        <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t="e">
        <f>IF(OR(ISNUMBER(H128),ISNUMBER(H129)),NA(),IF(ISNUMBER(Assessment!G15),Assessment!G15,NA()))</f>
        <v>#N/A</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t="e" cm="1">
        <f t="array" ref="F119">IF(
  AND(
    INDEX($2:$2, COLUMN()) &gt;= MTP_BaseYear,
    INDEX($2:$2, COLUMN()) &lt;= OutturnThrough
  ),
  IFERROR(
    IF(
      F114 - INDEX(Assessment!$15:$15,
                   _xlfn.XMATCH(INDEX($2:$2, COLUMN()),
                          Assessment!$4:$4, 0)
            ) &lt; 0,
      INDEX(Assessment!$15:$15,
            _xlfn.XMATCH(INDEX($2:$2, COLUMN()),
                   Assessment!$4:$4, 0)
      ),
      NA()
    ),
    NA()
  ),
  NA()
)</f>
        <v>#N/A</v>
      </c>
      <c r="G119" s="106" t="e" cm="1">
        <f t="array" ref="G119">IF(
  AND(
    INDEX($2:$2, COLUMN()) &gt;= MTP_BaseYear,
    INDEX($2:$2, COLUMN()) &lt;= OutturnThrough
  ),
  IFERROR(
    IF(
      G114 - INDEX(Assessment!$15:$15,
                   _xlfn.XMATCH(INDEX($2:$2, COLUMN()),
                          Assessment!$4:$4, 0)
            ) &lt; 0,
      INDEX(Assessment!$15:$15,
            _xlfn.XMATCH(INDEX($2:$2, COLUMN()),
                   Assessment!$4:$4, 0)
      ),
      NA()
    ),
    NA()
  ),
  NA()
)</f>
        <v>#N/A</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0</v>
      </c>
    </row>
    <row r="122" spans="2:23" ht="13.5" customHeight="1" x14ac:dyDescent="0.6">
      <c r="C122" s="11"/>
    </row>
    <row r="123" spans="2:23" ht="16.5" x14ac:dyDescent="0.6">
      <c r="B123" s="110" t="s">
        <v>590</v>
      </c>
      <c r="C123" s="11" t="s">
        <v>389</v>
      </c>
    </row>
    <row r="124" spans="2:23" x14ac:dyDescent="0.4">
      <c r="C124" s="2" t="s">
        <v>388</v>
      </c>
      <c r="F124" s="64" t="str">
        <f>Assessment!E71</f>
        <v/>
      </c>
      <c r="G124" s="64" t="str">
        <f>Assessment!F71</f>
        <v/>
      </c>
      <c r="H124" s="64" t="str">
        <f>Assessment!G71</f>
        <v/>
      </c>
      <c r="I124" s="64" t="str">
        <f>Assessment!H71</f>
        <v/>
      </c>
      <c r="J124" s="64" t="str">
        <f>Assessment!I71</f>
        <v/>
      </c>
      <c r="K124" s="64" t="str">
        <f>Assessment!J71</f>
        <v/>
      </c>
      <c r="L124" s="64" t="str">
        <f>Assessment!K71</f>
        <v/>
      </c>
      <c r="M124" s="64" t="str">
        <f>Assessment!L71</f>
        <v/>
      </c>
      <c r="N124" s="64" t="str">
        <f>Assessment!M71</f>
        <v/>
      </c>
      <c r="O124" s="64" t="str">
        <f>Assessment!N71</f>
        <v/>
      </c>
      <c r="P124" s="64" t="str">
        <f>Assessment!O71</f>
        <v/>
      </c>
      <c r="Q124" s="64" t="str">
        <f>Assessment!P71</f>
        <v/>
      </c>
      <c r="R124" s="64" t="str">
        <f>Assessment!Q71</f>
        <v/>
      </c>
      <c r="S124" s="64" t="str">
        <f>Assessment!R71</f>
        <v/>
      </c>
      <c r="T124" s="64" t="str">
        <f>Assessment!S71</f>
        <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f>IF(OR(ISNUMBER(F128),ISNUMBER(F129)),NA(),IF(ISNUMBER(Assessment!E19),Assessment!E19,NA()))</f>
        <v>0</v>
      </c>
      <c r="G126" s="64">
        <f>IF(OR(ISNUMBER(G128),ISNUMBER(G129)),NA(),IF(ISNUMBER(Assessment!F19),Assessment!F19,NA()))</f>
        <v>0</v>
      </c>
      <c r="H126" s="64" t="e">
        <f>IF(OR(ISNUMBER(H128),ISNUMBER(H129)),NA(),IF(ISNUMBER(Assessment!G19),Assessment!G19,NA()))</f>
        <v>#N/A</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t="e" cm="1">
        <f t="array" ref="F128">IF(
  AND(
    INDEX($2:$2, COLUMN()) &gt;= MTP_BaseYear,
    INDEX($2:$2, COLUMN()) &lt;= OutturnThrough
  ),
  IFERROR(
    IF(
      F124 - INDEX(Assessment!$19:$19,
                   _xlfn.XMATCH(INDEX($2:$2, COLUMN()),
                          Assessment!$4:$4, 0)
            ) &lt; 0,
      INDEX(Assessment!$19:$19,
            _xlfn.XMATCH(INDEX($2:$2, COLUMN()),
                   Assessment!$4:$4, 0)
      ),
      NA()
    ),
    NA()
  ),
  NA()
)</f>
        <v>#N/A</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0</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0</v>
      </c>
      <c r="G134" s="3">
        <f>IF(ISNUMBER(Assessment!F36),Assessment!F36,NA())</f>
        <v>0</v>
      </c>
      <c r="H134" s="3">
        <f>IF(ISNUMBER(Assessment!G36),Assessment!G36,NA())</f>
        <v>0</v>
      </c>
      <c r="I134" s="3">
        <f>IF(ISNUMBER(Assessment!H36),Assessment!H36,NA())</f>
        <v>0</v>
      </c>
      <c r="J134" s="3">
        <f>IF(ISNUMBER(Assessment!I36),Assessment!I36,NA())</f>
        <v>0</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t="e">
        <f>IF(OR(ISNUMBER(H138),ISNUMBER(H139)),NA(),IF(ISNUMBER(Assessment!G18),Assessment!G18,NA()))</f>
        <v>#N/A</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cm="1">
        <f t="array" ref="F138">_xlfn.LET(
  _xlpm.y, INDEX('Chart data'!$2:$2, COLUMN()),
  _xlpm.col, _xlfn.XMATCH(_xlpm.y, Assessment!$4:$4, 0),
  _xlpm.v, INDEX(Assessment!$18:$18, _xlpm.col),
  IF(
    _xlpm.y&lt;=OutturnThrough,
    IF(AND(ISNUMBER(_xlpm.v), _xlpm.v&gt;=0), _xlpm.v, NA()),
    NA()
  )
)</f>
        <v>0</v>
      </c>
      <c r="G138" s="123" cm="1">
        <f t="array" ref="G138">_xlfn.LET(
  _xlpm.y, INDEX('Chart data'!$2:$2, COLUMN()),
  _xlpm.col, _xlfn.XMATCH(_xlpm.y, Assessment!$4:$4, 0),
  _xlpm.v, INDEX(Assessment!$18:$18, _xlpm.col),
  IF(
    _xlpm.y&lt;=OutturnThrough,
    IF(AND(ISNUMBER(_xlpm.v), _xlpm.v&gt;=0), _xlpm.v, NA()),
    NA()
  )
)</f>
        <v>0</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t="e" cm="1">
        <f t="array" ref="F139">_xlfn.LET(
  _xlpm.y, INDEX('Chart data'!$2:$2, COLUMN()),
  _xlpm.col, _xlfn.XMATCH(_xlpm.y, Assessment!$4:$4, 0),
  _xlpm.v, INDEX(Assessment!$18:$18, _xlpm.col),
  IF(
    _xlpm.y&lt;=OutturnThrough,
    IF(AND(ISNUMBER(_xlpm.v), _xlpm.v&lt;0), _xlpm.v, NA()),
    NA()
  )
)</f>
        <v>#N/A</v>
      </c>
      <c r="G139" s="106" t="e" cm="1">
        <f t="array" ref="G139">_xlfn.LET(
  _xlpm.y, INDEX('Chart data'!$2:$2, COLUMN()),
  _xlpm.col, _xlfn.XMATCH(_xlpm.y, Assessment!$4:$4, 0),
  _xlpm.v, INDEX(Assessment!$18:$18, _xlpm.col),
  IF(
    _xlpm.y&lt;=OutturnThrough,
    IF(AND(ISNUMBER(_xlpm.v), _xlpm.v&lt;0), _xlpm.v, NA()),
    NA()
  )
)</f>
        <v>#N/A</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0</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0</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t="e">
        <f>IF(OR(ISNUMBER(F149),ISNUMBER(F150)),NA(),IF(ISNUMBER(Assessment!E17),Assessment!E17+(Assessment!E7/Assessment!E27*100),NA()))</f>
        <v>#N/A</v>
      </c>
      <c r="G146" s="64" t="e">
        <f>IF(OR(ISNUMBER(G149),ISNUMBER(G150)),NA(),IF(ISNUMBER(Assessment!F17),Assessment!F17+(Assessment!F7/Assessment!F27*100),NA()))</f>
        <v>#N/A</v>
      </c>
      <c r="H146" s="64" t="e">
        <f>IF(OR(ISNUMBER(H149),ISNUMBER(H150)),NA(),IF(ISNUMBER(Assessment!G17),Assessment!G17+(Assessment!G7/Assessment!G27*100),NA()))</f>
        <v>#N/A</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G149" s="106"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cm="1">
        <f t="array" ref="V149">_xlfn.LET(
  _xlpm.y, INDEX('Chart data'!$2:$2, COLUMN()),
  _xlpm.col, _xlfn.XMATCH(_xlpm.y, Assessment!$4:$4, 0),
  _xlpm.v, INDEX(Assessment!$17:$17, _xlpm.col)
     + INDEX(Assessment!$7:$7, _xlpm.col),
  IF(
    _xlpm.y&lt;=OutturnThrough,
    IF(AND(ISNUMBER(_xlpm.v), _xlpm.v&gt;=0), _xlpm.v, NA()),
    NA()
  )
)</f>
        <v>0</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0</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947</v>
      </c>
      <c r="L3" t="s">
        <v>271</v>
      </c>
      <c r="M3" s="5" t="s">
        <v>948</v>
      </c>
      <c r="P3" t="s">
        <v>12</v>
      </c>
      <c r="Q3" s="162" t="str">
        <f>MTP_YearT&amp;"–"&amp;'Step 3 (IMPL) - Enter outlook'!G3</f>
        <v>2024–2025</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1</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0</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
      </c>
    </row>
    <row r="10" spans="1:22" x14ac:dyDescent="0.4">
      <c r="A10" s="125">
        <v>2029</v>
      </c>
      <c r="B10" s="18"/>
      <c r="C10" s="18"/>
      <c r="D10" s="18"/>
      <c r="E10" s="18"/>
      <c r="F10" s="18"/>
      <c r="G10" s="18"/>
      <c r="H10" s="18"/>
      <c r="I10" s="18"/>
      <c r="J10" s="18"/>
      <c r="K10" s="5" t="s">
        <v>222</v>
      </c>
      <c r="L10" s="14" t="s">
        <v>714</v>
      </c>
      <c r="M10" s="18" t="s">
        <v>436</v>
      </c>
      <c r="P10" t="s">
        <v>700</v>
      </c>
      <c r="Q10" s="166" t="str">
        <f>'Step 1 - Set global parameters'!B16</f>
        <v>Enter date</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963</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964</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2026-07-28T20:12:58Z</dcterms:modified>
</cp:coreProperties>
</file>