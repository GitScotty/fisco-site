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0" documentId="8_{FEAD1FC0-B0B5-4F3F-8E99-B62FB95DF039}" xr6:coauthVersionLast="47" xr6:coauthVersionMax="47" xr10:uidLastSave="{00000000-0000-0000-0000-000000000000}"/>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<sst xmlns="http://schemas.openxmlformats.org/spreadsheetml/2006/main" count="2092" uniqueCount="966">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</sst>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#N/A</c:v>
                </c:pt>
                <c:pt idx="2">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948</v>
      </c>
    </row>
    <row r="3" spans="1:11" ht="13.5" customHeight="1" x14ac:dyDescent="0.4">
      <c r="A3" s="157" t="s">
        <v>305</v>
      </c>
      <c r="B3" s="284" t="s">
        <v>949</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951</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950</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952</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954</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Select country</v>
      </c>
      <c r="C30" s="8"/>
    </row>
    <row r="31" spans="1:34" outlineLevel="1" x14ac:dyDescent="0.4">
      <c r="A31" s="150" t="s">
        <v>830</v>
      </c>
      <c r="B31" s="254">
        <v>46194.63318287037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c r="E58" s="9"/>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c r="E62" s="9"/>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c r="E89" s="9"/>
      <c r="F89" s="9"/>
      <c r="G89" s="9"/>
      <c r="H89" s="9"/>
      <c r="I89" s="9"/>
      <c r="J89" s="9"/>
      <c r="K89" s="9"/>
      <c r="L89" s="9"/>
      <c r="M89" s="9"/>
      <c r="N89" s="9"/>
      <c r="O89" s="9"/>
      <c r="P89" s="9"/>
      <c r="Q89" s="9"/>
    </row>
    <row r="90" spans="1:169" outlineLevel="1" x14ac:dyDescent="0.4">
      <c r="A90" t="s">
        <v>681</v>
      </c>
      <c r="B90" t="s">
        <v>294</v>
      </c>
      <c r="C90" t="s">
        <v>672</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955</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f>IF(ISNUMBER(G$6),IF(AND(G$6&gt;=MTP_BaseYear,G$6&lt;=OutturnThrough),'Step 2 - Update outturn data'!H6,INDEX($D$59:$J$59,MATCH(G$6,$D$34:$J$34,0))/100*G$29),"")</f>
        <v>0</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f>IF(ISNUMBER(G$6),IF(AND(G$6&gt;=MTP_BaseYear,G$6&lt;=OutturnThrough),'Step 2 - Update outturn data'!H7,INDEX($D$50:$J$50,MATCH(G$6,$D$34:$J$34,0))/100*G$29),"")</f>
        <v>0</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f>IF(ISNUMBER(G$6),IF(AND(G$6&gt;=MTP_BaseYear,G$6&lt;=OutturnThrough),'Step 2 - Update outturn data'!H8,INDEX($D$63:$J$63,MATCH(G$6,$D$34:$J$34,0))/100*G$29),"")</f>
        <v>0</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f>IF(ISNUMBER(G$6),IF(AND(G$6&gt;=MTP_BaseYear,G$6&lt;=OutturnThrough),'Step 2 - Update outturn data'!H9,INDEX($D$60:$J$60,MATCH(G$6,$D$34:$J$34,0))/100*G$29),"")</f>
        <v>0</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f>IF(ISNUMBER(G$6),IF(AND(G$6&gt;=MTP_BaseYear,G$6&lt;=OutturnThrough),'Step 2 - Update outturn data'!H10,INDEX($D$62:$J$62,MATCH(G$6,$D$34:$J$34,0))/100*G$29),"")</f>
        <v>0</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f>IF(ISNUMBER(G$6),IF(AND(G$6&gt;=MTP_BaseYear,G$6&lt;=OutturnThrough),'Step 2 - Update outturn data'!H12,INDEX($D$65:$J$65,MATCH(G$6,$D$34:$J$34,0))/100*G$29),"")</f>
        <v>0</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0</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f>IF(ISNUMBER(G$6),IF(AND(G$6&gt;=MTP_BaseYear,G$6&lt;=OutturnThrough),'Step 2 - Update outturn data'!H14,INDEX($D$87:$J$87,MATCH(G$6,$D$34:$J$34,0))/100*G$29),"")</f>
        <v>0</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f>IF(ISNUMBER(G$6),IF(AND(G$6&gt;=MTP_BaseYear,G$6&lt;=OutturnThrough),'Step 2 - Update outturn data'!H15,INDEX($D$67:$J$67,MATCH(G$6,$D$34:$J$34,0))),"")</f>
        <v>0</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t="str">
        <f>IF(ISNUMBER(E$6),IF(E$6&lt;=MTP_BaseYear,"",IF(ISNUMBER(D18),((1+D18/100)*(1+E17/100)-1)*100,E17)),"")</f>
        <v/>
      </c>
      <c r="F18" s="69" t="str">
        <f>IF(ISNUMBER(F$6),IF(F$6&lt;=MTP_BaseYear,"",IF(ISNUMBER(E18),((1+E18/100)*(1+F17/100)-1)*100,F17)),"")</f>
        <v/>
      </c>
      <c r="G18" s="69">
        <f>IF(ISNUMBER(G$6),IF(G$6&lt;=MTP_BaseYear,"",IF(ISNUMBER(F18),((1+F18/100)*(1+G17/100)-1)*100,G17)),"")</f>
        <v>0</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f>IF(ISNUMBER(G$6),IF(AND(G$6&gt;=MTP_BaseYear,G$6&lt;=OutturnThrough),'Step 2 - Update outturn data'!H17,INDEX($D$69:$J$69,MATCH(G$6,$D$34:$J$34,0))),"")</f>
        <v>0</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f>IF(ISNUMBER(G$6),IF(AND(G$6&gt;=MTP_BaseYear,G$6&lt;=OutturnThrough),'Step 2 - Update outturn data'!H18,INDEX($D$72:$J$72,MATCH(G$6,$D$34:$J$34,0))),"")</f>
        <v>0</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f>IF(ISNUMBER(G$6),IF(AND(G$6&gt;=MTP_BaseYear,G$6&lt;=OutturnThrough),'Step 2 - Update outturn data'!H19,INDEX($D$73:$J$73,MATCH(G$6,$D$34:$J$34,0))),"")</f>
        <v>0</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f>IF(ISNUMBER(G$6),IF(AND(G$6&gt;=MTP_BaseYear,G$6&lt;=OutturnThrough),'Step 2 - Update outturn data'!H20,INDEX($D$75:$J$75,MATCH(G$6,$D$34:$J$34,0))),"")</f>
        <v>0</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f>IF(ISNUMBER(G$6),IF(AND(G$6&gt;=MTP_BaseYear,G$6&lt;=OutturnThrough),'Step 2 - Update outturn data'!H21,INDEX($D$76:$J$76,MATCH(G$6,$D$34:$J$34,0))),"")</f>
        <v>0</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f>IF(ISNUMBER(G$6),IF(AND(G$6&gt;=MTP_BaseYear,G$6&lt;=OutturnThrough),'Step 2 - Update outturn data'!H22,INDEX($D$94:$J$94,MATCH(G$6,$D$92:$J$92,0))),"")</f>
        <v>0</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f>IF(ISNUMBER(G$6),IF(AND(G$6&gt;=MTP_BaseYear,G$6&lt;=OutturnThrough),'Step 2 - Update outturn data'!H23,INDEX($D$95:$J$95,MATCH(G$6,$D$92:$J$92,0))),"")</f>
        <v>0</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f>IF(ISNUMBER(G$6),IF(AND(G$6&gt;=MTP_BaseYear,G$6&lt;=OutturnThrough),'Step 2 - Update outturn data'!H24,INDEX($D$96:$J$96,MATCH(G$6,$D$92:$J$92,0))),"")</f>
        <v>0</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f>IF(ISNUMBER(G$6),IF(AND(G$6&gt;=MTP_BaseYear,G$6&lt;=OutturnThrough),'Step 2 - Update outturn data'!H25,INDEX($D$125:$J$125,MATCH(G$6,$D$92:$J$92,0))),"")</f>
        <v>0</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f>IF(ISNUMBER(G$6),IF(AND(G$6&gt;=MTP_BaseYear,G$6&lt;=OutturnThrough),'Step 2 - Update outturn data'!H26,INDEX($D$131:$J$131,MATCH(G$6,$D$92:$J$92,0))),"")</f>
        <v>0</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0</v>
      </c>
      <c r="E29" s="278">
        <f>IF(ISNUMBER(E$6),IF(AND(E$6&gt;=MTP_BaseYear,E$6&lt;=OutturnThrough),'Step 2 - Update outturn data'!F27,D29*(1+INDEX($D$96:$J$96,MATCH(E$6,$D$92:$J$92,0))/100)),"")</f>
        <v>0</v>
      </c>
      <c r="F29" s="278">
        <f>IF(ISNUMBER(F$6),IF(AND(F$6&gt;=MTP_BaseYear,F$6&lt;=OutturnThrough),'Step 2 - Update outturn data'!G27,E29*(1+INDEX($D$96:$J$96,MATCH(F$6,$D$92:$J$92,0))/100)),"")</f>
        <v>0</v>
      </c>
      <c r="G29" s="278">
        <f>IF(ISNUMBER(G$6),IF(AND(G$6&gt;=MTP_BaseYear,G$6&lt;=OutturnThrough),'Step 2 - Update outturn data'!H27,F29*(1+INDEX($D$96:$J$96,MATCH(G$6,$D$92:$J$92,0))/100)),"")</f>
        <v>0</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H131" s="4"/>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0</v>
      </c>
      <c r="E23" s="4">
        <f>Assessment!E108</f>
        <v>0</v>
      </c>
      <c r="F23" s="4">
        <f>Assessment!F108</f>
        <v>0</v>
      </c>
      <c r="G23" s="4">
        <f>Assessment!G108</f>
        <v>0</v>
      </c>
      <c r="H23" t="str">
        <f>Assessment!H108</f>
        <v/>
      </c>
      <c r="I23" t="str">
        <f>Assessment!I108</f>
        <v/>
      </c>
      <c r="J23" t="str">
        <f>Assessment!J108</f>
        <v/>
      </c>
    </row>
    <row r="24" spans="1:21" customFormat="1" ht="14.85" customHeight="1" x14ac:dyDescent="0.4">
      <c r="A24" s="3">
        <v>2</v>
      </c>
      <c r="B24" t="s">
        <v>25</v>
      </c>
      <c r="C24" t="s">
        <v>6</v>
      </c>
      <c r="D24" s="4">
        <f>Assessment!D109</f>
        <v>0</v>
      </c>
      <c r="E24" s="4">
        <f>Assessment!E109</f>
        <v>0</v>
      </c>
      <c r="F24" s="4">
        <f>Assessment!F109</f>
        <v>0</v>
      </c>
      <c r="G24" s="4">
        <f>Assessment!G109</f>
        <v>0</v>
      </c>
      <c r="H24" t="str">
        <f>Assessment!H109</f>
        <v/>
      </c>
      <c r="I24" t="str">
        <f>Assessment!I109</f>
        <v/>
      </c>
      <c r="J24" t="str">
        <f>Assessment!J109</f>
        <v/>
      </c>
    </row>
    <row r="25" spans="1:21" customFormat="1" ht="14.85" customHeight="1" x14ac:dyDescent="0.4">
      <c r="A25" s="3">
        <v>3</v>
      </c>
      <c r="B25" t="s">
        <v>276</v>
      </c>
      <c r="C25" t="s">
        <v>6</v>
      </c>
      <c r="D25" s="4">
        <f>Assessment!D110</f>
        <v>0</v>
      </c>
      <c r="E25" s="4">
        <f>Assessment!E110</f>
        <v>0</v>
      </c>
      <c r="F25" s="4">
        <f>Assessment!F110</f>
        <v>0</v>
      </c>
      <c r="G25" s="4">
        <f>Assessment!G110</f>
        <v>0</v>
      </c>
      <c r="H25" t="str">
        <f>Assessment!H110</f>
        <v/>
      </c>
      <c r="I25" t="str">
        <f>Assessment!I110</f>
        <v/>
      </c>
      <c r="J25" t="str">
        <f>Assessment!J110</f>
        <v/>
      </c>
    </row>
    <row r="26" spans="1:21" customFormat="1" ht="14.85" customHeight="1" x14ac:dyDescent="0.4">
      <c r="A26" s="3">
        <v>4</v>
      </c>
      <c r="B26" t="s">
        <v>625</v>
      </c>
      <c r="C26" t="s">
        <v>6</v>
      </c>
      <c r="D26" s="4">
        <f>Assessment!D111</f>
        <v>0</v>
      </c>
      <c r="E26" s="4">
        <f>Assessment!E111</f>
        <v>0</v>
      </c>
      <c r="F26" s="4">
        <f>Assessment!F111</f>
        <v>0</v>
      </c>
      <c r="G26" s="4">
        <f>Assessment!G111</f>
        <v>0</v>
      </c>
      <c r="H26" t="str">
        <f>Assessment!H111</f>
        <v/>
      </c>
      <c r="I26" t="str">
        <f>Assessment!I111</f>
        <v/>
      </c>
      <c r="J26" t="str">
        <f>Assessment!J111</f>
        <v/>
      </c>
    </row>
    <row r="27" spans="1:21" customFormat="1" ht="14.85" customHeight="1" x14ac:dyDescent="0.4">
      <c r="A27" s="3">
        <v>5</v>
      </c>
      <c r="B27" t="s">
        <v>278</v>
      </c>
      <c r="C27" t="s">
        <v>6</v>
      </c>
      <c r="D27" s="4">
        <f>Assessment!D112</f>
        <v>0</v>
      </c>
      <c r="E27" s="4">
        <f>Assessment!E112</f>
        <v>0</v>
      </c>
      <c r="F27" s="4">
        <f>Assessment!F112</f>
        <v>0</v>
      </c>
      <c r="G27" s="4">
        <f>Assessment!G112</f>
        <v>0</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0</v>
      </c>
      <c r="E29" s="4">
        <f>Assessment!E114</f>
        <v>0</v>
      </c>
      <c r="F29" s="4">
        <f>Assessment!F114</f>
        <v>0</v>
      </c>
      <c r="G29" s="4">
        <f>Assessment!G114</f>
        <v>0</v>
      </c>
      <c r="H29" t="str">
        <f>Assessment!H114</f>
        <v/>
      </c>
      <c r="I29" t="str">
        <f>Assessment!I114</f>
        <v/>
      </c>
      <c r="J29" t="str">
        <f>Assessment!J114</f>
        <v/>
      </c>
    </row>
    <row r="30" spans="1:21" customFormat="1" ht="14.65" customHeight="1" x14ac:dyDescent="0.4">
      <c r="A30" s="3">
        <v>8</v>
      </c>
      <c r="B30" t="s">
        <v>628</v>
      </c>
      <c r="C30" t="s">
        <v>6</v>
      </c>
      <c r="D30" s="4"/>
      <c r="E30" s="4">
        <f>Assessment!E115</f>
        <v>0</v>
      </c>
      <c r="F30" s="4">
        <f>Assessment!F115</f>
        <v>0</v>
      </c>
      <c r="G30" s="4">
        <f>Assessment!G115</f>
        <v>0</v>
      </c>
      <c r="H30" t="str">
        <f>Assessment!H115</f>
        <v/>
      </c>
      <c r="I30" t="str">
        <f>Assessment!I115</f>
        <v/>
      </c>
      <c r="J30" t="str">
        <f>Assessment!J115</f>
        <v/>
      </c>
    </row>
    <row r="31" spans="1:21" customFormat="1" ht="14.65" customHeight="1" x14ac:dyDescent="0.4">
      <c r="A31" s="3">
        <v>9</v>
      </c>
      <c r="B31" t="s">
        <v>629</v>
      </c>
      <c r="C31" t="s">
        <v>6</v>
      </c>
      <c r="D31" s="4"/>
      <c r="E31" s="4">
        <f>Assessment!E116</f>
        <v>0</v>
      </c>
      <c r="F31" s="4">
        <f>Assessment!F116</f>
        <v>0</v>
      </c>
      <c r="G31" s="4">
        <f>Assessment!G116</f>
        <v>0</v>
      </c>
      <c r="H31" t="str">
        <f>Assessment!H116</f>
        <v/>
      </c>
      <c r="I31" t="str">
        <f>Assessment!I116</f>
        <v/>
      </c>
      <c r="J31" t="str">
        <f>Assessment!J116</f>
        <v/>
      </c>
    </row>
    <row r="32" spans="1:21" customFormat="1" ht="14.65" customHeight="1" x14ac:dyDescent="0.4">
      <c r="A32" s="3">
        <v>10</v>
      </c>
      <c r="B32" t="s">
        <v>630</v>
      </c>
      <c r="C32" t="s">
        <v>6</v>
      </c>
      <c r="D32" s="4"/>
      <c r="E32" s="4">
        <f>Assessment!E117</f>
        <v>0</v>
      </c>
      <c r="F32" s="4">
        <f>Assessment!F117</f>
        <v>0</v>
      </c>
      <c r="G32" s="4">
        <f>Assessment!G117</f>
        <v>0</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t="e">
        <f>Assessment!E119</f>
        <v>#DIV/0!</v>
      </c>
      <c r="F34" s="4" t="e">
        <f>Assessment!F119</f>
        <v>#DIV/0!</v>
      </c>
      <c r="G34" s="4" t="e">
        <f>Assessment!G119</f>
        <v>#DIV/0!</v>
      </c>
      <c r="H34" t="str">
        <f>Assessment!H119</f>
        <v/>
      </c>
      <c r="I34" t="str">
        <f>Assessment!I119</f>
        <v/>
      </c>
      <c r="J34" t="str">
        <f>Assessment!J119</f>
        <v/>
      </c>
    </row>
    <row r="35" spans="1:23" customFormat="1" ht="14.65" customHeight="1" x14ac:dyDescent="0.4">
      <c r="A35" s="3">
        <v>12</v>
      </c>
      <c r="B35" t="s">
        <v>946</v>
      </c>
      <c r="C35" t="s">
        <v>601</v>
      </c>
      <c r="D35" s="4"/>
      <c r="E35" s="258">
        <f>Assessment!E120</f>
        <v>0</v>
      </c>
      <c r="F35" s="4">
        <f>Assessment!F120</f>
        <v>0</v>
      </c>
      <c r="G35" s="4">
        <f>Assessment!G120</f>
        <v>0</v>
      </c>
      <c r="H35" t="str">
        <f>Assessment!H120</f>
        <v/>
      </c>
      <c r="I35" t="str">
        <f>Assessment!I120</f>
        <v/>
      </c>
      <c r="J35" t="str">
        <f>Assessment!J120</f>
        <v/>
      </c>
    </row>
    <row r="36" spans="1:23" customFormat="1" ht="14.65" customHeight="1" x14ac:dyDescent="0.4">
      <c r="A36" s="3">
        <v>13</v>
      </c>
      <c r="B36" t="s">
        <v>929</v>
      </c>
      <c r="C36" t="s">
        <v>6</v>
      </c>
      <c r="D36" s="4"/>
      <c r="E36" s="258" t="e">
        <f>Assessment!E121</f>
        <v>#DIV/0!</v>
      </c>
      <c r="F36" s="4" t="e">
        <f>Assessment!F121</f>
        <v>#DIV/0!</v>
      </c>
      <c r="G36" s="4" t="e">
        <f>Assessment!G121</f>
        <v>#DIV/0!</v>
      </c>
      <c r="H36" t="str">
        <f>Assessment!H121</f>
        <v/>
      </c>
      <c r="I36" t="str">
        <f>Assessment!I121</f>
        <v/>
      </c>
      <c r="J36" t="str">
        <f>Assessment!J121</f>
        <v/>
      </c>
    </row>
    <row r="37" spans="1:23" customFormat="1" ht="14.65" customHeight="1" x14ac:dyDescent="0.4">
      <c r="A37" s="3">
        <v>14</v>
      </c>
      <c r="B37" t="s">
        <v>930</v>
      </c>
      <c r="C37" t="s">
        <v>6</v>
      </c>
      <c r="D37" s="4"/>
      <c r="E37" s="258" t="e">
        <f>Assessment!E122</f>
        <v>#DIV/0!</v>
      </c>
      <c r="F37" s="4" t="e">
        <f>Assessment!F122</f>
        <v>#DIV/0!</v>
      </c>
      <c r="G37" s="4" t="e">
        <f>Assessment!G122</f>
        <v>#DIV/0!</v>
      </c>
      <c r="H37" t="str">
        <f>Assessment!H122</f>
        <v/>
      </c>
      <c r="I37" t="str">
        <f>Assessment!I122</f>
        <v/>
      </c>
      <c r="J37" t="str">
        <f>Assessment!J122</f>
        <v/>
      </c>
    </row>
    <row r="38" spans="1:23" customFormat="1" ht="14.65" customHeight="1" x14ac:dyDescent="0.4">
      <c r="A38" s="3">
        <v>15</v>
      </c>
      <c r="B38" t="s">
        <v>9</v>
      </c>
      <c r="C38" t="s">
        <v>6</v>
      </c>
      <c r="D38" s="4">
        <f>Assessment!D123</f>
        <v>0</v>
      </c>
      <c r="E38" s="4">
        <f>Assessment!E123</f>
        <v>0</v>
      </c>
      <c r="F38" s="4">
        <f>Assessment!F123</f>
        <v>0</v>
      </c>
      <c r="G38" s="4">
        <f>Assessment!G123</f>
        <v>0</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t="e">
        <f>Assessment!E125</f>
        <v>#DIV/0!</v>
      </c>
      <c r="F40" s="4" t="e">
        <f>Assessment!F125</f>
        <v>#DIV/0!</v>
      </c>
      <c r="G40" s="4" t="e">
        <f>Assessment!G125</f>
        <v>#DIV/0!</v>
      </c>
      <c r="H40" t="str">
        <f>Assessment!H125</f>
        <v/>
      </c>
      <c r="I40" t="str">
        <f>Assessment!I125</f>
        <v/>
      </c>
      <c r="J40" t="str">
        <f>Assessment!J125</f>
        <v/>
      </c>
    </row>
    <row r="41" spans="1:23" customFormat="1" ht="14.65" customHeight="1" x14ac:dyDescent="0.45">
      <c r="A41" s="3">
        <v>17</v>
      </c>
      <c r="B41" t="s">
        <v>945</v>
      </c>
      <c r="C41" t="s">
        <v>603</v>
      </c>
      <c r="D41" s="4"/>
      <c r="E41" s="258" t="e">
        <f>Assessment!E126</f>
        <v>#DIV/0!</v>
      </c>
      <c r="F41" s="4" t="e">
        <f>Assessment!F126</f>
        <v>#DIV/0!</v>
      </c>
      <c r="G41" s="4" t="e">
        <f>Assessment!G126</f>
        <v>#DIV/0!</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#DIV/0!</v>
      </c>
      <c r="G43" s="4" t="e">
        <f>Assessment!G134</f>
        <v>#DIV/0!</v>
      </c>
      <c r="H43" t="str">
        <f>Assessment!H134</f>
        <v/>
      </c>
      <c r="I43" t="str">
        <f>Assessment!I134</f>
        <v/>
      </c>
      <c r="J43" t="str">
        <f>Assessment!J134</f>
        <v/>
      </c>
    </row>
    <row r="44" spans="1:23" customFormat="1" ht="14.65" customHeight="1" x14ac:dyDescent="0.4">
      <c r="A44" s="3">
        <v>19</v>
      </c>
      <c r="B44" t="s">
        <v>938</v>
      </c>
      <c r="C44" t="s">
        <v>603</v>
      </c>
      <c r="D44" s="4"/>
      <c r="E44" s="4" t="e">
        <f>Assessment!E142</f>
        <v>#DIV/0!</v>
      </c>
      <c r="F44" s="4" t="e">
        <f>Assessment!F142</f>
        <v>#DIV/0!</v>
      </c>
      <c r="G44" s="4" t="e">
        <f>Assessment!G142</f>
        <v>#DIV/0!</v>
      </c>
    </row>
    <row r="45" spans="1:23" customFormat="1" ht="14.65" customHeight="1" x14ac:dyDescent="0.4">
      <c r="A45" s="3">
        <v>20</v>
      </c>
      <c r="B45" s="261" t="s">
        <v>932</v>
      </c>
      <c r="C45" s="261" t="s">
        <v>603</v>
      </c>
      <c r="D45" s="4"/>
      <c r="E45" s="4"/>
      <c r="F45" s="4" t="e">
        <f>Assessment!F144</f>
        <v>#DIV/0!</v>
      </c>
      <c r="G45" s="4" t="e">
        <f>Assessment!G144</f>
        <v>#DIV/0!</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v>0</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v>0</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v>0</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v>0</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v>0</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v>0</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1" t="str">
        <f>ScenarioName</f>
        <v>Enter scenario name</v>
      </c>
      <c r="C66" s="108" t="str" cm="1">
        <f t="array" ref="C66:H66">INDEX(
  Assessment!$22:$22,
  1,
  MATCH(MTP_BaseYear,Assessment!$4:$4,0)
    + _xlfn.SEQUENCE(1, COLUMNS(_xlfn.ANCHORARRAY(C50)), 0)
)</f>
        <v/>
      </c>
      <c r="D66" s="64" t="str">
        <v/>
      </c>
      <c r="E66" s="64" t="str">
        <v/>
      </c>
      <c r="F66" s="64">
        <v>0</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1" t="str">
        <f>ScenarioName</f>
        <v>Enter scenario name</v>
      </c>
      <c r="C68" s="108" t="str" cm="1">
        <f t="array" ref="C68:H68">INDEX(
  Assessment!$23:$23,
  1,
  MATCH(MTP_BaseYear,Assessment!$4:$4,0)
    + _xlfn.SEQUENCE(1, COLUMNS(_xlfn.ANCHORARRAY(C50)), 0)
)</f>
        <v/>
      </c>
      <c r="D68" s="64" t="str">
        <v/>
      </c>
      <c r="E68" s="64" t="str">
        <v/>
      </c>
      <c r="F68" s="64">
        <v>0</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1" t="str">
        <f>ScenarioName</f>
        <v>Enter scenario name</v>
      </c>
      <c r="C70" s="108" t="str" cm="1">
        <f t="array" ref="C70:H70">INDEX(
  Assessment!$24:$24,
  1,
  MATCH(MTP_BaseYear,Assessment!$4:$4,0)
    + _xlfn.SEQUENCE(1, COLUMNS(_xlfn.ANCHORARRAY(C50)), 0)
)</f>
        <v/>
      </c>
      <c r="D70" s="64" t="str">
        <v/>
      </c>
      <c r="E70" s="64" t="str">
        <v/>
      </c>
      <c r="F70" s="64">
        <v>0</v>
      </c>
      <c r="G70" s="64" t="str">
        <v/>
      </c>
      <c r="H70" s="64" t="str">
        <v/>
      </c>
      <c r="I70" s="64"/>
    </row>
    <row r="71" spans="1:13" x14ac:dyDescent="0.45">
      <c r="B71" s="170"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1" t="str">
        <f>ScenarioName</f>
        <v>Enter scenario name</v>
      </c>
      <c r="C72" s="108" t="str" cm="1">
        <f t="array" ref="C72:H72">INDEX(
  Assessment!$25:$25,
  1,
  MATCH(MTP_BaseYear,Assessment!$4:$4,0)
    + _xlfn.SEQUENCE(1, COLUMNS(_xlfn.ANCHORARRAY(C50)), 0)
)</f>
        <v/>
      </c>
      <c r="D72" s="64" t="str">
        <v/>
      </c>
      <c r="E72" s="64" t="str">
        <v/>
      </c>
      <c r="F72" s="64">
        <v>0</v>
      </c>
      <c r="G72" s="64" t="str">
        <v/>
      </c>
      <c r="H72" s="64" t="str">
        <v/>
      </c>
      <c r="I72" s="64"/>
    </row>
    <row r="73" spans="1:13" x14ac:dyDescent="0.45">
      <c r="B73" s="170"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2" t="str">
        <f>ScenarioName</f>
        <v>Enter scenario name</v>
      </c>
      <c r="C74" s="109" t="str" cm="1">
        <f t="array" ref="C74:H74">INDEX(
  Assessment!$26:$26,
  1,
  MATCH(MTP_BaseYear,Assessment!$4:$4,0)
    + _xlfn.SEQUENCE(1, COLUMNS(_xlfn.ANCHORARRAY(C50)), 0)
)</f>
        <v/>
      </c>
      <c r="D74" s="109" t="str">
        <v/>
      </c>
      <c r="E74" s="109" t="str">
        <v/>
      </c>
      <c r="F74" s="109">
        <v>0</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0</v>
      </c>
      <c r="F6" s="164">
        <f t="shared" ref="F6:I6" si="0">G103</f>
        <v>0</v>
      </c>
      <c r="G6" s="164">
        <f t="shared" si="0"/>
        <v>0</v>
      </c>
      <c r="H6" s="164">
        <f t="shared" si="0"/>
        <v>0</v>
      </c>
      <c r="I6" s="164">
        <f t="shared" si="0"/>
        <v>0</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v>
      </c>
      <c r="E12" s="165">
        <f t="shared" ref="E12:I12" si="6">F130</f>
        <v>0</v>
      </c>
      <c r="F12" s="165">
        <f t="shared" si="6"/>
        <v>0</v>
      </c>
      <c r="G12" s="165">
        <f t="shared" si="6"/>
        <v>0</v>
      </c>
      <c r="H12" s="165">
        <f t="shared" si="6"/>
        <v>0</v>
      </c>
      <c r="I12" s="165">
        <f t="shared" si="6"/>
        <v>0</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0</v>
      </c>
      <c r="E13" s="165">
        <f t="shared" ref="E13:I13" si="7">F131</f>
        <v>0</v>
      </c>
      <c r="F13" s="165">
        <f t="shared" si="7"/>
        <v>0</v>
      </c>
      <c r="G13" s="165">
        <f t="shared" si="7"/>
        <v>0</v>
      </c>
      <c r="H13" s="165">
        <f t="shared" si="7"/>
        <v>0</v>
      </c>
      <c r="I13" s="165">
        <f t="shared" si="7"/>
        <v>0</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0</v>
      </c>
      <c r="E14" s="165">
        <f t="shared" ref="E14:I14" si="8">F132</f>
        <v>0</v>
      </c>
      <c r="F14" s="165">
        <f t="shared" si="8"/>
        <v>0</v>
      </c>
      <c r="G14" s="165">
        <f t="shared" si="8"/>
        <v>0</v>
      </c>
      <c r="H14" s="165">
        <f t="shared" si="8"/>
        <v>0</v>
      </c>
      <c r="I14" s="165">
        <f t="shared" si="8"/>
        <v>0</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v>
      </c>
      <c r="E15" s="37">
        <f t="shared" ref="E15:I15" si="9">F161</f>
        <v>0</v>
      </c>
      <c r="F15" s="37">
        <f t="shared" si="9"/>
        <v>0</v>
      </c>
      <c r="G15" s="37">
        <f t="shared" si="9"/>
        <v>0</v>
      </c>
      <c r="H15" s="37">
        <f t="shared" si="9"/>
        <v>0</v>
      </c>
      <c r="I15" s="37">
        <f t="shared" si="9"/>
        <v>0</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v>
      </c>
      <c r="E16" s="164">
        <f t="shared" ref="E16:I16" si="10">F167</f>
        <v>0</v>
      </c>
      <c r="F16" s="164">
        <f t="shared" si="10"/>
        <v>0</v>
      </c>
      <c r="G16" s="164">
        <f t="shared" si="10"/>
        <v>0</v>
      </c>
      <c r="H16" s="164">
        <f t="shared" si="10"/>
        <v>0</v>
      </c>
      <c r="I16" s="164">
        <f t="shared" si="10"/>
        <v>0</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1">F173</f>
        <v>0</v>
      </c>
      <c r="F25" s="253">
        <f t="shared" si="11"/>
        <v>0</v>
      </c>
      <c r="G25" s="253">
        <f t="shared" si="11"/>
        <v>0</v>
      </c>
      <c r="H25" s="253">
        <f t="shared" si="11"/>
        <v>0</v>
      </c>
      <c r="I25" s="253">
        <f t="shared" si="11"/>
        <v>0</v>
      </c>
      <c r="J25" s="253">
        <f t="shared" si="11"/>
        <v>0</v>
      </c>
      <c r="K25" s="253">
        <f t="shared" si="11"/>
        <v>0</v>
      </c>
      <c r="L25" s="253">
        <f t="shared" si="11"/>
        <v>0</v>
      </c>
      <c r="M25" s="253">
        <f t="shared" si="11"/>
        <v>0</v>
      </c>
      <c r="N25" s="253">
        <f t="shared" si="11"/>
        <v>0</v>
      </c>
      <c r="O25" s="253">
        <f t="shared" si="11"/>
        <v>0</v>
      </c>
      <c r="P25" s="253">
        <f t="shared" si="11"/>
        <v>0</v>
      </c>
      <c r="Q25" s="253">
        <f t="shared" si="11"/>
        <v>0</v>
      </c>
      <c r="R25" s="253">
        <f t="shared" si="11"/>
        <v>0</v>
      </c>
      <c r="S25" s="253">
        <f t="shared" si="11"/>
        <v>0</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2">F172</f>
        <v>0</v>
      </c>
      <c r="F27" s="253">
        <f t="shared" si="12"/>
        <v>0</v>
      </c>
      <c r="G27" s="253">
        <f t="shared" si="12"/>
        <v>0</v>
      </c>
      <c r="H27" s="253">
        <f t="shared" si="12"/>
        <v>0</v>
      </c>
      <c r="I27" s="253">
        <f t="shared" si="12"/>
        <v>0</v>
      </c>
      <c r="J27" s="253">
        <f t="shared" si="12"/>
        <v>0</v>
      </c>
      <c r="K27" s="253">
        <f t="shared" si="12"/>
        <v>0</v>
      </c>
      <c r="L27" s="253">
        <f t="shared" si="12"/>
        <v>0</v>
      </c>
      <c r="M27" s="253">
        <f t="shared" si="12"/>
        <v>0</v>
      </c>
      <c r="N27" s="253">
        <f t="shared" si="12"/>
        <v>0</v>
      </c>
      <c r="O27" s="253">
        <f t="shared" si="12"/>
        <v>0</v>
      </c>
      <c r="P27" s="253">
        <f t="shared" si="12"/>
        <v>0</v>
      </c>
      <c r="Q27" s="253">
        <f t="shared" si="12"/>
        <v>0</v>
      </c>
      <c r="R27" s="253">
        <f t="shared" si="12"/>
        <v>0</v>
      </c>
      <c r="S27" s="253">
        <f t="shared" si="12"/>
        <v>0</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953</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751</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c r="F114" s="4"/>
      <c r="G114" s="4"/>
      <c r="H114" s="4"/>
      <c r="I114" s="4"/>
      <c r="J114" s="4"/>
    </row>
    <row r="115" spans="1:13" ht="14.25" x14ac:dyDescent="0.45">
      <c r="A115" s="212">
        <v>39</v>
      </c>
      <c r="B115" s="240" t="s">
        <v>754</v>
      </c>
      <c r="C115" s="225"/>
      <c r="D115" s="244"/>
      <c r="E115" s="4"/>
      <c r="F115" s="4"/>
      <c r="G115" s="4"/>
      <c r="H115" s="4"/>
      <c r="I115" s="4"/>
      <c r="J115" s="4"/>
    </row>
    <row r="116" spans="1:13" ht="14.25" x14ac:dyDescent="0.45">
      <c r="A116" s="212">
        <v>40</v>
      </c>
      <c r="B116" s="241" t="s">
        <v>755</v>
      </c>
      <c r="C116" s="225"/>
      <c r="D116" s="244"/>
      <c r="E116" s="4"/>
      <c r="F116" s="4"/>
      <c r="G116" s="4"/>
      <c r="H116" s="4"/>
      <c r="I116" s="4"/>
      <c r="J116" s="4"/>
    </row>
    <row r="117" spans="1:13" ht="14.25" x14ac:dyDescent="0.45">
      <c r="A117" s="212">
        <v>41</v>
      </c>
      <c r="B117" s="241" t="s">
        <v>756</v>
      </c>
      <c r="C117" s="225"/>
      <c r="D117" s="244"/>
      <c r="E117" s="4"/>
      <c r="F117" s="4"/>
      <c r="G117" s="4"/>
      <c r="H117" s="4"/>
      <c r="I117" s="4"/>
      <c r="J117" s="4"/>
    </row>
    <row r="118" spans="1:13" ht="14.25" x14ac:dyDescent="0.45">
      <c r="A118" s="212">
        <v>42</v>
      </c>
      <c r="B118" s="241" t="s">
        <v>757</v>
      </c>
      <c r="C118" s="225"/>
      <c r="D118" s="244"/>
      <c r="E118" s="4"/>
      <c r="F118" s="4"/>
      <c r="G118" s="4"/>
      <c r="H118" s="4"/>
      <c r="I118" s="4"/>
      <c r="J118" s="4"/>
    </row>
    <row r="119" spans="1:13" ht="14.25" x14ac:dyDescent="0.45">
      <c r="A119" s="212">
        <v>43</v>
      </c>
      <c r="B119" s="240" t="s">
        <v>758</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763</v>
      </c>
      <c r="D132" s="144"/>
      <c r="H132" s="4"/>
      <c r="I132" s="4"/>
      <c r="J132" s="4"/>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H134" s="4"/>
      <c r="I134" s="4"/>
      <c r="J134" s="4"/>
    </row>
    <row r="135" spans="1:10" ht="14.25" x14ac:dyDescent="0.45">
      <c r="A135" s="212">
        <v>5</v>
      </c>
      <c r="B135" s="225" t="s">
        <v>767</v>
      </c>
      <c r="C135" s="225" t="s">
        <v>766</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H138" s="4"/>
      <c r="I138" s="4"/>
      <c r="J138" s="4"/>
    </row>
    <row r="139" spans="1:10" ht="14.25" x14ac:dyDescent="0.45">
      <c r="A139" s="212">
        <v>9</v>
      </c>
      <c r="B139" s="225" t="s">
        <v>772</v>
      </c>
      <c r="C139" s="225" t="s">
        <v>773</v>
      </c>
      <c r="D139" s="246"/>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H141" s="4"/>
      <c r="I141" s="4"/>
      <c r="J141" s="4"/>
    </row>
    <row r="142" spans="1:10" ht="14.25" x14ac:dyDescent="0.45">
      <c r="A142" s="212">
        <v>11</v>
      </c>
      <c r="B142" s="243" t="s">
        <v>776</v>
      </c>
      <c r="C142" s="225" t="s">
        <v>769</v>
      </c>
      <c r="D142" s="246"/>
      <c r="H142" s="4"/>
      <c r="I142" s="4"/>
      <c r="J142" s="4"/>
    </row>
    <row r="143" spans="1:10" ht="14.25" x14ac:dyDescent="0.45">
      <c r="A143" s="212">
        <v>12</v>
      </c>
      <c r="B143" s="243" t="s">
        <v>777</v>
      </c>
      <c r="C143" s="225" t="s">
        <v>778</v>
      </c>
      <c r="D143" s="246"/>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H145" s="4"/>
      <c r="I145" s="4"/>
      <c r="J145" s="4"/>
    </row>
    <row r="146" spans="1:10" ht="14.25" x14ac:dyDescent="0.45">
      <c r="A146" s="212">
        <v>14</v>
      </c>
      <c r="B146" s="240" t="s">
        <v>781</v>
      </c>
      <c r="C146" s="225"/>
      <c r="D146" s="246"/>
      <c r="H146" s="4"/>
      <c r="I146" s="4"/>
      <c r="J146" s="4"/>
    </row>
    <row r="147" spans="1:10" ht="14.25" x14ac:dyDescent="0.45">
      <c r="A147" s="212">
        <v>15</v>
      </c>
      <c r="B147" s="225" t="s">
        <v>782</v>
      </c>
      <c r="C147" s="225"/>
      <c r="D147" s="246"/>
      <c r="H147" s="4"/>
      <c r="I147" s="4"/>
      <c r="J147" s="4"/>
    </row>
    <row r="148" spans="1:10" ht="14.25" x14ac:dyDescent="0.45">
      <c r="A148" s="212">
        <v>16</v>
      </c>
      <c r="B148" s="225" t="s">
        <v>783</v>
      </c>
      <c r="C148" s="225"/>
      <c r="D148" s="246"/>
      <c r="H148" s="4"/>
      <c r="I148" s="4"/>
      <c r="J148" s="4"/>
    </row>
    <row r="149" spans="1:10" ht="14.25" x14ac:dyDescent="0.45">
      <c r="A149" s="212">
        <v>17</v>
      </c>
      <c r="B149" s="225" t="s">
        <v>784</v>
      </c>
      <c r="C149" s="225"/>
      <c r="D149" s="246"/>
      <c r="H149" s="4"/>
      <c r="I149" s="4"/>
      <c r="J149" s="4"/>
    </row>
    <row r="150" spans="1:10" ht="14.25" x14ac:dyDescent="0.45">
      <c r="A150" s="212">
        <v>18</v>
      </c>
      <c r="B150" s="225" t="s">
        <v>785</v>
      </c>
      <c r="C150" s="225"/>
      <c r="D150" s="246"/>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c r="G152" s="3"/>
      <c r="H152" s="64"/>
      <c r="I152" s="64"/>
      <c r="J152" s="64"/>
    </row>
    <row r="153" spans="1:10" x14ac:dyDescent="0.4">
      <c r="A153" s="212">
        <v>20</v>
      </c>
      <c r="B153" s="225" t="s">
        <v>789</v>
      </c>
      <c r="C153" s="225"/>
      <c r="D153" s="144"/>
      <c r="H153" s="4"/>
      <c r="I153" s="4"/>
      <c r="J153" s="4"/>
    </row>
    <row r="154" spans="1:10" ht="14.25" x14ac:dyDescent="0.45">
      <c r="A154" s="212">
        <v>21</v>
      </c>
      <c r="B154" s="225" t="s">
        <v>790</v>
      </c>
      <c r="C154" s="225"/>
      <c r="D154" s="246"/>
      <c r="H154" s="4"/>
      <c r="I154" s="4"/>
      <c r="J154" s="4"/>
    </row>
    <row r="155" spans="1:10" ht="14.25" x14ac:dyDescent="0.45">
      <c r="A155" s="212">
        <v>22</v>
      </c>
      <c r="B155" s="225" t="s">
        <v>791</v>
      </c>
      <c r="C155" s="225"/>
      <c r="D155" s="246"/>
      <c r="H155" s="4"/>
      <c r="I155" s="4"/>
      <c r="J155" s="4"/>
    </row>
    <row r="156" spans="1:10" x14ac:dyDescent="0.4">
      <c r="A156" s="212">
        <v>23</v>
      </c>
      <c r="B156" s="225" t="s">
        <v>792</v>
      </c>
      <c r="C156" s="225" t="s">
        <v>5</v>
      </c>
      <c r="D156" s="144"/>
      <c r="H156" s="4"/>
      <c r="I156" s="4"/>
      <c r="J156" s="4"/>
    </row>
    <row r="157" spans="1:10" x14ac:dyDescent="0.4">
      <c r="A157" s="212">
        <v>24</v>
      </c>
      <c r="B157" s="225" t="s">
        <v>793</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H161" s="4"/>
      <c r="I161" s="4"/>
      <c r="J161" s="4"/>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H163" s="4"/>
      <c r="I163" s="4"/>
      <c r="J163" s="4"/>
    </row>
    <row r="164" spans="1:26" ht="14.25" x14ac:dyDescent="0.45">
      <c r="A164" s="212">
        <v>28</v>
      </c>
      <c r="B164" s="240" t="s">
        <v>799</v>
      </c>
      <c r="C164" s="225"/>
      <c r="D164" s="246"/>
      <c r="H164" s="4"/>
      <c r="I164" s="4"/>
      <c r="J164" s="4"/>
    </row>
    <row r="165" spans="1:26" ht="14.25" x14ac:dyDescent="0.45">
      <c r="A165" s="212">
        <v>29</v>
      </c>
      <c r="B165" s="240" t="s">
        <v>800</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836</v>
      </c>
      <c r="C173" s="196" t="s">
        <v>837</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838</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839</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840</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841</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842</v>
      </c>
      <c r="C178" s="196" t="s">
        <v>843</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844</v>
      </c>
      <c r="C179" s="196" t="s">
        <v>845</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846</v>
      </c>
      <c r="C180" s="196" t="s">
        <v>847</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848</v>
      </c>
      <c r="C181" s="196" t="s">
        <v>849</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850</v>
      </c>
      <c r="C182" s="196" t="s">
        <v>851</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852</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853</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854</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Select IFI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Select country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N/A</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Select country's latest MTP adheres to the Commission's reference trajectory.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Select country's planned net expenditure ensures gross government debt remains at prudent levels below 60% over the medium-term.</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Select country.</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The debt sustainability safeguard does not apply.</v>
      </c>
      <c r="F21" s="22" t="str">
        <f>Assessment!C319</f>
        <v>The debt sustainability safeguard does not apply as Select country's debt is below 60%.</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N/A</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956</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Enter scenario name</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f>IF(G$4&lt;=OutturnThrough,IF(ISNUMBER('Step 2 - Update outturn data'!H6),'Step 2 - Update outturn data'!H6,""),IF(ISNUMBER('Step 3 (IMPL) - Enter outlook'!G8),'Step 3 (IMPL) - Enter outlook'!G8,""))</f>
        <v>0</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f>IF(G$4&lt;=OutturnThrough,IF(ISNUMBER('Step 2 - Update outturn data'!H7),'Step 2 - Update outturn data'!H7,""),IF(ISNUMBER('Step 3 (IMPL) - Enter outlook'!G9),'Step 3 (IMPL) - Enter outlook'!G9,""))</f>
        <v>0</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f>IF(G$4&lt;=OutturnThrough,IF(ISNUMBER('Step 2 - Update outturn data'!H8),'Step 2 - Update outturn data'!H8,""),IF(ISNUMBER('Step 3 (IMPL) - Enter outlook'!G10),'Step 3 (IMPL) - Enter outlook'!G10,""))</f>
        <v>0</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f>IF(G$4&lt;=OutturnThrough,IF(ISNUMBER('Step 2 - Update outturn data'!H9),'Step 2 - Update outturn data'!H9,""),IF(ISNUMBER('Step 3 (IMPL) - Enter outlook'!G11),'Step 3 (IMPL) - Enter outlook'!G11,""))</f>
        <v>0</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f>IF(G$4&lt;=OutturnThrough,IF(ISNUMBER('Step 2 - Update outturn data'!H10),'Step 2 - Update outturn data'!H10,""),IF(ISNUMBER('Step 3 (IMPL) - Enter outlook'!G12),'Step 3 (IMPL) - Enter outlook'!G12,""))</f>
        <v>0</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f>IF(G$4&lt;=OutturnThrough,IF(ISNUMBER('Step 2 - Update outturn data'!H12),'Step 2 - Update outturn data'!H12,""),IF(ISNUMBER('Step 3 (IMPL) - Enter outlook'!G14),'Step 3 (IMPL) - Enter outlook'!G14,""))</f>
        <v>0</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0</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f>IF(G$4&lt;=OutturnThrough,IF(ISNUMBER('Step 2 - Update outturn data'!H14),'Step 2 - Update outturn data'!H14,""),IF(ISNUMBER('Step 3 (IMPL) - Enter outlook'!G16),'Step 3 (IMPL) - Enter outlook'!G16,""))</f>
        <v>0</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f>IF(G$4&lt;=OutturnThrough,IF(ISNUMBER('Step 2 - Update outturn data'!H15),'Step 2 - Update outturn data'!H15,""),IF(ISNUMBER('Step 3 (IMPL) - Enter outlook'!G17),'Step 3 (IMPL) - Enter outlook'!G17,""))</f>
        <v>0</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f>IF(G$4&lt;=OutturnThrough,IF(ISNUMBER('Step 2 - Update outturn data'!H16),'Step 2 - Update outturn data'!H16,""),IF(ISNUMBER('Step 3 (IMPL) - Enter outlook'!G18),'Step 3 (IMPL) - Enter outlook'!G18,""))</f>
        <v>0</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f>IF(G$4&lt;=OutturnThrough,IF(ISNUMBER('Step 2 - Update outturn data'!H17),'Step 2 - Update outturn data'!H17,""),IF(ISNUMBER('Step 3 (IMPL) - Enter outlook'!G19),'Step 3 (IMPL) - Enter outlook'!G19,""))</f>
        <v>0</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f>IF(G$4&lt;=OutturnThrough,IF(ISNUMBER('Step 2 - Update outturn data'!H18),'Step 2 - Update outturn data'!H18,""),IF(ISNUMBER('Step 3 (IMPL) - Enter outlook'!G20),'Step 3 (IMPL) - Enter outlook'!G20,""))</f>
        <v>0</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f>IF(G$4&lt;=OutturnThrough,IF(ISNUMBER('Step 2 - Update outturn data'!H19),'Step 2 - Update outturn data'!H19,""),IF(ISNUMBER('Step 3 (IMPL) - Enter outlook'!G21),'Step 3 (IMPL) - Enter outlook'!G21,""))</f>
        <v>0</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f>IF(G$4&lt;=OutturnThrough,IF(ISNUMBER('Step 2 - Update outturn data'!H20),'Step 2 - Update outturn data'!H20,""),IF(ISNUMBER('Step 3 (IMPL) - Enter outlook'!G22),'Step 3 (IMPL) - Enter outlook'!G22,""))</f>
        <v>0</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f>IF(G$4&lt;=OutturnThrough,IF(ISNUMBER('Step 2 - Update outturn data'!H21),'Step 2 - Update outturn data'!H21,""),IF(ISNUMBER('Step 3 (IMPL) - Enter outlook'!G23),'Step 3 (IMPL) - Enter outlook'!G23,""))</f>
        <v>0</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f>IF(G$4&lt;=OutturnThrough,IF(ISNUMBER('Step 2 - Update outturn data'!H22),'Step 2 - Update outturn data'!H22,""),IF(ISNUMBER('Step 3 (IMPL) - Enter outlook'!G24),'Step 3 (IMPL) - Enter outlook'!G24,""))</f>
        <v>0</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f>IF(G$4&lt;=OutturnThrough,IF(ISNUMBER('Step 2 - Update outturn data'!H23),'Step 2 - Update outturn data'!H23,""),IF(ISNUMBER('Step 3 (IMPL) - Enter outlook'!G25),'Step 3 (IMPL) - Enter outlook'!G25,""))</f>
        <v>0</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f>IF(G$4&lt;=OutturnThrough,IF(ISNUMBER('Step 2 - Update outturn data'!H24),'Step 2 - Update outturn data'!H24,""),IF(ISNUMBER('Step 3 (IMPL) - Enter outlook'!G26),'Step 3 (IMPL) - Enter outlook'!G26,""))</f>
        <v>0</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f>IF(G$4&lt;=OutturnThrough,IF(ISNUMBER('Step 2 - Update outturn data'!H25),'Step 2 - Update outturn data'!H25,""),IF(ISNUMBER('Step 3 (IMPL) - Enter outlook'!G27),'Step 3 (IMPL) - Enter outlook'!G27,""))</f>
        <v>0</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f>IF(G$4&lt;=OutturnThrough,IF(ISNUMBER('Step 2 - Update outturn data'!H26),'Step 2 - Update outturn data'!H26,""),IF(ISNUMBER('Step 3 (IMPL) - Enter outlook'!G28),'Step 3 (IMPL) - Enter outlook'!G28,""))</f>
        <v>0</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f>IF(G$4&lt;=OutturnThrough,IF(ISNUMBER('Step 2 - Update outturn data'!H27),'Step 2 - Update outturn data'!H27,""),IF(ISNUMBER('Step 3 (IMPL) - Enter outlook'!G29),'Step 3 (IMPL) - Enter outlook'!G29,""))</f>
        <v>0</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1</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957</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959</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958</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960</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961</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Select country's observed net expenditure to 2025 does not adhere to the net expenditure path in its latest Council-endorsed MTP, but planned net expenditure to 2026 does. At least one year of deviation is not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f t="shared" si="2"/>
        <v>0</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f t="shared" si="3"/>
        <v>0</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f t="shared" si="4"/>
        <v>0</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v>
      </c>
      <c r="E111" s="144">
        <f t="shared" si="5"/>
        <v>0</v>
      </c>
      <c r="F111" s="144">
        <f t="shared" si="5"/>
        <v>0</v>
      </c>
      <c r="G111" s="144">
        <f t="shared" si="5"/>
        <v>0</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f t="shared" si="6"/>
        <v>0</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0</v>
      </c>
      <c r="E114" s="144">
        <f t="shared" si="8"/>
        <v>0</v>
      </c>
      <c r="F114" s="144">
        <f t="shared" si="8"/>
        <v>0</v>
      </c>
      <c r="G114" s="144">
        <f t="shared" si="8"/>
        <v>0</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0</v>
      </c>
      <c r="F115" s="91">
        <f t="shared" ref="F115:J115" si="9">IF(ISNUMBER(F105),F114-E114,"")</f>
        <v>0</v>
      </c>
      <c r="G115" s="91">
        <f t="shared" si="9"/>
        <v>0</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v>
      </c>
      <c r="F116" s="144">
        <f t="shared" si="10"/>
        <v>0</v>
      </c>
      <c r="G116" s="144">
        <f t="shared" si="10"/>
        <v>0</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v>
      </c>
      <c r="F117" s="144">
        <f t="shared" ref="F117:J117" si="11">IF(ISNUMBER(F105),F115-F116,"")</f>
        <v>0</v>
      </c>
      <c r="G117" s="144">
        <f t="shared" si="11"/>
        <v>0</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t="e">
        <f>IF(ISNUMBER(E105),E117/D114*100,"")</f>
        <v>#DIV/0!</v>
      </c>
      <c r="F119" s="144" t="e">
        <f t="shared" ref="F119:J119" si="12">IF(ISNUMBER(F105),F117/E114*100,"")</f>
        <v>#DIV/0!</v>
      </c>
      <c r="G119" s="144" t="e">
        <f t="shared" si="12"/>
        <v>#DIV/0!</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0</v>
      </c>
      <c r="F120" s="144">
        <f t="shared" si="13"/>
        <v>0</v>
      </c>
      <c r="G120" s="144">
        <f t="shared" si="13"/>
        <v>0</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t="e">
        <f>IF(ISNUMBER(E105),((E119-E120)/100)*D114,"")</f>
        <v>#DIV/0!</v>
      </c>
      <c r="F121" s="144" t="e">
        <f t="shared" ref="F121:J121" si="14">IF(ISNUMBER(F105),((F119-F120)/100)*E114,"")</f>
        <v>#DIV/0!</v>
      </c>
      <c r="G121" s="144" t="e">
        <f t="shared" si="14"/>
        <v>#DIV/0!</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t="e">
        <f>IF(ISNUMBER(E105),E121+IF(ISNUMBER(D105),D122,0),"")</f>
        <v>#DIV/0!</v>
      </c>
      <c r="F122" s="144" t="e">
        <f t="shared" ref="F122:J122" si="15">IF(ISNUMBER(F105),F121+IF(ISNUMBER(E105),E122,0),"")</f>
        <v>#DIV/0!</v>
      </c>
      <c r="G122" s="144" t="e">
        <f t="shared" si="15"/>
        <v>#DIV/0!</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0</v>
      </c>
      <c r="E123" s="144">
        <f t="shared" si="16"/>
        <v>0</v>
      </c>
      <c r="F123" s="144">
        <f t="shared" si="16"/>
        <v>0</v>
      </c>
      <c r="G123" s="144">
        <f t="shared" si="16"/>
        <v>0</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t="e">
        <f>IF(ISNUMBER(E105),E121/E$123*100,"")</f>
        <v>#DIV/0!</v>
      </c>
      <c r="F125" s="4" t="e">
        <f t="shared" ref="F125:J125" si="17">IF(ISNUMBER(F105),F121/F$123*100,"")</f>
        <v>#DIV/0!</v>
      </c>
      <c r="G125" s="4" t="e">
        <f t="shared" si="17"/>
        <v>#DIV/0!</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t="e">
        <f>IF(ISNUMBER(E105),E122/E$123*100,"")</f>
        <v>#DIV/0!</v>
      </c>
      <c r="F126" s="4" t="e">
        <f t="shared" ref="F126:J126" si="18">IF(ISNUMBER(F105),F122/F$123*100,"")</f>
        <v>#DIV/0!</v>
      </c>
      <c r="G126" s="4" t="e">
        <f t="shared" si="18"/>
        <v>#DIV/0!</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t="e">
        <f>IF(ISNUMBER(E105),E121/E$123*100,"")</f>
        <v>#DIV/0!</v>
      </c>
      <c r="F128" s="4" t="e">
        <f t="shared" ref="F128:J128" si="19">IF(ISNUMBER(F105),F121/F$123*100,"")</f>
        <v>#DIV/0!</v>
      </c>
      <c r="G128" s="4" t="e">
        <f t="shared" si="19"/>
        <v>#DIV/0!</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0</v>
      </c>
      <c r="E129" s="144">
        <f t="shared" si="20"/>
        <v>0</v>
      </c>
      <c r="F129" s="144">
        <f t="shared" si="20"/>
        <v>0</v>
      </c>
      <c r="G129" s="144">
        <f t="shared" si="20"/>
        <v>0</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t="e">
        <f t="shared" ref="D130:J130" si="21">IF(ISNUMBER(D105),D14/D123*100,"")</f>
        <v>#DIV/0!</v>
      </c>
      <c r="E130" s="4" t="e">
        <f t="shared" si="21"/>
        <v>#DIV/0!</v>
      </c>
      <c r="F130" s="4" t="e">
        <f t="shared" si="21"/>
        <v>#DIV/0!</v>
      </c>
      <c r="G130" s="4" t="e">
        <f t="shared" si="21"/>
        <v>#DIV/0!</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v>
      </c>
      <c r="F131" s="4">
        <f t="shared" ref="F131:J131" si="22">IF(ISNUMBER(F105),F129-E129,"")</f>
        <v>0</v>
      </c>
      <c r="G131" s="4">
        <f t="shared" si="22"/>
        <v>0</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t="e">
        <f>IF(ISNUMBER(E105),E131/E$27*100,"")</f>
        <v>#DIV/0!</v>
      </c>
      <c r="F132" s="4" t="e">
        <f>IF(ISNUMBER(F105),F131/F$27*100,"")</f>
        <v>#DIV/0!</v>
      </c>
      <c r="G132" s="4" t="e">
        <f t="shared" ref="G132:J132" si="23">IF(ISNUMBER(G105),G131/G$27*100,"")</f>
        <v>#DIV/0!</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#DIV/0!</v>
      </c>
      <c r="F133" s="4" t="e">
        <f t="shared" ref="F133:G133" si="24">IF(ISNUMBER(F105),F134/100*F$27,"")</f>
        <v>#DIV/0!</v>
      </c>
      <c r="G133" s="4" t="e">
        <f t="shared" si="24"/>
        <v>#DIV/0!</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#DIV/0!</v>
      </c>
      <c r="F134" s="4" t="e">
        <f>IF(ISNUMBER(F105),F130-'Step 1 - Set global parameters'!$B$27,"")</f>
        <v>#DIV/0!</v>
      </c>
      <c r="G134" s="4" t="e">
        <f>IF(ISNUMBER(G105),G130-'Step 1 - Set global parameters'!$B$27,"")</f>
        <v>#DIV/0!</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#DIV/0!</v>
      </c>
      <c r="F135" s="117" t="e">
        <f t="shared" si="25"/>
        <v>#DIV/0!</v>
      </c>
      <c r="G135" s="117" t="e">
        <f t="shared" si="25"/>
        <v>#DIV/0!</v>
      </c>
      <c r="H135" s="117" t="str">
        <f t="shared" si="25"/>
        <v/>
      </c>
      <c r="I135" s="117" t="str">
        <f t="shared" si="25"/>
        <v/>
      </c>
      <c r="J135" s="117" t="str">
        <f t="shared" si="25"/>
        <v/>
      </c>
      <c r="K135" s="117"/>
    </row>
    <row r="136" spans="1:35" s="44" customFormat="1" x14ac:dyDescent="0.4">
      <c r="B136" s="82" t="s">
        <v>652</v>
      </c>
      <c r="C136" s="44" t="s">
        <v>651</v>
      </c>
      <c r="E136" s="48" t="e">
        <f>IF(ISNUMBER(E105),E121,"")</f>
        <v>#DIV/0!</v>
      </c>
      <c r="F136" s="48" t="e">
        <f t="shared" ref="F136:J136" si="26">IF(ISNUMBER(F105),F121,"")</f>
        <v>#DIV/0!</v>
      </c>
      <c r="G136" s="48" t="e">
        <f t="shared" si="26"/>
        <v>#DIV/0!</v>
      </c>
      <c r="H136" s="48" t="str">
        <f t="shared" si="26"/>
        <v/>
      </c>
      <c r="I136" s="48" t="str">
        <f t="shared" si="26"/>
        <v/>
      </c>
      <c r="J136" s="48" t="str">
        <f t="shared" si="26"/>
        <v/>
      </c>
      <c r="K136" s="48"/>
    </row>
    <row r="137" spans="1:35" s="44" customFormat="1" x14ac:dyDescent="0.4">
      <c r="B137" s="90" t="s">
        <v>249</v>
      </c>
      <c r="C137" s="44" t="s">
        <v>651</v>
      </c>
      <c r="D137" s="48"/>
      <c r="E137" s="48" t="e">
        <f>IF(ISNUMBER(E105),IF(OR(E136="",ISNA(E136)),"",MAX(E136,0)),"")</f>
        <v>#DIV/0!</v>
      </c>
      <c r="F137" s="48" t="e">
        <f t="shared" ref="F137:J137" si="27">IF(ISNUMBER(F105),IF(OR(F136="",ISNA(F136)),"",MAX(F136,0)),"")</f>
        <v>#DIV/0!</v>
      </c>
      <c r="G137" s="48" t="e">
        <f t="shared" si="27"/>
        <v>#DIV/0!</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#DIV/0!</v>
      </c>
      <c r="F138" s="48" t="e">
        <f t="shared" ref="F138:G138" si="28">IF(ISNUMBER(F105),IF((F137-MAX(F133,0))&gt;0,F137-MAX(F133,0),0),"")</f>
        <v>#DIV/0!</v>
      </c>
      <c r="G138" s="48" t="e">
        <f t="shared" si="28"/>
        <v>#DIV/0!</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t="e">
        <f>IF(ISNUMBER(E105),IF(OR(E136="",ISNA(E136)),"",ABS(MIN(E136,0))),"")</f>
        <v>#DIV/0!</v>
      </c>
      <c r="F139" s="48" t="e">
        <f t="shared" ref="F139:J139" si="30">IF(ISNUMBER(F105),IF(OR(F136="",ISNA(F136)),"",ABS(MIN(F136,0))),"")</f>
        <v>#DIV/0!</v>
      </c>
      <c r="G139" s="48" t="e">
        <f t="shared" si="30"/>
        <v>#DIV/0!</v>
      </c>
      <c r="H139" s="48" t="str">
        <f t="shared" si="30"/>
        <v/>
      </c>
      <c r="I139" s="48" t="str">
        <f t="shared" si="30"/>
        <v/>
      </c>
      <c r="J139" s="48" t="str">
        <f t="shared" si="30"/>
        <v/>
      </c>
      <c r="K139" s="48"/>
    </row>
    <row r="140" spans="1:35" s="44" customFormat="1" x14ac:dyDescent="0.4">
      <c r="B140" s="55" t="s">
        <v>653</v>
      </c>
      <c r="C140" s="44" t="s">
        <v>651</v>
      </c>
      <c r="E140" s="48" t="e">
        <f>IF(ISNUMBER(E105),IF(E145=FALSE,E137-E139,IF(E146=TRUE,E138-E139,E139)),"")</f>
        <v>#DIV/0!</v>
      </c>
      <c r="F140" s="48" t="e">
        <f t="shared" ref="F140:J140" si="31">IF(ISNUMBER(F105),IF(F145=FALSE,F137-F139,IF(F146=TRUE,F138-F139,F139)),"")</f>
        <v>#DIV/0!</v>
      </c>
      <c r="G140" s="48" t="e">
        <f t="shared" si="31"/>
        <v>#DIV/0!</v>
      </c>
      <c r="H140" s="48" t="str">
        <f t="shared" si="31"/>
        <v/>
      </c>
      <c r="I140" s="48" t="str">
        <f t="shared" si="31"/>
        <v/>
      </c>
      <c r="J140" s="48" t="str">
        <f t="shared" si="31"/>
        <v/>
      </c>
      <c r="K140" s="48"/>
    </row>
    <row r="141" spans="1:35" s="44" customFormat="1" x14ac:dyDescent="0.4">
      <c r="B141" s="55" t="s">
        <v>697</v>
      </c>
      <c r="C141" s="44" t="s">
        <v>651</v>
      </c>
      <c r="E141" s="48" t="e">
        <f>IF(ISNUMBER(E105),E140+IF(ISNUMBER(D105),D141,0),"")</f>
        <v>#DIV/0!</v>
      </c>
      <c r="F141" s="48" t="e">
        <f>IF(ISNUMBER(F105),F140+IF(ISNUMBER(E105),E141,0),"")</f>
        <v>#DIV/0!</v>
      </c>
      <c r="G141" s="48" t="e">
        <f>IF(ISNUMBER(G105),G140+IF(ISNUMBER(F105),F141,0),"")</f>
        <v>#DIV/0!</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t="e">
        <f>IF(ISNUMBER(E105),E140/E123*100,"")</f>
        <v>#DIV/0!</v>
      </c>
      <c r="F142" s="4" t="e">
        <f t="shared" ref="F142:J142" si="33">IF(ISNUMBER(F105),F140/F123*100,"")</f>
        <v>#DIV/0!</v>
      </c>
      <c r="G142" s="4" t="e">
        <f t="shared" si="33"/>
        <v>#DIV/0!</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t="e">
        <f>IF(ISNUMBER(E105),E141/E$123*100,"")</f>
        <v>#DIV/0!</v>
      </c>
      <c r="F143" s="4" t="e">
        <f t="shared" ref="F143:J143" si="34">IF(ISNUMBER(F105),F141/F$123*100,"")</f>
        <v>#DIV/0!</v>
      </c>
      <c r="G143" s="4" t="e">
        <f t="shared" si="34"/>
        <v>#DIV/0!</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#DIV/0!</v>
      </c>
      <c r="F144" s="4" t="e">
        <f t="shared" ref="F144:J144" si="35">IF(ISNUMBER(F105),F126-F134,"")</f>
        <v>#DIV/0!</v>
      </c>
      <c r="G144" s="4" t="e">
        <f t="shared" si="35"/>
        <v>#DIV/0!</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e">
        <f>F142 &gt; 0.3</f>
        <v>#DIV/0!</v>
      </c>
      <c r="G148" s="76" t="e">
        <f>G142 &gt; 0.3</f>
        <v>#DIV/0!</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e">
        <f>IF(F143 &gt; 0.6, TRUE, FALSE)</f>
        <v>#DIV/0!</v>
      </c>
      <c r="G149" s="119" t="e">
        <f>IF(G143 &gt; 0.6, TRUE, FALSE)</f>
        <v>#DIV/0!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e">
        <f>MAX(INDEX(142:142,_xlfn.XMATCH(MTP_YearT,105:105,0)):INDEX(142:142,_xlfn.XMATCH(AssessmentEnd,105:105,0)))&gt;0.3</f>
        <v>#DIV/0!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e">
        <f>MAX(INDEX(143:143,_xlfn.XMATCH(MTP_YearT,105:105,0)):INDEX(143:143,_xlfn.XMATCH(AssessmentEnd,105:105,0)))&gt;0.6</f>
        <v>#DIV/0!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e">
        <f>MAX(INDEX(142:142,_xlfn.XMATCH(MTP_YearT,105:105,0)):INDEX(142:142,_xlfn.XMATCH(OutturnThrough,105:105,0)))&gt;0.3</f>
        <v>#DIV/0!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e">
        <f>MAX(INDEX(143:143,_xlfn.XMATCH(MTP_YearT,105:105,0)):INDEX(143:143,_xlfn.XMATCH(OutturnThrough,105:105,0)))&gt;0.6</f>
        <v>#DIV/0!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e"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#DIV/0!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e"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#DIV/0!</v>
      </c>
      <c r="D158" s="58"/>
      <c r="E158" s="58"/>
      <c r="F158" s="58"/>
      <c r="G158" s="58"/>
      <c r="H158" s="58"/>
      <c r="I158" s="58"/>
      <c r="J158" s="58"/>
      <c r="K158" s="58"/>
      <c r="L158" s="58"/>
      <c r="M158" s="58"/>
      <c r="N158" s="58"/>
      <c r="O158" s="58"/>
      <c r="P158" s="58"/>
      <c r="Q158" s="58"/>
      <c r="R158" s="58"/>
      <c r="S158" s="58"/>
      <c r="T158" s="58"/>
    </row>
    <row r="159" spans="1:35" x14ac:dyDescent="0.4">
      <c r="B159" s="46" t="s">
        <v>963</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e">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0</v>
      </c>
      <c r="E173" s="91">
        <v>0</v>
      </c>
      <c r="F173" s="91">
        <v>0</v>
      </c>
      <c r="G173" s="91">
        <v>0</v>
      </c>
      <c r="H173" s="91"/>
      <c r="I173" s="91"/>
      <c r="J173" s="91"/>
      <c r="K173" s="91"/>
      <c r="L173" s="91"/>
      <c r="M173" s="91"/>
      <c r="N173" s="91"/>
    </row>
    <row r="174" spans="2:35" customFormat="1" x14ac:dyDescent="0.4">
      <c r="B174" t="s">
        <v>214</v>
      </c>
      <c r="C174" s="37"/>
      <c r="D174" s="91" cm="1">
        <f t="array" ref="D174:G174">INDEX(19:19, COLUMN($D$19) + _xlfn.SEQUENCE(1, COLUMNS(_xlfn.ANCHORARRAY(D4))) - 1)</f>
        <v>0</v>
      </c>
      <c r="E174" s="91">
        <v>0</v>
      </c>
      <c r="F174" s="91">
        <v>0</v>
      </c>
      <c r="G174" s="91">
        <v>0</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0</v>
      </c>
      <c r="F175" s="91">
        <v>0</v>
      </c>
      <c r="G175" s="91">
        <v>0</v>
      </c>
      <c r="H175" s="91"/>
      <c r="I175" s="91"/>
      <c r="J175" s="91"/>
      <c r="K175" s="91"/>
      <c r="L175" s="91"/>
    </row>
    <row r="176" spans="2:35" customFormat="1" x14ac:dyDescent="0.4">
      <c r="B176" t="s">
        <v>660</v>
      </c>
      <c r="D176" s="3" t="b">
        <f>IF(ISNUMBER(D172),D173&lt;-1.5,"")</f>
        <v>0</v>
      </c>
      <c r="E176" s="3" t="b">
        <f t="shared" ref="E176:K176" si="36">IF(ISNUMBER(E172),E173&lt;-1.5,"")</f>
        <v>0</v>
      </c>
      <c r="F176" s="3" t="b">
        <f t="shared" si="36"/>
        <v>0</v>
      </c>
      <c r="G176" s="3" t="b">
        <f t="shared" si="36"/>
        <v>0</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0</v>
      </c>
    </row>
    <row r="178" spans="2:35" x14ac:dyDescent="0.4">
      <c r="B178" t="s">
        <v>306</v>
      </c>
      <c r="C178" s="15">
        <f>IF(Receives_reference_trajectory,IF(AdjustmentPeriod=4,0.4,0.25),"Not applicable")</f>
        <v>0.4</v>
      </c>
      <c r="E178" s="17"/>
    </row>
    <row r="179" spans="2:35" x14ac:dyDescent="0.4">
      <c r="B179" t="s">
        <v>962</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0</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1</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Select country's SPB already meets the target level. The planned average annual consolidation of 0.0 pp of GDP is consistent with maintaining that position.</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t="e">
        <f>IFERROR(
  AVERAGEIFS(
    69:69,
    32:32, "&gt;" &amp; MTP_YearT,
    32:32, "&lt;=" &amp; AdjustmentPeriodEnd
  ),
  NA()
)</f>
        <v>#N/A</v>
      </c>
    </row>
    <row r="233" spans="2:35" customFormat="1" x14ac:dyDescent="0.4">
      <c r="B233" t="s">
        <v>492</v>
      </c>
      <c r="C233" s="126">
        <f>AVERAGEIFS(
  34:34,
  32:32, "&gt;" &amp; MTP_YearT,
  32:32, "&lt;=" &amp; AdjustmentPeriodEnd
)</f>
        <v>0</v>
      </c>
    </row>
    <row r="234" spans="2:35" customFormat="1" x14ac:dyDescent="0.4">
      <c r="B234" t="s">
        <v>493</v>
      </c>
      <c r="C234" s="126" t="e">
        <f>IFERROR(C232-C233&lt;0, NA())</f>
        <v>#N/A</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N/A</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1</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0</v>
      </c>
      <c r="E287" s="91">
        <v>0</v>
      </c>
      <c r="F287" s="91">
        <v>0</v>
      </c>
      <c r="G287" s="91">
        <v>0</v>
      </c>
      <c r="H287" s="91">
        <v>0</v>
      </c>
      <c r="I287" s="91">
        <v>0</v>
      </c>
    </row>
    <row r="288" spans="2:35" ht="13.5" customHeight="1" x14ac:dyDescent="0.4">
      <c r="B288" s="7" t="s">
        <v>346</v>
      </c>
      <c r="C288" s="93"/>
      <c r="E288" s="100">
        <f>IF(ISNUMBER(E287),E287-D287,"")</f>
        <v>0</v>
      </c>
      <c r="F288" s="100">
        <f t="shared" ref="F288:M288" si="37">IF(ISNUMBER(F287),F287-E287,"")</f>
        <v>0</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0</v>
      </c>
      <c r="E323" s="91">
        <v>0</v>
      </c>
      <c r="F323" s="91">
        <v>0</v>
      </c>
      <c r="G323" s="91">
        <v>0</v>
      </c>
      <c r="H323" s="91">
        <v>0</v>
      </c>
      <c r="I323" s="91">
        <v>0</v>
      </c>
      <c r="J323" s="91"/>
      <c r="K323" s="91"/>
      <c r="L323" s="91"/>
      <c r="M323" s="91"/>
      <c r="N323" s="91"/>
    </row>
    <row r="324" spans="2:35" customFormat="1" x14ac:dyDescent="0.4">
      <c r="B324" t="s">
        <v>214</v>
      </c>
      <c r="C324" s="37"/>
      <c r="D324" s="91" cm="1">
        <f t="array" ref="D324:I324">INDEX(37:37, COLUMN($D$37) + _xlfn.SEQUENCE(1, COLUMNS(_xlfn.ANCHORARRAY(D322))) - 1)</f>
        <v>0</v>
      </c>
      <c r="E324" s="91">
        <v>0</v>
      </c>
      <c r="F324" s="91">
        <v>0</v>
      </c>
      <c r="G324" s="91">
        <v>0</v>
      </c>
      <c r="H324" s="91">
        <v>0</v>
      </c>
      <c r="I324" s="91">
        <v>0</v>
      </c>
      <c r="J324" s="91"/>
      <c r="K324" s="91"/>
      <c r="L324" s="91"/>
      <c r="M324" s="91"/>
    </row>
    <row r="325" spans="2:35" customFormat="1" x14ac:dyDescent="0.4">
      <c r="B325" s="7" t="s">
        <v>384</v>
      </c>
      <c r="C325" s="93"/>
      <c r="D325" s="91"/>
      <c r="E325" s="91"/>
      <c r="F325" s="91">
        <f>IF(COUNT(E324,F324)=2, F324-E324, "")</f>
        <v>0</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0</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944</v>
      </c>
    </row>
    <row r="15" spans="2:24" x14ac:dyDescent="0.4">
      <c r="C15" s="2" t="s">
        <v>484</v>
      </c>
      <c r="F15" s="64" t="e"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#DIV/0!</v>
      </c>
      <c r="G16" s="64" t="e">
        <f>IF(COUNTIF('Step 1 - Set global parameters'!$B$21:$G$21,TRUE)&gt;0,
  IF(MTP_Council_Endorsed,IF(ISNUMBER(G15),NA(),IF(Assessment!F144="",NA(),Assessment!F144)),NA()),
  IF(MTP_Council_Endorsed,IF(ISNUMBER(G15),NA(),IF(Assessment!F126="",NA(),Assessment!F126)),NA())
)</f>
        <v>#DIV/0!</v>
      </c>
      <c r="H16" s="64" t="e">
        <f>IF(COUNTIF('Step 1 - Set global parameters'!$B$21:$G$21,TRUE)&gt;0,
  IF(MTP_Council_Endorsed,IF(ISNUMBER(H15),NA(),IF(Assessment!G144="",NA(),Assessment!G144)),NA()),
  IF(MTP_Council_Endorsed,IF(ISNUMBER(H15),NA(),IF(Assessment!G126="",NA(),Assessment!G126)),NA())
)</f>
        <v>#DIV/0!</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#DIV/0!</v>
      </c>
      <c r="G18" s="64" t="e">
        <f>IF(COUNTIF('Step 1 - Set global parameters'!$B$21:$G$21,TRUE)&gt;0,
  IF(MTP_Council_Endorsed,IF(NOT(Assessment!F145),IF(Assessment!F142&lt;=0,Assessment!F142,NA()),NA()),NA()),
  IF(MTP_Council_Endorsed,IF(NOT(Assessment!F127),IF(Assessment!F125&lt;=0,Assessment!F125,NA()),NA()),NA())
)</f>
        <v>#DIV/0!</v>
      </c>
      <c r="H18" s="64" t="e">
        <f>IF(COUNTIF('Step 1 - Set global parameters'!$B$21:$G$21,TRUE)&gt;0,
  IF(MTP_Council_Endorsed,IF(NOT(Assessment!G145),IF(Assessment!G142&lt;=0,Assessment!G142,NA()),NA()),NA()),
  IF(MTP_Council_Endorsed,IF(NOT(Assessment!G127),IF(Assessment!G125&lt;=0,Assessment!G125,NA()),NA()),NA())
)</f>
        <v>#DIV/0!</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#DIV/0!</v>
      </c>
      <c r="G19" s="64" t="e">
        <f>IF(COUNTIF('Step 1 - Set global parameters'!$B$21:$G$21,TRUE)&gt;0,
  IF(MTP_Council_Endorsed,IF(NOT(Assessment!F145),IF(Assessment!F142&gt;0,Assessment!F142,NA()),NA()),NA()),
  IF(MTP_Council_Endorsed,IF(NOT(Assessment!F127),IF(Assessment!F125&gt;0,Assessment!F125,NA()),NA()),NA())
)</f>
        <v>#DIV/0!</v>
      </c>
      <c r="H19" s="64" t="e">
        <f>IF(COUNTIF('Step 1 - Set global parameters'!$B$21:$G$21,TRUE)&gt;0,
  IF(MTP_Council_Endorsed,IF(NOT(Assessment!G145),IF(Assessment!G142&gt;0,Assessment!G142,NA()),NA()),NA()),
  IF(MTP_Council_Endorsed,IF(NOT(Assessment!G127),IF(Assessment!G125&gt;0,Assessment!G125,NA()),NA()),NA())
)</f>
        <v>#DIV/0!</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f>IF(OR(ISNUMBER(H91),ISNUMBER(H92)),NA(),IF(ISNUMBER(Assessment!G20),Assessment!G20,NA()))</f>
        <v>0</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0</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f>IF(OR(ISNUMBER(H62),ISNUMBER(H63)),NA(),IF(ISNUMBER(Assessment!G21),Assessment!G21,NA()))</f>
        <v>0</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f>IF(OR(ISNUMBER(H91),ISNUMBER(H92)),NA(),IF(ISNUMBER(Assessment!G20),Assessment!G20,NA()))</f>
        <v>0</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f>IF(Assessment!G20="",NA(),Assessment!G20)</f>
        <v>0</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0</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590</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f>IF(OR(ISNUMBER(H128),ISNUMBER(H129)),NA(),IF(ISNUMBER(Assessment!G19),Assessment!G19,NA()))</f>
        <v>0</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0</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#DIV/0!</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964</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965</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2026-06-21T20:32:25Z</dcterms:modified>
</cp:coreProperties>
</file>