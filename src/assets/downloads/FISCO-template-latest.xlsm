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onsulting/Phase II - Latvia/Model/Finals - Website versions/Uploaded 20260615/"/>
    </mc:Choice>
  </mc:AlternateContent>
  <xr:revisionPtr revIDLastSave="0" documentId="8_{1DC88FEE-AD14-4D49-B598-B16FD5B29292}" xr6:coauthVersionLast="47" xr6:coauthVersionMax="47" xr10:uidLastSave="{00000000-0000-0000-0000-000000000000}"/>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parameters'!$B$34</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Assessment!$C$203</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76" l="1"/>
  <c r="D12" i="76"/>
  <c r="D15" i="76"/>
  <c r="E15" i="76" s="1"/>
  <c r="D14" i="76"/>
  <c r="D10" i="76"/>
  <c r="D11" i="76"/>
  <c r="E12" i="21"/>
  <c r="Q12" i="47"/>
  <c r="D33" i="17" a="1"/>
  <c r="D33" i="17" s="1"/>
  <c r="U54" i="65" l="1" a="1"/>
  <c r="U54" i="65" s="1"/>
  <c r="V54" i="65" a="1"/>
  <c r="V54" i="65" s="1"/>
  <c r="W54" i="65" a="1"/>
  <c r="W54" i="65" s="1"/>
  <c r="B70" i="76" l="1"/>
  <c r="B72" i="76"/>
  <c r="B74" i="76"/>
  <c r="B75" i="76"/>
  <c r="B76" i="76"/>
  <c r="B77" i="76"/>
  <c r="U62" i="65" l="1" a="1"/>
  <c r="U62" i="65" s="1"/>
  <c r="V62" i="65" a="1"/>
  <c r="V62" i="65" s="1"/>
  <c r="W62" i="65" a="1"/>
  <c r="W62" i="65" s="1"/>
  <c r="U63" i="65" a="1"/>
  <c r="U63" i="65" s="1"/>
  <c r="V63" i="65" a="1"/>
  <c r="V63" i="65" s="1"/>
  <c r="W63" i="65" a="1"/>
  <c r="W63" i="65" s="1"/>
  <c r="C88" i="65"/>
  <c r="U15" i="65" a="1"/>
  <c r="U15" i="65" s="1"/>
  <c r="U16" i="65" s="1"/>
  <c r="V15" i="65" a="1"/>
  <c r="V15" i="65" s="1"/>
  <c r="V16" i="65" s="1"/>
  <c r="W15" i="65" a="1"/>
  <c r="W15" i="65" s="1"/>
  <c r="W16" i="65" s="1"/>
  <c r="B129" i="64"/>
  <c r="B130" i="64"/>
  <c r="B43" i="76" s="1"/>
  <c r="H140" i="64"/>
  <c r="H45" i="76" s="1"/>
  <c r="I140" i="64"/>
  <c r="I45" i="76" s="1"/>
  <c r="J140" i="64"/>
  <c r="J45" i="76" s="1"/>
  <c r="H131" i="64"/>
  <c r="I131" i="64"/>
  <c r="J131" i="64"/>
  <c r="H130" i="64"/>
  <c r="H43" i="76" s="1"/>
  <c r="I130" i="64"/>
  <c r="I43" i="76" s="1"/>
  <c r="J130" i="64"/>
  <c r="J43" i="76" s="1"/>
  <c r="H104" i="64"/>
  <c r="H23" i="76" s="1"/>
  <c r="I104" i="64"/>
  <c r="I23" i="76" s="1"/>
  <c r="J104" i="64"/>
  <c r="J23" i="76" s="1"/>
  <c r="H105" i="64"/>
  <c r="H24" i="76" s="1"/>
  <c r="I105" i="64"/>
  <c r="I24" i="76" s="1"/>
  <c r="J105" i="64"/>
  <c r="J24" i="76" s="1"/>
  <c r="H106" i="64"/>
  <c r="H25" i="76" s="1"/>
  <c r="I106" i="64"/>
  <c r="I25" i="76" s="1"/>
  <c r="J106" i="64"/>
  <c r="J25" i="76" s="1"/>
  <c r="H107" i="64"/>
  <c r="H26" i="76" s="1"/>
  <c r="I107" i="64"/>
  <c r="I26" i="76" s="1"/>
  <c r="J107" i="64"/>
  <c r="J26" i="76" s="1"/>
  <c r="H108" i="64"/>
  <c r="H27" i="76" s="1"/>
  <c r="I108" i="64"/>
  <c r="I27" i="76" s="1"/>
  <c r="J108" i="64"/>
  <c r="J27" i="76" s="1"/>
  <c r="H109" i="64"/>
  <c r="H28" i="76" s="1"/>
  <c r="I109" i="64"/>
  <c r="I28" i="76" s="1"/>
  <c r="J109" i="64"/>
  <c r="J28" i="76" s="1"/>
  <c r="H110" i="64"/>
  <c r="H29" i="76" s="1"/>
  <c r="I110" i="64"/>
  <c r="I29" i="76" s="1"/>
  <c r="J110" i="64"/>
  <c r="J29" i="76" s="1"/>
  <c r="H111" i="64"/>
  <c r="H30" i="76" s="1"/>
  <c r="I111" i="64"/>
  <c r="I30" i="76" s="1"/>
  <c r="J111" i="64"/>
  <c r="J30" i="76" s="1"/>
  <c r="H112" i="64"/>
  <c r="H31" i="76" s="1"/>
  <c r="I112" i="64"/>
  <c r="I31" i="76" s="1"/>
  <c r="J112" i="64"/>
  <c r="J31" i="76" s="1"/>
  <c r="H113" i="64"/>
  <c r="H32" i="76" s="1"/>
  <c r="I113" i="64"/>
  <c r="I32" i="76" s="1"/>
  <c r="J113" i="64"/>
  <c r="J32" i="76" s="1"/>
  <c r="H115" i="64"/>
  <c r="H34" i="76" s="1"/>
  <c r="I115" i="64"/>
  <c r="I34" i="76" s="1"/>
  <c r="J115" i="64"/>
  <c r="J34" i="76" s="1"/>
  <c r="H116" i="64"/>
  <c r="H35" i="76" s="1"/>
  <c r="I116" i="64"/>
  <c r="I35" i="76" s="1"/>
  <c r="J116" i="64"/>
  <c r="J35" i="76" s="1"/>
  <c r="H117" i="64"/>
  <c r="H36" i="76" s="1"/>
  <c r="I117" i="64"/>
  <c r="I36" i="76" s="1"/>
  <c r="J117" i="64"/>
  <c r="J36" i="76" s="1"/>
  <c r="H118" i="64"/>
  <c r="H37" i="76" s="1"/>
  <c r="I118" i="64"/>
  <c r="I37" i="76" s="1"/>
  <c r="J118" i="64"/>
  <c r="J37" i="76" s="1"/>
  <c r="H119" i="64"/>
  <c r="H38" i="76" s="1"/>
  <c r="I119" i="64"/>
  <c r="I38" i="76" s="1"/>
  <c r="J119" i="64"/>
  <c r="J38" i="76" s="1"/>
  <c r="H121" i="64"/>
  <c r="H40" i="76" s="1"/>
  <c r="I121" i="64"/>
  <c r="I40" i="76" s="1"/>
  <c r="J121" i="64"/>
  <c r="J40" i="76" s="1"/>
  <c r="H122" i="64"/>
  <c r="H41" i="76" s="1"/>
  <c r="I122" i="64"/>
  <c r="I41" i="76" s="1"/>
  <c r="J122" i="64"/>
  <c r="J41" i="76" s="1"/>
  <c r="H124" i="64"/>
  <c r="I124" i="64"/>
  <c r="J124" i="64"/>
  <c r="H125" i="64"/>
  <c r="I125" i="64"/>
  <c r="J125" i="64"/>
  <c r="H126" i="64"/>
  <c r="I126" i="64"/>
  <c r="J126" i="64"/>
  <c r="H127" i="64"/>
  <c r="I127" i="64"/>
  <c r="J127" i="64"/>
  <c r="H128" i="64"/>
  <c r="I128" i="64"/>
  <c r="J128" i="64"/>
  <c r="H132" i="64"/>
  <c r="I132" i="64"/>
  <c r="J132" i="64"/>
  <c r="H133" i="64"/>
  <c r="I133" i="64"/>
  <c r="J133" i="64"/>
  <c r="H134" i="64"/>
  <c r="I134" i="64"/>
  <c r="J134" i="64"/>
  <c r="H135" i="64"/>
  <c r="I135" i="64"/>
  <c r="J135" i="64"/>
  <c r="H136" i="64"/>
  <c r="I136" i="64"/>
  <c r="J136" i="64"/>
  <c r="H137" i="64"/>
  <c r="I137" i="64"/>
  <c r="J137" i="64"/>
  <c r="H138" i="64"/>
  <c r="H144" i="64" s="1"/>
  <c r="I138" i="64"/>
  <c r="I144" i="64" s="1"/>
  <c r="J138" i="64"/>
  <c r="J144" i="64" s="1"/>
  <c r="H139" i="64"/>
  <c r="H145" i="64" s="1"/>
  <c r="I139" i="64"/>
  <c r="I145" i="64" s="1"/>
  <c r="J139" i="64"/>
  <c r="J145" i="64" s="1"/>
  <c r="H141" i="64"/>
  <c r="I141" i="64"/>
  <c r="J141" i="64"/>
  <c r="H142" i="64"/>
  <c r="I142" i="64"/>
  <c r="J142" i="64"/>
  <c r="H143" i="64"/>
  <c r="I143" i="64"/>
  <c r="J143" i="64"/>
  <c r="E143" i="64"/>
  <c r="D21" i="76" a="1"/>
  <c r="D21" i="76" s="1"/>
  <c r="D101" i="64" a="1"/>
  <c r="H6" i="64"/>
  <c r="I6" i="64"/>
  <c r="J6" i="64"/>
  <c r="K6" i="64"/>
  <c r="H7" i="64"/>
  <c r="I7" i="64"/>
  <c r="J7" i="64"/>
  <c r="K7" i="64"/>
  <c r="H8" i="64"/>
  <c r="I8" i="64"/>
  <c r="J8" i="64"/>
  <c r="K8" i="64"/>
  <c r="H9" i="64"/>
  <c r="I9" i="64"/>
  <c r="J9" i="64"/>
  <c r="K9" i="64"/>
  <c r="H10" i="64"/>
  <c r="I10" i="64"/>
  <c r="J10" i="64"/>
  <c r="K10" i="64"/>
  <c r="H11" i="64"/>
  <c r="I11" i="64"/>
  <c r="J11" i="64"/>
  <c r="K11" i="64"/>
  <c r="H12" i="64"/>
  <c r="I12" i="64"/>
  <c r="J12" i="64"/>
  <c r="K12" i="64"/>
  <c r="H13" i="64"/>
  <c r="I13" i="64"/>
  <c r="J13" i="64"/>
  <c r="K13" i="64"/>
  <c r="H14" i="64"/>
  <c r="I14" i="64"/>
  <c r="J14" i="64"/>
  <c r="K14" i="64"/>
  <c r="H15" i="64"/>
  <c r="I15" i="64"/>
  <c r="J15" i="64"/>
  <c r="K15" i="64"/>
  <c r="H16" i="64"/>
  <c r="I16" i="64"/>
  <c r="J16" i="64"/>
  <c r="K16" i="64"/>
  <c r="H17" i="64"/>
  <c r="I17" i="64"/>
  <c r="J17" i="64"/>
  <c r="K17" i="64"/>
  <c r="H18" i="64"/>
  <c r="I18" i="64"/>
  <c r="J18" i="64"/>
  <c r="K18" i="64"/>
  <c r="H19" i="64"/>
  <c r="I19" i="64"/>
  <c r="J19" i="64"/>
  <c r="K19" i="64"/>
  <c r="H20" i="64"/>
  <c r="I20" i="64"/>
  <c r="J20" i="64"/>
  <c r="K20" i="64"/>
  <c r="H21" i="64"/>
  <c r="I21" i="64"/>
  <c r="J21" i="64"/>
  <c r="K21" i="64"/>
  <c r="H22" i="64"/>
  <c r="I22" i="64"/>
  <c r="J22" i="64"/>
  <c r="K22" i="64"/>
  <c r="H23" i="64"/>
  <c r="I23" i="64"/>
  <c r="J23" i="64"/>
  <c r="K23" i="64"/>
  <c r="H24" i="64"/>
  <c r="I24" i="64"/>
  <c r="J24" i="64"/>
  <c r="K24" i="64"/>
  <c r="H25" i="64"/>
  <c r="I25" i="64"/>
  <c r="J25" i="64"/>
  <c r="K25" i="64"/>
  <c r="H26" i="64"/>
  <c r="I26" i="64"/>
  <c r="J26" i="64"/>
  <c r="K26" i="64"/>
  <c r="H27" i="64"/>
  <c r="I27" i="64"/>
  <c r="J27" i="64"/>
  <c r="K27" i="64"/>
  <c r="V4" i="17" a="1"/>
  <c r="E189" i="17"/>
  <c r="F189" i="17"/>
  <c r="G189" i="17"/>
  <c r="H189" i="17"/>
  <c r="I189" i="17"/>
  <c r="J189" i="17"/>
  <c r="K189" i="17"/>
  <c r="L189" i="17"/>
  <c r="M189" i="17"/>
  <c r="N189" i="17"/>
  <c r="O189" i="17"/>
  <c r="D189" i="17"/>
  <c r="B8" i="21"/>
  <c r="B7" i="21" a="1"/>
  <c r="B7" i="21" s="1"/>
  <c r="Q8" i="47"/>
  <c r="D101" i="64" l="1"/>
  <c r="D102" i="64" a="1"/>
  <c r="D102" i="64" s="1"/>
  <c r="V4" i="17"/>
  <c r="D33" i="75"/>
  <c r="C215" i="64"/>
  <c r="B1" i="21"/>
  <c r="B3" i="76"/>
  <c r="B4" i="21"/>
  <c r="E5" i="69"/>
  <c r="C208" i="64"/>
  <c r="C209" i="64" s="1"/>
  <c r="B191" i="64"/>
  <c r="C210" i="64" l="1"/>
  <c r="C212" i="64" s="1"/>
  <c r="F10" i="21" s="1"/>
  <c r="Q9" i="47"/>
  <c r="D29" i="75"/>
  <c r="B44" i="75"/>
  <c r="C211"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W147"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V195" i="17" s="1"/>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F115" i="17" l="1"/>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2" i="64"/>
  <c r="G142" i="64"/>
  <c r="E142"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28" i="74"/>
  <c r="J27" i="74"/>
  <c r="J26" i="74"/>
  <c r="J25" i="74"/>
  <c r="J24" i="74"/>
  <c r="J23" i="74"/>
  <c r="J22" i="74"/>
  <c r="J21" i="74"/>
  <c r="J20" i="74"/>
  <c r="J19" i="74"/>
  <c r="J17" i="74"/>
  <c r="J16" i="74"/>
  <c r="J15" i="74"/>
  <c r="J14" i="74"/>
  <c r="J13" i="74"/>
  <c r="J12" i="74"/>
  <c r="J11" i="74"/>
  <c r="J10" i="74"/>
  <c r="J9" i="74"/>
  <c r="J8" i="74"/>
  <c r="Y204" i="17" l="1"/>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Y149" i="17" l="1"/>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297" i="64"/>
  <c r="C295" i="64"/>
  <c r="C296" i="64"/>
  <c r="C294" i="64"/>
  <c r="B23" i="75"/>
  <c r="B48" i="75"/>
  <c r="B73" i="64" s="1"/>
  <c r="B43" i="75"/>
  <c r="B68" i="64" l="1"/>
  <c r="B48" i="64"/>
  <c r="D18" i="74"/>
  <c r="B7" i="76" a="1"/>
  <c r="B7" i="76" s="1"/>
  <c r="K171"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E205" i="75" l="1" a="1"/>
  <c r="E205" i="75" s="1"/>
  <c r="E195" i="75" a="1"/>
  <c r="E195" i="75" s="1"/>
  <c r="E188" i="75" a="1"/>
  <c r="E188" i="75" s="1"/>
  <c r="D21" i="75" a="1"/>
  <c r="D21" i="75" s="1"/>
  <c r="D37" i="75" a="1"/>
  <c r="D37" i="75" s="1"/>
  <c r="E221" i="75" a="1"/>
  <c r="E221" i="75" s="1"/>
  <c r="E171" i="75" a="1"/>
  <c r="E171" i="75" s="1"/>
  <c r="E192" i="75" a="1"/>
  <c r="E192" i="75" s="1"/>
  <c r="V5" i="17" a="1"/>
  <c r="V5" i="17" s="1"/>
  <c r="E34" i="74" a="1"/>
  <c r="E34" i="74" s="1"/>
  <c r="B6" i="21"/>
  <c r="D20" i="76" a="1"/>
  <c r="D20" i="76" s="1"/>
  <c r="D18" i="76" a="1"/>
  <c r="D18" i="76" s="1"/>
  <c r="B242" i="64"/>
  <c r="B243" i="64"/>
  <c r="E11" i="21"/>
  <c r="D11" i="21" s="1"/>
  <c r="E70" i="75" a="1"/>
  <c r="E128" i="75" a="1"/>
  <c r="E128" i="75" s="1"/>
  <c r="D7" i="74" a="1"/>
  <c r="D7" i="74" s="1"/>
  <c r="Q4" i="47"/>
  <c r="E92" i="74" a="1"/>
  <c r="E92" i="74" s="1"/>
  <c r="D4" i="75" a="1"/>
  <c r="D4" i="75" s="1"/>
  <c r="D38" i="75" a="1"/>
  <c r="D38" i="75" s="1"/>
  <c r="D5" i="75" a="1"/>
  <c r="D5" i="75" s="1"/>
  <c r="D22" i="75" a="1"/>
  <c r="D22" i="75" s="1"/>
  <c r="B20" i="15" a="1"/>
  <c r="D4" i="64"/>
  <c r="F59" i="65"/>
  <c r="U111" i="65"/>
  <c r="V111" i="65"/>
  <c r="W111" i="65"/>
  <c r="E201" i="75" l="1"/>
  <c r="B53" i="75"/>
  <c r="B78" i="64" s="1"/>
  <c r="E70" i="75"/>
  <c r="E166" i="75" s="1" a="1"/>
  <c r="E166" i="75" s="1"/>
  <c r="H25" i="74"/>
  <c r="I24" i="74"/>
  <c r="I27" i="74"/>
  <c r="I25" i="74"/>
  <c r="I28" i="74"/>
  <c r="H24" i="74"/>
  <c r="H27" i="74"/>
  <c r="I26" i="74"/>
  <c r="H28" i="74"/>
  <c r="H26" i="74"/>
  <c r="B20" i="15"/>
  <c r="B21" i="15" s="1" a="1"/>
  <c r="B21" i="15" s="1"/>
  <c r="E4" i="17" a="1"/>
  <c r="D157" i="17" a="1"/>
  <c r="D157" i="17" s="1"/>
  <c r="D103" i="17" a="1"/>
  <c r="E133" i="75" l="1"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I22" i="74"/>
  <c r="I23" i="74"/>
  <c r="I20" i="74"/>
  <c r="H21" i="74"/>
  <c r="I19" i="74"/>
  <c r="H20" i="74"/>
  <c r="H22" i="74"/>
  <c r="H23" i="74"/>
  <c r="H17" i="74"/>
  <c r="I17" i="74"/>
  <c r="I21" i="74"/>
  <c r="E122" i="74" a="1"/>
  <c r="E122" i="74" s="1"/>
  <c r="E35" i="74" a="1"/>
  <c r="E35" i="74" s="1"/>
  <c r="G23" i="74"/>
  <c r="G21" i="64" s="1"/>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E13" i="17" l="1"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3" i="64"/>
  <c r="G143"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1" i="64"/>
  <c r="F141" i="64"/>
  <c r="E141" i="64"/>
  <c r="H29" i="74" l="1"/>
  <c r="I29" i="74" s="1"/>
  <c r="G16" i="74"/>
  <c r="G14" i="64" s="1"/>
  <c r="J46" i="76"/>
  <c r="J203" i="17"/>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J47" i="76" l="1"/>
  <c r="H208" i="17"/>
  <c r="H153" i="17" s="1"/>
  <c r="J208" i="17"/>
  <c r="J153" i="17" s="1"/>
  <c r="G208" i="17"/>
  <c r="G153" i="17" s="1"/>
  <c r="K208" i="17"/>
  <c r="K153" i="17" s="1"/>
  <c r="I208" i="17"/>
  <c r="I153" i="17" s="1"/>
  <c r="E165" i="17" l="1"/>
  <c r="E111" i="17" s="1"/>
  <c r="D165" i="17"/>
  <c r="D111" i="17" s="1"/>
  <c r="D167" i="17"/>
  <c r="I47" i="76" l="1"/>
  <c r="D185" i="17"/>
  <c r="D113" i="17"/>
  <c r="D33" i="64" a="1"/>
  <c r="D33" i="64" s="1"/>
  <c r="L19" i="65" l="1"/>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1" i="64"/>
  <c r="J19" i="65" l="1"/>
  <c r="J18" i="65"/>
  <c r="K21" i="65"/>
  <c r="D163" i="17" l="1"/>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E118" i="17" l="1"/>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E21" i="17" l="1" a="1"/>
  <c r="E21" i="17" s="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E23" i="74" l="1"/>
  <c r="E21" i="64"/>
  <c r="F23" i="74"/>
  <c r="F21" i="64" s="1"/>
  <c r="F8" i="74"/>
  <c r="E8" i="74"/>
  <c r="D23" i="74"/>
  <c r="D21" i="64"/>
  <c r="E139" i="17"/>
  <c r="E17" i="17" s="1" a="1"/>
  <c r="E19" i="74" s="1"/>
  <c r="G14" i="74"/>
  <c r="E14" i="74"/>
  <c r="F14" i="74"/>
  <c r="E12" i="17"/>
  <c r="D14" i="74" s="1"/>
  <c r="D6" i="64"/>
  <c r="E27" i="64"/>
  <c r="F27" i="64"/>
  <c r="G27" i="64"/>
  <c r="E6" i="64"/>
  <c r="G6" i="64"/>
  <c r="F6" i="64"/>
  <c r="E20" i="64"/>
  <c r="G20" i="64"/>
  <c r="H111" i="65" s="1"/>
  <c r="I111" i="65"/>
  <c r="J111" i="65"/>
  <c r="F20" i="64"/>
  <c r="G111" i="65" s="1"/>
  <c r="D13" i="64"/>
  <c r="D14" i="64"/>
  <c r="D9" i="64"/>
  <c r="D18" i="64"/>
  <c r="D7" i="64"/>
  <c r="D19" i="64"/>
  <c r="D27" i="64"/>
  <c r="D20" i="64"/>
  <c r="C194" i="64" s="1"/>
  <c r="D8" i="64"/>
  <c r="D11" i="64"/>
  <c r="D10" i="64"/>
  <c r="D195" i="17"/>
  <c r="D140" i="17" s="1"/>
  <c r="E195" i="17"/>
  <c r="E140" i="17" s="1"/>
  <c r="C195" i="64" l="1"/>
  <c r="G19" i="74"/>
  <c r="E17" i="17"/>
  <c r="D19" i="74" s="1"/>
  <c r="F19" i="74"/>
  <c r="E15" i="17" a="1"/>
  <c r="C159" i="64"/>
  <c r="F111" i="65"/>
  <c r="F65" i="65"/>
  <c r="E111" i="65"/>
  <c r="E65" i="65"/>
  <c r="D203" i="17"/>
  <c r="D148" i="17" s="1"/>
  <c r="E203" i="17"/>
  <c r="E148" i="17" s="1"/>
  <c r="I46" i="76" l="1"/>
  <c r="E17" i="74"/>
  <c r="E18" i="74" s="1"/>
  <c r="F17" i="74"/>
  <c r="F15" i="64"/>
  <c r="G15" i="64"/>
  <c r="E15" i="17"/>
  <c r="D17" i="74" s="1"/>
  <c r="E17" i="64"/>
  <c r="G17" i="64"/>
  <c r="F17" i="64"/>
  <c r="E12" i="64"/>
  <c r="G12" i="64"/>
  <c r="F12" i="64"/>
  <c r="D12" i="64"/>
  <c r="D17" i="64"/>
  <c r="E208" i="17"/>
  <c r="E153" i="17" s="1"/>
  <c r="D208" i="17"/>
  <c r="D153" i="17" s="1"/>
  <c r="E15" i="64" l="1"/>
  <c r="F18" i="74"/>
  <c r="G18" i="74" s="1"/>
  <c r="H18" i="74" s="1"/>
  <c r="I18" i="74" s="1"/>
  <c r="C199" i="64"/>
  <c r="C198" i="64"/>
  <c r="Q7" i="47" s="1"/>
  <c r="E16" i="17" a="1"/>
  <c r="F16" i="64" s="1"/>
  <c r="C219" i="64"/>
  <c r="C220" i="64" s="1" a="1"/>
  <c r="C220" i="64" s="1"/>
  <c r="C221" i="64"/>
  <c r="B3" i="21" l="1"/>
  <c r="E16" i="17"/>
  <c r="D15" i="64"/>
  <c r="C78" i="65"/>
  <c r="V39" i="65"/>
  <c r="W39" i="65"/>
  <c r="U43" i="65"/>
  <c r="V43" i="65"/>
  <c r="W43" i="65"/>
  <c r="U49" i="65"/>
  <c r="V49" i="65"/>
  <c r="W49" i="65"/>
  <c r="U83" i="65"/>
  <c r="V83" i="65"/>
  <c r="W83" i="65"/>
  <c r="U93" i="65"/>
  <c r="V93" i="65"/>
  <c r="W93" i="65"/>
  <c r="B40" i="75" l="1"/>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07" i="64"/>
  <c r="C50" i="76" l="1" a="1"/>
  <c r="D32" i="64" a="1"/>
  <c r="D32" i="64" s="1"/>
  <c r="C227"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67" i="64" a="1"/>
  <c r="D167" i="64" s="1"/>
  <c r="M321"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5" i="64" l="1"/>
  <c r="G24" i="76" s="1"/>
  <c r="F105" i="64"/>
  <c r="F24" i="76" s="1"/>
  <c r="G112" i="64"/>
  <c r="G31" i="76" s="1"/>
  <c r="G104" i="64"/>
  <c r="G23" i="76" s="1"/>
  <c r="F104" i="64"/>
  <c r="F23" i="76" s="1"/>
  <c r="G110" i="64"/>
  <c r="F110" i="64"/>
  <c r="F29" i="76" s="1"/>
  <c r="G109" i="64"/>
  <c r="G28" i="76" s="1"/>
  <c r="G106" i="64"/>
  <c r="G25" i="76" s="1"/>
  <c r="F112" i="64"/>
  <c r="F31" i="76" s="1"/>
  <c r="F109" i="64"/>
  <c r="F28" i="76" s="1"/>
  <c r="H65" i="65"/>
  <c r="F108" i="64"/>
  <c r="F27" i="76" s="1"/>
  <c r="G119" i="64"/>
  <c r="G38" i="76" s="1"/>
  <c r="G107" i="64"/>
  <c r="G26" i="76" s="1"/>
  <c r="F119" i="64"/>
  <c r="F38" i="76" s="1"/>
  <c r="E109" i="64"/>
  <c r="E28" i="76" s="1"/>
  <c r="E107" i="64"/>
  <c r="E26" i="76" s="1"/>
  <c r="E104" i="64"/>
  <c r="E23" i="76" s="1"/>
  <c r="E106" i="64"/>
  <c r="E25" i="76" s="1"/>
  <c r="E108" i="64"/>
  <c r="E27" i="76" s="1"/>
  <c r="E112" i="64"/>
  <c r="E31" i="76" s="1"/>
  <c r="E105" i="64"/>
  <c r="E24" i="76" s="1"/>
  <c r="E119" i="64"/>
  <c r="E38" i="76" s="1"/>
  <c r="E110" i="64"/>
  <c r="E29" i="76" s="1"/>
  <c r="F106" i="64"/>
  <c r="F25" i="76" s="1"/>
  <c r="G65" i="65"/>
  <c r="F107" i="64"/>
  <c r="F26" i="76" s="1"/>
  <c r="G108" i="64"/>
  <c r="G27" i="76" s="1"/>
  <c r="U65" i="65"/>
  <c r="W65" i="65"/>
  <c r="V65" i="65"/>
  <c r="C216" i="64"/>
  <c r="M4" i="65"/>
  <c r="L4" i="65"/>
  <c r="K4" i="65"/>
  <c r="C301" i="64"/>
  <c r="A32" i="47"/>
  <c r="F39" i="65"/>
  <c r="G79" i="65"/>
  <c r="H39" i="65"/>
  <c r="I79" i="65"/>
  <c r="J39" i="65"/>
  <c r="K39" i="65"/>
  <c r="L79" i="65"/>
  <c r="M39" i="65"/>
  <c r="N39" i="65"/>
  <c r="O79" i="65"/>
  <c r="P39" i="65"/>
  <c r="Q79" i="65"/>
  <c r="R39" i="65"/>
  <c r="S39" i="65"/>
  <c r="T39" i="65"/>
  <c r="G29" i="76" l="1"/>
  <c r="C303" i="64"/>
  <c r="C298" i="64" a="1"/>
  <c r="C298" i="64" s="1"/>
  <c r="C299" i="64" s="1" a="1"/>
  <c r="C299" i="64" s="1"/>
  <c r="F11" i="21"/>
  <c r="D119" i="64"/>
  <c r="D38" i="76" s="1"/>
  <c r="D104" i="64"/>
  <c r="D23" i="76" s="1"/>
  <c r="D105" i="64"/>
  <c r="D24" i="76" s="1"/>
  <c r="D108" i="64"/>
  <c r="D27" i="76" s="1"/>
  <c r="D109" i="64"/>
  <c r="D28" i="76" s="1"/>
  <c r="D106" i="64"/>
  <c r="D25" i="76" s="1"/>
  <c r="D107" i="64"/>
  <c r="D26" i="76" s="1"/>
  <c r="D110" i="64"/>
  <c r="G111" i="64"/>
  <c r="E126" i="64"/>
  <c r="E130" i="64" s="1"/>
  <c r="E129" i="64" s="1"/>
  <c r="E125" i="64"/>
  <c r="G126" i="64"/>
  <c r="G130" i="64" s="1"/>
  <c r="G125" i="64"/>
  <c r="F126" i="64"/>
  <c r="F130" i="64" s="1"/>
  <c r="F125" i="64"/>
  <c r="F111" i="64"/>
  <c r="D5" i="64" a="1"/>
  <c r="D5" i="64" s="1"/>
  <c r="C184" i="64" a="1"/>
  <c r="C184" i="64" s="1"/>
  <c r="C183" i="64" a="1"/>
  <c r="C183"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0" i="64"/>
  <c r="F44" i="65" l="1"/>
  <c r="G43" i="76"/>
  <c r="G129" i="64"/>
  <c r="F43" i="76"/>
  <c r="F129" i="64"/>
  <c r="F127" i="64"/>
  <c r="F128" i="64" s="1"/>
  <c r="G127" i="64"/>
  <c r="G113" i="64"/>
  <c r="G30" i="76"/>
  <c r="E111" i="64"/>
  <c r="D29" i="76"/>
  <c r="F113" i="64"/>
  <c r="F30" i="76"/>
  <c r="F19" i="21"/>
  <c r="D126" i="64"/>
  <c r="D125" i="64"/>
  <c r="E127" i="64" s="1"/>
  <c r="E128" i="64" s="1"/>
  <c r="U44" i="65"/>
  <c r="U84" i="65"/>
  <c r="F84" i="65"/>
  <c r="P84" i="65"/>
  <c r="H84" i="65"/>
  <c r="J84" i="65"/>
  <c r="N44" i="65"/>
  <c r="M44" i="65"/>
  <c r="R44" i="65"/>
  <c r="T44" i="65"/>
  <c r="K44" i="65"/>
  <c r="S44" i="65"/>
  <c r="C302" i="64"/>
  <c r="E116" i="64"/>
  <c r="M283" i="64"/>
  <c r="F116" i="64"/>
  <c r="G116" i="64"/>
  <c r="E113" i="64" l="1"/>
  <c r="E30" i="76"/>
  <c r="G128" i="64"/>
  <c r="G35" i="76"/>
  <c r="G115" i="64"/>
  <c r="G34" i="76" s="1"/>
  <c r="G32" i="76"/>
  <c r="E35" i="76"/>
  <c r="F115"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F117" i="64" l="1"/>
  <c r="F132" i="64" s="1"/>
  <c r="F133" i="64" s="1"/>
  <c r="F134" i="64" s="1"/>
  <c r="G117" i="64"/>
  <c r="E115" i="64"/>
  <c r="E32" i="76"/>
  <c r="C93" i="64" a="1"/>
  <c r="C93" i="64" s="1"/>
  <c r="C95" i="64" a="1"/>
  <c r="C95" i="64" s="1"/>
  <c r="C10" i="76" s="1"/>
  <c r="C94" i="64" a="1"/>
  <c r="C94" i="64" s="1"/>
  <c r="I19" i="65"/>
  <c r="I18" i="65"/>
  <c r="H29" i="65"/>
  <c r="I59" i="65"/>
  <c r="I29" i="65"/>
  <c r="J59" i="65"/>
  <c r="F29" i="65"/>
  <c r="G59" i="65"/>
  <c r="J29" i="65"/>
  <c r="K59" i="65"/>
  <c r="G29" i="65"/>
  <c r="H59" i="65"/>
  <c r="E29" i="65"/>
  <c r="I70" i="65"/>
  <c r="J70" i="65"/>
  <c r="K70" i="65"/>
  <c r="G70" i="65"/>
  <c r="J49" i="65"/>
  <c r="F49" i="65"/>
  <c r="I49" i="65"/>
  <c r="H49" i="65"/>
  <c r="F36" i="76" l="1"/>
  <c r="F121" i="64"/>
  <c r="F40" i="76" s="1"/>
  <c r="F124" i="64"/>
  <c r="F131" i="64" s="1"/>
  <c r="E34" i="76"/>
  <c r="E117" i="64"/>
  <c r="F135" i="64"/>
  <c r="G121" i="64"/>
  <c r="G40" i="76" s="1"/>
  <c r="G36" i="76"/>
  <c r="G124" i="64"/>
  <c r="G131" i="64" s="1"/>
  <c r="G132" i="64"/>
  <c r="C97" i="64" a="1"/>
  <c r="C97" i="64" s="1"/>
  <c r="E10" i="76" s="1"/>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F136" i="64" l="1"/>
  <c r="G133" i="64"/>
  <c r="G134" i="64" s="1"/>
  <c r="G135" i="64"/>
  <c r="E36" i="76"/>
  <c r="E132" i="64"/>
  <c r="E118" i="64"/>
  <c r="E121" i="64"/>
  <c r="E124" i="64"/>
  <c r="E131" i="64" s="1"/>
  <c r="D169" i="64" a="1"/>
  <c r="D168" i="64" a="1"/>
  <c r="J171" i="64" s="1"/>
  <c r="R109" i="65"/>
  <c r="P109" i="65"/>
  <c r="G109" i="65"/>
  <c r="Q109" i="65"/>
  <c r="O109" i="65"/>
  <c r="E109" i="65"/>
  <c r="T109" i="65"/>
  <c r="N109" i="65"/>
  <c r="I109" i="65"/>
  <c r="M109" i="65"/>
  <c r="J109" i="65"/>
  <c r="F109" i="65"/>
  <c r="S109" i="65"/>
  <c r="L109" i="65"/>
  <c r="K109" i="65"/>
  <c r="F138" i="64" l="1"/>
  <c r="E40" i="76"/>
  <c r="C152" i="64" a="1"/>
  <c r="C152" i="64" s="1"/>
  <c r="E122" i="64"/>
  <c r="E37" i="76"/>
  <c r="F118" i="64"/>
  <c r="E135" i="64"/>
  <c r="E133" i="64"/>
  <c r="E134" i="64" s="1"/>
  <c r="F21" i="65"/>
  <c r="I21" i="65"/>
  <c r="J21" i="65"/>
  <c r="H171" i="64"/>
  <c r="I171" i="64"/>
  <c r="D168" i="64"/>
  <c r="D171" i="64" s="1"/>
  <c r="G171" i="64"/>
  <c r="E171" i="64"/>
  <c r="F171" i="64"/>
  <c r="D169" i="64"/>
  <c r="E170" i="64" s="1" a="1"/>
  <c r="E170" i="64" s="1"/>
  <c r="F44" i="76" l="1"/>
  <c r="G18" i="65"/>
  <c r="G19" i="65"/>
  <c r="F144" i="64"/>
  <c r="E41" i="76"/>
  <c r="E140" i="64"/>
  <c r="E136" i="64"/>
  <c r="G136" i="64"/>
  <c r="G118" i="64"/>
  <c r="F37" i="76"/>
  <c r="F122" i="64"/>
  <c r="F114" i="65"/>
  <c r="G114" i="65"/>
  <c r="H114" i="65"/>
  <c r="I114" i="65"/>
  <c r="J114" i="65"/>
  <c r="K114" i="65"/>
  <c r="L114" i="65"/>
  <c r="M114" i="65"/>
  <c r="N114" i="65"/>
  <c r="O114" i="65"/>
  <c r="P114" i="65"/>
  <c r="Q114" i="65"/>
  <c r="R114" i="65"/>
  <c r="S114" i="65"/>
  <c r="T114" i="65"/>
  <c r="F41" i="76" l="1"/>
  <c r="F140" i="64"/>
  <c r="G138" i="64"/>
  <c r="E138" i="64"/>
  <c r="E44" i="76" s="1"/>
  <c r="E137" i="64"/>
  <c r="E139" i="64" s="1"/>
  <c r="G37" i="76"/>
  <c r="G122" i="64"/>
  <c r="G44" i="76" l="1"/>
  <c r="H19" i="65"/>
  <c r="H18" i="65"/>
  <c r="F45" i="76"/>
  <c r="G41" i="76"/>
  <c r="G140" i="64"/>
  <c r="F137" i="64"/>
  <c r="C149" i="64"/>
  <c r="C147" i="64"/>
  <c r="G144" i="64"/>
  <c r="E4" i="69"/>
  <c r="G45" i="76" l="1"/>
  <c r="F139" i="64"/>
  <c r="C150" i="64" s="1"/>
  <c r="G137" i="64"/>
  <c r="E3" i="69"/>
  <c r="E28" i="69"/>
  <c r="E27" i="69"/>
  <c r="E26" i="69"/>
  <c r="E25" i="69"/>
  <c r="E24" i="69"/>
  <c r="E23" i="69"/>
  <c r="E22" i="69"/>
  <c r="E21" i="69"/>
  <c r="E20" i="69"/>
  <c r="E19" i="69"/>
  <c r="E17" i="69"/>
  <c r="E16" i="69"/>
  <c r="E15" i="69"/>
  <c r="E14" i="69"/>
  <c r="E13" i="69"/>
  <c r="E12" i="69"/>
  <c r="E11" i="69"/>
  <c r="E10" i="69"/>
  <c r="E9" i="69"/>
  <c r="G139" i="64" l="1"/>
  <c r="F145" i="64"/>
  <c r="C181" i="64" a="1"/>
  <c r="C181" i="64" s="1"/>
  <c r="C182" i="64" a="1"/>
  <c r="C182" i="64" s="1"/>
  <c r="C185" i="64" s="1"/>
  <c r="W47" i="64"/>
  <c r="V47" i="64"/>
  <c r="W63" i="64"/>
  <c r="U47" i="64"/>
  <c r="D62" i="64" a="1"/>
  <c r="B241" i="64"/>
  <c r="C228" i="64"/>
  <c r="C229" i="64" s="1"/>
  <c r="D317" i="64" a="1"/>
  <c r="D46" i="64" a="1"/>
  <c r="T47" i="64" s="1"/>
  <c r="B341" i="64"/>
  <c r="B340" i="64"/>
  <c r="D281" i="64" a="1"/>
  <c r="D282" i="64" s="1" a="1"/>
  <c r="E2" i="65" a="1"/>
  <c r="H54" i="65" l="1"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5" i="76"/>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1" i="64" a="1"/>
  <c r="C151" i="64" s="1"/>
  <c r="G145" i="64"/>
  <c r="C148" i="64"/>
  <c r="C154" i="64" a="1"/>
  <c r="C154" i="64" s="1"/>
  <c r="C153" i="64" a="1"/>
  <c r="C153"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2" i="64"/>
  <c r="E283" i="64" s="1"/>
  <c r="J283" i="64"/>
  <c r="L283" i="64"/>
  <c r="K283"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4" i="65"/>
  <c r="V64" i="65"/>
  <c r="W149" i="65" a="1"/>
  <c r="W149" i="65" s="1"/>
  <c r="W150" i="65" a="1"/>
  <c r="W150" i="65" s="1"/>
  <c r="U149" i="65" a="1"/>
  <c r="U149" i="65" s="1"/>
  <c r="W64" i="65"/>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1" i="64"/>
  <c r="K321" i="64"/>
  <c r="L321"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19" i="64" a="1"/>
  <c r="D318" i="64" a="1"/>
  <c r="D318"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8" i="64"/>
  <c r="C309" i="64" a="1"/>
  <c r="C309" i="64" s="1"/>
  <c r="C311" i="64" s="1" a="1"/>
  <c r="C311" i="64" s="1"/>
  <c r="D317"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1"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3" i="64"/>
  <c r="G283" i="64"/>
  <c r="I283" i="64"/>
  <c r="F283" i="64"/>
  <c r="E2" i="65"/>
  <c r="E62" i="65" l="1" a="1"/>
  <c r="E62" i="65" s="1"/>
  <c r="E63" i="65" a="1"/>
  <c r="E63" i="65" s="1"/>
  <c r="C156" i="64"/>
  <c r="E11" i="76" s="1"/>
  <c r="C286" i="64" a="1"/>
  <c r="C286" i="64" s="1"/>
  <c r="C285" i="64" a="1"/>
  <c r="C285"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0" i="64"/>
  <c r="K320"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1" i="64"/>
  <c r="I321" i="64"/>
  <c r="G321" i="64"/>
  <c r="H321" i="64"/>
  <c r="F51" i="65"/>
  <c r="E321" i="64"/>
  <c r="C310" i="64" a="1"/>
  <c r="C310" i="64" s="1"/>
  <c r="D319" i="64"/>
  <c r="G320" i="64"/>
  <c r="H320" i="64"/>
  <c r="F320" i="64"/>
  <c r="I320" i="64"/>
  <c r="J320" i="64"/>
  <c r="F321"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0" i="64" a="1"/>
  <c r="C160"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C11" i="76" l="1"/>
  <c r="E64" i="65"/>
  <c r="C162" i="64" a="1"/>
  <c r="C162" i="64" s="1"/>
  <c r="D66" i="65"/>
  <c r="D141" i="65"/>
  <c r="D55" i="65"/>
  <c r="D56" i="65"/>
  <c r="C161" i="64" a="1"/>
  <c r="C161" i="64" s="1"/>
  <c r="C12" i="76" s="1"/>
  <c r="D67" i="65"/>
  <c r="D142" i="65"/>
  <c r="D12" i="65"/>
  <c r="D11" i="65"/>
  <c r="C202" i="64"/>
  <c r="C203" i="64" s="1"/>
  <c r="B5" i="21" s="1"/>
  <c r="F31" i="65"/>
  <c r="F90" i="65"/>
  <c r="F126" i="65"/>
  <c r="D130" i="65" s="1"/>
  <c r="D131" i="65" l="1"/>
  <c r="D35" i="65"/>
  <c r="D36" i="65"/>
  <c r="F81" i="65" a="1"/>
  <c r="F81" i="65" s="1"/>
  <c r="F82" i="65" a="1"/>
  <c r="F82" i="65" s="1"/>
  <c r="B5" i="76" l="1"/>
  <c r="D151" i="65"/>
  <c r="F40" i="65"/>
  <c r="F86" i="65"/>
  <c r="F46" i="65"/>
  <c r="F45" i="65"/>
  <c r="F80" i="65"/>
  <c r="F85" i="65"/>
  <c r="F116" i="65"/>
  <c r="D121" i="65" l="1"/>
  <c r="D120" i="65"/>
  <c r="D152" i="65"/>
  <c r="E8" i="69" l="1"/>
  <c r="C164" i="64" l="1"/>
  <c r="E12" i="76" s="1"/>
  <c r="C235" i="64" a="1"/>
  <c r="C235" i="64" s="1"/>
  <c r="C230" i="64"/>
  <c r="C276" i="64" a="1"/>
  <c r="C276" i="64" s="1"/>
  <c r="C274" i="64" a="1"/>
  <c r="C274" i="64" s="1"/>
  <c r="C270" i="64" a="1"/>
  <c r="C270" i="64" s="1"/>
  <c r="C275" i="64" a="1"/>
  <c r="C275" i="64" s="1"/>
  <c r="C269" i="64" a="1"/>
  <c r="C269" i="64" s="1"/>
  <c r="C172" i="64" a="1"/>
  <c r="C172" i="64" s="1"/>
  <c r="C324" i="64"/>
  <c r="C314" i="64"/>
  <c r="C333" i="64" a="1"/>
  <c r="C333" i="64" s="1"/>
  <c r="C323" i="64" a="1"/>
  <c r="C323" i="64" s="1"/>
  <c r="C334" i="64" a="1"/>
  <c r="C334" i="64" s="1"/>
  <c r="E21" i="21"/>
  <c r="D21" i="21" s="1"/>
  <c r="C243" i="64"/>
  <c r="C312" i="64"/>
  <c r="C288" i="64" a="1"/>
  <c r="C288" i="64" s="1"/>
  <c r="C287" i="64" s="1" a="1"/>
  <c r="C287" i="64" s="1"/>
  <c r="C253" i="64"/>
  <c r="C264" i="64" a="1"/>
  <c r="C264" i="64" s="1"/>
  <c r="C265" i="64" s="1"/>
  <c r="C335" i="64" a="1"/>
  <c r="C335" i="64" s="1"/>
  <c r="C173" i="64"/>
  <c r="C342" i="64"/>
  <c r="B60" i="64"/>
  <c r="C113" i="65"/>
  <c r="C231" i="64" l="1"/>
  <c r="E14" i="21"/>
  <c r="D14" i="21" s="1"/>
  <c r="C255" i="64" a="1"/>
  <c r="C255" i="64" s="1"/>
  <c r="C257" i="64" a="1"/>
  <c r="C257" i="64" s="1"/>
  <c r="F21" i="21"/>
  <c r="C337" i="64"/>
  <c r="C174" i="64" a="1"/>
  <c r="C174" i="64" s="1"/>
  <c r="C13" i="76" s="1"/>
  <c r="C271" i="64"/>
  <c r="C291" i="64"/>
  <c r="C325" i="64" a="1"/>
  <c r="C325" i="64" s="1"/>
  <c r="E22" i="21" s="1"/>
  <c r="D22" i="21" s="1"/>
  <c r="E17" i="21"/>
  <c r="D17" i="21" s="1"/>
  <c r="C340" i="64"/>
  <c r="C343" i="64" s="1"/>
  <c r="E23" i="21" s="1"/>
  <c r="C341" i="64"/>
  <c r="C344" i="64" s="1"/>
  <c r="C242" i="64"/>
  <c r="C241" i="64"/>
  <c r="C245" i="64" s="1"/>
  <c r="C289" i="64"/>
  <c r="E18" i="21" s="1"/>
  <c r="D18" i="21" s="1"/>
  <c r="C278" i="64"/>
  <c r="C256" i="64" a="1"/>
  <c r="C256" i="64" s="1"/>
  <c r="C260" i="64" a="1"/>
  <c r="C260" i="64" s="1"/>
  <c r="E16" i="21" s="1"/>
  <c r="D16" i="21" s="1"/>
  <c r="C259" i="64" a="1"/>
  <c r="C259" i="64" s="1"/>
  <c r="C258" i="64" a="1"/>
  <c r="C258" i="64" s="1"/>
  <c r="D25" i="21" l="1"/>
  <c r="D23" i="21"/>
  <c r="F18" i="21"/>
  <c r="C176" i="64"/>
  <c r="E13" i="76" s="1"/>
  <c r="C236" i="64"/>
  <c r="C237" i="64" s="1"/>
  <c r="F17" i="21"/>
  <c r="C261" i="64"/>
  <c r="F16" i="21" s="1"/>
  <c r="C327" i="64"/>
  <c r="C346" i="64"/>
  <c r="F23" i="21" s="1"/>
  <c r="C246" i="64"/>
  <c r="C247" i="64" s="1"/>
  <c r="C355" i="64"/>
  <c r="C248" i="64" l="1"/>
  <c r="C354" i="64"/>
  <c r="C238" i="64"/>
  <c r="C350" i="64"/>
  <c r="C351" i="64" s="1"/>
  <c r="F25" i="21" s="1"/>
  <c r="E15" i="21"/>
  <c r="F14" i="21"/>
  <c r="F22" i="21"/>
  <c r="E25" i="21" l="1"/>
  <c r="D15" i="21"/>
  <c r="F15" i="21"/>
  <c r="H21" i="65" l="1"/>
  <c r="F19" i="65"/>
  <c r="F18" i="65"/>
  <c r="G21" i="65"/>
  <c r="D26" i="65" l="1"/>
  <c r="D25" i="65" l="1"/>
  <c r="C187" i="64"/>
  <c r="E14"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3"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3"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3"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4"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0"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3"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4" authorId="0" shapeId="0" xr:uid="{5B2DF90B-D63D-4702-862E-184EC652A743}">
      <text>
        <r>
          <rPr>
            <sz val="9"/>
            <color indexed="81"/>
            <rFont val="Tahoma"/>
            <family val="2"/>
          </rPr>
          <t xml:space="preserve">TFEU Article 126(2) and Protocol No 12 Article 1. </t>
        </r>
      </text>
    </comment>
    <comment ref="B195"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197"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8"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199"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3"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5"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07" authorId="0" shapeId="0" xr:uid="{00501D52-8E39-4A32-B67C-E748FE246C23}">
      <text>
        <r>
          <rPr>
            <sz val="9"/>
            <color indexed="81"/>
            <rFont val="Tahoma"/>
            <charset val="1"/>
          </rPr>
          <t>Commission Guidance (C/2024/3975, Section 2.5) and the Regulation (Article 13(a))</t>
        </r>
      </text>
    </comment>
    <comment ref="B208"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09"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4"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6"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3"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35"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8"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0"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1"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0"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3"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4"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4"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7"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0"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3"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0"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85"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6"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7" authorId="0" shapeId="0" xr:uid="{1C38568D-661F-40E5-9152-D4020F4DD7CD}">
      <text>
        <r>
          <rPr>
            <sz val="9"/>
            <color indexed="81"/>
            <rFont val="Tahoma"/>
            <family val="2"/>
          </rPr>
          <t>Is any one value greater than the average?</t>
        </r>
      </text>
    </comment>
    <comment ref="C287"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8"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3"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299"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0"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6" authorId="0" shapeId="0" xr:uid="{322B17D1-8B4B-40A5-A771-441C6119157E}">
      <text>
        <r>
          <rPr>
            <sz val="9"/>
            <color indexed="81"/>
            <rFont val="Tahoma"/>
            <family val="2"/>
          </rPr>
          <t>Art. 7 safeguard – minimum average annual reduction of debt and risk-based conditions.</t>
        </r>
      </text>
    </comment>
    <comment ref="B307"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6"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4"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25"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29"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0"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6"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49"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1"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3"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<sst xmlns="http://schemas.openxmlformats.org/spreadsheetml/2006/main" count="1971" uniqueCount="1003">
  <si>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</si>
  <si>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</si>
  <si>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</si>
  <si>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</si>
  <si>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</si>
  <si>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</si>
  <si>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</si>
  <si>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</si>
  <si>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</si>
  <si>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</si>
  <si>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</si>
  <si>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</si>
  <si>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</si>
  <si>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</si>
  <si>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</si>
  <si>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</si>
  <si>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</si>
  <si>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</si>
  <si>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</si>
  <si>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</si>
  <si>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</si>
  <si>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</si>
  <si>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</si>
  <si>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</si>
  <si>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</si>
  <si>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</si>
  <si>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</si>
  <si>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</si>
  <si>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</si>
  <si>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</si>
  <si>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</si>
  <si>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</si>
  <si>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</si>
  <si>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</si>
  <si>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</si>
  <si>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</si>
  <si>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</si>
  <si>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</si>
  <si>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</si>
  <si>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</si>
  <si>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</si>
  <si>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</si>
  <si>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</si>
  <si>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</si>
  <si>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</si>
  <si>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</si>
  <si>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</si>
  <si>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</si>
  <si>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</si>
  <si>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</si>
  <si>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</si>
  <si>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</si>
  <si>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</si>
  <si>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</si>
  <si>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</si>
  <si>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</si>
  <si>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</si>
  <si>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</si>
  <si>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</si>
  <si>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</si>
  <si>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</si>
  <si>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</si>
  <si>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</si>
  <si>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</si>
  <si>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</si>
  <si>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</si>
  <si>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</si>
  <si>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</si>
  <si>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</si>
  <si>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</si>
  <si>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</si>
  <si>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</si>
  <si>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</si>
  <si>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</si>
  <si>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</si>
  <si>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</si>
  <si>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</si>
  <si>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</si>
  <si>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</si>
  <si>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</si>
  <si>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</si>
  <si>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</si>
  <si>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</si>
  <si>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</si>
  <si>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</si>
  <si>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</si>
  <si>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</si>
  <si>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</si>
  <si>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</si>
  <si>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</si>
  <si>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</si>
  <si>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</si>
  <si>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</si>
  <si>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</si>
  <si>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</si>
  <si>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</si>
  <si>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</si>
  <si>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</si>
  <si>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</si>
  <si>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</si>
  <si>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</si>
  <si>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</si>
  <si>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</si>
  <si>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</si>
  <si>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</si>
  <si>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</si>
  <si>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</si>
  <si>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</si>
  <si>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</si>
  <si>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</si>
  <si>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</si>
  <si>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</si>
  <si>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</si>
  <si>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</si>
  <si>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</si>
  <si>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</si>
  <si>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</si>
  <si>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</si>
  <si>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</si>
  <si>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</si>
  <si>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</si>
  <si>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</si>
  <si>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</si>
  <si>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</si>
  <si>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</si>
  <si>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</si>
  <si>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</si>
  <si>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</si>
  <si>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</si>
  <si>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</si>
  <si>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</si>
  <si>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</si>
  <si>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</si>
  <si>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</si>
  <si>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</si>
  <si>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</si>
  <si>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</si>
  <si>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</si>
  <si>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</si>
  <si>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</si>
  <si>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</si>
  <si>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</si>
  <si>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</si>
  <si>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</si>
  <si>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</si>
  <si>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</si>
  <si>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</si>
  <si>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</si>
  <si>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</si>
  <si>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</si>
  <si>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</si>
  <si>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</si>
  <si>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</si>
  <si>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</si>
  <si>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</si>
  <si>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</si>
  <si>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</si>
  <si>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</si>
  <si>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</si>
  <si>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</si>
  <si>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</si>
  <si>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</si>
  <si>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</si>
  <si>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</si>
  <si>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</si>
  <si>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</si>
  <si>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</si>
  <si>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</si>
  <si>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</si>
  <si>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</si>
  <si>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</si>
  <si>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</si>
  <si>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</si>
  <si>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</si>
  <si>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</si>
  <si>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</si>
  <si>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</si>
  <si>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</si>
  <si>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</si>
  <si>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</si>
  <si>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</si>
  <si>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</si>
  <si>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</si>
  <si>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</si>
  <si>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</si>
  <si>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</si>
  <si>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</si>
  <si>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</si>
  <si>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</si>
  <si>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</si>
  <si>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</si>
  <si>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</si>
  <si>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</si>
  <si>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</si>
  <si>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</si>
  <si>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</si>
  <si>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</si>
  <si>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</si>
  <si>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</si>
  <si>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</si>
  <si>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</si>
  <si>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</si>
  <si>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</si>
  <si>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</si>
  <si>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</si>
  <si>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</si>
  <si>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</si>
  <si>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</si>
  <si>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</si>
  <si>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</si>
  <si>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</si>
  <si>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</si>
  <si>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</si>
  <si>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</si>
  <si>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</si>
  <si>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</si>
  <si>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</si>
  <si>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</si>
  <si>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</si>
  <si>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</si>
  <si>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</si>
  <si>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</si>
  <si>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</si>
  <si>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</si>
  <si>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</si>
  <si>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</si>
  <si>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</si>
  <si>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</si>
  <si>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</si>
  <si>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</si>
  <si>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</si>
  <si>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</si>
  <si>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</si>
  <si>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</si>
  <si>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</si>
  <si>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</si>
  <si>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</si>
  <si>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</si>
  <si>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</si>
  <si>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</si>
  <si>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</si>
  <si>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</si>
  <si>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</si>
  <si>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</si>
  <si>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</si>
  <si>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</si>
  <si>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</si>
  <si>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</si>
  <si>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</si>
  <si>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</si>
  <si>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</si>
  <si>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</si>
  <si>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</si>
  <si>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</si>
  <si>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</si>
  <si>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</si>
  <si>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</si>
  <si>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</si>
  <si>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</si>
  <si>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</si>
  <si>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</si>
  <si>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</si>
  <si>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</si>
  <si>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</si>
  <si>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</si>
  <si>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</si>
  <si>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</si>
  <si>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</si>
  <si>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</si>
  <si>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</si>
  <si>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</si>
  <si>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</si>
  <si>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</si>
  <si>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</si>
  <si>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</si>
  <si>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</si>
  <si>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</si>
  <si>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</si>
  <si>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</si>
  <si>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</si>
  <si>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</si>
  <si>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</si>
  <si>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</si>
  <si>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</si>
  <si>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</si>
  <si>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</si>
  <si>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</si>
  <si>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</si>
  <si>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</si>
  <si>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</si>
  <si>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</si>
  <si>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</si>
  <si>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</si>
  <si>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</si>
  <si>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</si>
  <si>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</si>
  <si>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</si>
  <si>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</si>
  <si>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</si>
  <si>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</si>
  <si>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</si>
  <si>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</si>
  <si>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</si>
  <si>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</si>
  <si>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</si>
  <si>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</si>
  <si>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</si>
  <si>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</si>
  <si>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</si>
  <si>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</si>
  <si>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</si>
  <si>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</si>
  <si>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</si>
  <si>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</si>
  <si>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</si>
  <si>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</si>
  <si>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</si>
  <si>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</si>
  <si>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</si>
  <si>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</si>
  <si>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</si>
  <si>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</si>
  <si>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</si>
  <si>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</si>
  <si>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</si>
  <si>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</si>
  <si>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</si>
  <si>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</si>
  <si>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</si>
  <si>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</si>
  <si>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</si>
  <si>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</si>
  <si>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</si>
  <si>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</si>
  <si>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</si>
  <si>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</si>
  <si>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</si>
  <si>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</si>
  <si>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</si>
  <si>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</si>
  <si>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</si>
  <si>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</si>
  <si>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</si>
  <si>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</si>
  <si>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</si>
  <si>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</si>
  <si>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</si>
  <si>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</si>
  <si>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</si>
  <si>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</si>
  <si>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</si>
  <si>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</si>
  <si>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</si>
  <si>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</si>
  <si>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</si>
  <si>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</si>
  <si>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</si>
  <si>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</si>
  <si>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</si>
  <si>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</si>
  <si>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</si>
  <si>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</si>
  <si>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</si>
  <si>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</si>
  <si>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</si>
  <si>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</si>
  <si>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</si>
  <si>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</si>
  <si>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</si>
  <si>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</si>
  <si>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</si>
  <si>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</si>
  <si>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</si>
  <si>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</si>
  <si>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</si>
  <si>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</si>
  <si>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</si>
  <si>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</si>
  <si>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</si>
  <si>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</si>
  <si>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</si>
  <si>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</si>
  <si>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</si>
  <si>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</si>
  <si>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</si>
  <si>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</si>
  <si>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</si>
  <si>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</si>
  <si>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</si>
  <si>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</si>
  <si>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</si>
  <si>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</si>
  <si>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</si>
  <si>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</si>
  <si>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</si>
  <si>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</si>
  <si>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</si>
  <si>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</si>
  <si>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</si>
  <si>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</si>
  <si>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</si>
  <si>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</si>
  <si>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</si>
  <si>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</si>
  <si>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</si>
  <si>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</si>
  <si>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</si>
  <si>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</si>
  <si>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</si>
  <si>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</si>
  <si>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</si>
  <si>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</si>
  <si>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</si>
  <si>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</si>
  <si>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</si>
  <si>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</si>
  <si>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</si>
  <si>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</si>
  <si>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</si>
  <si>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</si>
  <si>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</si>
  <si>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</si>
  <si>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</si>
  <si>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</si>
  <si>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</si>
  <si>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</si>
  <si>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</si>
  <si>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</si>
  <si>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</si>
  <si>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</si>
  <si>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</si>
  <si>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</si>
  <si>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</si>
  <si>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</si>
  <si>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</si>
  <si>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</si>
  <si>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</si>
  <si>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</si>
  <si>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</si>
  <si>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</si>
  <si>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</si>
  <si>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</si>
  <si>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</si>
  <si>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</si>
  <si>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</si>
  <si>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</si>
  <si>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</si>
  <si>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</si>
  <si>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</si>
  <si>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</si>
  <si>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</si>
  <si>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</si>
  <si>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</si>
  <si>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</si>
  <si>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</si>
  <si>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</si>
  <si>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</si>
  <si>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</si>
  <si>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</si>
  <si>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</si>
  <si>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</si>
  <si>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</si>
  <si>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</si>
  <si>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</si>
  <si>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</si>
  <si>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</si>
  <si>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</si>
  <si>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</si>
  <si>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</si>
  <si>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</si>
  <si>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</si>
  <si>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</si>
  <si>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</si>
  <si>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</si>
  <si>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</si>
  <si>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</si>
  <si>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</si>
  <si>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</si>
  <si>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</si>
  <si>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</si>
  <si>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</si>
  <si>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</si>
  <si>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</si>
  <si>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</si>
  <si>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</si>
  <si>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</si>
  <si>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</si>
  <si>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</si>
  <si>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</si>
  <si>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</si>
  <si>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</si>
  <si>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</si>
  <si>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</si>
  <si>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</si>
  <si>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</si>
  <si>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</si>
  <si>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</si>
  <si>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</si>
  <si>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</si>
  <si>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</si>
  <si>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</si>
  <si>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</si>
  <si>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</si>
  <si>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</si>
  <si>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</si>
  <si>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</si>
  <si>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</si>
  <si>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</si>
  <si>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</si>
  <si>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</si>
  <si>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</si>
  <si>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</si>
  <si>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</si>
  <si>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</si>
  <si>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</si>
  <si>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</si>
  <si>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</si>
  <si>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</si>
  <si>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</si>
  <si>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</si>
  <si>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</si>
  <si>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</si>
  <si>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</si>
  <si>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</si>
  <si>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</si>
  <si>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</si>
  <si>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</si>
  <si>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</si>
  <si>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</si>
  <si>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</si>
  <si>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</si>
  <si>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</si>
  <si>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</si>
  <si>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</si>
  <si>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</si>
  <si>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</si>
  <si>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</si>
  <si>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</si>
  <si>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</si>
  <si>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</si>
  <si>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</si>
  <si>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</si>
  <si>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</si>
  <si>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</si>
  <si>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</si>
  <si>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</si>
  <si>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</si>
  <si>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</si>
  <si>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</si>
  <si>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</si>
  <si>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</si>
  <si>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</si>
  <si>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</si>
  <si>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</si>
  <si>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</si>
  <si>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</si>
  <si>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</si>
  <si>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</si>
  <si>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</si>
  <si>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</si>
  <si>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</si>
  <si>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</si>
  <si>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</si>
  <si>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</si>
  <si>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</si>
  <si>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</si>
  <si>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</si>
  <si>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</si>
  <si>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</si>
  <si>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</si>
  <si>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</si>
  <si>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</si>
  <si>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</si>
  <si>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</si>
  <si>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</si>
  <si>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</si>
  <si>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</si>
  <si>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</si>
  <si>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</si>
  <si>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</si>
  <si>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</si>
  <si>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</si>
  <si>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</si>
  <si>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</si>
  <si>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</si>
  <si>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</si>
  <si>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</si>
  <si>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</si>
  <si>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</si>
  <si>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https://eur-lex.europa.eu/legal-content/EN/TXT/PDF/?uri=CELEX:52024XC03975</t>
  </si>
  <si>
    <t>Funded by EU Technical Support Instrument, REFORM/2023/OP/0010EC</t>
  </si>
  <si>
    <t xml:space="preserve">  YELLOW = Conditional/borderline/informational</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</si>
  <si>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</si>
  <si>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</si>
  <si>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</si>
  <si>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</si>
  <si>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</si>
  <si>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</si>
  <si>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</si>
  <si>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</si>
  <si>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</si>
  <si>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</si>
  <si>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</si>
  <si>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</si>
  <si>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</si>
  <si>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</si>
  <si>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</si>
  <si>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</si>
  <si>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</si>
  <si>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</si>
  <si>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</si>
  <si>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</si>
  <si>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</si>
  <si>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</si>
  <si>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</si>
  <si>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</si>
  <si>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</si>
  <si>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</si>
  <si>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</si>
  <si>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</si>
  <si>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</si>
  <si>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</si>
  <si>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</si>
  <si>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</si>
  <si>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</si>
  <si>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</si>
  <si>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</si>
  <si>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</si>
  <si>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</si>
  <si>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</si>
  <si>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</si>
  <si>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</si>
  <si>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</si>
  <si>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</si>
  <si>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</si>
  <si>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</si>
  <si>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</si>
  <si>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</si>
  <si>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</si>
  <si>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</si>
  <si>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</si>
  <si>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</si>
  <si>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</si>
  <si>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</si>
  <si>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</si>
  <si>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</si>
  <si>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</si>
  <si>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</si>
  <si>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</si>
  <si>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</si>
  <si>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</si>
  <si>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</si>
  <si>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</si>
  <si>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</si>
  <si>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</si>
  <si>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</si>
  <si>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</si>
  <si>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</si>
  <si>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</si>
  <si>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</si>
  <si>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</si>
  <si>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</si>
  <si>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</si>
  <si>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</si>
  <si>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</si>
  <si>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</si>
  <si>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</si>
  <si>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</si>
  <si>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</si>
  <si>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</si>
  <si>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</si>
  <si>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</si>
  <si>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</si>
  <si>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</si>
  <si>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</si>
  <si>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</si>
  <si>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</si>
  <si>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</si>
  <si>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</si>
  <si>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</si>
  <si>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</si>
  <si>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</si>
  <si>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</si>
  <si>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</si>
  <si>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</si>
  <si>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</si>
  <si>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</si>
  <si>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</si>
  <si>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</si>
  <si>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</si>
  <si>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</si>
  <si>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</si>
  <si>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</si>
  <si>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</si>
  <si>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</si>
  <si>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</si>
  <si>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</si>
  <si>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</si>
  <si>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</si>
  <si>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</si>
  <si>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</si>
  <si>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</si>
  <si>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</si>
  <si>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</si>
  <si>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</si>
  <si>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</si>
  <si>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</si>
  <si>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</si>
  <si>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</si>
  <si>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</si>
  <si>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</si>
  <si>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</si>
  <si>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</si>
  <si>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</si>
  <si>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</si>
  <si>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</si>
  <si>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</si>
  <si>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</si>
  <si>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</si>
  <si>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</si>
  <si>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</si>
  <si>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</si>
  <si>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</si>
  <si>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</si>
  <si>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</si>
  <si>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</si>
  <si>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</si>
  <si>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</si>
  <si>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</si>
  <si>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</si>
  <si>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</si>
  <si>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</si>
  <si>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</si>
  <si>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</si>
  <si>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</si>
  <si>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</si>
  <si>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</si>
  <si>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</si>
  <si>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</si>
  <si>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</si>
  <si>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</si>
  <si>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</si>
  <si>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</si>
  <si>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</si>
  <si>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</si>
  <si>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</si>
  <si>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</si>
  <si>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</si>
  <si>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</si>
  <si>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</si>
  <si>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</si>
  <si>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</si>
  <si>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</si>
  <si>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</si>
  <si>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</si>
  <si>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</si>
  <si>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</si>
  <si>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</si>
  <si>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</si>
  <si>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</si>
  <si>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</si>
  <si>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</si>
  <si>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</si>
  <si>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</si>
  <si>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</si>
  <si>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</si>
  <si>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</si>
  <si>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</si>
  <si>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</si>
  <si>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</si>
  <si>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</si>
  <si>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</si>
  <si>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</si>
  <si>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</si>
  <si>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</si>
  <si>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</si>
  <si>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</si>
  <si>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</si>
  <si>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</si>
  <si>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</si>
  <si>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</si>
  <si>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</si>
  <si>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</si>
  <si>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</si>
  <si>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</si>
  <si>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</si>
  <si>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</si>
  <si>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</si>
  <si>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</si>
  <si>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</si>
  <si>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</si>
  <si>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</si>
  <si>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</si>
  <si>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</si>
  <si>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</si>
  <si>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</si>
  <si>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</si>
  <si>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</si>
  <si>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</si>
  <si>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</si>
  <si>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</si>
  <si>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</si>
  <si>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</si>
  <si>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</si>
  <si>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</si>
  <si>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</si>
  <si>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</si>
  <si>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</si>
  <si>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</si>
  <si>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</si>
  <si>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</si>
  <si>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</si>
  <si>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</si>
  <si>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</si>
  <si>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</si>
  <si>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</si>
  <si>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</si>
  <si>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</si>
  <si>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</si>
  <si>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</si>
  <si>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</si>
  <si>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</si>
  <si>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</si>
  <si>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</si>
  <si>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</si>
  <si>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</si>
  <si>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</si>
  <si>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</si>
  <si>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</si>
  <si>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</si>
  <si>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</si>
  <si>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</si>
  <si>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</si>
  <si>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</si>
  <si>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</si>
  <si>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</si>
  <si>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</si>
  <si>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</si>
  <si>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</si>
  <si>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</si>
  <si>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</si>
  <si>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</si>
  <si>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</si>
  <si>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</si>
  <si>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</si>
  <si>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</si>
  <si>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</si>
  <si>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</si>
  <si>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</si>
  <si>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</si>
  <si>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</si>
  <si>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</si>
  <si>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</si>
  <si>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</si>
  <si>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</si>
  <si>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</si>
  <si>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</si>
  <si>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</si>
  <si>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</si>
  <si>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</si>
  <si>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</si>
  <si>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</si>
  <si>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</si>
  <si>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</si>
  <si>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</si>
  <si>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</si>
  <si>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</si>
  <si>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</si>
  <si>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</si>
  <si>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</si>
  <si>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</si>
  <si>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</si>
  <si>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</si>
  <si>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</si>
  <si>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</si>
  <si>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</si>
  <si>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</si>
  <si>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</si>
  <si>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</si>
  <si>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</si>
  <si>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</si>
  <si>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</si>
  <si>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</si>
  <si>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</si>
  <si>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</si>
  <si>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</si>
  <si>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</si>
  <si>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</si>
  <si>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</si>
  <si>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</si>
  <si>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</si>
  <si>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</si>
  <si>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</si>
  <si>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</si>
  <si>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</si>
  <si>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</si>
  <si>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</si>
  <si>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</si>
  <si>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</si>
  <si>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</si>
  <si>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</si>
  <si>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</si>
  <si>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</si>
  <si>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</si>
  <si>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</si>
  <si>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</si>
  <si>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</si>
  <si>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</si>
  <si>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</si>
  <si>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</si>
  <si>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</si>
  <si>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</si>
  <si>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</si>
  <si>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</si>
  <si>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</si>
  <si>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</si>
  <si>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</si>
  <si>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</si>
  <si>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</si>
  <si>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</si>
  <si>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</si>
  <si>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</si>
  <si>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</si>
  <si>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</si>
  <si>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</si>
  <si>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</si>
  <si>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</si>
  <si>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</si>
  <si>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</si>
  <si>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</si>
  <si>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</si>
  <si>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</si>
  <si>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</si>
  <si>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</si>
  <si>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</si>
  <si>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</si>
  <si>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</si>
  <si>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</si>
  <si>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</si>
  <si>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</si>
  <si>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</si>
  <si>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</si>
  <si>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</si>
  <si>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</si>
  <si>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</si>
  <si>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</si>
  <si>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</si>
  <si>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</si>
  <si>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</si>
  <si>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</si>
  <si>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</si>
  <si>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</si>
  <si>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</si>
  <si>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</si>
  <si>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</si>
  <si>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</si>
  <si>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</si>
  <si>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</si>
  <si>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</si>
  <si>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</si>
  <si>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</si>
  <si>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</si>
  <si>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</si>
  <si>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</si>
  <si>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</si>
  <si>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</si>
  <si>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</si>
  <si>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</si>
  <si>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</si>
  <si>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</si>
  <si>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</si>
  <si>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</si>
  <si>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</si>
  <si>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</si>
  <si>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</si>
  <si>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</si>
  <si>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</si>
  <si>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</si>
  <si>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</si>
  <si>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</si>
  <si>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</si>
  <si>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</si>
  <si>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</si>
  <si>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</si>
  <si>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</si>
  <si>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</si>
  <si>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</si>
  <si>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</si>
  <si>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</si>
  <si>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</si>
  <si>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</si>
  <si>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</si>
  <si>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</si>
  <si>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</si>
  <si>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</si>
  <si>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</si>
  <si>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</si>
  <si>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</si>
  <si>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Enter date</t>
  </si>
  <si>
    <t>Enter scenario name</t>
  </si>
  <si>
    <t>Cap on deviation from max growth rates of net expenditure, if applicable (% GDP)</t>
  </si>
  <si>
    <t>Intermediary MTP tables that are populated by macro</t>
  </si>
  <si>
    <t>Enter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</si>
</sst>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3"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73">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3" fontId="11" fillId="0" borderId="0" xfId="4"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0" fillId="0" borderId="2" xfId="0" applyBorder="1" applyAlignment="1">
      <alignment horizontal="left"/>
    </xf>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1" fillId="0" borderId="0" xfId="0" applyNumberFormat="1" applyFont="1"/>
    <xf numFmtId="165" fontId="51" fillId="0" borderId="0" xfId="0" applyNumberFormat="1" applyFont="1"/>
    <xf numFmtId="2" fontId="0" fillId="0" borderId="0" xfId="0" applyNumberFormat="1"/>
    <xf numFmtId="0" fontId="52" fillId="0" borderId="0" xfId="0" applyFont="1"/>
    <xf numFmtId="0" fontId="0" fillId="0" borderId="15" xfId="0" applyBorder="1"/>
    <xf numFmtId="164" fontId="12" fillId="5" borderId="0" xfId="1" applyNumberFormat="1" applyBorder="1" applyAlignment="1">
      <alignment horizontal="left"/>
    </xf>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11" fillId="0" borderId="2" xfId="0" applyFont="1" applyBorder="1" applyAlignment="1">
      <alignment horizontal="left"/>
    </xf>
    <xf numFmtId="0" fontId="45" fillId="0" borderId="0" xfId="0" applyFont="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116">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2"/>
                <c:pt idx="0">
                  <c:v>#N/A</c:v>
                </c:pt>
                <c:pt idx="1">
                  <c:v>#N/A</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0</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18</xdr:col>
      <xdr:colOff>419100</xdr:colOff>
      <xdr:row>32</xdr:row>
      <xdr:rowOff>57150</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5457826" cy="561975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41</xdr:row>
      <xdr:rowOff>38100</xdr:rowOff>
    </xdr:from>
    <xdr:to>
      <xdr:col>1</xdr:col>
      <xdr:colOff>123825</xdr:colOff>
      <xdr:row>45</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36</xdr:row>
      <xdr:rowOff>57150</xdr:rowOff>
    </xdr:from>
    <xdr:to>
      <xdr:col>1</xdr:col>
      <xdr:colOff>104775</xdr:colOff>
      <xdr:row>40</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componenets of net expendidture typically do not align with Annual</a:t>
          </a:r>
          <a:r>
            <a:rPr lang="en-GB" sz="1100" baseline="0">
              <a:solidFill>
                <a:schemeClr val="dk1"/>
              </a:solidFill>
              <a:effectLst/>
              <a:latin typeface="+mn-lt"/>
              <a:ea typeface="+mn-ea"/>
              <a:cs typeface="+mn-cs"/>
            </a:rPr>
            <a:t> Progress Reports and Draft Budgetary Plans, owing to both minor rounding discrepencies and more major differences of analysis on areas such as cycle unemployment expenditure and discretionary revenue measures, even if published at similar times.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19</xdr:col>
      <xdr:colOff>409575</xdr:colOff>
      <xdr:row>49</xdr:row>
      <xdr:rowOff>123825</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6696076" cy="52959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0.58185</cdr:x>
      <cdr:y>0.44672</cdr:y>
    </cdr:from>
    <cdr:to>
      <cdr:x>0.84342</cdr:x>
      <cdr:y>0.52679</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715620" y="1293515"/>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0.55201</cdr:x>
      <cdr:y>0.39039</cdr:y>
    </cdr:from>
    <cdr:to>
      <cdr:x>0.87981</cdr:x>
      <cdr:y>0.471</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576389" y="1130412"/>
          <a:ext cx="1529924" cy="23341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7"/>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51" t="s">
        <v>996</v>
      </c>
    </row>
    <row r="3" spans="1:11" ht="13.5" customHeight="1" x14ac:dyDescent="0.4">
      <c r="A3" s="157" t="s">
        <v>305</v>
      </c>
      <c r="B3" s="251" t="s">
        <v>997</v>
      </c>
    </row>
    <row r="5" spans="1:11" ht="18" x14ac:dyDescent="0.55000000000000004">
      <c r="A5" s="50" t="s">
        <v>756</v>
      </c>
      <c r="K5" s="38"/>
    </row>
    <row r="6" spans="1:11" ht="13.5" customHeight="1" x14ac:dyDescent="0.4">
      <c r="A6" s="157" t="s">
        <v>755</v>
      </c>
      <c r="B6" s="271" t="s">
        <v>753</v>
      </c>
      <c r="K6" s="38"/>
    </row>
    <row r="7" spans="1:11" ht="13.5" customHeight="1" x14ac:dyDescent="0.4">
      <c r="A7" s="159" t="s">
        <v>757</v>
      </c>
      <c r="B7" s="251" t="s">
        <v>999</v>
      </c>
      <c r="K7" s="38"/>
    </row>
    <row r="8" spans="1:11" ht="13.5" customHeight="1" x14ac:dyDescent="0.4">
      <c r="A8" s="159"/>
      <c r="B8" s="5"/>
      <c r="K8" s="38"/>
    </row>
    <row r="9" spans="1:11" ht="13.5" customHeight="1" x14ac:dyDescent="0.55000000000000004">
      <c r="A9" s="50" t="s">
        <v>749</v>
      </c>
      <c r="K9" s="38"/>
    </row>
    <row r="10" spans="1:11" ht="13.5" customHeight="1" x14ac:dyDescent="0.4">
      <c r="A10" s="159" t="s">
        <v>261</v>
      </c>
      <c r="B10" s="186">
        <v>2023</v>
      </c>
      <c r="K10" s="38"/>
    </row>
    <row r="11" spans="1:11" ht="13.5" customHeight="1" x14ac:dyDescent="0.4">
      <c r="A11" s="159" t="s">
        <v>260</v>
      </c>
      <c r="B11" s="186">
        <v>2024</v>
      </c>
      <c r="K11" s="38"/>
    </row>
    <row r="12" spans="1:11" ht="13.5" customHeight="1" x14ac:dyDescent="0.4">
      <c r="A12" s="159" t="s">
        <v>262</v>
      </c>
      <c r="B12" s="186">
        <v>4</v>
      </c>
      <c r="K12" s="38"/>
    </row>
    <row r="13" spans="1:11" ht="13.5" customHeight="1" x14ac:dyDescent="0.4">
      <c r="A13" t="s">
        <v>254</v>
      </c>
      <c r="B13" s="186">
        <v>4</v>
      </c>
      <c r="K13" s="38"/>
    </row>
    <row r="14" spans="1:11" ht="13.5" customHeight="1" x14ac:dyDescent="0.4">
      <c r="A14" s="159" t="s">
        <v>304</v>
      </c>
      <c r="B14" s="187" t="b">
        <v>1</v>
      </c>
      <c r="K14" s="38"/>
    </row>
    <row r="15" spans="1:11" ht="13.5" customHeight="1" x14ac:dyDescent="0.4">
      <c r="A15" s="159" t="s">
        <v>327</v>
      </c>
      <c r="B15" s="187" t="b">
        <v>1</v>
      </c>
      <c r="K15" s="38"/>
    </row>
    <row r="17" spans="1:11" ht="13.5" customHeight="1" x14ac:dyDescent="0.4">
      <c r="A17" t="s">
        <v>748</v>
      </c>
      <c r="B17" s="269" t="s">
        <v>998</v>
      </c>
      <c r="K17" s="38"/>
    </row>
    <row r="18" spans="1:11" x14ac:dyDescent="0.4">
      <c r="K18" s="38"/>
    </row>
    <row r="19" spans="1:11" ht="18" x14ac:dyDescent="0.55000000000000004">
      <c r="A19" s="50" t="s">
        <v>752</v>
      </c>
      <c r="K19" s="38"/>
    </row>
    <row r="20" spans="1:11" ht="13.5" customHeight="1" x14ac:dyDescent="0.4">
      <c r="A20" s="85"/>
      <c r="B20" s="44" cm="1">
        <f t="array" ref="B20:F20">_xlfn.SEQUENCE(1, MTP_EndYear-MTP_BaseYear, MTP_BaseYear+1)</f>
        <v>2024</v>
      </c>
      <c r="C20" s="44">
        <v>2025</v>
      </c>
      <c r="D20" s="44">
        <v>2026</v>
      </c>
      <c r="E20" s="44">
        <v>2027</v>
      </c>
      <c r="F20" s="44">
        <v>2028</v>
      </c>
    </row>
    <row r="21" spans="1:11" ht="13.5" customHeight="1" x14ac:dyDescent="0.4">
      <c r="A21" s="86"/>
      <c r="B21" s="43" t="str" cm="1">
        <f t="array" ref="B21:F21">CHOOSE(SIGN(_xlfn.ANCHORARRAY(B20) - MTP_YearT) + 2, "T-1", "T", "T+" &amp; (_xlfn.ANCHORARRAY(B20) - MTP_YearT))</f>
        <v>T</v>
      </c>
      <c r="C21" s="43" t="str">
        <v>T+1</v>
      </c>
      <c r="D21" s="43" t="str">
        <v>T+2</v>
      </c>
      <c r="E21" s="43" t="str">
        <v>T+3</v>
      </c>
      <c r="F21" s="43" t="str">
        <v>T+4</v>
      </c>
      <c r="G21" s="47"/>
      <c r="H21" s="47"/>
      <c r="J21" s="47"/>
    </row>
    <row r="22" spans="1:11" ht="13.5" customHeight="1" x14ac:dyDescent="0.4">
      <c r="A22" s="85" t="s">
        <v>835</v>
      </c>
      <c r="B22" s="87" t="b">
        <v>0</v>
      </c>
      <c r="C22" s="87" t="b">
        <v>0</v>
      </c>
      <c r="D22" s="87" t="b">
        <v>0</v>
      </c>
      <c r="E22" s="87" t="b">
        <v>0</v>
      </c>
      <c r="F22" s="87" t="b">
        <v>0</v>
      </c>
      <c r="G22" s="87" t="b">
        <v>0</v>
      </c>
      <c r="H22" s="87" t="b">
        <v>0</v>
      </c>
      <c r="I22" s="71" t="b">
        <v>0</v>
      </c>
      <c r="J22" s="71" t="b">
        <v>0</v>
      </c>
    </row>
    <row r="23" spans="1:11" ht="13.5" customHeight="1" x14ac:dyDescent="0.4">
      <c r="A23" t="s">
        <v>713</v>
      </c>
      <c r="B23" s="87" t="e">
        <v>#N/A</v>
      </c>
      <c r="C23" s="87" t="e">
        <v>#N/A</v>
      </c>
      <c r="D23" s="87" t="e">
        <v>#N/A</v>
      </c>
      <c r="E23" s="87" t="e">
        <v>#N/A</v>
      </c>
      <c r="F23" s="87" t="e">
        <v>#N/A</v>
      </c>
      <c r="G23" s="87" t="e">
        <v>#N/A</v>
      </c>
      <c r="H23" s="87" t="e">
        <v>#N/A</v>
      </c>
      <c r="I23" s="71" t="e">
        <v>#N/A</v>
      </c>
      <c r="J23" s="71" t="e">
        <v>#N/A</v>
      </c>
    </row>
    <row r="24" spans="1:11" ht="13.5" customHeight="1" x14ac:dyDescent="0.4">
      <c r="A24" t="s">
        <v>653</v>
      </c>
      <c r="B24" s="87" t="e">
        <v>#N/A</v>
      </c>
      <c r="C24" s="87" t="e">
        <v>#N/A</v>
      </c>
      <c r="D24" s="87" t="e">
        <v>#N/A</v>
      </c>
      <c r="E24" s="87" t="e">
        <v>#N/A</v>
      </c>
      <c r="F24" s="87" t="e">
        <v>#N/A</v>
      </c>
      <c r="G24" s="87" t="e">
        <v>#N/A</v>
      </c>
      <c r="H24" s="87" t="e">
        <v>#N/A</v>
      </c>
      <c r="I24" s="71" t="e">
        <v>#N/A</v>
      </c>
      <c r="J24" s="71" t="e">
        <v>#N/A</v>
      </c>
    </row>
    <row r="25" spans="1:11" ht="13.5" customHeight="1" x14ac:dyDescent="0.4">
      <c r="A25" s="86" t="s">
        <v>1000</v>
      </c>
      <c r="B25" s="87"/>
      <c r="C25" s="87" t="e">
        <v>#N/A</v>
      </c>
      <c r="D25" s="87" t="e">
        <v>#N/A</v>
      </c>
      <c r="E25" s="87" t="e">
        <v>#N/A</v>
      </c>
      <c r="F25" s="87" t="e">
        <v>#N/A</v>
      </c>
      <c r="G25" s="87" t="e">
        <v>#N/A</v>
      </c>
      <c r="H25" s="87" t="e">
        <v>#N/A</v>
      </c>
      <c r="I25" s="71" t="e">
        <v>#N/A</v>
      </c>
      <c r="J25" s="71" t="e">
        <v>#N/A</v>
      </c>
    </row>
    <row r="26" spans="1:11" ht="13.5" customHeight="1" x14ac:dyDescent="0.4">
      <c r="B26" s="87"/>
      <c r="G26" s="87"/>
      <c r="H26" s="87"/>
      <c r="I26" s="71"/>
      <c r="J26" s="71"/>
    </row>
    <row r="27" spans="1:11" ht="13.5" customHeight="1" x14ac:dyDescent="0.4">
      <c r="A27" t="s">
        <v>981</v>
      </c>
      <c r="B27" s="270" t="s">
        <v>1002</v>
      </c>
      <c r="J27" s="71"/>
    </row>
    <row r="28" spans="1:11" ht="13.5" customHeight="1" x14ac:dyDescent="0.4">
      <c r="A28" t="s">
        <v>983</v>
      </c>
      <c r="B28" s="270" t="e">
        <v>#N/A</v>
      </c>
      <c r="J28" s="71"/>
    </row>
    <row r="29" spans="1:11" ht="13.5" customHeight="1" x14ac:dyDescent="0.4"/>
    <row r="30" spans="1:11" ht="13.5" customHeight="1" x14ac:dyDescent="0.55000000000000004">
      <c r="A30" s="50" t="s">
        <v>750</v>
      </c>
    </row>
    <row r="31" spans="1:11" ht="13.5" customHeight="1" x14ac:dyDescent="0.4">
      <c r="A31" s="157" t="s">
        <v>367</v>
      </c>
      <c r="B31" s="52" t="b">
        <v>0</v>
      </c>
    </row>
    <row r="32" spans="1:11" ht="13.5" customHeight="1" x14ac:dyDescent="0.4">
      <c r="A32" s="157" t="s">
        <v>370</v>
      </c>
      <c r="B32" s="52" t="e">
        <v>#N/A</v>
      </c>
    </row>
    <row r="33" spans="1:8" ht="13.5" customHeight="1" x14ac:dyDescent="0.4">
      <c r="A33" s="157" t="s">
        <v>366</v>
      </c>
      <c r="B33" s="52" t="b">
        <v>0</v>
      </c>
    </row>
    <row r="34" spans="1:8" ht="13.5" customHeight="1" x14ac:dyDescent="0.4">
      <c r="A34" s="157" t="s">
        <v>369</v>
      </c>
      <c r="B34" s="52" t="e">
        <v>#N/A</v>
      </c>
    </row>
    <row r="35" spans="1:8" ht="13.5" customHeight="1" x14ac:dyDescent="0.4"/>
    <row r="36" spans="1:8" ht="13.5" customHeight="1" x14ac:dyDescent="0.4"/>
    <row r="37" spans="1:8" ht="18" x14ac:dyDescent="0.55000000000000004">
      <c r="H37" s="50"/>
    </row>
  </sheetData>
  <dataConsolidate/>
  <phoneticPr fontId="43" type="noConversion"/>
  <conditionalFormatting sqref="B20:H20">
    <cfRule type="expression" dxfId="115" priority="9">
      <formula>B20&lt;&gt;""</formula>
    </cfRule>
  </conditionalFormatting>
  <conditionalFormatting sqref="B21:H21">
    <cfRule type="expression" dxfId="114" priority="8">
      <formula>B20&lt;&gt;""</formula>
    </cfRule>
  </conditionalFormatting>
  <conditionalFormatting sqref="B22:H24">
    <cfRule type="expression" dxfId="113" priority="7">
      <formula>B$20&lt;&gt;""</formula>
    </cfRule>
  </conditionalFormatting>
  <conditionalFormatting sqref="B25:H25 B26">
    <cfRule type="expression" dxfId="112" priority="6">
      <formula>B20&lt;&gt;""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B31 B33 B22:H22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B32 B34</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B32 B11</xm:sqref>
        </x14:dataValidation>
        <x14:dataValidation type="list" allowBlank="1" showInputMessage="1" showErrorMessage="1" xr:uid="{08C01445-8373-41C5-B39B-3524AEAE41C8}">
          <x14:formula1>
            <xm:f>Validation!$J$3:$J$5</xm:f>
          </x14:formula1>
          <xm:sqref>B24:H24</xm:sqref>
        </x14:dataValidation>
        <x14:dataValidation type="list" allowBlank="1" showInputMessage="1" showErrorMessage="1" xr:uid="{8697FFC1-76F7-4B45-BD20-8465F301EDFE}">
          <x14:formula1>
            <xm:f>Validation!$I$3:$I$6</xm:f>
          </x14:formula1>
          <xm:sqref>B23:H23</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826</v>
      </c>
      <c r="E2" s="184">
        <v>2025</v>
      </c>
    </row>
    <row r="3" spans="1:34" ht="15.75" x14ac:dyDescent="0.5">
      <c r="B3" s="149"/>
      <c r="R3" s="79" t="s">
        <v>995</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975</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0</v>
      </c>
      <c r="F6" s="140">
        <v>0</v>
      </c>
      <c r="G6" s="181">
        <v>0</v>
      </c>
      <c r="H6" s="181"/>
      <c r="I6" s="181"/>
      <c r="J6" s="181"/>
      <c r="K6" s="181"/>
      <c r="L6" s="181"/>
      <c r="M6" s="181"/>
      <c r="N6" s="181"/>
      <c r="O6" s="181"/>
      <c r="P6" s="181"/>
      <c r="Q6" s="181"/>
      <c r="R6" s="259" t="b">
        <v>0</v>
      </c>
      <c r="S6" s="257" t="s">
        <v>276</v>
      </c>
      <c r="T6" s="181"/>
      <c r="U6" s="181"/>
      <c r="V6" s="181"/>
      <c r="W6" s="181"/>
      <c r="X6" s="181"/>
      <c r="Y6" s="181"/>
      <c r="Z6" s="181"/>
    </row>
    <row r="7" spans="1:34" ht="14.65" customHeight="1" x14ac:dyDescent="0.7">
      <c r="A7" s="13"/>
      <c r="B7" s="80" t="s">
        <v>25</v>
      </c>
      <c r="C7" s="44" t="s">
        <v>6</v>
      </c>
      <c r="D7" s="44"/>
      <c r="E7" s="141" cm="1">
        <f t="array" ref="E7:G7">INDEX(175:175, _xlfn.XMATCH(INDEX(_xlfn.ANCHORARRAY(E4),1,1), 33:33, 0) + _xlfn.SEQUENCE(1, COLUMNS(_xlfn.ANCHORARRAY(E4))) - 1)/1000</f>
        <v>0</v>
      </c>
      <c r="F7" s="141">
        <v>0</v>
      </c>
      <c r="G7" s="182">
        <v>0</v>
      </c>
      <c r="H7" s="182"/>
      <c r="I7" s="182"/>
      <c r="J7" s="182"/>
      <c r="K7" s="182"/>
      <c r="L7" s="182"/>
      <c r="M7" s="182"/>
      <c r="N7" s="182"/>
      <c r="O7" s="182"/>
      <c r="P7" s="182"/>
      <c r="Q7" s="182"/>
      <c r="R7" s="259" t="b">
        <v>0</v>
      </c>
      <c r="S7" s="257" t="s">
        <v>277</v>
      </c>
      <c r="T7" s="181"/>
      <c r="U7" s="181"/>
      <c r="V7" s="181"/>
      <c r="W7" s="181"/>
      <c r="X7" s="181"/>
      <c r="Y7" s="181"/>
      <c r="Z7" s="181"/>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0</v>
      </c>
      <c r="F8" s="141">
        <v>0</v>
      </c>
      <c r="G8" s="182">
        <v>0</v>
      </c>
      <c r="H8" s="182"/>
      <c r="I8" s="182"/>
      <c r="J8" s="182"/>
      <c r="K8" s="182"/>
      <c r="L8" s="182"/>
      <c r="M8" s="182"/>
      <c r="N8" s="182"/>
      <c r="O8" s="182"/>
      <c r="P8" s="182"/>
      <c r="Q8" s="182"/>
      <c r="R8" s="259" t="b">
        <v>0</v>
      </c>
      <c r="S8" s="258" t="s">
        <v>279</v>
      </c>
      <c r="T8" s="182"/>
      <c r="U8" s="182"/>
      <c r="V8" s="182"/>
      <c r="W8" s="182"/>
      <c r="X8" s="182"/>
      <c r="Y8" s="182"/>
      <c r="Z8" s="182"/>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v>
      </c>
      <c r="F9" s="141">
        <v>0</v>
      </c>
      <c r="G9" s="182">
        <v>0</v>
      </c>
      <c r="H9" s="182"/>
      <c r="I9" s="182"/>
      <c r="J9" s="182"/>
      <c r="K9" s="182"/>
      <c r="L9" s="182"/>
      <c r="M9" s="182"/>
      <c r="N9" s="182"/>
      <c r="O9" s="182"/>
      <c r="P9" s="182"/>
      <c r="Q9" s="182"/>
      <c r="R9" s="259" t="b">
        <v>0</v>
      </c>
      <c r="S9" s="258" t="s">
        <v>607</v>
      </c>
      <c r="T9" s="182"/>
      <c r="U9" s="182"/>
      <c r="V9" s="182"/>
      <c r="W9" s="182"/>
      <c r="X9" s="182"/>
      <c r="Y9" s="182"/>
      <c r="Z9" s="182"/>
    </row>
    <row r="10" spans="1:34" ht="14.65" customHeight="1" x14ac:dyDescent="0.7">
      <c r="A10" s="13"/>
      <c r="B10" s="80" t="s">
        <v>278</v>
      </c>
      <c r="C10" s="44" t="s">
        <v>6</v>
      </c>
      <c r="D10" s="44"/>
      <c r="E10" s="141" cm="1">
        <f t="array" ref="E10:G10">INDEX(187:187, _xlfn.XMATCH(INDEX(_xlfn.ANCHORARRAY(E4),1,1), 33:33, 0) + _xlfn.SEQUENCE(1, COLUMNS(_xlfn.ANCHORARRAY(E4))) - 1)/1000</f>
        <v>0</v>
      </c>
      <c r="F10" s="141">
        <v>0</v>
      </c>
      <c r="G10" s="182">
        <v>0</v>
      </c>
      <c r="H10" s="182"/>
      <c r="I10" s="182"/>
      <c r="J10" s="182"/>
      <c r="K10" s="182"/>
      <c r="L10" s="182"/>
      <c r="M10" s="182"/>
      <c r="N10" s="182"/>
      <c r="O10" s="182"/>
      <c r="P10" s="182"/>
      <c r="Q10" s="182"/>
      <c r="R10" s="266" t="b">
        <v>0</v>
      </c>
      <c r="S10" s="267" t="s">
        <v>609</v>
      </c>
      <c r="T10" s="268"/>
      <c r="U10" s="268"/>
      <c r="V10" s="182"/>
      <c r="W10" s="182"/>
      <c r="X10" s="182"/>
      <c r="Y10" s="182"/>
      <c r="Z10" s="182"/>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2">
        <v>0</v>
      </c>
      <c r="H11" s="182"/>
      <c r="I11" s="182"/>
      <c r="J11" s="182"/>
      <c r="K11" s="182"/>
      <c r="L11" s="182"/>
      <c r="M11" s="182"/>
      <c r="N11" s="182"/>
      <c r="O11" s="182"/>
      <c r="P11" s="182"/>
      <c r="Q11" s="182"/>
      <c r="R11" s="182"/>
      <c r="S11" s="182"/>
      <c r="T11" s="182"/>
      <c r="U11" s="182"/>
      <c r="V11" s="182"/>
      <c r="W11" s="182"/>
      <c r="X11" s="182"/>
      <c r="Y11" s="182"/>
      <c r="Z11" s="182"/>
    </row>
    <row r="12" spans="1:34" ht="14.65" customHeight="1" x14ac:dyDescent="0.7">
      <c r="A12" s="13"/>
      <c r="B12" s="80" t="s">
        <v>307</v>
      </c>
      <c r="C12" s="44" t="s">
        <v>6</v>
      </c>
      <c r="D12" s="44"/>
      <c r="E12" s="141" cm="1">
        <f t="array" ref="E12:G12">INDEX(190:190, _xlfn.XMATCH(INDEX(_xlfn.ANCHORARRAY(E4),1,1), 33:33, 0) + _xlfn.SEQUENCE(1, COLUMNS(_xlfn.ANCHORARRAY(E4))) - 1)/1000</f>
        <v>0</v>
      </c>
      <c r="F12" s="141">
        <v>0</v>
      </c>
      <c r="G12" s="182">
        <v>0</v>
      </c>
      <c r="H12" s="182"/>
      <c r="I12" s="182"/>
      <c r="J12" s="182"/>
      <c r="K12" s="182"/>
      <c r="L12" s="182"/>
      <c r="M12" s="182"/>
      <c r="N12" s="182"/>
      <c r="O12" s="182"/>
      <c r="P12" s="182"/>
      <c r="Q12" s="182"/>
      <c r="R12" s="182"/>
      <c r="S12" s="182"/>
      <c r="T12" s="182"/>
      <c r="U12" s="182"/>
      <c r="V12" s="182"/>
      <c r="W12" s="182"/>
      <c r="X12" s="182"/>
      <c r="Y12" s="182"/>
      <c r="Z12" s="182"/>
    </row>
    <row r="13" spans="1:34" ht="14.65" customHeight="1" x14ac:dyDescent="0.7">
      <c r="A13" s="13"/>
      <c r="B13" s="80" t="s">
        <v>607</v>
      </c>
      <c r="C13" s="44" t="s">
        <v>6</v>
      </c>
      <c r="D13" s="44"/>
      <c r="E13" s="141" cm="1">
        <f t="array" ref="E13:G13">IF(R9,
    INDEX(9:9, COLUMN(V1) + _xlfn.SEQUENCE(1, COLUMNS(_xlfn.ANCHORARRAY(E4))) - 1),(INDEX(169:169, _xlfn.XMATCH(INDEX(_xlfn.ANCHORARRAY(E4),1,1)+0, 33:33+0, 0) + _xlfn.SEQUENCE(1, COLUMNS(_xlfn.ANCHORARRAY(E4))) - 1))/1000)</f>
        <v>0</v>
      </c>
      <c r="F13" s="141">
        <v>0</v>
      </c>
      <c r="G13" s="182">
        <v>0</v>
      </c>
      <c r="H13" s="182"/>
      <c r="I13" s="182"/>
      <c r="J13" s="182"/>
      <c r="K13" s="182"/>
      <c r="L13" s="182"/>
      <c r="M13" s="182"/>
      <c r="N13" s="182"/>
      <c r="O13" s="182"/>
      <c r="P13" s="182"/>
      <c r="Q13" s="182"/>
      <c r="R13" s="182"/>
      <c r="S13" s="182"/>
      <c r="T13" s="182"/>
      <c r="U13" s="182"/>
      <c r="V13" s="182"/>
      <c r="W13" s="182"/>
      <c r="X13" s="182"/>
      <c r="Y13" s="182"/>
      <c r="Z13" s="182"/>
      <c r="AF13" s="4"/>
      <c r="AG13" s="4"/>
      <c r="AH13" s="4"/>
    </row>
    <row r="14" spans="1:34" ht="14.65" customHeight="1" x14ac:dyDescent="0.7">
      <c r="A14" s="13"/>
      <c r="B14" s="80" t="s">
        <v>609</v>
      </c>
      <c r="C14" s="44" t="s">
        <v>6</v>
      </c>
      <c r="D14" s="44"/>
      <c r="E14" s="141" cm="1">
        <f t="array" ref="E14:G14">IF(R10,
INDEX(10:10,COLUMN(V1)+_xlfn.SEQUENCE(1,COLUMNS(_xlfn.ANCHORARRAY(E4)))-1),INDEX(92:92,_xlfn.XMATCH(INDEX(_xlfn.ANCHORARRAY(E4),1,1),33:33,0)+_xlfn.SEQUENCE(1,COLUMNS(_xlfn.ANCHORARRAY(E4)))-1)/1000)</f>
        <v>0</v>
      </c>
      <c r="F14" s="141">
        <v>0</v>
      </c>
      <c r="G14" s="182">
        <v>0</v>
      </c>
      <c r="H14" s="182"/>
      <c r="I14" s="182"/>
      <c r="J14" s="182"/>
      <c r="K14" s="182"/>
      <c r="L14" s="182"/>
      <c r="M14" s="182"/>
      <c r="N14" s="182"/>
      <c r="O14" s="182"/>
      <c r="P14" s="182"/>
      <c r="Q14" s="182"/>
      <c r="R14" s="182"/>
      <c r="S14" s="182"/>
      <c r="T14" s="182"/>
      <c r="U14" s="182"/>
      <c r="V14" s="182"/>
      <c r="W14" s="182"/>
      <c r="X14" s="182"/>
      <c r="Y14" s="182"/>
      <c r="Z14" s="182"/>
      <c r="AF14" s="4"/>
      <c r="AG14" s="4"/>
      <c r="AH14" s="4"/>
    </row>
    <row r="15" spans="1:34" ht="20.25" customHeight="1" x14ac:dyDescent="0.7">
      <c r="A15" s="13"/>
      <c r="B15" s="59" t="s">
        <v>309</v>
      </c>
      <c r="C15" s="44" t="s">
        <v>645</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t="str">
        <v/>
      </c>
      <c r="G15" s="181" t="str">
        <v/>
      </c>
      <c r="H15" s="181"/>
      <c r="I15" s="181"/>
      <c r="J15" s="181"/>
      <c r="K15" s="181"/>
      <c r="L15" s="181"/>
      <c r="M15" s="181"/>
      <c r="N15" s="181"/>
      <c r="O15" s="181"/>
      <c r="P15" s="181"/>
      <c r="Q15" s="181"/>
      <c r="R15" s="182"/>
      <c r="S15" s="182"/>
      <c r="T15" s="182"/>
      <c r="U15" s="182"/>
      <c r="V15" s="182"/>
      <c r="W15" s="182"/>
      <c r="X15" s="182"/>
      <c r="Y15" s="182"/>
      <c r="Z15" s="182"/>
      <c r="AF15" s="4"/>
      <c r="AG15" s="4"/>
      <c r="AH15" s="4"/>
    </row>
    <row r="16" spans="1:34" ht="14.65" customHeight="1" x14ac:dyDescent="0.7">
      <c r="A16" s="13"/>
      <c r="B16" s="59" t="s">
        <v>308</v>
      </c>
      <c r="C16" s="44" t="s">
        <v>645</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0</v>
      </c>
      <c r="G16" s="183">
        <v>0</v>
      </c>
      <c r="H16" s="183"/>
      <c r="I16" s="183"/>
      <c r="J16" s="183"/>
      <c r="K16" s="183"/>
      <c r="L16" s="183"/>
      <c r="M16" s="183"/>
      <c r="N16" s="183"/>
      <c r="O16" s="183"/>
      <c r="P16" s="183"/>
      <c r="Q16" s="183"/>
      <c r="R16" s="181"/>
      <c r="S16" s="181"/>
      <c r="T16" s="181"/>
      <c r="U16" s="181"/>
      <c r="V16" s="181"/>
      <c r="W16" s="181"/>
      <c r="X16" s="181"/>
      <c r="Y16" s="181"/>
      <c r="Z16" s="181"/>
      <c r="AF16" s="4"/>
      <c r="AG16" s="4"/>
      <c r="AH16" s="4"/>
    </row>
    <row r="17" spans="1:34" ht="20.25" customHeight="1" x14ac:dyDescent="0.7">
      <c r="A17" s="13"/>
      <c r="B17" s="55" t="s">
        <v>206</v>
      </c>
      <c r="C17" s="49" t="s">
        <v>614</v>
      </c>
      <c r="D17" s="49"/>
      <c r="E17" s="142" t="str" cm="1">
        <f t="array" ref="E17:G17">INDEX(139:139, _xlfn.XMATCH(INDEX(_xlfn.ANCHORARRAY(E4),1,1), 33:33, 0) + _xlfn.SEQUENCE(1, COLUMNS(_xlfn.ANCHORARRAY(E4))) - 1)</f>
        <v/>
      </c>
      <c r="F17" s="142" t="str">
        <v/>
      </c>
      <c r="G17" s="183" t="str">
        <v/>
      </c>
      <c r="H17" s="183"/>
      <c r="I17" s="183"/>
      <c r="J17" s="183"/>
      <c r="K17" s="183"/>
      <c r="L17" s="183"/>
      <c r="M17" s="183"/>
      <c r="N17" s="183"/>
      <c r="O17" s="183"/>
      <c r="P17" s="183"/>
      <c r="Q17" s="183"/>
      <c r="R17" s="183"/>
      <c r="S17" s="183"/>
      <c r="T17" s="183"/>
      <c r="U17" s="183"/>
      <c r="V17" s="183"/>
      <c r="W17" s="183"/>
      <c r="X17" s="183"/>
      <c r="Y17" s="183"/>
      <c r="Z17" s="183"/>
      <c r="AF17" s="4"/>
      <c r="AG17" s="4"/>
      <c r="AH17" s="4"/>
    </row>
    <row r="18" spans="1:34" ht="14.65" customHeight="1" x14ac:dyDescent="0.7">
      <c r="A18" s="13"/>
      <c r="B18" s="55" t="s">
        <v>0</v>
      </c>
      <c r="C18" s="49" t="s">
        <v>614</v>
      </c>
      <c r="D18" s="49"/>
      <c r="E18" s="142" cm="1">
        <f t="array" ref="E18:G18">INDEX(142:142, _xlfn.XMATCH(INDEX(_xlfn.ANCHORARRAY(E4),1,1), 33:33, 0) + _xlfn.SEQUENCE(1, COLUMNS(_xlfn.ANCHORARRAY(E4))) - 1)</f>
        <v>0</v>
      </c>
      <c r="F18" s="142">
        <v>0</v>
      </c>
      <c r="G18" s="183">
        <v>0</v>
      </c>
      <c r="H18" s="183"/>
      <c r="I18" s="183"/>
      <c r="J18" s="183"/>
      <c r="K18" s="183"/>
      <c r="L18" s="183"/>
      <c r="M18" s="183"/>
      <c r="N18" s="183"/>
      <c r="O18" s="183"/>
      <c r="P18" s="183"/>
      <c r="Q18" s="183"/>
      <c r="R18" s="183"/>
      <c r="S18" s="183"/>
      <c r="T18" s="183"/>
      <c r="U18" s="183"/>
      <c r="V18" s="183"/>
      <c r="W18" s="183"/>
      <c r="X18" s="183"/>
      <c r="Y18" s="183"/>
      <c r="Z18" s="183"/>
    </row>
    <row r="19" spans="1:34" ht="14.65" customHeight="1" x14ac:dyDescent="0.7">
      <c r="A19" s="13"/>
      <c r="B19" s="55" t="s">
        <v>3</v>
      </c>
      <c r="C19" s="49" t="s">
        <v>614</v>
      </c>
      <c r="D19" s="49"/>
      <c r="E19" s="142" cm="1">
        <f t="array" ref="E19:G19">INDEX(143:143, _xlfn.XMATCH(INDEX(_xlfn.ANCHORARRAY(E4),1,1), 33:33, 0) + _xlfn.SEQUENCE(1, COLUMNS(_xlfn.ANCHORARRAY(E4))) - 1)</f>
        <v>0</v>
      </c>
      <c r="F19" s="142">
        <v>0</v>
      </c>
      <c r="G19" s="183">
        <v>0</v>
      </c>
      <c r="H19" s="183"/>
      <c r="I19" s="183"/>
      <c r="J19" s="183"/>
      <c r="K19" s="183"/>
      <c r="L19" s="183"/>
      <c r="M19" s="183"/>
      <c r="N19" s="183"/>
      <c r="O19" s="183"/>
      <c r="P19" s="183"/>
      <c r="Q19" s="183"/>
      <c r="R19" s="183"/>
      <c r="S19" s="183"/>
      <c r="T19" s="183"/>
      <c r="U19" s="183"/>
      <c r="V19" s="183"/>
      <c r="W19" s="183"/>
      <c r="X19" s="183"/>
      <c r="Y19" s="183"/>
      <c r="Z19" s="183"/>
    </row>
    <row r="20" spans="1:34" ht="14.65" customHeight="1" x14ac:dyDescent="0.7">
      <c r="A20" s="13"/>
      <c r="B20" s="55" t="s">
        <v>1</v>
      </c>
      <c r="C20" s="49" t="s">
        <v>614</v>
      </c>
      <c r="D20" s="49"/>
      <c r="E20" s="142" t="str" cm="1">
        <f t="array" ref="E20:G20">INDEX(145:145, _xlfn.XMATCH(INDEX(_xlfn.ANCHORARRAY(E4),1,1), 33:33, 0) + _xlfn.SEQUENCE(1, COLUMNS(_xlfn.ANCHORARRAY(E4))) - 1)</f>
        <v/>
      </c>
      <c r="F20" s="142" t="str">
        <v/>
      </c>
      <c r="G20" s="183" t="str">
        <v/>
      </c>
      <c r="H20" s="183"/>
      <c r="I20" s="183"/>
      <c r="J20" s="183"/>
      <c r="K20" s="183"/>
      <c r="L20" s="183"/>
      <c r="M20" s="183"/>
      <c r="N20" s="183"/>
      <c r="O20" s="183"/>
      <c r="P20" s="183"/>
      <c r="Q20" s="183"/>
      <c r="R20" s="183"/>
      <c r="S20" s="183"/>
      <c r="T20" s="183"/>
      <c r="U20" s="183"/>
      <c r="V20" s="183"/>
      <c r="W20" s="183"/>
      <c r="X20" s="183"/>
      <c r="Y20" s="183"/>
      <c r="Z20" s="183"/>
    </row>
    <row r="21" spans="1:34" ht="14.65" customHeight="1" x14ac:dyDescent="0.7">
      <c r="A21" s="13"/>
      <c r="B21" s="55" t="s">
        <v>2</v>
      </c>
      <c r="C21" s="49" t="s">
        <v>614</v>
      </c>
      <c r="D21" s="49"/>
      <c r="E21" s="183" t="str" cm="1">
        <f t="array" ref="E21:G21">INDEX(146:146, _xlfn.XMATCH(INDEX(_xlfn.ANCHORARRAY(E4),1,1), 33:33, 0) + _xlfn.SEQUENCE(1, COLUMNS(_xlfn.ANCHORARRAY(E4))) - 1)</f>
        <v/>
      </c>
      <c r="F21" s="183" t="str">
        <v/>
      </c>
      <c r="G21" s="183" t="str">
        <v/>
      </c>
      <c r="H21" s="183"/>
      <c r="I21" s="183"/>
      <c r="J21" s="183"/>
      <c r="K21" s="183"/>
      <c r="L21" s="183"/>
      <c r="M21" s="183"/>
      <c r="N21" s="183"/>
      <c r="O21" s="183"/>
      <c r="P21" s="183"/>
      <c r="Q21" s="183"/>
      <c r="R21" s="183"/>
      <c r="S21" s="183"/>
      <c r="T21" s="183"/>
      <c r="U21" s="183"/>
      <c r="V21" s="183"/>
      <c r="W21" s="183"/>
      <c r="X21" s="183"/>
      <c r="Y21" s="183"/>
      <c r="Z21" s="183"/>
    </row>
    <row r="22" spans="1:34" ht="20.25" customHeight="1" x14ac:dyDescent="0.7">
      <c r="A22" s="13"/>
      <c r="B22" s="55" t="s">
        <v>280</v>
      </c>
      <c r="C22" s="49" t="s">
        <v>644</v>
      </c>
      <c r="D22" s="49"/>
      <c r="E22" s="140" t="str" cm="1">
        <f t="array" ref="E22:G22">_xlfn.LET(
  _xlpm.pos,  _xlfn.XMATCH(INDEX(_xlfn.ANCHORARRAY(E4),1,1)+0, 33:33+0, 0) + _xlfn.SEQUENCE(1, COLUMNS(_xlfn.ANCHORARRAY(E4))),
  _xlpm.num,  INDEX(35:35, _xlpm.pos - 1),
  _xlpm.den,  INDEX(35:35, _xlpm.pos - 2),
  IF((_xlpm.num=0) + (_xlpm.den=0), "", 100*(_xlpm.num/_xlpm.den - 1))
)</f>
        <v/>
      </c>
      <c r="F22" s="140" t="str">
        <v/>
      </c>
      <c r="G22" s="181" t="str">
        <v/>
      </c>
      <c r="H22" s="181"/>
      <c r="I22" s="181"/>
      <c r="J22" s="181"/>
      <c r="K22" s="181"/>
      <c r="L22" s="181"/>
      <c r="M22" s="181"/>
      <c r="N22" s="181"/>
      <c r="O22" s="181"/>
      <c r="P22" s="181"/>
      <c r="Q22" s="181"/>
      <c r="R22" s="183"/>
      <c r="S22" s="183"/>
      <c r="T22" s="183"/>
      <c r="U22" s="183"/>
      <c r="V22" s="183"/>
      <c r="W22" s="183"/>
      <c r="X22" s="183"/>
      <c r="Y22" s="183"/>
      <c r="Z22" s="183"/>
    </row>
    <row r="23" spans="1:34" ht="14.65" customHeight="1" x14ac:dyDescent="0.7">
      <c r="A23" s="13"/>
      <c r="B23" s="55" t="s">
        <v>281</v>
      </c>
      <c r="C23" s="49" t="s">
        <v>644</v>
      </c>
      <c r="D23" s="49"/>
      <c r="E23" s="140" t="str"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
      </c>
      <c r="F23" s="140" t="str">
        <v/>
      </c>
      <c r="G23" s="181" t="str">
        <v/>
      </c>
      <c r="H23" s="181"/>
      <c r="I23" s="181"/>
      <c r="J23" s="181"/>
      <c r="K23" s="181"/>
      <c r="L23" s="181"/>
      <c r="M23" s="181"/>
      <c r="N23" s="181"/>
      <c r="O23" s="181"/>
      <c r="P23" s="181"/>
      <c r="Q23" s="181"/>
      <c r="R23" s="181"/>
      <c r="S23" s="181"/>
      <c r="T23" s="181"/>
      <c r="U23" s="181"/>
      <c r="V23" s="181"/>
      <c r="W23" s="181"/>
      <c r="X23" s="181"/>
      <c r="Y23" s="181"/>
      <c r="Z23" s="181"/>
    </row>
    <row r="24" spans="1:34" ht="14.65" customHeight="1" x14ac:dyDescent="0.7">
      <c r="A24" s="13"/>
      <c r="B24" s="55" t="s">
        <v>282</v>
      </c>
      <c r="C24" s="49" t="s">
        <v>644</v>
      </c>
      <c r="D24" s="49"/>
      <c r="E24" s="140" t="str" cm="1">
        <f t="array" ref="E24:G24">_xlfn.LET(
  _xlpm.pos,  _xlfn.XMATCH(INDEX(_xlfn.ANCHORARRAY(E4),1,1)+0, 33:33+0, 0) + _xlfn.SEQUENCE(1, COLUMNS(_xlfn.ANCHORARRAY(E4))),
  _xlpm.num,  INDEX(34:34, _xlpm.pos - 1),
  _xlpm.den,  INDEX(34:34, _xlpm.pos - 2),
  IF((_xlpm.num=0) + (_xlpm.den=0), "", 100*(_xlpm.num/_xlpm.den - 1))
)</f>
        <v/>
      </c>
      <c r="F24" s="140" t="str">
        <v/>
      </c>
      <c r="G24" s="181" t="str">
        <v/>
      </c>
      <c r="H24" s="181"/>
      <c r="I24" s="181"/>
      <c r="J24" s="181"/>
      <c r="K24" s="181"/>
      <c r="L24" s="181"/>
      <c r="M24" s="181"/>
      <c r="N24" s="181"/>
      <c r="O24" s="181"/>
      <c r="P24" s="181"/>
      <c r="Q24" s="181"/>
      <c r="R24" s="181"/>
      <c r="S24" s="181"/>
      <c r="T24" s="181"/>
      <c r="U24" s="181"/>
      <c r="V24" s="181"/>
      <c r="W24" s="181"/>
      <c r="X24" s="181"/>
      <c r="Y24" s="181"/>
      <c r="Z24" s="181"/>
    </row>
    <row r="25" spans="1:34" ht="14.65" customHeight="1" x14ac:dyDescent="0.7">
      <c r="A25" s="13"/>
      <c r="B25" s="55" t="s">
        <v>283</v>
      </c>
      <c r="C25" s="44" t="s">
        <v>644</v>
      </c>
      <c r="D25" s="44"/>
      <c r="E25" s="140" t="str" cm="1">
        <f t="array" ref="E25:G25">_xlfn.LET(
  _xlpm.pos,  _xlfn.XMATCH(INDEX(_xlfn.ANCHORARRAY(E4),1,1)+0, 33:33+0, 0) + _xlfn.SEQUENCE(1, COLUMNS(_xlfn.ANCHORARRAY(E4))),
  _xlpm.num,  INDEX(90:90, _xlpm.pos - 1),
  _xlpm.den,  INDEX(90:90, _xlpm.pos - 2),
  IF((_xlpm.num=0) + (_xlpm.den=0), "", 100*(_xlpm.num/_xlpm.den - 1))
)</f>
        <v/>
      </c>
      <c r="F25" s="142" t="str">
        <v/>
      </c>
      <c r="G25" s="183" t="str">
        <v/>
      </c>
      <c r="H25" s="183"/>
      <c r="I25" s="183"/>
      <c r="J25" s="183"/>
      <c r="K25" s="183"/>
      <c r="L25" s="183"/>
      <c r="M25" s="183"/>
      <c r="N25" s="183"/>
      <c r="O25" s="183"/>
      <c r="P25" s="183"/>
      <c r="Q25" s="183"/>
      <c r="R25" s="181"/>
      <c r="S25" s="181"/>
      <c r="T25" s="181"/>
      <c r="U25" s="181"/>
      <c r="V25" s="181"/>
      <c r="W25" s="181"/>
      <c r="X25" s="181"/>
      <c r="Y25" s="181"/>
      <c r="Z25" s="181"/>
    </row>
    <row r="26" spans="1:34" ht="14.65" customHeight="1" x14ac:dyDescent="0.7">
      <c r="A26" s="13"/>
      <c r="B26" s="55" t="s">
        <v>272</v>
      </c>
      <c r="C26" s="44" t="s">
        <v>610</v>
      </c>
      <c r="D26" s="44"/>
      <c r="E26" s="142" t="str" cm="1">
        <f t="array" ref="E26:G26">_xlfn.LET(
  _xlpm.pos,   _xlfn.XMATCH(INDEX(_xlfn.ANCHORARRAY(E4),1,1)+0, 33:33+0, 0) + _xlfn.SEQUENCE(1, COLUMNS(_xlfn.ANCHORARRAY(E4))),
  _xlpm.rGDP,  INDEX(89:89, _xlpm.pos - 1),
  _xlpm.pGDP,  INDEX(90:90, _xlpm.pos - 1),
  IF((_xlpm.rGDP=0) + (_xlpm.pGDP=0), "", 100*(_xlpm.rGDP/_xlpm.pGDP - 1))
)</f>
        <v/>
      </c>
      <c r="F26" s="142" t="str">
        <v/>
      </c>
      <c r="G26" s="183" t="str">
        <v/>
      </c>
      <c r="H26" s="183"/>
      <c r="I26" s="183"/>
      <c r="J26" s="183"/>
      <c r="K26" s="183"/>
      <c r="L26" s="183"/>
      <c r="M26" s="183"/>
      <c r="N26" s="183"/>
      <c r="O26" s="183"/>
      <c r="P26" s="183"/>
      <c r="Q26" s="183"/>
      <c r="R26" s="183"/>
      <c r="S26" s="183"/>
      <c r="T26" s="183"/>
      <c r="U26" s="183"/>
      <c r="V26" s="183"/>
      <c r="W26" s="183"/>
      <c r="X26" s="183"/>
      <c r="Y26" s="183"/>
      <c r="Z26" s="183"/>
    </row>
    <row r="27" spans="1:34" x14ac:dyDescent="0.4">
      <c r="B27" s="42" t="s">
        <v>606</v>
      </c>
      <c r="C27" s="147" t="s">
        <v>646</v>
      </c>
      <c r="D27" s="147"/>
      <c r="E27" s="142" cm="1">
        <f t="array" ref="E27:G27">INDEX(34:34, _xlfn.XMATCH(INDEX(_xlfn.ANCHORARRAY(E4),1,1), 33:33, 0) + _xlfn.SEQUENCE(1, COLUMNS(_xlfn.ANCHORARRAY(E4))) - 1)/1000</f>
        <v>0</v>
      </c>
      <c r="F27" s="142">
        <v>0</v>
      </c>
      <c r="G27" s="183">
        <v>0</v>
      </c>
      <c r="H27" s="183"/>
      <c r="I27" s="183"/>
      <c r="J27" s="183"/>
      <c r="K27" s="183"/>
      <c r="L27" s="183"/>
      <c r="M27" s="183"/>
      <c r="N27" s="183"/>
      <c r="O27" s="183"/>
      <c r="P27" s="183"/>
      <c r="Q27" s="183"/>
      <c r="R27" s="183"/>
      <c r="S27" s="183"/>
      <c r="T27" s="183"/>
      <c r="U27" s="183"/>
      <c r="V27" s="183"/>
      <c r="W27" s="183"/>
      <c r="X27" s="183"/>
      <c r="Y27" s="183"/>
      <c r="Z27" s="183"/>
    </row>
    <row r="28" spans="1:34" x14ac:dyDescent="0.4">
      <c r="C28" s="8"/>
      <c r="D28" s="8"/>
      <c r="F28" s="144"/>
      <c r="G28" s="144"/>
      <c r="R28" s="183"/>
      <c r="S28" s="183"/>
      <c r="T28" s="183"/>
      <c r="U28" s="183"/>
      <c r="V28" s="183"/>
      <c r="W28" s="183"/>
      <c r="X28" s="183"/>
      <c r="Y28" s="183"/>
      <c r="Z28" s="183"/>
    </row>
    <row r="29" spans="1:34" ht="23.25" x14ac:dyDescent="0.7">
      <c r="A29" s="13" t="s">
        <v>839</v>
      </c>
      <c r="B29" s="8"/>
      <c r="C29" s="8"/>
    </row>
    <row r="30" spans="1:34" outlineLevel="1" x14ac:dyDescent="0.4">
      <c r="A30" s="150" t="s">
        <v>15</v>
      </c>
      <c r="B30" s="151" t="str">
        <f>Country</f>
        <v>Select country</v>
      </c>
      <c r="C30" s="8"/>
    </row>
    <row r="31" spans="1:34" outlineLevel="1" x14ac:dyDescent="0.4">
      <c r="A31" s="150" t="s">
        <v>870</v>
      </c>
      <c r="B31" s="256">
        <v>46188.304398148146</v>
      </c>
      <c r="C31" s="8"/>
    </row>
    <row r="32" spans="1:34" outlineLevel="1" x14ac:dyDescent="0.4">
      <c r="A32" s="150" t="s">
        <v>703</v>
      </c>
      <c r="B32" s="150" t="s">
        <v>704</v>
      </c>
    </row>
    <row r="33" spans="1:169" outlineLevel="1" x14ac:dyDescent="0.4">
      <c r="A33" s="150" t="s">
        <v>26</v>
      </c>
      <c r="B33" s="150" t="s">
        <v>16</v>
      </c>
      <c r="C33" t="s">
        <v>684</v>
      </c>
      <c r="D33" cm="1">
        <f t="array" ref="D33:G33">_xlfn.SEQUENCE(1, OutturnThrough-MTP_BaseYear+2, MTP_BaseYear-1)</f>
        <v>2022</v>
      </c>
      <c r="E33">
        <v>2023</v>
      </c>
      <c r="F33">
        <v>2024</v>
      </c>
      <c r="G33">
        <v>2025</v>
      </c>
    </row>
    <row r="34" spans="1:169" outlineLevel="1" x14ac:dyDescent="0.4">
      <c r="A34" t="s">
        <v>176</v>
      </c>
      <c r="B34" t="s">
        <v>90</v>
      </c>
      <c r="C34" t="s">
        <v>680</v>
      </c>
      <c r="D34" s="9"/>
      <c r="E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680</v>
      </c>
      <c r="D35" s="9"/>
      <c r="E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680</v>
      </c>
      <c r="D36" s="9"/>
      <c r="E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680</v>
      </c>
      <c r="D37" s="9"/>
      <c r="E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680</v>
      </c>
      <c r="D38" s="9"/>
      <c r="E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680</v>
      </c>
      <c r="D39" s="9"/>
      <c r="E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680</v>
      </c>
      <c r="D40" s="9"/>
      <c r="E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680</v>
      </c>
      <c r="D41" s="9"/>
      <c r="E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680</v>
      </c>
      <c r="D42" s="9"/>
      <c r="E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680</v>
      </c>
      <c r="D43" s="9"/>
      <c r="E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627</v>
      </c>
      <c r="B44" t="s">
        <v>155</v>
      </c>
      <c r="C44" t="s">
        <v>680</v>
      </c>
      <c r="D44" s="9"/>
      <c r="E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680</v>
      </c>
      <c r="D45" s="9"/>
      <c r="E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680</v>
      </c>
      <c r="D46" s="9"/>
      <c r="E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680</v>
      </c>
      <c r="D47" s="9"/>
      <c r="E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685</v>
      </c>
      <c r="D48" s="9"/>
      <c r="E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685</v>
      </c>
      <c r="D49" s="9"/>
      <c r="E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685</v>
      </c>
      <c r="D50" s="9"/>
      <c r="E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685</v>
      </c>
      <c r="D51" s="9"/>
      <c r="E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685</v>
      </c>
      <c r="D52" s="9"/>
      <c r="E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685</v>
      </c>
      <c r="D53" s="9"/>
      <c r="E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685</v>
      </c>
      <c r="D54" s="9"/>
      <c r="E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685</v>
      </c>
      <c r="D55" s="9"/>
      <c r="E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685</v>
      </c>
      <c r="D56" s="9"/>
      <c r="E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685</v>
      </c>
      <c r="D57" s="9"/>
      <c r="E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631</v>
      </c>
      <c r="B58" t="s">
        <v>633</v>
      </c>
      <c r="C58" t="s">
        <v>685</v>
      </c>
      <c r="D58" s="9"/>
      <c r="E58" s="9"/>
    </row>
    <row r="59" spans="1:169" outlineLevel="1" x14ac:dyDescent="0.4">
      <c r="A59" t="s">
        <v>107</v>
      </c>
      <c r="B59" t="s">
        <v>106</v>
      </c>
      <c r="C59" t="s">
        <v>685</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685</v>
      </c>
      <c r="D60" s="9"/>
      <c r="E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685</v>
      </c>
      <c r="D61" s="9"/>
      <c r="E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632</v>
      </c>
      <c r="B62" t="s">
        <v>634</v>
      </c>
      <c r="C62" t="s">
        <v>685</v>
      </c>
      <c r="D62" s="9"/>
      <c r="E62" s="9"/>
    </row>
    <row r="63" spans="1:169" outlineLevel="1" x14ac:dyDescent="0.4">
      <c r="A63" t="s">
        <v>679</v>
      </c>
      <c r="B63" t="s">
        <v>109</v>
      </c>
      <c r="C63" t="s">
        <v>685</v>
      </c>
      <c r="D63" s="9"/>
      <c r="E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685</v>
      </c>
      <c r="D64" s="9"/>
      <c r="E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685</v>
      </c>
      <c r="D65" s="9"/>
      <c r="E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685</v>
      </c>
      <c r="D66" s="9"/>
      <c r="E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685</v>
      </c>
      <c r="D67" s="9"/>
      <c r="E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685</v>
      </c>
      <c r="D68" s="9"/>
      <c r="E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685</v>
      </c>
      <c r="D69" s="9"/>
      <c r="E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685</v>
      </c>
      <c r="D70" s="9"/>
      <c r="E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685</v>
      </c>
      <c r="D71" s="9"/>
      <c r="E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685</v>
      </c>
      <c r="D72" s="9"/>
      <c r="E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685</v>
      </c>
      <c r="D73" s="9"/>
      <c r="E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685</v>
      </c>
      <c r="D74" s="9"/>
      <c r="E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685</v>
      </c>
      <c r="D75" s="9"/>
      <c r="E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685</v>
      </c>
      <c r="D76" s="9"/>
      <c r="E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685</v>
      </c>
      <c r="D77" s="9"/>
      <c r="E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685</v>
      </c>
      <c r="D78" s="9"/>
      <c r="E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626</v>
      </c>
      <c r="C79" t="s">
        <v>685</v>
      </c>
      <c r="D79" s="9"/>
      <c r="E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685</v>
      </c>
      <c r="D80" s="9"/>
      <c r="E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687</v>
      </c>
      <c r="B81" t="s">
        <v>169</v>
      </c>
      <c r="C81" t="s">
        <v>685</v>
      </c>
      <c r="D81" s="9"/>
      <c r="E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688</v>
      </c>
      <c r="B82" t="s">
        <v>170</v>
      </c>
      <c r="C82" t="s">
        <v>685</v>
      </c>
      <c r="D82" s="9"/>
      <c r="E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689</v>
      </c>
      <c r="B83" t="s">
        <v>149</v>
      </c>
      <c r="C83" t="s">
        <v>685</v>
      </c>
      <c r="D83" s="9"/>
      <c r="E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627</v>
      </c>
      <c r="B84" t="s">
        <v>628</v>
      </c>
      <c r="C84" t="s">
        <v>685</v>
      </c>
      <c r="D84" s="9"/>
      <c r="E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685</v>
      </c>
      <c r="D85" s="9"/>
      <c r="E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685</v>
      </c>
      <c r="D86" s="9"/>
      <c r="E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685</v>
      </c>
      <c r="D87" s="146"/>
      <c r="E87" s="146"/>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686</v>
      </c>
      <c r="D88" s="9"/>
      <c r="E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691</v>
      </c>
      <c r="B89" t="s">
        <v>295</v>
      </c>
      <c r="C89" t="s">
        <v>683</v>
      </c>
      <c r="D89" s="9"/>
      <c r="E89" s="9"/>
      <c r="F89" s="9"/>
      <c r="G89" s="9"/>
      <c r="H89" s="9"/>
      <c r="I89" s="9"/>
      <c r="J89" s="9"/>
      <c r="K89" s="9"/>
      <c r="L89" s="9"/>
      <c r="M89" s="9"/>
      <c r="N89" s="9"/>
      <c r="O89" s="9"/>
      <c r="P89" s="9"/>
      <c r="Q89" s="9"/>
    </row>
    <row r="90" spans="1:169" outlineLevel="1" x14ac:dyDescent="0.4">
      <c r="A90" t="s">
        <v>692</v>
      </c>
      <c r="B90" t="s">
        <v>294</v>
      </c>
      <c r="C90" t="s">
        <v>683</v>
      </c>
      <c r="D90" s="9"/>
      <c r="E90" s="9"/>
      <c r="F90" s="9"/>
      <c r="G90" s="9"/>
      <c r="H90" s="9"/>
      <c r="I90" s="9"/>
      <c r="J90" s="9"/>
      <c r="K90" s="9"/>
      <c r="L90" s="9"/>
      <c r="M90" s="9"/>
      <c r="N90" s="9"/>
      <c r="O90" s="9"/>
      <c r="P90" s="9"/>
      <c r="Q90" s="9"/>
      <c r="R90" s="9"/>
      <c r="S90" s="9"/>
      <c r="T90" s="9"/>
      <c r="U90" s="9"/>
      <c r="V90" s="9"/>
      <c r="W90" s="9"/>
      <c r="X90" s="9"/>
      <c r="Y90" s="9"/>
      <c r="Z90" s="9"/>
    </row>
    <row r="91" spans="1:169" outlineLevel="1" x14ac:dyDescent="0.4">
      <c r="A91" t="s">
        <v>693</v>
      </c>
      <c r="B91" t="s">
        <v>615</v>
      </c>
      <c r="C91" t="s">
        <v>681</v>
      </c>
      <c r="D91" s="9"/>
      <c r="E91" s="9"/>
      <c r="F91" s="9"/>
      <c r="G91" s="9"/>
      <c r="H91" s="9"/>
      <c r="I91" s="9"/>
      <c r="J91" s="9"/>
      <c r="K91" s="9"/>
      <c r="L91" s="9"/>
      <c r="M91" s="9"/>
      <c r="N91" s="9"/>
      <c r="O91" s="9"/>
      <c r="P91" s="9"/>
      <c r="Q91" s="9"/>
      <c r="R91" s="9"/>
      <c r="S91" s="9"/>
      <c r="T91" s="9"/>
      <c r="U91" s="9"/>
      <c r="V91" s="9"/>
      <c r="W91" s="9"/>
      <c r="X91" s="9"/>
      <c r="Y91" s="9"/>
      <c r="Z91" s="9"/>
    </row>
    <row r="92" spans="1:169" outlineLevel="1" x14ac:dyDescent="0.4">
      <c r="A92" t="s">
        <v>694</v>
      </c>
      <c r="B92" t="s">
        <v>616</v>
      </c>
      <c r="C92" t="s">
        <v>681</v>
      </c>
      <c r="D92" s="9"/>
      <c r="E92" s="9"/>
      <c r="F92" s="9"/>
      <c r="G92" s="9"/>
      <c r="H92" s="9"/>
      <c r="I92" s="9"/>
      <c r="J92" s="9"/>
      <c r="K92" s="9"/>
      <c r="L92" s="9"/>
      <c r="M92" s="9"/>
      <c r="N92" s="9"/>
      <c r="O92" s="9"/>
      <c r="P92" s="9"/>
      <c r="Q92" s="9"/>
      <c r="R92" s="9"/>
      <c r="S92" s="9"/>
      <c r="T92" s="9"/>
      <c r="U92" s="9"/>
      <c r="V92" s="9"/>
      <c r="W92" s="9"/>
      <c r="X92" s="9"/>
      <c r="Y92" s="9"/>
      <c r="Z92" s="9"/>
    </row>
    <row r="93" spans="1:169" outlineLevel="1" x14ac:dyDescent="0.4">
      <c r="A93" t="s">
        <v>695</v>
      </c>
      <c r="B93" t="s">
        <v>617</v>
      </c>
      <c r="C93" t="s">
        <v>681</v>
      </c>
      <c r="D93" s="9"/>
      <c r="E93" s="9"/>
      <c r="F93" s="9"/>
      <c r="G93" s="9"/>
      <c r="H93" s="9"/>
      <c r="I93" s="9"/>
      <c r="J93" s="9"/>
      <c r="K93" s="9"/>
      <c r="L93" s="9"/>
      <c r="M93" s="9"/>
      <c r="N93" s="9"/>
      <c r="O93" s="9"/>
      <c r="P93" s="9"/>
      <c r="Q93" s="9"/>
      <c r="R93" s="9"/>
      <c r="S93" s="9"/>
      <c r="T93" s="9"/>
      <c r="U93" s="9"/>
      <c r="V93" s="9"/>
      <c r="W93" s="9"/>
      <c r="X93" s="9"/>
      <c r="Y93" s="9"/>
      <c r="Z93" s="9"/>
    </row>
    <row r="94" spans="1:169" outlineLevel="1" x14ac:dyDescent="0.4">
      <c r="A94" t="s">
        <v>696</v>
      </c>
      <c r="B94" t="s">
        <v>650</v>
      </c>
      <c r="C94" t="s">
        <v>681</v>
      </c>
      <c r="D94" s="9"/>
      <c r="E94" s="9"/>
      <c r="F94" s="9"/>
      <c r="G94" s="9"/>
      <c r="H94" s="9"/>
      <c r="I94" s="9"/>
      <c r="J94" s="9"/>
      <c r="K94" s="9"/>
      <c r="L94" s="9"/>
      <c r="M94" s="9"/>
      <c r="N94" s="9"/>
      <c r="O94" s="9"/>
      <c r="P94" s="9"/>
      <c r="Q94" s="9"/>
      <c r="R94" s="9"/>
      <c r="S94" s="9"/>
      <c r="T94" s="9"/>
      <c r="U94" s="9"/>
      <c r="V94" s="9"/>
      <c r="W94" s="9"/>
      <c r="X94" s="9"/>
      <c r="Y94" s="9"/>
      <c r="Z94" s="9"/>
    </row>
    <row r="95" spans="1:169" outlineLevel="1" x14ac:dyDescent="0.4">
      <c r="A95" t="s">
        <v>697</v>
      </c>
      <c r="B95" t="s">
        <v>619</v>
      </c>
      <c r="C95" t="s">
        <v>681</v>
      </c>
      <c r="D95" s="9"/>
      <c r="E95" s="9"/>
      <c r="F95" s="9"/>
      <c r="G95" s="9"/>
      <c r="H95" s="9"/>
      <c r="I95" s="9"/>
      <c r="J95" s="9"/>
      <c r="K95" s="9"/>
      <c r="L95" s="9"/>
      <c r="M95" s="9"/>
      <c r="N95" s="9"/>
      <c r="O95" s="9"/>
      <c r="P95" s="9"/>
      <c r="Q95" s="9"/>
      <c r="R95" s="9"/>
      <c r="S95" s="9"/>
      <c r="T95" s="9"/>
      <c r="U95" s="9"/>
      <c r="V95" s="9"/>
      <c r="W95" s="9"/>
      <c r="X95" s="9"/>
      <c r="Y95" s="9"/>
      <c r="Z95" s="9"/>
    </row>
    <row r="96" spans="1:169" outlineLevel="1" x14ac:dyDescent="0.4">
      <c r="A96" t="s">
        <v>698</v>
      </c>
      <c r="B96" t="s">
        <v>621</v>
      </c>
      <c r="C96" t="s">
        <v>681</v>
      </c>
      <c r="D96" s="9"/>
      <c r="E96" s="9"/>
      <c r="F96" s="9"/>
      <c r="G96" s="9"/>
      <c r="H96" s="9"/>
      <c r="I96" s="9"/>
      <c r="J96" s="9"/>
      <c r="K96" s="9"/>
      <c r="L96" s="9"/>
      <c r="M96" s="9"/>
      <c r="N96" s="9"/>
      <c r="O96" s="9"/>
      <c r="P96" s="9"/>
      <c r="Q96" s="9"/>
      <c r="R96" s="9"/>
      <c r="S96" s="9"/>
      <c r="T96" s="9"/>
      <c r="U96" s="9"/>
      <c r="V96" s="9"/>
      <c r="W96" s="9"/>
      <c r="X96" s="9"/>
      <c r="Y96" s="9"/>
      <c r="Z96" s="9"/>
    </row>
    <row r="97" spans="1:26" outlineLevel="1" x14ac:dyDescent="0.4">
      <c r="A97" t="s">
        <v>699</v>
      </c>
      <c r="B97" t="s">
        <v>620</v>
      </c>
      <c r="C97" t="s">
        <v>681</v>
      </c>
      <c r="D97" s="9"/>
      <c r="E97" s="9"/>
      <c r="F97" s="9"/>
      <c r="G97" s="9"/>
      <c r="H97" s="9"/>
      <c r="I97" s="9"/>
      <c r="J97" s="9"/>
      <c r="K97" s="9"/>
      <c r="L97" s="9"/>
      <c r="M97" s="9"/>
      <c r="N97" s="9"/>
      <c r="O97" s="9"/>
      <c r="P97" s="9"/>
      <c r="Q97" s="9"/>
      <c r="R97" s="9"/>
      <c r="S97" s="9"/>
      <c r="T97" s="9"/>
      <c r="U97" s="9"/>
      <c r="V97" s="9"/>
      <c r="W97" s="9"/>
      <c r="X97" s="9"/>
      <c r="Y97" s="9"/>
      <c r="Z97" s="9"/>
    </row>
    <row r="98" spans="1:26" outlineLevel="1" x14ac:dyDescent="0.4">
      <c r="A98" t="s">
        <v>690</v>
      </c>
      <c r="B98" t="s">
        <v>701</v>
      </c>
      <c r="C98" t="s">
        <v>682</v>
      </c>
      <c r="D98" s="9"/>
      <c r="E98" s="9"/>
      <c r="F98" s="9"/>
      <c r="G98" s="9"/>
      <c r="H98" s="9"/>
      <c r="I98" s="9"/>
      <c r="J98" s="9"/>
      <c r="K98" s="9"/>
      <c r="L98" s="9"/>
      <c r="M98" s="9"/>
      <c r="N98" s="9"/>
      <c r="O98" s="9"/>
      <c r="P98" s="9"/>
      <c r="Q98" s="9"/>
      <c r="R98" s="9"/>
      <c r="S98" s="9"/>
      <c r="T98" s="9"/>
      <c r="U98" s="9"/>
      <c r="V98" s="9"/>
      <c r="W98" s="9"/>
      <c r="X98" s="9"/>
      <c r="Y98" s="9"/>
      <c r="Z98" s="9"/>
    </row>
    <row r="99" spans="1:26" outlineLevel="1" x14ac:dyDescent="0.4">
      <c r="A99" t="s">
        <v>700</v>
      </c>
      <c r="B99" t="s">
        <v>702</v>
      </c>
      <c r="C99" t="s">
        <v>682</v>
      </c>
      <c r="D99" s="9"/>
      <c r="E99" s="9"/>
      <c r="F99" s="9"/>
      <c r="G99" s="9"/>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629</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t="str">
        <f t="shared" ref="D106:D115" si="0">IFERROR(D160/D$34*100,"")</f>
        <v/>
      </c>
      <c r="E106" s="4" t="str">
        <f t="shared" ref="E106:K106" si="1">IFERROR(E160/E$34*100,"")</f>
        <v/>
      </c>
      <c r="F106" s="4" t="str">
        <f t="shared" si="1"/>
        <v/>
      </c>
      <c r="G106" s="4" t="str">
        <f t="shared" si="1"/>
        <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t="str">
        <f t="shared" si="0"/>
        <v/>
      </c>
      <c r="E107" s="4" t="str">
        <f t="shared" ref="E107:K107" si="3">IFERROR(E161/E$34*100,"")</f>
        <v/>
      </c>
      <c r="F107" s="4" t="str">
        <f t="shared" si="3"/>
        <v/>
      </c>
      <c r="G107" s="4" t="str">
        <f t="shared" si="3"/>
        <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t="str">
        <f t="shared" si="0"/>
        <v/>
      </c>
      <c r="E108" s="4" t="str">
        <f t="shared" ref="E108:K108" si="6">IFERROR(E162/E$34*100,"")</f>
        <v/>
      </c>
      <c r="F108" s="4" t="str">
        <f t="shared" si="6"/>
        <v/>
      </c>
      <c r="G108" s="4" t="str">
        <f t="shared" si="6"/>
        <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t="str">
        <f t="shared" si="0"/>
        <v/>
      </c>
      <c r="E109" s="4" t="str">
        <f t="shared" ref="E109:K109" si="9">IFERROR(E163/E$34*100,"")</f>
        <v/>
      </c>
      <c r="F109" s="4" t="str">
        <f t="shared" si="9"/>
        <v/>
      </c>
      <c r="G109" s="4" t="str">
        <f t="shared" si="9"/>
        <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t="str">
        <f t="shared" si="0"/>
        <v/>
      </c>
      <c r="E110" s="4" t="str">
        <f t="shared" ref="E110:K110" si="12">IFERROR(E164/E$34*100,"")</f>
        <v/>
      </c>
      <c r="F110" s="4" t="str">
        <f t="shared" si="12"/>
        <v/>
      </c>
      <c r="G110" s="4" t="str">
        <f t="shared" si="12"/>
        <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t="str">
        <f t="shared" si="0"/>
        <v/>
      </c>
      <c r="E111" s="4" t="str">
        <f t="shared" ref="E111:K111" si="15">IFERROR(E165/E$34*100,"")</f>
        <v/>
      </c>
      <c r="F111" s="4" t="str">
        <f t="shared" si="15"/>
        <v/>
      </c>
      <c r="G111" s="4" t="str">
        <f t="shared" si="15"/>
        <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t="str">
        <f t="shared" si="0"/>
        <v/>
      </c>
      <c r="E112" s="4" t="str">
        <f t="shared" ref="E112:K112" si="18">IFERROR(E166/E$34*100,"")</f>
        <v/>
      </c>
      <c r="F112" s="4" t="str">
        <f t="shared" si="18"/>
        <v/>
      </c>
      <c r="G112" s="4" t="str">
        <f t="shared" si="18"/>
        <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t="str">
        <f t="shared" si="0"/>
        <v/>
      </c>
      <c r="E113" s="4" t="str">
        <f t="shared" ref="E113:K113" si="21">IFERROR(E167/E$34*100,"")</f>
        <v/>
      </c>
      <c r="F113" s="4" t="str">
        <f t="shared" si="21"/>
        <v/>
      </c>
      <c r="G113" s="4" t="str">
        <f t="shared" si="21"/>
        <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t="str">
        <f t="shared" si="0"/>
        <v/>
      </c>
      <c r="E114" s="4" t="str">
        <f t="shared" ref="E114:K114" si="24">IFERROR(E168/E$34*100,"")</f>
        <v/>
      </c>
      <c r="F114" s="4" t="str">
        <f t="shared" si="24"/>
        <v/>
      </c>
      <c r="G114" s="4" t="str">
        <f t="shared" si="24"/>
        <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t="str">
        <f t="shared" si="0"/>
        <v/>
      </c>
      <c r="E115" s="4" t="str">
        <f t="shared" ref="E115:K115" si="27">IFERROR(E169/E$34*100,"")</f>
        <v/>
      </c>
      <c r="F115" s="4" t="str">
        <f t="shared" si="27"/>
        <v/>
      </c>
      <c r="G115" s="4" t="str">
        <f t="shared" si="27"/>
        <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t="str">
        <f>IFERROR(D171/D$34*100,"")</f>
        <v/>
      </c>
      <c r="E116" s="4" t="str">
        <f t="shared" ref="E116:K116" si="30">IFERROR(E171/E$34*100,"")</f>
        <v/>
      </c>
      <c r="F116" s="4" t="str">
        <f t="shared" si="30"/>
        <v/>
      </c>
      <c r="G116" s="4" t="str">
        <f t="shared" si="30"/>
        <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t="str">
        <f t="shared" ref="D118:D129" si="34">IFERROR(D173/D$34*100,"")</f>
        <v/>
      </c>
      <c r="E118" s="4" t="str">
        <f t="shared" ref="E118:K118" si="35">IFERROR(E173/E$34*100,"")</f>
        <v/>
      </c>
      <c r="F118" s="4" t="str">
        <f t="shared" si="35"/>
        <v/>
      </c>
      <c r="G118" s="4" t="str">
        <f t="shared" si="35"/>
        <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t="str">
        <f t="shared" si="34"/>
        <v/>
      </c>
      <c r="E119" s="4" t="str">
        <f t="shared" ref="E119:K119" si="37">IFERROR(E174/E$34*100,"")</f>
        <v/>
      </c>
      <c r="F119" s="4" t="str">
        <f t="shared" si="37"/>
        <v/>
      </c>
      <c r="G119" s="4" t="str">
        <f t="shared" si="37"/>
        <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t="str">
        <f t="shared" si="34"/>
        <v/>
      </c>
      <c r="E120" s="4" t="str">
        <f t="shared" ref="E120:K120" si="40">IFERROR(E175/E$34*100,"")</f>
        <v/>
      </c>
      <c r="F120" s="4" t="str">
        <f t="shared" si="40"/>
        <v/>
      </c>
      <c r="G120" s="4" t="str">
        <f t="shared" si="40"/>
        <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t="str">
        <f t="shared" si="34"/>
        <v/>
      </c>
      <c r="E121" s="4" t="str">
        <f t="shared" ref="E121:K121" si="43">IFERROR(E176/E$34*100,"")</f>
        <v/>
      </c>
      <c r="F121" s="4" t="str">
        <f t="shared" si="43"/>
        <v/>
      </c>
      <c r="G121" s="4" t="str">
        <f t="shared" si="43"/>
        <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t="str">
        <f t="shared" si="34"/>
        <v/>
      </c>
      <c r="E122" s="4" t="str">
        <f t="shared" ref="E122:K122" si="46">IFERROR(E177/E$34*100,"")</f>
        <v/>
      </c>
      <c r="F122" s="4" t="str">
        <f t="shared" si="46"/>
        <v/>
      </c>
      <c r="G122" s="4" t="str">
        <f t="shared" si="46"/>
        <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t="str">
        <f t="shared" si="34"/>
        <v/>
      </c>
      <c r="E123" s="4" t="str">
        <f t="shared" ref="E123:K123" si="49">IFERROR(E178/E$34*100,"")</f>
        <v/>
      </c>
      <c r="F123" s="4" t="str">
        <f t="shared" si="49"/>
        <v/>
      </c>
      <c r="G123" s="4" t="str">
        <f t="shared" si="49"/>
        <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t="str">
        <f t="shared" si="34"/>
        <v/>
      </c>
      <c r="E124" s="4" t="str">
        <f t="shared" ref="E124:K124" si="52">IFERROR(E179/E$34*100,"")</f>
        <v/>
      </c>
      <c r="F124" s="4" t="str">
        <f t="shared" si="52"/>
        <v/>
      </c>
      <c r="G124" s="4" t="str">
        <f t="shared" si="52"/>
        <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t="str">
        <f t="shared" si="34"/>
        <v/>
      </c>
      <c r="E125" s="4" t="str">
        <f t="shared" ref="E125:K125" si="55">IFERROR(E180/E$34*100,"")</f>
        <v/>
      </c>
      <c r="F125" s="4" t="str">
        <f t="shared" si="55"/>
        <v/>
      </c>
      <c r="G125" s="4" t="str">
        <f t="shared" si="55"/>
        <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t="str">
        <f t="shared" si="34"/>
        <v/>
      </c>
      <c r="E126" s="4" t="str">
        <f t="shared" ref="E126:K126" si="58">IFERROR(E181/E$34*100,"")</f>
        <v/>
      </c>
      <c r="F126" s="4" t="str">
        <f t="shared" si="58"/>
        <v/>
      </c>
      <c r="G126" s="4" t="str">
        <f t="shared" si="58"/>
        <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t="str">
        <f t="shared" si="34"/>
        <v/>
      </c>
      <c r="E127" s="4" t="str">
        <f t="shared" ref="E127:K127" si="61">IFERROR(E182/E$34*100,"")</f>
        <v/>
      </c>
      <c r="F127" s="4" t="str">
        <f t="shared" si="61"/>
        <v/>
      </c>
      <c r="G127" s="4" t="str">
        <f t="shared" si="61"/>
        <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t="str">
        <f t="shared" si="34"/>
        <v/>
      </c>
      <c r="E128" s="4" t="str">
        <f t="shared" ref="E128:K128" si="64">IFERROR(E183/E$34*100,"")</f>
        <v/>
      </c>
      <c r="F128" s="4" t="str">
        <f t="shared" si="64"/>
        <v/>
      </c>
      <c r="G128" s="4" t="str">
        <f t="shared" si="64"/>
        <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t="str">
        <f t="shared" si="34"/>
        <v/>
      </c>
      <c r="E129" s="4" t="str">
        <f t="shared" ref="E129:K129" si="67">IFERROR(E184/E$34*100,"")</f>
        <v/>
      </c>
      <c r="F129" s="4" t="str">
        <f t="shared" si="67"/>
        <v/>
      </c>
      <c r="G129" s="4" t="str">
        <f t="shared" si="67"/>
        <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t="str">
        <f>IFERROR(D129-D130,"")</f>
        <v/>
      </c>
      <c r="E131" s="4" t="str">
        <f t="shared" ref="E131:K131" si="71">IFERROR(E129-E130,"")</f>
        <v/>
      </c>
      <c r="F131" s="4" t="str">
        <f t="shared" si="71"/>
        <v/>
      </c>
      <c r="G131" s="4" t="str">
        <f t="shared" si="71"/>
        <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623</v>
      </c>
      <c r="C132" t="s">
        <v>832</v>
      </c>
      <c r="D132" s="4" t="str">
        <f>IFERROR(D187/D$34*100,"")</f>
        <v/>
      </c>
      <c r="E132" s="4" t="str">
        <f t="shared" ref="E132:K132" si="78">IFERROR(E187/E$34*100,"")</f>
        <v/>
      </c>
      <c r="F132" s="4" t="str">
        <f t="shared" si="78"/>
        <v/>
      </c>
      <c r="G132" s="4" t="str">
        <f t="shared" si="78"/>
        <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831</v>
      </c>
      <c r="D133" s="4" t="str">
        <f>IFERROR(D188/D$34*100,"")</f>
        <v/>
      </c>
      <c r="E133" s="4" t="str">
        <f t="shared" ref="E133:K133" si="89">IFERROR(E188/E$34*100,"")</f>
        <v/>
      </c>
      <c r="F133" s="4" t="str">
        <f t="shared" si="89"/>
        <v/>
      </c>
      <c r="G133" s="4" t="str">
        <f t="shared" si="89"/>
        <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833</v>
      </c>
      <c r="D134" s="4" t="str">
        <f>IFERROR(D189/D$34*100,"")</f>
        <v/>
      </c>
      <c r="E134" s="4" t="str">
        <f t="shared" ref="E134:K134" si="92">IFERROR(E189/E$34*100,"")</f>
        <v/>
      </c>
      <c r="F134" s="4" t="str">
        <f t="shared" si="92"/>
        <v/>
      </c>
      <c r="G134" s="4" t="str">
        <f t="shared" si="92"/>
        <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t="str">
        <f>IFERROR(D131-D132-D133-D134-D120,"")</f>
        <v/>
      </c>
      <c r="E135" s="4" t="str">
        <f t="shared" ref="E135:K135" si="95">IFERROR(E131-E132-E133-E134-E120,"")</f>
        <v/>
      </c>
      <c r="F135" s="4" t="str">
        <f t="shared" si="95"/>
        <v/>
      </c>
      <c r="G135" s="4" t="str">
        <f t="shared" si="95"/>
        <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t="str">
        <f>IFERROR(D194/D$34*100,"")</f>
        <v/>
      </c>
      <c r="E139" s="4" t="str">
        <f t="shared" ref="E139:K139" si="112">IFERROR(E194/E$34*100,"")</f>
        <v/>
      </c>
      <c r="F139" s="4" t="str">
        <f t="shared" si="112"/>
        <v/>
      </c>
      <c r="G139" s="4" t="str">
        <f t="shared" si="112"/>
        <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t="str">
        <f>IFERROR(D195/D$34*100,"")</f>
        <v/>
      </c>
      <c r="E140" s="4" t="str">
        <f t="shared" ref="E140:K140" si="114">IFERROR(E195/E$34*100,"")</f>
        <v/>
      </c>
      <c r="F140" s="4" t="str">
        <f t="shared" si="114"/>
        <v/>
      </c>
      <c r="G140" s="4" t="str">
        <f t="shared" si="114"/>
        <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624</v>
      </c>
      <c r="D142" s="4">
        <f>IFERROR(D98,"")</f>
        <v>0</v>
      </c>
      <c r="E142" s="4">
        <f t="shared" ref="E142:K142" si="118">IFERROR(E98,"")</f>
        <v>0</v>
      </c>
      <c r="F142" s="4">
        <f t="shared" si="118"/>
        <v>0</v>
      </c>
      <c r="G142" s="4">
        <f t="shared" si="118"/>
        <v>0</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625</v>
      </c>
      <c r="D143" s="4">
        <f>IFERROR(D99,"")</f>
        <v>0</v>
      </c>
      <c r="E143" s="4">
        <f t="shared" ref="E143:K143" si="120">IFERROR(E99,"")</f>
        <v>0</v>
      </c>
      <c r="F143" s="4">
        <f t="shared" si="120"/>
        <v>0</v>
      </c>
      <c r="G143" s="4">
        <f t="shared" si="120"/>
        <v>0</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t="str">
        <f>IFERROR(D200/D$34*100,"")</f>
        <v/>
      </c>
      <c r="E145" s="4" t="str">
        <f t="shared" ref="E145:K145" si="122">IFERROR(E200/E$34*100,"")</f>
        <v/>
      </c>
      <c r="F145" s="4" t="str">
        <f t="shared" si="122"/>
        <v/>
      </c>
      <c r="G145" s="4" t="str">
        <f t="shared" si="122"/>
        <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t="str">
        <f>IFERROR(D201/D$34*100,"")</f>
        <v/>
      </c>
      <c r="E146" s="4" t="str">
        <f t="shared" ref="E146:K146" si="124">IFERROR(E201/E$34*100,"")</f>
        <v/>
      </c>
      <c r="F146" s="4" t="str">
        <f t="shared" si="124"/>
        <v/>
      </c>
      <c r="G146" s="4" t="str">
        <f t="shared" si="124"/>
        <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t="str">
        <f t="shared" ref="D148:D153" si="128">IFERROR(D203/D$34*100,"")</f>
        <v/>
      </c>
      <c r="E148" s="4" t="str">
        <f t="shared" ref="E148:K148" si="129">IFERROR(E203/E$34*100,"")</f>
        <v/>
      </c>
      <c r="F148" s="4" t="str">
        <f t="shared" si="129"/>
        <v/>
      </c>
      <c r="G148" s="4" t="str">
        <f t="shared" si="129"/>
        <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t="str">
        <f t="shared" si="128"/>
        <v/>
      </c>
      <c r="E149" s="4" t="str">
        <f t="shared" ref="E149:K149" si="131">IFERROR(E204/E$34*100,"")</f>
        <v/>
      </c>
      <c r="F149" s="4" t="str">
        <f t="shared" si="131"/>
        <v/>
      </c>
      <c r="G149" s="4" t="str">
        <f t="shared" si="131"/>
        <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t="str">
        <f t="shared" si="128"/>
        <v/>
      </c>
      <c r="E150" s="4" t="str">
        <f t="shared" ref="E150:K150" si="134">IFERROR(E205/E$34*100,"")</f>
        <v/>
      </c>
      <c r="F150" s="4" t="str">
        <f t="shared" si="134"/>
        <v/>
      </c>
      <c r="G150" s="4" t="str">
        <f t="shared" si="134"/>
        <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t="str">
        <f t="shared" si="128"/>
        <v/>
      </c>
      <c r="E151" s="4" t="str">
        <f t="shared" ref="E151:K151" si="137">IFERROR(E206/E$34*100,"")</f>
        <v/>
      </c>
      <c r="F151" s="4" t="str">
        <f t="shared" si="137"/>
        <v/>
      </c>
      <c r="G151" s="4" t="str">
        <f t="shared" si="137"/>
        <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t="str">
        <f t="shared" si="128"/>
        <v/>
      </c>
      <c r="E152" s="4" t="str">
        <f t="shared" ref="E152:K152" si="140">IFERROR(E207/E$34*100,"")</f>
        <v/>
      </c>
      <c r="F152" s="4" t="str">
        <f t="shared" si="140"/>
        <v/>
      </c>
      <c r="G152" s="4" t="str">
        <f t="shared" si="140"/>
        <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t="str">
        <f t="shared" si="128"/>
        <v/>
      </c>
      <c r="E153" s="4" t="str">
        <f t="shared" ref="E153:K153" si="143">IFERROR(E208/E$34*100,"")</f>
        <v/>
      </c>
      <c r="F153" s="4" t="str">
        <f t="shared" si="143"/>
        <v/>
      </c>
      <c r="G153" s="4" t="str">
        <f t="shared" si="143"/>
        <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630</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0</v>
      </c>
      <c r="E160" s="9">
        <f t="shared" si="147"/>
        <v>0</v>
      </c>
      <c r="F160" s="9">
        <f t="shared" ref="F160:K160" si="148">F50</f>
        <v>0</v>
      </c>
      <c r="G160" s="9">
        <f t="shared" si="148"/>
        <v>0</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0</v>
      </c>
      <c r="E161" s="9">
        <f t="shared" si="150"/>
        <v>0</v>
      </c>
      <c r="F161" s="9">
        <f t="shared" ref="F161:K161" si="151">F55</f>
        <v>0</v>
      </c>
      <c r="G161" s="9">
        <f t="shared" si="151"/>
        <v>0</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0</v>
      </c>
      <c r="E162" s="9">
        <f t="shared" si="153"/>
        <v>0</v>
      </c>
      <c r="F162" s="9">
        <f t="shared" ref="F162:K162" si="154">F70</f>
        <v>0</v>
      </c>
      <c r="G162" s="9">
        <f t="shared" si="154"/>
        <v>0</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0</v>
      </c>
      <c r="E163" s="9">
        <f t="shared" si="156"/>
        <v>0</v>
      </c>
      <c r="F163" s="9">
        <f t="shared" ref="F163:K163" si="157">(F85+F86+F87)+F67+F53+F57</f>
        <v>0</v>
      </c>
      <c r="G163" s="9">
        <f t="shared" si="157"/>
        <v>0</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0</v>
      </c>
      <c r="E164" s="9">
        <f t="shared" si="159"/>
        <v>0</v>
      </c>
      <c r="F164" s="9">
        <f t="shared" ref="F164:K164" si="160">F73</f>
        <v>0</v>
      </c>
      <c r="G164" s="9">
        <f t="shared" si="160"/>
        <v>0</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0</v>
      </c>
      <c r="E165" s="9">
        <f t="shared" si="162"/>
        <v>0</v>
      </c>
      <c r="F165" s="9">
        <f t="shared" ref="F165:K165" si="163">F74+F77</f>
        <v>0</v>
      </c>
      <c r="G165" s="9">
        <f t="shared" si="163"/>
        <v>0</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0</v>
      </c>
      <c r="E166" s="9">
        <f t="shared" si="165"/>
        <v>0</v>
      </c>
      <c r="F166" s="9">
        <f t="shared" ref="F166:K166" si="166">F160+F161+F162+F163+F164+F165</f>
        <v>0</v>
      </c>
      <c r="G166" s="9">
        <f t="shared" si="166"/>
        <v>0</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0</v>
      </c>
      <c r="E167" s="9">
        <f t="shared" si="168"/>
        <v>0</v>
      </c>
      <c r="F167" s="9">
        <f t="shared" ref="F167:K167" si="169">SUM(F58+F62)</f>
        <v>0</v>
      </c>
      <c r="G167" s="9">
        <f t="shared" si="169"/>
        <v>0</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0</v>
      </c>
      <c r="E168" s="9">
        <f t="shared" si="171"/>
        <v>0</v>
      </c>
      <c r="F168" s="9">
        <f t="shared" ref="F168:K168" si="172">F166-F167</f>
        <v>0</v>
      </c>
      <c r="G168" s="9">
        <f t="shared" si="172"/>
        <v>0</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834</v>
      </c>
      <c r="D169" s="9">
        <f>D94</f>
        <v>0</v>
      </c>
      <c r="E169" s="9">
        <f t="shared" ref="E169:F169" si="174">E94</f>
        <v>0</v>
      </c>
      <c r="F169" s="9">
        <f t="shared" si="174"/>
        <v>0</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642</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0</v>
      </c>
      <c r="E173" s="9">
        <f t="shared" si="175"/>
        <v>0</v>
      </c>
      <c r="F173" s="9">
        <f t="shared" ref="F173:K173" si="176">F49</f>
        <v>0</v>
      </c>
      <c r="G173" s="9">
        <f t="shared" si="176"/>
        <v>0</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0</v>
      </c>
      <c r="E174" s="9">
        <f t="shared" si="178"/>
        <v>0</v>
      </c>
      <c r="F174" s="9">
        <f t="shared" ref="F174:K174" si="179">F79</f>
        <v>0</v>
      </c>
      <c r="G174" s="9">
        <f t="shared" si="179"/>
        <v>0</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0</v>
      </c>
      <c r="E175" s="9">
        <f t="shared" si="181"/>
        <v>0</v>
      </c>
      <c r="F175" s="9">
        <f t="shared" ref="F175:K175" si="182">F68</f>
        <v>0</v>
      </c>
      <c r="G175" s="9">
        <f t="shared" si="182"/>
        <v>0</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0</v>
      </c>
      <c r="E176" s="9">
        <f t="shared" si="184"/>
        <v>0</v>
      </c>
      <c r="F176" s="9">
        <f t="shared" ref="F176:K176" si="185">F71</f>
        <v>0</v>
      </c>
      <c r="G176" s="9">
        <f t="shared" si="185"/>
        <v>0</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0</v>
      </c>
      <c r="E177" s="9">
        <f t="shared" si="187"/>
        <v>0</v>
      </c>
      <c r="F177" s="9">
        <f t="shared" ref="F177:K177" si="188">F72</f>
        <v>0</v>
      </c>
      <c r="G177" s="9">
        <f t="shared" si="188"/>
        <v>0</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0</v>
      </c>
      <c r="E178" s="9">
        <f t="shared" si="190"/>
        <v>0</v>
      </c>
      <c r="F178" s="9">
        <f t="shared" ref="F178:K178" si="191">F51</f>
        <v>0</v>
      </c>
      <c r="G178" s="9">
        <f t="shared" si="191"/>
        <v>0</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0</v>
      </c>
      <c r="E179" s="9">
        <f t="shared" si="193"/>
        <v>0</v>
      </c>
      <c r="F179" s="9">
        <f t="shared" ref="F179:K179" si="194">F64+(F52-F68)+F54+F56+F59</f>
        <v>0</v>
      </c>
      <c r="G179" s="9">
        <f t="shared" si="194"/>
        <v>0</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0</v>
      </c>
      <c r="E180" s="9">
        <f t="shared" si="196"/>
        <v>0</v>
      </c>
      <c r="F180" s="9">
        <f t="shared" ref="F180:K180" si="197">F83</f>
        <v>0</v>
      </c>
      <c r="G180" s="9">
        <f t="shared" si="197"/>
        <v>0</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0</v>
      </c>
      <c r="E182" s="145">
        <f t="shared" si="199"/>
        <v>0</v>
      </c>
      <c r="F182" s="145">
        <f t="shared" ref="F182:K182" si="200">F60</f>
        <v>0</v>
      </c>
      <c r="G182" s="145">
        <f t="shared" si="200"/>
        <v>0</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0</v>
      </c>
      <c r="E183" s="145">
        <f t="shared" si="202"/>
        <v>0</v>
      </c>
      <c r="F183" s="145">
        <f t="shared" ref="F183:K183" si="203">F84+F78</f>
        <v>0</v>
      </c>
      <c r="G183" s="145">
        <f t="shared" si="203"/>
        <v>0</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0</v>
      </c>
      <c r="E184" s="9">
        <f>E173+E174+E175+E176+E177+E178+E179+E180+E182+E183</f>
        <v>0</v>
      </c>
      <c r="F184" s="9">
        <f t="shared" ref="F184:K184" si="206">F173+F174+F175+F176+F177+F178+F179+F180+F182+F183</f>
        <v>0</v>
      </c>
      <c r="G184" s="9">
        <f t="shared" si="206"/>
        <v>0</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0</v>
      </c>
      <c r="E185">
        <f t="shared" ref="E185:J185" si="208">E167</f>
        <v>0</v>
      </c>
      <c r="F185">
        <f t="shared" si="208"/>
        <v>0</v>
      </c>
      <c r="G185">
        <f t="shared" si="208"/>
        <v>0</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0</v>
      </c>
      <c r="E186" s="9">
        <f t="shared" si="209"/>
        <v>0</v>
      </c>
      <c r="F186" s="9">
        <f t="shared" ref="F186:K186" si="210">F184-F185</f>
        <v>0</v>
      </c>
      <c r="G186" s="9">
        <f t="shared" si="210"/>
        <v>0</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622</v>
      </c>
      <c r="C187" t="s">
        <v>832</v>
      </c>
      <c r="D187" s="9">
        <f>D93</f>
        <v>0</v>
      </c>
      <c r="E187">
        <f t="shared" ref="E187:J187" si="212">E93</f>
        <v>0</v>
      </c>
      <c r="F187">
        <f t="shared" si="212"/>
        <v>0</v>
      </c>
      <c r="G187">
        <f t="shared" si="212"/>
        <v>0</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831</v>
      </c>
      <c r="D188" s="9">
        <f>D96</f>
        <v>0</v>
      </c>
      <c r="E188" s="9">
        <f t="shared" ref="E188:J188" si="213">E96</f>
        <v>0</v>
      </c>
      <c r="F188" s="9">
        <f t="shared" si="213"/>
        <v>0</v>
      </c>
      <c r="G188" s="9">
        <f t="shared" si="213"/>
        <v>0</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833</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0</v>
      </c>
      <c r="E190" s="9">
        <f t="shared" si="216"/>
        <v>0</v>
      </c>
      <c r="F190" s="9">
        <f t="shared" ref="F190:K190" si="217">F186-F187-F188-F189-F175</f>
        <v>0</v>
      </c>
      <c r="G190" s="9">
        <f t="shared" si="217"/>
        <v>0</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611</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0</v>
      </c>
      <c r="E194" s="6">
        <f t="shared" si="219"/>
        <v>0</v>
      </c>
      <c r="F194" s="6">
        <f t="shared" ref="F194:K194" si="220">F166-F184</f>
        <v>0</v>
      </c>
      <c r="G194" s="6">
        <f t="shared" si="220"/>
        <v>0</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0</v>
      </c>
      <c r="E195" s="6">
        <f t="shared" si="222"/>
        <v>0</v>
      </c>
      <c r="F195" s="6">
        <f t="shared" ref="F195:K195" si="223">F194-F175</f>
        <v>0</v>
      </c>
      <c r="G195" s="6">
        <f t="shared" si="223"/>
        <v>0</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624</v>
      </c>
      <c r="R197" s="1"/>
      <c r="S197" s="1"/>
      <c r="T197" s="1"/>
      <c r="U197" s="1"/>
      <c r="V197" s="1"/>
      <c r="W197" s="1"/>
      <c r="X197" s="1"/>
      <c r="Y197" s="1"/>
      <c r="Z197" s="1"/>
    </row>
    <row r="198" spans="1:26" outlineLevel="1" x14ac:dyDescent="0.4">
      <c r="A198" s="1">
        <v>34</v>
      </c>
      <c r="B198" t="s">
        <v>3</v>
      </c>
      <c r="C198" t="s">
        <v>625</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0</v>
      </c>
      <c r="E200" s="9">
        <f t="shared" si="225"/>
        <v>0</v>
      </c>
      <c r="F200" s="9">
        <f t="shared" ref="F200:K200" si="226">F88</f>
        <v>0</v>
      </c>
      <c r="G200" s="9">
        <f t="shared" si="226"/>
        <v>0</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0</v>
      </c>
      <c r="F201" s="9">
        <f t="shared" ref="F201" si="228">F200-E200</f>
        <v>0</v>
      </c>
      <c r="G201" s="9">
        <f t="shared" ref="G201" si="229">G200-F200</f>
        <v>0</v>
      </c>
      <c r="H201" s="9">
        <f t="shared" ref="H201" si="230">H200-G200</f>
        <v>0</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0</v>
      </c>
      <c r="E203" s="9">
        <f t="shared" si="248"/>
        <v>0</v>
      </c>
      <c r="F203" s="9">
        <f t="shared" ref="F203:K203" si="249">-F195</f>
        <v>0</v>
      </c>
      <c r="G203" s="9">
        <f t="shared" si="249"/>
        <v>0</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0</v>
      </c>
      <c r="E205" s="9">
        <f t="shared" si="251"/>
        <v>0</v>
      </c>
      <c r="F205" s="9">
        <f t="shared" ref="F205:K205" si="252">F175</f>
        <v>0</v>
      </c>
      <c r="G205" s="9">
        <f t="shared" si="252"/>
        <v>0</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0</v>
      </c>
      <c r="E208" s="9">
        <f t="shared" si="254"/>
        <v>0</v>
      </c>
      <c r="F208" s="9">
        <f t="shared" ref="F208:K208" si="255">F201-F203-F204</f>
        <v>0</v>
      </c>
      <c r="G208" s="9">
        <f t="shared" si="255"/>
        <v>0</v>
      </c>
      <c r="H208" s="9">
        <f t="shared" si="255"/>
        <v>0</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111" priority="14">
      <formula>ISNUMBER(D$33)</formula>
    </cfRule>
  </conditionalFormatting>
  <conditionalFormatting sqref="E4:Q4 V4:AC4">
    <cfRule type="expression" dxfId="110" priority="13">
      <formula>ISNUMBER(E4)</formula>
    </cfRule>
  </conditionalFormatting>
  <conditionalFormatting sqref="F5:Q5 W5:AC5">
    <cfRule type="expression" dxfId="109" priority="12">
      <formula>F4&lt;&gt;""</formula>
    </cfRule>
  </conditionalFormatting>
  <conditionalFormatting sqref="E27:Q27">
    <cfRule type="expression" dxfId="108" priority="11">
      <formula>ISNUMBER(E4)</formula>
    </cfRule>
  </conditionalFormatting>
  <conditionalFormatting sqref="AT49:AU49 AT58:AU58 AT62:AU62 AT84:AU84 AT88:AU90 AT45:AU47">
    <cfRule type="expression" dxfId="107" priority="139">
      <formula>ISNUMBER(#REF!)</formula>
    </cfRule>
  </conditionalFormatting>
  <conditionalFormatting sqref="F103:Q105 F117:Q168 F170:Q210">
    <cfRule type="expression" dxfId="106" priority="5">
      <formula>NOT(ISNUMBER(F$103))</formula>
    </cfRule>
  </conditionalFormatting>
  <conditionalFormatting sqref="E5">
    <cfRule type="expression" dxfId="105" priority="4">
      <formula>ISNUMBER(E4)</formula>
    </cfRule>
  </conditionalFormatting>
  <conditionalFormatting sqref="V5">
    <cfRule type="expression" dxfId="104" priority="3">
      <formula>ISNUMBER(V4)</formula>
    </cfRule>
  </conditionalFormatting>
  <conditionalFormatting sqref="R35:Z100">
    <cfRule type="expression" dxfId="103" priority="1027">
      <formula>ISNUMBER(R$34)</formula>
    </cfRule>
  </conditionalFormatting>
  <conditionalFormatting sqref="R28:Z28">
    <cfRule type="expression" dxfId="102" priority="1029">
      <formula>ISNUMBER(R4)</formula>
    </cfRule>
  </conditionalFormatting>
  <conditionalFormatting sqref="R104:Z106 R118:Z169 R171:Z211">
    <cfRule type="expression" dxfId="101" priority="1031">
      <formula>NOT(ISNUMBER(R$104))</formula>
    </cfRule>
  </conditionalFormatting>
  <conditionalFormatting sqref="V6:AD9">
    <cfRule type="expression" dxfId="100" priority="2">
      <formula>ISNUMBER(V$4)</formula>
    </cfRule>
  </conditionalFormatting>
  <conditionalFormatting sqref="V10:AC10">
    <cfRule type="expression" dxfId="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872</v>
      </c>
    </row>
    <row r="2" spans="2:16" ht="13.5" customHeight="1" x14ac:dyDescent="0.4"/>
    <row r="3" spans="2:16" ht="13.5" customHeight="1" x14ac:dyDescent="0.4">
      <c r="B3" s="170"/>
      <c r="C3" s="157"/>
      <c r="F3" s="185" t="s">
        <v>837</v>
      </c>
      <c r="G3" s="169">
        <v>2025</v>
      </c>
    </row>
    <row r="4" spans="2:16" ht="13.5" customHeight="1" x14ac:dyDescent="0.4">
      <c r="B4" s="170"/>
      <c r="C4" s="157"/>
    </row>
    <row r="5" spans="2:16" ht="18" x14ac:dyDescent="0.55000000000000004">
      <c r="B5" s="50" t="str">
        <f>ScenarioName</f>
        <v>Enter scenario name</v>
      </c>
    </row>
    <row r="6" spans="2:16" ht="15.75" x14ac:dyDescent="0.5">
      <c r="B6" s="39" t="s">
        <v>251</v>
      </c>
      <c r="C6" s="94"/>
      <c r="D6" s="44" cm="1">
        <f t="array" ref="D6:F6">_xlfn.SEQUENCE(1, AssessmentEnd-MTP_BaseYear+1, MTP_BaseYear)</f>
        <v>2023</v>
      </c>
      <c r="E6" s="44">
        <v>2024</v>
      </c>
      <c r="F6" s="44">
        <v>2025</v>
      </c>
      <c r="G6" s="44"/>
      <c r="H6" s="44"/>
      <c r="I6" s="44"/>
      <c r="J6" s="44"/>
      <c r="O6" s="79" t="s">
        <v>825</v>
      </c>
      <c r="P6" s="7"/>
    </row>
    <row r="7" spans="2:16" x14ac:dyDescent="0.4">
      <c r="B7" s="41" t="s">
        <v>274</v>
      </c>
      <c r="C7" s="19"/>
      <c r="D7" s="47" t="str" cm="1">
        <f t="array" ref="D7:F7">IF(
  AND(_xlfn.ANCHORARRAY(D6)&gt;=MTP_YearT-1,_xlfn.ANCHORARRAY( D6)&lt;=MTP_EndYear),
  CHOOSE(SIGN(_xlfn.ANCHORARRAY(D6)-MTP_YearT)+2, "T-1", "T", "T+"&amp;(_xlfn.ANCHORARRAY(D6)-MTP_YearT)),
  ""
)</f>
        <v>T-1</v>
      </c>
      <c r="E7" s="47" t="str">
        <v>T</v>
      </c>
      <c r="F7" s="47" t="str">
        <v>T+1</v>
      </c>
      <c r="G7" s="47"/>
      <c r="H7" s="47"/>
      <c r="I7" s="47"/>
      <c r="J7" s="47"/>
      <c r="O7" t="s">
        <v>822</v>
      </c>
      <c r="P7" s="180" t="s">
        <v>824</v>
      </c>
    </row>
    <row r="8" spans="2:16" x14ac:dyDescent="0.4">
      <c r="B8" s="59" t="s">
        <v>257</v>
      </c>
      <c r="C8" s="44" t="s">
        <v>6</v>
      </c>
      <c r="D8" s="167">
        <f>IF(ISNUMBER(D$6),IF(AND(D$6&gt;=MTP_BaseYear,D$6&lt;=OutturnThrough),'Step 2 - Update outturn data'!E6,INDEX($D$59:$J$59,MATCH(D$6,$D$34:$J$34,0))/100*D$29),"")</f>
        <v>0</v>
      </c>
      <c r="E8" s="167">
        <f>IF(ISNUMBER(E$6),IF(AND(E$6&gt;=MTP_BaseYear,E$6&lt;=OutturnThrough),'Step 2 - Update outturn data'!F6,INDEX($D$59:$J$59,MATCH(E$6,$D$34:$J$34,0))/100*E$29),"")</f>
        <v>0</v>
      </c>
      <c r="F8" s="167">
        <f>IF(ISNUMBER(F$6),IF(AND(F$6&gt;=MTP_BaseYear,F$6&lt;=OutturnThrough),'Step 2 - Update outturn data'!G6,INDEX($D$59:$J$59,MATCH(F$6,$D$34:$J$34,0))/100*F$29),"")</f>
        <v>0</v>
      </c>
      <c r="G8" s="167" t="str">
        <f>IF(ISNUMBER(G$6),IF(AND(G$6&gt;=MTP_BaseYear,G$6&lt;=OutturnThrough),'Step 2 - Update outturn data'!H6,INDEX($D$59:$J$59,MATCH(G$6,$D$34:$J$34,0))/100*G$29),"")</f>
        <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823</v>
      </c>
      <c r="P8" s="180" t="s">
        <v>824</v>
      </c>
    </row>
    <row r="9" spans="2:16" x14ac:dyDescent="0.4">
      <c r="B9" s="59" t="s">
        <v>25</v>
      </c>
      <c r="C9" s="44" t="s">
        <v>6</v>
      </c>
      <c r="D9" s="167">
        <f>IF(ISNUMBER(D$6),IF(AND(D$6&gt;=MTP_BaseYear,D$6&lt;=OutturnThrough),'Step 2 - Update outturn data'!E7,INDEX($D$50:$J$50,MATCH(D$6,$D$34:$J$34,0))/100*D$29),"")</f>
        <v>0</v>
      </c>
      <c r="E9" s="167">
        <f>IF(ISNUMBER(E$6),IF(AND(E$6&gt;=MTP_BaseYear,E$6&lt;=OutturnThrough),'Step 2 - Update outturn data'!F7,INDEX($D$50:$J$50,MATCH(E$6,$D$34:$J$34,0))/100*E$29),"")</f>
        <v>0</v>
      </c>
      <c r="F9" s="167">
        <f>IF(ISNUMBER(F$6),IF(AND(F$6&gt;=MTP_BaseYear,F$6&lt;=OutturnThrough),'Step 2 - Update outturn data'!G7,INDEX($D$50:$J$50,MATCH(F$6,$D$34:$J$34,0))/100*F$29),"")</f>
        <v>0</v>
      </c>
      <c r="G9" s="167" t="str">
        <f>IF(ISNUMBER(G$6),IF(AND(G$6&gt;=MTP_BaseYear,G$6&lt;=OutturnThrough),'Step 2 - Update outturn data'!H7,INDEX($D$50:$J$50,MATCH(G$6,$D$34:$J$34,0))/100*G$29),"")</f>
        <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813</v>
      </c>
      <c r="P9" s="180">
        <v>2023</v>
      </c>
    </row>
    <row r="10" spans="2:16" x14ac:dyDescent="0.4">
      <c r="B10" s="59" t="s">
        <v>276</v>
      </c>
      <c r="C10" s="44" t="s">
        <v>6</v>
      </c>
      <c r="D10" s="167">
        <f>IF(ISNUMBER(D$6),IF(AND(D$6&gt;=MTP_BaseYear,D$6&lt;=OutturnThrough),'Step 2 - Update outturn data'!E8,INDEX($D$63:$J$63,MATCH(D$6,$D$34:$J$34,0))/100*D$29),"")</f>
        <v>0</v>
      </c>
      <c r="E10" s="167">
        <f>IF(ISNUMBER(E$6),IF(AND(E$6&gt;=MTP_BaseYear,E$6&lt;=OutturnThrough),'Step 2 - Update outturn data'!F8,INDEX($D$63:$J$63,MATCH(E$6,$D$34:$J$34,0))/100*E$29),"")</f>
        <v>0</v>
      </c>
      <c r="F10" s="167">
        <f>IF(ISNUMBER(F$6),IF(AND(F$6&gt;=MTP_BaseYear,F$6&lt;=OutturnThrough),'Step 2 - Update outturn data'!G8,INDEX($D$63:$J$63,MATCH(F$6,$D$34:$J$34,0))/100*F$29),"")</f>
        <v>0</v>
      </c>
      <c r="G10" s="167" t="str">
        <f>IF(ISNUMBER(G$6),IF(AND(G$6&gt;=MTP_BaseYear,G$6&lt;=OutturnThrough),'Step 2 - Update outturn data'!H8,INDEX($D$63:$J$63,MATCH(G$6,$D$34:$J$34,0))/100*G$29),"")</f>
        <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817</v>
      </c>
      <c r="P10" s="180" t="s">
        <v>818</v>
      </c>
    </row>
    <row r="11" spans="2:16" x14ac:dyDescent="0.4">
      <c r="B11" s="59" t="s">
        <v>277</v>
      </c>
      <c r="C11" s="44" t="s">
        <v>6</v>
      </c>
      <c r="D11" s="167">
        <f>IF(ISNUMBER(D$6),IF(AND(D$6&gt;=MTP_BaseYear,D$6&lt;=OutturnThrough),'Step 2 - Update outturn data'!E9,INDEX($D$60:$J$60,MATCH(D$6,$D$34:$J$34,0))/100*D$29),"")</f>
        <v>0</v>
      </c>
      <c r="E11" s="167">
        <f>IF(ISNUMBER(E$6),IF(AND(E$6&gt;=MTP_BaseYear,E$6&lt;=OutturnThrough),'Step 2 - Update outturn data'!F9,INDEX($D$60:$J$60,MATCH(E$6,$D$34:$J$34,0))/100*E$29),"")</f>
        <v>0</v>
      </c>
      <c r="F11" s="167">
        <f>IF(ISNUMBER(F$6),IF(AND(F$6&gt;=MTP_BaseYear,F$6&lt;=OutturnThrough),'Step 2 - Update outturn data'!G9,INDEX($D$60:$J$60,MATCH(F$6,$D$34:$J$34,0))/100*F$29),"")</f>
        <v>0</v>
      </c>
      <c r="G11" s="167" t="str">
        <f>IF(ISNUMBER(G$6),IF(AND(G$6&gt;=MTP_BaseYear,G$6&lt;=OutturnThrough),'Step 2 - Update outturn data'!H9,INDEX($D$60:$J$60,MATCH(G$6,$D$34:$J$34,0))/100*G$29),"")</f>
        <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816</v>
      </c>
      <c r="P11" s="180" t="s">
        <v>819</v>
      </c>
    </row>
    <row r="12" spans="2:16" x14ac:dyDescent="0.4">
      <c r="B12" s="59" t="s">
        <v>278</v>
      </c>
      <c r="C12" s="44" t="s">
        <v>6</v>
      </c>
      <c r="D12" s="167">
        <f>IF(ISNUMBER(D$6),IF(AND(D$6&gt;=MTP_BaseYear,D$6&lt;=OutturnThrough),'Step 2 - Update outturn data'!E10,INDEX($D$62:$J$62,MATCH(D$6,$D$34:$J$34,0))/100*D$29),"")</f>
        <v>0</v>
      </c>
      <c r="E12" s="167">
        <f>IF(ISNUMBER(E$6),IF(AND(E$6&gt;=MTP_BaseYear,E$6&lt;=OutturnThrough),'Step 2 - Update outturn data'!F10,INDEX($D$62:$J$62,MATCH(E$6,$D$34:$J$34,0))/100*E$29),"")</f>
        <v>0</v>
      </c>
      <c r="F12" s="167">
        <f>IF(ISNUMBER(F$6),IF(AND(F$6&gt;=MTP_BaseYear,F$6&lt;=OutturnThrough),'Step 2 - Update outturn data'!G10,INDEX($D$62:$J$62,MATCH(F$6,$D$34:$J$34,0))/100*F$29),"")</f>
        <v>0</v>
      </c>
      <c r="G12" s="167" t="str">
        <f>IF(ISNUMBER(G$6),IF(AND(G$6&gt;=MTP_BaseYear,G$6&lt;=OutturnThrough),'Step 2 - Update outturn data'!H10,INDEX($D$62:$J$62,MATCH(G$6,$D$34:$J$34,0))/100*G$29),"")</f>
        <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821</v>
      </c>
      <c r="P12" s="180">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t="str">
        <f>IF(ISNUMBER(G$6),IF(AND(G$6&gt;=MTP_BaseYear,G$6&lt;=OutturnThrough),'Step 2 - Update outturn data'!H11,INDEX($D$64:$J$64,MATCH(G$6,$D$34:$J$34,0))/100*G$29),"")</f>
        <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820</v>
      </c>
      <c r="P13" s="180">
        <v>60</v>
      </c>
    </row>
    <row r="14" spans="2:16" x14ac:dyDescent="0.4">
      <c r="B14" s="59" t="s">
        <v>307</v>
      </c>
      <c r="C14" s="44" t="s">
        <v>6</v>
      </c>
      <c r="D14" s="167">
        <f>IF(ISNUMBER(D$6),IF(AND(D$6&gt;=MTP_BaseYear,D$6&lt;=OutturnThrough),'Step 2 - Update outturn data'!E12,INDEX($D$65:$J$65,MATCH(D$6,$D$34:$J$34,0))/100*D$29),"")</f>
        <v>0</v>
      </c>
      <c r="E14" s="167">
        <f>IF(ISNUMBER(E$6),IF(AND(E$6&gt;=MTP_BaseYear,E$6&lt;=OutturnThrough),'Step 2 - Update outturn data'!F12,INDEX($D$65:$J$65,MATCH(E$6,$D$34:$J$34,0))/100*E$29),"")</f>
        <v>0</v>
      </c>
      <c r="F14" s="167">
        <f>IF(ISNUMBER(F$6),IF(AND(F$6&gt;=MTP_BaseYear,F$6&lt;=OutturnThrough),'Step 2 - Update outturn data'!G12,INDEX($D$65:$J$65,MATCH(F$6,$D$34:$J$34,0))/100*F$29),"")</f>
        <v>0</v>
      </c>
      <c r="G14" s="167" t="str">
        <f>IF(ISNUMBER(G$6),IF(AND(G$6&gt;=MTP_BaseYear,G$6&lt;=OutturnThrough),'Step 2 - Update outturn data'!H12,INDEX($D$65:$J$65,MATCH(G$6,$D$34:$J$34,0))/100*G$29),"")</f>
        <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607</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v>
      </c>
      <c r="F15" s="167">
        <f>IF(ISNUMBER(F$6),IF(AND(F$6&gt;=MTP_BaseYear,F$6&lt;=OutturnThrough),'Step 2 - Update outturn data'!G13,(INDEX($D$45:$J$45,MATCH(F$6,$D$34:$J$34,0))-INDEX($D$46:$J$46,MATCH(F$6,$D$34:$J$34,0)))/100*F$29),"")</f>
        <v>0</v>
      </c>
      <c r="G15" s="167" t="str">
        <f>IF(ISNUMBER(G$6),IF(AND(G$6&gt;=MTP_BaseYear,G$6&lt;=OutturnThrough),'Step 2 - Update outturn data'!H13,(INDEX($D$45:$J$45,MATCH(G$6,$D$34:$J$34,0))-INDEX($D$46:$J$46,MATCH(G$6,$D$34:$J$34,0)))/100*G$29),"")</f>
        <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836</v>
      </c>
    </row>
    <row r="16" spans="2:16" x14ac:dyDescent="0.4">
      <c r="B16" s="59" t="s">
        <v>609</v>
      </c>
      <c r="C16" s="44" t="s">
        <v>6</v>
      </c>
      <c r="D16" s="167">
        <f>IF(ISNUMBER(D$6),IF(AND(D$6&gt;=MTP_BaseYear,D$6&lt;=OutturnThrough),'Step 2 - Update outturn data'!E14,INDEX($D$87:$J$87,MATCH(D$6,$D$34:$J$34,0))/100*D$29),"")</f>
        <v>0</v>
      </c>
      <c r="E16" s="167">
        <f>IF(ISNUMBER(E$6),IF(AND(E$6&gt;=MTP_BaseYear,E$6&lt;=OutturnThrough),'Step 2 - Update outturn data'!F14,INDEX($D$87:$J$87,MATCH(E$6,$D$34:$J$34,0))/100*E$29),"")</f>
        <v>0</v>
      </c>
      <c r="F16" s="167">
        <f>IF(ISNUMBER(F$6),IF(AND(F$6&gt;=MTP_BaseYear,F$6&lt;=OutturnThrough),'Step 2 - Update outturn data'!G14,INDEX($D$87:$J$87,MATCH(F$6,$D$34:$J$34,0))/100*F$29),"")</f>
        <v>0</v>
      </c>
      <c r="G16" s="167" t="str">
        <f>IF(ISNUMBER(G$6),IF(AND(G$6&gt;=MTP_BaseYear,G$6&lt;=OutturnThrough),'Step 2 - Update outturn data'!H14,INDEX($D$87:$J$87,MATCH(G$6,$D$34:$J$34,0))/100*G$29),"")</f>
        <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645</v>
      </c>
      <c r="D17" s="167" t="str">
        <f>IF(ISNUMBER(D$6),IF(AND(D$6&gt;=MTP_BaseYear,D$6&lt;=OutturnThrough),'Step 2 - Update outturn data'!E15,INDEX($D$67:$J$67,MATCH(D$6,$D$34:$J$34,0))),"")</f>
        <v/>
      </c>
      <c r="E17" s="167" t="str">
        <f>IF(ISNUMBER(E$6),IF(AND(E$6&gt;=MTP_BaseYear,E$6&lt;=OutturnThrough),'Step 2 - Update outturn data'!F15,INDEX($D$67:$J$67,MATCH(E$6,$D$34:$J$34,0))),"")</f>
        <v/>
      </c>
      <c r="F17" s="167" t="str">
        <f>IF(ISNUMBER(F$6),IF(AND(F$6&gt;=MTP_BaseYear,F$6&lt;=OutturnThrough),'Step 2 - Update outturn data'!G15,INDEX($D$67:$J$67,MATCH(F$6,$D$34:$J$34,0))),"")</f>
        <v/>
      </c>
      <c r="G17" s="167" t="str">
        <f>IF(ISNUMBER(G$6),IF(AND(G$6&gt;=MTP_BaseYear,G$6&lt;=OutturnThrough),'Step 2 - Update outturn data'!H15,INDEX($D$67:$J$67,MATCH(G$6,$D$34:$J$34,0))),"")</f>
        <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645</v>
      </c>
      <c r="D18" s="69" t="str">
        <f>IF(ISNUMBER(D$6),IF(D$6&lt;=MTP_BaseYear,"",IF(ISNUMBER(C18),((1+C18/100)*(1+D17/100)-1)*100,D17)),"")</f>
        <v/>
      </c>
      <c r="E18" s="69" t="str">
        <f>IF(ISNUMBER(E$6),IF(E$6&lt;=MTP_BaseYear,"",IF(ISNUMBER(D18),((1+D18/100)*(1+E17/100)-1)*100,E17)),"")</f>
        <v/>
      </c>
      <c r="F18" s="69" t="str">
        <f>IF(ISNUMBER(F$6),IF(F$6&lt;=MTP_BaseYear,"",IF(ISNUMBER(E18),((1+E18/100)*(1+F17/100)-1)*100,F17)),"")</f>
        <v/>
      </c>
      <c r="G18" s="69" t="str">
        <f>IF(ISNUMBER(G$6),IF(G$6&lt;=MTP_BaseYear,"",IF(ISNUMBER(F18),((1+F18/100)*(1+G17/100)-1)*100,G17)),"")</f>
        <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614</v>
      </c>
      <c r="D19" s="167" t="str">
        <f>IF(ISNUMBER(D$6),IF(AND(D$6&gt;=MTP_BaseYear,D$6&lt;=OutturnThrough),'Step 2 - Update outturn data'!E17,INDEX($D$69:$J$69,MATCH(D$6,$D$34:$J$34,0))),"")</f>
        <v/>
      </c>
      <c r="E19" s="167" t="str">
        <f>IF(ISNUMBER(E$6),IF(AND(E$6&gt;=MTP_BaseYear,E$6&lt;=OutturnThrough),'Step 2 - Update outturn data'!F17,INDEX($D$69:$J$69,MATCH(E$6,$D$34:$J$34,0))),"")</f>
        <v/>
      </c>
      <c r="F19" s="167" t="str">
        <f>IF(ISNUMBER(F$6),IF(AND(F$6&gt;=MTP_BaseYear,F$6&lt;=OutturnThrough),'Step 2 - Update outturn data'!G17,INDEX($D$69:$J$69,MATCH(F$6,$D$34:$J$34,0))),"")</f>
        <v/>
      </c>
      <c r="G19" s="167" t="str">
        <f>IF(ISNUMBER(G$6),IF(AND(G$6&gt;=MTP_BaseYear,G$6&lt;=OutturnThrough),'Step 2 - Update outturn data'!H17,INDEX($D$69:$J$69,MATCH(G$6,$D$34:$J$34,0))),"")</f>
        <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614</v>
      </c>
      <c r="D20" s="167">
        <f>IF(ISNUMBER(D$6),IF(AND(D$6&gt;=MTP_BaseYear,D$6&lt;=OutturnThrough),'Step 2 - Update outturn data'!E18,INDEX($D$72:$J$72,MATCH(D$6,$D$34:$J$34,0))),"")</f>
        <v>0</v>
      </c>
      <c r="E20" s="167">
        <f>IF(ISNUMBER(E$6),IF(AND(E$6&gt;=MTP_BaseYear,E$6&lt;=OutturnThrough),'Step 2 - Update outturn data'!F18,INDEX($D$72:$J$72,MATCH(E$6,$D$34:$J$34,0))),"")</f>
        <v>0</v>
      </c>
      <c r="F20" s="167">
        <f>IF(ISNUMBER(F$6),IF(AND(F$6&gt;=MTP_BaseYear,F$6&lt;=OutturnThrough),'Step 2 - Update outturn data'!G18,INDEX($D$72:$J$72,MATCH(F$6,$D$34:$J$34,0))),"")</f>
        <v>0</v>
      </c>
      <c r="G20" s="167" t="str">
        <f>IF(ISNUMBER(G$6),IF(AND(G$6&gt;=MTP_BaseYear,G$6&lt;=OutturnThrough),'Step 2 - Update outturn data'!H18,INDEX($D$72:$J$72,MATCH(G$6,$D$34:$J$34,0))),"")</f>
        <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614</v>
      </c>
      <c r="D21" s="167">
        <f>IF(ISNUMBER(D$6),IF(AND(D$6&gt;=MTP_BaseYear,D$6&lt;=OutturnThrough),'Step 2 - Update outturn data'!E19,INDEX($D$73:$J$73,MATCH(D$6,$D$34:$J$34,0))),"")</f>
        <v>0</v>
      </c>
      <c r="E21" s="167">
        <f>IF(ISNUMBER(E$6),IF(AND(E$6&gt;=MTP_BaseYear,E$6&lt;=OutturnThrough),'Step 2 - Update outturn data'!F19,INDEX($D$73:$J$73,MATCH(E$6,$D$34:$J$34,0))),"")</f>
        <v>0</v>
      </c>
      <c r="F21" s="167">
        <f>IF(ISNUMBER(F$6),IF(AND(F$6&gt;=MTP_BaseYear,F$6&lt;=OutturnThrough),'Step 2 - Update outturn data'!G19,INDEX($D$73:$J$73,MATCH(F$6,$D$34:$J$34,0))),"")</f>
        <v>0</v>
      </c>
      <c r="G21" s="167" t="str">
        <f>IF(ISNUMBER(G$6),IF(AND(G$6&gt;=MTP_BaseYear,G$6&lt;=OutturnThrough),'Step 2 - Update outturn data'!H19,INDEX($D$73:$J$73,MATCH(G$6,$D$34:$J$34,0))),"")</f>
        <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614</v>
      </c>
      <c r="D22" s="167" t="str">
        <f>IF(ISNUMBER(D$6),IF(AND(D$6&gt;=MTP_BaseYear,D$6&lt;=OutturnThrough),'Step 2 - Update outturn data'!E20,INDEX($D$75:$J$75,MATCH(D$6,$D$34:$J$34,0))),"")</f>
        <v/>
      </c>
      <c r="E22" s="167" t="str">
        <f>IF(ISNUMBER(E$6),IF(AND(E$6&gt;=MTP_BaseYear,E$6&lt;=OutturnThrough),'Step 2 - Update outturn data'!F20,INDEX($D$75:$J$75,MATCH(E$6,$D$34:$J$34,0))),"")</f>
        <v/>
      </c>
      <c r="F22" s="167" t="str">
        <f>IF(ISNUMBER(F$6),IF(AND(F$6&gt;=MTP_BaseYear,F$6&lt;=OutturnThrough),'Step 2 - Update outturn data'!G20,INDEX($D$75:$J$75,MATCH(F$6,$D$34:$J$34,0))),"")</f>
        <v/>
      </c>
      <c r="G22" s="167" t="str">
        <f>IF(ISNUMBER(G$6),IF(AND(G$6&gt;=MTP_BaseYear,G$6&lt;=OutturnThrough),'Step 2 - Update outturn data'!H20,INDEX($D$75:$J$75,MATCH(G$6,$D$34:$J$34,0))),"")</f>
        <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614</v>
      </c>
      <c r="D23" s="167" t="str">
        <f>IF(ISNUMBER(D$6),IF(AND(D$6&gt;=MTP_BaseYear,D$6&lt;=OutturnThrough),'Step 2 - Update outturn data'!E21,INDEX($D$76:$J$76,MATCH(D$6,$D$34:$J$34,0))),"")</f>
        <v/>
      </c>
      <c r="E23" s="167" t="str">
        <f>IF(ISNUMBER(E$6),IF(AND(E$6&gt;=MTP_BaseYear,E$6&lt;=OutturnThrough),'Step 2 - Update outturn data'!F21,INDEX($D$76:$J$76,MATCH(E$6,$D$34:$J$34,0))),"")</f>
        <v/>
      </c>
      <c r="F23" s="167" t="str">
        <f>IF(ISNUMBER(F$6),IF(AND(F$6&gt;=MTP_BaseYear,F$6&lt;=OutturnThrough),'Step 2 - Update outturn data'!G21,INDEX($D$76:$J$76,MATCH(F$6,$D$34:$J$34,0))),"")</f>
        <v/>
      </c>
      <c r="G23" s="167" t="str">
        <f>IF(ISNUMBER(G$6),IF(AND(G$6&gt;=MTP_BaseYear,G$6&lt;=OutturnThrough),'Step 2 - Update outturn data'!H21,INDEX($D$76:$J$76,MATCH(G$6,$D$34:$J$34,0))),"")</f>
        <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644</v>
      </c>
      <c r="D24" s="167" t="str">
        <f>IF(ISNUMBER(D$6),IF(AND(D$6&gt;=MTP_BaseYear,D$6&lt;=OutturnThrough),'Step 2 - Update outturn data'!E22,INDEX($D$94:$J$94,MATCH(D$6,$D$92:$J$92,0))),"")</f>
        <v/>
      </c>
      <c r="E24" s="167" t="str">
        <f>IF(ISNUMBER(E$6),IF(AND(E$6&gt;=MTP_BaseYear,E$6&lt;=OutturnThrough),'Step 2 - Update outturn data'!F22,INDEX($D$94:$J$94,MATCH(E$6,$D$92:$J$92,0))),"")</f>
        <v/>
      </c>
      <c r="F24" s="167" t="str">
        <f>IF(ISNUMBER(F$6),IF(AND(F$6&gt;=MTP_BaseYear,F$6&lt;=OutturnThrough),'Step 2 - Update outturn data'!G22,INDEX($D$94:$J$94,MATCH(F$6,$D$92:$J$92,0))),"")</f>
        <v/>
      </c>
      <c r="G24" s="167" t="str">
        <f>IF(ISNUMBER(G$6),IF(AND(G$6&gt;=MTP_BaseYear,G$6&lt;=OutturnThrough),'Step 2 - Update outturn data'!H22,INDEX($D$94:$J$94,MATCH(G$6,$D$92:$J$92,0))),"")</f>
        <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644</v>
      </c>
      <c r="D25" s="167" t="str">
        <f>IF(ISNUMBER(D$6),IF(AND(D$6&gt;=MTP_BaseYear,D$6&lt;=OutturnThrough),'Step 2 - Update outturn data'!E23,INDEX($D$95:$J$95,MATCH(D$6,$D$92:$J$92,0))),"")</f>
        <v/>
      </c>
      <c r="E25" s="167" t="str">
        <f>IF(ISNUMBER(E$6),IF(AND(E$6&gt;=MTP_BaseYear,E$6&lt;=OutturnThrough),'Step 2 - Update outturn data'!F23,INDEX($D$95:$J$95,MATCH(E$6,$D$92:$J$92,0))),"")</f>
        <v/>
      </c>
      <c r="F25" s="167" t="str">
        <f>IF(ISNUMBER(F$6),IF(AND(F$6&gt;=MTP_BaseYear,F$6&lt;=OutturnThrough),'Step 2 - Update outturn data'!G23,INDEX($D$95:$J$95,MATCH(F$6,$D$92:$J$92,0))),"")</f>
        <v/>
      </c>
      <c r="G25" s="167" t="str">
        <f>IF(ISNUMBER(G$6),IF(AND(G$6&gt;=MTP_BaseYear,G$6&lt;=OutturnThrough),'Step 2 - Update outturn data'!H23,INDEX($D$95:$J$95,MATCH(G$6,$D$92:$J$92,0))),"")</f>
        <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644</v>
      </c>
      <c r="D26" s="167" t="str">
        <f>IF(ISNUMBER(D$6),IF(AND(D$6&gt;=MTP_BaseYear,D$6&lt;=OutturnThrough),'Step 2 - Update outturn data'!E24,INDEX($D$96:$J$96,MATCH(D$6,$D$92:$J$92,0))),"")</f>
        <v/>
      </c>
      <c r="E26" s="167" t="str">
        <f>IF(ISNUMBER(E$6),IF(AND(E$6&gt;=MTP_BaseYear,E$6&lt;=OutturnThrough),'Step 2 - Update outturn data'!F24,INDEX($D$96:$J$96,MATCH(E$6,$D$92:$J$92,0))),"")</f>
        <v/>
      </c>
      <c r="F26" s="167" t="str">
        <f>IF(ISNUMBER(F$6),IF(AND(F$6&gt;=MTP_BaseYear,F$6&lt;=OutturnThrough),'Step 2 - Update outturn data'!G24,INDEX($D$96:$J$96,MATCH(F$6,$D$92:$J$92,0))),"")</f>
        <v/>
      </c>
      <c r="G26" s="167" t="str">
        <f>IF(ISNUMBER(G$6),IF(AND(G$6&gt;=MTP_BaseYear,G$6&lt;=OutturnThrough),'Step 2 - Update outturn data'!H24,INDEX($D$96:$J$96,MATCH(G$6,$D$92:$J$92,0))),"")</f>
        <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644</v>
      </c>
      <c r="D27" s="167" t="str">
        <f>IF(ISNUMBER(D$6),IF(AND(D$6&gt;=MTP_BaseYear,D$6&lt;=OutturnThrough),'Step 2 - Update outturn data'!E25,INDEX($D$125:$J$125,MATCH(D$6,$D$92:$J$92,0))),"")</f>
        <v/>
      </c>
      <c r="E27" s="167" t="str">
        <f>IF(ISNUMBER(E$6),IF(AND(E$6&gt;=MTP_BaseYear,E$6&lt;=OutturnThrough),'Step 2 - Update outturn data'!F25,INDEX($D$125:$J$125,MATCH(E$6,$D$92:$J$92,0))),"")</f>
        <v/>
      </c>
      <c r="F27" s="167" t="str">
        <f>IF(ISNUMBER(F$6),IF(AND(F$6&gt;=MTP_BaseYear,F$6&lt;=OutturnThrough),'Step 2 - Update outturn data'!G25,INDEX($D$125:$J$125,MATCH(F$6,$D$92:$J$92,0))),"")</f>
        <v/>
      </c>
      <c r="G27" s="167" t="str">
        <f>IF(ISNUMBER(G$6),IF(AND(G$6&gt;=MTP_BaseYear,G$6&lt;=OutturnThrough),'Step 2 - Update outturn data'!H25,INDEX($D$125:$J$125,MATCH(G$6,$D$92:$J$92,0))),"")</f>
        <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610</v>
      </c>
      <c r="D28" s="167" t="str">
        <f>IF(ISNUMBER(D$6),IF(AND(D$6&gt;=MTP_BaseYear,D$6&lt;=OutturnThrough),'Step 2 - Update outturn data'!E26,INDEX($D$131:$J$131,MATCH(D$6,$D$92:$J$92,0))),"")</f>
        <v/>
      </c>
      <c r="E28" s="167" t="str">
        <f>IF(ISNUMBER(E$6),IF(AND(E$6&gt;=MTP_BaseYear,E$6&lt;=OutturnThrough),'Step 2 - Update outturn data'!F26,INDEX($D$131:$J$131,MATCH(E$6,$D$92:$J$92,0))),"")</f>
        <v/>
      </c>
      <c r="F28" s="167" t="str">
        <f>IF(ISNUMBER(F$6),IF(AND(F$6&gt;=MTP_BaseYear,F$6&lt;=OutturnThrough),'Step 2 - Update outturn data'!G26,INDEX($D$131:$J$131,MATCH(F$6,$D$92:$J$92,0))),"")</f>
        <v/>
      </c>
      <c r="G28" s="167" t="str">
        <f>IF(ISNUMBER(G$6),IF(AND(G$6&gt;=MTP_BaseYear,G$6&lt;=OutturnThrough),'Step 2 - Update outturn data'!H26,INDEX($D$131:$J$131,MATCH(G$6,$D$92:$J$92,0))),"")</f>
        <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646</v>
      </c>
      <c r="D29" s="168">
        <f>IF(ISNUMBER(D$6),IF(AND(D$6&gt;=MTP_BaseYear,D$6&lt;=OutturnThrough),'Step 2 - Update outturn data'!E27,C29*(1+INDEX($D$96:$J$96,MATCH(D$6,$D$92:$J$92,0))/100)),"")</f>
        <v>0</v>
      </c>
      <c r="E29" s="168">
        <f>IF(ISNUMBER(E$6),IF(AND(E$6&gt;=MTP_BaseYear,E$6&lt;=OutturnThrough),'Step 2 - Update outturn data'!F27,D29*(1+INDEX($D$96:$J$96,MATCH(E$6,$D$92:$J$92,0))/100)),"")</f>
        <v>0</v>
      </c>
      <c r="F29" s="168">
        <f>IF(ISNUMBER(F$6),IF(AND(F$6&gt;=MTP_BaseYear,F$6&lt;=OutturnThrough),'Step 2 - Update outturn data'!G27,E29*(1+INDEX($D$96:$J$96,MATCH(F$6,$D$92:$J$92,0))/100)),"")</f>
        <v>0</v>
      </c>
      <c r="G29" s="168" t="str">
        <f>IF(ISNUMBER(G$6),IF(AND(G$6&gt;=MTP_BaseYear,G$6&lt;=OutturnThrough),'Step 2 - Update outturn data'!H27,F29*(1+INDEX($D$96:$J$96,MATCH(G$6,$D$92:$J$92,0))/100)),"")</f>
        <v/>
      </c>
      <c r="H29" s="168" t="str">
        <f>IF(ISNUMBER(H$6),IF(AND(H$6&gt;=MTP_BaseYear,H$6&lt;=OutturnThrough),'Step 2 - Update outturn data'!I27,G29*(1+INDEX($D$96:$J$96,MATCH(H$6,$D$92:$J$92,0))/100)),"")</f>
        <v/>
      </c>
      <c r="I29" s="168" t="str">
        <f>IF(ISNUMBER(I$6),IF(AND(I$6&gt;=MTP_BaseYear,I$6&lt;=OutturnThrough),'Step 2 - Update outturn data'!#REF!,H29*(1+INDEX($D$96:$J$96,MATCH(I$6,$D$92:$J$92,0))/100)),"")</f>
        <v/>
      </c>
      <c r="J29" s="168"/>
      <c r="K29" s="37"/>
      <c r="L29" s="37"/>
      <c r="M29" s="37"/>
      <c r="N29" s="37"/>
    </row>
    <row r="33" spans="1:10" ht="23.25" x14ac:dyDescent="0.7">
      <c r="A33" s="13" t="s">
        <v>814</v>
      </c>
    </row>
    <row r="34" spans="1:10" x14ac:dyDescent="0.4">
      <c r="A34" s="235"/>
      <c r="B34" s="235"/>
      <c r="C34" s="235"/>
      <c r="D34" s="235">
        <f>P9</f>
        <v>2023</v>
      </c>
      <c r="E34" s="235" cm="1">
        <f t="array" ref="E34:J34">_xlfn.SEQUENCE(1, MTP_EndYear-P9+1, P9)</f>
        <v>2023</v>
      </c>
      <c r="F34" s="235">
        <v>2024</v>
      </c>
      <c r="G34" s="235">
        <v>2025</v>
      </c>
      <c r="H34" s="235">
        <v>2026</v>
      </c>
      <c r="I34" s="235">
        <v>2027</v>
      </c>
      <c r="J34" s="235">
        <v>2028</v>
      </c>
    </row>
    <row r="35" spans="1:10" x14ac:dyDescent="0.4">
      <c r="A35" s="213"/>
      <c r="B35" s="213" t="s">
        <v>30</v>
      </c>
      <c r="C35" s="213" t="s">
        <v>31</v>
      </c>
      <c r="D35" s="236" t="s">
        <v>6</v>
      </c>
      <c r="E35" s="236" t="str" cm="1">
        <f t="array" ref="E35:J35">IF(ISNUMBER(_xlfn.ANCHORARRAY(E$34)),"% of GDP","")</f>
        <v>% of GDP</v>
      </c>
      <c r="F35" s="236" t="str">
        <v>% of GDP</v>
      </c>
      <c r="G35" s="236" t="str">
        <v>% of GDP</v>
      </c>
      <c r="H35" s="236" t="str">
        <v>% of GDP</v>
      </c>
      <c r="I35" s="236" t="str">
        <v>% of GDP</v>
      </c>
      <c r="J35" s="236" t="str">
        <v>% of GDP</v>
      </c>
    </row>
    <row r="36" spans="1:10" x14ac:dyDescent="0.4">
      <c r="A36" s="213">
        <v>1</v>
      </c>
      <c r="B36" s="239" t="s">
        <v>32</v>
      </c>
      <c r="C36" s="239" t="s">
        <v>72</v>
      </c>
      <c r="D36" s="4"/>
      <c r="E36" s="4"/>
      <c r="F36" s="4"/>
      <c r="G36" s="4"/>
      <c r="H36" s="4"/>
      <c r="I36" s="4"/>
      <c r="J36" s="4"/>
    </row>
    <row r="37" spans="1:10" x14ac:dyDescent="0.4">
      <c r="A37" s="213">
        <v>2</v>
      </c>
      <c r="B37" s="239" t="s">
        <v>33</v>
      </c>
      <c r="C37" s="239" t="s">
        <v>73</v>
      </c>
      <c r="D37" s="4"/>
      <c r="E37" s="4"/>
      <c r="F37" s="4"/>
      <c r="G37" s="4"/>
      <c r="H37" s="4"/>
      <c r="I37" s="4"/>
      <c r="J37" s="4"/>
    </row>
    <row r="38" spans="1:10" x14ac:dyDescent="0.4">
      <c r="A38" s="213">
        <v>3</v>
      </c>
      <c r="B38" s="239" t="s">
        <v>34</v>
      </c>
      <c r="C38" s="239" t="s">
        <v>74</v>
      </c>
      <c r="D38" s="4"/>
      <c r="E38" s="4"/>
      <c r="F38" s="4"/>
      <c r="G38" s="4"/>
      <c r="H38" s="4"/>
      <c r="I38" s="4"/>
      <c r="J38" s="4"/>
    </row>
    <row r="39" spans="1:10" x14ac:dyDescent="0.4">
      <c r="A39" s="213">
        <v>4</v>
      </c>
      <c r="B39" s="239" t="s">
        <v>36</v>
      </c>
      <c r="C39" s="239" t="s">
        <v>75</v>
      </c>
      <c r="D39" s="4"/>
      <c r="E39" s="4"/>
      <c r="F39" s="4"/>
      <c r="G39" s="4"/>
      <c r="H39" s="4"/>
      <c r="I39" s="4"/>
      <c r="J39" s="4"/>
    </row>
    <row r="40" spans="1:10" x14ac:dyDescent="0.4">
      <c r="A40" s="213">
        <v>5</v>
      </c>
      <c r="B40" s="239" t="s">
        <v>37</v>
      </c>
      <c r="C40" s="239" t="s">
        <v>76</v>
      </c>
      <c r="D40" s="4"/>
      <c r="E40" s="4"/>
      <c r="F40" s="4"/>
      <c r="G40" s="4"/>
      <c r="H40" s="4"/>
      <c r="I40" s="4"/>
      <c r="J40" s="4"/>
    </row>
    <row r="41" spans="1:10" x14ac:dyDescent="0.4">
      <c r="A41" s="213">
        <v>6</v>
      </c>
      <c r="B41" s="239" t="s">
        <v>38</v>
      </c>
      <c r="C41" s="239" t="s">
        <v>77</v>
      </c>
      <c r="D41" s="4"/>
      <c r="E41" s="4"/>
      <c r="F41" s="4"/>
      <c r="G41" s="4"/>
      <c r="H41" s="4"/>
      <c r="I41" s="4"/>
      <c r="J41" s="4"/>
    </row>
    <row r="42" spans="1:10" x14ac:dyDescent="0.4">
      <c r="A42" s="213">
        <v>7</v>
      </c>
      <c r="B42" s="239" t="s">
        <v>39</v>
      </c>
      <c r="C42" s="239" t="s">
        <v>78</v>
      </c>
      <c r="D42" s="239"/>
      <c r="E42" s="239"/>
      <c r="F42" s="239"/>
      <c r="G42" s="239"/>
      <c r="H42" s="239"/>
      <c r="I42" s="239"/>
      <c r="J42" s="239"/>
    </row>
    <row r="43" spans="1:10" x14ac:dyDescent="0.4">
      <c r="A43" s="213">
        <v>8</v>
      </c>
      <c r="B43" s="239" t="s">
        <v>40</v>
      </c>
      <c r="C43" s="239" t="s">
        <v>79</v>
      </c>
      <c r="D43" s="4"/>
      <c r="E43" s="4"/>
      <c r="F43" s="4"/>
      <c r="G43" s="4"/>
      <c r="H43" s="4"/>
      <c r="I43" s="4"/>
      <c r="J43" s="4"/>
    </row>
    <row r="44" spans="1:10" x14ac:dyDescent="0.4">
      <c r="A44" s="213">
        <v>9</v>
      </c>
      <c r="B44" s="239" t="s">
        <v>41</v>
      </c>
      <c r="C44" s="239"/>
      <c r="D44" s="239"/>
      <c r="E44" s="239"/>
      <c r="F44" s="239"/>
      <c r="G44" s="239"/>
      <c r="H44" s="239"/>
      <c r="I44" s="239"/>
      <c r="J44" s="239"/>
    </row>
    <row r="45" spans="1:10" x14ac:dyDescent="0.4">
      <c r="A45" s="213">
        <v>10</v>
      </c>
      <c r="B45" s="239" t="s">
        <v>42</v>
      </c>
      <c r="C45" s="239"/>
      <c r="D45" s="4"/>
      <c r="E45" s="4"/>
      <c r="F45" s="4"/>
      <c r="G45" s="4"/>
      <c r="H45" s="4"/>
      <c r="I45" s="4"/>
      <c r="J45" s="4"/>
    </row>
    <row r="46" spans="1:10" x14ac:dyDescent="0.4">
      <c r="A46" s="213">
        <v>11</v>
      </c>
      <c r="B46" s="239" t="s">
        <v>43</v>
      </c>
      <c r="C46" s="239"/>
      <c r="D46" s="4"/>
      <c r="E46" s="4"/>
      <c r="F46" s="4"/>
      <c r="G46" s="4"/>
      <c r="H46" s="4"/>
      <c r="I46" s="4"/>
      <c r="J46" s="4"/>
    </row>
    <row r="47" spans="1:10" x14ac:dyDescent="0.4">
      <c r="A47" s="213"/>
      <c r="B47" s="213" t="s">
        <v>29</v>
      </c>
      <c r="C47" s="213" t="s">
        <v>31</v>
      </c>
      <c r="D47" s="237" t="s">
        <v>6</v>
      </c>
      <c r="E47" s="237" t="str" cm="1">
        <f t="array" ref="E47:J47">IF(ISNUMBER(_xlfn.ANCHORARRAY(E$34)),"% of GDP","")</f>
        <v>% of GDP</v>
      </c>
      <c r="F47" s="237" t="str">
        <v>% of GDP</v>
      </c>
      <c r="G47" s="237" t="str">
        <v>% of GDP</v>
      </c>
      <c r="H47" s="237" t="str">
        <v>% of GDP</v>
      </c>
      <c r="I47" s="237" t="str">
        <v>% of GDP</v>
      </c>
      <c r="J47" s="237" t="str">
        <v>% of GDP</v>
      </c>
    </row>
    <row r="48" spans="1:10" x14ac:dyDescent="0.4">
      <c r="A48" s="213">
        <v>12</v>
      </c>
      <c r="B48" s="226" t="s">
        <v>44</v>
      </c>
      <c r="C48" s="226" t="s">
        <v>5</v>
      </c>
      <c r="D48" s="4"/>
      <c r="E48" s="4"/>
      <c r="F48" s="4"/>
      <c r="G48" s="4"/>
      <c r="H48" s="4"/>
      <c r="I48" s="4"/>
      <c r="J48" s="4"/>
    </row>
    <row r="49" spans="1:10" x14ac:dyDescent="0.4">
      <c r="A49" s="213">
        <v>13</v>
      </c>
      <c r="B49" s="226" t="s">
        <v>45</v>
      </c>
      <c r="C49" s="226" t="s">
        <v>80</v>
      </c>
      <c r="D49" s="4"/>
      <c r="E49" s="4"/>
      <c r="F49" s="4"/>
      <c r="G49" s="4"/>
      <c r="H49" s="4"/>
      <c r="I49" s="4"/>
      <c r="J49" s="4"/>
    </row>
    <row r="50" spans="1:10" x14ac:dyDescent="0.4">
      <c r="A50" s="213">
        <v>14</v>
      </c>
      <c r="B50" s="226" t="s">
        <v>46</v>
      </c>
      <c r="C50" s="226" t="s">
        <v>28</v>
      </c>
      <c r="D50" s="4"/>
      <c r="E50" s="4"/>
      <c r="F50" s="4"/>
      <c r="G50" s="4"/>
      <c r="H50" s="4"/>
      <c r="I50" s="4"/>
      <c r="J50" s="4"/>
    </row>
    <row r="51" spans="1:10" x14ac:dyDescent="0.4">
      <c r="A51" s="213">
        <v>15</v>
      </c>
      <c r="B51" s="226" t="s">
        <v>47</v>
      </c>
      <c r="C51" s="226" t="s">
        <v>81</v>
      </c>
      <c r="D51" s="4"/>
      <c r="E51" s="4"/>
      <c r="F51" s="4"/>
      <c r="G51" s="4"/>
      <c r="H51" s="4"/>
      <c r="I51" s="4"/>
      <c r="J51" s="4"/>
    </row>
    <row r="52" spans="1:10" x14ac:dyDescent="0.4">
      <c r="A52" s="213">
        <v>16</v>
      </c>
      <c r="B52" s="226" t="s">
        <v>48</v>
      </c>
      <c r="C52" s="226" t="s">
        <v>82</v>
      </c>
      <c r="D52" s="4"/>
      <c r="E52" s="4"/>
      <c r="F52" s="4"/>
      <c r="G52" s="4"/>
      <c r="H52" s="4"/>
      <c r="I52" s="4"/>
      <c r="J52" s="4"/>
    </row>
    <row r="53" spans="1:10" x14ac:dyDescent="0.4">
      <c r="A53" s="213">
        <v>17</v>
      </c>
      <c r="B53" s="226" t="s">
        <v>49</v>
      </c>
      <c r="C53" s="226" t="s">
        <v>83</v>
      </c>
      <c r="D53" s="4"/>
      <c r="E53" s="4"/>
      <c r="F53" s="4"/>
      <c r="G53" s="4"/>
      <c r="H53" s="4"/>
      <c r="I53" s="4"/>
      <c r="J53" s="4"/>
    </row>
    <row r="54" spans="1:10" x14ac:dyDescent="0.4">
      <c r="A54" s="213">
        <v>18</v>
      </c>
      <c r="B54" s="226" t="s">
        <v>50</v>
      </c>
      <c r="C54" s="226" t="s">
        <v>84</v>
      </c>
      <c r="D54" s="4"/>
      <c r="E54" s="4"/>
      <c r="F54" s="4"/>
      <c r="G54" s="4"/>
      <c r="H54" s="4"/>
      <c r="I54" s="4"/>
      <c r="J54" s="4"/>
    </row>
    <row r="55" spans="1:10" x14ac:dyDescent="0.4">
      <c r="A55" s="213">
        <v>19</v>
      </c>
      <c r="B55" s="226" t="s">
        <v>10</v>
      </c>
      <c r="C55" s="226" t="s">
        <v>4</v>
      </c>
      <c r="D55" s="4"/>
      <c r="E55" s="4"/>
      <c r="F55" s="4"/>
      <c r="G55" s="4"/>
      <c r="H55" s="4"/>
      <c r="I55" s="4"/>
      <c r="J55" s="4"/>
    </row>
    <row r="56" spans="1:10" x14ac:dyDescent="0.4">
      <c r="A56" s="213">
        <v>20</v>
      </c>
      <c r="B56" s="226" t="s">
        <v>51</v>
      </c>
      <c r="C56" s="226"/>
      <c r="D56" s="4"/>
      <c r="E56" s="4"/>
      <c r="F56" s="4"/>
      <c r="G56" s="4"/>
      <c r="H56" s="4"/>
      <c r="I56" s="4"/>
      <c r="J56" s="4"/>
    </row>
    <row r="57" spans="1:10" x14ac:dyDescent="0.4">
      <c r="A57" s="213">
        <v>21</v>
      </c>
      <c r="B57" s="226" t="s">
        <v>52</v>
      </c>
      <c r="C57" s="226" t="s">
        <v>85</v>
      </c>
      <c r="D57" s="4"/>
      <c r="E57" s="4"/>
      <c r="F57" s="4"/>
      <c r="G57" s="4"/>
      <c r="H57" s="4"/>
      <c r="I57" s="4"/>
      <c r="J57" s="4"/>
    </row>
    <row r="58" spans="1:10" x14ac:dyDescent="0.4">
      <c r="A58" s="213">
        <v>22</v>
      </c>
      <c r="B58" s="226" t="s">
        <v>53</v>
      </c>
      <c r="C58" s="226" t="s">
        <v>86</v>
      </c>
      <c r="D58" s="4"/>
      <c r="E58" s="4"/>
      <c r="F58" s="4"/>
      <c r="G58" s="4"/>
      <c r="H58" s="4"/>
      <c r="I58" s="4"/>
      <c r="J58" s="4"/>
    </row>
    <row r="59" spans="1:10" x14ac:dyDescent="0.4">
      <c r="A59" s="213">
        <v>23</v>
      </c>
      <c r="B59" s="226" t="s">
        <v>54</v>
      </c>
      <c r="C59" s="226" t="s">
        <v>87</v>
      </c>
      <c r="D59" s="239"/>
      <c r="E59" s="239"/>
      <c r="F59" s="239"/>
      <c r="G59" s="239"/>
      <c r="H59" s="239"/>
      <c r="I59" s="239"/>
      <c r="J59" s="239"/>
    </row>
    <row r="60" spans="1:10" x14ac:dyDescent="0.4">
      <c r="A60" s="213">
        <v>24</v>
      </c>
      <c r="B60" s="226" t="s">
        <v>55</v>
      </c>
      <c r="C60" s="226" t="s">
        <v>79</v>
      </c>
      <c r="D60" s="4"/>
      <c r="E60" s="4"/>
      <c r="F60" s="4"/>
      <c r="G60" s="4"/>
      <c r="H60" s="4"/>
      <c r="I60" s="4"/>
      <c r="J60" s="4"/>
    </row>
    <row r="61" spans="1:10" x14ac:dyDescent="0.4">
      <c r="A61" s="213">
        <v>25</v>
      </c>
      <c r="B61" s="226" t="s">
        <v>56</v>
      </c>
      <c r="C61" s="226"/>
      <c r="D61" s="239"/>
      <c r="E61" s="239"/>
      <c r="F61" s="239"/>
      <c r="G61" s="239"/>
      <c r="H61" s="239"/>
      <c r="I61" s="239"/>
      <c r="J61" s="239"/>
    </row>
    <row r="62" spans="1:10" x14ac:dyDescent="0.4">
      <c r="A62" s="213">
        <v>26</v>
      </c>
      <c r="B62" s="226" t="s">
        <v>763</v>
      </c>
      <c r="C62" s="226"/>
      <c r="D62" s="4"/>
      <c r="E62" s="4"/>
      <c r="F62" s="4"/>
      <c r="G62" s="4"/>
      <c r="H62" s="4"/>
      <c r="I62" s="4"/>
      <c r="J62" s="4"/>
    </row>
    <row r="63" spans="1:10" x14ac:dyDescent="0.4">
      <c r="A63" s="213">
        <v>27</v>
      </c>
      <c r="B63" s="226" t="s">
        <v>57</v>
      </c>
      <c r="C63" s="226"/>
      <c r="D63" s="4"/>
      <c r="E63" s="4"/>
      <c r="F63" s="4"/>
      <c r="G63" s="4"/>
      <c r="H63" s="4"/>
      <c r="I63" s="4"/>
      <c r="J63" s="4"/>
    </row>
    <row r="64" spans="1:10" x14ac:dyDescent="0.4">
      <c r="A64" s="213">
        <v>28</v>
      </c>
      <c r="B64" s="226" t="s">
        <v>58</v>
      </c>
      <c r="C64" s="226"/>
      <c r="D64" s="4"/>
      <c r="E64" s="4"/>
      <c r="F64" s="4"/>
      <c r="G64" s="4"/>
      <c r="H64" s="4"/>
      <c r="I64" s="4"/>
      <c r="J64" s="4"/>
    </row>
    <row r="65" spans="1:10" x14ac:dyDescent="0.4">
      <c r="A65" s="213">
        <v>29</v>
      </c>
      <c r="B65" s="226" t="s">
        <v>59</v>
      </c>
      <c r="C65" s="226"/>
      <c r="D65" s="239"/>
      <c r="E65" s="239"/>
      <c r="F65" s="239"/>
      <c r="G65" s="239"/>
      <c r="H65" s="239"/>
      <c r="I65" s="239"/>
      <c r="J65" s="239"/>
    </row>
    <row r="66" spans="1:10" x14ac:dyDescent="0.4">
      <c r="A66" s="213"/>
      <c r="B66" s="213" t="s">
        <v>35</v>
      </c>
      <c r="C66" s="213"/>
      <c r="D66" s="238"/>
      <c r="E66" s="238" t="str" cm="1">
        <f t="array" ref="E66:J66">IF(ISNUMBER(_xlfn.ANCHORARRAY(E$34)),"growth rate","")</f>
        <v>growth rate</v>
      </c>
      <c r="F66" s="238" t="str">
        <v>growth rate</v>
      </c>
      <c r="G66" s="238" t="str">
        <v>growth rate</v>
      </c>
      <c r="H66" s="238" t="str">
        <v>growth rate</v>
      </c>
      <c r="I66" s="238" t="str">
        <v>growth rate</v>
      </c>
      <c r="J66" s="238" t="str">
        <v>growth rate</v>
      </c>
    </row>
    <row r="67" spans="1:10" ht="14.25" x14ac:dyDescent="0.45">
      <c r="A67" s="213">
        <v>30</v>
      </c>
      <c r="B67" s="226" t="s">
        <v>838</v>
      </c>
      <c r="C67" s="226" t="s">
        <v>764</v>
      </c>
      <c r="D67" s="245"/>
      <c r="E67" s="4"/>
      <c r="F67" s="4"/>
      <c r="G67" s="4"/>
      <c r="H67" s="4"/>
      <c r="I67" s="4"/>
      <c r="J67" s="4"/>
    </row>
    <row r="68" spans="1:10" x14ac:dyDescent="0.4">
      <c r="A68" s="213"/>
      <c r="B68" s="213" t="s">
        <v>60</v>
      </c>
      <c r="C68" s="213"/>
      <c r="D68" s="238" t="s">
        <v>6</v>
      </c>
      <c r="E68" s="238" t="s">
        <v>614</v>
      </c>
      <c r="F68" s="238" t="s">
        <v>614</v>
      </c>
      <c r="G68" s="238" t="s">
        <v>614</v>
      </c>
      <c r="H68" s="238" t="s">
        <v>614</v>
      </c>
      <c r="I68" s="238" t="s">
        <v>614</v>
      </c>
      <c r="J68" s="238" t="s">
        <v>614</v>
      </c>
    </row>
    <row r="69" spans="1:10" x14ac:dyDescent="0.4">
      <c r="A69" s="213">
        <v>31</v>
      </c>
      <c r="B69" s="226" t="s">
        <v>61</v>
      </c>
      <c r="C69" s="226" t="s">
        <v>27</v>
      </c>
      <c r="D69" s="4"/>
      <c r="E69" s="4"/>
      <c r="F69" s="4"/>
      <c r="G69" s="4"/>
      <c r="H69" s="4"/>
      <c r="I69" s="4"/>
      <c r="J69" s="4"/>
    </row>
    <row r="70" spans="1:10" x14ac:dyDescent="0.4">
      <c r="A70" s="213">
        <v>32</v>
      </c>
      <c r="B70" s="226" t="s">
        <v>62</v>
      </c>
      <c r="C70" s="226" t="s">
        <v>88</v>
      </c>
      <c r="D70" s="4"/>
      <c r="E70" s="4"/>
      <c r="F70" s="4"/>
      <c r="G70" s="4"/>
      <c r="H70" s="4"/>
      <c r="I70" s="4"/>
      <c r="J70" s="4"/>
    </row>
    <row r="71" spans="1:10" x14ac:dyDescent="0.4">
      <c r="A71" s="213"/>
      <c r="B71" s="213" t="s">
        <v>63</v>
      </c>
      <c r="C71" s="213"/>
      <c r="D71" s="238"/>
      <c r="E71" s="238" t="s">
        <v>614</v>
      </c>
      <c r="F71" s="238" t="s">
        <v>614</v>
      </c>
      <c r="G71" s="238" t="s">
        <v>614</v>
      </c>
      <c r="H71" s="238" t="s">
        <v>614</v>
      </c>
      <c r="I71" s="238" t="s">
        <v>614</v>
      </c>
      <c r="J71" s="238" t="s">
        <v>614</v>
      </c>
    </row>
    <row r="72" spans="1:10" ht="14.25" x14ac:dyDescent="0.45">
      <c r="A72" s="213">
        <v>33</v>
      </c>
      <c r="B72" s="240" t="s">
        <v>0</v>
      </c>
      <c r="C72" s="240"/>
      <c r="D72" s="245"/>
      <c r="E72" s="4"/>
      <c r="F72" s="4"/>
      <c r="G72" s="4"/>
      <c r="H72" s="4"/>
      <c r="I72" s="4"/>
      <c r="J72" s="4"/>
    </row>
    <row r="73" spans="1:10" ht="14.25" x14ac:dyDescent="0.45">
      <c r="A73" s="213">
        <v>34</v>
      </c>
      <c r="B73" s="240" t="s">
        <v>3</v>
      </c>
      <c r="C73" s="240"/>
      <c r="D73" s="245"/>
      <c r="E73" s="4"/>
      <c r="F73" s="4"/>
      <c r="G73" s="4"/>
      <c r="H73" s="4"/>
      <c r="I73" s="4"/>
      <c r="J73" s="4"/>
    </row>
    <row r="74" spans="1:10" x14ac:dyDescent="0.4">
      <c r="A74" s="213"/>
      <c r="B74" s="213" t="s">
        <v>20</v>
      </c>
      <c r="C74" s="213"/>
      <c r="D74" s="238" t="s">
        <v>6</v>
      </c>
      <c r="E74" s="238" t="s">
        <v>614</v>
      </c>
      <c r="F74" s="238" t="s">
        <v>614</v>
      </c>
      <c r="G74" s="238" t="s">
        <v>614</v>
      </c>
      <c r="H74" s="238" t="s">
        <v>614</v>
      </c>
      <c r="I74" s="238" t="s">
        <v>614</v>
      </c>
      <c r="J74" s="238" t="s">
        <v>614</v>
      </c>
    </row>
    <row r="75" spans="1:10" x14ac:dyDescent="0.4">
      <c r="A75" s="213">
        <v>35</v>
      </c>
      <c r="B75" s="226" t="s">
        <v>1</v>
      </c>
      <c r="C75" s="226"/>
      <c r="D75" s="4"/>
      <c r="E75" s="4"/>
      <c r="F75" s="4"/>
      <c r="G75" s="4"/>
      <c r="H75" s="4"/>
      <c r="I75" s="4"/>
      <c r="J75" s="4"/>
    </row>
    <row r="76" spans="1:10" x14ac:dyDescent="0.4">
      <c r="A76" s="213">
        <v>36</v>
      </c>
      <c r="B76" s="226" t="s">
        <v>2</v>
      </c>
      <c r="C76" s="226"/>
      <c r="D76" s="4"/>
      <c r="E76" s="4"/>
      <c r="F76" s="4"/>
      <c r="G76" s="4"/>
      <c r="H76" s="4"/>
      <c r="I76" s="4"/>
      <c r="J76" s="4"/>
    </row>
    <row r="77" spans="1:10" x14ac:dyDescent="0.4">
      <c r="A77" s="213">
        <v>37</v>
      </c>
      <c r="B77" s="226" t="s">
        <v>64</v>
      </c>
      <c r="C77" s="226"/>
      <c r="D77" s="243"/>
      <c r="E77" s="243"/>
      <c r="F77" s="243"/>
      <c r="G77" s="243"/>
      <c r="H77" s="239"/>
      <c r="I77" s="239"/>
      <c r="J77" s="239"/>
    </row>
    <row r="78" spans="1:10" ht="14.25" x14ac:dyDescent="0.45">
      <c r="A78" s="213">
        <v>38</v>
      </c>
      <c r="B78" s="241" t="s">
        <v>765</v>
      </c>
      <c r="C78" s="226"/>
      <c r="D78" s="245"/>
      <c r="E78" s="4"/>
      <c r="F78" s="4"/>
      <c r="G78" s="4"/>
      <c r="H78" s="4"/>
      <c r="I78" s="4"/>
      <c r="J78" s="4"/>
    </row>
    <row r="79" spans="1:10" ht="14.25" x14ac:dyDescent="0.45">
      <c r="A79" s="213">
        <v>39</v>
      </c>
      <c r="B79" s="241" t="s">
        <v>766</v>
      </c>
      <c r="C79" s="226"/>
      <c r="D79" s="245"/>
      <c r="E79" s="4"/>
      <c r="F79" s="4"/>
      <c r="G79" s="4"/>
      <c r="H79" s="4"/>
      <c r="I79" s="4"/>
      <c r="J79" s="4"/>
    </row>
    <row r="80" spans="1:10" ht="14.25" x14ac:dyDescent="0.45">
      <c r="A80" s="213">
        <v>40</v>
      </c>
      <c r="B80" s="242" t="s">
        <v>767</v>
      </c>
      <c r="C80" s="226"/>
      <c r="D80" s="245"/>
      <c r="E80" s="4"/>
      <c r="F80" s="4"/>
      <c r="G80" s="4"/>
      <c r="H80" s="4"/>
      <c r="I80" s="4"/>
      <c r="J80" s="4"/>
    </row>
    <row r="81" spans="1:10" ht="14.25" x14ac:dyDescent="0.45">
      <c r="A81" s="213">
        <v>41</v>
      </c>
      <c r="B81" s="242" t="s">
        <v>768</v>
      </c>
      <c r="C81" s="226"/>
      <c r="D81" s="245"/>
      <c r="E81" s="4"/>
      <c r="F81" s="4"/>
      <c r="G81" s="4"/>
      <c r="H81" s="4"/>
      <c r="I81" s="4"/>
      <c r="J81" s="4"/>
    </row>
    <row r="82" spans="1:10" ht="14.25" x14ac:dyDescent="0.45">
      <c r="A82" s="213">
        <v>42</v>
      </c>
      <c r="B82" s="242" t="s">
        <v>769</v>
      </c>
      <c r="C82" s="226"/>
      <c r="D82" s="245"/>
      <c r="E82" s="4"/>
      <c r="F82" s="4"/>
      <c r="G82" s="4"/>
      <c r="H82" s="4"/>
      <c r="I82" s="4"/>
      <c r="J82" s="4"/>
    </row>
    <row r="83" spans="1:10" ht="14.25" x14ac:dyDescent="0.45">
      <c r="A83" s="213">
        <v>43</v>
      </c>
      <c r="B83" s="241" t="s">
        <v>770</v>
      </c>
      <c r="C83" s="226"/>
      <c r="D83" s="245"/>
      <c r="E83" s="4"/>
      <c r="F83" s="4"/>
      <c r="G83" s="4"/>
      <c r="H83" s="4"/>
      <c r="I83" s="4"/>
      <c r="J83" s="4"/>
    </row>
    <row r="84" spans="1:10" x14ac:dyDescent="0.4">
      <c r="A84" s="213"/>
      <c r="B84" s="213"/>
      <c r="C84" s="213"/>
      <c r="D84" s="238"/>
      <c r="E84" s="237" t="str" cm="1">
        <f t="array" ref="E84:J84">IF(ISNUMBER(_xlfn.ANCHORARRAY(E$34)),"%","")</f>
        <v>%</v>
      </c>
      <c r="F84" s="237" t="str">
        <v>%</v>
      </c>
      <c r="G84" s="237" t="str">
        <v>%</v>
      </c>
      <c r="H84" s="237" t="str">
        <v>%</v>
      </c>
      <c r="I84" s="237" t="str">
        <v>%</v>
      </c>
      <c r="J84" s="237" t="str">
        <v>%</v>
      </c>
    </row>
    <row r="85" spans="1:10" ht="14.25" x14ac:dyDescent="0.45">
      <c r="A85" s="213">
        <v>44</v>
      </c>
      <c r="B85" s="228" t="s">
        <v>71</v>
      </c>
      <c r="C85" s="228"/>
      <c r="D85" s="246"/>
      <c r="E85" s="4"/>
      <c r="F85" s="4"/>
      <c r="G85" s="4"/>
      <c r="H85" s="4"/>
      <c r="I85" s="4"/>
      <c r="J85" s="4"/>
    </row>
    <row r="86" spans="1:10" x14ac:dyDescent="0.4">
      <c r="A86" s="213"/>
      <c r="B86" s="213"/>
      <c r="C86" s="213"/>
      <c r="D86" s="238"/>
      <c r="E86" s="265" t="s">
        <v>614</v>
      </c>
      <c r="F86" s="265" t="s">
        <v>614</v>
      </c>
      <c r="G86" s="265" t="s">
        <v>614</v>
      </c>
      <c r="H86" s="265" t="s">
        <v>614</v>
      </c>
      <c r="I86" s="265" t="s">
        <v>614</v>
      </c>
      <c r="J86" s="265" t="s">
        <v>614</v>
      </c>
    </row>
    <row r="87" spans="1:10" x14ac:dyDescent="0.4">
      <c r="A87" s="213">
        <v>45</v>
      </c>
      <c r="B87" s="240" t="s">
        <v>771</v>
      </c>
      <c r="C87" s="240" t="s">
        <v>772</v>
      </c>
      <c r="D87" s="4"/>
      <c r="E87" s="4"/>
      <c r="F87" s="4"/>
      <c r="G87" s="4"/>
      <c r="H87" s="4"/>
      <c r="I87" s="4"/>
      <c r="J87" s="4"/>
    </row>
    <row r="88" spans="1:10" x14ac:dyDescent="0.4">
      <c r="A88" s="213">
        <v>46</v>
      </c>
      <c r="B88" s="240" t="s">
        <v>773</v>
      </c>
      <c r="C88" s="240" t="s">
        <v>774</v>
      </c>
      <c r="D88" s="4"/>
      <c r="E88" s="4"/>
      <c r="F88" s="4"/>
      <c r="G88" s="4"/>
      <c r="H88" s="4"/>
      <c r="I88" s="4"/>
      <c r="J88" s="4"/>
    </row>
    <row r="89" spans="1:10" x14ac:dyDescent="0.4">
      <c r="E89" s="262"/>
      <c r="F89" s="262"/>
      <c r="G89" s="262"/>
      <c r="H89" s="262"/>
    </row>
    <row r="91" spans="1:10" ht="23.25" x14ac:dyDescent="0.7">
      <c r="A91" s="13" t="s">
        <v>815</v>
      </c>
    </row>
    <row r="92" spans="1:10" x14ac:dyDescent="0.4">
      <c r="A92" s="235"/>
      <c r="B92" s="235" t="s">
        <v>8</v>
      </c>
      <c r="C92" s="235" t="s">
        <v>31</v>
      </c>
      <c r="D92" s="235">
        <f>P9</f>
        <v>2023</v>
      </c>
      <c r="E92" s="235" cm="1">
        <f t="array" ref="E92:J92">_xlfn.SEQUENCE(1, MTP_EndYear-P9+1, P9)</f>
        <v>2023</v>
      </c>
      <c r="F92" s="235">
        <v>2024</v>
      </c>
      <c r="G92" s="235">
        <v>2025</v>
      </c>
      <c r="H92" s="235">
        <v>2026</v>
      </c>
      <c r="I92" s="235">
        <v>2027</v>
      </c>
      <c r="J92" s="235">
        <v>2028</v>
      </c>
    </row>
    <row r="93" spans="1:10" x14ac:dyDescent="0.4">
      <c r="A93" s="213"/>
      <c r="B93" s="213"/>
      <c r="C93" s="213"/>
      <c r="D93" s="236" t="s">
        <v>6</v>
      </c>
      <c r="E93" s="236" t="str" cm="1">
        <f t="array" ref="E93:J93">IF(ISNUMBER(_xlfn.ANCHORARRAY(E$34)),"growth rate","")</f>
        <v>growth rate</v>
      </c>
      <c r="F93" s="236" t="str">
        <v>growth rate</v>
      </c>
      <c r="G93" s="236" t="str">
        <v>growth rate</v>
      </c>
      <c r="H93" s="236" t="str">
        <v>growth rate</v>
      </c>
      <c r="I93" s="236" t="str">
        <v>growth rate</v>
      </c>
      <c r="J93" s="236" t="str">
        <v>growth rate</v>
      </c>
    </row>
    <row r="94" spans="1:10" ht="14.25" x14ac:dyDescent="0.45">
      <c r="A94" s="213">
        <v>1</v>
      </c>
      <c r="B94" s="226" t="s">
        <v>7</v>
      </c>
      <c r="C94" s="226" t="s">
        <v>775</v>
      </c>
      <c r="D94" s="247"/>
      <c r="H94" s="4"/>
      <c r="I94" s="4"/>
      <c r="J94" s="4"/>
    </row>
    <row r="95" spans="1:10" ht="14.25" x14ac:dyDescent="0.45">
      <c r="A95" s="213">
        <v>2</v>
      </c>
      <c r="B95" s="226" t="s">
        <v>8</v>
      </c>
      <c r="C95" s="226"/>
      <c r="D95" s="247"/>
      <c r="H95" s="4"/>
      <c r="I95" s="4"/>
      <c r="J95" s="4"/>
    </row>
    <row r="96" spans="1:10" x14ac:dyDescent="0.4">
      <c r="A96" s="213">
        <v>3</v>
      </c>
      <c r="B96" s="226" t="s">
        <v>9</v>
      </c>
      <c r="C96" s="226" t="s">
        <v>775</v>
      </c>
      <c r="D96" s="144"/>
      <c r="H96" s="4"/>
      <c r="I96" s="4"/>
      <c r="J96" s="4"/>
    </row>
    <row r="97" spans="1:10" x14ac:dyDescent="0.4">
      <c r="A97" s="213"/>
      <c r="B97" s="213" t="s">
        <v>776</v>
      </c>
      <c r="C97" s="213"/>
      <c r="D97" s="236" t="s">
        <v>6</v>
      </c>
      <c r="E97" s="236" t="str" cm="1">
        <f t="array" ref="E97:J97">IF(ISNUMBER(_xlfn.ANCHORARRAY(E$34)),"growth rate","")</f>
        <v>growth rate</v>
      </c>
      <c r="F97" s="236" t="str">
        <v>growth rate</v>
      </c>
      <c r="G97" s="236" t="str">
        <v>growth rate</v>
      </c>
      <c r="H97" s="237" t="str">
        <v>growth rate</v>
      </c>
      <c r="I97" s="237" t="str">
        <v>growth rate</v>
      </c>
      <c r="J97" s="237" t="str">
        <v>growth rate</v>
      </c>
    </row>
    <row r="98" spans="1:10" ht="14.25" x14ac:dyDescent="0.45">
      <c r="A98" s="213">
        <v>4</v>
      </c>
      <c r="B98" s="226" t="s">
        <v>777</v>
      </c>
      <c r="C98" s="226" t="s">
        <v>778</v>
      </c>
      <c r="D98" s="247"/>
      <c r="H98" s="4"/>
      <c r="I98" s="4"/>
      <c r="J98" s="4"/>
    </row>
    <row r="99" spans="1:10" ht="14.25" x14ac:dyDescent="0.45">
      <c r="A99" s="213">
        <v>5</v>
      </c>
      <c r="B99" s="226" t="s">
        <v>779</v>
      </c>
      <c r="C99" s="226" t="s">
        <v>778</v>
      </c>
      <c r="D99" s="247"/>
      <c r="H99" s="4"/>
      <c r="I99" s="4"/>
      <c r="J99" s="4"/>
    </row>
    <row r="100" spans="1:10" ht="14.25" x14ac:dyDescent="0.45">
      <c r="A100" s="213">
        <v>6</v>
      </c>
      <c r="B100" s="226" t="s">
        <v>10</v>
      </c>
      <c r="C100" s="226" t="s">
        <v>4</v>
      </c>
      <c r="D100" s="247"/>
      <c r="H100" s="4"/>
      <c r="I100" s="4"/>
      <c r="J100" s="4"/>
    </row>
    <row r="101" spans="1:10" ht="14.25" x14ac:dyDescent="0.45">
      <c r="A101" s="213">
        <v>7</v>
      </c>
      <c r="B101" s="226" t="s">
        <v>780</v>
      </c>
      <c r="C101" s="226" t="s">
        <v>781</v>
      </c>
      <c r="D101" s="247"/>
      <c r="E101" s="248"/>
      <c r="F101" s="248"/>
      <c r="G101" s="248"/>
      <c r="H101" s="249"/>
      <c r="I101" s="249"/>
      <c r="J101" s="249"/>
    </row>
    <row r="102" spans="1:10" ht="14.25" x14ac:dyDescent="0.45">
      <c r="A102" s="213">
        <v>8</v>
      </c>
      <c r="B102" s="226" t="s">
        <v>782</v>
      </c>
      <c r="C102" s="226" t="s">
        <v>783</v>
      </c>
      <c r="D102" s="247"/>
      <c r="H102" s="4"/>
      <c r="I102" s="4"/>
      <c r="J102" s="4"/>
    </row>
    <row r="103" spans="1:10" ht="14.25" x14ac:dyDescent="0.45">
      <c r="A103" s="213">
        <v>9</v>
      </c>
      <c r="B103" s="226" t="s">
        <v>784</v>
      </c>
      <c r="C103" s="226" t="s">
        <v>785</v>
      </c>
      <c r="D103" s="247"/>
      <c r="H103" s="4"/>
      <c r="I103" s="4"/>
      <c r="J103" s="4"/>
    </row>
    <row r="104" spans="1:10" x14ac:dyDescent="0.4">
      <c r="A104" s="213"/>
      <c r="B104" s="226" t="s">
        <v>786</v>
      </c>
      <c r="C104" s="226"/>
      <c r="D104" s="226"/>
      <c r="E104" s="226"/>
      <c r="F104" s="226"/>
      <c r="G104" s="226"/>
      <c r="H104" s="243"/>
      <c r="I104" s="243"/>
      <c r="J104" s="243"/>
    </row>
    <row r="105" spans="1:10" ht="14.25" x14ac:dyDescent="0.45">
      <c r="A105" s="213">
        <v>10</v>
      </c>
      <c r="B105" s="244" t="s">
        <v>787</v>
      </c>
      <c r="C105" s="226"/>
      <c r="D105" s="247"/>
      <c r="H105" s="4"/>
      <c r="I105" s="4"/>
      <c r="J105" s="4"/>
    </row>
    <row r="106" spans="1:10" ht="14.25" x14ac:dyDescent="0.45">
      <c r="A106" s="213">
        <v>11</v>
      </c>
      <c r="B106" s="244" t="s">
        <v>788</v>
      </c>
      <c r="C106" s="226" t="s">
        <v>781</v>
      </c>
      <c r="D106" s="247"/>
      <c r="H106" s="4"/>
      <c r="I106" s="4"/>
      <c r="J106" s="4"/>
    </row>
    <row r="107" spans="1:10" ht="14.25" x14ac:dyDescent="0.45">
      <c r="A107" s="213">
        <v>12</v>
      </c>
      <c r="B107" s="244" t="s">
        <v>789</v>
      </c>
      <c r="C107" s="226" t="s">
        <v>790</v>
      </c>
      <c r="D107" s="247"/>
      <c r="H107" s="4"/>
      <c r="I107" s="4"/>
      <c r="J107" s="4"/>
    </row>
    <row r="108" spans="1:10" x14ac:dyDescent="0.4">
      <c r="A108" s="213"/>
      <c r="B108" s="213" t="s">
        <v>791</v>
      </c>
      <c r="C108" s="213"/>
      <c r="D108" s="236"/>
      <c r="E108" s="236" t="str" cm="1">
        <f t="array" ref="E108:J108">IF(ISNUMBER(_xlfn.ANCHORARRAY(E$34)),"growth rate","")</f>
        <v>growth rate</v>
      </c>
      <c r="F108" s="236" t="str">
        <v>growth rate</v>
      </c>
      <c r="G108" s="236" t="str">
        <v>growth rate</v>
      </c>
      <c r="H108" s="237" t="str">
        <v>growth rate</v>
      </c>
      <c r="I108" s="237" t="str">
        <v>growth rate</v>
      </c>
      <c r="J108" s="237" t="str">
        <v>growth rate</v>
      </c>
    </row>
    <row r="109" spans="1:10" ht="14.25" x14ac:dyDescent="0.45">
      <c r="A109" s="213">
        <v>13</v>
      </c>
      <c r="B109" s="226" t="s">
        <v>792</v>
      </c>
      <c r="C109" s="226"/>
      <c r="D109" s="247"/>
      <c r="H109" s="4"/>
      <c r="I109" s="4"/>
      <c r="J109" s="4"/>
    </row>
    <row r="110" spans="1:10" ht="14.25" x14ac:dyDescent="0.45">
      <c r="A110" s="213">
        <v>14</v>
      </c>
      <c r="B110" s="241" t="s">
        <v>793</v>
      </c>
      <c r="C110" s="226"/>
      <c r="D110" s="247"/>
      <c r="H110" s="4"/>
      <c r="I110" s="4"/>
      <c r="J110" s="4"/>
    </row>
    <row r="111" spans="1:10" ht="14.25" x14ac:dyDescent="0.45">
      <c r="A111" s="213">
        <v>15</v>
      </c>
      <c r="B111" s="226" t="s">
        <v>794</v>
      </c>
      <c r="C111" s="226"/>
      <c r="D111" s="247"/>
      <c r="H111" s="4"/>
      <c r="I111" s="4"/>
      <c r="J111" s="4"/>
    </row>
    <row r="112" spans="1:10" ht="14.25" x14ac:dyDescent="0.45">
      <c r="A112" s="213">
        <v>16</v>
      </c>
      <c r="B112" s="226" t="s">
        <v>795</v>
      </c>
      <c r="C112" s="226"/>
      <c r="D112" s="247"/>
      <c r="H112" s="4"/>
      <c r="I112" s="4"/>
      <c r="J112" s="4"/>
    </row>
    <row r="113" spans="1:10" ht="14.25" x14ac:dyDescent="0.45">
      <c r="A113" s="213">
        <v>17</v>
      </c>
      <c r="B113" s="226" t="s">
        <v>796</v>
      </c>
      <c r="C113" s="226"/>
      <c r="D113" s="247"/>
      <c r="H113" s="4"/>
      <c r="I113" s="4"/>
      <c r="J113" s="4"/>
    </row>
    <row r="114" spans="1:10" ht="14.25" x14ac:dyDescent="0.45">
      <c r="A114" s="213">
        <v>18</v>
      </c>
      <c r="B114" s="226" t="s">
        <v>797</v>
      </c>
      <c r="C114" s="226"/>
      <c r="D114" s="247"/>
      <c r="H114" s="4"/>
      <c r="I114" s="4"/>
      <c r="J114" s="4"/>
    </row>
    <row r="115" spans="1:10" x14ac:dyDescent="0.4">
      <c r="A115" s="213"/>
      <c r="B115" s="213" t="s">
        <v>798</v>
      </c>
      <c r="C115" s="213" t="s">
        <v>26</v>
      </c>
      <c r="D115" s="236" t="s">
        <v>799</v>
      </c>
      <c r="E115" s="236" t="str" cm="1">
        <f t="array" ref="E115:J115">IF(ISNUMBER(_xlfn.ANCHORARRAY(E$34)),"growth rate","")</f>
        <v>growth rate</v>
      </c>
      <c r="F115" s="236" t="str">
        <v>growth rate</v>
      </c>
      <c r="G115" s="236" t="str">
        <v>growth rate</v>
      </c>
      <c r="H115" s="237" t="str">
        <v>growth rate</v>
      </c>
      <c r="I115" s="237" t="str">
        <v>growth rate</v>
      </c>
      <c r="J115" s="237" t="str">
        <v>growth rate</v>
      </c>
    </row>
    <row r="116" spans="1:10" x14ac:dyDescent="0.4">
      <c r="A116" s="213">
        <v>19</v>
      </c>
      <c r="B116" s="226" t="s">
        <v>800</v>
      </c>
      <c r="C116" s="226"/>
      <c r="D116" s="144"/>
      <c r="E116" s="3"/>
      <c r="G116" s="3"/>
      <c r="H116" s="64"/>
      <c r="I116" s="64"/>
      <c r="J116" s="64"/>
    </row>
    <row r="117" spans="1:10" x14ac:dyDescent="0.4">
      <c r="A117" s="213">
        <v>20</v>
      </c>
      <c r="B117" s="226" t="s">
        <v>801</v>
      </c>
      <c r="C117" s="226"/>
      <c r="D117" s="144"/>
      <c r="H117" s="4"/>
      <c r="I117" s="4"/>
      <c r="J117" s="4"/>
    </row>
    <row r="118" spans="1:10" ht="14.25" x14ac:dyDescent="0.45">
      <c r="A118" s="213">
        <v>21</v>
      </c>
      <c r="B118" s="226" t="s">
        <v>802</v>
      </c>
      <c r="C118" s="226"/>
      <c r="D118" s="247"/>
      <c r="H118" s="4"/>
      <c r="I118" s="4"/>
      <c r="J118" s="4"/>
    </row>
    <row r="119" spans="1:10" ht="14.25" x14ac:dyDescent="0.45">
      <c r="A119" s="213">
        <v>22</v>
      </c>
      <c r="B119" s="226" t="s">
        <v>803</v>
      </c>
      <c r="C119" s="226"/>
      <c r="D119" s="247"/>
      <c r="H119" s="4"/>
      <c r="I119" s="4"/>
      <c r="J119" s="4"/>
    </row>
    <row r="120" spans="1:10" x14ac:dyDescent="0.4">
      <c r="A120" s="213">
        <v>23</v>
      </c>
      <c r="B120" s="226" t="s">
        <v>804</v>
      </c>
      <c r="C120" s="226" t="s">
        <v>5</v>
      </c>
      <c r="D120" s="144"/>
      <c r="H120" s="4"/>
      <c r="I120" s="4"/>
      <c r="J120" s="4"/>
    </row>
    <row r="121" spans="1:10" x14ac:dyDescent="0.4">
      <c r="A121" s="213">
        <v>24</v>
      </c>
      <c r="B121" s="226" t="s">
        <v>805</v>
      </c>
      <c r="C121" s="226"/>
      <c r="H121" s="4"/>
      <c r="I121" s="4"/>
      <c r="J121" s="4"/>
    </row>
    <row r="122" spans="1:10" x14ac:dyDescent="0.4">
      <c r="A122" s="213"/>
      <c r="B122" s="213"/>
      <c r="C122" s="213"/>
      <c r="D122" s="236"/>
      <c r="E122" s="236" t="str" cm="1">
        <f t="array" ref="E122:J122">IF(ISNUMBER(_xlfn.ANCHORARRAY(E$34)),"%","")</f>
        <v>%</v>
      </c>
      <c r="F122" s="236" t="str">
        <v>%</v>
      </c>
      <c r="G122" s="236" t="str">
        <v>%</v>
      </c>
      <c r="H122" s="237" t="str">
        <v>%</v>
      </c>
      <c r="I122" s="237" t="str">
        <v>%</v>
      </c>
      <c r="J122" s="237" t="str">
        <v>%</v>
      </c>
    </row>
    <row r="123" spans="1:10" ht="14.25" x14ac:dyDescent="0.45">
      <c r="A123" s="213">
        <v>25</v>
      </c>
      <c r="B123" s="226" t="s">
        <v>806</v>
      </c>
      <c r="C123" s="226"/>
      <c r="D123" s="247"/>
      <c r="H123" s="4"/>
      <c r="I123" s="4"/>
      <c r="J123" s="4"/>
    </row>
    <row r="124" spans="1:10" x14ac:dyDescent="0.4">
      <c r="A124" s="213"/>
      <c r="B124" s="213" t="s">
        <v>807</v>
      </c>
      <c r="C124" s="213"/>
      <c r="D124" s="236"/>
      <c r="E124" s="236" t="str" cm="1">
        <f t="array" ref="E124:J124">IF(ISNUMBER(_xlfn.ANCHORARRAY(E$34)),"growth rate","")</f>
        <v>growth rate</v>
      </c>
      <c r="F124" s="236" t="str">
        <v>growth rate</v>
      </c>
      <c r="G124" s="236" t="str">
        <v>growth rate</v>
      </c>
      <c r="H124" s="237" t="str">
        <v>growth rate</v>
      </c>
      <c r="I124" s="237" t="str">
        <v>growth rate</v>
      </c>
      <c r="J124" s="237" t="str">
        <v>growth rate</v>
      </c>
    </row>
    <row r="125" spans="1:10" ht="14.25" x14ac:dyDescent="0.45">
      <c r="A125" s="213">
        <v>26</v>
      </c>
      <c r="B125" s="226" t="s">
        <v>808</v>
      </c>
      <c r="C125" s="226"/>
      <c r="D125" s="247"/>
      <c r="H125" s="4"/>
      <c r="I125" s="4"/>
      <c r="J125" s="4"/>
    </row>
    <row r="126" spans="1:10" x14ac:dyDescent="0.4">
      <c r="A126" s="213"/>
      <c r="B126" s="226" t="s">
        <v>809</v>
      </c>
      <c r="C126" s="226"/>
      <c r="D126" s="226"/>
      <c r="E126" s="226"/>
      <c r="F126" s="226"/>
      <c r="G126" s="226"/>
      <c r="H126" s="243"/>
      <c r="I126" s="243"/>
      <c r="J126" s="243"/>
    </row>
    <row r="127" spans="1:10" ht="14.25" x14ac:dyDescent="0.45">
      <c r="A127" s="213">
        <v>27</v>
      </c>
      <c r="B127" s="241" t="s">
        <v>810</v>
      </c>
      <c r="C127" s="226"/>
      <c r="D127" s="247"/>
      <c r="H127" s="4"/>
      <c r="I127" s="4"/>
      <c r="J127" s="4"/>
    </row>
    <row r="128" spans="1:10" ht="14.25" x14ac:dyDescent="0.45">
      <c r="A128" s="213">
        <v>28</v>
      </c>
      <c r="B128" s="241" t="s">
        <v>811</v>
      </c>
      <c r="C128" s="226"/>
      <c r="D128" s="247"/>
      <c r="H128" s="4"/>
      <c r="I128" s="4"/>
      <c r="J128" s="4"/>
    </row>
    <row r="129" spans="1:10" ht="14.25" x14ac:dyDescent="0.45">
      <c r="A129" s="213">
        <v>29</v>
      </c>
      <c r="B129" s="241" t="s">
        <v>812</v>
      </c>
      <c r="C129" s="226"/>
      <c r="D129" s="247"/>
      <c r="H129" s="4"/>
      <c r="I129" s="4"/>
      <c r="J129" s="4"/>
    </row>
    <row r="130" spans="1:10" x14ac:dyDescent="0.4">
      <c r="A130" s="213"/>
      <c r="B130" s="213"/>
      <c r="C130" s="213"/>
      <c r="D130" s="236"/>
      <c r="E130" s="63" t="str" cm="1">
        <f t="array" ref="E130:J130">IF(ISNUMBER(_xlfn.ANCHORARRAY(E$34)),"% pot. GDP","")</f>
        <v>% pot. GDP</v>
      </c>
      <c r="F130" s="236" t="str">
        <v>% pot. GDP</v>
      </c>
      <c r="G130" s="236" t="str">
        <v>% pot. GDP</v>
      </c>
      <c r="H130" s="237" t="str">
        <v>% pot. GDP</v>
      </c>
      <c r="I130" s="237" t="str">
        <v>% pot. GDP</v>
      </c>
      <c r="J130" s="237" t="str">
        <v>% pot. GDP</v>
      </c>
    </row>
    <row r="131" spans="1:10" ht="14.25" x14ac:dyDescent="0.45">
      <c r="A131" s="213">
        <v>30</v>
      </c>
      <c r="B131" s="226" t="s">
        <v>89</v>
      </c>
      <c r="C131" s="226"/>
      <c r="D131" s="247"/>
      <c r="H131" s="4"/>
      <c r="I131" s="4"/>
      <c r="J131" s="4"/>
    </row>
  </sheetData>
  <conditionalFormatting sqref="D7:J7">
    <cfRule type="expression" dxfId="98" priority="8">
      <formula>ISNUMBER(D6)</formula>
    </cfRule>
  </conditionalFormatting>
  <conditionalFormatting sqref="D6:J6">
    <cfRule type="expression" dxfId="97" priority="7">
      <formula>ISNUMBER(D6)</formula>
    </cfRule>
  </conditionalFormatting>
  <conditionalFormatting sqref="D29:J29">
    <cfRule type="expression" dxfId="96"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Select country's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5" t="str">
        <f>CHAR(149)&amp;" This checks whether "&amp;Country&amp;" is adhering to its Council-endorsed medium-term structural-fiscal plan."</f>
        <v>• This checks whether Select country is adhering to its Council-endorsed medium-term structural-fiscal plan.</v>
      </c>
      <c r="M4" s="26"/>
      <c r="N4" s="26"/>
      <c r="Q4" s="28"/>
      <c r="R4" s="28"/>
      <c r="AU4" s="174"/>
      <c r="AV4" s="25"/>
    </row>
    <row r="5" spans="1:54" customFormat="1" x14ac:dyDescent="0.45">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Select country's latest MTP was endorsed by the Council.</v>
      </c>
      <c r="C6" s="31"/>
      <c r="D6" s="31"/>
      <c r="E6" s="31"/>
      <c r="F6" s="31"/>
      <c r="G6" s="31"/>
      <c r="H6" s="31"/>
      <c r="I6" s="31"/>
      <c r="J6" s="31"/>
      <c r="M6" s="26"/>
      <c r="N6" s="26"/>
      <c r="Q6" s="26"/>
      <c r="R6" s="26"/>
      <c r="S6" s="21"/>
      <c r="AU6" s="174"/>
      <c r="AV6" s="20"/>
    </row>
    <row r="7" spans="1:54" x14ac:dyDescent="0.45">
      <c r="A7" s="21"/>
      <c r="B7" s="176" t="str" cm="1">
        <f t="array" ref="B7">CHAR(149)&amp;" "&amp;
_xlfn.LET(
  _xlpm.rng, 'Step 1 - Set global parameters'!B23:H23,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AU7" s="158"/>
      <c r="AV7" s="157"/>
    </row>
    <row r="8" spans="1:54" x14ac:dyDescent="0.45">
      <c r="A8" s="21"/>
    </row>
    <row r="9" spans="1:54" ht="15.75" x14ac:dyDescent="0.5">
      <c r="A9" s="111"/>
      <c r="B9" s="114" t="s">
        <v>18</v>
      </c>
      <c r="C9" s="253"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IF(AssessmentRound="New or revised MTP","N/A",IF(
  OR(
    Assessment!C95="Not applicable (all years adhere to the net expenditure path)",
    Assessment!C95=TRUE
  ),
  "Compliant",
  IF(
    Assessment!C93=FALSE,
    "Breach",
    IF(
      IFERROR(Assessment!C94=FALSE,FALSE),
      "At risk",
      "Compliant"
    )
  )
))</f>
        <v>N/A</v>
      </c>
      <c r="E10" s="22" t="e">
        <f>IF(AssessmentRound="New or revised MTP",NA(),Assessment!C97)</f>
        <v>#N/A</v>
      </c>
      <c r="AU10" s="163"/>
      <c r="AV10" s="163"/>
      <c r="AW10" s="163"/>
      <c r="AX10" s="163"/>
      <c r="AY10" s="163"/>
      <c r="AZ10" s="163"/>
      <c r="BA10" s="163"/>
      <c r="BB10" s="163"/>
    </row>
    <row r="11" spans="1:54" ht="19.149999999999999" customHeight="1" x14ac:dyDescent="0.7">
      <c r="A11" s="112" t="s">
        <v>393</v>
      </c>
      <c r="B11" s="78" t="s">
        <v>482</v>
      </c>
      <c r="C11" s="75" t="str">
        <f t="shared" si="0"/>
        <v>☐</v>
      </c>
      <c r="D11" s="78" t="str">
        <f>IF(
  AssessmentRound="New or revised MTP",
  "N/A",
  IF(
    OR(IF(ISNA(Assessment!C151),FALSE,Assessment!C151),
       IF(ISNA(Assessment!C152),FALSE,Assessment!C152)),
    "Breach",
    IF(
      AND(OR(Assessment!C149,Assessment!C150),
          NOT(Assessment!C153)),
      "Breach",
      IF(
        AND(OR(Assessment!C147,Assessment!C148),
            NOT(Assessment!C153)),
        "At risk",
        "Compliant"
      )
    )
  )
)</f>
        <v>N/A</v>
      </c>
      <c r="E11" s="22" t="e">
        <f>IF(AssessmentRound="New or revised MTP",NA(),Assessment!C156)</f>
        <v>#N/A</v>
      </c>
    </row>
    <row r="12" spans="1:54" ht="19.149999999999999" customHeight="1" x14ac:dyDescent="0.7">
      <c r="A12" s="112" t="s">
        <v>137</v>
      </c>
      <c r="B12" s="78" t="s">
        <v>604</v>
      </c>
      <c r="C12" s="75" t="str">
        <f>IF(D12="At risk","⚠",IF(D12="Compliant","☑",IF(D12="Breach","⮽","☐")))</f>
        <v>☐</v>
      </c>
      <c r="D12" s="78" t="str">
        <f>IF(AssessmentRound="New or revised MTP", "N/A", IF(
  OR(
    NOT(Receives_reference_trajectory),
    NOT(OR(Assessment!C159, Assessment!C160))
  ),
  "N/A",
  IF(
    OR(
      IF(Assessment!C159, NOT(Assessment!C161), FALSE),
      IF(Assessment!C160, NOT(Assessment!C162), FALSE)
    ),
    "At risk",
    "Compliant"
  )
))</f>
        <v>N/A</v>
      </c>
      <c r="E12" s="22" t="e">
        <f>IF(AssessmentRound="New or revised MTP",NA(),Assessment!C164)</f>
        <v>#N/A</v>
      </c>
    </row>
    <row r="13" spans="1:54" ht="19.149999999999999" customHeight="1" x14ac:dyDescent="0.7">
      <c r="A13" s="112" t="s">
        <v>463</v>
      </c>
      <c r="B13" s="78" t="s">
        <v>605</v>
      </c>
      <c r="C13" s="75" t="str">
        <f t="shared" ref="C13" si="1">IF(D13="At risk","⚠",IF(D13="Compliant","☑",IF(D13="Breach","⮽","☐")))</f>
        <v>☐</v>
      </c>
      <c r="D13" s="78" t="str">
        <f>IF(AssessmentRound="New or revised MTP","N/A",IF(
  NOT(Receives_reference_trajectory),
  "N/A",
  IF(
    ISNA(Assessment!C174),
    "N/A",
    IF(Assessment!C174,"Compliant","At risk")
  )
))</f>
        <v>N/A</v>
      </c>
      <c r="E13" s="22" t="e">
        <f>IF(AssessmentRound="New or revised MTP",NA(),Assessment!C176)</f>
        <v>#N/A</v>
      </c>
    </row>
    <row r="14" spans="1:54" ht="19.149999999999999" customHeight="1" x14ac:dyDescent="0.7">
      <c r="A14" s="112" t="s">
        <v>503</v>
      </c>
      <c r="B14" s="78" t="s">
        <v>608</v>
      </c>
      <c r="C14" s="75" t="str">
        <f>IF(D14="At risk","⚠",IF(D14="Compliant","☑",IF(D14="Breach","⮽","☐")))</f>
        <v>☐</v>
      </c>
      <c r="D14" s="78" t="str">
        <f>IF(AssessmentRound="New or revised MTP","N/A",IF(Assessment!C185,"Compliant",IF(EscapeClauseActivated,"Compliant","At risk")))</f>
        <v>N/A</v>
      </c>
      <c r="E14" s="22" t="e">
        <f>IF(AssessmentRound="New or revised MTP",NA(),Assessment!C187)</f>
        <v>#N/A</v>
      </c>
    </row>
    <row r="15" spans="1:54" customFormat="1" ht="19.149999999999999" customHeight="1" thickBot="1" x14ac:dyDescent="0.75">
      <c r="A15" s="112"/>
      <c r="B15" s="73" t="s">
        <v>477</v>
      </c>
      <c r="C15" s="74" t="str">
        <f>IF(D14="At risk","⚠",IF(D14="Compliant","☑",IF(D14="Breach","⮽","☐")))</f>
        <v>☐</v>
      </c>
      <c r="D15" s="139" t="str">
        <f>IF(AssessmentRound="New or revised MTP","N/A",IF(COUNTIF(D10:D11,"Breach")=0,"Compliant","Breach"))</f>
        <v>N/A</v>
      </c>
      <c r="E15" s="73" t="e">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#N/A</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974</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IF(AssessmentRound="New or revised MTP", "", IF(_xlfn.ANCHORARRAY(D21)&lt;=AdjustmentPeriodEnd, IF(_xlfn.ANCHORARRAY(D21)&lt;=OutturnThrough, "Observed", "Planned"), ""))</f>
        <v/>
      </c>
      <c r="E18" s="30"/>
      <c r="F18" s="30"/>
      <c r="G18" s="30"/>
      <c r="H18" s="30"/>
      <c r="I18" s="30"/>
      <c r="J18" s="22"/>
      <c r="P18" s="22"/>
      <c r="Q18" s="22"/>
      <c r="R18" s="22"/>
      <c r="S18" s="22"/>
      <c r="T18" s="22"/>
      <c r="U18" s="22"/>
    </row>
    <row r="19" spans="1:21" customFormat="1" ht="14.85" customHeight="1" x14ac:dyDescent="0.45">
      <c r="A19" s="3"/>
      <c r="B19" s="66" t="s">
        <v>495</v>
      </c>
      <c r="C19" s="66"/>
      <c r="D19" s="96" t="str" cm="1">
        <f t="array" aca="1" ref="D19" ca="1">IF(AssessmentRound="New or revised MTP", "", IF(AssessmentRound="Revised MTP","",_xlfn.HSTACK("",IF(OFFSET(Assessment!$F$141,0,0,1,COLUMNS(_xlfn.ANCHORARRAY(D21))-1),"Yes","No"))))</f>
        <v/>
      </c>
      <c r="E19" s="96"/>
      <c r="F19" s="96"/>
      <c r="G19" s="96"/>
      <c r="H19" s="96"/>
      <c r="I19" s="96"/>
      <c r="J19" s="22"/>
    </row>
    <row r="20" spans="1:21" customFormat="1" ht="14.85" customHeight="1" x14ac:dyDescent="0.45">
      <c r="A20" s="3"/>
      <c r="B20" s="66" t="s">
        <v>274</v>
      </c>
      <c r="C20" s="66"/>
      <c r="D20" s="30" t="str" cm="1">
        <f t="array" ref="D20:F20">IF((_xlfn.ANCHORARRAY(D21)&gt;=MTP_YearT-1)*(_xlfn.ANCHORARRAY(D21)&lt;=AdjustmentPeriodEnd), IF(_xlfn.ANCHORARRAY(D21)=MTP_YearT-1, "T-1", IF(_xlfn.ANCHORARRAY(D21)=MTP_YearT, "T", "T+"&amp;(_xlfn.ANCHORARRAY(D21)-MTP_YearT))), "")</f>
        <v>T-1</v>
      </c>
      <c r="E20" s="30" t="str">
        <v>T</v>
      </c>
      <c r="F20" s="30" t="str">
        <v>T+1</v>
      </c>
      <c r="G20" s="30"/>
      <c r="H20" s="30"/>
      <c r="I20" s="30"/>
      <c r="J20" s="22"/>
    </row>
    <row r="21" spans="1:21" customFormat="1" ht="14.85" customHeight="1" x14ac:dyDescent="0.45">
      <c r="A21" s="3"/>
      <c r="B21" s="66" t="s">
        <v>251</v>
      </c>
      <c r="C21" s="66"/>
      <c r="D21" s="29" cm="1">
        <f t="array" ref="D21:F21">_xlfn.SEQUENCE(1, AssessmentEnd-MTP_BaseYear+1, MTP_BaseYear)</f>
        <v>2023</v>
      </c>
      <c r="E21" s="29">
        <v>2024</v>
      </c>
      <c r="F21" s="29">
        <v>2025</v>
      </c>
      <c r="G21" s="29"/>
      <c r="H21" s="22"/>
      <c r="I21" s="22"/>
      <c r="J21" s="22"/>
    </row>
    <row r="22" spans="1:21" customFormat="1" ht="19.05" customHeight="1" x14ac:dyDescent="0.4">
      <c r="A22" s="3"/>
      <c r="B22" s="263" t="s">
        <v>635</v>
      </c>
    </row>
    <row r="23" spans="1:21" customFormat="1" ht="14.85" customHeight="1" x14ac:dyDescent="0.4">
      <c r="A23" s="3">
        <v>1</v>
      </c>
      <c r="B23" t="s">
        <v>257</v>
      </c>
      <c r="C23" t="s">
        <v>6</v>
      </c>
      <c r="D23" s="4">
        <f>Assessment!D104</f>
        <v>0</v>
      </c>
      <c r="E23" s="4">
        <f>Assessment!E104</f>
        <v>0</v>
      </c>
      <c r="F23" s="4">
        <f>Assessment!F104</f>
        <v>0</v>
      </c>
      <c r="G23" s="4" t="str">
        <f>Assessment!G104</f>
        <v/>
      </c>
      <c r="H23" t="str">
        <f>Assessment!H104</f>
        <v/>
      </c>
      <c r="I23" t="str">
        <f>Assessment!I104</f>
        <v/>
      </c>
      <c r="J23" t="str">
        <f>Assessment!J104</f>
        <v/>
      </c>
    </row>
    <row r="24" spans="1:21" customFormat="1" ht="14.85" customHeight="1" x14ac:dyDescent="0.4">
      <c r="A24" s="3">
        <v>2</v>
      </c>
      <c r="B24" t="s">
        <v>25</v>
      </c>
      <c r="C24" t="s">
        <v>6</v>
      </c>
      <c r="D24" s="4">
        <f>Assessment!D105</f>
        <v>0</v>
      </c>
      <c r="E24" s="4">
        <f>Assessment!E105</f>
        <v>0</v>
      </c>
      <c r="F24" s="4">
        <f>Assessment!F105</f>
        <v>0</v>
      </c>
      <c r="G24" s="4" t="str">
        <f>Assessment!G105</f>
        <v/>
      </c>
      <c r="H24" t="str">
        <f>Assessment!H105</f>
        <v/>
      </c>
      <c r="I24" t="str">
        <f>Assessment!I105</f>
        <v/>
      </c>
      <c r="J24" t="str">
        <f>Assessment!J105</f>
        <v/>
      </c>
    </row>
    <row r="25" spans="1:21" customFormat="1" ht="14.85" customHeight="1" x14ac:dyDescent="0.4">
      <c r="A25" s="3">
        <v>3</v>
      </c>
      <c r="B25" t="s">
        <v>276</v>
      </c>
      <c r="C25" t="s">
        <v>6</v>
      </c>
      <c r="D25" s="4">
        <f>Assessment!D106</f>
        <v>0</v>
      </c>
      <c r="E25" s="4">
        <f>Assessment!E106</f>
        <v>0</v>
      </c>
      <c r="F25" s="4">
        <f>Assessment!F106</f>
        <v>0</v>
      </c>
      <c r="G25" s="4" t="str">
        <f>Assessment!G106</f>
        <v/>
      </c>
      <c r="H25" t="str">
        <f>Assessment!H106</f>
        <v/>
      </c>
      <c r="I25" t="str">
        <f>Assessment!I106</f>
        <v/>
      </c>
      <c r="J25" t="str">
        <f>Assessment!J106</f>
        <v/>
      </c>
    </row>
    <row r="26" spans="1:21" customFormat="1" ht="14.85" customHeight="1" x14ac:dyDescent="0.4">
      <c r="A26" s="3">
        <v>4</v>
      </c>
      <c r="B26" t="s">
        <v>636</v>
      </c>
      <c r="C26" t="s">
        <v>6</v>
      </c>
      <c r="D26" s="4">
        <f>Assessment!D107</f>
        <v>0</v>
      </c>
      <c r="E26" s="4">
        <f>Assessment!E107</f>
        <v>0</v>
      </c>
      <c r="F26" s="4">
        <f>Assessment!F107</f>
        <v>0</v>
      </c>
      <c r="G26" s="4" t="str">
        <f>Assessment!G107</f>
        <v/>
      </c>
      <c r="H26" t="str">
        <f>Assessment!H107</f>
        <v/>
      </c>
      <c r="I26" t="str">
        <f>Assessment!I107</f>
        <v/>
      </c>
      <c r="J26" t="str">
        <f>Assessment!J107</f>
        <v/>
      </c>
    </row>
    <row r="27" spans="1:21" customFormat="1" ht="14.85" customHeight="1" x14ac:dyDescent="0.4">
      <c r="A27" s="3">
        <v>5</v>
      </c>
      <c r="B27" t="s">
        <v>278</v>
      </c>
      <c r="C27" t="s">
        <v>6</v>
      </c>
      <c r="D27" s="4">
        <f>Assessment!D108</f>
        <v>0</v>
      </c>
      <c r="E27" s="4">
        <f>Assessment!E108</f>
        <v>0</v>
      </c>
      <c r="F27" s="4">
        <f>Assessment!F108</f>
        <v>0</v>
      </c>
      <c r="G27" s="4" t="str">
        <f>Assessment!G108</f>
        <v/>
      </c>
      <c r="H27" t="str">
        <f>Assessment!H108</f>
        <v/>
      </c>
      <c r="I27" t="str">
        <f>Assessment!I108</f>
        <v/>
      </c>
      <c r="J27" t="str">
        <f>Assessment!J108</f>
        <v/>
      </c>
    </row>
    <row r="28" spans="1:21" customFormat="1" ht="14.65" customHeight="1" x14ac:dyDescent="0.4">
      <c r="A28" s="3">
        <v>6</v>
      </c>
      <c r="B28" t="s">
        <v>637</v>
      </c>
      <c r="C28" t="s">
        <v>6</v>
      </c>
      <c r="D28" s="4">
        <f>Assessment!D109</f>
        <v>0</v>
      </c>
      <c r="E28" s="4">
        <f>Assessment!E109</f>
        <v>0</v>
      </c>
      <c r="F28" s="4">
        <f>Assessment!F109</f>
        <v>0</v>
      </c>
      <c r="G28" s="4" t="str">
        <f>Assessment!G109</f>
        <v/>
      </c>
      <c r="H28" t="str">
        <f>Assessment!H109</f>
        <v/>
      </c>
      <c r="I28" t="str">
        <f>Assessment!I109</f>
        <v/>
      </c>
      <c r="J28" t="str">
        <f>Assessment!J109</f>
        <v/>
      </c>
    </row>
    <row r="29" spans="1:21" customFormat="1" ht="14.65" customHeight="1" x14ac:dyDescent="0.4">
      <c r="A29" s="3">
        <v>7</v>
      </c>
      <c r="B29" t="s">
        <v>638</v>
      </c>
      <c r="C29" t="s">
        <v>6</v>
      </c>
      <c r="D29" s="4">
        <f>Assessment!D110</f>
        <v>0</v>
      </c>
      <c r="E29" s="4">
        <f>Assessment!E110</f>
        <v>0</v>
      </c>
      <c r="F29" s="4">
        <f>Assessment!F110</f>
        <v>0</v>
      </c>
      <c r="G29" s="4" t="str">
        <f>Assessment!G110</f>
        <v/>
      </c>
      <c r="H29" t="str">
        <f>Assessment!H110</f>
        <v/>
      </c>
      <c r="I29" t="str">
        <f>Assessment!I110</f>
        <v/>
      </c>
      <c r="J29" t="str">
        <f>Assessment!J110</f>
        <v/>
      </c>
    </row>
    <row r="30" spans="1:21" customFormat="1" ht="14.65" customHeight="1" x14ac:dyDescent="0.4">
      <c r="A30" s="3">
        <v>8</v>
      </c>
      <c r="B30" t="s">
        <v>639</v>
      </c>
      <c r="C30" t="s">
        <v>6</v>
      </c>
      <c r="D30" s="4"/>
      <c r="E30" s="4">
        <f>Assessment!E111</f>
        <v>0</v>
      </c>
      <c r="F30" s="4">
        <f>Assessment!F111</f>
        <v>0</v>
      </c>
      <c r="G30" s="4" t="str">
        <f>Assessment!G111</f>
        <v/>
      </c>
      <c r="H30" t="str">
        <f>Assessment!H111</f>
        <v/>
      </c>
      <c r="I30" t="str">
        <f>Assessment!I111</f>
        <v/>
      </c>
      <c r="J30" t="str">
        <f>Assessment!J111</f>
        <v/>
      </c>
    </row>
    <row r="31" spans="1:21" customFormat="1" ht="14.65" customHeight="1" x14ac:dyDescent="0.4">
      <c r="A31" s="3">
        <v>9</v>
      </c>
      <c r="B31" t="s">
        <v>640</v>
      </c>
      <c r="C31" t="s">
        <v>6</v>
      </c>
      <c r="D31" s="4"/>
      <c r="E31" s="4">
        <f>Assessment!E112</f>
        <v>0</v>
      </c>
      <c r="F31" s="4">
        <f>Assessment!F112</f>
        <v>0</v>
      </c>
      <c r="G31" s="4" t="str">
        <f>Assessment!G112</f>
        <v/>
      </c>
      <c r="H31" t="str">
        <f>Assessment!H112</f>
        <v/>
      </c>
      <c r="I31" t="str">
        <f>Assessment!I112</f>
        <v/>
      </c>
      <c r="J31" t="str">
        <f>Assessment!J112</f>
        <v/>
      </c>
    </row>
    <row r="32" spans="1:21" customFormat="1" ht="14.65" customHeight="1" x14ac:dyDescent="0.4">
      <c r="A32" s="3">
        <v>10</v>
      </c>
      <c r="B32" t="s">
        <v>641</v>
      </c>
      <c r="C32" t="s">
        <v>6</v>
      </c>
      <c r="D32" s="4"/>
      <c r="E32" s="4">
        <f>Assessment!E113</f>
        <v>0</v>
      </c>
      <c r="F32" s="4">
        <f>Assessment!F113</f>
        <v>0</v>
      </c>
      <c r="G32" s="4" t="str">
        <f>Assessment!G113</f>
        <v/>
      </c>
      <c r="H32" t="str">
        <f>Assessment!H113</f>
        <v/>
      </c>
      <c r="I32" t="str">
        <f>Assessment!I113</f>
        <v/>
      </c>
      <c r="J32" t="str">
        <f>Assessment!J113</f>
        <v/>
      </c>
    </row>
    <row r="33" spans="1:23" customFormat="1" ht="19.05" customHeight="1" x14ac:dyDescent="0.4">
      <c r="A33" s="3"/>
      <c r="B33" s="263" t="s">
        <v>976</v>
      </c>
      <c r="D33" s="4"/>
      <c r="E33" s="4"/>
      <c r="F33" s="4"/>
      <c r="G33" s="4"/>
    </row>
    <row r="34" spans="1:23" customFormat="1" ht="14.65" customHeight="1" x14ac:dyDescent="0.4">
      <c r="A34" s="3">
        <v>11</v>
      </c>
      <c r="B34" t="s">
        <v>643</v>
      </c>
      <c r="C34" t="s">
        <v>612</v>
      </c>
      <c r="D34" s="4"/>
      <c r="E34" s="4" t="e">
        <f>Assessment!E115</f>
        <v>#DIV/0!</v>
      </c>
      <c r="F34" s="4" t="e">
        <f>Assessment!F115</f>
        <v>#DIV/0!</v>
      </c>
      <c r="G34" s="4" t="str">
        <f>Assessment!G115</f>
        <v/>
      </c>
      <c r="H34" t="str">
        <f>Assessment!H115</f>
        <v/>
      </c>
      <c r="I34" t="str">
        <f>Assessment!I115</f>
        <v/>
      </c>
      <c r="J34" t="str">
        <f>Assessment!J115</f>
        <v/>
      </c>
    </row>
    <row r="35" spans="1:23" customFormat="1" ht="14.65" customHeight="1" x14ac:dyDescent="0.4">
      <c r="A35" s="3">
        <v>12</v>
      </c>
      <c r="B35" t="s">
        <v>994</v>
      </c>
      <c r="C35" t="s">
        <v>612</v>
      </c>
      <c r="D35" s="4"/>
      <c r="E35" s="260">
        <f>Assessment!E116</f>
        <v>0</v>
      </c>
      <c r="F35" s="4">
        <f>Assessment!F116</f>
        <v>0</v>
      </c>
      <c r="G35" s="4" t="str">
        <f>Assessment!G116</f>
        <v/>
      </c>
      <c r="H35" t="str">
        <f>Assessment!H116</f>
        <v/>
      </c>
      <c r="I35" t="str">
        <f>Assessment!I116</f>
        <v/>
      </c>
      <c r="J35" t="str">
        <f>Assessment!J116</f>
        <v/>
      </c>
    </row>
    <row r="36" spans="1:23" customFormat="1" ht="14.65" customHeight="1" x14ac:dyDescent="0.4">
      <c r="A36" s="3">
        <v>13</v>
      </c>
      <c r="B36" t="s">
        <v>977</v>
      </c>
      <c r="C36" t="s">
        <v>6</v>
      </c>
      <c r="D36" s="4"/>
      <c r="E36" s="260" t="e">
        <f>Assessment!E117</f>
        <v>#DIV/0!</v>
      </c>
      <c r="F36" s="4" t="e">
        <f>Assessment!F117</f>
        <v>#DIV/0!</v>
      </c>
      <c r="G36" s="4" t="str">
        <f>Assessment!G117</f>
        <v/>
      </c>
      <c r="H36" t="str">
        <f>Assessment!H117</f>
        <v/>
      </c>
      <c r="I36" t="str">
        <f>Assessment!I117</f>
        <v/>
      </c>
      <c r="J36" t="str">
        <f>Assessment!J117</f>
        <v/>
      </c>
    </row>
    <row r="37" spans="1:23" customFormat="1" ht="14.65" customHeight="1" x14ac:dyDescent="0.4">
      <c r="A37" s="3">
        <v>14</v>
      </c>
      <c r="B37" t="s">
        <v>978</v>
      </c>
      <c r="C37" t="s">
        <v>6</v>
      </c>
      <c r="D37" s="4"/>
      <c r="E37" s="260" t="e">
        <f>Assessment!E118</f>
        <v>#DIV/0!</v>
      </c>
      <c r="F37" s="4" t="e">
        <f>Assessment!F118</f>
        <v>#DIV/0!</v>
      </c>
      <c r="G37" s="4" t="str">
        <f>Assessment!G118</f>
        <v/>
      </c>
      <c r="H37" t="str">
        <f>Assessment!H118</f>
        <v/>
      </c>
      <c r="I37" t="str">
        <f>Assessment!I118</f>
        <v/>
      </c>
      <c r="J37" t="str">
        <f>Assessment!J118</f>
        <v/>
      </c>
    </row>
    <row r="38" spans="1:23" customFormat="1" ht="14.65" customHeight="1" x14ac:dyDescent="0.4">
      <c r="A38" s="3">
        <v>15</v>
      </c>
      <c r="B38" t="s">
        <v>9</v>
      </c>
      <c r="C38" t="s">
        <v>6</v>
      </c>
      <c r="D38" s="4">
        <f>Assessment!D119</f>
        <v>0</v>
      </c>
      <c r="E38" s="4">
        <f>Assessment!E119</f>
        <v>0</v>
      </c>
      <c r="F38" s="4">
        <f>Assessment!F119</f>
        <v>0</v>
      </c>
      <c r="G38" s="4" t="str">
        <f>Assessment!G119</f>
        <v/>
      </c>
      <c r="H38" t="str">
        <f>Assessment!H119</f>
        <v/>
      </c>
      <c r="I38" t="str">
        <f>Assessment!I119</f>
        <v/>
      </c>
      <c r="J38" t="str">
        <f>Assessment!J119</f>
        <v/>
      </c>
    </row>
    <row r="39" spans="1:23" customFormat="1" ht="19.05" customHeight="1" x14ac:dyDescent="0.4">
      <c r="A39" s="3"/>
      <c r="B39" s="263" t="s">
        <v>974</v>
      </c>
      <c r="D39" s="4"/>
      <c r="E39" s="4"/>
      <c r="F39" s="4"/>
      <c r="G39" s="4"/>
    </row>
    <row r="40" spans="1:23" customFormat="1" ht="14.65" customHeight="1" x14ac:dyDescent="0.4">
      <c r="A40" s="3">
        <v>16</v>
      </c>
      <c r="B40" t="s">
        <v>613</v>
      </c>
      <c r="C40" t="s">
        <v>614</v>
      </c>
      <c r="D40" s="4"/>
      <c r="E40" s="260" t="e">
        <f>Assessment!E121</f>
        <v>#DIV/0!</v>
      </c>
      <c r="F40" s="4" t="e">
        <f>Assessment!F121</f>
        <v>#DIV/0!</v>
      </c>
      <c r="G40" s="4" t="str">
        <f>Assessment!G121</f>
        <v/>
      </c>
      <c r="H40" t="str">
        <f>Assessment!H121</f>
        <v/>
      </c>
      <c r="I40" t="str">
        <f>Assessment!I121</f>
        <v/>
      </c>
      <c r="J40" t="str">
        <f>Assessment!J121</f>
        <v/>
      </c>
    </row>
    <row r="41" spans="1:23" customFormat="1" ht="14.65" customHeight="1" x14ac:dyDescent="0.45">
      <c r="A41" s="3">
        <v>17</v>
      </c>
      <c r="B41" t="s">
        <v>993</v>
      </c>
      <c r="C41" t="s">
        <v>614</v>
      </c>
      <c r="D41" s="4"/>
      <c r="E41" s="260" t="e">
        <f>Assessment!E122</f>
        <v>#DIV/0!</v>
      </c>
      <c r="F41" s="4" t="e">
        <f>Assessment!F122</f>
        <v>#DIV/0!</v>
      </c>
      <c r="G41" s="4" t="str">
        <f>Assessment!G122</f>
        <v/>
      </c>
      <c r="H41" t="str">
        <f>Assessment!H122</f>
        <v/>
      </c>
      <c r="I41" t="str">
        <f>Assessment!I122</f>
        <v/>
      </c>
      <c r="J41" t="str">
        <f>Assessment!J122</f>
        <v/>
      </c>
      <c r="W41" s="22"/>
    </row>
    <row r="42" spans="1:23" customFormat="1" ht="19.05" customHeight="1" x14ac:dyDescent="0.4">
      <c r="A42" s="3"/>
      <c r="B42" s="263" t="s">
        <v>979</v>
      </c>
      <c r="D42" s="4"/>
      <c r="E42" s="4"/>
      <c r="F42" s="4"/>
      <c r="G42" s="4"/>
    </row>
    <row r="43" spans="1:23" customFormat="1" ht="14.65" customHeight="1" x14ac:dyDescent="0.4">
      <c r="A43" s="3">
        <v>18</v>
      </c>
      <c r="B43" t="str">
        <f>Assessment!B130</f>
        <v>Growth of defence expenditure since Enter year</v>
      </c>
      <c r="C43" t="s">
        <v>614</v>
      </c>
      <c r="D43" s="4"/>
      <c r="E43" s="4"/>
      <c r="F43" s="4" t="e">
        <f>Assessment!F130</f>
        <v>#DIV/0!</v>
      </c>
      <c r="G43" s="4" t="str">
        <f>Assessment!G130</f>
        <v/>
      </c>
      <c r="H43" t="str">
        <f>Assessment!H130</f>
        <v/>
      </c>
      <c r="I43" t="str">
        <f>Assessment!I130</f>
        <v/>
      </c>
      <c r="J43" t="str">
        <f>Assessment!J130</f>
        <v/>
      </c>
    </row>
    <row r="44" spans="1:23" customFormat="1" ht="14.65" customHeight="1" x14ac:dyDescent="0.4">
      <c r="A44" s="3">
        <v>19</v>
      </c>
      <c r="B44" t="s">
        <v>986</v>
      </c>
      <c r="C44" t="s">
        <v>614</v>
      </c>
      <c r="D44" s="4"/>
      <c r="E44" s="4" t="e">
        <f>Assessment!E138</f>
        <v>#DIV/0!</v>
      </c>
      <c r="F44" s="4" t="e">
        <f>Assessment!F138</f>
        <v>#DIV/0!</v>
      </c>
      <c r="G44" s="4" t="str">
        <f>Assessment!G138</f>
        <v/>
      </c>
    </row>
    <row r="45" spans="1:23" customFormat="1" ht="14.65" customHeight="1" x14ac:dyDescent="0.4">
      <c r="A45" s="3">
        <v>20</v>
      </c>
      <c r="B45" s="264" t="s">
        <v>980</v>
      </c>
      <c r="C45" s="264" t="s">
        <v>614</v>
      </c>
      <c r="D45" s="4"/>
      <c r="E45" s="4"/>
      <c r="F45" s="4" t="e">
        <f>Assessment!F140</f>
        <v>#DIV/0!</v>
      </c>
      <c r="G45" s="4" t="str">
        <f>Assessment!G140</f>
        <v/>
      </c>
      <c r="H45" s="4" t="str">
        <f>Assessment!H140</f>
        <v/>
      </c>
      <c r="I45" s="4" t="str">
        <f>Assessment!I140</f>
        <v/>
      </c>
      <c r="J45" s="4" t="str">
        <f>Assessment!J140</f>
        <v/>
      </c>
    </row>
    <row r="46" spans="1:23" customFormat="1" ht="14.65" customHeight="1" x14ac:dyDescent="0.4">
      <c r="A46" s="3"/>
      <c r="D46" s="4"/>
      <c r="E46" s="4"/>
      <c r="F46" s="4"/>
      <c r="G46" s="4"/>
      <c r="I46" t="str">
        <f>Assessment!I126</f>
        <v/>
      </c>
      <c r="J46" t="str">
        <f>Assessment!J126</f>
        <v/>
      </c>
    </row>
    <row r="47" spans="1:23" customFormat="1" ht="14.65" customHeight="1" x14ac:dyDescent="0.4">
      <c r="A47" s="3"/>
      <c r="D47" s="4"/>
      <c r="E47" s="4"/>
      <c r="F47" s="4"/>
      <c r="G47" s="4"/>
      <c r="I47" t="str">
        <f>Assessment!I127</f>
        <v/>
      </c>
      <c r="J47" t="str">
        <f>Assessment!J127</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0</v>
      </c>
      <c r="E52" s="45">
        <v>0</v>
      </c>
      <c r="F52" s="45">
        <v>0</v>
      </c>
      <c r="G52" s="47">
        <v>0</v>
      </c>
      <c r="H52" s="45">
        <v>0</v>
      </c>
      <c r="I52" s="45"/>
      <c r="J52" s="64"/>
      <c r="K52" s="64"/>
      <c r="L52" s="64"/>
      <c r="M52" s="22"/>
    </row>
    <row r="53" spans="1:13" customFormat="1" x14ac:dyDescent="0.45">
      <c r="A53" s="22"/>
      <c r="B53" s="135" t="str">
        <f>ScenarioName</f>
        <v>Enter scenario name</v>
      </c>
      <c r="C53" s="64" t="str" cm="1">
        <f t="array" ref="C53:H53">INDEX(
  Assessment!$15:$15,
  1,
  MATCH(MTP_BaseYear,Assessment!$4:$4,0)
    + _xlfn.SEQUENCE(1, COLUMNS(_xlfn.ANCHORARRAY(C50)), 0)
)</f>
        <v/>
      </c>
      <c r="D53" s="64" t="str">
        <v/>
      </c>
      <c r="E53" s="64" t="str">
        <v/>
      </c>
      <c r="F53" s="64" t="str">
        <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0</v>
      </c>
      <c r="D54" s="45">
        <v>0</v>
      </c>
      <c r="E54" s="45">
        <v>0</v>
      </c>
      <c r="F54" s="45">
        <v>0</v>
      </c>
      <c r="G54" s="47">
        <v>0</v>
      </c>
      <c r="H54" s="47">
        <v>0</v>
      </c>
      <c r="I54" s="47"/>
      <c r="J54" s="64"/>
      <c r="K54" s="64"/>
      <c r="L54" s="64"/>
      <c r="M54" s="22"/>
    </row>
    <row r="55" spans="1:13" customFormat="1" x14ac:dyDescent="0.45">
      <c r="A55" s="22"/>
      <c r="B55" s="135" t="str">
        <f>ScenarioName</f>
        <v>Enter scenario name</v>
      </c>
      <c r="C55" s="64" t="str" cm="1">
        <f t="array" ref="C55:H55">INDEX(
  Assessment!$17:$17,
  1,
  MATCH(MTP_BaseYear,Assessment!$4:$4,0)
    + _xlfn.SEQUENCE(1, COLUMNS(_xlfn.ANCHORARRAY(C50)), 0)
)</f>
        <v/>
      </c>
      <c r="D55" s="64" t="str">
        <v/>
      </c>
      <c r="E55" s="64" t="str">
        <v/>
      </c>
      <c r="F55" s="64" t="str">
        <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0</v>
      </c>
      <c r="D56" s="47">
        <v>0</v>
      </c>
      <c r="E56" s="47">
        <v>0</v>
      </c>
      <c r="F56" s="47">
        <v>0</v>
      </c>
      <c r="G56" s="47">
        <v>0</v>
      </c>
      <c r="H56" s="47">
        <v>0</v>
      </c>
      <c r="I56" s="47"/>
      <c r="J56" s="64"/>
      <c r="K56" s="64"/>
      <c r="L56" s="64"/>
      <c r="M56" s="22"/>
    </row>
    <row r="57" spans="1:13" customFormat="1" x14ac:dyDescent="0.45">
      <c r="A57" s="22"/>
      <c r="B57" s="135" t="str">
        <f>ScenarioName</f>
        <v>Enter scenario name</v>
      </c>
      <c r="C57" s="64" cm="1">
        <f t="array" ref="C57:H57">INDEX(
  Assessment!$18:$18,
  1,
  MATCH(MTP_BaseYear,Assessment!$4:$4,0)
    + _xlfn.SEQUENCE(1, COLUMNS(_xlfn.ANCHORARRAY(C50)), 0)
)</f>
        <v>0</v>
      </c>
      <c r="D57" s="64">
        <v>0</v>
      </c>
      <c r="E57" s="64">
        <v>0</v>
      </c>
      <c r="F57" s="64" t="str">
        <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0</v>
      </c>
      <c r="D58" s="45">
        <v>0</v>
      </c>
      <c r="E58" s="45">
        <v>0</v>
      </c>
      <c r="F58" s="45">
        <v>0</v>
      </c>
      <c r="G58" s="47">
        <v>0</v>
      </c>
      <c r="H58" s="47">
        <v>0</v>
      </c>
      <c r="I58" s="47"/>
      <c r="J58" s="64"/>
      <c r="K58" s="64"/>
      <c r="L58" s="64"/>
      <c r="M58" s="22"/>
    </row>
    <row r="59" spans="1:13" customFormat="1" x14ac:dyDescent="0.45">
      <c r="A59" s="22"/>
      <c r="B59" s="135" t="str">
        <f>ScenarioName</f>
        <v>Enter scenario name</v>
      </c>
      <c r="C59" s="64" cm="1">
        <f t="array" ref="C59:H59">INDEX(
  Assessment!$19:$19,
  1,
  MATCH(MTP_BaseYear,Assessment!$4:$4,0)
    + _xlfn.SEQUENCE(1, COLUMNS(_xlfn.ANCHORARRAY(C50)), 0)
)</f>
        <v>0</v>
      </c>
      <c r="D59" s="64">
        <v>0</v>
      </c>
      <c r="E59" s="64">
        <v>0</v>
      </c>
      <c r="F59" s="64" t="str">
        <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0</v>
      </c>
      <c r="D60" s="45">
        <v>0</v>
      </c>
      <c r="E60" s="45">
        <v>0</v>
      </c>
      <c r="F60" s="45">
        <v>0</v>
      </c>
      <c r="G60" s="45">
        <v>0</v>
      </c>
      <c r="H60" s="45">
        <v>0</v>
      </c>
      <c r="I60" s="45"/>
      <c r="J60" s="64"/>
      <c r="K60" s="64"/>
      <c r="L60" s="64"/>
      <c r="M60" s="22"/>
    </row>
    <row r="61" spans="1:13" customFormat="1" x14ac:dyDescent="0.45">
      <c r="A61" s="22"/>
      <c r="B61" s="135" t="str">
        <f>ScenarioName</f>
        <v>Enter scenario name</v>
      </c>
      <c r="C61" s="64" t="str" cm="1">
        <f t="array" ref="C61:H61">INDEX(
  Assessment!$20:$20,
  1,
  MATCH(MTP_BaseYear,Assessment!$4:$4,0)
    + _xlfn.SEQUENCE(1, COLUMNS(_xlfn.ANCHORARRAY(C50)), 0)
)</f>
        <v/>
      </c>
      <c r="D61" s="64" t="str">
        <v/>
      </c>
      <c r="E61" s="64" t="str">
        <v/>
      </c>
      <c r="F61" s="64" t="str">
        <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0</v>
      </c>
      <c r="D62" s="45">
        <v>0</v>
      </c>
      <c r="E62" s="45">
        <v>0</v>
      </c>
      <c r="F62" s="45">
        <v>0</v>
      </c>
      <c r="G62" s="45">
        <v>0</v>
      </c>
      <c r="H62" s="45">
        <v>0</v>
      </c>
      <c r="I62" s="45"/>
      <c r="J62" s="64"/>
      <c r="K62" s="64"/>
      <c r="L62" s="64"/>
      <c r="M62" s="22"/>
    </row>
    <row r="63" spans="1:13" customFormat="1" x14ac:dyDescent="0.45">
      <c r="A63" s="22"/>
      <c r="B63" s="135" t="str">
        <f>ScenarioName</f>
        <v>Enter scenario name</v>
      </c>
      <c r="C63" s="64" t="str" cm="1">
        <f t="array" ref="C63:H63">INDEX(
  Assessment!$21:$21,
  1,
  MATCH(MTP_BaseYear,Assessment!$4:$4,0)
    + _xlfn.SEQUENCE(1, COLUMNS(_xlfn.ANCHORARRAY(C50)), 0)
)</f>
        <v/>
      </c>
      <c r="D63" s="64" t="str">
        <v/>
      </c>
      <c r="E63" s="64" t="str">
        <v/>
      </c>
      <c r="F63" s="64" t="str">
        <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1" t="s">
        <v>280</v>
      </c>
      <c r="C65" s="107" cm="1">
        <f t="array" ref="C65:H65">INDEX(
  Assessment!$40:$40,
  1,
  MATCH(MTP_BaseYear,Assessment!$32:$32,0)
    + _xlfn.SEQUENCE(1, COLUMNS(_xlfn.ANCHORARRAY(C50)), 0)
)</f>
        <v>0</v>
      </c>
      <c r="D65" s="107">
        <v>0</v>
      </c>
      <c r="E65" s="107">
        <v>0</v>
      </c>
      <c r="F65" s="107">
        <v>0</v>
      </c>
      <c r="G65" s="107">
        <v>0</v>
      </c>
      <c r="H65" s="107">
        <v>0</v>
      </c>
      <c r="I65" s="107"/>
      <c r="J65" s="108"/>
      <c r="K65" s="108"/>
      <c r="L65" s="108"/>
      <c r="M65" s="22"/>
    </row>
    <row r="66" spans="1:13" customFormat="1" x14ac:dyDescent="0.45">
      <c r="A66" s="22"/>
      <c r="B66" s="172" t="str">
        <f>ScenarioName</f>
        <v>Enter scenario name</v>
      </c>
      <c r="C66" s="108" t="str" cm="1">
        <f t="array" ref="C66:H66">INDEX(
  Assessment!$22:$22,
  1,
  MATCH(MTP_BaseYear,Assessment!$4:$4,0)
    + _xlfn.SEQUENCE(1, COLUMNS(_xlfn.ANCHORARRAY(C50)), 0)
)</f>
        <v/>
      </c>
      <c r="D66" s="64" t="str">
        <v/>
      </c>
      <c r="E66" s="64" t="str">
        <v/>
      </c>
      <c r="F66" s="64" t="str">
        <v/>
      </c>
      <c r="G66" s="64" t="str">
        <v/>
      </c>
      <c r="H66" s="64" t="str">
        <v/>
      </c>
      <c r="I66" s="64"/>
      <c r="J66" s="47"/>
      <c r="K66" s="47"/>
      <c r="L66" s="47"/>
      <c r="M66" s="22"/>
    </row>
    <row r="67" spans="1:13" customFormat="1" x14ac:dyDescent="0.45">
      <c r="A67" s="22"/>
      <c r="B67" s="171" t="s">
        <v>281</v>
      </c>
      <c r="C67" s="107" cm="1">
        <f t="array" ref="C67:H67">INDEX(
  Assessment!$41:$41,
  1,
  MATCH(MTP_BaseYear,Assessment!$32:$32,0)
    + _xlfn.SEQUENCE(1, COLUMNS(_xlfn.ANCHORARRAY(C50)), 0)
)</f>
        <v>0</v>
      </c>
      <c r="D67" s="107">
        <v>0</v>
      </c>
      <c r="E67" s="107">
        <v>0</v>
      </c>
      <c r="F67" s="107">
        <v>0</v>
      </c>
      <c r="G67" s="107">
        <v>0</v>
      </c>
      <c r="H67" s="107">
        <v>0</v>
      </c>
      <c r="I67" s="107"/>
    </row>
    <row r="68" spans="1:13" customFormat="1" x14ac:dyDescent="0.45">
      <c r="A68" s="22"/>
      <c r="B68" s="172" t="str">
        <f>ScenarioName</f>
        <v>Enter scenario name</v>
      </c>
      <c r="C68" s="108" t="str" cm="1">
        <f t="array" ref="C68:H68">INDEX(
  Assessment!$23:$23,
  1,
  MATCH(MTP_BaseYear,Assessment!$4:$4,0)
    + _xlfn.SEQUENCE(1, COLUMNS(_xlfn.ANCHORARRAY(C50)), 0)
)</f>
        <v/>
      </c>
      <c r="D68" s="64" t="str">
        <v/>
      </c>
      <c r="E68" s="64" t="str">
        <v/>
      </c>
      <c r="F68" s="64" t="str">
        <v/>
      </c>
      <c r="G68" s="64" t="str">
        <v/>
      </c>
      <c r="H68" s="64" t="str">
        <v/>
      </c>
      <c r="I68" s="64"/>
    </row>
    <row r="69" spans="1:13" customFormat="1" ht="19.149999999999999" customHeight="1" x14ac:dyDescent="0.45">
      <c r="A69" s="22"/>
      <c r="B69" s="171" t="s">
        <v>282</v>
      </c>
      <c r="C69" s="107" cm="1">
        <f t="array" ref="C69:H69">INDEX(
  Assessment!$42:$42,
  1,
  MATCH(MTP_BaseYear,Assessment!$32:$32,0)
    + _xlfn.SEQUENCE(1, COLUMNS(_xlfn.ANCHORARRAY(C50)), 0)
)</f>
        <v>0</v>
      </c>
      <c r="D69" s="107">
        <v>0</v>
      </c>
      <c r="E69" s="107">
        <v>0</v>
      </c>
      <c r="F69" s="107">
        <v>0</v>
      </c>
      <c r="G69" s="107">
        <v>0</v>
      </c>
      <c r="H69" s="107">
        <v>0</v>
      </c>
      <c r="I69" s="107"/>
    </row>
    <row r="70" spans="1:13" x14ac:dyDescent="0.45">
      <c r="B70" s="172" t="str">
        <f>ScenarioName</f>
        <v>Enter scenario name</v>
      </c>
      <c r="C70" s="108" t="str" cm="1">
        <f t="array" ref="C70:H70">INDEX(
  Assessment!$24:$24,
  1,
  MATCH(MTP_BaseYear,Assessment!$4:$4,0)
    + _xlfn.SEQUENCE(1, COLUMNS(_xlfn.ANCHORARRAY(C50)), 0)
)</f>
        <v/>
      </c>
      <c r="D70" s="64" t="str">
        <v/>
      </c>
      <c r="E70" s="64" t="str">
        <v/>
      </c>
      <c r="F70" s="64" t="str">
        <v/>
      </c>
      <c r="G70" s="64" t="str">
        <v/>
      </c>
      <c r="H70" s="64" t="str">
        <v/>
      </c>
      <c r="I70" s="64"/>
    </row>
    <row r="71" spans="1:13" x14ac:dyDescent="0.45">
      <c r="B71" s="171" t="s">
        <v>275</v>
      </c>
      <c r="C71" s="107" cm="1">
        <f t="array" ref="C71:H71">INDEX(
  Assessment!$43:$43,
  1,
  MATCH(MTP_BaseYear,Assessment!$32:$32,0)
    + _xlfn.SEQUENCE(1, COLUMNS(_xlfn.ANCHORARRAY(C50)), 0)
)</f>
        <v>0</v>
      </c>
      <c r="D71" s="107">
        <v>0</v>
      </c>
      <c r="E71" s="107">
        <v>0</v>
      </c>
      <c r="F71" s="107">
        <v>0</v>
      </c>
      <c r="G71" s="107">
        <v>0</v>
      </c>
      <c r="H71" s="107">
        <v>0</v>
      </c>
      <c r="I71" s="107"/>
    </row>
    <row r="72" spans="1:13" x14ac:dyDescent="0.45">
      <c r="B72" s="172" t="str">
        <f>ScenarioName</f>
        <v>Enter scenario name</v>
      </c>
      <c r="C72" s="108" t="str" cm="1">
        <f t="array" ref="C72:H72">INDEX(
  Assessment!$25:$25,
  1,
  MATCH(MTP_BaseYear,Assessment!$4:$4,0)
    + _xlfn.SEQUENCE(1, COLUMNS(_xlfn.ANCHORARRAY(C50)), 0)
)</f>
        <v/>
      </c>
      <c r="D72" s="64" t="str">
        <v/>
      </c>
      <c r="E72" s="64" t="str">
        <v/>
      </c>
      <c r="F72" s="64" t="str">
        <v/>
      </c>
      <c r="G72" s="64" t="str">
        <v/>
      </c>
      <c r="H72" s="64" t="str">
        <v/>
      </c>
      <c r="I72" s="64"/>
    </row>
    <row r="73" spans="1:13" x14ac:dyDescent="0.45">
      <c r="B73" s="171" t="s">
        <v>272</v>
      </c>
      <c r="C73" s="107" cm="1">
        <f t="array" ref="C73:H73">INDEX(
  Assessment!$44:$44,
  1,
  MATCH(MTP_BaseYear,Assessment!$32:$32,0)
    + _xlfn.SEQUENCE(1, COLUMNS(_xlfn.ANCHORARRAY(C50)), 0)
)</f>
        <v>0</v>
      </c>
      <c r="D73" s="107">
        <v>0</v>
      </c>
      <c r="E73" s="107">
        <v>0</v>
      </c>
      <c r="F73" s="107">
        <v>0</v>
      </c>
      <c r="G73" s="107">
        <v>0</v>
      </c>
      <c r="H73" s="107">
        <v>0</v>
      </c>
      <c r="I73" s="107"/>
    </row>
    <row r="74" spans="1:13" x14ac:dyDescent="0.45">
      <c r="B74" s="173" t="str">
        <f>ScenarioName</f>
        <v>Enter scenario name</v>
      </c>
      <c r="C74" s="109" t="str" cm="1">
        <f t="array" ref="C74:H74">INDEX(
  Assessment!$26:$26,
  1,
  MATCH(MTP_BaseYear,Assessment!$4:$4,0)
    + _xlfn.SEQUENCE(1, COLUMNS(_xlfn.ANCHORARRAY(C50)), 0)
)</f>
        <v/>
      </c>
      <c r="D74" s="109" t="str">
        <v/>
      </c>
      <c r="E74" s="109" t="str">
        <v/>
      </c>
      <c r="F74" s="109" t="str">
        <v/>
      </c>
      <c r="G74" s="109" t="str">
        <v/>
      </c>
      <c r="H74" s="109" t="str">
        <v/>
      </c>
      <c r="I74" s="108"/>
    </row>
    <row r="75" spans="1:13" x14ac:dyDescent="0.45">
      <c r="B75" s="153" t="str">
        <f>"Numbers in green indicate "&amp;ScenarioName&amp;" is outperforming the medium-term plan"</f>
        <v>Numbers in green indicate Enter scenario name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Enter scenario name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Enter scenario name is underperforming the medium-term plan but an escape clause is in place</v>
      </c>
      <c r="C77"/>
      <c r="D77"/>
      <c r="E77"/>
      <c r="F77"/>
      <c r="G77"/>
      <c r="H77"/>
      <c r="I77"/>
    </row>
  </sheetData>
  <conditionalFormatting sqref="K18:K19">
    <cfRule type="expression" dxfId="95" priority="127">
      <formula>K18&gt;#REF!</formula>
    </cfRule>
    <cfRule type="expression" dxfId="94" priority="128">
      <formula>K18&lt;=#REF!</formula>
    </cfRule>
  </conditionalFormatting>
  <conditionalFormatting sqref="C49:H51 I51 D18:I21">
    <cfRule type="expression" dxfId="93" priority="120">
      <formula>C18&lt;&gt;""</formula>
    </cfRule>
  </conditionalFormatting>
  <conditionalFormatting sqref="C75:H77 M20 L18:N19 L20:L21">
    <cfRule type="expression" dxfId="92" priority="144">
      <formula>ROUND(#REF!,1)&gt;ROUND(C18,1)</formula>
    </cfRule>
    <cfRule type="expression" dxfId="91" priority="145">
      <formula>ROUND(#REF!,1)&lt;=ROUND(C18,1)</formula>
    </cfRule>
  </conditionalFormatting>
  <conditionalFormatting sqref="C10:C14">
    <cfRule type="expression" dxfId="90" priority="59">
      <formula>D10="At risk"</formula>
    </cfRule>
    <cfRule type="expression" dxfId="89" priority="60">
      <formula>D10="Breach"</formula>
    </cfRule>
    <cfRule type="expression" dxfId="88" priority="61">
      <formula>D10="Compliant"</formula>
    </cfRule>
    <cfRule type="expression" dxfId="87" priority="62">
      <formula>AND(D10&lt;&gt;"Compliant", D10&lt;&gt;"Caution", D10&lt;&gt;"Breach")</formula>
    </cfRule>
  </conditionalFormatting>
  <conditionalFormatting sqref="I49:I50">
    <cfRule type="expression" dxfId="86" priority="58">
      <formula>I49&lt;&gt;""</formula>
    </cfRule>
  </conditionalFormatting>
  <conditionalFormatting sqref="D53:L53 D61:L61 D63:L63 D68:I68">
    <cfRule type="expression" dxfId="85" priority="50">
      <formula>ROUND(D52,1)&gt;=ROUND(D53,1)</formula>
    </cfRule>
  </conditionalFormatting>
  <conditionalFormatting sqref="D55:L55 D57:L57 D59:L59 D66:L66 D70:I70 D72:I72">
    <cfRule type="expression" dxfId="84" priority="47">
      <formula>ROUND(D54,1)&lt;=ROUND(D55,1)</formula>
    </cfRule>
  </conditionalFormatting>
  <conditionalFormatting sqref="D74:I74">
    <cfRule type="expression" dxfId="83" priority="2">
      <formula>ROUND(D73,1)&lt;=ROUND(D74,1)</formula>
    </cfRule>
  </conditionalFormatting>
  <conditionalFormatting sqref="B15:BB15">
    <cfRule type="expression" dxfId="82" priority="851">
      <formula>$D$15="Compliant"</formula>
    </cfRule>
    <cfRule type="expression" dxfId="81" priority="852">
      <formula>$D$15="Caution"</formula>
    </cfRule>
    <cfRule type="expression" dxfId="80" priority="853">
      <formula>$D$15="Breach"</formula>
    </cfRule>
    <cfRule type="expression" dxfId="79" priority="854">
      <formula>$D$15="N/A"</formula>
    </cfRule>
  </conditionalFormatting>
  <conditionalFormatting sqref="I48">
    <cfRule type="expression" dxfId="78" priority="859">
      <formula>ROUND(#REF!,1)&lt;ROUND(I48,1)</formula>
    </cfRule>
    <cfRule type="expression" dxfId="77" priority="860">
      <formula>ROUND(#REF!,1)&gt;=ROUND(I48,1)</formula>
    </cfRule>
  </conditionalFormatting>
  <conditionalFormatting sqref="D18:I21">
    <cfRule type="expression" dxfId="76" priority="998">
      <formula>D$21&lt;&gt;""</formula>
    </cfRule>
  </conditionalFormatting>
  <conditionalFormatting sqref="D45:J45">
    <cfRule type="expression" dxfId="75" priority="1">
      <formula>ISNUMBER(D$21)</formula>
    </cfRule>
  </conditionalFormatting>
  <conditionalFormatting sqref="I74">
    <cfRule type="expression" dxfId="74"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parameters'!B$22=TRUE)</xm:f>
            <x14:dxf>
              <font>
                <strike val="0"/>
                <color theme="7" tint="-0.24994659260841701"/>
              </font>
            </x14:dxf>
          </x14:cfRule>
          <x14:cfRule type="expression" priority="52" id="{99C27ECD-2434-4CC7-A87E-74BB134CC6F5}">
            <xm:f>AND(ROUND(D52,1)&lt;ROUND(D53,1),'Step 1 - Set global parameters'!B$22=FALSE)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parameters'!B$22=TRUE)</xm:f>
            <x14:dxf>
              <font>
                <strike val="0"/>
                <color theme="7" tint="-0.24994659260841701"/>
              </font>
            </x14:dxf>
          </x14:cfRule>
          <x14:cfRule type="expression" priority="49" id="{ABC8EC5E-D081-4FDB-A0EB-3B863F1C4B09}">
            <xm:f>AND(ROUND(D54,1)&gt;ROUND(D55,1),'Step 1 - Set global parameters'!B$22=FALSE)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parameters'!B$22=FALSE)</xm:f>
            <x14:dxf>
              <font>
                <color rgb="FFC00000"/>
              </font>
            </x14:dxf>
          </x14:cfRule>
          <x14:cfRule type="expression" priority="4" id="{C7061373-A33E-4425-9F49-D651E91E2586}">
            <xm:f>AND(ROUND(D73,1)&gt;ROUND(D74,1),'Step 1 - Set global parameters'!B$22=TRUE)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106" zoomScaleNormal="106"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718</v>
      </c>
      <c r="C1" s="14"/>
    </row>
    <row r="2" spans="2:31" ht="28.5" customHeight="1" x14ac:dyDescent="0.55000000000000004">
      <c r="B2" s="50" t="s">
        <v>312</v>
      </c>
      <c r="C2" s="14"/>
      <c r="AA2" s="79" t="s">
        <v>917</v>
      </c>
      <c r="AB2" s="7"/>
      <c r="AD2" s="79" t="s">
        <v>918</v>
      </c>
    </row>
    <row r="3" spans="2:31" ht="13.5" customHeight="1" x14ac:dyDescent="0.5">
      <c r="B3" s="79" t="s">
        <v>310</v>
      </c>
      <c r="C3" s="14"/>
      <c r="D3" s="44"/>
      <c r="E3" s="44"/>
      <c r="F3" s="44"/>
      <c r="G3" s="44"/>
      <c r="H3" s="44"/>
      <c r="I3" s="44"/>
      <c r="J3" s="44"/>
      <c r="K3" s="44"/>
      <c r="L3" s="44"/>
      <c r="M3" s="44"/>
      <c r="N3" s="44"/>
      <c r="S3" s="44"/>
      <c r="T3" s="44"/>
      <c r="AA3" t="s">
        <v>822</v>
      </c>
      <c r="AB3" s="180" t="s">
        <v>824</v>
      </c>
      <c r="AD3" s="14" t="s">
        <v>920</v>
      </c>
      <c r="AE3" s="180" t="s">
        <v>921</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823</v>
      </c>
      <c r="AB4" s="180" t="s">
        <v>824</v>
      </c>
      <c r="AD4" s="14" t="s">
        <v>922</v>
      </c>
      <c r="AE4" s="180" t="s">
        <v>923</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912</v>
      </c>
      <c r="AB5" s="180" t="s">
        <v>932</v>
      </c>
      <c r="AD5" t="s">
        <v>924</v>
      </c>
      <c r="AE5" s="180">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645</v>
      </c>
      <c r="D6" s="37" t="s">
        <v>709</v>
      </c>
      <c r="E6" s="164">
        <f>F103</f>
        <v>0</v>
      </c>
      <c r="F6" s="164">
        <f t="shared" ref="F6:I6" si="0">G103</f>
        <v>0</v>
      </c>
      <c r="G6" s="164">
        <f t="shared" si="0"/>
        <v>0</v>
      </c>
      <c r="H6" s="164">
        <f t="shared" si="0"/>
        <v>0</v>
      </c>
      <c r="I6" s="164">
        <f t="shared" si="0"/>
        <v>0</v>
      </c>
      <c r="J6" s="37" t="s">
        <v>709</v>
      </c>
      <c r="K6" s="37"/>
      <c r="L6" s="37"/>
      <c r="M6" s="37"/>
      <c r="N6" s="37"/>
      <c r="O6" s="37"/>
      <c r="S6" s="37"/>
      <c r="T6" s="37"/>
      <c r="U6" s="37"/>
      <c r="V6" s="44"/>
      <c r="W6" s="44"/>
      <c r="AA6" t="s">
        <v>816</v>
      </c>
      <c r="AB6" s="180" t="s">
        <v>819</v>
      </c>
      <c r="AD6" t="s">
        <v>933</v>
      </c>
      <c r="AE6" s="180">
        <v>22</v>
      </c>
    </row>
    <row r="7" spans="2:31" ht="13.5" customHeight="1" x14ac:dyDescent="0.4">
      <c r="B7" s="55" t="s">
        <v>206</v>
      </c>
      <c r="C7" s="44"/>
      <c r="D7" s="165">
        <f>E105</f>
        <v>0</v>
      </c>
      <c r="E7" s="165">
        <f t="shared" ref="E7:I7" si="1">F105</f>
        <v>0</v>
      </c>
      <c r="F7" s="165">
        <f t="shared" si="1"/>
        <v>0</v>
      </c>
      <c r="G7" s="165">
        <f t="shared" si="1"/>
        <v>0</v>
      </c>
      <c r="H7" s="165">
        <f t="shared" si="1"/>
        <v>0</v>
      </c>
      <c r="I7" s="165">
        <f t="shared" si="1"/>
        <v>0</v>
      </c>
      <c r="J7" s="165" t="s">
        <v>709</v>
      </c>
      <c r="K7" s="165"/>
      <c r="L7" s="165"/>
      <c r="M7" s="165"/>
      <c r="N7" s="165"/>
      <c r="O7" s="165"/>
      <c r="P7" s="165"/>
      <c r="Q7" s="165"/>
      <c r="R7" s="165"/>
      <c r="S7" s="165"/>
      <c r="T7" s="165"/>
      <c r="U7" s="165"/>
      <c r="V7" s="58"/>
      <c r="W7" s="58"/>
      <c r="AA7" t="s">
        <v>916</v>
      </c>
      <c r="AB7" s="180" t="s">
        <v>818</v>
      </c>
      <c r="AD7" t="s">
        <v>925</v>
      </c>
      <c r="AE7" s="180">
        <v>40</v>
      </c>
    </row>
    <row r="8" spans="2:31" ht="13.5" customHeight="1" x14ac:dyDescent="0.4">
      <c r="B8" s="55" t="s">
        <v>0</v>
      </c>
      <c r="C8" s="44"/>
      <c r="D8" s="165">
        <f>E108</f>
        <v>0</v>
      </c>
      <c r="E8" s="165">
        <f t="shared" ref="E8:I8" si="2">F108</f>
        <v>0</v>
      </c>
      <c r="F8" s="165">
        <f t="shared" si="2"/>
        <v>0</v>
      </c>
      <c r="G8" s="165">
        <f t="shared" si="2"/>
        <v>0</v>
      </c>
      <c r="H8" s="165">
        <f t="shared" si="2"/>
        <v>0</v>
      </c>
      <c r="I8" s="165">
        <f t="shared" si="2"/>
        <v>0</v>
      </c>
      <c r="J8" s="165" t="s">
        <v>709</v>
      </c>
      <c r="K8" s="165"/>
      <c r="L8" s="165"/>
      <c r="M8" s="165"/>
      <c r="N8" s="165"/>
      <c r="O8" s="165"/>
      <c r="P8" s="165"/>
      <c r="Q8" s="165"/>
      <c r="R8" s="165"/>
      <c r="S8" s="165"/>
      <c r="T8" s="165"/>
      <c r="U8" s="165"/>
      <c r="V8" s="58"/>
      <c r="W8" s="58"/>
      <c r="AA8" t="s">
        <v>821</v>
      </c>
      <c r="AB8" s="180">
        <v>2</v>
      </c>
      <c r="AD8" t="s">
        <v>926</v>
      </c>
      <c r="AE8" s="180" t="s">
        <v>919</v>
      </c>
    </row>
    <row r="9" spans="2:31" ht="13.5" customHeight="1" x14ac:dyDescent="0.4">
      <c r="B9" s="55" t="s">
        <v>3</v>
      </c>
      <c r="C9" s="44"/>
      <c r="D9" s="165">
        <f>E109</f>
        <v>0</v>
      </c>
      <c r="E9" s="165">
        <f t="shared" ref="E9:I9" si="3">F109</f>
        <v>0</v>
      </c>
      <c r="F9" s="165">
        <f t="shared" si="3"/>
        <v>0</v>
      </c>
      <c r="G9" s="165">
        <f t="shared" si="3"/>
        <v>0</v>
      </c>
      <c r="H9" s="165">
        <f t="shared" si="3"/>
        <v>0</v>
      </c>
      <c r="I9" s="165">
        <f t="shared" si="3"/>
        <v>0</v>
      </c>
      <c r="J9" s="165" t="s">
        <v>709</v>
      </c>
      <c r="K9" s="165"/>
      <c r="L9" s="165"/>
      <c r="M9" s="165"/>
      <c r="N9" s="165"/>
      <c r="O9" s="165"/>
      <c r="P9" s="165"/>
      <c r="Q9" s="165"/>
      <c r="R9" s="165"/>
      <c r="S9" s="165"/>
      <c r="T9" s="165"/>
      <c r="U9" s="165"/>
      <c r="V9" s="58"/>
      <c r="W9" s="58"/>
      <c r="AA9" t="s">
        <v>820</v>
      </c>
      <c r="AB9" s="180">
        <v>60</v>
      </c>
      <c r="AC9" s="44"/>
      <c r="AD9" t="s">
        <v>927</v>
      </c>
      <c r="AE9" s="180">
        <v>56</v>
      </c>
    </row>
    <row r="10" spans="2:31" ht="13.5" customHeight="1" x14ac:dyDescent="0.4">
      <c r="B10" s="55" t="s">
        <v>1</v>
      </c>
      <c r="C10" s="44"/>
      <c r="D10" s="165">
        <f>E111</f>
        <v>0</v>
      </c>
      <c r="E10" s="165">
        <f t="shared" ref="E10:I10" si="4">F111</f>
        <v>0</v>
      </c>
      <c r="F10" s="165">
        <f t="shared" si="4"/>
        <v>0</v>
      </c>
      <c r="G10" s="165">
        <f t="shared" si="4"/>
        <v>0</v>
      </c>
      <c r="H10" s="165">
        <f t="shared" si="4"/>
        <v>0</v>
      </c>
      <c r="I10" s="165">
        <f t="shared" si="4"/>
        <v>0</v>
      </c>
      <c r="J10" s="165" t="s">
        <v>709</v>
      </c>
      <c r="K10" s="165"/>
      <c r="L10" s="165"/>
      <c r="M10" s="165"/>
      <c r="N10" s="165"/>
      <c r="O10" s="165"/>
      <c r="P10" s="165"/>
      <c r="Q10" s="165"/>
      <c r="R10" s="165"/>
      <c r="S10" s="165"/>
      <c r="T10" s="165"/>
      <c r="U10" s="165"/>
      <c r="V10" s="58"/>
      <c r="W10" s="58"/>
      <c r="AA10" t="s">
        <v>913</v>
      </c>
      <c r="AB10" s="180">
        <v>2</v>
      </c>
      <c r="AC10" s="44"/>
      <c r="AD10" t="s">
        <v>931</v>
      </c>
      <c r="AE10" s="180">
        <v>79</v>
      </c>
    </row>
    <row r="11" spans="2:31" x14ac:dyDescent="0.4">
      <c r="B11" s="55" t="s">
        <v>2</v>
      </c>
      <c r="C11" s="44"/>
      <c r="D11" s="165">
        <f>E112</f>
        <v>0</v>
      </c>
      <c r="E11" s="165">
        <f t="shared" ref="E11:I11" si="5">F112</f>
        <v>0</v>
      </c>
      <c r="F11" s="165">
        <f t="shared" si="5"/>
        <v>0</v>
      </c>
      <c r="G11" s="165">
        <f t="shared" si="5"/>
        <v>0</v>
      </c>
      <c r="H11" s="165">
        <f t="shared" si="5"/>
        <v>0</v>
      </c>
      <c r="I11" s="165">
        <f t="shared" si="5"/>
        <v>0</v>
      </c>
      <c r="J11" s="165" t="s">
        <v>709</v>
      </c>
      <c r="K11" s="165"/>
      <c r="L11" s="165"/>
      <c r="M11" s="165"/>
      <c r="N11" s="165"/>
      <c r="O11" s="165"/>
      <c r="P11" s="165"/>
      <c r="Q11" s="165"/>
      <c r="R11" s="165"/>
      <c r="S11" s="165"/>
      <c r="T11" s="165"/>
      <c r="U11" s="165"/>
      <c r="V11" s="58"/>
      <c r="W11" s="58"/>
      <c r="AA11" t="s">
        <v>934</v>
      </c>
      <c r="AB11" s="180">
        <v>19</v>
      </c>
      <c r="AC11" s="44"/>
      <c r="AD11" t="s">
        <v>928</v>
      </c>
      <c r="AE11" s="180" t="s">
        <v>929</v>
      </c>
    </row>
    <row r="12" spans="2:31" x14ac:dyDescent="0.4">
      <c r="B12" s="55" t="s">
        <v>7</v>
      </c>
      <c r="C12" s="44" t="s">
        <v>644</v>
      </c>
      <c r="D12" s="165">
        <f>E130</f>
        <v>0</v>
      </c>
      <c r="E12" s="165">
        <f t="shared" ref="E12:I12" si="6">F130</f>
        <v>0</v>
      </c>
      <c r="F12" s="165">
        <f t="shared" si="6"/>
        <v>0</v>
      </c>
      <c r="G12" s="165">
        <f t="shared" si="6"/>
        <v>0</v>
      </c>
      <c r="H12" s="165">
        <f t="shared" si="6"/>
        <v>0</v>
      </c>
      <c r="I12" s="165">
        <f t="shared" si="6"/>
        <v>0</v>
      </c>
      <c r="J12" s="165" t="s">
        <v>709</v>
      </c>
      <c r="K12" s="165"/>
      <c r="L12" s="165"/>
      <c r="M12" s="165"/>
      <c r="N12" s="165"/>
      <c r="O12" s="165"/>
      <c r="P12" s="165"/>
      <c r="Q12" s="165"/>
      <c r="R12" s="165"/>
      <c r="S12" s="165"/>
      <c r="T12" s="165"/>
      <c r="U12" s="165"/>
      <c r="V12" s="58"/>
      <c r="W12" s="58"/>
      <c r="AA12" t="s">
        <v>915</v>
      </c>
      <c r="AB12" s="180">
        <v>36</v>
      </c>
      <c r="AD12" t="s">
        <v>930</v>
      </c>
      <c r="AE12" s="180">
        <v>21</v>
      </c>
    </row>
    <row r="13" spans="2:31" x14ac:dyDescent="0.4">
      <c r="B13" s="55" t="s">
        <v>8</v>
      </c>
      <c r="C13" s="44" t="s">
        <v>644</v>
      </c>
      <c r="D13" s="165">
        <f>E131</f>
        <v>0</v>
      </c>
      <c r="E13" s="165">
        <f t="shared" ref="E13:I13" si="7">F131</f>
        <v>0</v>
      </c>
      <c r="F13" s="165">
        <f t="shared" si="7"/>
        <v>0</v>
      </c>
      <c r="G13" s="165">
        <f t="shared" si="7"/>
        <v>0</v>
      </c>
      <c r="H13" s="165">
        <f t="shared" si="7"/>
        <v>0</v>
      </c>
      <c r="I13" s="165">
        <f t="shared" si="7"/>
        <v>0</v>
      </c>
      <c r="J13" s="165" t="s">
        <v>709</v>
      </c>
      <c r="K13" s="165"/>
      <c r="L13" s="165"/>
      <c r="M13" s="165"/>
      <c r="N13" s="165"/>
      <c r="O13" s="165"/>
      <c r="P13" s="165"/>
      <c r="Q13" s="165"/>
      <c r="R13" s="165"/>
      <c r="S13" s="165"/>
      <c r="T13" s="165"/>
      <c r="U13" s="165"/>
      <c r="V13" s="58"/>
      <c r="W13" s="58"/>
      <c r="AA13" t="s">
        <v>914</v>
      </c>
      <c r="AB13" s="180">
        <v>52</v>
      </c>
    </row>
    <row r="14" spans="2:31" x14ac:dyDescent="0.4">
      <c r="B14" s="55" t="s">
        <v>9</v>
      </c>
      <c r="C14" s="44" t="s">
        <v>644</v>
      </c>
      <c r="D14" s="165">
        <f>E132</f>
        <v>0</v>
      </c>
      <c r="E14" s="165">
        <f t="shared" ref="E14:I14" si="8">F132</f>
        <v>0</v>
      </c>
      <c r="F14" s="165">
        <f t="shared" si="8"/>
        <v>0</v>
      </c>
      <c r="G14" s="165">
        <f t="shared" si="8"/>
        <v>0</v>
      </c>
      <c r="H14" s="165">
        <f t="shared" si="8"/>
        <v>0</v>
      </c>
      <c r="I14" s="165">
        <f t="shared" si="8"/>
        <v>0</v>
      </c>
      <c r="J14" s="165" t="s">
        <v>709</v>
      </c>
      <c r="K14" s="165"/>
      <c r="L14" s="165"/>
      <c r="M14" s="165"/>
      <c r="N14" s="165"/>
      <c r="O14" s="165"/>
      <c r="P14" s="165"/>
      <c r="Q14" s="165"/>
      <c r="R14" s="165"/>
      <c r="S14" s="165"/>
      <c r="T14" s="165"/>
      <c r="U14" s="165"/>
      <c r="V14" s="58"/>
      <c r="W14" s="58"/>
      <c r="AA14" s="150" t="s">
        <v>836</v>
      </c>
    </row>
    <row r="15" spans="2:31" x14ac:dyDescent="0.4">
      <c r="B15" s="55" t="s">
        <v>275</v>
      </c>
      <c r="C15" s="44" t="s">
        <v>644</v>
      </c>
      <c r="D15" s="37">
        <f>E161</f>
        <v>0</v>
      </c>
      <c r="E15" s="37">
        <f t="shared" ref="E15:I15" si="9">F161</f>
        <v>0</v>
      </c>
      <c r="F15" s="37">
        <f t="shared" si="9"/>
        <v>0</v>
      </c>
      <c r="G15" s="37">
        <f t="shared" si="9"/>
        <v>0</v>
      </c>
      <c r="H15" s="37">
        <f t="shared" si="9"/>
        <v>0</v>
      </c>
      <c r="I15" s="37">
        <f t="shared" si="9"/>
        <v>0</v>
      </c>
      <c r="J15" s="37" t="s">
        <v>709</v>
      </c>
      <c r="K15" s="37"/>
      <c r="L15" s="37"/>
      <c r="M15" s="37"/>
      <c r="N15" s="37"/>
      <c r="O15" s="37"/>
      <c r="P15" s="37"/>
      <c r="Q15" s="37"/>
      <c r="R15" s="37"/>
      <c r="S15" s="37"/>
      <c r="T15" s="37"/>
      <c r="U15" s="37"/>
      <c r="V15" s="44"/>
      <c r="W15" s="44"/>
    </row>
    <row r="16" spans="2:31" ht="19.149999999999999" customHeight="1" x14ac:dyDescent="0.4">
      <c r="B16" s="55" t="s">
        <v>89</v>
      </c>
      <c r="C16" s="55" t="s">
        <v>610</v>
      </c>
      <c r="D16" s="164">
        <f>E167</f>
        <v>0</v>
      </c>
      <c r="E16" s="164">
        <f t="shared" ref="E16:I16" si="10">F167</f>
        <v>0</v>
      </c>
      <c r="F16" s="164">
        <f t="shared" si="10"/>
        <v>0</v>
      </c>
      <c r="G16" s="164">
        <f t="shared" si="10"/>
        <v>0</v>
      </c>
      <c r="H16" s="164">
        <f t="shared" si="10"/>
        <v>0</v>
      </c>
      <c r="I16" s="164">
        <f t="shared" si="10"/>
        <v>0</v>
      </c>
      <c r="J16" s="164" t="s">
        <v>709</v>
      </c>
      <c r="K16" s="164"/>
      <c r="L16" s="164"/>
      <c r="M16" s="164"/>
      <c r="N16" s="164"/>
      <c r="O16" s="164"/>
      <c r="P16" s="164"/>
      <c r="Q16" s="164"/>
      <c r="R16" s="164"/>
      <c r="S16" s="164"/>
      <c r="T16" s="164"/>
      <c r="U16" s="164"/>
      <c r="V16" s="48"/>
      <c r="W16" s="48"/>
    </row>
    <row r="17" spans="1:26" ht="20.25" customHeight="1" x14ac:dyDescent="0.4">
      <c r="B17" s="55" t="s">
        <v>762</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8" t="s">
        <v>25</v>
      </c>
      <c r="C18" s="44" t="s">
        <v>6</v>
      </c>
      <c r="D18" s="167"/>
      <c r="E18" s="167"/>
      <c r="F18" s="167"/>
      <c r="G18" s="167"/>
      <c r="H18" s="167"/>
      <c r="I18" s="167"/>
      <c r="J18" s="177"/>
      <c r="K18" s="37"/>
      <c r="L18" s="37"/>
      <c r="M18" s="37"/>
      <c r="N18" s="37"/>
      <c r="O18" s="37"/>
      <c r="R18" s="250"/>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Select country receives a reference trajectory (which in turn depends on outturn data for TFEU thresholds in year T-X).</v>
      </c>
    </row>
    <row r="19" spans="1:26" x14ac:dyDescent="0.4">
      <c r="B19" s="179" t="s">
        <v>606</v>
      </c>
      <c r="C19" s="61" t="s">
        <v>646</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709</v>
      </c>
      <c r="R22" s="47" t="s">
        <v>709</v>
      </c>
      <c r="S22" s="47" t="s">
        <v>709</v>
      </c>
      <c r="T22" s="47" t="s">
        <v>709</v>
      </c>
      <c r="U22" s="47" t="s">
        <v>709</v>
      </c>
      <c r="V22" s="47" t="s">
        <v>709</v>
      </c>
      <c r="W22" s="47" t="s">
        <v>709</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5"/>
      <c r="E24" s="255"/>
      <c r="F24" s="255"/>
      <c r="G24" s="255"/>
      <c r="H24" s="255"/>
      <c r="I24" s="255"/>
      <c r="J24" s="255"/>
      <c r="K24" s="255"/>
      <c r="L24" s="255"/>
      <c r="M24" s="255"/>
      <c r="N24" s="255"/>
      <c r="O24" s="255"/>
      <c r="P24" s="255"/>
      <c r="Q24" s="255"/>
      <c r="R24" s="255"/>
      <c r="S24" s="255"/>
      <c r="T24" s="255"/>
      <c r="U24" s="255"/>
      <c r="V24" s="255"/>
      <c r="W24" s="255"/>
      <c r="X24" s="37"/>
      <c r="Y24" s="37"/>
    </row>
    <row r="25" spans="1:26" x14ac:dyDescent="0.4">
      <c r="B25" s="46" t="s">
        <v>206</v>
      </c>
      <c r="C25" s="14"/>
      <c r="D25" s="255">
        <f>E173</f>
        <v>0</v>
      </c>
      <c r="E25" s="255">
        <f t="shared" ref="E25:S25" si="11">F173</f>
        <v>0</v>
      </c>
      <c r="F25" s="255">
        <f t="shared" si="11"/>
        <v>0</v>
      </c>
      <c r="G25" s="255">
        <f t="shared" si="11"/>
        <v>0</v>
      </c>
      <c r="H25" s="255">
        <f t="shared" si="11"/>
        <v>0</v>
      </c>
      <c r="I25" s="255">
        <f t="shared" si="11"/>
        <v>0</v>
      </c>
      <c r="J25" s="255">
        <f t="shared" si="11"/>
        <v>0</v>
      </c>
      <c r="K25" s="255">
        <f t="shared" si="11"/>
        <v>0</v>
      </c>
      <c r="L25" s="255">
        <f t="shared" si="11"/>
        <v>0</v>
      </c>
      <c r="M25" s="255">
        <f t="shared" si="11"/>
        <v>0</v>
      </c>
      <c r="N25" s="255">
        <f t="shared" si="11"/>
        <v>0</v>
      </c>
      <c r="O25" s="255">
        <f t="shared" si="11"/>
        <v>0</v>
      </c>
      <c r="P25" s="255">
        <f t="shared" si="11"/>
        <v>0</v>
      </c>
      <c r="Q25" s="255">
        <f t="shared" si="11"/>
        <v>0</v>
      </c>
      <c r="R25" s="255">
        <f t="shared" si="11"/>
        <v>0</v>
      </c>
      <c r="S25" s="255">
        <f t="shared" si="11"/>
        <v>0</v>
      </c>
      <c r="T25" s="255" t="s">
        <v>709</v>
      </c>
      <c r="U25" s="255" t="s">
        <v>709</v>
      </c>
      <c r="V25" s="255" t="s">
        <v>709</v>
      </c>
      <c r="W25" s="255" t="s">
        <v>709</v>
      </c>
      <c r="X25" s="37"/>
      <c r="Y25" s="37"/>
    </row>
    <row r="26" spans="1:26" x14ac:dyDescent="0.4">
      <c r="B26" s="46" t="s">
        <v>0</v>
      </c>
      <c r="C26" s="14"/>
      <c r="D26" s="255"/>
      <c r="E26" s="255"/>
      <c r="F26" s="255"/>
      <c r="G26" s="255"/>
      <c r="H26" s="255"/>
      <c r="I26" s="255"/>
      <c r="J26" s="255"/>
      <c r="K26" s="255"/>
      <c r="L26" s="255"/>
      <c r="M26" s="255"/>
      <c r="N26" s="255"/>
      <c r="O26" s="255"/>
      <c r="P26" s="255"/>
      <c r="Q26" s="255"/>
      <c r="R26" s="255"/>
      <c r="S26" s="255"/>
      <c r="T26" s="255"/>
      <c r="U26" s="255"/>
      <c r="V26" s="255"/>
      <c r="W26" s="255"/>
      <c r="X26" s="37"/>
      <c r="Y26" s="37"/>
    </row>
    <row r="27" spans="1:26" x14ac:dyDescent="0.4">
      <c r="B27" s="46" t="s">
        <v>1</v>
      </c>
      <c r="C27" s="14"/>
      <c r="D27" s="255">
        <f>E172</f>
        <v>0</v>
      </c>
      <c r="E27" s="255">
        <f t="shared" ref="E27:S27" si="12">F172</f>
        <v>0</v>
      </c>
      <c r="F27" s="255">
        <f t="shared" si="12"/>
        <v>0</v>
      </c>
      <c r="G27" s="255">
        <f t="shared" si="12"/>
        <v>0</v>
      </c>
      <c r="H27" s="255">
        <f t="shared" si="12"/>
        <v>0</v>
      </c>
      <c r="I27" s="255">
        <f t="shared" si="12"/>
        <v>0</v>
      </c>
      <c r="J27" s="255">
        <f t="shared" si="12"/>
        <v>0</v>
      </c>
      <c r="K27" s="255">
        <f t="shared" si="12"/>
        <v>0</v>
      </c>
      <c r="L27" s="255">
        <f t="shared" si="12"/>
        <v>0</v>
      </c>
      <c r="M27" s="255">
        <f t="shared" si="12"/>
        <v>0</v>
      </c>
      <c r="N27" s="255">
        <f t="shared" si="12"/>
        <v>0</v>
      </c>
      <c r="O27" s="255">
        <f t="shared" si="12"/>
        <v>0</v>
      </c>
      <c r="P27" s="255">
        <f t="shared" si="12"/>
        <v>0</v>
      </c>
      <c r="Q27" s="255">
        <f t="shared" si="12"/>
        <v>0</v>
      </c>
      <c r="R27" s="255">
        <f t="shared" si="12"/>
        <v>0</v>
      </c>
      <c r="S27" s="255">
        <f t="shared" si="12"/>
        <v>0</v>
      </c>
      <c r="T27" s="255" t="s">
        <v>709</v>
      </c>
      <c r="U27" s="255" t="s">
        <v>709</v>
      </c>
      <c r="V27" s="255" t="s">
        <v>709</v>
      </c>
      <c r="W27" s="255" t="s">
        <v>709</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5">
        <f>E206</f>
        <v>0</v>
      </c>
      <c r="E29" s="255">
        <f t="shared" ref="E29:S29" si="13">F206</f>
        <v>0</v>
      </c>
      <c r="F29" s="255">
        <f t="shared" si="13"/>
        <v>0</v>
      </c>
      <c r="G29" s="255">
        <f t="shared" si="13"/>
        <v>0</v>
      </c>
      <c r="H29" s="255">
        <f t="shared" si="13"/>
        <v>0</v>
      </c>
      <c r="I29" s="255">
        <f t="shared" si="13"/>
        <v>0</v>
      </c>
      <c r="J29" s="255">
        <f t="shared" si="13"/>
        <v>0</v>
      </c>
      <c r="K29" s="255">
        <f t="shared" si="13"/>
        <v>0</v>
      </c>
      <c r="L29" s="255">
        <f t="shared" si="13"/>
        <v>0</v>
      </c>
      <c r="M29" s="255">
        <f t="shared" si="13"/>
        <v>0</v>
      </c>
      <c r="N29" s="255">
        <f t="shared" si="13"/>
        <v>0</v>
      </c>
      <c r="O29" s="255">
        <f t="shared" si="13"/>
        <v>0</v>
      </c>
      <c r="P29" s="255">
        <f t="shared" si="13"/>
        <v>0</v>
      </c>
      <c r="Q29" s="255">
        <f t="shared" si="13"/>
        <v>0</v>
      </c>
      <c r="R29" s="255">
        <f t="shared" si="13"/>
        <v>0</v>
      </c>
      <c r="S29" s="255">
        <f t="shared" si="13"/>
        <v>0</v>
      </c>
      <c r="T29" s="255" t="s">
        <v>709</v>
      </c>
      <c r="U29" s="255" t="s">
        <v>709</v>
      </c>
      <c r="V29" s="255" t="s">
        <v>709</v>
      </c>
      <c r="W29" s="255" t="s">
        <v>709</v>
      </c>
      <c r="X29" s="37"/>
      <c r="Y29" s="37"/>
      <c r="Z29" s="14"/>
    </row>
    <row r="30" spans="1:26" s="14" customFormat="1" x14ac:dyDescent="0.4">
      <c r="A30"/>
      <c r="B30" s="46" t="s">
        <v>286</v>
      </c>
      <c r="D30" s="255">
        <f t="shared" ref="D30:S30" si="14">E189</f>
        <v>0</v>
      </c>
      <c r="E30" s="255">
        <f t="shared" si="14"/>
        <v>0</v>
      </c>
      <c r="F30" s="255">
        <f t="shared" si="14"/>
        <v>0</v>
      </c>
      <c r="G30" s="255">
        <f t="shared" si="14"/>
        <v>0</v>
      </c>
      <c r="H30" s="255">
        <f t="shared" si="14"/>
        <v>0</v>
      </c>
      <c r="I30" s="255">
        <f t="shared" si="14"/>
        <v>0</v>
      </c>
      <c r="J30" s="255">
        <f t="shared" si="14"/>
        <v>0</v>
      </c>
      <c r="K30" s="255">
        <f t="shared" si="14"/>
        <v>0</v>
      </c>
      <c r="L30" s="255">
        <f t="shared" si="14"/>
        <v>0</v>
      </c>
      <c r="M30" s="255">
        <f t="shared" si="14"/>
        <v>0</v>
      </c>
      <c r="N30" s="255">
        <f t="shared" si="14"/>
        <v>0</v>
      </c>
      <c r="O30" s="255">
        <f t="shared" si="14"/>
        <v>0</v>
      </c>
      <c r="P30" s="255">
        <f t="shared" si="14"/>
        <v>0</v>
      </c>
      <c r="Q30" s="255">
        <f t="shared" si="14"/>
        <v>0</v>
      </c>
      <c r="R30" s="255">
        <f t="shared" si="14"/>
        <v>0</v>
      </c>
      <c r="S30" s="255">
        <f t="shared" si="14"/>
        <v>0</v>
      </c>
      <c r="T30" s="255" t="s">
        <v>709</v>
      </c>
      <c r="U30" s="255" t="s">
        <v>709</v>
      </c>
      <c r="V30" s="255" t="s">
        <v>709</v>
      </c>
      <c r="W30" s="255" t="s">
        <v>709</v>
      </c>
      <c r="X30" s="37"/>
      <c r="Y30" s="37"/>
    </row>
    <row r="31" spans="1:26" s="14" customFormat="1" x14ac:dyDescent="0.4">
      <c r="A31"/>
      <c r="B31" s="46" t="s">
        <v>287</v>
      </c>
      <c r="D31" s="255">
        <f t="shared" ref="D31:S31" si="15">E193</f>
        <v>0</v>
      </c>
      <c r="E31" s="255">
        <f t="shared" si="15"/>
        <v>0</v>
      </c>
      <c r="F31" s="255">
        <f t="shared" si="15"/>
        <v>0</v>
      </c>
      <c r="G31" s="255">
        <f t="shared" si="15"/>
        <v>0</v>
      </c>
      <c r="H31" s="255">
        <f t="shared" si="15"/>
        <v>0</v>
      </c>
      <c r="I31" s="255">
        <f t="shared" si="15"/>
        <v>0</v>
      </c>
      <c r="J31" s="255">
        <f t="shared" si="15"/>
        <v>0</v>
      </c>
      <c r="K31" s="255">
        <f t="shared" si="15"/>
        <v>0</v>
      </c>
      <c r="L31" s="255">
        <f t="shared" si="15"/>
        <v>0</v>
      </c>
      <c r="M31" s="255">
        <f t="shared" si="15"/>
        <v>0</v>
      </c>
      <c r="N31" s="255">
        <f t="shared" si="15"/>
        <v>0</v>
      </c>
      <c r="O31" s="255">
        <f t="shared" si="15"/>
        <v>0</v>
      </c>
      <c r="P31" s="255">
        <f t="shared" si="15"/>
        <v>0</v>
      </c>
      <c r="Q31" s="255">
        <f t="shared" si="15"/>
        <v>0</v>
      </c>
      <c r="R31" s="255">
        <f t="shared" si="15"/>
        <v>0</v>
      </c>
      <c r="S31" s="255">
        <f t="shared" si="15"/>
        <v>0</v>
      </c>
      <c r="T31" s="255" t="s">
        <v>709</v>
      </c>
      <c r="U31" s="255" t="s">
        <v>709</v>
      </c>
      <c r="V31" s="255" t="s">
        <v>709</v>
      </c>
      <c r="W31" s="255" t="s">
        <v>709</v>
      </c>
      <c r="X31" s="37"/>
      <c r="Y31" s="37"/>
    </row>
    <row r="32" spans="1:26" x14ac:dyDescent="0.4">
      <c r="B32" s="46" t="s">
        <v>288</v>
      </c>
      <c r="C32" s="14"/>
      <c r="D32" s="255">
        <f t="shared" ref="D32:S32" si="16">E196</f>
        <v>0</v>
      </c>
      <c r="E32" s="255">
        <f t="shared" si="16"/>
        <v>0</v>
      </c>
      <c r="F32" s="255">
        <f t="shared" si="16"/>
        <v>0</v>
      </c>
      <c r="G32" s="255">
        <f t="shared" si="16"/>
        <v>0</v>
      </c>
      <c r="H32" s="255">
        <f t="shared" si="16"/>
        <v>0</v>
      </c>
      <c r="I32" s="255">
        <f t="shared" si="16"/>
        <v>0</v>
      </c>
      <c r="J32" s="255">
        <f t="shared" si="16"/>
        <v>0</v>
      </c>
      <c r="K32" s="255">
        <f t="shared" si="16"/>
        <v>0</v>
      </c>
      <c r="L32" s="255">
        <f t="shared" si="16"/>
        <v>0</v>
      </c>
      <c r="M32" s="255">
        <f t="shared" si="16"/>
        <v>0</v>
      </c>
      <c r="N32" s="255">
        <f t="shared" si="16"/>
        <v>0</v>
      </c>
      <c r="O32" s="255">
        <f t="shared" si="16"/>
        <v>0</v>
      </c>
      <c r="P32" s="255">
        <f t="shared" si="16"/>
        <v>0</v>
      </c>
      <c r="Q32" s="255">
        <f t="shared" si="16"/>
        <v>0</v>
      </c>
      <c r="R32" s="255">
        <f t="shared" si="16"/>
        <v>0</v>
      </c>
      <c r="S32" s="255">
        <f t="shared" si="16"/>
        <v>0</v>
      </c>
      <c r="T32" s="255" t="s">
        <v>709</v>
      </c>
      <c r="U32" s="255" t="s">
        <v>709</v>
      </c>
      <c r="V32" s="255" t="s">
        <v>709</v>
      </c>
      <c r="W32" s="255" t="s">
        <v>709</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reference trajectory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v>
      </c>
      <c r="D39" s="254"/>
      <c r="E39" s="254"/>
      <c r="F39" s="254"/>
      <c r="G39" s="254"/>
      <c r="H39" s="254"/>
      <c r="I39" s="254"/>
      <c r="J39" s="254"/>
      <c r="K39" s="254"/>
      <c r="L39" s="254"/>
      <c r="M39" s="254"/>
      <c r="N39" s="254"/>
      <c r="O39" s="254"/>
      <c r="P39" s="254"/>
      <c r="Q39" s="254"/>
      <c r="R39" s="254"/>
      <c r="S39" s="254"/>
      <c r="T39" s="254"/>
      <c r="U39" s="254"/>
      <c r="V39" s="254"/>
      <c r="W39" s="254"/>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(not applicable), no safeguard</v>
      </c>
      <c r="D40" s="255"/>
      <c r="E40" s="255"/>
      <c r="F40" s="255"/>
      <c r="G40" s="255"/>
      <c r="H40" s="255"/>
      <c r="I40" s="255"/>
      <c r="J40" s="255"/>
      <c r="K40" s="255"/>
      <c r="L40" s="255"/>
      <c r="M40" s="255"/>
      <c r="N40" s="255"/>
      <c r="O40" s="255"/>
      <c r="P40" s="255"/>
      <c r="Q40" s="255"/>
      <c r="R40" s="255"/>
      <c r="S40" s="255"/>
      <c r="T40" s="255"/>
      <c r="U40" s="255"/>
      <c r="V40" s="255"/>
      <c r="W40" s="255"/>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(not applicable), with safeguard</v>
      </c>
      <c r="D41" s="255"/>
      <c r="E41" s="255"/>
      <c r="F41" s="255"/>
      <c r="G41" s="255"/>
      <c r="H41" s="255"/>
      <c r="I41" s="255"/>
      <c r="J41" s="255"/>
      <c r="K41" s="255"/>
      <c r="L41" s="255"/>
      <c r="M41" s="255"/>
      <c r="N41" s="255"/>
      <c r="O41" s="255"/>
      <c r="P41" s="255"/>
      <c r="Q41" s="255"/>
      <c r="R41" s="255"/>
      <c r="S41" s="255"/>
      <c r="T41" s="255"/>
      <c r="U41" s="255"/>
      <c r="V41" s="255"/>
      <c r="W41" s="255"/>
      <c r="X41" s="84"/>
    </row>
    <row r="42" spans="1:26" s="14" customFormat="1" x14ac:dyDescent="0.4">
      <c r="A42"/>
      <c r="B42" s="81" t="str">
        <f>IF(Receives_reference_trajectory,"EC reference trajectory","EC technical information - Path to meet all requirements and safeguard.")</f>
        <v>EC reference trajectory</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5"/>
      <c r="E44" s="255"/>
      <c r="F44" s="255"/>
      <c r="G44" s="255"/>
      <c r="H44" s="255"/>
      <c r="I44" s="255"/>
      <c r="J44" s="255"/>
      <c r="K44" s="255"/>
      <c r="L44" s="255"/>
      <c r="M44" s="255"/>
      <c r="N44" s="255"/>
      <c r="O44" s="255"/>
      <c r="P44" s="255"/>
      <c r="Q44" s="255"/>
      <c r="R44" s="255"/>
      <c r="S44" s="255"/>
      <c r="T44" s="255"/>
      <c r="U44" s="255"/>
      <c r="V44" s="255"/>
      <c r="W44" s="255"/>
    </row>
    <row r="45" spans="1:26" x14ac:dyDescent="0.4">
      <c r="B45" s="46" t="s">
        <v>206</v>
      </c>
      <c r="C45" s="14"/>
      <c r="D45" s="255"/>
      <c r="E45" s="255"/>
      <c r="F45" s="255"/>
      <c r="G45" s="255"/>
      <c r="H45" s="255"/>
      <c r="I45" s="255"/>
      <c r="J45" s="255"/>
      <c r="K45" s="255"/>
      <c r="L45" s="255"/>
      <c r="M45" s="255"/>
      <c r="N45" s="255"/>
      <c r="O45" s="255"/>
      <c r="P45" s="255"/>
      <c r="Q45" s="255"/>
      <c r="R45" s="255"/>
      <c r="S45" s="255"/>
      <c r="T45" s="255"/>
      <c r="U45" s="255"/>
      <c r="V45" s="255"/>
      <c r="W45" s="255"/>
    </row>
    <row r="46" spans="1:26" x14ac:dyDescent="0.4">
      <c r="B46" s="46" t="s">
        <v>3</v>
      </c>
      <c r="C46" s="14"/>
      <c r="D46" s="255"/>
      <c r="E46" s="255"/>
      <c r="F46" s="255"/>
      <c r="G46" s="255"/>
      <c r="H46" s="255"/>
      <c r="I46" s="255"/>
      <c r="J46" s="255"/>
      <c r="K46" s="255"/>
      <c r="L46" s="255"/>
      <c r="M46" s="255"/>
      <c r="N46" s="255"/>
      <c r="O46" s="255"/>
      <c r="P46" s="255"/>
      <c r="Q46" s="255"/>
      <c r="R46" s="255"/>
      <c r="S46" s="255"/>
      <c r="T46" s="255"/>
      <c r="U46" s="255"/>
      <c r="V46" s="255"/>
      <c r="W46" s="255"/>
    </row>
    <row r="47" spans="1:26" s="14" customFormat="1" x14ac:dyDescent="0.4">
      <c r="A47"/>
      <c r="B47" s="46" t="s">
        <v>1</v>
      </c>
      <c r="D47" s="255"/>
      <c r="E47" s="255"/>
      <c r="F47" s="255"/>
      <c r="G47" s="255"/>
      <c r="H47" s="255"/>
      <c r="I47" s="255"/>
      <c r="J47" s="255"/>
      <c r="K47" s="255"/>
      <c r="L47" s="255"/>
      <c r="M47" s="255"/>
      <c r="N47" s="255"/>
      <c r="O47" s="255"/>
      <c r="P47" s="255"/>
      <c r="Q47" s="255"/>
      <c r="R47" s="255"/>
      <c r="S47" s="255"/>
      <c r="T47" s="255"/>
      <c r="U47" s="255"/>
      <c r="V47" s="255"/>
      <c r="W47" s="255"/>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76"/>
      <c r="E49" s="76"/>
      <c r="F49" s="76"/>
      <c r="G49" s="76"/>
      <c r="H49" s="76"/>
      <c r="I49" s="76"/>
      <c r="J49" s="76"/>
      <c r="K49" s="76"/>
      <c r="L49" s="76"/>
      <c r="M49" s="76"/>
      <c r="N49" s="76"/>
      <c r="O49" s="76"/>
      <c r="P49" s="76"/>
      <c r="Q49" s="76"/>
      <c r="R49" s="76"/>
      <c r="S49" s="76"/>
      <c r="T49" s="255"/>
      <c r="U49" s="255"/>
      <c r="V49" s="255"/>
      <c r="W49" s="255"/>
      <c r="X49"/>
    </row>
    <row r="50" spans="1:26" s="14" customFormat="1" ht="16.899999999999999" customHeight="1" x14ac:dyDescent="0.4">
      <c r="A50"/>
      <c r="B50" s="46" t="s">
        <v>286</v>
      </c>
      <c r="D50" s="76"/>
      <c r="E50" s="76"/>
      <c r="F50" s="76"/>
      <c r="G50" s="76"/>
      <c r="H50" s="76"/>
      <c r="I50" s="76"/>
      <c r="J50" s="76"/>
      <c r="K50" s="76"/>
      <c r="L50" s="76"/>
      <c r="M50" s="76"/>
      <c r="N50" s="76"/>
      <c r="O50" s="76"/>
      <c r="P50" s="76"/>
      <c r="Q50" s="76"/>
      <c r="R50" s="76"/>
      <c r="S50" s="76"/>
      <c r="T50" s="255"/>
      <c r="U50" s="255"/>
      <c r="V50" s="255"/>
      <c r="W50" s="255"/>
      <c r="X50"/>
    </row>
    <row r="51" spans="1:26" s="14" customFormat="1" x14ac:dyDescent="0.4">
      <c r="A51"/>
      <c r="B51" s="46" t="s">
        <v>287</v>
      </c>
      <c r="D51" s="76"/>
      <c r="E51" s="76"/>
      <c r="F51" s="76"/>
      <c r="G51" s="76"/>
      <c r="H51" s="76"/>
      <c r="I51" s="76"/>
      <c r="J51" s="76"/>
      <c r="K51" s="76"/>
      <c r="L51" s="76"/>
      <c r="M51" s="76"/>
      <c r="N51" s="76"/>
      <c r="O51" s="76"/>
      <c r="P51" s="76"/>
      <c r="Q51" s="76"/>
      <c r="R51" s="76"/>
      <c r="S51" s="76"/>
      <c r="T51" s="255"/>
      <c r="U51" s="255"/>
      <c r="V51" s="255"/>
      <c r="W51" s="255"/>
      <c r="X51"/>
    </row>
    <row r="52" spans="1:26" ht="20.25" customHeight="1" x14ac:dyDescent="0.4">
      <c r="B52" s="46" t="s">
        <v>288</v>
      </c>
      <c r="C52" s="14"/>
      <c r="D52" s="76"/>
      <c r="E52" s="76"/>
      <c r="F52" s="76"/>
      <c r="G52" s="76"/>
      <c r="H52" s="76"/>
      <c r="I52" s="76"/>
      <c r="J52" s="76"/>
      <c r="K52" s="76"/>
      <c r="L52" s="76"/>
      <c r="M52" s="76"/>
      <c r="N52" s="76"/>
      <c r="O52" s="76"/>
      <c r="P52" s="76"/>
      <c r="Q52" s="76"/>
      <c r="R52" s="76"/>
      <c r="S52" s="76"/>
      <c r="T52" s="255"/>
      <c r="U52" s="255"/>
      <c r="V52" s="255"/>
      <c r="W52" s="255"/>
      <c r="Y52" s="14"/>
      <c r="Z52" s="14"/>
    </row>
    <row r="53" spans="1:26" x14ac:dyDescent="0.4">
      <c r="B53" s="46" t="str">
        <f>"Stochastic debt projections, "&amp;AdjustmentPeriodEnd+1&amp;"-"&amp;StochasticLastYear</f>
        <v>Stochastic debt projections, 2029-2033</v>
      </c>
      <c r="C53" s="14"/>
      <c r="D53" s="255"/>
      <c r="E53" s="255"/>
      <c r="F53" s="255"/>
      <c r="G53" s="255"/>
      <c r="H53" s="255"/>
      <c r="I53" s="255"/>
      <c r="J53" s="255"/>
      <c r="K53" s="255"/>
      <c r="L53" s="255"/>
      <c r="M53" s="255"/>
      <c r="N53" s="255"/>
      <c r="O53" s="255"/>
      <c r="P53" s="255"/>
      <c r="Q53" s="255"/>
      <c r="R53" s="255"/>
      <c r="S53" s="255"/>
      <c r="T53" s="255"/>
      <c r="U53" s="255"/>
      <c r="V53" s="255"/>
      <c r="W53" s="255"/>
      <c r="Y53" s="14"/>
      <c r="Z53" s="14"/>
    </row>
    <row r="54" spans="1:26" x14ac:dyDescent="0.4">
      <c r="B54" s="82" t="s">
        <v>317</v>
      </c>
      <c r="C54" s="14"/>
      <c r="D54" s="255"/>
      <c r="E54" s="255"/>
      <c r="F54" s="255"/>
      <c r="G54" s="255"/>
      <c r="H54" s="255"/>
      <c r="I54" s="255"/>
      <c r="J54" s="255"/>
      <c r="K54" s="255"/>
      <c r="L54" s="255"/>
      <c r="M54" s="255"/>
      <c r="N54" s="255"/>
      <c r="O54" s="255"/>
      <c r="P54" s="255"/>
      <c r="Q54" s="255"/>
      <c r="R54" s="255"/>
      <c r="S54" s="255"/>
      <c r="T54" s="255"/>
      <c r="U54" s="255"/>
      <c r="V54" s="255"/>
      <c r="W54" s="255"/>
      <c r="Y54" s="14"/>
      <c r="Z54" s="14"/>
    </row>
    <row r="55" spans="1:26" x14ac:dyDescent="0.4">
      <c r="B55" s="82" t="s">
        <v>318</v>
      </c>
      <c r="C55" s="14"/>
      <c r="D55" s="255"/>
      <c r="E55" s="255"/>
      <c r="F55" s="255"/>
      <c r="G55" s="255"/>
      <c r="H55" s="255"/>
      <c r="I55" s="255"/>
      <c r="J55" s="255"/>
      <c r="K55" s="255"/>
      <c r="L55" s="255"/>
      <c r="M55" s="255"/>
      <c r="N55" s="255"/>
      <c r="O55" s="255"/>
      <c r="P55" s="255"/>
      <c r="Q55" s="255"/>
      <c r="R55" s="255"/>
      <c r="S55" s="255"/>
      <c r="T55" s="255"/>
      <c r="U55" s="255"/>
      <c r="V55" s="255"/>
      <c r="W55" s="255"/>
      <c r="Y55" s="14"/>
      <c r="Z55" s="14"/>
    </row>
    <row r="56" spans="1:26" x14ac:dyDescent="0.4">
      <c r="B56" s="82" t="s">
        <v>319</v>
      </c>
      <c r="C56" s="14"/>
      <c r="D56" s="255"/>
      <c r="E56" s="255"/>
      <c r="F56" s="255"/>
      <c r="G56" s="255"/>
      <c r="H56" s="255"/>
      <c r="I56" s="255"/>
      <c r="J56" s="255"/>
      <c r="K56" s="255"/>
      <c r="L56" s="255"/>
      <c r="M56" s="255"/>
      <c r="N56" s="255"/>
      <c r="O56" s="255"/>
      <c r="P56" s="255"/>
      <c r="Q56" s="255"/>
      <c r="R56" s="255"/>
      <c r="S56" s="255"/>
      <c r="T56" s="255"/>
      <c r="U56" s="255"/>
      <c r="V56" s="255"/>
      <c r="W56" s="255"/>
      <c r="Y56" s="14"/>
      <c r="Z56" s="14"/>
    </row>
    <row r="57" spans="1:26" x14ac:dyDescent="0.4">
      <c r="B57" s="82" t="s">
        <v>320</v>
      </c>
      <c r="C57" s="14"/>
      <c r="D57" s="255"/>
      <c r="E57" s="255"/>
      <c r="F57" s="255"/>
      <c r="G57" s="255"/>
      <c r="H57" s="255"/>
      <c r="I57" s="255"/>
      <c r="J57" s="255"/>
      <c r="K57" s="255"/>
      <c r="L57" s="255"/>
      <c r="M57" s="255"/>
      <c r="N57" s="255"/>
      <c r="O57" s="255"/>
      <c r="P57" s="255"/>
      <c r="Q57" s="255"/>
      <c r="R57" s="255"/>
      <c r="S57" s="255"/>
      <c r="T57" s="255"/>
      <c r="U57" s="255"/>
      <c r="V57" s="255"/>
      <c r="W57" s="255"/>
      <c r="Y57" s="14"/>
      <c r="Z57" s="14"/>
    </row>
    <row r="58" spans="1:26" s="14" customFormat="1" ht="20.25" customHeight="1" x14ac:dyDescent="0.4">
      <c r="A58"/>
      <c r="B58" s="82" t="s">
        <v>321</v>
      </c>
      <c r="D58" s="255"/>
      <c r="E58" s="255"/>
      <c r="F58" s="255"/>
      <c r="G58" s="255"/>
      <c r="H58" s="255"/>
      <c r="I58" s="255"/>
      <c r="J58" s="255"/>
      <c r="K58" s="255"/>
      <c r="L58" s="255"/>
      <c r="M58" s="255"/>
      <c r="N58" s="255"/>
      <c r="O58" s="255"/>
      <c r="P58" s="255"/>
      <c r="Q58" s="255"/>
      <c r="R58" s="255"/>
      <c r="S58" s="255"/>
      <c r="T58" s="255"/>
      <c r="U58" s="255"/>
      <c r="V58" s="255"/>
      <c r="W58" s="255"/>
      <c r="X58"/>
    </row>
    <row r="59" spans="1:26" s="14" customFormat="1" x14ac:dyDescent="0.4">
      <c r="A59"/>
      <c r="B59" s="82" t="s">
        <v>317</v>
      </c>
      <c r="D59" s="255"/>
      <c r="E59" s="255"/>
      <c r="F59" s="255"/>
      <c r="G59" s="255"/>
      <c r="H59" s="255"/>
      <c r="I59" s="255"/>
      <c r="J59" s="255"/>
      <c r="K59" s="255"/>
      <c r="L59" s="255"/>
      <c r="M59" s="255"/>
      <c r="N59" s="255"/>
      <c r="O59" s="255"/>
      <c r="P59" s="255"/>
      <c r="Q59" s="255"/>
      <c r="R59" s="255"/>
      <c r="S59" s="255"/>
      <c r="T59" s="255"/>
      <c r="U59" s="255"/>
      <c r="V59" s="255"/>
      <c r="W59" s="255"/>
      <c r="X59"/>
    </row>
    <row r="60" spans="1:26" s="14" customFormat="1" x14ac:dyDescent="0.4">
      <c r="A60"/>
      <c r="B60" s="82" t="s">
        <v>322</v>
      </c>
      <c r="D60" s="255"/>
      <c r="E60" s="255"/>
      <c r="F60" s="255"/>
      <c r="G60" s="255"/>
      <c r="H60" s="255"/>
      <c r="I60" s="255"/>
      <c r="J60" s="255"/>
      <c r="K60" s="255"/>
      <c r="L60" s="255"/>
      <c r="M60" s="255"/>
      <c r="N60" s="255"/>
      <c r="O60" s="255"/>
      <c r="P60" s="255"/>
      <c r="Q60" s="255"/>
      <c r="R60" s="255"/>
      <c r="S60" s="255"/>
      <c r="T60" s="255"/>
      <c r="U60" s="255"/>
      <c r="V60" s="255"/>
      <c r="W60" s="255"/>
      <c r="X60" s="70"/>
      <c r="Y60"/>
      <c r="Z60"/>
    </row>
    <row r="61" spans="1:26" s="14" customFormat="1" x14ac:dyDescent="0.4">
      <c r="A61"/>
      <c r="B61" s="82" t="s">
        <v>323</v>
      </c>
      <c r="D61" s="255"/>
      <c r="E61" s="255"/>
      <c r="F61" s="255"/>
      <c r="G61" s="255"/>
      <c r="H61" s="255"/>
      <c r="I61" s="255"/>
      <c r="J61" s="255"/>
      <c r="K61" s="255"/>
      <c r="L61" s="255"/>
      <c r="M61" s="255"/>
      <c r="N61" s="255"/>
      <c r="O61" s="255"/>
      <c r="P61" s="255"/>
      <c r="Q61" s="255"/>
      <c r="R61" s="255"/>
      <c r="S61" s="255"/>
      <c r="T61" s="255"/>
      <c r="U61" s="255"/>
      <c r="V61" s="255"/>
      <c r="W61" s="255"/>
      <c r="X61" s="70"/>
      <c r="Y61"/>
      <c r="Z61"/>
    </row>
    <row r="62" spans="1:26" s="14" customFormat="1" x14ac:dyDescent="0.4">
      <c r="A62"/>
      <c r="B62" s="82" t="s">
        <v>324</v>
      </c>
      <c r="D62" s="255"/>
      <c r="E62" s="255"/>
      <c r="F62" s="255"/>
      <c r="G62" s="255"/>
      <c r="H62" s="255"/>
      <c r="I62" s="255"/>
      <c r="J62" s="255"/>
      <c r="K62" s="255"/>
      <c r="L62" s="255"/>
      <c r="M62" s="255"/>
      <c r="N62" s="255"/>
      <c r="O62" s="255"/>
      <c r="P62" s="255"/>
      <c r="Q62" s="255"/>
      <c r="R62" s="255"/>
      <c r="S62" s="255"/>
      <c r="T62" s="255"/>
      <c r="U62" s="255"/>
      <c r="V62" s="255"/>
      <c r="W62" s="255"/>
      <c r="X62" s="70"/>
      <c r="Y62"/>
      <c r="Z62"/>
    </row>
    <row r="63" spans="1:26" s="14" customFormat="1" x14ac:dyDescent="0.4">
      <c r="A63"/>
      <c r="B63" s="83" t="s">
        <v>325</v>
      </c>
      <c r="C63" s="19"/>
      <c r="D63" s="255"/>
      <c r="E63" s="255"/>
      <c r="F63" s="255"/>
      <c r="G63" s="255"/>
      <c r="H63" s="255"/>
      <c r="I63" s="255"/>
      <c r="J63" s="255"/>
      <c r="K63" s="255"/>
      <c r="L63" s="255"/>
      <c r="M63" s="255"/>
      <c r="N63" s="255"/>
      <c r="O63" s="255"/>
      <c r="P63" s="255"/>
      <c r="Q63" s="255"/>
      <c r="R63" s="255"/>
      <c r="S63" s="255"/>
      <c r="T63" s="255"/>
      <c r="U63" s="255"/>
      <c r="V63" s="255"/>
      <c r="W63" s="255"/>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1001</v>
      </c>
      <c r="B68"/>
      <c r="C68"/>
      <c r="D68"/>
      <c r="E68"/>
      <c r="F68"/>
      <c r="G68"/>
      <c r="H68"/>
      <c r="I68"/>
      <c r="J68"/>
      <c r="K68"/>
      <c r="L68"/>
      <c r="M68"/>
      <c r="N68"/>
      <c r="O68"/>
      <c r="P68"/>
      <c r="Q68"/>
      <c r="R68"/>
      <c r="S68"/>
      <c r="T68"/>
      <c r="U68"/>
      <c r="V68"/>
      <c r="W68"/>
      <c r="X68"/>
      <c r="Y68"/>
      <c r="Z68"/>
    </row>
    <row r="69" spans="1:26" s="14" customFormat="1" ht="23.25" x14ac:dyDescent="0.7">
      <c r="A69" s="13" t="s">
        <v>814</v>
      </c>
      <c r="B69"/>
      <c r="C69"/>
      <c r="D69"/>
      <c r="E69"/>
      <c r="F69"/>
      <c r="G69"/>
      <c r="H69"/>
      <c r="I69"/>
      <c r="J69"/>
      <c r="K69"/>
      <c r="L69"/>
      <c r="M69"/>
      <c r="N69"/>
      <c r="O69"/>
      <c r="P69"/>
      <c r="Q69"/>
      <c r="R69"/>
      <c r="S69"/>
      <c r="T69"/>
      <c r="U69"/>
      <c r="V69"/>
      <c r="W69"/>
      <c r="X69"/>
      <c r="Y69"/>
      <c r="Z69"/>
    </row>
    <row r="70" spans="1:26" x14ac:dyDescent="0.4">
      <c r="A70" s="235"/>
      <c r="B70" s="235"/>
      <c r="C70" s="235"/>
      <c r="D70" s="235">
        <f>MTP_BaseYear</f>
        <v>2023</v>
      </c>
      <c r="E70" s="235" cm="1">
        <f t="array" ref="E70:J70">_xlfn.SEQUENCE(1, MTP_EndYear-MTP_BaseYear+1, MTP_BaseYear)</f>
        <v>2023</v>
      </c>
      <c r="F70" s="235">
        <v>2024</v>
      </c>
      <c r="G70" s="235">
        <v>2025</v>
      </c>
      <c r="H70" s="235">
        <v>2026</v>
      </c>
      <c r="I70" s="235">
        <v>2027</v>
      </c>
      <c r="J70" s="235">
        <v>2028</v>
      </c>
    </row>
    <row r="71" spans="1:26" x14ac:dyDescent="0.4">
      <c r="A71" s="213"/>
      <c r="B71" s="213" t="s">
        <v>30</v>
      </c>
      <c r="C71" s="213" t="s">
        <v>31</v>
      </c>
      <c r="D71" s="236" t="s">
        <v>6</v>
      </c>
      <c r="E71" s="236" t="str" cm="1">
        <f t="array" ref="E71:J71">IF(ISNUMBER(_xlfn.ANCHORARRAY(E$70)),"% of GDP","")</f>
        <v>% of GDP</v>
      </c>
      <c r="F71" s="236" t="str">
        <v>% of GDP</v>
      </c>
      <c r="G71" s="236" t="str">
        <v>% of GDP</v>
      </c>
      <c r="H71" s="236" t="str">
        <v>% of GDP</v>
      </c>
      <c r="I71" s="236" t="str">
        <v>% of GDP</v>
      </c>
      <c r="J71" s="236" t="str">
        <v>% of GDP</v>
      </c>
    </row>
    <row r="72" spans="1:26" x14ac:dyDescent="0.4">
      <c r="A72" s="213">
        <v>1</v>
      </c>
      <c r="B72" s="239" t="s">
        <v>32</v>
      </c>
      <c r="C72" s="239" t="s">
        <v>72</v>
      </c>
      <c r="D72" s="4"/>
      <c r="E72" s="4"/>
      <c r="F72" s="4"/>
      <c r="G72" s="4"/>
      <c r="H72" s="4"/>
      <c r="I72" s="4"/>
      <c r="J72" s="4"/>
    </row>
    <row r="73" spans="1:26" x14ac:dyDescent="0.4">
      <c r="A73" s="213">
        <v>2</v>
      </c>
      <c r="B73" s="239" t="s">
        <v>33</v>
      </c>
      <c r="C73" s="239" t="s">
        <v>73</v>
      </c>
      <c r="D73" s="4"/>
      <c r="E73" s="4"/>
      <c r="F73" s="4"/>
      <c r="G73" s="4"/>
      <c r="H73" s="4"/>
      <c r="I73" s="4"/>
      <c r="J73" s="4"/>
    </row>
    <row r="74" spans="1:26" x14ac:dyDescent="0.4">
      <c r="A74" s="213">
        <v>3</v>
      </c>
      <c r="B74" s="239" t="s">
        <v>34</v>
      </c>
      <c r="C74" s="239" t="s">
        <v>74</v>
      </c>
      <c r="D74" s="4"/>
      <c r="E74" s="4"/>
      <c r="F74" s="4"/>
      <c r="G74" s="4"/>
      <c r="H74" s="4"/>
      <c r="I74" s="4"/>
      <c r="J74" s="4"/>
    </row>
    <row r="75" spans="1:26" x14ac:dyDescent="0.4">
      <c r="A75" s="213">
        <v>4</v>
      </c>
      <c r="B75" s="239" t="s">
        <v>36</v>
      </c>
      <c r="C75" s="239" t="s">
        <v>75</v>
      </c>
      <c r="D75" s="4"/>
      <c r="E75" s="4"/>
      <c r="F75" s="4"/>
      <c r="G75" s="4"/>
      <c r="H75" s="4"/>
      <c r="I75" s="4"/>
      <c r="J75" s="4"/>
    </row>
    <row r="76" spans="1:26" x14ac:dyDescent="0.4">
      <c r="A76" s="213">
        <v>5</v>
      </c>
      <c r="B76" s="239" t="s">
        <v>37</v>
      </c>
      <c r="C76" s="239" t="s">
        <v>76</v>
      </c>
      <c r="D76" s="4"/>
      <c r="E76" s="4"/>
      <c r="F76" s="4"/>
      <c r="G76" s="4"/>
      <c r="H76" s="4"/>
      <c r="I76" s="4"/>
      <c r="J76" s="4"/>
    </row>
    <row r="77" spans="1:26" x14ac:dyDescent="0.4">
      <c r="A77" s="213">
        <v>6</v>
      </c>
      <c r="B77" s="239" t="s">
        <v>38</v>
      </c>
      <c r="C77" s="239" t="s">
        <v>77</v>
      </c>
      <c r="D77" s="4"/>
      <c r="E77" s="4"/>
      <c r="F77" s="4"/>
      <c r="G77" s="4"/>
      <c r="H77" s="4"/>
      <c r="I77" s="4"/>
      <c r="J77" s="4"/>
    </row>
    <row r="78" spans="1:26" x14ac:dyDescent="0.4">
      <c r="A78" s="213">
        <v>7</v>
      </c>
      <c r="B78" s="239" t="s">
        <v>39</v>
      </c>
      <c r="C78" s="239" t="s">
        <v>78</v>
      </c>
      <c r="D78" s="239"/>
      <c r="E78" s="239"/>
      <c r="F78" s="239"/>
      <c r="G78" s="239"/>
      <c r="H78" s="239"/>
      <c r="I78" s="239"/>
      <c r="J78" s="239"/>
    </row>
    <row r="79" spans="1:26" x14ac:dyDescent="0.4">
      <c r="A79" s="213">
        <v>8</v>
      </c>
      <c r="B79" s="239" t="s">
        <v>40</v>
      </c>
      <c r="C79" s="239" t="s">
        <v>79</v>
      </c>
      <c r="D79" s="4"/>
      <c r="E79" s="4"/>
      <c r="F79" s="4"/>
      <c r="G79" s="4"/>
      <c r="H79" s="4"/>
      <c r="I79" s="4"/>
      <c r="J79" s="4"/>
    </row>
    <row r="80" spans="1:26" x14ac:dyDescent="0.4">
      <c r="A80" s="213">
        <v>9</v>
      </c>
      <c r="B80" s="239" t="s">
        <v>41</v>
      </c>
      <c r="C80" s="239"/>
      <c r="D80" s="239"/>
      <c r="E80" s="239"/>
      <c r="F80" s="239"/>
      <c r="G80" s="239"/>
      <c r="H80" s="239"/>
      <c r="I80" s="239"/>
      <c r="J80" s="239"/>
    </row>
    <row r="81" spans="1:10" x14ac:dyDescent="0.4">
      <c r="A81" s="213">
        <v>10</v>
      </c>
      <c r="B81" s="239" t="s">
        <v>42</v>
      </c>
      <c r="C81" s="239"/>
      <c r="D81" s="4"/>
      <c r="E81" s="4"/>
      <c r="F81" s="4"/>
      <c r="G81" s="4"/>
      <c r="H81" s="4"/>
      <c r="I81" s="4"/>
      <c r="J81" s="4"/>
    </row>
    <row r="82" spans="1:10" x14ac:dyDescent="0.4">
      <c r="A82" s="213">
        <v>11</v>
      </c>
      <c r="B82" s="239" t="s">
        <v>43</v>
      </c>
      <c r="C82" s="239"/>
      <c r="D82" s="4"/>
      <c r="E82" s="4"/>
      <c r="F82" s="4"/>
      <c r="G82" s="4"/>
      <c r="H82" s="4"/>
      <c r="I82" s="4"/>
      <c r="J82" s="4"/>
    </row>
    <row r="83" spans="1:10" x14ac:dyDescent="0.4">
      <c r="A83" s="213"/>
      <c r="B83" s="213" t="s">
        <v>29</v>
      </c>
      <c r="C83" s="213" t="s">
        <v>31</v>
      </c>
      <c r="D83" s="237" t="s">
        <v>6</v>
      </c>
      <c r="E83" s="237" t="str" cm="1">
        <f t="array" ref="E83:J83">IF(ISNUMBER(_xlfn.ANCHORARRAY(E$70)),"% of GDP","")</f>
        <v>% of GDP</v>
      </c>
      <c r="F83" s="237" t="str">
        <v>% of GDP</v>
      </c>
      <c r="G83" s="237" t="str">
        <v>% of GDP</v>
      </c>
      <c r="H83" s="237" t="str">
        <v>% of GDP</v>
      </c>
      <c r="I83" s="237" t="str">
        <v>% of GDP</v>
      </c>
      <c r="J83" s="237" t="str">
        <v>% of GDP</v>
      </c>
    </row>
    <row r="84" spans="1:10" x14ac:dyDescent="0.4">
      <c r="A84" s="213">
        <v>12</v>
      </c>
      <c r="B84" s="226" t="s">
        <v>44</v>
      </c>
      <c r="C84" s="226" t="s">
        <v>5</v>
      </c>
      <c r="D84" s="4"/>
      <c r="E84" s="4"/>
      <c r="F84" s="4"/>
      <c r="G84" s="4"/>
      <c r="H84" s="4"/>
      <c r="I84" s="4"/>
      <c r="J84" s="4"/>
    </row>
    <row r="85" spans="1:10" x14ac:dyDescent="0.4">
      <c r="A85" s="213">
        <v>13</v>
      </c>
      <c r="B85" s="226" t="s">
        <v>45</v>
      </c>
      <c r="C85" s="226" t="s">
        <v>80</v>
      </c>
      <c r="D85" s="4"/>
      <c r="E85" s="4"/>
      <c r="F85" s="4"/>
      <c r="G85" s="4"/>
      <c r="H85" s="4"/>
      <c r="I85" s="4"/>
      <c r="J85" s="4"/>
    </row>
    <row r="86" spans="1:10" x14ac:dyDescent="0.4">
      <c r="A86" s="213">
        <v>14</v>
      </c>
      <c r="B86" s="226" t="s">
        <v>46</v>
      </c>
      <c r="C86" s="226" t="s">
        <v>28</v>
      </c>
      <c r="D86" s="4"/>
      <c r="E86" s="4"/>
      <c r="F86" s="4"/>
      <c r="G86" s="4"/>
      <c r="H86" s="4"/>
      <c r="I86" s="4"/>
      <c r="J86" s="4"/>
    </row>
    <row r="87" spans="1:10" x14ac:dyDescent="0.4">
      <c r="A87" s="213">
        <v>15</v>
      </c>
      <c r="B87" s="226" t="s">
        <v>47</v>
      </c>
      <c r="C87" s="226" t="s">
        <v>81</v>
      </c>
      <c r="D87" s="4"/>
      <c r="E87" s="4"/>
      <c r="F87" s="4"/>
      <c r="G87" s="4"/>
      <c r="H87" s="4"/>
      <c r="I87" s="4"/>
      <c r="J87" s="4"/>
    </row>
    <row r="88" spans="1:10" x14ac:dyDescent="0.4">
      <c r="A88" s="213">
        <v>16</v>
      </c>
      <c r="B88" s="226" t="s">
        <v>48</v>
      </c>
      <c r="C88" s="226" t="s">
        <v>82</v>
      </c>
      <c r="D88" s="4"/>
      <c r="E88" s="4"/>
      <c r="F88" s="4"/>
      <c r="G88" s="4"/>
      <c r="H88" s="4"/>
      <c r="I88" s="4"/>
      <c r="J88" s="4"/>
    </row>
    <row r="89" spans="1:10" x14ac:dyDescent="0.4">
      <c r="A89" s="213">
        <v>17</v>
      </c>
      <c r="B89" s="226" t="s">
        <v>49</v>
      </c>
      <c r="C89" s="226" t="s">
        <v>83</v>
      </c>
      <c r="D89" s="4"/>
      <c r="E89" s="4"/>
      <c r="F89" s="4"/>
      <c r="G89" s="4"/>
      <c r="H89" s="4"/>
      <c r="I89" s="4"/>
      <c r="J89" s="4"/>
    </row>
    <row r="90" spans="1:10" x14ac:dyDescent="0.4">
      <c r="A90" s="213">
        <v>18</v>
      </c>
      <c r="B90" s="226" t="s">
        <v>50</v>
      </c>
      <c r="C90" s="226" t="s">
        <v>84</v>
      </c>
      <c r="D90" s="4"/>
      <c r="E90" s="4"/>
      <c r="F90" s="4"/>
      <c r="G90" s="4"/>
      <c r="H90" s="4"/>
      <c r="I90" s="4"/>
      <c r="J90" s="4"/>
    </row>
    <row r="91" spans="1:10" x14ac:dyDescent="0.4">
      <c r="A91" s="213">
        <v>19</v>
      </c>
      <c r="B91" s="226" t="s">
        <v>10</v>
      </c>
      <c r="C91" s="226" t="s">
        <v>4</v>
      </c>
      <c r="D91" s="4"/>
      <c r="E91" s="4"/>
      <c r="F91" s="4"/>
      <c r="G91" s="4"/>
      <c r="H91" s="4"/>
      <c r="I91" s="4"/>
      <c r="J91" s="4"/>
    </row>
    <row r="92" spans="1:10" x14ac:dyDescent="0.4">
      <c r="A92" s="213">
        <v>20</v>
      </c>
      <c r="B92" s="226" t="s">
        <v>51</v>
      </c>
      <c r="C92" s="226"/>
      <c r="D92" s="4"/>
      <c r="E92" s="4"/>
      <c r="F92" s="4"/>
      <c r="G92" s="4"/>
      <c r="H92" s="4"/>
      <c r="I92" s="4"/>
      <c r="J92" s="4"/>
    </row>
    <row r="93" spans="1:10" x14ac:dyDescent="0.4">
      <c r="A93" s="213">
        <v>21</v>
      </c>
      <c r="B93" s="226" t="s">
        <v>52</v>
      </c>
      <c r="C93" s="226" t="s">
        <v>85</v>
      </c>
      <c r="D93" s="4"/>
      <c r="E93" s="4"/>
      <c r="F93" s="4"/>
      <c r="G93" s="4"/>
      <c r="H93" s="4"/>
      <c r="I93" s="4"/>
      <c r="J93" s="4"/>
    </row>
    <row r="94" spans="1:10" x14ac:dyDescent="0.4">
      <c r="A94" s="213">
        <v>22</v>
      </c>
      <c r="B94" s="226" t="s">
        <v>53</v>
      </c>
      <c r="C94" s="226" t="s">
        <v>86</v>
      </c>
      <c r="D94" s="4"/>
      <c r="E94" s="4"/>
      <c r="F94" s="4"/>
      <c r="G94" s="4"/>
      <c r="H94" s="4"/>
      <c r="I94" s="4"/>
      <c r="J94" s="4"/>
    </row>
    <row r="95" spans="1:10" x14ac:dyDescent="0.4">
      <c r="A95" s="213">
        <v>23</v>
      </c>
      <c r="B95" s="226" t="s">
        <v>54</v>
      </c>
      <c r="C95" s="226" t="s">
        <v>87</v>
      </c>
      <c r="D95" s="239"/>
      <c r="E95" s="239"/>
      <c r="F95" s="239"/>
      <c r="G95" s="239"/>
      <c r="H95" s="239"/>
      <c r="I95" s="239"/>
      <c r="J95" s="239"/>
    </row>
    <row r="96" spans="1:10" x14ac:dyDescent="0.4">
      <c r="A96" s="213">
        <v>24</v>
      </c>
      <c r="B96" s="226" t="s">
        <v>55</v>
      </c>
      <c r="C96" s="226" t="s">
        <v>79</v>
      </c>
      <c r="D96" s="4"/>
      <c r="E96" s="4"/>
      <c r="F96" s="4"/>
      <c r="G96" s="4"/>
      <c r="H96" s="4"/>
      <c r="I96" s="4"/>
      <c r="J96" s="4"/>
    </row>
    <row r="97" spans="1:10" x14ac:dyDescent="0.4">
      <c r="A97" s="213">
        <v>25</v>
      </c>
      <c r="B97" s="226" t="s">
        <v>56</v>
      </c>
      <c r="C97" s="226"/>
      <c r="D97" s="239"/>
      <c r="E97" s="239"/>
      <c r="F97" s="239"/>
      <c r="G97" s="239"/>
      <c r="H97" s="239"/>
      <c r="I97" s="239"/>
      <c r="J97" s="239"/>
    </row>
    <row r="98" spans="1:10" x14ac:dyDescent="0.4">
      <c r="A98" s="213">
        <v>26</v>
      </c>
      <c r="B98" s="226" t="s">
        <v>763</v>
      </c>
      <c r="C98" s="226"/>
      <c r="D98" s="4"/>
      <c r="E98" s="4"/>
      <c r="F98" s="4"/>
      <c r="G98" s="4"/>
      <c r="H98" s="4"/>
      <c r="I98" s="4"/>
      <c r="J98" s="4"/>
    </row>
    <row r="99" spans="1:10" x14ac:dyDescent="0.4">
      <c r="A99" s="213">
        <v>27</v>
      </c>
      <c r="B99" s="226" t="s">
        <v>57</v>
      </c>
      <c r="C99" s="226"/>
      <c r="D99" s="4"/>
      <c r="E99" s="4"/>
      <c r="F99" s="4"/>
      <c r="G99" s="4"/>
      <c r="H99" s="4"/>
      <c r="I99" s="4"/>
      <c r="J99" s="4"/>
    </row>
    <row r="100" spans="1:10" x14ac:dyDescent="0.4">
      <c r="A100" s="213">
        <v>28</v>
      </c>
      <c r="B100" s="226" t="s">
        <v>58</v>
      </c>
      <c r="C100" s="226"/>
      <c r="D100" s="4"/>
      <c r="E100" s="4"/>
      <c r="F100" s="4"/>
      <c r="G100" s="4"/>
      <c r="H100" s="4"/>
      <c r="I100" s="4"/>
      <c r="J100" s="4"/>
    </row>
    <row r="101" spans="1:10" x14ac:dyDescent="0.4">
      <c r="A101" s="213">
        <v>29</v>
      </c>
      <c r="B101" s="226" t="s">
        <v>59</v>
      </c>
      <c r="C101" s="226"/>
      <c r="D101" s="239"/>
      <c r="E101" s="239"/>
      <c r="F101" s="239"/>
      <c r="G101" s="239"/>
      <c r="H101" s="239"/>
      <c r="I101" s="239"/>
      <c r="J101" s="239"/>
    </row>
    <row r="102" spans="1:10" x14ac:dyDescent="0.4">
      <c r="A102" s="213"/>
      <c r="B102" s="213" t="s">
        <v>35</v>
      </c>
      <c r="C102" s="213"/>
      <c r="D102" s="238"/>
      <c r="E102" s="238" t="str" cm="1">
        <f t="array" ref="E102:J102">IF(ISNUMBER(_xlfn.ANCHORARRAY(E$70)),"growth rate","")</f>
        <v>growth rate</v>
      </c>
      <c r="F102" s="238" t="str">
        <v>growth rate</v>
      </c>
      <c r="G102" s="238" t="str">
        <v>growth rate</v>
      </c>
      <c r="H102" s="238" t="str">
        <v>growth rate</v>
      </c>
      <c r="I102" s="238" t="str">
        <v>growth rate</v>
      </c>
      <c r="J102" s="238" t="str">
        <v>growth rate</v>
      </c>
    </row>
    <row r="103" spans="1:10" ht="14.25" x14ac:dyDescent="0.45">
      <c r="A103" s="213">
        <v>30</v>
      </c>
      <c r="B103" s="226" t="s">
        <v>838</v>
      </c>
      <c r="C103" s="226" t="s">
        <v>764</v>
      </c>
      <c r="D103" s="245"/>
      <c r="E103" s="4"/>
      <c r="F103" s="4"/>
      <c r="G103" s="4"/>
      <c r="H103" s="4"/>
      <c r="I103" s="4"/>
      <c r="J103" s="4"/>
    </row>
    <row r="104" spans="1:10" x14ac:dyDescent="0.4">
      <c r="A104" s="213"/>
      <c r="B104" s="213" t="s">
        <v>60</v>
      </c>
      <c r="C104" s="213"/>
      <c r="D104" s="238" t="s">
        <v>6</v>
      </c>
      <c r="E104" s="238" t="str" cm="1">
        <f t="array" ref="E104:J104">IF(ISNUMBER(_xlfn.ANCHORARRAY(E$70)),"% of GDP","")</f>
        <v>% of GDP</v>
      </c>
      <c r="F104" s="238" t="str">
        <v>% of GDP</v>
      </c>
      <c r="G104" s="238" t="str">
        <v>% of GDP</v>
      </c>
      <c r="H104" s="238" t="str">
        <v>% of GDP</v>
      </c>
      <c r="I104" s="238" t="str">
        <v>% of GDP</v>
      </c>
      <c r="J104" s="238" t="str">
        <v>% of GDP</v>
      </c>
    </row>
    <row r="105" spans="1:10" x14ac:dyDescent="0.4">
      <c r="A105" s="213">
        <v>31</v>
      </c>
      <c r="B105" s="226" t="s">
        <v>61</v>
      </c>
      <c r="C105" s="226" t="s">
        <v>27</v>
      </c>
      <c r="D105" s="4"/>
      <c r="E105" s="4"/>
      <c r="F105" s="4"/>
      <c r="G105" s="4"/>
      <c r="H105" s="4"/>
      <c r="I105" s="4"/>
      <c r="J105" s="4"/>
    </row>
    <row r="106" spans="1:10" x14ac:dyDescent="0.4">
      <c r="A106" s="213">
        <v>32</v>
      </c>
      <c r="B106" s="226" t="s">
        <v>62</v>
      </c>
      <c r="C106" s="226" t="s">
        <v>88</v>
      </c>
      <c r="D106" s="4"/>
      <c r="E106" s="4"/>
      <c r="F106" s="4"/>
      <c r="G106" s="4"/>
      <c r="H106" s="4"/>
      <c r="I106" s="4"/>
      <c r="J106" s="4"/>
    </row>
    <row r="107" spans="1:10" x14ac:dyDescent="0.4">
      <c r="A107" s="213"/>
      <c r="B107" s="213" t="s">
        <v>63</v>
      </c>
      <c r="C107" s="213"/>
      <c r="D107" s="238"/>
      <c r="E107" s="238" t="str" cm="1">
        <f t="array" ref="E107:J107">IF(ISNUMBER(_xlfn.ANCHORARRAY(E$70)),"% of GDP","")</f>
        <v>% of GDP</v>
      </c>
      <c r="F107" s="238" t="str">
        <v>% of GDP</v>
      </c>
      <c r="G107" s="238" t="str">
        <v>% of GDP</v>
      </c>
      <c r="H107" s="238" t="str">
        <v>% of GDP</v>
      </c>
      <c r="I107" s="238" t="str">
        <v>% of GDP</v>
      </c>
      <c r="J107" s="238" t="str">
        <v>% of GDP</v>
      </c>
    </row>
    <row r="108" spans="1:10" ht="14.25" x14ac:dyDescent="0.45">
      <c r="A108" s="213">
        <v>33</v>
      </c>
      <c r="B108" s="240" t="s">
        <v>0</v>
      </c>
      <c r="C108" s="240"/>
      <c r="D108" s="245"/>
      <c r="E108" s="4"/>
      <c r="F108" s="4"/>
      <c r="G108" s="4"/>
      <c r="H108" s="4"/>
      <c r="I108" s="4"/>
      <c r="J108" s="4"/>
    </row>
    <row r="109" spans="1:10" ht="14.25" x14ac:dyDescent="0.45">
      <c r="A109" s="213">
        <v>34</v>
      </c>
      <c r="B109" s="240" t="s">
        <v>3</v>
      </c>
      <c r="C109" s="240"/>
      <c r="D109" s="245"/>
      <c r="E109" s="4"/>
      <c r="F109" s="4"/>
      <c r="G109" s="4"/>
      <c r="H109" s="4"/>
      <c r="I109" s="4"/>
      <c r="J109" s="4"/>
    </row>
    <row r="110" spans="1:10" x14ac:dyDescent="0.4">
      <c r="A110" s="213"/>
      <c r="B110" s="213" t="s">
        <v>20</v>
      </c>
      <c r="C110" s="213"/>
      <c r="D110" s="238" t="s">
        <v>6</v>
      </c>
      <c r="E110" s="238" t="s">
        <v>614</v>
      </c>
      <c r="F110" s="238" t="s">
        <v>614</v>
      </c>
      <c r="G110" s="238" t="s">
        <v>614</v>
      </c>
      <c r="H110" s="238"/>
      <c r="I110" s="238"/>
      <c r="J110" s="238"/>
    </row>
    <row r="111" spans="1:10" x14ac:dyDescent="0.4">
      <c r="A111" s="213">
        <v>35</v>
      </c>
      <c r="B111" s="226" t="s">
        <v>1</v>
      </c>
      <c r="C111" s="226"/>
      <c r="D111" s="4"/>
      <c r="E111" s="4"/>
      <c r="F111" s="4"/>
      <c r="G111" s="4"/>
      <c r="H111" s="4"/>
      <c r="I111" s="4"/>
      <c r="J111" s="4"/>
    </row>
    <row r="112" spans="1:10" x14ac:dyDescent="0.4">
      <c r="A112" s="213">
        <v>36</v>
      </c>
      <c r="B112" s="226" t="s">
        <v>2</v>
      </c>
      <c r="C112" s="226"/>
      <c r="D112" s="4"/>
      <c r="E112" s="4"/>
      <c r="F112" s="4"/>
      <c r="G112" s="4"/>
      <c r="H112" s="4"/>
      <c r="I112" s="4"/>
      <c r="J112" s="4"/>
    </row>
    <row r="113" spans="1:13" x14ac:dyDescent="0.4">
      <c r="A113" s="213">
        <v>37</v>
      </c>
      <c r="B113" s="226" t="s">
        <v>64</v>
      </c>
      <c r="C113" s="226"/>
      <c r="D113" s="243"/>
      <c r="E113" s="243"/>
      <c r="F113" s="243"/>
      <c r="G113" s="243"/>
      <c r="H113" s="239"/>
      <c r="I113" s="239"/>
      <c r="J113" s="239"/>
    </row>
    <row r="114" spans="1:13" ht="14.25" x14ac:dyDescent="0.45">
      <c r="A114" s="213">
        <v>38</v>
      </c>
      <c r="B114" s="241" t="s">
        <v>765</v>
      </c>
      <c r="C114" s="226"/>
      <c r="D114" s="245"/>
      <c r="E114" s="4"/>
      <c r="F114" s="4"/>
      <c r="G114" s="4"/>
      <c r="H114" s="4"/>
      <c r="I114" s="4"/>
      <c r="J114" s="4"/>
    </row>
    <row r="115" spans="1:13" ht="14.25" x14ac:dyDescent="0.45">
      <c r="A115" s="213">
        <v>39</v>
      </c>
      <c r="B115" s="241" t="s">
        <v>766</v>
      </c>
      <c r="C115" s="226"/>
      <c r="D115" s="245"/>
      <c r="E115" s="4"/>
      <c r="F115" s="4"/>
      <c r="G115" s="4"/>
      <c r="H115" s="4"/>
      <c r="I115" s="4"/>
      <c r="J115" s="4"/>
    </row>
    <row r="116" spans="1:13" ht="14.25" x14ac:dyDescent="0.45">
      <c r="A116" s="213">
        <v>40</v>
      </c>
      <c r="B116" s="242" t="s">
        <v>767</v>
      </c>
      <c r="C116" s="226"/>
      <c r="D116" s="245"/>
      <c r="E116" s="4"/>
      <c r="F116" s="4"/>
      <c r="G116" s="4"/>
      <c r="H116" s="4"/>
      <c r="I116" s="4"/>
      <c r="J116" s="4"/>
    </row>
    <row r="117" spans="1:13" ht="14.25" x14ac:dyDescent="0.45">
      <c r="A117" s="213">
        <v>41</v>
      </c>
      <c r="B117" s="242" t="s">
        <v>768</v>
      </c>
      <c r="C117" s="226"/>
      <c r="D117" s="245"/>
      <c r="E117" s="4"/>
      <c r="F117" s="4"/>
      <c r="G117" s="4"/>
      <c r="H117" s="4"/>
      <c r="I117" s="4"/>
      <c r="J117" s="4"/>
    </row>
    <row r="118" spans="1:13" ht="14.25" x14ac:dyDescent="0.45">
      <c r="A118" s="213">
        <v>42</v>
      </c>
      <c r="B118" s="242" t="s">
        <v>769</v>
      </c>
      <c r="C118" s="226"/>
      <c r="D118" s="245"/>
      <c r="E118" s="4"/>
      <c r="F118" s="4"/>
      <c r="G118" s="4"/>
      <c r="H118" s="4"/>
      <c r="I118" s="4"/>
      <c r="J118" s="4"/>
    </row>
    <row r="119" spans="1:13" ht="14.25" x14ac:dyDescent="0.45">
      <c r="A119" s="213">
        <v>43</v>
      </c>
      <c r="B119" s="241" t="s">
        <v>770</v>
      </c>
      <c r="C119" s="226"/>
      <c r="D119" s="245"/>
      <c r="E119" s="4"/>
      <c r="F119" s="4"/>
      <c r="G119" s="4"/>
      <c r="H119" s="4"/>
      <c r="I119" s="4"/>
      <c r="J119" s="4"/>
    </row>
    <row r="120" spans="1:13" x14ac:dyDescent="0.4">
      <c r="A120" s="213"/>
      <c r="B120" s="213"/>
      <c r="C120" s="213"/>
      <c r="D120" s="238"/>
      <c r="E120" s="237" t="str" cm="1">
        <f t="array" ref="E120:J120">IF(ISNUMBER(_xlfn.ANCHORARRAY(E$70)),"%","")</f>
        <v>%</v>
      </c>
      <c r="F120" s="237" t="str">
        <v>%</v>
      </c>
      <c r="G120" s="237" t="str">
        <v>%</v>
      </c>
      <c r="H120" s="237" t="str">
        <v>%</v>
      </c>
      <c r="I120" s="237" t="str">
        <v>%</v>
      </c>
      <c r="J120" s="237" t="str">
        <v>%</v>
      </c>
    </row>
    <row r="121" spans="1:13" ht="14.25" x14ac:dyDescent="0.45">
      <c r="A121" s="213">
        <v>44</v>
      </c>
      <c r="B121" s="228" t="s">
        <v>71</v>
      </c>
      <c r="C121" s="228"/>
      <c r="D121" s="246"/>
      <c r="E121" s="4"/>
      <c r="F121" s="4"/>
      <c r="G121" s="4"/>
      <c r="H121" s="4"/>
      <c r="I121" s="4"/>
      <c r="J121" s="4"/>
      <c r="M121" s="4"/>
    </row>
    <row r="122" spans="1:13" x14ac:dyDescent="0.4">
      <c r="A122" s="213"/>
      <c r="B122" s="213"/>
      <c r="C122" s="213"/>
      <c r="D122" s="238"/>
      <c r="E122" s="238"/>
      <c r="F122" s="238"/>
      <c r="G122" s="238"/>
      <c r="H122" s="238"/>
      <c r="I122" s="238"/>
      <c r="J122" s="238"/>
    </row>
    <row r="123" spans="1:13" x14ac:dyDescent="0.4">
      <c r="A123" s="213">
        <v>45</v>
      </c>
      <c r="B123" s="240" t="s">
        <v>771</v>
      </c>
      <c r="C123" s="240" t="s">
        <v>772</v>
      </c>
      <c r="D123" s="4"/>
      <c r="E123" s="4"/>
      <c r="F123" s="4"/>
      <c r="G123" s="4"/>
      <c r="H123" s="4"/>
      <c r="I123" s="4"/>
      <c r="J123" s="4"/>
    </row>
    <row r="124" spans="1:13" x14ac:dyDescent="0.4">
      <c r="A124" s="213">
        <v>46</v>
      </c>
      <c r="B124" s="240" t="s">
        <v>773</v>
      </c>
      <c r="C124" s="240" t="s">
        <v>774</v>
      </c>
      <c r="D124" s="4"/>
      <c r="E124" s="4"/>
      <c r="F124" s="4"/>
      <c r="G124" s="4"/>
      <c r="H124" s="4"/>
      <c r="I124" s="4"/>
      <c r="J124" s="4"/>
    </row>
    <row r="127" spans="1:13" ht="23.25" x14ac:dyDescent="0.7">
      <c r="A127" s="13" t="s">
        <v>815</v>
      </c>
    </row>
    <row r="128" spans="1:13" x14ac:dyDescent="0.4">
      <c r="A128" s="235"/>
      <c r="B128" s="235" t="s">
        <v>8</v>
      </c>
      <c r="C128" s="235" t="s">
        <v>31</v>
      </c>
      <c r="D128" s="235">
        <f>MTP_BaseYear</f>
        <v>2023</v>
      </c>
      <c r="E128" s="235" cm="1">
        <f t="array" ref="E128:J128">_xlfn.SEQUENCE(1, MTP_EndYear-MTP_BaseYear+1, MTP_BaseYear)</f>
        <v>2023</v>
      </c>
      <c r="F128" s="235">
        <v>2024</v>
      </c>
      <c r="G128" s="235">
        <v>2025</v>
      </c>
      <c r="H128" s="235">
        <v>2026</v>
      </c>
      <c r="I128" s="235">
        <v>2027</v>
      </c>
      <c r="J128" s="235">
        <v>2028</v>
      </c>
    </row>
    <row r="129" spans="1:10" x14ac:dyDescent="0.4">
      <c r="A129" s="213"/>
      <c r="B129" s="213"/>
      <c r="C129" s="213"/>
      <c r="D129" s="236" t="s">
        <v>6</v>
      </c>
      <c r="E129" s="236" t="str" cm="1">
        <f t="array" ref="E129:J129">IF(ISNUMBER(_xlfn.ANCHORARRAY(E$70)),"growth rate","")</f>
        <v>growth rate</v>
      </c>
      <c r="F129" s="236" t="str">
        <v>growth rate</v>
      </c>
      <c r="G129" s="236" t="str">
        <v>growth rate</v>
      </c>
      <c r="H129" s="236" t="str">
        <v>growth rate</v>
      </c>
      <c r="I129" s="236" t="str">
        <v>growth rate</v>
      </c>
      <c r="J129" s="236" t="str">
        <v>growth rate</v>
      </c>
    </row>
    <row r="130" spans="1:10" ht="14.25" x14ac:dyDescent="0.45">
      <c r="A130" s="213">
        <v>1</v>
      </c>
      <c r="B130" s="226" t="s">
        <v>7</v>
      </c>
      <c r="C130" s="226" t="s">
        <v>775</v>
      </c>
      <c r="D130" s="247"/>
      <c r="H130" s="4"/>
      <c r="I130" s="4"/>
      <c r="J130" s="4"/>
    </row>
    <row r="131" spans="1:10" ht="14.25" x14ac:dyDescent="0.45">
      <c r="A131" s="213">
        <v>2</v>
      </c>
      <c r="B131" s="226" t="s">
        <v>8</v>
      </c>
      <c r="C131" s="226"/>
      <c r="D131" s="247"/>
      <c r="H131" s="4"/>
      <c r="I131" s="4"/>
      <c r="J131" s="4"/>
    </row>
    <row r="132" spans="1:10" x14ac:dyDescent="0.4">
      <c r="A132" s="213">
        <v>3</v>
      </c>
      <c r="B132" s="226" t="s">
        <v>9</v>
      </c>
      <c r="C132" s="226" t="s">
        <v>775</v>
      </c>
      <c r="D132" s="144"/>
      <c r="H132" s="4"/>
      <c r="I132" s="4"/>
      <c r="J132" s="4"/>
    </row>
    <row r="133" spans="1:10" x14ac:dyDescent="0.4">
      <c r="A133" s="213"/>
      <c r="B133" s="213" t="s">
        <v>776</v>
      </c>
      <c r="C133" s="213"/>
      <c r="D133" s="236" t="s">
        <v>6</v>
      </c>
      <c r="E133" s="236" t="str" cm="1">
        <f t="array" ref="E133:J133">IF(ISNUMBER(_xlfn.ANCHORARRAY(E$70)),"growth rate","")</f>
        <v>growth rate</v>
      </c>
      <c r="F133" s="236" t="str">
        <v>growth rate</v>
      </c>
      <c r="G133" s="236" t="str">
        <v>growth rate</v>
      </c>
      <c r="H133" s="237" t="str">
        <v>growth rate</v>
      </c>
      <c r="I133" s="237" t="str">
        <v>growth rate</v>
      </c>
      <c r="J133" s="237" t="str">
        <v>growth rate</v>
      </c>
    </row>
    <row r="134" spans="1:10" ht="14.25" x14ac:dyDescent="0.45">
      <c r="A134" s="213">
        <v>4</v>
      </c>
      <c r="B134" s="226" t="s">
        <v>777</v>
      </c>
      <c r="C134" s="226" t="s">
        <v>778</v>
      </c>
      <c r="D134" s="247"/>
      <c r="H134" s="4"/>
      <c r="I134" s="4"/>
      <c r="J134" s="4"/>
    </row>
    <row r="135" spans="1:10" ht="14.25" x14ac:dyDescent="0.45">
      <c r="A135" s="213">
        <v>5</v>
      </c>
      <c r="B135" s="226" t="s">
        <v>779</v>
      </c>
      <c r="C135" s="226" t="s">
        <v>778</v>
      </c>
      <c r="D135" s="247"/>
      <c r="H135" s="4"/>
      <c r="I135" s="4"/>
      <c r="J135" s="4"/>
    </row>
    <row r="136" spans="1:10" ht="14.25" x14ac:dyDescent="0.45">
      <c r="A136" s="213">
        <v>6</v>
      </c>
      <c r="B136" s="226" t="s">
        <v>10</v>
      </c>
      <c r="C136" s="226" t="s">
        <v>4</v>
      </c>
      <c r="D136" s="247"/>
      <c r="H136" s="4"/>
      <c r="I136" s="4"/>
      <c r="J136" s="4"/>
    </row>
    <row r="137" spans="1:10" ht="14.25" x14ac:dyDescent="0.45">
      <c r="A137" s="213">
        <v>7</v>
      </c>
      <c r="B137" s="226" t="s">
        <v>780</v>
      </c>
      <c r="C137" s="226" t="s">
        <v>781</v>
      </c>
      <c r="D137" s="247"/>
      <c r="E137" s="248"/>
      <c r="F137" s="248"/>
      <c r="G137" s="248"/>
      <c r="H137" s="249"/>
      <c r="I137" s="249"/>
      <c r="J137" s="249"/>
    </row>
    <row r="138" spans="1:10" ht="14.25" x14ac:dyDescent="0.45">
      <c r="A138" s="213">
        <v>8</v>
      </c>
      <c r="B138" s="226" t="s">
        <v>782</v>
      </c>
      <c r="C138" s="226" t="s">
        <v>783</v>
      </c>
      <c r="D138" s="247"/>
      <c r="H138" s="4"/>
      <c r="I138" s="4"/>
      <c r="J138" s="4"/>
    </row>
    <row r="139" spans="1:10" ht="14.25" x14ac:dyDescent="0.45">
      <c r="A139" s="213">
        <v>9</v>
      </c>
      <c r="B139" s="226" t="s">
        <v>784</v>
      </c>
      <c r="C139" s="226" t="s">
        <v>785</v>
      </c>
      <c r="D139" s="247"/>
      <c r="H139" s="4"/>
      <c r="I139" s="4"/>
      <c r="J139" s="4"/>
    </row>
    <row r="140" spans="1:10" x14ac:dyDescent="0.4">
      <c r="A140" s="213"/>
      <c r="B140" s="226" t="s">
        <v>786</v>
      </c>
      <c r="C140" s="226"/>
      <c r="D140" s="226"/>
      <c r="E140" s="226"/>
      <c r="F140" s="226"/>
      <c r="G140" s="226"/>
      <c r="H140" s="243"/>
      <c r="I140" s="243"/>
      <c r="J140" s="243"/>
    </row>
    <row r="141" spans="1:10" ht="14.25" x14ac:dyDescent="0.45">
      <c r="A141" s="213">
        <v>10</v>
      </c>
      <c r="B141" s="244" t="s">
        <v>787</v>
      </c>
      <c r="C141" s="226"/>
      <c r="D141" s="247"/>
      <c r="H141" s="4"/>
      <c r="I141" s="4"/>
      <c r="J141" s="4"/>
    </row>
    <row r="142" spans="1:10" ht="14.25" x14ac:dyDescent="0.45">
      <c r="A142" s="213">
        <v>11</v>
      </c>
      <c r="B142" s="244" t="s">
        <v>788</v>
      </c>
      <c r="C142" s="226" t="s">
        <v>781</v>
      </c>
      <c r="D142" s="247"/>
      <c r="H142" s="4"/>
      <c r="I142" s="4"/>
      <c r="J142" s="4"/>
    </row>
    <row r="143" spans="1:10" ht="14.25" x14ac:dyDescent="0.45">
      <c r="A143" s="213">
        <v>12</v>
      </c>
      <c r="B143" s="244" t="s">
        <v>789</v>
      </c>
      <c r="C143" s="226" t="s">
        <v>790</v>
      </c>
      <c r="D143" s="247"/>
      <c r="H143" s="4"/>
      <c r="I143" s="4"/>
      <c r="J143" s="4"/>
    </row>
    <row r="144" spans="1:10" x14ac:dyDescent="0.4">
      <c r="A144" s="213"/>
      <c r="B144" s="213" t="s">
        <v>791</v>
      </c>
      <c r="C144" s="213"/>
      <c r="D144" s="236"/>
      <c r="E144" s="236" t="str" cm="1">
        <f t="array" ref="E144:J144">IF(ISNUMBER(_xlfn.ANCHORARRAY(E$70)),"growth rate","")</f>
        <v>growth rate</v>
      </c>
      <c r="F144" s="236" t="str">
        <v>growth rate</v>
      </c>
      <c r="G144" s="236" t="str">
        <v>growth rate</v>
      </c>
      <c r="H144" s="237" t="str">
        <v>growth rate</v>
      </c>
      <c r="I144" s="237" t="str">
        <v>growth rate</v>
      </c>
      <c r="J144" s="237" t="str">
        <v>growth rate</v>
      </c>
    </row>
    <row r="145" spans="1:10" ht="14.25" x14ac:dyDescent="0.45">
      <c r="A145" s="213">
        <v>13</v>
      </c>
      <c r="B145" s="226" t="s">
        <v>792</v>
      </c>
      <c r="C145" s="226"/>
      <c r="D145" s="247"/>
      <c r="H145" s="4"/>
      <c r="I145" s="4"/>
      <c r="J145" s="4"/>
    </row>
    <row r="146" spans="1:10" ht="14.25" x14ac:dyDescent="0.45">
      <c r="A146" s="213">
        <v>14</v>
      </c>
      <c r="B146" s="241" t="s">
        <v>793</v>
      </c>
      <c r="C146" s="226"/>
      <c r="D146" s="247"/>
      <c r="H146" s="4"/>
      <c r="I146" s="4"/>
      <c r="J146" s="4"/>
    </row>
    <row r="147" spans="1:10" ht="14.25" x14ac:dyDescent="0.45">
      <c r="A147" s="213">
        <v>15</v>
      </c>
      <c r="B147" s="226" t="s">
        <v>794</v>
      </c>
      <c r="C147" s="226"/>
      <c r="D147" s="247"/>
      <c r="H147" s="4"/>
      <c r="I147" s="4"/>
      <c r="J147" s="4"/>
    </row>
    <row r="148" spans="1:10" ht="14.25" x14ac:dyDescent="0.45">
      <c r="A148" s="213">
        <v>16</v>
      </c>
      <c r="B148" s="226" t="s">
        <v>795</v>
      </c>
      <c r="C148" s="226"/>
      <c r="D148" s="247"/>
      <c r="H148" s="4"/>
      <c r="I148" s="4"/>
      <c r="J148" s="4"/>
    </row>
    <row r="149" spans="1:10" ht="14.25" x14ac:dyDescent="0.45">
      <c r="A149" s="213">
        <v>17</v>
      </c>
      <c r="B149" s="226" t="s">
        <v>796</v>
      </c>
      <c r="C149" s="226"/>
      <c r="D149" s="247"/>
      <c r="H149" s="4"/>
      <c r="I149" s="4"/>
      <c r="J149" s="4"/>
    </row>
    <row r="150" spans="1:10" ht="14.25" x14ac:dyDescent="0.45">
      <c r="A150" s="213">
        <v>18</v>
      </c>
      <c r="B150" s="226" t="s">
        <v>797</v>
      </c>
      <c r="C150" s="226"/>
      <c r="D150" s="247"/>
      <c r="H150" s="4"/>
      <c r="I150" s="4"/>
      <c r="J150" s="4"/>
    </row>
    <row r="151" spans="1:10" x14ac:dyDescent="0.4">
      <c r="A151" s="213"/>
      <c r="B151" s="213" t="s">
        <v>798</v>
      </c>
      <c r="C151" s="213" t="s">
        <v>26</v>
      </c>
      <c r="D151" s="236" t="s">
        <v>799</v>
      </c>
      <c r="E151" s="236" t="str" cm="1">
        <f t="array" ref="E151:J151">IF(ISNUMBER(_xlfn.ANCHORARRAY(E$70)),"growth rate","")</f>
        <v>growth rate</v>
      </c>
      <c r="F151" s="236" t="str">
        <v>growth rate</v>
      </c>
      <c r="G151" s="236" t="str">
        <v>growth rate</v>
      </c>
      <c r="H151" s="237" t="str">
        <v>growth rate</v>
      </c>
      <c r="I151" s="237" t="str">
        <v>growth rate</v>
      </c>
      <c r="J151" s="237" t="str">
        <v>growth rate</v>
      </c>
    </row>
    <row r="152" spans="1:10" x14ac:dyDescent="0.4">
      <c r="A152" s="213">
        <v>19</v>
      </c>
      <c r="B152" s="226" t="s">
        <v>800</v>
      </c>
      <c r="C152" s="226"/>
      <c r="D152" s="144"/>
      <c r="E152" s="3"/>
      <c r="G152" s="3"/>
      <c r="H152" s="64"/>
      <c r="I152" s="64"/>
      <c r="J152" s="64"/>
    </row>
    <row r="153" spans="1:10" x14ac:dyDescent="0.4">
      <c r="A153" s="213">
        <v>20</v>
      </c>
      <c r="B153" s="226" t="s">
        <v>801</v>
      </c>
      <c r="C153" s="226"/>
      <c r="D153" s="144"/>
      <c r="H153" s="4"/>
      <c r="I153" s="4"/>
      <c r="J153" s="4"/>
    </row>
    <row r="154" spans="1:10" ht="14.25" x14ac:dyDescent="0.45">
      <c r="A154" s="213">
        <v>21</v>
      </c>
      <c r="B154" s="226" t="s">
        <v>802</v>
      </c>
      <c r="C154" s="226"/>
      <c r="D154" s="247"/>
      <c r="H154" s="4"/>
      <c r="I154" s="4"/>
      <c r="J154" s="4"/>
    </row>
    <row r="155" spans="1:10" ht="14.25" x14ac:dyDescent="0.45">
      <c r="A155" s="213">
        <v>22</v>
      </c>
      <c r="B155" s="226" t="s">
        <v>803</v>
      </c>
      <c r="C155" s="226"/>
      <c r="D155" s="247"/>
      <c r="H155" s="4"/>
      <c r="I155" s="4"/>
      <c r="J155" s="4"/>
    </row>
    <row r="156" spans="1:10" x14ac:dyDescent="0.4">
      <c r="A156" s="213">
        <v>23</v>
      </c>
      <c r="B156" s="226" t="s">
        <v>804</v>
      </c>
      <c r="C156" s="226" t="s">
        <v>5</v>
      </c>
      <c r="D156" s="144"/>
      <c r="H156" s="4"/>
      <c r="I156" s="4"/>
      <c r="J156" s="4"/>
    </row>
    <row r="157" spans="1:10" x14ac:dyDescent="0.4">
      <c r="A157" s="213">
        <v>24</v>
      </c>
      <c r="B157" s="226" t="s">
        <v>805</v>
      </c>
      <c r="C157" s="226"/>
      <c r="H157" s="4"/>
      <c r="I157" s="4"/>
      <c r="J157" s="4"/>
    </row>
    <row r="158" spans="1:10" x14ac:dyDescent="0.4">
      <c r="A158" s="213"/>
      <c r="B158" s="213"/>
      <c r="C158" s="213"/>
      <c r="D158" s="236"/>
      <c r="E158" s="236" t="str" cm="1">
        <f t="array" ref="E158:J158">IF(ISNUMBER(_xlfn.ANCHORARRAY(E$70)),"%","")</f>
        <v>%</v>
      </c>
      <c r="F158" s="236" t="str">
        <v>%</v>
      </c>
      <c r="G158" s="236" t="str">
        <v>%</v>
      </c>
      <c r="H158" s="237" t="str">
        <v>%</v>
      </c>
      <c r="I158" s="237" t="str">
        <v>%</v>
      </c>
      <c r="J158" s="237" t="str">
        <v>%</v>
      </c>
    </row>
    <row r="159" spans="1:10" ht="14.25" x14ac:dyDescent="0.45">
      <c r="A159" s="213">
        <v>25</v>
      </c>
      <c r="B159" s="226" t="s">
        <v>806</v>
      </c>
      <c r="C159" s="226"/>
      <c r="D159" s="247"/>
      <c r="H159" s="4"/>
      <c r="I159" s="4"/>
      <c r="J159" s="4"/>
    </row>
    <row r="160" spans="1:10" x14ac:dyDescent="0.4">
      <c r="A160" s="213"/>
      <c r="B160" s="213" t="s">
        <v>807</v>
      </c>
      <c r="C160" s="213"/>
      <c r="D160" s="236"/>
      <c r="E160" s="236" t="str" cm="1">
        <f t="array" ref="E160:J160">IF(ISNUMBER(_xlfn.ANCHORARRAY(E$70)),"growth rate","")</f>
        <v>growth rate</v>
      </c>
      <c r="F160" s="236" t="str">
        <v>growth rate</v>
      </c>
      <c r="G160" s="236" t="str">
        <v>growth rate</v>
      </c>
      <c r="H160" s="237" t="str">
        <v>growth rate</v>
      </c>
      <c r="I160" s="237" t="str">
        <v>growth rate</v>
      </c>
      <c r="J160" s="237" t="str">
        <v>growth rate</v>
      </c>
    </row>
    <row r="161" spans="1:26" ht="14.25" x14ac:dyDescent="0.45">
      <c r="A161" s="213">
        <v>26</v>
      </c>
      <c r="B161" s="226" t="s">
        <v>808</v>
      </c>
      <c r="C161" s="226"/>
      <c r="D161" s="247"/>
      <c r="H161" s="4"/>
      <c r="I161" s="4"/>
      <c r="J161" s="4"/>
    </row>
    <row r="162" spans="1:26" x14ac:dyDescent="0.4">
      <c r="A162" s="213"/>
      <c r="B162" s="226" t="s">
        <v>809</v>
      </c>
      <c r="C162" s="226"/>
      <c r="D162" s="226"/>
      <c r="E162" s="226"/>
      <c r="F162" s="226"/>
      <c r="G162" s="226"/>
      <c r="H162" s="243"/>
      <c r="I162" s="243"/>
      <c r="J162" s="243"/>
    </row>
    <row r="163" spans="1:26" ht="14.25" x14ac:dyDescent="0.45">
      <c r="A163" s="213">
        <v>27</v>
      </c>
      <c r="B163" s="241" t="s">
        <v>810</v>
      </c>
      <c r="C163" s="226"/>
      <c r="D163" s="247"/>
      <c r="H163" s="4"/>
      <c r="I163" s="4"/>
      <c r="J163" s="4"/>
    </row>
    <row r="164" spans="1:26" ht="14.25" x14ac:dyDescent="0.45">
      <c r="A164" s="213">
        <v>28</v>
      </c>
      <c r="B164" s="241" t="s">
        <v>811</v>
      </c>
      <c r="C164" s="226"/>
      <c r="D164" s="247"/>
      <c r="H164" s="4"/>
      <c r="I164" s="4"/>
      <c r="J164" s="4"/>
    </row>
    <row r="165" spans="1:26" ht="14.25" x14ac:dyDescent="0.45">
      <c r="A165" s="213">
        <v>29</v>
      </c>
      <c r="B165" s="241" t="s">
        <v>812</v>
      </c>
      <c r="C165" s="226"/>
      <c r="D165" s="247"/>
      <c r="H165" s="4"/>
      <c r="I165" s="4"/>
      <c r="J165" s="4"/>
    </row>
    <row r="166" spans="1:26" x14ac:dyDescent="0.4">
      <c r="A166" s="213"/>
      <c r="B166" s="213"/>
      <c r="C166" s="213"/>
      <c r="D166" s="236"/>
      <c r="E166" s="63" t="str" cm="1">
        <f t="array" ref="E166:J166">IF(ISNUMBER(_xlfn.ANCHORARRAY(E$70)),"% pot. GDP","")</f>
        <v>% pot. GDP</v>
      </c>
      <c r="F166" s="236" t="str">
        <v>% pot. GDP</v>
      </c>
      <c r="G166" s="236" t="str">
        <v>% pot. GDP</v>
      </c>
      <c r="H166" s="237" t="str">
        <v>% pot. GDP</v>
      </c>
      <c r="I166" s="237" t="str">
        <v>% pot. GDP</v>
      </c>
      <c r="J166" s="237" t="str">
        <v>% pot. GDP</v>
      </c>
    </row>
    <row r="167" spans="1:26" ht="14.25" x14ac:dyDescent="0.45">
      <c r="A167" s="213">
        <v>30</v>
      </c>
      <c r="B167" s="226" t="s">
        <v>89</v>
      </c>
      <c r="C167" s="226"/>
      <c r="D167" s="247"/>
      <c r="E167" s="4"/>
      <c r="H167" s="4"/>
      <c r="I167" s="4"/>
      <c r="J167" s="4"/>
    </row>
    <row r="170" spans="1:26" ht="23.25" x14ac:dyDescent="0.6">
      <c r="A170" s="188" t="s">
        <v>881</v>
      </c>
      <c r="B170" s="189"/>
      <c r="C170" s="189"/>
      <c r="D170" s="189"/>
      <c r="E170" s="189"/>
      <c r="F170" s="189"/>
      <c r="G170" s="189"/>
      <c r="H170" s="189"/>
      <c r="I170" s="189"/>
      <c r="J170" s="190"/>
      <c r="K170" s="190"/>
      <c r="L170" s="190"/>
      <c r="M170" s="190"/>
      <c r="N170" s="190"/>
      <c r="O170" s="190"/>
      <c r="P170" s="190"/>
      <c r="Q170" s="190"/>
      <c r="R170" s="190"/>
      <c r="S170" s="190"/>
      <c r="T170" s="190"/>
      <c r="U170" s="190"/>
      <c r="V170" s="190"/>
      <c r="W170" s="190"/>
      <c r="X170" s="190"/>
      <c r="Y170" s="190"/>
      <c r="Z170" s="190"/>
    </row>
    <row r="171" spans="1:26" x14ac:dyDescent="0.4">
      <c r="A171" s="191"/>
      <c r="B171" s="192"/>
      <c r="C171" s="193" t="s">
        <v>882</v>
      </c>
      <c r="D171" s="194"/>
      <c r="E171" s="194" cm="1">
        <f t="array" ref="E171:T171">_xlfn.SEQUENCE(1, AdjustmentPeriodEnd+10-MTP_BaseYear+1, MTP_BaseYear)</f>
        <v>2023</v>
      </c>
      <c r="F171" s="194">
        <v>2024</v>
      </c>
      <c r="G171" s="194">
        <v>2025</v>
      </c>
      <c r="H171" s="194">
        <v>2026</v>
      </c>
      <c r="I171" s="194">
        <v>2027</v>
      </c>
      <c r="J171" s="194">
        <v>2028</v>
      </c>
      <c r="K171" s="194">
        <v>2029</v>
      </c>
      <c r="L171" s="194">
        <v>2030</v>
      </c>
      <c r="M171" s="194">
        <v>2031</v>
      </c>
      <c r="N171" s="194">
        <v>2032</v>
      </c>
      <c r="O171" s="194">
        <v>2033</v>
      </c>
      <c r="P171" s="194">
        <v>2034</v>
      </c>
      <c r="Q171" s="194">
        <v>2035</v>
      </c>
      <c r="R171" s="194">
        <v>2036</v>
      </c>
      <c r="S171" s="194">
        <v>2037</v>
      </c>
      <c r="T171" s="194">
        <v>2038</v>
      </c>
      <c r="U171" s="194"/>
      <c r="V171" s="194"/>
      <c r="W171" s="194"/>
    </row>
    <row r="172" spans="1:26" x14ac:dyDescent="0.4">
      <c r="A172" s="195">
        <v>1</v>
      </c>
      <c r="B172" s="196" t="s">
        <v>1</v>
      </c>
      <c r="C172" s="197" t="s">
        <v>883</v>
      </c>
      <c r="D172" s="197"/>
      <c r="E172" s="198"/>
      <c r="F172" s="198"/>
      <c r="G172" s="198"/>
      <c r="H172" s="198"/>
      <c r="I172" s="198"/>
      <c r="J172" s="198"/>
      <c r="K172" s="199"/>
      <c r="L172" s="199"/>
      <c r="M172" s="199"/>
      <c r="N172" s="199"/>
      <c r="O172" s="199"/>
      <c r="P172" s="199"/>
      <c r="Q172" s="199"/>
      <c r="R172" s="199"/>
      <c r="S172" s="199"/>
      <c r="T172" s="199"/>
      <c r="U172" s="199"/>
      <c r="V172" s="199"/>
      <c r="W172" s="199"/>
    </row>
    <row r="173" spans="1:26" x14ac:dyDescent="0.4">
      <c r="A173" s="195">
        <v>2</v>
      </c>
      <c r="B173" s="196" t="s">
        <v>884</v>
      </c>
      <c r="C173" s="197" t="s">
        <v>885</v>
      </c>
      <c r="D173" s="197"/>
      <c r="E173" s="198"/>
      <c r="F173" s="198"/>
      <c r="G173" s="198"/>
      <c r="H173" s="198"/>
      <c r="I173" s="198"/>
      <c r="J173" s="198"/>
      <c r="K173" s="199"/>
      <c r="L173" s="199"/>
      <c r="M173" s="199"/>
      <c r="N173" s="199"/>
      <c r="O173" s="199"/>
      <c r="P173" s="199"/>
      <c r="Q173" s="199"/>
      <c r="R173" s="199"/>
      <c r="S173" s="199"/>
      <c r="T173" s="199"/>
      <c r="U173" s="199"/>
      <c r="V173" s="199"/>
      <c r="W173" s="199"/>
    </row>
    <row r="174" spans="1:26" x14ac:dyDescent="0.4">
      <c r="A174" s="195">
        <v>3</v>
      </c>
      <c r="B174" s="196" t="s">
        <v>3</v>
      </c>
      <c r="C174" s="197" t="s">
        <v>886</v>
      </c>
      <c r="D174" s="197"/>
      <c r="E174" s="198"/>
      <c r="F174" s="198"/>
      <c r="G174" s="198"/>
      <c r="H174" s="198"/>
      <c r="I174" s="198"/>
      <c r="J174" s="198"/>
      <c r="K174" s="199"/>
      <c r="L174" s="199"/>
      <c r="M174" s="199"/>
      <c r="N174" s="199"/>
      <c r="O174" s="199"/>
      <c r="P174" s="199"/>
      <c r="Q174" s="199"/>
      <c r="R174" s="199"/>
      <c r="S174" s="199"/>
      <c r="T174" s="199"/>
      <c r="U174" s="199"/>
      <c r="V174" s="199"/>
      <c r="W174" s="199"/>
    </row>
    <row r="175" spans="1:26" x14ac:dyDescent="0.4">
      <c r="A175" s="195">
        <v>4</v>
      </c>
      <c r="B175" s="196" t="s">
        <v>887</v>
      </c>
      <c r="C175" s="197"/>
      <c r="D175" s="197"/>
      <c r="E175" s="198"/>
      <c r="F175" s="198"/>
      <c r="G175" s="198"/>
      <c r="H175" s="198"/>
      <c r="I175" s="198"/>
      <c r="J175" s="198"/>
      <c r="K175" s="199"/>
      <c r="L175" s="199"/>
      <c r="M175" s="199"/>
      <c r="N175" s="199"/>
      <c r="O175" s="199"/>
      <c r="P175" s="199"/>
      <c r="Q175" s="199"/>
      <c r="R175" s="199"/>
      <c r="S175" s="199"/>
      <c r="T175" s="199"/>
      <c r="U175" s="199"/>
      <c r="V175" s="199"/>
      <c r="W175" s="199"/>
    </row>
    <row r="176" spans="1:26" x14ac:dyDescent="0.4">
      <c r="A176" s="195">
        <v>5</v>
      </c>
      <c r="B176" s="196" t="s">
        <v>888</v>
      </c>
      <c r="C176" s="197"/>
      <c r="D176" s="197"/>
      <c r="E176" s="198"/>
      <c r="F176" s="198"/>
      <c r="G176" s="198"/>
      <c r="H176" s="198"/>
      <c r="I176" s="198"/>
      <c r="J176" s="198"/>
      <c r="K176" s="198"/>
      <c r="L176" s="198"/>
      <c r="M176" s="198"/>
      <c r="N176" s="198"/>
      <c r="O176" s="198"/>
      <c r="P176" s="198"/>
      <c r="Q176" s="198"/>
      <c r="R176" s="198"/>
      <c r="S176" s="198"/>
      <c r="T176" s="198"/>
      <c r="U176" s="198"/>
      <c r="V176" s="198"/>
      <c r="W176" s="198"/>
    </row>
    <row r="177" spans="1:26" x14ac:dyDescent="0.4">
      <c r="A177" s="195">
        <v>6</v>
      </c>
      <c r="B177" s="196" t="s">
        <v>25</v>
      </c>
      <c r="C177" s="197" t="s">
        <v>889</v>
      </c>
      <c r="D177" s="197"/>
      <c r="E177" s="198"/>
      <c r="F177" s="198"/>
      <c r="G177" s="198"/>
      <c r="H177" s="198"/>
      <c r="I177" s="198"/>
      <c r="J177" s="198"/>
      <c r="K177" s="199"/>
      <c r="L177" s="199"/>
      <c r="M177" s="199"/>
      <c r="N177" s="199"/>
      <c r="O177" s="199"/>
      <c r="P177" s="199"/>
      <c r="Q177" s="199"/>
      <c r="R177" s="199"/>
      <c r="S177" s="199"/>
      <c r="T177" s="199"/>
      <c r="U177" s="199"/>
      <c r="V177" s="199"/>
      <c r="W177" s="199"/>
    </row>
    <row r="178" spans="1:26" x14ac:dyDescent="0.4">
      <c r="A178" s="195">
        <v>7</v>
      </c>
      <c r="B178" s="200" t="s">
        <v>890</v>
      </c>
      <c r="C178" s="197" t="s">
        <v>891</v>
      </c>
      <c r="D178" s="197"/>
      <c r="E178" s="198"/>
      <c r="F178" s="198"/>
      <c r="G178" s="198"/>
      <c r="H178" s="198"/>
      <c r="I178" s="198"/>
      <c r="J178" s="198"/>
      <c r="K178" s="199"/>
      <c r="L178" s="199"/>
      <c r="M178" s="199"/>
      <c r="N178" s="199"/>
      <c r="O178" s="199"/>
      <c r="P178" s="199"/>
      <c r="Q178" s="199"/>
      <c r="R178" s="199"/>
      <c r="S178" s="199"/>
      <c r="T178" s="199"/>
      <c r="U178" s="199"/>
      <c r="V178" s="199"/>
      <c r="W178" s="199"/>
    </row>
    <row r="179" spans="1:26" x14ac:dyDescent="0.4">
      <c r="A179" s="195">
        <v>8</v>
      </c>
      <c r="B179" s="200" t="s">
        <v>892</v>
      </c>
      <c r="C179" s="197" t="s">
        <v>893</v>
      </c>
      <c r="D179" s="197"/>
      <c r="E179" s="198"/>
      <c r="F179" s="198"/>
      <c r="G179" s="198"/>
      <c r="H179" s="198"/>
      <c r="I179" s="198"/>
      <c r="J179" s="198"/>
      <c r="K179" s="199"/>
      <c r="L179" s="199"/>
      <c r="M179" s="199"/>
      <c r="N179" s="199"/>
      <c r="O179" s="199"/>
      <c r="P179" s="199"/>
      <c r="Q179" s="199"/>
      <c r="R179" s="199"/>
      <c r="S179" s="199"/>
      <c r="T179" s="199"/>
      <c r="U179" s="199"/>
      <c r="V179" s="199"/>
      <c r="W179" s="199"/>
    </row>
    <row r="180" spans="1:26" s="190" customFormat="1" ht="16.5" x14ac:dyDescent="0.6">
      <c r="A180" s="195">
        <v>9</v>
      </c>
      <c r="B180" s="196" t="s">
        <v>894</v>
      </c>
      <c r="C180" s="197" t="s">
        <v>895</v>
      </c>
      <c r="D180" s="197"/>
      <c r="E180" s="198"/>
      <c r="F180" s="198"/>
      <c r="G180" s="198"/>
      <c r="H180" s="198"/>
      <c r="I180" s="198"/>
      <c r="J180" s="198"/>
      <c r="K180" s="198"/>
      <c r="L180" s="198"/>
      <c r="M180" s="198"/>
      <c r="N180" s="198"/>
      <c r="O180" s="198"/>
      <c r="P180" s="198"/>
      <c r="Q180" s="198"/>
      <c r="R180" s="198"/>
      <c r="S180" s="198"/>
      <c r="T180" s="198"/>
      <c r="U180" s="198"/>
      <c r="V180" s="198"/>
      <c r="W180" s="198"/>
      <c r="X180"/>
      <c r="Y180"/>
      <c r="Z180"/>
    </row>
    <row r="181" spans="1:26" x14ac:dyDescent="0.4">
      <c r="A181" s="195">
        <v>10</v>
      </c>
      <c r="B181" s="196" t="s">
        <v>896</v>
      </c>
      <c r="C181" s="197" t="s">
        <v>897</v>
      </c>
      <c r="D181" s="197"/>
      <c r="E181" s="198"/>
      <c r="F181" s="198"/>
      <c r="G181" s="198"/>
      <c r="H181" s="198"/>
      <c r="I181" s="198"/>
      <c r="J181" s="198"/>
      <c r="K181" s="199"/>
      <c r="L181" s="199"/>
      <c r="M181" s="199"/>
      <c r="N181" s="199"/>
      <c r="O181" s="199"/>
      <c r="P181" s="199"/>
      <c r="Q181" s="199"/>
      <c r="R181" s="199"/>
      <c r="S181" s="199"/>
      <c r="T181" s="199"/>
      <c r="U181" s="199"/>
      <c r="V181" s="199"/>
      <c r="W181" s="199"/>
    </row>
    <row r="182" spans="1:26" x14ac:dyDescent="0.4">
      <c r="A182" s="195">
        <v>11</v>
      </c>
      <c r="B182" s="201" t="s">
        <v>898</v>
      </c>
      <c r="C182" s="197" t="s">
        <v>899</v>
      </c>
      <c r="D182" s="197"/>
      <c r="E182" s="198"/>
      <c r="F182" s="198"/>
      <c r="G182" s="198"/>
      <c r="H182" s="198"/>
      <c r="I182" s="198"/>
      <c r="J182" s="198"/>
      <c r="K182" s="199"/>
      <c r="L182" s="199"/>
      <c r="M182" s="199"/>
      <c r="N182" s="199"/>
      <c r="O182" s="199"/>
      <c r="P182" s="199"/>
      <c r="Q182" s="199"/>
      <c r="R182" s="199"/>
      <c r="S182" s="199"/>
      <c r="T182" s="199"/>
      <c r="U182" s="199"/>
      <c r="V182" s="199"/>
      <c r="W182" s="199"/>
    </row>
    <row r="183" spans="1:26" x14ac:dyDescent="0.4">
      <c r="A183" s="195">
        <v>12</v>
      </c>
      <c r="B183" s="201" t="s">
        <v>7</v>
      </c>
      <c r="C183" s="197" t="s">
        <v>900</v>
      </c>
      <c r="D183" s="197"/>
      <c r="E183" s="198"/>
      <c r="F183" s="198"/>
      <c r="G183" s="198"/>
      <c r="H183" s="198"/>
      <c r="I183" s="198"/>
      <c r="J183" s="198"/>
      <c r="K183" s="199"/>
      <c r="L183" s="199"/>
      <c r="M183" s="199"/>
      <c r="N183" s="199"/>
      <c r="O183" s="199"/>
      <c r="P183" s="199"/>
      <c r="Q183" s="199"/>
      <c r="R183" s="199"/>
      <c r="S183" s="199"/>
      <c r="T183" s="199"/>
      <c r="U183" s="199"/>
      <c r="V183" s="199"/>
      <c r="W183" s="199"/>
    </row>
    <row r="184" spans="1:26" x14ac:dyDescent="0.4">
      <c r="A184" s="195">
        <v>13</v>
      </c>
      <c r="B184" s="202" t="s">
        <v>8</v>
      </c>
      <c r="C184" s="197" t="s">
        <v>901</v>
      </c>
      <c r="D184" s="197"/>
      <c r="E184" s="198"/>
      <c r="F184" s="198"/>
      <c r="G184" s="198"/>
      <c r="H184" s="198"/>
      <c r="I184" s="198"/>
      <c r="J184" s="198"/>
      <c r="K184" s="199"/>
      <c r="L184" s="199"/>
      <c r="M184" s="199"/>
      <c r="N184" s="199"/>
      <c r="O184" s="199"/>
      <c r="P184" s="199"/>
      <c r="Q184" s="199"/>
      <c r="R184" s="199"/>
      <c r="S184" s="199"/>
      <c r="T184" s="199"/>
      <c r="U184" s="199"/>
      <c r="V184" s="199"/>
      <c r="W184" s="199"/>
    </row>
    <row r="185" spans="1:26" x14ac:dyDescent="0.4">
      <c r="A185" s="203">
        <v>14</v>
      </c>
      <c r="B185" s="204" t="s">
        <v>9</v>
      </c>
      <c r="C185" s="205" t="s">
        <v>902</v>
      </c>
      <c r="D185" s="205"/>
      <c r="E185" s="206"/>
      <c r="F185" s="206"/>
      <c r="G185" s="206"/>
      <c r="H185" s="206"/>
      <c r="I185" s="206"/>
      <c r="J185" s="206"/>
      <c r="K185" s="206"/>
      <c r="L185" s="206"/>
      <c r="M185" s="206"/>
      <c r="N185" s="206"/>
      <c r="O185" s="206"/>
      <c r="P185" s="206"/>
      <c r="Q185" s="206"/>
      <c r="R185" s="206"/>
      <c r="S185" s="206"/>
      <c r="T185" s="206"/>
      <c r="U185" s="206"/>
      <c r="V185" s="206"/>
      <c r="W185" s="206"/>
    </row>
    <row r="186" spans="1:26" x14ac:dyDescent="0.4">
      <c r="H186" s="207"/>
      <c r="I186" s="207"/>
      <c r="J186" s="208"/>
      <c r="K186" s="208"/>
      <c r="L186" s="208"/>
      <c r="M186" s="208"/>
      <c r="N186" s="208"/>
      <c r="O186" s="208"/>
      <c r="P186" s="208"/>
      <c r="Q186" s="208"/>
      <c r="R186" s="208"/>
      <c r="S186" s="208"/>
      <c r="T186" s="208"/>
      <c r="U186" s="208"/>
      <c r="V186" s="208"/>
      <c r="W186" s="208"/>
    </row>
    <row r="187" spans="1:26" ht="23.25" x14ac:dyDescent="0.4">
      <c r="A187" s="188" t="s">
        <v>903</v>
      </c>
      <c r="B187" s="207"/>
      <c r="C187" s="207"/>
      <c r="D187" s="207"/>
      <c r="E187" s="207"/>
      <c r="F187" s="207"/>
      <c r="G187" s="207"/>
      <c r="H187" s="207"/>
      <c r="I187" s="207"/>
      <c r="J187" s="208"/>
      <c r="K187" s="208"/>
      <c r="L187" s="208"/>
      <c r="M187" s="208"/>
      <c r="N187" s="208"/>
      <c r="O187" s="208"/>
      <c r="P187" s="208"/>
      <c r="Q187" s="208"/>
      <c r="R187" s="208"/>
      <c r="S187" s="208"/>
      <c r="T187" s="208"/>
      <c r="U187" s="208"/>
      <c r="V187" s="208"/>
      <c r="W187" s="208"/>
    </row>
    <row r="188" spans="1:26" x14ac:dyDescent="0.4">
      <c r="A188" s="191"/>
      <c r="B188" s="192" t="s">
        <v>207</v>
      </c>
      <c r="C188" s="192"/>
      <c r="D188" s="194"/>
      <c r="E188" s="194" cm="1">
        <f t="array" ref="E188:T188">_xlfn.SEQUENCE(1, AdjustmentPeriodEnd+10-MTP_BaseYear+1, MTP_BaseYear)</f>
        <v>2023</v>
      </c>
      <c r="F188" s="194">
        <v>2024</v>
      </c>
      <c r="G188" s="194">
        <v>2025</v>
      </c>
      <c r="H188" s="194">
        <v>2026</v>
      </c>
      <c r="I188" s="194">
        <v>2027</v>
      </c>
      <c r="J188" s="194">
        <v>2028</v>
      </c>
      <c r="K188" s="194">
        <v>2029</v>
      </c>
      <c r="L188" s="194">
        <v>2030</v>
      </c>
      <c r="M188" s="194">
        <v>2031</v>
      </c>
      <c r="N188" s="194">
        <v>2032</v>
      </c>
      <c r="O188" s="194">
        <v>2033</v>
      </c>
      <c r="P188" s="194">
        <v>2034</v>
      </c>
      <c r="Q188" s="194">
        <v>2035</v>
      </c>
      <c r="R188" s="194">
        <v>2036</v>
      </c>
      <c r="S188" s="194">
        <v>2037</v>
      </c>
      <c r="T188" s="194">
        <v>2038</v>
      </c>
      <c r="U188" s="194"/>
      <c r="V188" s="194"/>
      <c r="W188" s="194"/>
    </row>
    <row r="189" spans="1:26" x14ac:dyDescent="0.4">
      <c r="A189" s="195">
        <v>1</v>
      </c>
      <c r="B189" s="196" t="s">
        <v>1</v>
      </c>
      <c r="C189" s="197" t="s">
        <v>883</v>
      </c>
      <c r="D189" s="197"/>
      <c r="E189" s="209"/>
      <c r="F189" s="209"/>
      <c r="G189" s="209"/>
      <c r="H189" s="209"/>
      <c r="I189" s="209"/>
      <c r="J189" s="209"/>
      <c r="K189" s="209"/>
      <c r="L189" s="209"/>
      <c r="M189" s="209"/>
      <c r="N189" s="209"/>
      <c r="O189" s="209"/>
      <c r="P189" s="209"/>
      <c r="Q189" s="209"/>
      <c r="R189" s="209"/>
      <c r="S189" s="209"/>
      <c r="T189" s="209"/>
      <c r="U189" s="198"/>
      <c r="V189" s="198"/>
      <c r="W189" s="198"/>
    </row>
    <row r="190" spans="1:26" x14ac:dyDescent="0.4">
      <c r="A190" s="195">
        <v>2</v>
      </c>
      <c r="B190" s="196" t="s">
        <v>890</v>
      </c>
      <c r="C190" s="197" t="s">
        <v>891</v>
      </c>
      <c r="D190" s="197"/>
      <c r="E190" s="209"/>
      <c r="F190" s="209"/>
      <c r="G190" s="209"/>
      <c r="H190" s="209"/>
      <c r="I190" s="209"/>
      <c r="J190" s="209"/>
      <c r="K190" s="209"/>
      <c r="L190" s="209"/>
      <c r="M190" s="209"/>
      <c r="N190" s="209"/>
      <c r="O190" s="209"/>
      <c r="P190" s="209"/>
      <c r="Q190" s="209"/>
      <c r="R190" s="209"/>
      <c r="S190" s="209"/>
      <c r="T190" s="209"/>
      <c r="U190" s="198"/>
      <c r="V190" s="198"/>
      <c r="W190" s="198"/>
    </row>
    <row r="191" spans="1:26" x14ac:dyDescent="0.4">
      <c r="A191" s="195">
        <v>3</v>
      </c>
      <c r="B191" s="196" t="s">
        <v>892</v>
      </c>
      <c r="C191" s="197" t="s">
        <v>893</v>
      </c>
      <c r="D191" s="197"/>
      <c r="E191" s="209"/>
      <c r="F191" s="209"/>
      <c r="G191" s="209"/>
      <c r="H191" s="209"/>
      <c r="I191" s="209"/>
      <c r="J191" s="209"/>
      <c r="K191" s="209"/>
      <c r="L191" s="209"/>
      <c r="M191" s="209"/>
      <c r="N191" s="209"/>
      <c r="O191" s="209"/>
      <c r="P191" s="209"/>
      <c r="Q191" s="209"/>
      <c r="R191" s="209"/>
      <c r="S191" s="209"/>
      <c r="T191" s="209"/>
      <c r="U191" s="198"/>
      <c r="V191" s="198"/>
      <c r="W191" s="198"/>
    </row>
    <row r="192" spans="1:26" x14ac:dyDescent="0.4">
      <c r="A192" s="195"/>
      <c r="B192" s="210" t="s">
        <v>208</v>
      </c>
      <c r="C192" s="210"/>
      <c r="D192" s="211"/>
      <c r="E192" s="211" cm="1">
        <f t="array" ref="E192:T192">_xlfn.SEQUENCE(1, AdjustmentPeriodEnd+10-MTP_BaseYear+1, MTP_BaseYear)</f>
        <v>2023</v>
      </c>
      <c r="F192" s="211">
        <v>2024</v>
      </c>
      <c r="G192" s="211">
        <v>2025</v>
      </c>
      <c r="H192" s="211">
        <v>2026</v>
      </c>
      <c r="I192" s="211">
        <v>2027</v>
      </c>
      <c r="J192" s="211">
        <v>2028</v>
      </c>
      <c r="K192" s="211">
        <v>2029</v>
      </c>
      <c r="L192" s="211">
        <v>2030</v>
      </c>
      <c r="M192" s="211">
        <v>2031</v>
      </c>
      <c r="N192" s="211">
        <v>2032</v>
      </c>
      <c r="O192" s="211">
        <v>2033</v>
      </c>
      <c r="P192" s="211">
        <v>2034</v>
      </c>
      <c r="Q192" s="211">
        <v>2035</v>
      </c>
      <c r="R192" s="211">
        <v>2036</v>
      </c>
      <c r="S192" s="211">
        <v>2037</v>
      </c>
      <c r="T192" s="211">
        <v>2038</v>
      </c>
      <c r="U192" s="211"/>
      <c r="V192" s="211"/>
      <c r="W192" s="211"/>
    </row>
    <row r="193" spans="1:23" x14ac:dyDescent="0.4">
      <c r="A193" s="195">
        <v>4</v>
      </c>
      <c r="B193" s="196" t="s">
        <v>1</v>
      </c>
      <c r="C193" s="197" t="s">
        <v>883</v>
      </c>
      <c r="D193" s="197"/>
      <c r="E193" s="209"/>
      <c r="F193" s="209"/>
      <c r="G193" s="209"/>
      <c r="H193" s="209"/>
      <c r="I193" s="209"/>
      <c r="J193" s="209"/>
      <c r="K193" s="209"/>
      <c r="L193" s="209"/>
      <c r="M193" s="209"/>
      <c r="N193" s="209"/>
      <c r="O193" s="209"/>
      <c r="P193" s="209"/>
      <c r="Q193" s="209"/>
      <c r="R193" s="209"/>
      <c r="S193" s="209"/>
      <c r="T193" s="209"/>
      <c r="U193" s="198"/>
      <c r="V193" s="198"/>
      <c r="W193" s="198"/>
    </row>
    <row r="194" spans="1:23" x14ac:dyDescent="0.4">
      <c r="A194" s="195">
        <v>5</v>
      </c>
      <c r="B194" s="196" t="s">
        <v>3</v>
      </c>
      <c r="C194" s="197" t="s">
        <v>886</v>
      </c>
      <c r="D194" s="197"/>
      <c r="E194" s="209"/>
      <c r="F194" s="209"/>
      <c r="G194" s="209"/>
      <c r="H194" s="209"/>
      <c r="I194" s="209"/>
      <c r="J194" s="209"/>
      <c r="K194" s="209"/>
      <c r="L194" s="209"/>
      <c r="M194" s="209"/>
      <c r="N194" s="209"/>
      <c r="O194" s="209"/>
      <c r="P194" s="209"/>
      <c r="Q194" s="209"/>
      <c r="R194" s="209"/>
      <c r="S194" s="209"/>
      <c r="T194" s="209"/>
      <c r="U194" s="198"/>
      <c r="V194" s="198"/>
      <c r="W194" s="198"/>
    </row>
    <row r="195" spans="1:23" x14ac:dyDescent="0.4">
      <c r="A195" s="195"/>
      <c r="B195" s="210" t="s">
        <v>209</v>
      </c>
      <c r="C195" s="210"/>
      <c r="D195" s="211"/>
      <c r="E195" s="211" cm="1">
        <f t="array" ref="E195:T195">_xlfn.SEQUENCE(1, AdjustmentPeriodEnd+10-MTP_BaseYear+1, MTP_BaseYear)</f>
        <v>2023</v>
      </c>
      <c r="F195" s="211">
        <v>2024</v>
      </c>
      <c r="G195" s="211">
        <v>2025</v>
      </c>
      <c r="H195" s="211">
        <v>2026</v>
      </c>
      <c r="I195" s="211">
        <v>2027</v>
      </c>
      <c r="J195" s="211">
        <v>2028</v>
      </c>
      <c r="K195" s="211">
        <v>2029</v>
      </c>
      <c r="L195" s="211">
        <v>2030</v>
      </c>
      <c r="M195" s="211">
        <v>2031</v>
      </c>
      <c r="N195" s="211">
        <v>2032</v>
      </c>
      <c r="O195" s="211">
        <v>2033</v>
      </c>
      <c r="P195" s="211">
        <v>2034</v>
      </c>
      <c r="Q195" s="211">
        <v>2035</v>
      </c>
      <c r="R195" s="211">
        <v>2036</v>
      </c>
      <c r="S195" s="211">
        <v>2037</v>
      </c>
      <c r="T195" s="211">
        <v>2038</v>
      </c>
      <c r="U195" s="211"/>
      <c r="V195" s="211"/>
      <c r="W195" s="211"/>
    </row>
    <row r="196" spans="1:23" x14ac:dyDescent="0.4">
      <c r="A196" s="195">
        <v>6</v>
      </c>
      <c r="B196" s="196" t="s">
        <v>1</v>
      </c>
      <c r="C196" s="197" t="s">
        <v>883</v>
      </c>
      <c r="D196" s="197"/>
      <c r="E196" s="209"/>
      <c r="F196" s="209"/>
      <c r="G196" s="209"/>
      <c r="H196" s="209"/>
      <c r="I196" s="209"/>
      <c r="J196" s="209"/>
      <c r="K196" s="209"/>
      <c r="L196" s="209"/>
      <c r="M196" s="209"/>
      <c r="N196" s="209"/>
      <c r="O196" s="209"/>
      <c r="P196" s="209"/>
      <c r="Q196" s="209"/>
      <c r="R196" s="209"/>
      <c r="S196" s="209"/>
      <c r="T196" s="209"/>
      <c r="U196" s="198"/>
      <c r="V196" s="198"/>
      <c r="W196" s="198"/>
    </row>
    <row r="197" spans="1:23" x14ac:dyDescent="0.4">
      <c r="A197" s="195">
        <v>7</v>
      </c>
      <c r="B197" s="196" t="s">
        <v>890</v>
      </c>
      <c r="C197" s="197" t="s">
        <v>891</v>
      </c>
      <c r="D197" s="197"/>
      <c r="E197" s="209"/>
      <c r="F197" s="209"/>
      <c r="G197" s="209"/>
      <c r="H197" s="209"/>
      <c r="I197" s="209"/>
      <c r="J197" s="209"/>
      <c r="K197" s="209"/>
      <c r="L197" s="209"/>
      <c r="M197" s="209"/>
      <c r="N197" s="209"/>
      <c r="O197" s="209"/>
      <c r="P197" s="209"/>
      <c r="Q197" s="209"/>
      <c r="R197" s="209"/>
      <c r="S197" s="209"/>
      <c r="T197" s="209"/>
      <c r="U197" s="198"/>
      <c r="V197" s="198"/>
      <c r="W197" s="198"/>
    </row>
    <row r="198" spans="1:23" x14ac:dyDescent="0.4">
      <c r="A198" s="195">
        <v>8</v>
      </c>
      <c r="B198" s="196" t="s">
        <v>892</v>
      </c>
      <c r="C198" s="197" t="s">
        <v>893</v>
      </c>
      <c r="D198" s="197"/>
      <c r="E198" s="209"/>
      <c r="F198" s="209"/>
      <c r="G198" s="209"/>
      <c r="H198" s="209"/>
      <c r="I198" s="209"/>
      <c r="J198" s="209"/>
      <c r="K198" s="209"/>
      <c r="L198" s="209"/>
      <c r="M198" s="209"/>
      <c r="N198" s="209"/>
      <c r="O198" s="209"/>
      <c r="P198" s="209"/>
      <c r="Q198" s="209"/>
      <c r="R198" s="209"/>
      <c r="S198" s="209"/>
      <c r="T198" s="209"/>
      <c r="U198" s="198"/>
      <c r="V198" s="198"/>
      <c r="W198" s="198"/>
    </row>
    <row r="199" spans="1:23" x14ac:dyDescent="0.4">
      <c r="A199" s="195">
        <v>9</v>
      </c>
      <c r="B199" s="201" t="s">
        <v>7</v>
      </c>
      <c r="C199" s="197" t="s">
        <v>900</v>
      </c>
      <c r="D199" s="197"/>
      <c r="E199" s="209"/>
      <c r="F199" s="209"/>
      <c r="G199" s="209"/>
      <c r="H199" s="209"/>
      <c r="I199" s="209"/>
      <c r="J199" s="209"/>
      <c r="K199" s="209"/>
      <c r="L199" s="209"/>
      <c r="M199" s="209"/>
      <c r="N199" s="209"/>
      <c r="O199" s="209"/>
      <c r="P199" s="209"/>
      <c r="Q199" s="209"/>
      <c r="R199" s="209"/>
      <c r="S199" s="209"/>
      <c r="T199" s="209"/>
      <c r="U199" s="198"/>
      <c r="V199" s="198"/>
      <c r="W199" s="198"/>
    </row>
    <row r="200" spans="1:23" x14ac:dyDescent="0.4">
      <c r="A200" s="195">
        <v>10</v>
      </c>
      <c r="B200" s="201" t="s">
        <v>898</v>
      </c>
      <c r="C200" s="197" t="s">
        <v>899</v>
      </c>
      <c r="D200" s="197"/>
      <c r="E200" s="209"/>
      <c r="F200" s="209"/>
      <c r="G200" s="209"/>
      <c r="H200" s="209"/>
      <c r="I200" s="209"/>
      <c r="J200" s="209"/>
      <c r="K200" s="209"/>
      <c r="L200" s="209"/>
      <c r="M200" s="209"/>
      <c r="N200" s="209"/>
      <c r="O200" s="209"/>
      <c r="P200" s="209"/>
      <c r="Q200" s="209"/>
      <c r="R200" s="209"/>
      <c r="S200" s="209"/>
      <c r="T200" s="209"/>
      <c r="U200" s="198"/>
      <c r="V200" s="198"/>
      <c r="W200" s="198"/>
    </row>
    <row r="201" spans="1:23" x14ac:dyDescent="0.4">
      <c r="A201" s="195"/>
      <c r="B201" s="210" t="s">
        <v>210</v>
      </c>
      <c r="C201" s="210"/>
      <c r="D201" s="211"/>
      <c r="E201" s="212">
        <f>StochasticLastYear</f>
        <v>2033</v>
      </c>
      <c r="F201" s="213"/>
      <c r="G201" s="213"/>
      <c r="H201" s="213"/>
      <c r="I201" s="213"/>
      <c r="J201" s="213"/>
      <c r="K201" s="213"/>
      <c r="L201" s="213"/>
      <c r="M201" s="213"/>
      <c r="N201" s="213"/>
      <c r="O201" s="213"/>
      <c r="P201" s="213"/>
      <c r="Q201" s="213"/>
      <c r="R201" s="213"/>
      <c r="S201" s="213"/>
      <c r="T201" s="213"/>
      <c r="U201" s="213"/>
      <c r="V201" s="213"/>
      <c r="W201" s="213"/>
    </row>
    <row r="202" spans="1:23" x14ac:dyDescent="0.4">
      <c r="A202" s="203">
        <v>11</v>
      </c>
      <c r="B202" s="214" t="s">
        <v>904</v>
      </c>
      <c r="C202" s="205"/>
      <c r="D202" s="205"/>
      <c r="E202" s="215"/>
      <c r="F202" s="216"/>
      <c r="G202" s="215"/>
      <c r="H202" s="217"/>
      <c r="I202" s="217"/>
      <c r="J202" s="215"/>
      <c r="K202" s="217"/>
      <c r="L202" s="215"/>
      <c r="M202" s="215"/>
      <c r="N202" s="217"/>
      <c r="O202" s="217"/>
      <c r="P202" s="215"/>
      <c r="Q202" s="217"/>
      <c r="R202" s="215"/>
      <c r="S202" s="218"/>
      <c r="T202" s="216"/>
      <c r="U202" s="219"/>
      <c r="V202" s="220"/>
      <c r="W202" s="219"/>
    </row>
    <row r="203" spans="1:23" x14ac:dyDescent="0.4">
      <c r="A203" s="221"/>
      <c r="B203" s="207"/>
      <c r="C203" s="207"/>
      <c r="D203" s="207"/>
      <c r="E203" s="207"/>
      <c r="F203" s="207"/>
      <c r="G203" s="207"/>
      <c r="H203" s="207"/>
      <c r="I203" s="207"/>
      <c r="J203" s="208"/>
      <c r="K203" s="208"/>
      <c r="L203" s="208"/>
      <c r="M203" s="208"/>
      <c r="N203" s="208"/>
      <c r="O203" s="208"/>
      <c r="P203" s="222"/>
      <c r="Q203" s="222"/>
      <c r="R203" s="222"/>
      <c r="S203" s="222"/>
      <c r="T203" s="222"/>
      <c r="U203" s="222"/>
      <c r="V203" s="208"/>
      <c r="W203" s="208"/>
    </row>
    <row r="204" spans="1:23" ht="23.25" x14ac:dyDescent="0.4">
      <c r="A204" s="188" t="s">
        <v>905</v>
      </c>
      <c r="B204" s="207"/>
      <c r="C204" s="207"/>
      <c r="D204" s="207"/>
      <c r="E204" s="207"/>
      <c r="F204" s="207"/>
      <c r="G204" s="207"/>
      <c r="H204" s="207"/>
      <c r="I204" s="207"/>
      <c r="J204" s="208"/>
      <c r="K204" s="208"/>
      <c r="L204" s="208"/>
      <c r="M204" s="208"/>
      <c r="N204" s="208"/>
      <c r="O204" s="208"/>
      <c r="P204" s="208"/>
      <c r="Q204" s="208"/>
      <c r="R204" s="208"/>
      <c r="S204" s="208"/>
      <c r="T204" s="208"/>
      <c r="U204" s="208"/>
      <c r="V204" s="208"/>
      <c r="W204" s="208"/>
    </row>
    <row r="205" spans="1:23" x14ac:dyDescent="0.4">
      <c r="A205" s="223"/>
      <c r="B205" s="224"/>
      <c r="C205" s="224"/>
      <c r="D205" s="224"/>
      <c r="E205" s="224" cm="1">
        <f t="array" ref="E205:T205">_xlfn.SEQUENCE(1, AdjustmentPeriodEnd+10-MTP_BaseYear+1, MTP_BaseYear)</f>
        <v>2023</v>
      </c>
      <c r="F205" s="224">
        <v>2024</v>
      </c>
      <c r="G205" s="224">
        <v>2025</v>
      </c>
      <c r="H205" s="224">
        <v>2026</v>
      </c>
      <c r="I205" s="224">
        <v>2027</v>
      </c>
      <c r="J205" s="224">
        <v>2028</v>
      </c>
      <c r="K205" s="224">
        <v>2029</v>
      </c>
      <c r="L205" s="224">
        <v>2030</v>
      </c>
      <c r="M205" s="224">
        <v>2031</v>
      </c>
      <c r="N205" s="224">
        <v>2032</v>
      </c>
      <c r="O205" s="224">
        <v>2033</v>
      </c>
      <c r="P205" s="224">
        <v>2034</v>
      </c>
      <c r="Q205" s="224">
        <v>2035</v>
      </c>
      <c r="R205" s="224">
        <v>2036</v>
      </c>
      <c r="S205" s="224">
        <v>2037</v>
      </c>
      <c r="T205" s="224">
        <v>2038</v>
      </c>
      <c r="U205" s="224"/>
      <c r="V205" s="224"/>
      <c r="W205" s="224"/>
    </row>
    <row r="206" spans="1:23" x14ac:dyDescent="0.4">
      <c r="A206" s="225">
        <v>1</v>
      </c>
      <c r="B206" s="226" t="s">
        <v>1</v>
      </c>
      <c r="C206" s="226" t="s">
        <v>883</v>
      </c>
      <c r="D206" s="226"/>
    </row>
    <row r="207" spans="1:23" x14ac:dyDescent="0.4">
      <c r="A207" s="225">
        <v>2</v>
      </c>
      <c r="B207" s="226" t="s">
        <v>884</v>
      </c>
      <c r="C207" s="226" t="s">
        <v>885</v>
      </c>
      <c r="D207" s="226"/>
    </row>
    <row r="208" spans="1:23" x14ac:dyDescent="0.4">
      <c r="A208" s="225">
        <v>3</v>
      </c>
      <c r="B208" s="226" t="s">
        <v>3</v>
      </c>
      <c r="C208" s="226" t="s">
        <v>886</v>
      </c>
      <c r="D208" s="226"/>
    </row>
    <row r="209" spans="1:23" x14ac:dyDescent="0.4">
      <c r="A209" s="225">
        <v>4</v>
      </c>
      <c r="B209" s="226" t="s">
        <v>887</v>
      </c>
      <c r="C209" s="226"/>
      <c r="D209" s="226"/>
    </row>
    <row r="210" spans="1:23" x14ac:dyDescent="0.4">
      <c r="A210" s="225">
        <v>5</v>
      </c>
      <c r="B210" s="226" t="s">
        <v>25</v>
      </c>
      <c r="C210" s="226" t="s">
        <v>889</v>
      </c>
      <c r="D210" s="226"/>
    </row>
    <row r="211" spans="1:23" x14ac:dyDescent="0.4">
      <c r="A211" s="225">
        <v>6</v>
      </c>
      <c r="B211" s="226" t="s">
        <v>890</v>
      </c>
      <c r="C211" s="226" t="s">
        <v>891</v>
      </c>
      <c r="D211" s="226"/>
    </row>
    <row r="212" spans="1:23" x14ac:dyDescent="0.4">
      <c r="A212" s="225">
        <v>7</v>
      </c>
      <c r="B212" s="226" t="s">
        <v>892</v>
      </c>
      <c r="C212" s="226" t="s">
        <v>893</v>
      </c>
      <c r="D212" s="226"/>
    </row>
    <row r="213" spans="1:23" x14ac:dyDescent="0.4">
      <c r="A213" s="225">
        <v>8</v>
      </c>
      <c r="B213" s="226" t="s">
        <v>894</v>
      </c>
      <c r="C213" s="226" t="s">
        <v>895</v>
      </c>
      <c r="D213" s="226"/>
    </row>
    <row r="214" spans="1:23" x14ac:dyDescent="0.4">
      <c r="A214" s="225">
        <v>9</v>
      </c>
      <c r="B214" s="226" t="s">
        <v>898</v>
      </c>
      <c r="C214" s="226" t="s">
        <v>899</v>
      </c>
      <c r="D214" s="226"/>
    </row>
    <row r="215" spans="1:23" x14ac:dyDescent="0.4">
      <c r="A215" s="225">
        <v>10</v>
      </c>
      <c r="B215" s="226" t="s">
        <v>7</v>
      </c>
      <c r="C215" s="226" t="s">
        <v>900</v>
      </c>
      <c r="D215" s="226"/>
    </row>
    <row r="216" spans="1:23" x14ac:dyDescent="0.4">
      <c r="A216" s="225">
        <v>11</v>
      </c>
      <c r="B216" s="226" t="s">
        <v>8</v>
      </c>
      <c r="C216" s="226" t="s">
        <v>901</v>
      </c>
      <c r="D216" s="226"/>
    </row>
    <row r="217" spans="1:23" x14ac:dyDescent="0.4">
      <c r="A217" s="225">
        <v>12</v>
      </c>
      <c r="B217" s="226" t="s">
        <v>9</v>
      </c>
      <c r="C217" s="226" t="s">
        <v>902</v>
      </c>
      <c r="D217" s="226"/>
    </row>
    <row r="218" spans="1:23" x14ac:dyDescent="0.4">
      <c r="A218" s="227">
        <v>13</v>
      </c>
      <c r="B218" s="228" t="s">
        <v>906</v>
      </c>
      <c r="C218" s="228"/>
      <c r="D218" s="228"/>
      <c r="E218" s="229"/>
      <c r="F218" s="229"/>
      <c r="G218" s="229"/>
      <c r="H218" s="229"/>
      <c r="I218" s="229"/>
      <c r="J218" s="229"/>
      <c r="K218" s="229"/>
      <c r="L218" s="229"/>
      <c r="M218" s="229"/>
      <c r="N218" s="229"/>
      <c r="O218" s="229"/>
      <c r="P218" s="229"/>
      <c r="Q218" s="229"/>
      <c r="R218" s="229"/>
      <c r="S218" s="229"/>
      <c r="T218" s="229"/>
      <c r="U218" s="229"/>
      <c r="V218" s="229"/>
      <c r="W218" s="229"/>
    </row>
    <row r="219" spans="1:23" x14ac:dyDescent="0.4">
      <c r="A219" s="221"/>
      <c r="B219" s="207"/>
      <c r="C219" s="207"/>
      <c r="D219" s="207"/>
      <c r="E219" s="207"/>
      <c r="F219" s="207"/>
      <c r="G219" s="207"/>
      <c r="H219" s="207"/>
      <c r="I219" s="207"/>
      <c r="J219" s="208"/>
      <c r="K219" s="208"/>
      <c r="L219" s="208"/>
      <c r="M219" s="208"/>
      <c r="N219" s="208"/>
      <c r="O219" s="208"/>
      <c r="P219" s="208"/>
      <c r="Q219" s="208"/>
      <c r="R219" s="208"/>
      <c r="S219" s="208"/>
      <c r="T219" s="208"/>
      <c r="U219" s="208"/>
      <c r="V219" s="208"/>
      <c r="W219" s="208"/>
    </row>
    <row r="220" spans="1:23" ht="23.25" x14ac:dyDescent="0.4">
      <c r="A220" s="188" t="s">
        <v>907</v>
      </c>
      <c r="B220" s="207"/>
      <c r="C220" s="207"/>
      <c r="D220" s="207"/>
      <c r="E220" s="207"/>
      <c r="F220" s="207"/>
      <c r="G220" s="207"/>
      <c r="H220" s="207"/>
      <c r="I220" s="207"/>
      <c r="J220" s="208"/>
      <c r="K220" s="208"/>
      <c r="L220" s="208"/>
      <c r="M220" s="208"/>
      <c r="N220" s="208"/>
      <c r="O220" s="208"/>
      <c r="P220" s="208"/>
      <c r="Q220" s="208"/>
      <c r="R220" s="208"/>
      <c r="S220" s="208"/>
      <c r="T220" s="208"/>
      <c r="U220" s="208"/>
      <c r="V220" s="208"/>
      <c r="W220" s="208"/>
    </row>
    <row r="221" spans="1:23" x14ac:dyDescent="0.4">
      <c r="A221" s="191"/>
      <c r="B221" s="192"/>
      <c r="C221" s="192"/>
      <c r="D221" s="194"/>
      <c r="E221" s="194" cm="1">
        <f t="array" ref="E221:T221">_xlfn.SEQUENCE(1, AdjustmentPeriodEnd+10-MTP_BaseYear+1, MTP_BaseYear)</f>
        <v>2023</v>
      </c>
      <c r="F221" s="194">
        <v>2024</v>
      </c>
      <c r="G221" s="194">
        <v>2025</v>
      </c>
      <c r="H221" s="194">
        <v>2026</v>
      </c>
      <c r="I221" s="194">
        <v>2027</v>
      </c>
      <c r="J221" s="194">
        <v>2028</v>
      </c>
      <c r="K221" s="194">
        <v>2029</v>
      </c>
      <c r="L221" s="194">
        <v>2030</v>
      </c>
      <c r="M221" s="194">
        <v>2031</v>
      </c>
      <c r="N221" s="194">
        <v>2032</v>
      </c>
      <c r="O221" s="194">
        <v>2033</v>
      </c>
      <c r="P221" s="194">
        <v>2034</v>
      </c>
      <c r="Q221" s="194">
        <v>2035</v>
      </c>
      <c r="R221" s="194">
        <v>2036</v>
      </c>
      <c r="S221" s="194">
        <v>2037</v>
      </c>
      <c r="T221" s="194">
        <v>2038</v>
      </c>
      <c r="U221" s="194"/>
      <c r="V221" s="194"/>
      <c r="W221" s="194"/>
    </row>
    <row r="222" spans="1:23" x14ac:dyDescent="0.4">
      <c r="A222" s="195">
        <v>1</v>
      </c>
      <c r="B222" s="196" t="s">
        <v>1</v>
      </c>
      <c r="C222" s="197" t="s">
        <v>883</v>
      </c>
      <c r="D222" s="197"/>
      <c r="E222" s="198"/>
      <c r="F222" s="198"/>
      <c r="G222" s="198"/>
      <c r="H222" s="198"/>
      <c r="I222" s="198"/>
      <c r="J222" s="198"/>
      <c r="K222" s="199"/>
      <c r="L222" s="199"/>
      <c r="M222" s="199"/>
      <c r="N222" s="199"/>
      <c r="O222" s="199"/>
      <c r="P222" s="199"/>
      <c r="Q222" s="199"/>
      <c r="R222" s="199"/>
      <c r="S222" s="199"/>
      <c r="T222" s="199"/>
      <c r="U222" s="199"/>
      <c r="V222" s="199"/>
      <c r="W222" s="199"/>
    </row>
    <row r="223" spans="1:23" x14ac:dyDescent="0.4">
      <c r="A223" s="195">
        <v>2</v>
      </c>
      <c r="B223" s="230" t="s">
        <v>908</v>
      </c>
      <c r="C223" s="231"/>
      <c r="D223" s="197"/>
      <c r="E223" s="198"/>
      <c r="F223" s="198"/>
      <c r="G223" s="198"/>
      <c r="H223" s="198"/>
      <c r="I223" s="198"/>
      <c r="J223" s="198"/>
      <c r="K223" s="199"/>
      <c r="L223" s="199"/>
      <c r="M223" s="199"/>
      <c r="N223" s="199"/>
      <c r="O223" s="199"/>
      <c r="P223" s="199"/>
      <c r="Q223" s="199"/>
      <c r="R223" s="199"/>
      <c r="S223" s="199"/>
      <c r="T223" s="199"/>
      <c r="U223" s="199"/>
      <c r="V223" s="199"/>
      <c r="W223" s="199"/>
    </row>
    <row r="224" spans="1:23" x14ac:dyDescent="0.4">
      <c r="A224" s="195">
        <v>3</v>
      </c>
      <c r="B224" s="230" t="s">
        <v>909</v>
      </c>
      <c r="C224" s="231"/>
      <c r="D224" s="197"/>
      <c r="E224" s="198"/>
      <c r="F224" s="198"/>
      <c r="G224" s="198"/>
      <c r="H224" s="198"/>
      <c r="I224" s="198"/>
      <c r="J224" s="198"/>
      <c r="K224" s="199"/>
      <c r="L224" s="199"/>
      <c r="M224" s="199"/>
      <c r="N224" s="199"/>
      <c r="O224" s="199"/>
      <c r="P224" s="199"/>
      <c r="Q224" s="199"/>
      <c r="R224" s="199"/>
      <c r="S224" s="199"/>
      <c r="T224" s="199"/>
      <c r="U224" s="199"/>
      <c r="V224" s="199"/>
      <c r="W224" s="199"/>
    </row>
    <row r="225" spans="1:23" x14ac:dyDescent="0.4">
      <c r="A225" s="195">
        <v>4</v>
      </c>
      <c r="B225" s="230" t="s">
        <v>910</v>
      </c>
      <c r="C225" s="231"/>
      <c r="D225" s="197"/>
      <c r="E225" s="198"/>
      <c r="F225" s="198"/>
      <c r="G225" s="198"/>
      <c r="H225" s="198"/>
      <c r="I225" s="198"/>
      <c r="J225" s="198"/>
      <c r="K225" s="199"/>
      <c r="L225" s="199"/>
      <c r="M225" s="199"/>
      <c r="N225" s="199"/>
      <c r="O225" s="199"/>
      <c r="P225" s="199"/>
      <c r="Q225" s="199"/>
      <c r="R225" s="199"/>
      <c r="S225" s="199"/>
      <c r="T225" s="199"/>
      <c r="U225" s="199"/>
      <c r="V225" s="199"/>
      <c r="W225" s="199"/>
    </row>
    <row r="226" spans="1:23" x14ac:dyDescent="0.4">
      <c r="A226" s="203">
        <v>5</v>
      </c>
      <c r="B226" s="232" t="s">
        <v>911</v>
      </c>
      <c r="C226" s="233"/>
      <c r="D226" s="205"/>
      <c r="E226" s="206"/>
      <c r="F226" s="206"/>
      <c r="G226" s="206"/>
      <c r="H226" s="206"/>
      <c r="I226" s="206"/>
      <c r="J226" s="206"/>
      <c r="K226" s="234"/>
      <c r="L226" s="234"/>
      <c r="M226" s="234"/>
      <c r="N226" s="234"/>
      <c r="O226" s="234"/>
      <c r="P226" s="234"/>
      <c r="Q226" s="234"/>
      <c r="R226" s="234"/>
      <c r="S226" s="234"/>
      <c r="T226" s="234"/>
      <c r="U226" s="234"/>
      <c r="V226" s="234"/>
      <c r="W226" s="234"/>
    </row>
    <row r="228" spans="1:23" ht="24.4" customHeight="1" x14ac:dyDescent="0.55000000000000004">
      <c r="A228" s="50"/>
    </row>
  </sheetData>
  <dataConsolidate/>
  <conditionalFormatting sqref="D5:N6">
    <cfRule type="expression" dxfId="67" priority="20">
      <formula>ISNUMBER(D4)</formula>
    </cfRule>
  </conditionalFormatting>
  <conditionalFormatting sqref="D4:N4">
    <cfRule type="expression" dxfId="66" priority="19">
      <formula>ISNUMBER(D4)</formula>
    </cfRule>
  </conditionalFormatting>
  <conditionalFormatting sqref="D19:K19">
    <cfRule type="expression" dxfId="65" priority="18">
      <formula>ISNUMBER(D$4)</formula>
    </cfRule>
  </conditionalFormatting>
  <conditionalFormatting sqref="D63:W63">
    <cfRule type="expression" dxfId="64" priority="17">
      <formula>ISNUMBER(D37)</formula>
    </cfRule>
  </conditionalFormatting>
  <conditionalFormatting sqref="D37:W37">
    <cfRule type="expression" dxfId="63" priority="16">
      <formula>ISNUMBER(D37)</formula>
    </cfRule>
  </conditionalFormatting>
  <conditionalFormatting sqref="D22:W22 D38:W38">
    <cfRule type="expression" dxfId="62" priority="15">
      <formula>ISNUMBER(D21)</formula>
    </cfRule>
  </conditionalFormatting>
  <conditionalFormatting sqref="D21:W21">
    <cfRule type="expression" dxfId="61" priority="14">
      <formula>ISNUMBER(D21)</formula>
    </cfRule>
  </conditionalFormatting>
  <conditionalFormatting sqref="D33:W33">
    <cfRule type="expression" dxfId="60" priority="13">
      <formula>ISNUMBER(D$21)</formula>
    </cfRule>
  </conditionalFormatting>
  <conditionalFormatting sqref="D40:Z41">
    <cfRule type="expression" dxfId="59" priority="12">
      <formula>AND(D$37=AdjustmentPeriodEnd, Receives_reference_trajectory=FALSE)</formula>
    </cfRule>
  </conditionalFormatting>
  <conditionalFormatting sqref="D25:Z25 D27:Z27 D44:Z47">
    <cfRule type="expression" dxfId="58" priority="11">
      <formula>AND(D$37&lt;&gt;"", Receives_reference_trajectory=FALSE)</formula>
    </cfRule>
  </conditionalFormatting>
  <conditionalFormatting sqref="D33">
    <cfRule type="expression" dxfId="57" priority="8">
      <formula>AND(Receives_reference_trajectory=TRUE,D$21&lt;&gt;"")</formula>
    </cfRule>
  </conditionalFormatting>
  <conditionalFormatting sqref="D25:Z25 D29:Z32 D27:Z27">
    <cfRule type="expression" dxfId="56" priority="7">
      <formula>AND(Receives_reference_trajectory=TRUE,D$21&lt;&gt;"")</formula>
    </cfRule>
  </conditionalFormatting>
  <conditionalFormatting sqref="D49:Z52 D29:S32 D44:Z47">
    <cfRule type="expression" dxfId="55" priority="6">
      <formula>AND(Receives_reference_trajectory,D$37&lt;&gt;"")</formula>
    </cfRule>
  </conditionalFormatting>
  <conditionalFormatting sqref="F39:L39">
    <cfRule type="expression" dxfId="0" priority="5">
      <formula>AND(Receives_reference_trajectory,F$38&lt;&gt;"")</formula>
    </cfRule>
  </conditionalFormatting>
  <conditionalFormatting sqref="D54:Z62">
    <cfRule type="expression" dxfId="54" priority="4">
      <formula>AND(D$37&gt;AdjustmentPeriodEnd,D$37&lt;=StochasticLastYear,Receives_reference_trajectory)</formula>
    </cfRule>
  </conditionalFormatting>
  <conditionalFormatting sqref="D63:Z63">
    <cfRule type="expression" dxfId="53" priority="3">
      <formula>AND(D$37&gt;AdjustmentPeriodEnd,D$37&lt;=StochasticLastYear,Receives_reference_trajectory)</formula>
    </cfRule>
  </conditionalFormatting>
  <conditionalFormatting sqref="O6">
    <cfRule type="expression" dxfId="52" priority="759">
      <formula>ISNUMBER(AA14)</formula>
    </cfRule>
  </conditionalFormatting>
  <conditionalFormatting sqref="D29:W33">
    <cfRule type="expression" dxfId="51" priority="1">
      <formula>NOT(Receives_reference_trajectory)</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654</v>
      </c>
      <c r="D2" s="3"/>
    </row>
    <row r="3" spans="2:5" ht="15" customHeight="1" x14ac:dyDescent="0.4">
      <c r="B3" t="s">
        <v>328</v>
      </c>
      <c r="C3" t="s">
        <v>329</v>
      </c>
      <c r="D3" s="52" t="s">
        <v>23</v>
      </c>
      <c r="E3" s="10" t="str">
        <f t="shared" ref="E3:E5" si="0">HYPERLINK("#"&amp;ADDRESS(ROW(),COLUMN()-1),CHAR(128))</f>
        <v>€</v>
      </c>
    </row>
    <row r="4" spans="2:5" x14ac:dyDescent="0.4">
      <c r="B4" t="s">
        <v>937</v>
      </c>
      <c r="D4" s="52" t="s">
        <v>23</v>
      </c>
      <c r="E4" s="10" t="str">
        <f t="shared" si="0"/>
        <v>€</v>
      </c>
    </row>
    <row r="5" spans="2:5" x14ac:dyDescent="0.4">
      <c r="B5" t="s">
        <v>944</v>
      </c>
      <c r="D5" s="52" t="s">
        <v>23</v>
      </c>
      <c r="E5" s="10" t="str">
        <f t="shared" si="0"/>
        <v>€</v>
      </c>
    </row>
    <row r="6" spans="2:5" x14ac:dyDescent="0.4">
      <c r="D6" s="53"/>
    </row>
    <row r="7" spans="2:5" ht="18" x14ac:dyDescent="0.55000000000000004">
      <c r="B7" s="50" t="s">
        <v>655</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656</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657</v>
      </c>
    </row>
    <row r="46" spans="2:5" x14ac:dyDescent="0.4">
      <c r="B46" s="137" t="s">
        <v>460</v>
      </c>
      <c r="D46" s="52" t="s">
        <v>23</v>
      </c>
      <c r="E46" s="10" t="str">
        <f t="shared" ref="E46"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8" width="12.42578125" style="22" customWidth="1"/>
    <col min="9" max="10" width="12" style="22" customWidth="1"/>
    <col min="11" max="11" width="15.28515625" style="22" customWidth="1"/>
    <col min="12" max="12" width="60" style="22" customWidth="1"/>
    <col min="13" max="20" width="9.7109375" style="22" customWidth="1"/>
    <col min="21" max="16384" width="9" style="22"/>
  </cols>
  <sheetData>
    <row r="1" spans="1:27" ht="48.75" customHeight="1" x14ac:dyDescent="1">
      <c r="A1" s="20"/>
      <c r="B1" s="77" t="str">
        <f>Country&amp;"'s adherence to Regulation (EU) 2024/1263 and associated guidance"</f>
        <v>Select country's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3"/>
      <c r="L3" s="174"/>
      <c r="M3" s="25"/>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4"/>
      <c r="L4" s="158"/>
      <c r="M4" s="157"/>
    </row>
    <row r="5" spans="1:27" x14ac:dyDescent="0.45">
      <c r="A5" s="20"/>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134"/>
      <c r="D5" s="31"/>
      <c r="E5" s="31"/>
      <c r="F5" s="31"/>
      <c r="G5" s="31"/>
      <c r="H5" s="31"/>
      <c r="I5" s="31"/>
      <c r="J5" s="31"/>
      <c r="K5" s="31"/>
      <c r="L5" s="174"/>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Select country has not requested an extension of the adjustment period; the adjustment period is the four years 2025 to 2028.</v>
      </c>
      <c r="C6" s="134"/>
      <c r="D6" s="31"/>
      <c r="E6" s="31"/>
      <c r="F6" s="31"/>
      <c r="G6" s="31"/>
      <c r="H6" s="31"/>
      <c r="I6" s="31"/>
      <c r="J6" s="31"/>
      <c r="K6" s="31"/>
      <c r="L6" s="174"/>
      <c r="M6" s="20"/>
      <c r="Q6" s="26"/>
      <c r="R6" s="26"/>
      <c r="S6" s="26"/>
      <c r="T6" s="26"/>
      <c r="U6" s="26"/>
      <c r="V6" s="26"/>
      <c r="W6" s="26"/>
      <c r="X6" s="26"/>
      <c r="Y6" s="21"/>
      <c r="Z6" s="21"/>
    </row>
    <row r="7" spans="1:27" x14ac:dyDescent="0.45">
      <c r="A7" s="20"/>
      <c r="B7" s="134" t="str" cm="1">
        <f t="array" ref="B7">CHAR(149)&amp;" "&amp;
_xlfn.LET(
  _xlpm.rng, 'Step 1 - Set global parameters'!B23:H23,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C7" s="134"/>
      <c r="D7" s="31"/>
      <c r="E7" s="31"/>
      <c r="F7" s="31"/>
      <c r="G7" s="31"/>
      <c r="H7" s="31"/>
      <c r="I7" s="31"/>
      <c r="J7" s="31"/>
      <c r="K7" s="31"/>
      <c r="L7" s="174"/>
      <c r="M7" s="20"/>
      <c r="Q7" s="26"/>
      <c r="R7" s="26"/>
      <c r="S7" s="26"/>
      <c r="T7" s="26"/>
      <c r="U7" s="26"/>
      <c r="V7" s="26"/>
      <c r="W7" s="26"/>
      <c r="X7" s="26"/>
      <c r="Y7" s="21"/>
      <c r="Z7" s="21"/>
    </row>
    <row r="8" spans="1:27" x14ac:dyDescent="0.45">
      <c r="A8" s="21"/>
      <c r="B8" s="134" t="str">
        <f>CHAR(149)&amp;" "&amp;IF('Step 1 - Set global parameters'!B31,
  IF('Step 1 - Set global parameters'!B33,
    Country&amp;" is subject to both an excessive deficit procedure and an excessive debt procedure.",
    Country&amp;" is subject to an excessive deficit procedure."),
  IF('Step 1 - Set global parameters'!B33,
    Country&amp;" is subject to an excessive debt procedure.",
    Country&amp;" is not currently subject to any excessive deficit or debt procedure."))</f>
        <v>• Select country is not currently subject to any excessive deficit or debt procedure.</v>
      </c>
    </row>
    <row r="9" spans="1:27" ht="25.9" customHeight="1" x14ac:dyDescent="0.7">
      <c r="A9" s="112"/>
      <c r="B9" s="50" t="s">
        <v>954</v>
      </c>
      <c r="C9" s="50"/>
      <c r="D9" s="75"/>
      <c r="E9" s="27"/>
    </row>
    <row r="10" spans="1:27" ht="19.149999999999999" customHeight="1" x14ac:dyDescent="0.7">
      <c r="A10" s="112" t="s">
        <v>394</v>
      </c>
      <c r="B10" s="78" t="s">
        <v>935</v>
      </c>
      <c r="C10" s="78" t="s">
        <v>951</v>
      </c>
      <c r="D10" s="75" t="str">
        <f>IF(E10="At risk","⚠",IF(E10="Compliant","☑",IF(E10="Breach","⮽","☐")))</f>
        <v>☑</v>
      </c>
      <c r="E10" s="27" t="str">
        <f>IF(Assessment!$C$211,"Compliant","Breach")</f>
        <v>Compliant</v>
      </c>
      <c r="F10" s="22" t="str">
        <f>Assessment!C212</f>
        <v>The Select IFI has concluded that the MTP's alternative macroeconomic assumptions are based on sound and data-driven arguments and are plausible.</v>
      </c>
    </row>
    <row r="11" spans="1:27" ht="19.149999999999999" customHeight="1" x14ac:dyDescent="0.7">
      <c r="A11" s="112" t="s">
        <v>395</v>
      </c>
      <c r="B11" s="78" t="s">
        <v>518</v>
      </c>
      <c r="C11" s="78" t="s">
        <v>949</v>
      </c>
      <c r="D11" s="75" t="str">
        <f>IF(E11="At risk","⚠",IF(E11="Compliant","☑",IF(E11="Breach","⮽","☐")))</f>
        <v>☑</v>
      </c>
      <c r="E11" s="27" t="str">
        <f>IF(Assessment!$C$215,"Compliant","Breach")</f>
        <v>Compliant</v>
      </c>
      <c r="F11" s="22" t="str">
        <f>Assessment!C216</f>
        <v>The Select IFI has concluded that the plan contains all information required by Article 13 of Regulation (EU) 2024/1263.</v>
      </c>
    </row>
    <row r="12" spans="1:27" ht="19.149999999999999" customHeight="1" x14ac:dyDescent="0.7">
      <c r="A12" s="112" t="s">
        <v>396</v>
      </c>
      <c r="B12" s="78" t="s">
        <v>530</v>
      </c>
      <c r="C12" s="78" t="s">
        <v>950</v>
      </c>
      <c r="D12" s="75" t="str">
        <f>IF(E12="At risk","⚠",IF(E12="Compliant","☑",IF(E12="Breach","⮽","☐")))</f>
        <v>☐</v>
      </c>
      <c r="E12" s="27" t="str">
        <f>IF(
  AdjustmentPeriod=7,
  IF(Assessment!C220, "Compliant", "Breach"),
  "N/A"
)</f>
        <v>N/A</v>
      </c>
      <c r="F12" s="22" t="str">
        <f>Assessment!C221</f>
        <v>Not applicable. Select country has not requested an extension of the adjustment period.</v>
      </c>
    </row>
    <row r="13" spans="1:27" ht="19.149999999999999" customHeight="1" x14ac:dyDescent="0.7">
      <c r="A13" s="112"/>
      <c r="B13" s="252" t="s">
        <v>969</v>
      </c>
      <c r="D13" s="75"/>
      <c r="E13" s="27"/>
    </row>
    <row r="14" spans="1:27" ht="19.149999999999999" customHeight="1" x14ac:dyDescent="0.7">
      <c r="A14" s="112" t="s">
        <v>397</v>
      </c>
      <c r="B14" s="78" t="s">
        <v>517</v>
      </c>
      <c r="C14" s="78" t="s">
        <v>970</v>
      </c>
      <c r="D14" s="75" t="str">
        <f>IF(E14="At risk","⚠",IF(E14="Compliant","☑",IF(E14="Breach","⮽","☐")))</f>
        <v>☐</v>
      </c>
      <c r="E14" s="27" t="str">
        <f>_xlfn.IFNA(
  IF(
    NOT(Receives_reference_trajectory),
    "N/A",
    IF(
      NOT(Assessment!$C$229),
      "Compliant",
      IF(
        Assessment!$C$230,
        "Compliant",
        "Breach"
      )
    )
  ),
  "N/A"
)</f>
        <v>N/A</v>
      </c>
      <c r="F14" s="22" t="str">
        <f>Assessment!C231</f>
        <v>N/A</v>
      </c>
    </row>
    <row r="15" spans="1:27" ht="19.149999999999999" customHeight="1" x14ac:dyDescent="0.7">
      <c r="A15" s="112" t="s">
        <v>398</v>
      </c>
      <c r="B15" s="78" t="s">
        <v>964</v>
      </c>
      <c r="C15" s="78" t="s">
        <v>970</v>
      </c>
      <c r="D15" s="75" t="str">
        <f>IF(E15="At risk","⚠",IF(E15="Compliant","☑",IF(E15="Breach","⮽","☐")))</f>
        <v>☑</v>
      </c>
      <c r="E15" s="27" t="str">
        <f>IF(Receives_reference_trajectory,IF(Assessment!C237,"Compliant","Breach"),IF(Assessment!C247,"Compliant","Breach"))</f>
        <v>Compliant</v>
      </c>
      <c r="F15" s="22" t="str">
        <f>IF(Receives_reference_trajectory,Assessment!C238,Assessment!C248)</f>
        <v>The net expenditure path in Select country's latest MTP adheres to the Commission's reference trajectory.</v>
      </c>
    </row>
    <row r="16" spans="1:27" ht="19.149999999999999" customHeight="1" x14ac:dyDescent="0.7">
      <c r="A16" s="112" t="s">
        <v>399</v>
      </c>
      <c r="B16" s="78" t="s">
        <v>594</v>
      </c>
      <c r="C16" s="78" t="s">
        <v>965</v>
      </c>
      <c r="D16" s="75" t="str">
        <f t="shared" ref="D16:D19" si="0">IF(E16="At risk","⚠",IF(E16="Compliant","☑",IF(E16="Breach","⮽","☐")))</f>
        <v>☑</v>
      </c>
      <c r="E16" s="27" t="str">
        <f>IF(Receives_reference_trajectory,IF(Assessment!C260,"Compliant","Breach"),IF(Assessment!C264,"Compliant","Breach"))</f>
        <v>Compliant</v>
      </c>
      <c r="F16" s="22" t="str">
        <f>IF(Receives_reference_trajectory,Assessment!$C$261,Assessment!$C$265)</f>
        <v>Select country's planned net expenditure ensures gross government debt remains at prudent levels below 60% over the medium-term.</v>
      </c>
    </row>
    <row r="17" spans="1:34" ht="19.149999999999999" customHeight="1" x14ac:dyDescent="0.7">
      <c r="A17" s="112" t="s">
        <v>400</v>
      </c>
      <c r="B17" s="78" t="s">
        <v>595</v>
      </c>
      <c r="C17" s="78" t="s">
        <v>965</v>
      </c>
      <c r="D17" s="75" t="str">
        <f t="shared" si="0"/>
        <v>☑</v>
      </c>
      <c r="E17" s="27" t="str">
        <f>IF(Receives_reference_trajectory,IF(Assessment!C270,"Compliant","Breach"),IF(Assessment!C274,"Compliant","Breach"))</f>
        <v>Compliant</v>
      </c>
      <c r="F17" s="22" t="str">
        <f>IF(Receives_reference_trajectory,Assessment!$C$271,Assessment!$C$278)</f>
        <v>Select country's net expenditure path maintains the government deficit below 3% of GDP throughout the adjustment period and over the medium term.</v>
      </c>
    </row>
    <row r="18" spans="1:34" ht="19.149999999999999" customHeight="1" x14ac:dyDescent="0.7">
      <c r="A18" s="112" t="s">
        <v>401</v>
      </c>
      <c r="B18" s="78" t="s">
        <v>500</v>
      </c>
      <c r="C18" s="78" t="s">
        <v>971</v>
      </c>
      <c r="D18" s="75" t="str">
        <f t="shared" si="0"/>
        <v>☑</v>
      </c>
      <c r="E18" s="27" t="str">
        <f>IF(Receives_reference_trajectory,IF(Assessment!C289,"Compliant","Breach"),"N/A")</f>
        <v>Compliant</v>
      </c>
      <c r="F18" s="22" t="str">
        <f>Assessment!C291</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row>
    <row r="19" spans="1:34" ht="19.149999999999999" customHeight="1" x14ac:dyDescent="0.7">
      <c r="A19" s="112" t="s">
        <v>402</v>
      </c>
      <c r="B19" s="78" t="s">
        <v>290</v>
      </c>
      <c r="C19" s="78" t="s">
        <v>966</v>
      </c>
      <c r="D19" s="75" t="str">
        <f t="shared" si="0"/>
        <v>☐</v>
      </c>
      <c r="E19" s="78" t="str">
        <f>_xlfn.IFNA(IF(Assessment!C302,"Compliant",IF(NOT(Assessment!C311),"Breach")),"N/A")</f>
        <v>N/A</v>
      </c>
      <c r="F19" s="22" t="str">
        <f>Assessment!C303</f>
        <v>The Council has not opened an excessive deficit procedure against Select country.</v>
      </c>
    </row>
    <row r="20" spans="1:34" ht="19.149999999999999" customHeight="1" x14ac:dyDescent="0.7">
      <c r="A20" s="112"/>
      <c r="B20" s="252" t="s">
        <v>936</v>
      </c>
      <c r="C20" s="252"/>
      <c r="D20" s="75"/>
      <c r="E20" s="78"/>
    </row>
    <row r="21" spans="1:34" ht="19.149999999999999" customHeight="1" x14ac:dyDescent="0.7">
      <c r="A21" s="112" t="s">
        <v>403</v>
      </c>
      <c r="B21" s="78" t="s">
        <v>459</v>
      </c>
      <c r="C21" s="78" t="s">
        <v>967</v>
      </c>
      <c r="D21" s="75" t="str">
        <f t="shared" ref="D21:D22" si="1">IF(E21="At risk","⚠",IF(E21="Compliant","☑",IF(E21="Breach","⮽","☐")))</f>
        <v>☐</v>
      </c>
      <c r="E21" s="27" t="str">
        <f>IF(
  NOT(Receives_reference_trajectory),
  "N/A",
  IF(
    OR(Assessment!C308, Assessment!C309),
    IF(
      OR(
        IF(Assessment!C308,NOT(Assessment!C310), FALSE),
        IF(Assessment!C309,NOT(Assessment!C311), FALSE)
      ),
      "Breach",
      "Compliant"
    ),
    "The debt sustainability safeguard does not apply."
  )
)</f>
        <v>The debt sustainability safeguard does not apply.</v>
      </c>
      <c r="F21" s="22" t="str">
        <f>Assessment!C314</f>
        <v>The debt sustainability safeguard does not apply as Select country's debt is below 60%.</v>
      </c>
    </row>
    <row r="22" spans="1:34" ht="19.149999999999999" customHeight="1" x14ac:dyDescent="0.7">
      <c r="A22" s="112" t="s">
        <v>404</v>
      </c>
      <c r="B22" s="78" t="s">
        <v>603</v>
      </c>
      <c r="C22" s="78" t="s">
        <v>968</v>
      </c>
      <c r="D22" s="75" t="str">
        <f t="shared" si="1"/>
        <v>☐</v>
      </c>
      <c r="E22" s="27" t="str">
        <f>IF(
  NOT(Receives_reference_trajectory),
  "N/A",
  IF(
    OR(Assessment!C323=FALSE, ISNA(Assessment!C325)),
    "N/A",
    IF(Assessment!C325, "Compliant", "Breach")
  )
)</f>
        <v>N/A</v>
      </c>
      <c r="F22" s="22" t="str">
        <f>Assessment!C327</f>
        <v>The deficit resilience safeguard does not apply, as the structural deficit does not exceed 1.5% of GDP during the adjustment period.</v>
      </c>
    </row>
    <row r="23" spans="1:34" ht="19.149999999999999" customHeight="1" x14ac:dyDescent="0.7">
      <c r="A23" s="112" t="s">
        <v>461</v>
      </c>
      <c r="B23" s="78" t="s">
        <v>716</v>
      </c>
      <c r="C23" s="78" t="s">
        <v>972</v>
      </c>
      <c r="D23" s="75" t="str">
        <f>IF(E23="At risk","⚠",IF(E23="Compliant","☑",IF(E23="Breach","⮽","☐")))</f>
        <v>☑</v>
      </c>
      <c r="E23" s="78" t="str">
        <f>IF(
  Receives_reference_trajectory,
  IF(
    OR(ISNA(Assessment!C331), ISNA(Assessment!C332)),
    "N/A",
    IF(
      Assessment!C332 &gt;= Assessment!C331,
      "Compliant",
      IF(
        EscapeClauseActivated,
        "At risk",
        "At risk"
      )
    )
  ),
  IF(
    ISNA(Assessment!$C$343),
    "N/A",
    IF(
      Assessment!$C$343,
      "Compliant",
      "Breach"
    )
  )
)</f>
        <v>Compliant</v>
      </c>
      <c r="F23" s="22" t="str">
        <f>_xlfn.IFNA(IF(Receives_reference_trajectory,Assessment!C337,Assessment!C346),"N/A")</f>
        <v>N/A</v>
      </c>
    </row>
    <row r="24" spans="1:34" ht="19.149999999999999" customHeight="1" x14ac:dyDescent="0.7">
      <c r="A24" s="112"/>
      <c r="B24" s="252" t="s">
        <v>945</v>
      </c>
      <c r="C24" s="252"/>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IF(Receives_reference_trajectory,Assessment!C351,Assessment!C355)</f>
        <v>The net expenditure path in Select country's latest MTP adheres to the Commission's reference trajectory and it meets all requirements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50" priority="782">
      <formula>E10="Caution"</formula>
    </cfRule>
    <cfRule type="expression" dxfId="49" priority="783">
      <formula>E10="Breach"</formula>
    </cfRule>
    <cfRule type="expression" dxfId="48" priority="784">
      <formula>E10="Compliant"</formula>
    </cfRule>
    <cfRule type="expression" dxfId="47" priority="785">
      <formula>AND(E10&lt;&gt;"Compliant", E10&lt;&gt;"Caution", E10&lt;&gt;"Breach")</formula>
    </cfRule>
  </conditionalFormatting>
  <conditionalFormatting sqref="B25:AH25">
    <cfRule type="expression" dxfId="46" priority="790">
      <formula>$E$25="Compliant"</formula>
    </cfRule>
    <cfRule type="expression" dxfId="45" priority="791">
      <formula>$E$25="Caution"</formula>
    </cfRule>
    <cfRule type="expression" dxfId="44" priority="792">
      <formula>$E$25="Breach"</formula>
    </cfRule>
  </conditionalFormatting>
  <conditionalFormatting sqref="D9:D10">
    <cfRule type="expression" dxfId="43" priority="848">
      <formula>#REF!="No"</formula>
    </cfRule>
    <cfRule type="expression" dxfId="42"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M4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55"/>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871</v>
      </c>
    </row>
    <row r="2" spans="2:23" customFormat="1" ht="23.25" x14ac:dyDescent="0.7">
      <c r="B2" s="13" t="str">
        <f>"Latest outturn data to "&amp;OutturnThrough&amp;IF(OutturnThrough=AssessmentEnd,""," and "&amp;ScenarioName)</f>
        <v>Latest outturn data to 2025</v>
      </c>
    </row>
    <row r="3" spans="2:23" customFormat="1" ht="15.75" x14ac:dyDescent="0.5">
      <c r="B3" s="79"/>
    </row>
    <row r="4" spans="2:23" customFormat="1" ht="14.65" customHeight="1" x14ac:dyDescent="0.4">
      <c r="B4" s="39" t="s">
        <v>251</v>
      </c>
      <c r="C4" s="94"/>
      <c r="D4" s="44" cm="1">
        <f t="array" ref="D4:F4">_xlfn.SEQUENCE(1, AssessmentEnd-MTP_BaseYear+1, MTP_BaseYear)</f>
        <v>2023</v>
      </c>
      <c r="E4" s="44">
        <v>2024</v>
      </c>
      <c r="F4" s="44">
        <v>2025</v>
      </c>
      <c r="G4" s="44"/>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F5">IF(
  AND(_xlfn.ANCHORARRAY(D4)&gt;=MTP_YearT-1,_xlfn.ANCHORARRAY( D4)&lt;=MTP_EndYear),
  CHOOSE(SIGN(_xlfn.ANCHORARRAY(D4)-MTP_YearT)+2, "T-1", "T", "T+"&amp;(_xlfn.ANCHORARRAY(D4)-MTP_YearT)),
  ""
)</f>
        <v>T-1</v>
      </c>
      <c r="E5" s="47" t="str">
        <v>T</v>
      </c>
      <c r="F5" s="47" t="str">
        <v>T+1</v>
      </c>
      <c r="G5" s="47"/>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0</v>
      </c>
      <c r="E6" s="155">
        <f>IF(E$4&lt;=OutturnThrough,IF(ISNUMBER('Step 2 - Update outturn data'!F6),'Step 2 - Update outturn data'!F6,""),IF(ISNUMBER('Step 3 (IMPL) - Enter outlook'!E8),'Step 3 (IMPL) - Enter outlook'!E8,""))</f>
        <v>0</v>
      </c>
      <c r="F6" s="155">
        <f>IF(F$4&lt;=OutturnThrough,IF(ISNUMBER('Step 2 - Update outturn data'!G6),'Step 2 - Update outturn data'!G6,""),IF(ISNUMBER('Step 3 (IMPL) - Enter outlook'!F8),'Step 3 (IMPL) - Enter outlook'!F8,""))</f>
        <v>0</v>
      </c>
      <c r="G6" s="155" t="str">
        <f>IF(G$4&lt;=OutturnThrough,IF(ISNUMBER('Step 2 - Update outturn data'!H6),'Step 2 - Update outturn data'!H6,""),IF(ISNUMBER('Step 3 (IMPL) - Enter outlook'!G8),'Step 3 (IMPL) - Enter outlook'!G8,""))</f>
        <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v>
      </c>
      <c r="E7" s="155">
        <f>IF(E$4&lt;=OutturnThrough,IF(ISNUMBER('Step 2 - Update outturn data'!F7),'Step 2 - Update outturn data'!F7,""),IF(ISNUMBER('Step 3 (IMPL) - Enter outlook'!E9),'Step 3 (IMPL) - Enter outlook'!E9,""))</f>
        <v>0</v>
      </c>
      <c r="F7" s="155">
        <f>IF(F$4&lt;=OutturnThrough,IF(ISNUMBER('Step 2 - Update outturn data'!G7),'Step 2 - Update outturn data'!G7,""),IF(ISNUMBER('Step 3 (IMPL) - Enter outlook'!F9),'Step 3 (IMPL) - Enter outlook'!F9,""))</f>
        <v>0</v>
      </c>
      <c r="G7" s="155" t="str">
        <f>IF(G$4&lt;=OutturnThrough,IF(ISNUMBER('Step 2 - Update outturn data'!H7),'Step 2 - Update outturn data'!H7,""),IF(ISNUMBER('Step 3 (IMPL) - Enter outlook'!G9),'Step 3 (IMPL) - Enter outlook'!G9,""))</f>
        <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0</v>
      </c>
      <c r="E8" s="155">
        <f>IF(E$4&lt;=OutturnThrough,IF(ISNUMBER('Step 2 - Update outturn data'!F8),'Step 2 - Update outturn data'!F8,""),IF(ISNUMBER('Step 3 (IMPL) - Enter outlook'!E10),'Step 3 (IMPL) - Enter outlook'!E10,""))</f>
        <v>0</v>
      </c>
      <c r="F8" s="155">
        <f>IF(F$4&lt;=OutturnThrough,IF(ISNUMBER('Step 2 - Update outturn data'!G8),'Step 2 - Update outturn data'!G8,""),IF(ISNUMBER('Step 3 (IMPL) - Enter outlook'!F10),'Step 3 (IMPL) - Enter outlook'!F10,""))</f>
        <v>0</v>
      </c>
      <c r="G8" s="155" t="str">
        <f>IF(G$4&lt;=OutturnThrough,IF(ISNUMBER('Step 2 - Update outturn data'!H8),'Step 2 - Update outturn data'!H8,""),IF(ISNUMBER('Step 3 (IMPL) - Enter outlook'!G10),'Step 3 (IMPL) - Enter outlook'!G10,""))</f>
        <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v>
      </c>
      <c r="E9" s="155">
        <f>IF(E$4&lt;=OutturnThrough,IF(ISNUMBER('Step 2 - Update outturn data'!F9),'Step 2 - Update outturn data'!F9,""),IF(ISNUMBER('Step 3 (IMPL) - Enter outlook'!E11),'Step 3 (IMPL) - Enter outlook'!E11,""))</f>
        <v>0</v>
      </c>
      <c r="F9" s="155">
        <f>IF(F$4&lt;=OutturnThrough,IF(ISNUMBER('Step 2 - Update outturn data'!G9),'Step 2 - Update outturn data'!G9,""),IF(ISNUMBER('Step 3 (IMPL) - Enter outlook'!F11),'Step 3 (IMPL) - Enter outlook'!F11,""))</f>
        <v>0</v>
      </c>
      <c r="G9" s="155" t="str">
        <f>IF(G$4&lt;=OutturnThrough,IF(ISNUMBER('Step 2 - Update outturn data'!H9),'Step 2 - Update outturn data'!H9,""),IF(ISNUMBER('Step 3 (IMPL) - Enter outlook'!G11),'Step 3 (IMPL) - Enter outlook'!G11,""))</f>
        <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v>
      </c>
      <c r="E10" s="155">
        <f>IF(E$4&lt;=OutturnThrough,IF(ISNUMBER('Step 2 - Update outturn data'!F10),'Step 2 - Update outturn data'!F10,""),IF(ISNUMBER('Step 3 (IMPL) - Enter outlook'!E12),'Step 3 (IMPL) - Enter outlook'!E12,""))</f>
        <v>0</v>
      </c>
      <c r="F10" s="155">
        <f>IF(F$4&lt;=OutturnThrough,IF(ISNUMBER('Step 2 - Update outturn data'!G10),'Step 2 - Update outturn data'!G10,""),IF(ISNUMBER('Step 3 (IMPL) - Enter outlook'!F12),'Step 3 (IMPL) - Enter outlook'!F12,""))</f>
        <v>0</v>
      </c>
      <c r="G10" s="155" t="str">
        <f>IF(G$4&lt;=OutturnThrough,IF(ISNUMBER('Step 2 - Update outturn data'!H10),'Step 2 - Update outturn data'!H10,""),IF(ISNUMBER('Step 3 (IMPL) - Enter outlook'!G12),'Step 3 (IMPL) - Enter outlook'!G12,""))</f>
        <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t="str">
        <f>IF(G$4&lt;=OutturnThrough,IF(ISNUMBER('Step 2 - Update outturn data'!H11),'Step 2 - Update outturn data'!H11,""),IF(ISNUMBER('Step 3 (IMPL) - Enter outlook'!G13),'Step 3 (IMPL) - Enter outlook'!G13,""))</f>
        <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0</v>
      </c>
      <c r="E12" s="155">
        <f>IF(E$4&lt;=OutturnThrough,IF(ISNUMBER('Step 2 - Update outturn data'!F12),'Step 2 - Update outturn data'!F12,""),IF(ISNUMBER('Step 3 (IMPL) - Enter outlook'!E14),'Step 3 (IMPL) - Enter outlook'!E14,""))</f>
        <v>0</v>
      </c>
      <c r="F12" s="155">
        <f>IF(F$4&lt;=OutturnThrough,IF(ISNUMBER('Step 2 - Update outturn data'!G12),'Step 2 - Update outturn data'!G12,""),IF(ISNUMBER('Step 3 (IMPL) - Enter outlook'!F14),'Step 3 (IMPL) - Enter outlook'!F14,""))</f>
        <v>0</v>
      </c>
      <c r="G12" s="155" t="str">
        <f>IF(G$4&lt;=OutturnThrough,IF(ISNUMBER('Step 2 - Update outturn data'!H12),'Step 2 - Update outturn data'!H12,""),IF(ISNUMBER('Step 3 (IMPL) - Enter outlook'!G14),'Step 3 (IMPL) - Enter outlook'!G14,""))</f>
        <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607</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v>
      </c>
      <c r="F13" s="155">
        <f>IF(F$4&lt;=OutturnThrough,IF(ISNUMBER('Step 2 - Update outturn data'!G13),'Step 2 - Update outturn data'!G13,""),IF(ISNUMBER('Step 3 (IMPL) - Enter outlook'!F15),'Step 3 (IMPL) - Enter outlook'!F15,""))</f>
        <v>0</v>
      </c>
      <c r="G13" s="155" t="str">
        <f>IF(G$4&lt;=OutturnThrough,IF(ISNUMBER('Step 2 - Update outturn data'!H13),'Step 2 - Update outturn data'!H13,""),IF(ISNUMBER('Step 3 (IMPL) - Enter outlook'!G15),'Step 3 (IMPL) - Enter outlook'!G15,""))</f>
        <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609</v>
      </c>
      <c r="C14" s="44" t="s">
        <v>6</v>
      </c>
      <c r="D14" s="155">
        <f>IF(D$4&lt;=OutturnThrough,IF(ISNUMBER('Step 2 - Update outturn data'!E14),'Step 2 - Update outturn data'!E14,""),IF(ISNUMBER('Step 3 (IMPL) - Enter outlook'!D16),'Step 3 (IMPL) - Enter outlook'!D16,""))</f>
        <v>0</v>
      </c>
      <c r="E14" s="155">
        <f>IF(E$4&lt;=OutturnThrough,IF(ISNUMBER('Step 2 - Update outturn data'!F14),'Step 2 - Update outturn data'!F14,""),IF(ISNUMBER('Step 3 (IMPL) - Enter outlook'!E16),'Step 3 (IMPL) - Enter outlook'!E16,""))</f>
        <v>0</v>
      </c>
      <c r="F14" s="155">
        <f>IF(F$4&lt;=OutturnThrough,IF(ISNUMBER('Step 2 - Update outturn data'!G14),'Step 2 - Update outturn data'!G14,""),IF(ISNUMBER('Step 3 (IMPL) - Enter outlook'!F16),'Step 3 (IMPL) - Enter outlook'!F16,""))</f>
        <v>0</v>
      </c>
      <c r="G14" s="155" t="str">
        <f>IF(G$4&lt;=OutturnThrough,IF(ISNUMBER('Step 2 - Update outturn data'!H14),'Step 2 - Update outturn data'!H14,""),IF(ISNUMBER('Step 3 (IMPL) - Enter outlook'!G16),'Step 3 (IMPL) - Enter outlook'!G16,""))</f>
        <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645</v>
      </c>
      <c r="D15" s="155" t="str">
        <f>IF(D$4&lt;=OutturnThrough,IF(ISNUMBER('Step 2 - Update outturn data'!E15),'Step 2 - Update outturn data'!E15,""),IF(ISNUMBER('Step 3 (IMPL) - Enter outlook'!D17),'Step 3 (IMPL) - Enter outlook'!D17,""))</f>
        <v/>
      </c>
      <c r="E15" s="155" t="str">
        <f>IF(E$4&lt;=OutturnThrough,IF(ISNUMBER('Step 2 - Update outturn data'!F15),'Step 2 - Update outturn data'!F15,""),IF(ISNUMBER('Step 3 (IMPL) - Enter outlook'!E17),'Step 3 (IMPL) - Enter outlook'!E17,""))</f>
        <v/>
      </c>
      <c r="F15" s="155" t="str">
        <f>IF(F$4&lt;=OutturnThrough,IF(ISNUMBER('Step 2 - Update outturn data'!G15),'Step 2 - Update outturn data'!G15,""),IF(ISNUMBER('Step 3 (IMPL) - Enter outlook'!F17),'Step 3 (IMPL) - Enter outlook'!F17,""))</f>
        <v/>
      </c>
      <c r="G15" s="155" t="str">
        <f>IF(G$4&lt;=OutturnThrough,IF(ISNUMBER('Step 2 - Update outturn data'!H15),'Step 2 - Update outturn data'!H15,""),IF(ISNUMBER('Step 3 (IMPL) - Enter outlook'!G17),'Step 3 (IMPL) - Enter outlook'!G17,""))</f>
        <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645</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0</v>
      </c>
      <c r="F16" s="155">
        <f>IF(F$4&lt;=OutturnThrough,IF(ISNUMBER('Step 2 - Update outturn data'!G16),'Step 2 - Update outturn data'!G16,""),IF(ISNUMBER('Step 3 (IMPL) - Enter outlook'!F18),'Step 3 (IMPL) - Enter outlook'!F18,""))</f>
        <v>0</v>
      </c>
      <c r="G16" s="155" t="str">
        <f>IF(G$4&lt;=OutturnThrough,IF(ISNUMBER('Step 2 - Update outturn data'!H16),'Step 2 - Update outturn data'!H16,""),IF(ISNUMBER('Step 3 (IMPL) - Enter outlook'!G18),'Step 3 (IMPL) - Enter outlook'!G18,""))</f>
        <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614</v>
      </c>
      <c r="D17" s="155" t="str">
        <f>IF(D$4&lt;=OutturnThrough,IF(ISNUMBER('Step 2 - Update outturn data'!E17),'Step 2 - Update outturn data'!E17,""),IF(ISNUMBER('Step 3 (IMPL) - Enter outlook'!D19),'Step 3 (IMPL) - Enter outlook'!D19,""))</f>
        <v/>
      </c>
      <c r="E17" s="155" t="str">
        <f>IF(E$4&lt;=OutturnThrough,IF(ISNUMBER('Step 2 - Update outturn data'!F17),'Step 2 - Update outturn data'!F17,""),IF(ISNUMBER('Step 3 (IMPL) - Enter outlook'!E19),'Step 3 (IMPL) - Enter outlook'!E19,""))</f>
        <v/>
      </c>
      <c r="F17" s="155" t="str">
        <f>IF(F$4&lt;=OutturnThrough,IF(ISNUMBER('Step 2 - Update outturn data'!G17),'Step 2 - Update outturn data'!G17,""),IF(ISNUMBER('Step 3 (IMPL) - Enter outlook'!F19),'Step 3 (IMPL) - Enter outlook'!F19,""))</f>
        <v/>
      </c>
      <c r="G17" s="155" t="str">
        <f>IF(G$4&lt;=OutturnThrough,IF(ISNUMBER('Step 2 - Update outturn data'!H17),'Step 2 - Update outturn data'!H17,""),IF(ISNUMBER('Step 3 (IMPL) - Enter outlook'!G19),'Step 3 (IMPL) - Enter outlook'!G19,""))</f>
        <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614</v>
      </c>
      <c r="D18" s="155">
        <f>IF(D$4&lt;=OutturnThrough,IF(ISNUMBER('Step 2 - Update outturn data'!E18),'Step 2 - Update outturn data'!E18,""),IF(ISNUMBER('Step 3 (IMPL) - Enter outlook'!D20),'Step 3 (IMPL) - Enter outlook'!D20,""))</f>
        <v>0</v>
      </c>
      <c r="E18" s="155">
        <f>IF(E$4&lt;=OutturnThrough,IF(ISNUMBER('Step 2 - Update outturn data'!F18),'Step 2 - Update outturn data'!F18,""),IF(ISNUMBER('Step 3 (IMPL) - Enter outlook'!E20),'Step 3 (IMPL) - Enter outlook'!E20,""))</f>
        <v>0</v>
      </c>
      <c r="F18" s="155">
        <f>IF(F$4&lt;=OutturnThrough,IF(ISNUMBER('Step 2 - Update outturn data'!G18),'Step 2 - Update outturn data'!G18,""),IF(ISNUMBER('Step 3 (IMPL) - Enter outlook'!F20),'Step 3 (IMPL) - Enter outlook'!F20,""))</f>
        <v>0</v>
      </c>
      <c r="G18" s="155" t="str">
        <f>IF(G$4&lt;=OutturnThrough,IF(ISNUMBER('Step 2 - Update outturn data'!H18),'Step 2 - Update outturn data'!H18,""),IF(ISNUMBER('Step 3 (IMPL) - Enter outlook'!G20),'Step 3 (IMPL) - Enter outlook'!G20,""))</f>
        <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614</v>
      </c>
      <c r="D19" s="155">
        <f>IF(D$4&lt;=OutturnThrough,IF(ISNUMBER('Step 2 - Update outturn data'!E19),'Step 2 - Update outturn data'!E19,""),IF(ISNUMBER('Step 3 (IMPL) - Enter outlook'!D21),'Step 3 (IMPL) - Enter outlook'!D21,""))</f>
        <v>0</v>
      </c>
      <c r="E19" s="155">
        <f>IF(E$4&lt;=OutturnThrough,IF(ISNUMBER('Step 2 - Update outturn data'!F19),'Step 2 - Update outturn data'!F19,""),IF(ISNUMBER('Step 3 (IMPL) - Enter outlook'!E21),'Step 3 (IMPL) - Enter outlook'!E21,""))</f>
        <v>0</v>
      </c>
      <c r="F19" s="155">
        <f>IF(F$4&lt;=OutturnThrough,IF(ISNUMBER('Step 2 - Update outturn data'!G19),'Step 2 - Update outturn data'!G19,""),IF(ISNUMBER('Step 3 (IMPL) - Enter outlook'!F21),'Step 3 (IMPL) - Enter outlook'!F21,""))</f>
        <v>0</v>
      </c>
      <c r="G19" s="155" t="str">
        <f>IF(G$4&lt;=OutturnThrough,IF(ISNUMBER('Step 2 - Update outturn data'!H19),'Step 2 - Update outturn data'!H19,""),IF(ISNUMBER('Step 3 (IMPL) - Enter outlook'!G21),'Step 3 (IMPL) - Enter outlook'!G21,""))</f>
        <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614</v>
      </c>
      <c r="D20" s="155" t="str">
        <f>IF(D$4&lt;=OutturnThrough,IF(ISNUMBER('Step 2 - Update outturn data'!E20),'Step 2 - Update outturn data'!E20,""),IF(ISNUMBER('Step 3 (IMPL) - Enter outlook'!D22),'Step 3 (IMPL) - Enter outlook'!D22,""))</f>
        <v/>
      </c>
      <c r="E20" s="155" t="str">
        <f>IF(E$4&lt;=OutturnThrough,IF(ISNUMBER('Step 2 - Update outturn data'!F20),'Step 2 - Update outturn data'!F20,""),IF(ISNUMBER('Step 3 (IMPL) - Enter outlook'!E22),'Step 3 (IMPL) - Enter outlook'!E22,""))</f>
        <v/>
      </c>
      <c r="F20" s="155" t="str">
        <f>IF(F$4&lt;=OutturnThrough,IF(ISNUMBER('Step 2 - Update outturn data'!G20),'Step 2 - Update outturn data'!G20,""),IF(ISNUMBER('Step 3 (IMPL) - Enter outlook'!F22),'Step 3 (IMPL) - Enter outlook'!F22,""))</f>
        <v/>
      </c>
      <c r="G20" s="155" t="str">
        <f>IF(G$4&lt;=OutturnThrough,IF(ISNUMBER('Step 2 - Update outturn data'!H20),'Step 2 - Update outturn data'!H20,""),IF(ISNUMBER('Step 3 (IMPL) - Enter outlook'!G22),'Step 3 (IMPL) - Enter outlook'!G22,""))</f>
        <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614</v>
      </c>
      <c r="D21" s="155" t="str">
        <f>IF(D$4&lt;=OutturnThrough,IF(ISNUMBER('Step 2 - Update outturn data'!E21),'Step 2 - Update outturn data'!E21,""),IF(ISNUMBER('Step 3 (IMPL) - Enter outlook'!D23),'Step 3 (IMPL) - Enter outlook'!D23,""))</f>
        <v/>
      </c>
      <c r="E21" s="155" t="str">
        <f>IF(E$4&lt;=OutturnThrough,IF(ISNUMBER('Step 2 - Update outturn data'!F21),'Step 2 - Update outturn data'!F21,""),IF(ISNUMBER('Step 3 (IMPL) - Enter outlook'!E23),'Step 3 (IMPL) - Enter outlook'!E23,""))</f>
        <v/>
      </c>
      <c r="F21" s="155" t="str">
        <f>IF(F$4&lt;=OutturnThrough,IF(ISNUMBER('Step 2 - Update outturn data'!G21),'Step 2 - Update outturn data'!G21,""),IF(ISNUMBER('Step 3 (IMPL) - Enter outlook'!F23),'Step 3 (IMPL) - Enter outlook'!F23,""))</f>
        <v/>
      </c>
      <c r="G21" s="155" t="str">
        <f>IF(G$4&lt;=OutturnThrough,IF(ISNUMBER('Step 2 - Update outturn data'!H21),'Step 2 - Update outturn data'!H21,""),IF(ISNUMBER('Step 3 (IMPL) - Enter outlook'!G23),'Step 3 (IMPL) - Enter outlook'!G23,""))</f>
        <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644</v>
      </c>
      <c r="D22" s="155" t="str">
        <f>IF(D$4&lt;=OutturnThrough,IF(ISNUMBER('Step 2 - Update outturn data'!E22),'Step 2 - Update outturn data'!E22,""),IF(ISNUMBER('Step 3 (IMPL) - Enter outlook'!D24),'Step 3 (IMPL) - Enter outlook'!D24,""))</f>
        <v/>
      </c>
      <c r="E22" s="155" t="str">
        <f>IF(E$4&lt;=OutturnThrough,IF(ISNUMBER('Step 2 - Update outturn data'!F22),'Step 2 - Update outturn data'!F22,""),IF(ISNUMBER('Step 3 (IMPL) - Enter outlook'!E24),'Step 3 (IMPL) - Enter outlook'!E24,""))</f>
        <v/>
      </c>
      <c r="F22" s="155" t="str">
        <f>IF(F$4&lt;=OutturnThrough,IF(ISNUMBER('Step 2 - Update outturn data'!G22),'Step 2 - Update outturn data'!G22,""),IF(ISNUMBER('Step 3 (IMPL) - Enter outlook'!F24),'Step 3 (IMPL) - Enter outlook'!F24,""))</f>
        <v/>
      </c>
      <c r="G22" s="155" t="str">
        <f>IF(G$4&lt;=OutturnThrough,IF(ISNUMBER('Step 2 - Update outturn data'!H22),'Step 2 - Update outturn data'!H22,""),IF(ISNUMBER('Step 3 (IMPL) - Enter outlook'!G24),'Step 3 (IMPL) - Enter outlook'!G24,""))</f>
        <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644</v>
      </c>
      <c r="D23" s="155" t="str">
        <f>IF(D$4&lt;=OutturnThrough,IF(ISNUMBER('Step 2 - Update outturn data'!E23),'Step 2 - Update outturn data'!E23,""),IF(ISNUMBER('Step 3 (IMPL) - Enter outlook'!D25),'Step 3 (IMPL) - Enter outlook'!D25,""))</f>
        <v/>
      </c>
      <c r="E23" s="155" t="str">
        <f>IF(E$4&lt;=OutturnThrough,IF(ISNUMBER('Step 2 - Update outturn data'!F23),'Step 2 - Update outturn data'!F23,""),IF(ISNUMBER('Step 3 (IMPL) - Enter outlook'!E25),'Step 3 (IMPL) - Enter outlook'!E25,""))</f>
        <v/>
      </c>
      <c r="F23" s="155" t="str">
        <f>IF(F$4&lt;=OutturnThrough,IF(ISNUMBER('Step 2 - Update outturn data'!G23),'Step 2 - Update outturn data'!G23,""),IF(ISNUMBER('Step 3 (IMPL) - Enter outlook'!F25),'Step 3 (IMPL) - Enter outlook'!F25,""))</f>
        <v/>
      </c>
      <c r="G23" s="155" t="str">
        <f>IF(G$4&lt;=OutturnThrough,IF(ISNUMBER('Step 2 - Update outturn data'!H23),'Step 2 - Update outturn data'!H23,""),IF(ISNUMBER('Step 3 (IMPL) - Enter outlook'!G25),'Step 3 (IMPL) - Enter outlook'!G25,""))</f>
        <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644</v>
      </c>
      <c r="D24" s="155" t="str">
        <f>IF(D$4&lt;=OutturnThrough,IF(ISNUMBER('Step 2 - Update outturn data'!E24),'Step 2 - Update outturn data'!E24,""),IF(ISNUMBER('Step 3 (IMPL) - Enter outlook'!D26),'Step 3 (IMPL) - Enter outlook'!D26,""))</f>
        <v/>
      </c>
      <c r="E24" s="155" t="str">
        <f>IF(E$4&lt;=OutturnThrough,IF(ISNUMBER('Step 2 - Update outturn data'!F24),'Step 2 - Update outturn data'!F24,""),IF(ISNUMBER('Step 3 (IMPL) - Enter outlook'!E26),'Step 3 (IMPL) - Enter outlook'!E26,""))</f>
        <v/>
      </c>
      <c r="F24" s="155" t="str">
        <f>IF(F$4&lt;=OutturnThrough,IF(ISNUMBER('Step 2 - Update outturn data'!G24),'Step 2 - Update outturn data'!G24,""),IF(ISNUMBER('Step 3 (IMPL) - Enter outlook'!F26),'Step 3 (IMPL) - Enter outlook'!F26,""))</f>
        <v/>
      </c>
      <c r="G24" s="155" t="str">
        <f>IF(G$4&lt;=OutturnThrough,IF(ISNUMBER('Step 2 - Update outturn data'!H24),'Step 2 - Update outturn data'!H24,""),IF(ISNUMBER('Step 3 (IMPL) - Enter outlook'!G26),'Step 3 (IMPL) - Enter outlook'!G26,""))</f>
        <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644</v>
      </c>
      <c r="D25" s="155" t="str">
        <f>IF(D$4&lt;=OutturnThrough,IF(ISNUMBER('Step 2 - Update outturn data'!E25),'Step 2 - Update outturn data'!E25,""),IF(ISNUMBER('Step 3 (IMPL) - Enter outlook'!D27),'Step 3 (IMPL) - Enter outlook'!D27,""))</f>
        <v/>
      </c>
      <c r="E25" s="155" t="str">
        <f>IF(E$4&lt;=OutturnThrough,IF(ISNUMBER('Step 2 - Update outturn data'!F25),'Step 2 - Update outturn data'!F25,""),IF(ISNUMBER('Step 3 (IMPL) - Enter outlook'!E27),'Step 3 (IMPL) - Enter outlook'!E27,""))</f>
        <v/>
      </c>
      <c r="F25" s="155" t="str">
        <f>IF(F$4&lt;=OutturnThrough,IF(ISNUMBER('Step 2 - Update outturn data'!G25),'Step 2 - Update outturn data'!G25,""),IF(ISNUMBER('Step 3 (IMPL) - Enter outlook'!F27),'Step 3 (IMPL) - Enter outlook'!F27,""))</f>
        <v/>
      </c>
      <c r="G25" s="155" t="str">
        <f>IF(G$4&lt;=OutturnThrough,IF(ISNUMBER('Step 2 - Update outturn data'!H25),'Step 2 - Update outturn data'!H25,""),IF(ISNUMBER('Step 3 (IMPL) - Enter outlook'!G27),'Step 3 (IMPL) - Enter outlook'!G27,""))</f>
        <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610</v>
      </c>
      <c r="D26" s="155" t="str">
        <f>IF(D$4&lt;=OutturnThrough,IF(ISNUMBER('Step 2 - Update outturn data'!E26),'Step 2 - Update outturn data'!E26,""),IF(ISNUMBER('Step 3 (IMPL) - Enter outlook'!D28),'Step 3 (IMPL) - Enter outlook'!D28,""))</f>
        <v/>
      </c>
      <c r="E26" s="155" t="str">
        <f>IF(E$4&lt;=OutturnThrough,IF(ISNUMBER('Step 2 - Update outturn data'!F26),'Step 2 - Update outturn data'!F26,""),IF(ISNUMBER('Step 3 (IMPL) - Enter outlook'!E28),'Step 3 (IMPL) - Enter outlook'!E28,""))</f>
        <v/>
      </c>
      <c r="F26" s="155" t="str">
        <f>IF(F$4&lt;=OutturnThrough,IF(ISNUMBER('Step 2 - Update outturn data'!G26),'Step 2 - Update outturn data'!G26,""),IF(ISNUMBER('Step 3 (IMPL) - Enter outlook'!F28),'Step 3 (IMPL) - Enter outlook'!F28,""))</f>
        <v/>
      </c>
      <c r="G26" s="155" t="str">
        <f>IF(G$4&lt;=OutturnThrough,IF(ISNUMBER('Step 2 - Update outturn data'!H26),'Step 2 - Update outturn data'!H26,""),IF(ISNUMBER('Step 3 (IMPL) - Enter outlook'!G28),'Step 3 (IMPL) - Enter outlook'!G28,""))</f>
        <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646</v>
      </c>
      <c r="D27" s="156">
        <f>IF(D$4&lt;=OutturnThrough,IF(ISNUMBER('Step 2 - Update outturn data'!E27),'Step 2 - Update outturn data'!E27,""),IF(ISNUMBER('Step 3 (IMPL) - Enter outlook'!D29),'Step 3 (IMPL) - Enter outlook'!D29,""))</f>
        <v>0</v>
      </c>
      <c r="E27" s="156">
        <f>IF(E$4&lt;=OutturnThrough,IF(ISNUMBER('Step 2 - Update outturn data'!F27),'Step 2 - Update outturn data'!F27,""),IF(ISNUMBER('Step 3 (IMPL) - Enter outlook'!E29),'Step 3 (IMPL) - Enter outlook'!E29,""))</f>
        <v>0</v>
      </c>
      <c r="F27" s="156">
        <f>IF(F$4&lt;=OutturnThrough,IF(ISNUMBER('Step 2 - Update outturn data'!G27),'Step 2 - Update outturn data'!G27,""),IF(ISNUMBER('Step 3 (IMPL) - Enter outlook'!F29),'Step 3 (IMPL) - Enter outlook'!F29,""))</f>
        <v>0</v>
      </c>
      <c r="G27" s="156" t="str">
        <f>IF(G$4&lt;=OutturnThrough,IF(ISNUMBER('Step 2 - Update outturn data'!H27),'Step 2 - Update outturn data'!H27,""),IF(ISNUMBER('Step 3 (IMPL) - Enter outlook'!G29),'Step 3 (IMPL) - Enter outlook'!G29,""))</f>
        <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0</v>
      </c>
      <c r="F34" s="44">
        <f>IF(ISNUMBER('Step 3 (MTP) - Plan and prior'!F6),'Step 3 (MTP) - Plan and prior'!F6,"")</f>
        <v>0</v>
      </c>
      <c r="G34" s="44">
        <f>IF(ISNUMBER('Step 3 (MTP) - Plan and prior'!G6),'Step 3 (MTP) - Plan and prior'!G6,"")</f>
        <v>0</v>
      </c>
      <c r="H34" s="44">
        <f>IF(ISNUMBER('Step 3 (MTP) - Plan and prior'!H6),'Step 3 (MTP) - Plan and prior'!H6,"")</f>
        <v>0</v>
      </c>
      <c r="I34" s="44">
        <f>IF(ISNUMBER('Step 3 (MTP) - Plan and prior'!I6),'Step 3 (MTP) - Plan and prior'!I6,"")</f>
        <v>0</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0</v>
      </c>
      <c r="E35" s="58">
        <f>IF(ISNUMBER('Step 3 (MTP) - Plan and prior'!E7),'Step 3 (MTP) - Plan and prior'!E7,"")</f>
        <v>0</v>
      </c>
      <c r="F35" s="58">
        <f>IF(ISNUMBER('Step 3 (MTP) - Plan and prior'!F7),'Step 3 (MTP) - Plan and prior'!F7,"")</f>
        <v>0</v>
      </c>
      <c r="G35" s="58">
        <f>IF(ISNUMBER('Step 3 (MTP) - Plan and prior'!G7),'Step 3 (MTP) - Plan and prior'!G7,"")</f>
        <v>0</v>
      </c>
      <c r="H35" s="58">
        <f>IF(ISNUMBER('Step 3 (MTP) - Plan and prior'!H7),'Step 3 (MTP) - Plan and prior'!H7,"")</f>
        <v>0</v>
      </c>
      <c r="I35" s="58">
        <f>IF(ISNUMBER('Step 3 (MTP) - Plan and prior'!I7),'Step 3 (MTP) - Plan and prior'!I7,"")</f>
        <v>0</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0</v>
      </c>
      <c r="E36" s="58">
        <f>IF(ISNUMBER('Step 3 (MTP) - Plan and prior'!E8),'Step 3 (MTP) - Plan and prior'!E8,"")</f>
        <v>0</v>
      </c>
      <c r="F36" s="58">
        <f>IF(ISNUMBER('Step 3 (MTP) - Plan and prior'!F8),'Step 3 (MTP) - Plan and prior'!F8,"")</f>
        <v>0</v>
      </c>
      <c r="G36" s="58">
        <f>IF(ISNUMBER('Step 3 (MTP) - Plan and prior'!G8),'Step 3 (MTP) - Plan and prior'!G8,"")</f>
        <v>0</v>
      </c>
      <c r="H36" s="58">
        <f>IF(ISNUMBER('Step 3 (MTP) - Plan and prior'!H8),'Step 3 (MTP) - Plan and prior'!H8,"")</f>
        <v>0</v>
      </c>
      <c r="I36" s="58">
        <f>IF(ISNUMBER('Step 3 (MTP) - Plan and prior'!I8),'Step 3 (MTP) - Plan and prior'!I8,"")</f>
        <v>0</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0</v>
      </c>
      <c r="E37" s="58">
        <f>IF(ISNUMBER('Step 3 (MTP) - Plan and prior'!E9),'Step 3 (MTP) - Plan and prior'!E9,"")</f>
        <v>0</v>
      </c>
      <c r="F37" s="58">
        <f>IF(ISNUMBER('Step 3 (MTP) - Plan and prior'!F9),'Step 3 (MTP) - Plan and prior'!F9,"")</f>
        <v>0</v>
      </c>
      <c r="G37" s="58">
        <f>IF(ISNUMBER('Step 3 (MTP) - Plan and prior'!G9),'Step 3 (MTP) - Plan and prior'!G9,"")</f>
        <v>0</v>
      </c>
      <c r="H37" s="58">
        <f>IF(ISNUMBER('Step 3 (MTP) - Plan and prior'!H9),'Step 3 (MTP) - Plan and prior'!H9,"")</f>
        <v>0</v>
      </c>
      <c r="I37" s="58">
        <f>IF(ISNUMBER('Step 3 (MTP) - Plan and prior'!I9),'Step 3 (MTP) - Plan and prior'!I9,"")</f>
        <v>0</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0</v>
      </c>
      <c r="E38" s="58">
        <f>IF(ISNUMBER('Step 3 (MTP) - Plan and prior'!E10),'Step 3 (MTP) - Plan and prior'!E10,"")</f>
        <v>0</v>
      </c>
      <c r="F38" s="58">
        <f>IF(ISNUMBER('Step 3 (MTP) - Plan and prior'!F10),'Step 3 (MTP) - Plan and prior'!F10,"")</f>
        <v>0</v>
      </c>
      <c r="G38" s="58">
        <f>IF(ISNUMBER('Step 3 (MTP) - Plan and prior'!G10),'Step 3 (MTP) - Plan and prior'!G10,"")</f>
        <v>0</v>
      </c>
      <c r="H38" s="58">
        <f>IF(ISNUMBER('Step 3 (MTP) - Plan and prior'!H10),'Step 3 (MTP) - Plan and prior'!H10,"")</f>
        <v>0</v>
      </c>
      <c r="I38" s="58">
        <f>IF(ISNUMBER('Step 3 (MTP) - Plan and prior'!I10),'Step 3 (MTP) - Plan and prior'!I10,"")</f>
        <v>0</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0</v>
      </c>
      <c r="E39" s="58">
        <f>IF(ISNUMBER('Step 3 (MTP) - Plan and prior'!E11),'Step 3 (MTP) - Plan and prior'!E11,"")</f>
        <v>0</v>
      </c>
      <c r="F39" s="58">
        <f>IF(ISNUMBER('Step 3 (MTP) - Plan and prior'!F11),'Step 3 (MTP) - Plan and prior'!F11,"")</f>
        <v>0</v>
      </c>
      <c r="G39" s="58">
        <f>IF(ISNUMBER('Step 3 (MTP) - Plan and prior'!G11),'Step 3 (MTP) - Plan and prior'!G11,"")</f>
        <v>0</v>
      </c>
      <c r="H39" s="58">
        <f>IF(ISNUMBER('Step 3 (MTP) - Plan and prior'!H11),'Step 3 (MTP) - Plan and prior'!H11,"")</f>
        <v>0</v>
      </c>
      <c r="I39" s="58">
        <f>IF(ISNUMBER('Step 3 (MTP) - Plan and prior'!I11),'Step 3 (MTP) - Plan and prior'!I11,"")</f>
        <v>0</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v>
      </c>
      <c r="E40" s="58">
        <f>IF(ISNUMBER('Step 3 (MTP) - Plan and prior'!E12),'Step 3 (MTP) - Plan and prior'!E12,"")</f>
        <v>0</v>
      </c>
      <c r="F40" s="58">
        <f>IF(ISNUMBER('Step 3 (MTP) - Plan and prior'!F12),'Step 3 (MTP) - Plan and prior'!F12,"")</f>
        <v>0</v>
      </c>
      <c r="G40" s="58">
        <f>IF(ISNUMBER('Step 3 (MTP) - Plan and prior'!G12),'Step 3 (MTP) - Plan and prior'!G12,"")</f>
        <v>0</v>
      </c>
      <c r="H40" s="58">
        <f>IF(ISNUMBER('Step 3 (MTP) - Plan and prior'!H12),'Step 3 (MTP) - Plan and prior'!H12,"")</f>
        <v>0</v>
      </c>
      <c r="I40" s="58">
        <f>IF(ISNUMBER('Step 3 (MTP) - Plan and prior'!I12),'Step 3 (MTP) - Plan and prior'!I12,"")</f>
        <v>0</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0</v>
      </c>
      <c r="E41" s="58">
        <f>IF(ISNUMBER('Step 3 (MTP) - Plan and prior'!E13),'Step 3 (MTP) - Plan and prior'!E13,"")</f>
        <v>0</v>
      </c>
      <c r="F41" s="58">
        <f>IF(ISNUMBER('Step 3 (MTP) - Plan and prior'!F13),'Step 3 (MTP) - Plan and prior'!F13,"")</f>
        <v>0</v>
      </c>
      <c r="G41" s="58">
        <f>IF(ISNUMBER('Step 3 (MTP) - Plan and prior'!G13),'Step 3 (MTP) - Plan and prior'!G13,"")</f>
        <v>0</v>
      </c>
      <c r="H41" s="58">
        <f>IF(ISNUMBER('Step 3 (MTP) - Plan and prior'!H13),'Step 3 (MTP) - Plan and prior'!H13,"")</f>
        <v>0</v>
      </c>
      <c r="I41" s="58">
        <f>IF(ISNUMBER('Step 3 (MTP) - Plan and prior'!I13),'Step 3 (MTP) - Plan and prior'!I13,"")</f>
        <v>0</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0</v>
      </c>
      <c r="E42" s="58">
        <f>IF(ISNUMBER('Step 3 (MTP) - Plan and prior'!E14),'Step 3 (MTP) - Plan and prior'!E14,"")</f>
        <v>0</v>
      </c>
      <c r="F42" s="58">
        <f>IF(ISNUMBER('Step 3 (MTP) - Plan and prior'!F14),'Step 3 (MTP) - Plan and prior'!F14,"")</f>
        <v>0</v>
      </c>
      <c r="G42" s="58">
        <f>IF(ISNUMBER('Step 3 (MTP) - Plan and prior'!G14),'Step 3 (MTP) - Plan and prior'!G14,"")</f>
        <v>0</v>
      </c>
      <c r="H42" s="58">
        <f>IF(ISNUMBER('Step 3 (MTP) - Plan and prior'!H14),'Step 3 (MTP) - Plan and prior'!H14,"")</f>
        <v>0</v>
      </c>
      <c r="I42" s="58">
        <f>IF(ISNUMBER('Step 3 (MTP) - Plan and prior'!I14),'Step 3 (MTP) - Plan and prior'!I14,"")</f>
        <v>0</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0</v>
      </c>
      <c r="E43" s="44">
        <f>IF(ISNUMBER('Step 3 (MTP) - Plan and prior'!E15),'Step 3 (MTP) - Plan and prior'!E15,"")</f>
        <v>0</v>
      </c>
      <c r="F43" s="44">
        <f>IF(ISNUMBER('Step 3 (MTP) - Plan and prior'!F15),'Step 3 (MTP) - Plan and prior'!F15,"")</f>
        <v>0</v>
      </c>
      <c r="G43" s="44">
        <f>IF(ISNUMBER('Step 3 (MTP) - Plan and prior'!G15),'Step 3 (MTP) - Plan and prior'!G15,"")</f>
        <v>0</v>
      </c>
      <c r="H43" s="44">
        <f>IF(ISNUMBER('Step 3 (MTP) - Plan and prior'!H15),'Step 3 (MTP) - Plan and prior'!H15,"")</f>
        <v>0</v>
      </c>
      <c r="I43" s="44">
        <f>IF(ISNUMBER('Step 3 (MTP) - Plan and prior'!I15),'Step 3 (MTP) - Plan and prior'!I15,"")</f>
        <v>0</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0</v>
      </c>
      <c r="E44" s="48">
        <f>IF(ISNUMBER('Step 3 (MTP) - Plan and prior'!E16),'Step 3 (MTP) - Plan and prior'!E16,"")</f>
        <v>0</v>
      </c>
      <c r="F44" s="48">
        <f>IF(ISNUMBER('Step 3 (MTP) - Plan and prior'!F16),'Step 3 (MTP) - Plan and prior'!F16,"")</f>
        <v>0</v>
      </c>
      <c r="G44" s="48">
        <f>IF(ISNUMBER('Step 3 (MTP) - Plan and prior'!G16),'Step 3 (MTP) - Plan and prior'!G16,"")</f>
        <v>0</v>
      </c>
      <c r="H44" s="48">
        <f>IF(ISNUMBER('Step 3 (MTP) - Plan and prior'!H16),'Step 3 (MTP) - Plan and prior'!H16,"")</f>
        <v>0</v>
      </c>
      <c r="I44" s="48">
        <f>IF(ISNUMBER('Step 3 (MTP) - Plan and prior'!I16),'Step 3 (MTP) - Plan and prior'!I16,"")</f>
        <v>0</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0</v>
      </c>
      <c r="E50" s="68">
        <f>IF(ISNUMBER('Step 3 (MTP) - Plan and prior'!E25),'Step 3 (MTP) - Plan and prior'!E25,"")</f>
        <v>0</v>
      </c>
      <c r="F50" s="68">
        <f>IF(ISNUMBER('Step 3 (MTP) - Plan and prior'!F25),'Step 3 (MTP) - Plan and prior'!F25,"")</f>
        <v>0</v>
      </c>
      <c r="G50" s="68">
        <f>IF(ISNUMBER('Step 3 (MTP) - Plan and prior'!G25),'Step 3 (MTP) - Plan and prior'!G25,"")</f>
        <v>0</v>
      </c>
      <c r="H50" s="68">
        <f>IF(ISNUMBER('Step 3 (MTP) - Plan and prior'!H25),'Step 3 (MTP) - Plan and prior'!H25,"")</f>
        <v>0</v>
      </c>
      <c r="I50" s="68">
        <f>IF(ISNUMBER('Step 3 (MTP) - Plan and prior'!I25),'Step 3 (MTP) - Plan and prior'!I25,"")</f>
        <v>0</v>
      </c>
      <c r="J50" s="68">
        <f>IF(ISNUMBER('Step 3 (MTP) - Plan and prior'!J25),'Step 3 (MTP) - Plan and prior'!J25,"")</f>
        <v>0</v>
      </c>
      <c r="K50" s="68">
        <f>IF(ISNUMBER('Step 3 (MTP) - Plan and prior'!K25),'Step 3 (MTP) - Plan and prior'!K25,"")</f>
        <v>0</v>
      </c>
      <c r="L50" s="68">
        <f>IF(ISNUMBER('Step 3 (MTP) - Plan and prior'!L25),'Step 3 (MTP) - Plan and prior'!L25,"")</f>
        <v>0</v>
      </c>
      <c r="M50" s="68">
        <f>IF(ISNUMBER('Step 3 (MTP) - Plan and prior'!M25),'Step 3 (MTP) - Plan and prior'!M25,"")</f>
        <v>0</v>
      </c>
      <c r="N50" s="68">
        <f>IF(ISNUMBER('Step 3 (MTP) - Plan and prior'!N25),'Step 3 (MTP) - Plan and prior'!N25,"")</f>
        <v>0</v>
      </c>
      <c r="O50" s="68">
        <f>IF(ISNUMBER('Step 3 (MTP) - Plan and prior'!O25),'Step 3 (MTP) - Plan and prior'!O25,"")</f>
        <v>0</v>
      </c>
      <c r="P50" s="68">
        <f>IF(ISNUMBER('Step 3 (MTP) - Plan and prior'!P25),'Step 3 (MTP) - Plan and prior'!P25,"")</f>
        <v>0</v>
      </c>
      <c r="Q50" s="68">
        <f>IF(ISNUMBER('Step 3 (MTP) - Plan and prior'!Q25),'Step 3 (MTP) - Plan and prior'!Q25,"")</f>
        <v>0</v>
      </c>
      <c r="R50" s="68">
        <f>IF(ISNUMBER('Step 3 (MTP) - Plan and prior'!R25),'Step 3 (MTP) - Plan and prior'!R25,"")</f>
        <v>0</v>
      </c>
      <c r="S50" s="68">
        <f>IF(ISNUMBER('Step 3 (MTP) - Plan and prior'!S25),'Step 3 (MTP) - Plan and prior'!S25,"")</f>
        <v>0</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0</v>
      </c>
      <c r="E52" s="68">
        <f>IF(ISNUMBER('Step 3 (MTP) - Plan and prior'!E27),'Step 3 (MTP) - Plan and prior'!E27,"")</f>
        <v>0</v>
      </c>
      <c r="F52" s="68">
        <f>IF(ISNUMBER('Step 3 (MTP) - Plan and prior'!F27),'Step 3 (MTP) - Plan and prior'!F27,"")</f>
        <v>0</v>
      </c>
      <c r="G52" s="68">
        <f>IF(ISNUMBER('Step 3 (MTP) - Plan and prior'!G27),'Step 3 (MTP) - Plan and prior'!G27,"")</f>
        <v>0</v>
      </c>
      <c r="H52" s="68">
        <f>IF(ISNUMBER('Step 3 (MTP) - Plan and prior'!H27),'Step 3 (MTP) - Plan and prior'!H27,"")</f>
        <v>0</v>
      </c>
      <c r="I52" s="68">
        <f>IF(ISNUMBER('Step 3 (MTP) - Plan and prior'!I27),'Step 3 (MTP) - Plan and prior'!I27,"")</f>
        <v>0</v>
      </c>
      <c r="J52" s="68">
        <f>IF(ISNUMBER('Step 3 (MTP) - Plan and prior'!J27),'Step 3 (MTP) - Plan and prior'!J27,"")</f>
        <v>0</v>
      </c>
      <c r="K52" s="68">
        <f>IF(ISNUMBER('Step 3 (MTP) - Plan and prior'!K27),'Step 3 (MTP) - Plan and prior'!K27,"")</f>
        <v>0</v>
      </c>
      <c r="L52" s="68">
        <f>IF(ISNUMBER('Step 3 (MTP) - Plan and prior'!L27),'Step 3 (MTP) - Plan and prior'!L27,"")</f>
        <v>0</v>
      </c>
      <c r="M52" s="68">
        <f>IF(ISNUMBER('Step 3 (MTP) - Plan and prior'!M27),'Step 3 (MTP) - Plan and prior'!M27,"")</f>
        <v>0</v>
      </c>
      <c r="N52" s="68">
        <f>IF(ISNUMBER('Step 3 (MTP) - Plan and prior'!N27),'Step 3 (MTP) - Plan and prior'!N27,"")</f>
        <v>0</v>
      </c>
      <c r="O52" s="68">
        <f>IF(ISNUMBER('Step 3 (MTP) - Plan and prior'!O27),'Step 3 (MTP) - Plan and prior'!O27,"")</f>
        <v>0</v>
      </c>
      <c r="P52" s="68">
        <f>IF(ISNUMBER('Step 3 (MTP) - Plan and prior'!P27),'Step 3 (MTP) - Plan and prior'!P27,"")</f>
        <v>0</v>
      </c>
      <c r="Q52" s="68">
        <f>IF(ISNUMBER('Step 3 (MTP) - Plan and prior'!Q27),'Step 3 (MTP) - Plan and prior'!Q27,"")</f>
        <v>0</v>
      </c>
      <c r="R52" s="68">
        <f>IF(ISNUMBER('Step 3 (MTP) - Plan and prior'!R27),'Step 3 (MTP) - Plan and prior'!R27,"")</f>
        <v>0</v>
      </c>
      <c r="S52" s="68">
        <f>IF(ISNUMBER('Step 3 (MTP) - Plan and prior'!S27),'Step 3 (MTP) - Plan and prior'!S27,"")</f>
        <v>0</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reference trajectory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(not applicable),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t="str">
        <f>IF(ISNUMBER('Step 3 (MTP) - Plan and prior'!I40),'Step 3 (MTP) - Plan and prior'!I40,"")</f>
        <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(not applicable),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t="str">
        <f>IF(ISNUMBER('Step 3 (MTP) - Plan and prior'!I41),'Step 3 (MTP) - Plan and prior'!I41,"")</f>
        <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710</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t="str">
        <f>IF(ISNUMBER('Step 3 (MTP) - Plan and prior'!D44),'Step 3 (MTP) - Plan and prior'!D44,"")</f>
        <v/>
      </c>
      <c r="E69" s="68" t="str">
        <f>IF(ISNUMBER('Step 3 (MTP) - Plan and prior'!E44),'Step 3 (MTP) - Plan and prior'!E44,"")</f>
        <v/>
      </c>
      <c r="F69" s="68" t="str">
        <f>IF(ISNUMBER('Step 3 (MTP) - Plan and prior'!F44),'Step 3 (MTP) - Plan and prior'!F44,"")</f>
        <v/>
      </c>
      <c r="G69" s="68" t="str">
        <f>IF(ISNUMBER('Step 3 (MTP) - Plan and prior'!G44),'Step 3 (MTP) - Plan and prior'!G44,"")</f>
        <v/>
      </c>
      <c r="H69" s="68" t="str">
        <f>IF(ISNUMBER('Step 3 (MTP) - Plan and prior'!H44),'Step 3 (MTP) - Plan and prior'!H44,"")</f>
        <v/>
      </c>
      <c r="I69" s="68" t="str">
        <f>IF(ISNUMBER('Step 3 (MTP) - Plan and prior'!I44),'Step 3 (MTP) - Plan and prior'!I44,"")</f>
        <v/>
      </c>
      <c r="J69" s="68" t="str">
        <f>IF(ISNUMBER('Step 3 (MTP) - Plan and prior'!J44),'Step 3 (MTP) - Plan and prior'!J44,"")</f>
        <v/>
      </c>
      <c r="K69" s="68" t="str">
        <f>IF(ISNUMBER('Step 3 (MTP) - Plan and prior'!K44),'Step 3 (MTP) - Plan and prior'!K44,"")</f>
        <v/>
      </c>
      <c r="L69" s="68" t="str">
        <f>IF(ISNUMBER('Step 3 (MTP) - Plan and prior'!L44),'Step 3 (MTP) - Plan and prior'!L44,"")</f>
        <v/>
      </c>
      <c r="M69" s="68" t="str">
        <f>IF(ISNUMBER('Step 3 (MTP) - Plan and prior'!M44),'Step 3 (MTP) - Plan and prior'!M44,"")</f>
        <v/>
      </c>
      <c r="N69" s="68" t="str">
        <f>IF(ISNUMBER('Step 3 (MTP) - Plan and prior'!N44),'Step 3 (MTP) - Plan and prior'!N44,"")</f>
        <v/>
      </c>
      <c r="O69" s="68" t="str">
        <f>IF(ISNUMBER('Step 3 (MTP) - Plan and prior'!O44),'Step 3 (MTP) - Plan and prior'!O44,"")</f>
        <v/>
      </c>
      <c r="P69" s="68" t="str">
        <f>IF(ISNUMBER('Step 3 (MTP) - Plan and prior'!P44),'Step 3 (MTP) - Plan and prior'!P44,"")</f>
        <v/>
      </c>
      <c r="Q69" s="68" t="str">
        <f>IF(ISNUMBER('Step 3 (MTP) - Plan and prior'!Q44),'Step 3 (MTP) - Plan and prior'!Q44,"")</f>
        <v/>
      </c>
      <c r="R69" s="68" t="str">
        <f>IF(ISNUMBER('Step 3 (MTP) - Plan and prior'!R44),'Step 3 (MTP) - Plan and prior'!R44,"")</f>
        <v/>
      </c>
      <c r="S69" s="68" t="str">
        <f>IF(ISNUMBER('Step 3 (MTP) - Plan and prior'!S44),'Step 3 (MTP) - Plan and prior'!S44,"")</f>
        <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t="str">
        <f>IF(ISNUMBER('Step 3 (MTP) - Plan and prior'!D46),'Step 3 (MTP) - Plan and prior'!D46,"")</f>
        <v/>
      </c>
      <c r="E71" s="68" t="str">
        <f>IF(ISNUMBER('Step 3 (MTP) - Plan and prior'!E46),'Step 3 (MTP) - Plan and prior'!E46,"")</f>
        <v/>
      </c>
      <c r="F71" s="68" t="str">
        <f>IF(ISNUMBER('Step 3 (MTP) - Plan and prior'!F46),'Step 3 (MTP) - Plan and prior'!F46,"")</f>
        <v/>
      </c>
      <c r="G71" s="68" t="str">
        <f>IF(ISNUMBER('Step 3 (MTP) - Plan and prior'!G46),'Step 3 (MTP) - Plan and prior'!G46,"")</f>
        <v/>
      </c>
      <c r="H71" s="68" t="str">
        <f>IF(ISNUMBER('Step 3 (MTP) - Plan and prior'!H46),'Step 3 (MTP) - Plan and prior'!H46,"")</f>
        <v/>
      </c>
      <c r="I71" s="68" t="str">
        <f>IF(ISNUMBER('Step 3 (MTP) - Plan and prior'!I46),'Step 3 (MTP) - Plan and prior'!I46,"")</f>
        <v/>
      </c>
      <c r="J71" s="68" t="str">
        <f>IF(ISNUMBER('Step 3 (MTP) - Plan and prior'!J46),'Step 3 (MTP) - Plan and prior'!J46,"")</f>
        <v/>
      </c>
      <c r="K71" s="68" t="str">
        <f>IF(ISNUMBER('Step 3 (MTP) - Plan and prior'!K46),'Step 3 (MTP) - Plan and prior'!K46,"")</f>
        <v/>
      </c>
      <c r="L71" s="68" t="str">
        <f>IF(ISNUMBER('Step 3 (MTP) - Plan and prior'!L46),'Step 3 (MTP) - Plan and prior'!L46,"")</f>
        <v/>
      </c>
      <c r="M71" s="68" t="str">
        <f>IF(ISNUMBER('Step 3 (MTP) - Plan and prior'!M46),'Step 3 (MTP) - Plan and prior'!M46,"")</f>
        <v/>
      </c>
      <c r="N71" s="68" t="str">
        <f>IF(ISNUMBER('Step 3 (MTP) - Plan and prior'!N46),'Step 3 (MTP) - Plan and prior'!N46,"")</f>
        <v/>
      </c>
      <c r="O71" s="68" t="str">
        <f>IF(ISNUMBER('Step 3 (MTP) - Plan and prior'!O46),'Step 3 (MTP) - Plan and prior'!O46,"")</f>
        <v/>
      </c>
      <c r="P71" s="68" t="str">
        <f>IF(ISNUMBER('Step 3 (MTP) - Plan and prior'!P46),'Step 3 (MTP) - Plan and prior'!P46,"")</f>
        <v/>
      </c>
      <c r="Q71" s="68" t="str">
        <f>IF(ISNUMBER('Step 3 (MTP) - Plan and prior'!Q46),'Step 3 (MTP) - Plan and prior'!Q46,"")</f>
        <v/>
      </c>
      <c r="R71" s="68" t="str">
        <f>IF(ISNUMBER('Step 3 (MTP) - Plan and prior'!R46),'Step 3 (MTP) - Plan and prior'!R46,"")</f>
        <v/>
      </c>
      <c r="S71" s="68" t="str">
        <f>IF(ISNUMBER('Step 3 (MTP) - Plan and prior'!S46),'Step 3 (MTP) - Plan and prior'!S46,"")</f>
        <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t="str">
        <f>IF(ISNUMBER('Step 3 (MTP) - Plan and prior'!D47),'Step 3 (MTP) - Plan and prior'!D47,"")</f>
        <v/>
      </c>
      <c r="E72" s="68" t="str">
        <f>IF(ISNUMBER('Step 3 (MTP) - Plan and prior'!E47),'Step 3 (MTP) - Plan and prior'!E47,"")</f>
        <v/>
      </c>
      <c r="F72" s="68" t="str">
        <f>IF(ISNUMBER('Step 3 (MTP) - Plan and prior'!F47),'Step 3 (MTP) - Plan and prior'!F47,"")</f>
        <v/>
      </c>
      <c r="G72" s="68" t="str">
        <f>IF(ISNUMBER('Step 3 (MTP) - Plan and prior'!G47),'Step 3 (MTP) - Plan and prior'!G47,"")</f>
        <v/>
      </c>
      <c r="H72" s="68" t="str">
        <f>IF(ISNUMBER('Step 3 (MTP) - Plan and prior'!H47),'Step 3 (MTP) - Plan and prior'!H47,"")</f>
        <v/>
      </c>
      <c r="I72" s="68" t="str">
        <f>IF(ISNUMBER('Step 3 (MTP) - Plan and prior'!I47),'Step 3 (MTP) - Plan and prior'!I47,"")</f>
        <v/>
      </c>
      <c r="J72" s="68" t="str">
        <f>IF(ISNUMBER('Step 3 (MTP) - Plan and prior'!J47),'Step 3 (MTP) - Plan and prior'!J47,"")</f>
        <v/>
      </c>
      <c r="K72" s="68" t="str">
        <f>IF(ISNUMBER('Step 3 (MTP) - Plan and prior'!K47),'Step 3 (MTP) - Plan and prior'!K47,"")</f>
        <v/>
      </c>
      <c r="L72" s="68" t="str">
        <f>IF(ISNUMBER('Step 3 (MTP) - Plan and prior'!L47),'Step 3 (MTP) - Plan and prior'!L47,"")</f>
        <v/>
      </c>
      <c r="M72" s="68" t="str">
        <f>IF(ISNUMBER('Step 3 (MTP) - Plan and prior'!M47),'Step 3 (MTP) - Plan and prior'!M47,"")</f>
        <v/>
      </c>
      <c r="N72" s="68" t="str">
        <f>IF(ISNUMBER('Step 3 (MTP) - Plan and prior'!N47),'Step 3 (MTP) - Plan and prior'!N47,"")</f>
        <v/>
      </c>
      <c r="O72" s="68" t="str">
        <f>IF(ISNUMBER('Step 3 (MTP) - Plan and prior'!O47),'Step 3 (MTP) - Plan and prior'!O47,"")</f>
        <v/>
      </c>
      <c r="P72" s="68" t="str">
        <f>IF(ISNUMBER('Step 3 (MTP) - Plan and prior'!P47),'Step 3 (MTP) - Plan and prior'!P47,"")</f>
        <v/>
      </c>
      <c r="Q72" s="68" t="str">
        <f>IF(ISNUMBER('Step 3 (MTP) - Plan and prior'!Q47),'Step 3 (MTP) - Plan and prior'!Q47,"")</f>
        <v/>
      </c>
      <c r="R72" s="68" t="str">
        <f>IF(ISNUMBER('Step 3 (MTP) - Plan and prior'!R47),'Step 3 (MTP) - Plan and prior'!R47,"")</f>
        <v/>
      </c>
      <c r="S72" s="68" t="str">
        <f>IF(ISNUMBER('Step 3 (MTP) - Plan and prior'!S47),'Step 3 (MTP) - Plan and prior'!S47,"")</f>
        <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0</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e" cm="1">
        <f t="array" ref="C94">IF(
   AssessmentEnd &lt;= OutturnThrough,
   NA(),
   SUMPRODUCT(
      (4:4 &gt;= OutturnThrough+1) *
      (4:4 &lt;= AssessmentEnd) *
      (34:34 &lt; 15:15)
   ) = 0
)</f>
        <v>#N/A</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712</v>
      </c>
      <c r="C95" s="15" t="b" cm="1">
        <f t="array" ref="C95">IF(
  SUMPRODUCT(
    (4:4&gt;=MTP_YearT+1)*
    (4:4&lt;=AssessmentEnd)*
    (34:34&lt;15:15)
  )=0,
  "Not applicable (all years adhere to the net expenditure path)",
  SUMPRODUCT(
    (4:4&gt;=MTP_YearT+1)*
    (4:4&lt;=AssessmentEnd)*
    (34:34&lt;15:15)*
    (1-IFERROR(--INDEX('Step 1 - Set global parameters'!$22:$22, MATCH(4:4, 'Step 1 - Set global parameters'!$20:$20, 0)),0))
  )=0
)</f>
        <v>0</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C96" s="15"/>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s="14" t="s">
        <v>258</v>
      </c>
      <c r="C97" s="102" t="str" cm="1">
        <f t="array" ref="C97">_xlfn.IFS(
  ISTEXT(C93),
    Country &amp; "'s observed net expenditure cannot yet be assessed against its latest Council-endorsed MTP — no plan year has closed (most recent outturn year is " &amp; OutturnThrough &amp; "; first plan year is " &amp; MTP_YearT+1 &amp; "). " &amp;
    IF(ISNA(C94), "",
      IF(OR(C94=TRUE, C95="Not applicable (all years adhere to the net expenditure path)"),
        "Planned net expenditure to " &amp; AssessmentEnd &amp; " adheres to the net expenditure path in the MTP.",
        "Planned net expenditure to " &amp; AssessmentEnd &amp; " does not adhere to the net expenditure path in the MTP." &amp;
        IF(C95=TRUE,
          " Deviations occur only in years covered by an escape clause.",
          " At least one year of deviation is not covered by an escape clause."
        )
      )
    ),
  C95="Not applicable (all years adhere to the net expenditure path)",
    Country &amp; "'s observed net expenditure to " &amp; OutturnThrough &amp;
      IF(ISNA(C94), "", " and planned net expenditure to " &amp; AssessmentEnd) &amp;
      " adheres to the net expenditure path in its latest Council-endorsed MTP.",
  AND(C93=FALSE, ISNA(C94), C95=TRUE),
    Country &amp; "'s observed net expenditure to " &amp; OutturnThrough &amp;
      " does not adhere to the net expenditure path in its latest Council-endorsed MTP." &amp;
      " Deviations occur only in years covered by an escape clause.",
  AND(C93=FALSE, ISNA(C94), C95=FALSE),
    Country &amp; "'s observed net expenditure to " &amp; OutturnThrough &amp;
      " does not adhere to the net expenditure path in its latest Council-endorsed MTP." &amp;
      " At least one year of deviation is not covered by an escape clause.",
  AND(C93=TRUE, C94=FALSE, C95=TRUE),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AND(C93=TRUE, C94=FALSE, C95=FALSE),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AND(C93=FALSE, C94=TRUE, C95=TRUE),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AND(C93=FALSE, C94=TRUE, C95=FALSE),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AND(C93=FALSE, C94=FALSE, C95=TRUE),
    Country &amp; "'s observed net expenditure to " &amp; OutturnThrough &amp;
      " and planned net expenditure to " &amp; AssessmentEnd &amp;
      " do not adhere to the net expenditure path in its latest Council-endorsed MTP." &amp;
      " Deviations occur only in years covered by an escape clause.",
  AND(C93=FALSE, C94=FALSE, C95=FALSE),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Select country's observed net expenditure to 2025 does not adhere to the net expenditure path in its latest Council-endorsed MTP. At least one year of deviation is not covered by an escape clause.</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C98" s="102"/>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ht="18" x14ac:dyDescent="0.55000000000000004">
      <c r="B99" s="50" t="s">
        <v>457</v>
      </c>
      <c r="D99" s="17"/>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ht="14.25" x14ac:dyDescent="0.45">
      <c r="B100" s="105" t="s">
        <v>651</v>
      </c>
      <c r="D100" s="17"/>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89"/>
      <c r="C101" s="89"/>
      <c r="D101" s="3" cm="1">
        <f t="array" ref="D101:F101">_xlfn.SEQUENCE(1, AssessmentEnd-MTP_BaseYear+1, MTP_BaseYear)</f>
        <v>2023</v>
      </c>
      <c r="E101" s="3">
        <v>2024</v>
      </c>
      <c r="F101" s="3">
        <v>2025</v>
      </c>
      <c r="G101" s="3"/>
      <c r="H101" s="3"/>
      <c r="I101" s="3"/>
      <c r="J101" s="3"/>
      <c r="K101" s="3"/>
      <c r="L101"/>
      <c r="M101"/>
      <c r="N101"/>
      <c r="O101"/>
      <c r="P101"/>
      <c r="Q101"/>
      <c r="R101" s="71"/>
      <c r="S101" s="71"/>
      <c r="T101" s="71"/>
      <c r="U101" s="71"/>
      <c r="V101" s="71"/>
      <c r="W101" s="71"/>
      <c r="X101" s="71"/>
      <c r="Y101" s="71"/>
      <c r="Z101" s="71"/>
      <c r="AA101" s="71"/>
      <c r="AB101" s="71"/>
      <c r="AC101" s="71"/>
      <c r="AD101" s="71"/>
      <c r="AE101" s="71"/>
      <c r="AF101" s="71"/>
      <c r="AG101" s="71"/>
      <c r="AH101" s="71"/>
      <c r="AI101" s="71"/>
    </row>
    <row r="102" spans="1:35" x14ac:dyDescent="0.4">
      <c r="B102" s="7"/>
      <c r="C102" s="7"/>
      <c r="D102" s="3" t="str" cm="1">
        <f t="array" ref="D102:F102">IF(_xlfn.SEQUENCE(1,COLUMNS(_xlfn.ANCHORARRAY(D101)),-1)=-1,"T-1",IF(_xlfn.SEQUENCE(1,COLUMNS(_xlfn.ANCHORARRAY(D101)),-1)=0,"T","T+"&amp;_xlfn.SEQUENCE(1,COLUMNS(_xlfn.ANCHORARRAY(D101)),-1)))</f>
        <v>T-1</v>
      </c>
      <c r="E102" s="3" t="str">
        <v>T</v>
      </c>
      <c r="F102" s="3" t="str">
        <v>T+1</v>
      </c>
      <c r="G102" s="3"/>
      <c r="H102" s="3"/>
      <c r="I102" s="3"/>
      <c r="J102" s="3"/>
      <c r="K102" s="3"/>
      <c r="L102"/>
      <c r="M102"/>
      <c r="N102"/>
      <c r="O102"/>
      <c r="P102"/>
      <c r="Q102"/>
      <c r="R102" s="71"/>
      <c r="S102" s="71"/>
      <c r="T102" s="71"/>
      <c r="U102" s="71"/>
      <c r="V102" s="71"/>
      <c r="W102" s="71"/>
      <c r="X102" s="71"/>
      <c r="Y102" s="71"/>
      <c r="Z102" s="71"/>
      <c r="AA102" s="71"/>
      <c r="AB102" s="71"/>
      <c r="AC102" s="71"/>
      <c r="AD102" s="71"/>
      <c r="AE102" s="71"/>
      <c r="AF102" s="71"/>
      <c r="AG102" s="71"/>
      <c r="AH102" s="71"/>
      <c r="AI102" s="71"/>
    </row>
    <row r="103" spans="1:35" x14ac:dyDescent="0.4">
      <c r="B103" s="124" t="s">
        <v>635</v>
      </c>
      <c r="C103"/>
      <c r="D103"/>
      <c r="E103"/>
      <c r="F103"/>
      <c r="G103"/>
      <c r="H103"/>
      <c r="I103"/>
      <c r="J103"/>
      <c r="K103"/>
      <c r="L103"/>
      <c r="M103"/>
      <c r="N103"/>
      <c r="O103"/>
      <c r="P103"/>
      <c r="Q103"/>
      <c r="R103" s="71"/>
      <c r="S103" s="71"/>
      <c r="T103" s="71"/>
      <c r="U103" s="71"/>
      <c r="V103" s="71"/>
      <c r="W103" s="71"/>
      <c r="X103" s="71"/>
      <c r="Y103" s="71"/>
      <c r="Z103" s="71"/>
      <c r="AA103" s="71"/>
      <c r="AB103" s="71"/>
      <c r="AC103" s="71"/>
      <c r="AD103" s="71"/>
      <c r="AE103" s="71"/>
      <c r="AF103" s="71"/>
      <c r="AG103" s="71"/>
      <c r="AH103" s="71"/>
      <c r="AI103" s="71"/>
    </row>
    <row r="104" spans="1:35" x14ac:dyDescent="0.4">
      <c r="A104" s="3">
        <v>1</v>
      </c>
      <c r="B104" s="5" t="s">
        <v>257</v>
      </c>
      <c r="C104" t="s">
        <v>6</v>
      </c>
      <c r="D104" s="144">
        <f t="shared" ref="D104:J104" si="2">IF(ISNUMBER(D101),D6,"")</f>
        <v>0</v>
      </c>
      <c r="E104" s="144">
        <f t="shared" si="2"/>
        <v>0</v>
      </c>
      <c r="F104" s="144">
        <f t="shared" si="2"/>
        <v>0</v>
      </c>
      <c r="G104" s="144" t="str">
        <f t="shared" si="2"/>
        <v/>
      </c>
      <c r="H104" s="144" t="str">
        <f t="shared" si="2"/>
        <v/>
      </c>
      <c r="I104" s="144" t="str">
        <f t="shared" si="2"/>
        <v/>
      </c>
      <c r="J104" s="144" t="str">
        <f t="shared" si="2"/>
        <v/>
      </c>
      <c r="K104" s="144"/>
      <c r="L104"/>
      <c r="M104"/>
      <c r="N104"/>
      <c r="O104"/>
      <c r="P104"/>
      <c r="Q104"/>
      <c r="R104" s="71"/>
      <c r="S104" s="71"/>
      <c r="T104" s="71"/>
      <c r="U104" s="71"/>
      <c r="V104" s="71"/>
      <c r="W104" s="71"/>
      <c r="X104" s="71"/>
      <c r="Y104" s="71"/>
      <c r="Z104" s="71"/>
      <c r="AA104" s="71"/>
      <c r="AB104" s="71"/>
      <c r="AC104" s="71"/>
      <c r="AD104" s="71"/>
      <c r="AE104" s="71"/>
      <c r="AF104" s="71"/>
      <c r="AG104" s="71"/>
      <c r="AH104" s="71"/>
      <c r="AI104" s="71"/>
    </row>
    <row r="105" spans="1:35" x14ac:dyDescent="0.4">
      <c r="A105" s="3">
        <v>2</v>
      </c>
      <c r="B105" s="5" t="s">
        <v>25</v>
      </c>
      <c r="C105" t="s">
        <v>6</v>
      </c>
      <c r="D105" s="144">
        <f t="shared" ref="D105:J105" si="3">IF(ISNUMBER(D101),D7,"")</f>
        <v>0</v>
      </c>
      <c r="E105" s="144">
        <f t="shared" si="3"/>
        <v>0</v>
      </c>
      <c r="F105" s="144">
        <f t="shared" si="3"/>
        <v>0</v>
      </c>
      <c r="G105" s="144" t="str">
        <f t="shared" si="3"/>
        <v/>
      </c>
      <c r="H105" s="144" t="str">
        <f t="shared" si="3"/>
        <v/>
      </c>
      <c r="I105" s="144" t="str">
        <f t="shared" si="3"/>
        <v/>
      </c>
      <c r="J105" s="144" t="str">
        <f t="shared" si="3"/>
        <v/>
      </c>
      <c r="K105" s="144"/>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A106" s="3">
        <v>3</v>
      </c>
      <c r="B106" s="5" t="s">
        <v>276</v>
      </c>
      <c r="C106" t="s">
        <v>6</v>
      </c>
      <c r="D106" s="144">
        <f t="shared" ref="D106:J106" si="4">IF(ISNUMBER(D101),D8,"")</f>
        <v>0</v>
      </c>
      <c r="E106" s="144">
        <f t="shared" si="4"/>
        <v>0</v>
      </c>
      <c r="F106" s="144">
        <f t="shared" si="4"/>
        <v>0</v>
      </c>
      <c r="G106" s="144" t="str">
        <f t="shared" si="4"/>
        <v/>
      </c>
      <c r="H106" s="144" t="str">
        <f t="shared" si="4"/>
        <v/>
      </c>
      <c r="I106" s="144" t="str">
        <f t="shared" si="4"/>
        <v/>
      </c>
      <c r="J106" s="144" t="str">
        <f t="shared" si="4"/>
        <v/>
      </c>
      <c r="K106" s="144"/>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A107" s="3">
        <v>4</v>
      </c>
      <c r="B107" s="5" t="s">
        <v>636</v>
      </c>
      <c r="C107" t="s">
        <v>6</v>
      </c>
      <c r="D107" s="144">
        <f t="shared" ref="D107:J107" si="5">IF(ISNUMBER(D101),D9,"")</f>
        <v>0</v>
      </c>
      <c r="E107" s="144">
        <f t="shared" si="5"/>
        <v>0</v>
      </c>
      <c r="F107" s="144">
        <f t="shared" si="5"/>
        <v>0</v>
      </c>
      <c r="G107" s="144" t="str">
        <f t="shared" si="5"/>
        <v/>
      </c>
      <c r="H107" s="144" t="str">
        <f t="shared" si="5"/>
        <v/>
      </c>
      <c r="I107" s="144" t="str">
        <f t="shared" si="5"/>
        <v/>
      </c>
      <c r="J107" s="144" t="str">
        <f t="shared" si="5"/>
        <v/>
      </c>
      <c r="K107" s="144"/>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5</v>
      </c>
      <c r="B108" s="5" t="s">
        <v>278</v>
      </c>
      <c r="C108" t="s">
        <v>6</v>
      </c>
      <c r="D108" s="144">
        <f t="shared" ref="D108:J108" si="6">IF(ISNUMBER(D101),D10,"")</f>
        <v>0</v>
      </c>
      <c r="E108" s="144">
        <f t="shared" si="6"/>
        <v>0</v>
      </c>
      <c r="F108" s="144">
        <f t="shared" si="6"/>
        <v>0</v>
      </c>
      <c r="G108" s="144" t="str">
        <f t="shared" si="6"/>
        <v/>
      </c>
      <c r="H108" s="144" t="str">
        <f t="shared" si="6"/>
        <v/>
      </c>
      <c r="I108" s="144" t="str">
        <f t="shared" si="6"/>
        <v/>
      </c>
      <c r="J108" s="144" t="str">
        <f t="shared" si="6"/>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6</v>
      </c>
      <c r="B109" s="5" t="s">
        <v>637</v>
      </c>
      <c r="C109" t="s">
        <v>6</v>
      </c>
      <c r="D109" s="144">
        <f t="shared" ref="D109:J109" si="7">IF(ISNUMBER(D101),D11,"")</f>
        <v>0</v>
      </c>
      <c r="E109" s="144">
        <f t="shared" si="7"/>
        <v>0</v>
      </c>
      <c r="F109" s="144">
        <f t="shared" si="7"/>
        <v>0</v>
      </c>
      <c r="G109" s="144" t="str">
        <f t="shared" si="7"/>
        <v/>
      </c>
      <c r="H109" s="144" t="str">
        <f t="shared" si="7"/>
        <v/>
      </c>
      <c r="I109" s="144" t="str">
        <f t="shared" si="7"/>
        <v/>
      </c>
      <c r="J109" s="144" t="str">
        <f t="shared" si="7"/>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7</v>
      </c>
      <c r="B110" s="5" t="s">
        <v>638</v>
      </c>
      <c r="C110" t="s">
        <v>6</v>
      </c>
      <c r="D110" s="144">
        <f t="shared" ref="D110:J110" si="8">IF(ISNUMBER(D101),D12,"")</f>
        <v>0</v>
      </c>
      <c r="E110" s="144">
        <f t="shared" si="8"/>
        <v>0</v>
      </c>
      <c r="F110" s="144">
        <f t="shared" si="8"/>
        <v>0</v>
      </c>
      <c r="G110" s="144" t="str">
        <f t="shared" si="8"/>
        <v/>
      </c>
      <c r="H110" s="144" t="str">
        <f t="shared" si="8"/>
        <v/>
      </c>
      <c r="I110" s="144" t="str">
        <f t="shared" si="8"/>
        <v/>
      </c>
      <c r="J110" s="144" t="str">
        <f t="shared" si="8"/>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8</v>
      </c>
      <c r="B111" s="5" t="s">
        <v>639</v>
      </c>
      <c r="C111" t="s">
        <v>6</v>
      </c>
      <c r="E111" s="91">
        <f>IF(ISNUMBER(E101),E110-D110,"")</f>
        <v>0</v>
      </c>
      <c r="F111" s="91">
        <f t="shared" ref="F111:J111" si="9">IF(ISNUMBER(F101),F110-E110,"")</f>
        <v>0</v>
      </c>
      <c r="G111" s="91" t="str">
        <f t="shared" si="9"/>
        <v/>
      </c>
      <c r="H111" s="91" t="str">
        <f t="shared" si="9"/>
        <v/>
      </c>
      <c r="I111" s="91" t="str">
        <f t="shared" si="9"/>
        <v/>
      </c>
      <c r="J111" s="91" t="str">
        <f t="shared" si="9"/>
        <v/>
      </c>
      <c r="K111" s="91"/>
      <c r="L111" s="9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9</v>
      </c>
      <c r="B112" s="5" t="s">
        <v>640</v>
      </c>
      <c r="C112" t="s">
        <v>6</v>
      </c>
      <c r="D112" s="144"/>
      <c r="E112" s="144">
        <f t="shared" ref="E112:J112" si="10">IF(ISNUMBER(E101),E13,"")</f>
        <v>0</v>
      </c>
      <c r="F112" s="144">
        <f t="shared" si="10"/>
        <v>0</v>
      </c>
      <c r="G112" s="144" t="str">
        <f t="shared" si="10"/>
        <v/>
      </c>
      <c r="H112" s="144" t="str">
        <f t="shared" si="10"/>
        <v/>
      </c>
      <c r="I112" s="144" t="str">
        <f t="shared" si="10"/>
        <v/>
      </c>
      <c r="J112" s="144" t="str">
        <f t="shared" si="10"/>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10</v>
      </c>
      <c r="B113" s="5" t="s">
        <v>641</v>
      </c>
      <c r="C113" t="s">
        <v>6</v>
      </c>
      <c r="D113" s="144"/>
      <c r="E113" s="144">
        <f>IF(ISNUMBER(E101),E111-E112,"")</f>
        <v>0</v>
      </c>
      <c r="F113" s="144">
        <f t="shared" ref="F113:J113" si="11">IF(ISNUMBER(F101),F111-F112,"")</f>
        <v>0</v>
      </c>
      <c r="G113" s="144" t="str">
        <f t="shared" si="11"/>
        <v/>
      </c>
      <c r="H113" s="144" t="str">
        <f t="shared" si="11"/>
        <v/>
      </c>
      <c r="I113" s="144" t="str">
        <f t="shared" si="11"/>
        <v/>
      </c>
      <c r="J113" s="144" t="str">
        <f t="shared" si="11"/>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c r="B114" s="124" t="s">
        <v>976</v>
      </c>
      <c r="C114"/>
      <c r="D114" s="144"/>
      <c r="E114" s="144"/>
      <c r="F114" s="144"/>
      <c r="G114" s="144"/>
      <c r="H114" s="144"/>
      <c r="I114" s="144"/>
      <c r="J114" s="144"/>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11</v>
      </c>
      <c r="B115" s="5" t="s">
        <v>643</v>
      </c>
      <c r="C115" t="s">
        <v>612</v>
      </c>
      <c r="D115" s="144"/>
      <c r="E115" s="144" t="e">
        <f>IF(ISNUMBER(E101),E113/D110*100,"")</f>
        <v>#DIV/0!</v>
      </c>
      <c r="F115" s="144" t="e">
        <f t="shared" ref="F115:J115" si="12">IF(ISNUMBER(F101),F113/E110*100,"")</f>
        <v>#DIV/0!</v>
      </c>
      <c r="G115" s="144" t="str">
        <f t="shared" si="12"/>
        <v/>
      </c>
      <c r="H115" s="144" t="str">
        <f t="shared" si="12"/>
        <v/>
      </c>
      <c r="I115" s="144" t="str">
        <f t="shared" si="12"/>
        <v/>
      </c>
      <c r="J115" s="144" t="str">
        <f t="shared" si="12"/>
        <v/>
      </c>
      <c r="K115" s="144"/>
      <c r="L115"/>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12</v>
      </c>
      <c r="B116" s="5" t="s">
        <v>994</v>
      </c>
      <c r="C116" t="s">
        <v>612</v>
      </c>
      <c r="D116" s="144"/>
      <c r="E116" s="261">
        <f t="shared" ref="E116:J116" si="13">IF(ISNUMBER(E101),E34,"")</f>
        <v>0</v>
      </c>
      <c r="F116" s="144">
        <f t="shared" si="13"/>
        <v>0</v>
      </c>
      <c r="G116" s="144" t="str">
        <f t="shared" si="13"/>
        <v/>
      </c>
      <c r="H116" s="144" t="str">
        <f t="shared" si="13"/>
        <v/>
      </c>
      <c r="I116" s="144" t="str">
        <f t="shared" si="13"/>
        <v/>
      </c>
      <c r="J116" s="144" t="str">
        <f t="shared" si="13"/>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13</v>
      </c>
      <c r="B117" s="5" t="s">
        <v>977</v>
      </c>
      <c r="C117" t="s">
        <v>6</v>
      </c>
      <c r="D117" s="144"/>
      <c r="E117" s="261" t="e">
        <f>IF(ISNUMBER(E101),((E115-E116)/100)*D110,"")</f>
        <v>#DIV/0!</v>
      </c>
      <c r="F117" s="144" t="e">
        <f t="shared" ref="F117:J117" si="14">IF(ISNUMBER(F101),((F115-F116)/100)*E110,"")</f>
        <v>#DIV/0!</v>
      </c>
      <c r="G117" s="144" t="str">
        <f t="shared" si="14"/>
        <v/>
      </c>
      <c r="H117" s="144" t="str">
        <f t="shared" si="14"/>
        <v/>
      </c>
      <c r="I117" s="144" t="str">
        <f t="shared" si="14"/>
        <v/>
      </c>
      <c r="J117" s="144" t="str">
        <f t="shared" si="14"/>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v>14</v>
      </c>
      <c r="B118" s="143" t="s">
        <v>978</v>
      </c>
      <c r="C118" s="7" t="s">
        <v>6</v>
      </c>
      <c r="D118" s="144"/>
      <c r="E118" s="261" t="e">
        <f>IF(ISNUMBER(E101),E117+IF(ISNUMBER(D101),D118,0),"")</f>
        <v>#DIV/0!</v>
      </c>
      <c r="F118" s="144" t="e">
        <f t="shared" ref="F118:J118" si="15">IF(ISNUMBER(F101),F117+IF(ISNUMBER(E101),E118,0),"")</f>
        <v>#DIV/0!</v>
      </c>
      <c r="G118" s="144" t="str">
        <f t="shared" si="15"/>
        <v/>
      </c>
      <c r="H118" s="144" t="str">
        <f t="shared" si="15"/>
        <v/>
      </c>
      <c r="I118" s="144" t="str">
        <f t="shared" si="15"/>
        <v/>
      </c>
      <c r="J118" s="144" t="str">
        <f t="shared" si="15"/>
        <v/>
      </c>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15</v>
      </c>
      <c r="B119" s="5" t="s">
        <v>9</v>
      </c>
      <c r="C119" t="s">
        <v>6</v>
      </c>
      <c r="D119" s="144">
        <f t="shared" ref="D119:J119" si="16">IF(ISNUMBER(D101),D27,"")</f>
        <v>0</v>
      </c>
      <c r="E119" s="144">
        <f t="shared" si="16"/>
        <v>0</v>
      </c>
      <c r="F119" s="144">
        <f t="shared" si="16"/>
        <v>0</v>
      </c>
      <c r="G119" s="144" t="str">
        <f t="shared" si="16"/>
        <v/>
      </c>
      <c r="H119" s="144" t="str">
        <f t="shared" si="16"/>
        <v/>
      </c>
      <c r="I119" s="144" t="str">
        <f t="shared" si="16"/>
        <v/>
      </c>
      <c r="J119" s="144" t="str">
        <f t="shared" si="16"/>
        <v/>
      </c>
      <c r="K119" s="144"/>
      <c r="L119" s="9"/>
      <c r="M119" s="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ht="21.4" customHeight="1" x14ac:dyDescent="0.4">
      <c r="B120" s="7" t="s">
        <v>652</v>
      </c>
      <c r="C120" s="19"/>
      <c r="D120" s="3"/>
      <c r="E120" s="3"/>
      <c r="F120" s="3"/>
      <c r="G120" s="3"/>
      <c r="H120" s="3"/>
      <c r="I120" s="3"/>
      <c r="J120" s="3"/>
      <c r="K120" s="3"/>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16</v>
      </c>
      <c r="B121" s="5" t="s">
        <v>613</v>
      </c>
      <c r="C121" t="s">
        <v>614</v>
      </c>
      <c r="D121"/>
      <c r="E121" s="260" t="e">
        <f>IF(ISNUMBER(E101),E117/E$119*100,"")</f>
        <v>#DIV/0!</v>
      </c>
      <c r="F121" s="4" t="e">
        <f t="shared" ref="F121:J121" si="17">IF(ISNUMBER(F101),F117/F$119*100,"")</f>
        <v>#DIV/0!</v>
      </c>
      <c r="G121" s="4" t="str">
        <f t="shared" si="17"/>
        <v/>
      </c>
      <c r="H121" s="4" t="str">
        <f t="shared" si="17"/>
        <v/>
      </c>
      <c r="I121" s="4" t="str">
        <f t="shared" si="17"/>
        <v/>
      </c>
      <c r="J121" s="4" t="str">
        <f t="shared" si="17"/>
        <v/>
      </c>
      <c r="K121" s="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17</v>
      </c>
      <c r="B122" s="5" t="s">
        <v>993</v>
      </c>
      <c r="C122" t="s">
        <v>614</v>
      </c>
      <c r="D122"/>
      <c r="E122" s="260" t="e">
        <f>IF(ISNUMBER(E101),E118/E$119*100,"")</f>
        <v>#DIV/0!</v>
      </c>
      <c r="F122" s="4" t="e">
        <f t="shared" ref="F122:J122" si="18">IF(ISNUMBER(F101),F118/F$119*100,"")</f>
        <v>#DIV/0!</v>
      </c>
      <c r="G122" s="4" t="str">
        <f t="shared" si="18"/>
        <v/>
      </c>
      <c r="H122" s="4" t="str">
        <f t="shared" si="18"/>
        <v/>
      </c>
      <c r="I122" s="4" t="str">
        <f t="shared" si="18"/>
        <v/>
      </c>
      <c r="J122" s="4" t="str">
        <f t="shared" si="18"/>
        <v/>
      </c>
      <c r="K122" s="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ht="20.85" customHeight="1" x14ac:dyDescent="0.4">
      <c r="A123" s="3"/>
      <c r="B123" s="7" t="s">
        <v>979</v>
      </c>
      <c r="C123" s="19"/>
      <c r="D123" s="3"/>
      <c r="E123" s="3"/>
      <c r="F123" s="3"/>
      <c r="G123" s="3"/>
      <c r="H123" s="3"/>
      <c r="I123" s="3"/>
      <c r="J123" s="3"/>
      <c r="K123" s="3"/>
      <c r="L123"/>
      <c r="M123"/>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x14ac:dyDescent="0.4">
      <c r="A124" s="3" t="s">
        <v>659</v>
      </c>
      <c r="B124" s="5" t="s">
        <v>613</v>
      </c>
      <c r="C124" t="s">
        <v>614</v>
      </c>
      <c r="D124"/>
      <c r="E124" s="4" t="e">
        <f>IF(ISNUMBER(E101),E117/E$119*100,"")</f>
        <v>#DIV/0!</v>
      </c>
      <c r="F124" s="4" t="e">
        <f t="shared" ref="F124:J124" si="19">IF(ISNUMBER(F101),F117/F$119*100,"")</f>
        <v>#DIV/0!</v>
      </c>
      <c r="G124" s="4" t="str">
        <f t="shared" si="19"/>
        <v/>
      </c>
      <c r="H124" s="4" t="str">
        <f t="shared" si="19"/>
        <v/>
      </c>
      <c r="I124" s="4" t="str">
        <f t="shared" si="19"/>
        <v/>
      </c>
      <c r="J124" s="4" t="str">
        <f t="shared" si="19"/>
        <v/>
      </c>
      <c r="K124" s="4"/>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c r="B125" s="5" t="s">
        <v>609</v>
      </c>
      <c r="C125" t="s">
        <v>6</v>
      </c>
      <c r="D125" s="144">
        <f t="shared" ref="D125:J125" si="20">IF(ISNUMBER(D101),D14,"")</f>
        <v>0</v>
      </c>
      <c r="E125" s="144">
        <f t="shared" si="20"/>
        <v>0</v>
      </c>
      <c r="F125" s="144">
        <f t="shared" si="20"/>
        <v>0</v>
      </c>
      <c r="G125" s="144" t="str">
        <f t="shared" si="20"/>
        <v/>
      </c>
      <c r="H125" s="144" t="str">
        <f t="shared" si="20"/>
        <v/>
      </c>
      <c r="I125" s="144" t="str">
        <f t="shared" si="20"/>
        <v/>
      </c>
      <c r="J125" s="144" t="str">
        <f t="shared" si="20"/>
        <v/>
      </c>
      <c r="K125" s="14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c r="B126" s="5" t="s">
        <v>609</v>
      </c>
      <c r="C126" t="s">
        <v>614</v>
      </c>
      <c r="D126" s="4" t="e">
        <f t="shared" ref="D126:J126" si="21">IF(ISNUMBER(D101),D14/D119*100,"")</f>
        <v>#DIV/0!</v>
      </c>
      <c r="E126" s="4" t="e">
        <f t="shared" si="21"/>
        <v>#DIV/0!</v>
      </c>
      <c r="F126" s="4" t="e">
        <f t="shared" si="21"/>
        <v>#DIV/0!</v>
      </c>
      <c r="G126" s="4" t="str">
        <f t="shared" si="21"/>
        <v/>
      </c>
      <c r="H126" s="4" t="str">
        <f t="shared" si="21"/>
        <v/>
      </c>
      <c r="I126" s="4" t="str">
        <f t="shared" si="21"/>
        <v/>
      </c>
      <c r="J126" s="4" t="str">
        <f t="shared" si="21"/>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x14ac:dyDescent="0.4">
      <c r="A127" s="3"/>
      <c r="B127" s="5" t="s">
        <v>658</v>
      </c>
      <c r="C127" t="s">
        <v>6</v>
      </c>
      <c r="D127" s="4"/>
      <c r="E127" s="4">
        <f>IF(ISNUMBER(E101),E125-D125,"")</f>
        <v>0</v>
      </c>
      <c r="F127" s="4">
        <f t="shared" ref="F127:J127" si="22">IF(ISNUMBER(F101),F125-E125,"")</f>
        <v>0</v>
      </c>
      <c r="G127" s="4" t="str">
        <f t="shared" si="22"/>
        <v/>
      </c>
      <c r="H127" s="4" t="str">
        <f t="shared" si="22"/>
        <v/>
      </c>
      <c r="I127" s="4" t="str">
        <f t="shared" si="22"/>
        <v/>
      </c>
      <c r="J127" s="4" t="str">
        <f t="shared" si="22"/>
        <v/>
      </c>
      <c r="K127" s="4"/>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B128" s="5" t="s">
        <v>658</v>
      </c>
      <c r="C128" t="s">
        <v>614</v>
      </c>
      <c r="E128" s="4" t="e">
        <f>IF(ISNUMBER(E101),E127/E$27*100,"")</f>
        <v>#DIV/0!</v>
      </c>
      <c r="F128" s="4" t="e">
        <f>IF(ISNUMBER(F101),F127/F$27*100,"")</f>
        <v>#DIV/0!</v>
      </c>
      <c r="G128" s="4" t="str">
        <f t="shared" ref="G128:J128" si="23">IF(ISNUMBER(G101),G127/G$27*100,"")</f>
        <v/>
      </c>
      <c r="H128" s="4" t="str">
        <f t="shared" si="23"/>
        <v/>
      </c>
      <c r="I128" s="4" t="str">
        <f t="shared" si="23"/>
        <v/>
      </c>
      <c r="J128" s="4" t="str">
        <f t="shared" si="23"/>
        <v/>
      </c>
      <c r="K128" s="4"/>
    </row>
    <row r="129" spans="1:35" x14ac:dyDescent="0.4">
      <c r="B129" s="5" t="str">
        <f>"Growth of defence expenditure since "&amp;'Step 1 - Set global parameters'!B27&amp;""</f>
        <v>Growth of defence expenditure since Enter year</v>
      </c>
      <c r="C129" t="s">
        <v>6</v>
      </c>
      <c r="E129" s="4" t="e">
        <f>IF(ISNUMBER(E101),E130/100*E$27,"")</f>
        <v>#DIV/0!</v>
      </c>
      <c r="F129" s="4" t="e">
        <f t="shared" ref="F129:G129" si="24">IF(ISNUMBER(F101),F130/100*F$27,"")</f>
        <v>#DIV/0!</v>
      </c>
      <c r="G129" s="4" t="str">
        <f t="shared" si="24"/>
        <v/>
      </c>
      <c r="H129" s="4"/>
      <c r="I129" s="4"/>
      <c r="J129" s="4"/>
      <c r="K129" s="4"/>
    </row>
    <row r="130" spans="1:35" x14ac:dyDescent="0.4">
      <c r="B130" s="5" t="str">
        <f>"Growth of defence expenditure since "&amp;'Step 1 - Set global parameters'!B27&amp;""</f>
        <v>Growth of defence expenditure since Enter year</v>
      </c>
      <c r="C130" t="s">
        <v>614</v>
      </c>
      <c r="E130" s="4" t="e">
        <f>IF(ISNUMBER(E101),E126-'Step 1 - Set global parameters'!$B$28,"")</f>
        <v>#DIV/0!</v>
      </c>
      <c r="F130" s="4" t="e">
        <f>IF(ISNUMBER(F101),F126-'Step 1 - Set global parameters'!$B$28,"")</f>
        <v>#DIV/0!</v>
      </c>
      <c r="G130" s="4" t="str">
        <f>IF(ISNUMBER(G101),G126-'Step 1 - Set global parameters'!$B$28,"")</f>
        <v/>
      </c>
      <c r="H130" s="4" t="str">
        <f>IF(ISNUMBER(H101),H126-'Step 1 - Set global parameters'!$B$28,"")</f>
        <v/>
      </c>
      <c r="I130" s="4" t="str">
        <f>IF(ISNUMBER(I101),I126-'Step 1 - Set global parameters'!$B$28,"")</f>
        <v/>
      </c>
      <c r="J130" s="4" t="str">
        <f>IF(ISNUMBER(J101),J126-'Step 1 - Set global parameters'!$B$28,"")</f>
        <v/>
      </c>
      <c r="K130" s="4"/>
    </row>
    <row r="131" spans="1:35" x14ac:dyDescent="0.4">
      <c r="B131" s="5" t="s">
        <v>661</v>
      </c>
      <c r="C131" s="14" t="s">
        <v>614</v>
      </c>
      <c r="E131" s="117" t="e">
        <f t="shared" ref="E131:J131" si="25">IF(ISNUMBER(E101),IF((E124-E130)&gt;0,E124-E130,0),"")</f>
        <v>#DIV/0!</v>
      </c>
      <c r="F131" s="117" t="e">
        <f t="shared" si="25"/>
        <v>#DIV/0!</v>
      </c>
      <c r="G131" s="117" t="str">
        <f t="shared" si="25"/>
        <v/>
      </c>
      <c r="H131" s="117" t="str">
        <f t="shared" si="25"/>
        <v/>
      </c>
      <c r="I131" s="117" t="str">
        <f t="shared" si="25"/>
        <v/>
      </c>
      <c r="J131" s="117" t="str">
        <f t="shared" si="25"/>
        <v/>
      </c>
      <c r="K131" s="117"/>
    </row>
    <row r="132" spans="1:35" s="44" customFormat="1" x14ac:dyDescent="0.4">
      <c r="B132" s="82" t="s">
        <v>663</v>
      </c>
      <c r="C132" s="44" t="s">
        <v>662</v>
      </c>
      <c r="E132" s="48" t="e">
        <f>IF(ISNUMBER(E101),E117,"")</f>
        <v>#DIV/0!</v>
      </c>
      <c r="F132" s="48" t="e">
        <f t="shared" ref="F132:J132" si="26">IF(ISNUMBER(F101),F117,"")</f>
        <v>#DIV/0!</v>
      </c>
      <c r="G132" s="48" t="str">
        <f t="shared" si="26"/>
        <v/>
      </c>
      <c r="H132" s="48" t="str">
        <f t="shared" si="26"/>
        <v/>
      </c>
      <c r="I132" s="48" t="str">
        <f t="shared" si="26"/>
        <v/>
      </c>
      <c r="J132" s="48" t="str">
        <f t="shared" si="26"/>
        <v/>
      </c>
      <c r="K132" s="48"/>
    </row>
    <row r="133" spans="1:35" s="44" customFormat="1" x14ac:dyDescent="0.4">
      <c r="B133" s="90" t="s">
        <v>249</v>
      </c>
      <c r="C133" s="44" t="s">
        <v>662</v>
      </c>
      <c r="D133" s="48"/>
      <c r="E133" s="48" t="e">
        <f>IF(ISNUMBER(E101),IF(OR(E132="",ISNA(E132)),"",MAX(E132,0)),"")</f>
        <v>#DIV/0!</v>
      </c>
      <c r="F133" s="48" t="e">
        <f t="shared" ref="F133:J133" si="27">IF(ISNUMBER(F101),IF(OR(F132="",ISNA(F132)),"",MAX(F132,0)),"")</f>
        <v>#DIV/0!</v>
      </c>
      <c r="G133" s="48" t="str">
        <f t="shared" si="27"/>
        <v/>
      </c>
      <c r="H133" s="48" t="str">
        <f t="shared" si="27"/>
        <v/>
      </c>
      <c r="I133" s="48" t="str">
        <f t="shared" si="27"/>
        <v/>
      </c>
      <c r="J133" s="48" t="str">
        <f t="shared" si="27"/>
        <v/>
      </c>
      <c r="K133" s="48"/>
    </row>
    <row r="134" spans="1:35" s="44" customFormat="1" x14ac:dyDescent="0.4">
      <c r="B134" s="90" t="s">
        <v>660</v>
      </c>
      <c r="C134" s="44" t="s">
        <v>662</v>
      </c>
      <c r="E134" s="48" t="e">
        <f>IF(ISNUMBER(E101),IF((E133-MAX(E129,0))&gt;0,E133-MAX(E129,0),0),"")</f>
        <v>#DIV/0!</v>
      </c>
      <c r="F134" s="48" t="e">
        <f t="shared" ref="F134:G134" si="28">IF(ISNUMBER(F101),IF((F133-MAX(F129,0))&gt;0,F133-MAX(F129,0),0),"")</f>
        <v>#DIV/0!</v>
      </c>
      <c r="G134" s="48" t="str">
        <f t="shared" si="28"/>
        <v/>
      </c>
      <c r="H134" s="48" t="str">
        <f t="shared" ref="H134:J134" si="29">IF(ISNUMBER(H101),IF((H133-MAX(H127,0))&gt;0,H133-MAX(H127,0),0),"")</f>
        <v/>
      </c>
      <c r="I134" s="48" t="str">
        <f t="shared" si="29"/>
        <v/>
      </c>
      <c r="J134" s="48" t="str">
        <f t="shared" si="29"/>
        <v/>
      </c>
      <c r="K134" s="48"/>
    </row>
    <row r="135" spans="1:35" s="44" customFormat="1" x14ac:dyDescent="0.4">
      <c r="B135" s="90" t="s">
        <v>250</v>
      </c>
      <c r="C135" s="44" t="s">
        <v>662</v>
      </c>
      <c r="D135" s="48"/>
      <c r="E135" s="48" t="e">
        <f>IF(ISNUMBER(E101),IF(OR(E132="",ISNA(E132)),"",ABS(MIN(E132,0))),"")</f>
        <v>#DIV/0!</v>
      </c>
      <c r="F135" s="48" t="e">
        <f t="shared" ref="F135:J135" si="30">IF(ISNUMBER(F101),IF(OR(F132="",ISNA(F132)),"",ABS(MIN(F132,0))),"")</f>
        <v>#DIV/0!</v>
      </c>
      <c r="G135" s="48" t="str">
        <f t="shared" si="30"/>
        <v/>
      </c>
      <c r="H135" s="48" t="str">
        <f t="shared" si="30"/>
        <v/>
      </c>
      <c r="I135" s="48" t="str">
        <f t="shared" si="30"/>
        <v/>
      </c>
      <c r="J135" s="48" t="str">
        <f t="shared" si="30"/>
        <v/>
      </c>
      <c r="K135" s="48"/>
    </row>
    <row r="136" spans="1:35" s="44" customFormat="1" x14ac:dyDescent="0.4">
      <c r="B136" s="55" t="s">
        <v>664</v>
      </c>
      <c r="C136" s="44" t="s">
        <v>662</v>
      </c>
      <c r="E136" s="48" t="e">
        <f>IF(ISNUMBER(E101),IF(E141=FALSE,E133-E135,IF(E142=TRUE,E134-E135,E135)),"")</f>
        <v>#DIV/0!</v>
      </c>
      <c r="F136" s="48" t="e">
        <f t="shared" ref="F136:J136" si="31">IF(ISNUMBER(F101),IF(F141=FALSE,F133-F135,IF(F142=TRUE,F134-F135,F135)),"")</f>
        <v>#DIV/0!</v>
      </c>
      <c r="G136" s="48" t="str">
        <f t="shared" si="31"/>
        <v/>
      </c>
      <c r="H136" s="48" t="str">
        <f t="shared" si="31"/>
        <v/>
      </c>
      <c r="I136" s="48" t="str">
        <f t="shared" si="31"/>
        <v/>
      </c>
      <c r="J136" s="48" t="str">
        <f t="shared" si="31"/>
        <v/>
      </c>
      <c r="K136" s="48"/>
    </row>
    <row r="137" spans="1:35" s="44" customFormat="1" x14ac:dyDescent="0.4">
      <c r="B137" s="55" t="s">
        <v>708</v>
      </c>
      <c r="C137" s="44" t="s">
        <v>662</v>
      </c>
      <c r="E137" s="48" t="e">
        <f>IF(ISNUMBER(E101),E136+IF(ISNUMBER(D101),D137,0),"")</f>
        <v>#DIV/0!</v>
      </c>
      <c r="F137" s="48" t="e">
        <f>IF(ISNUMBER(F101),F136+IF(ISNUMBER(E101),E137,0),"")</f>
        <v>#DIV/0!</v>
      </c>
      <c r="G137" s="48" t="str">
        <f>IF(ISNUMBER(G101),G136+IF(ISNUMBER(F101),F137,0),"")</f>
        <v/>
      </c>
      <c r="H137" s="48" t="str">
        <f t="shared" ref="H137:J137" si="32">IF(ISNUMBER(H101),H136+IF(ISNUMBER(G101),G137,0),"")</f>
        <v/>
      </c>
      <c r="I137" s="48" t="str">
        <f t="shared" si="32"/>
        <v/>
      </c>
      <c r="J137" s="48" t="str">
        <f t="shared" si="32"/>
        <v/>
      </c>
      <c r="K137" s="48"/>
    </row>
    <row r="138" spans="1:35" x14ac:dyDescent="0.4">
      <c r="A138" s="3"/>
      <c r="B138" s="5" t="s">
        <v>664</v>
      </c>
      <c r="C138" t="s">
        <v>614</v>
      </c>
      <c r="D138"/>
      <c r="E138" s="4" t="e">
        <f>IF(ISNUMBER(E101),E136/E119*100,"")</f>
        <v>#DIV/0!</v>
      </c>
      <c r="F138" s="4" t="e">
        <f t="shared" ref="F138:J138" si="33">IF(ISNUMBER(F101),F136/F119*100,"")</f>
        <v>#DIV/0!</v>
      </c>
      <c r="G138" s="4" t="str">
        <f t="shared" si="33"/>
        <v/>
      </c>
      <c r="H138" s="4" t="str">
        <f t="shared" si="33"/>
        <v/>
      </c>
      <c r="I138" s="4" t="str">
        <f t="shared" si="33"/>
        <v/>
      </c>
      <c r="J138" s="4" t="str">
        <f t="shared" si="33"/>
        <v/>
      </c>
      <c r="K138" s="4"/>
      <c r="L138"/>
      <c r="M138"/>
      <c r="N138"/>
      <c r="O138"/>
      <c r="P138"/>
      <c r="Q138"/>
      <c r="R138" s="71"/>
      <c r="S138" s="71"/>
      <c r="T138" s="71"/>
      <c r="U138" s="71"/>
      <c r="V138" s="71"/>
      <c r="W138" s="71"/>
      <c r="X138" s="71"/>
      <c r="Y138" s="71"/>
      <c r="Z138" s="71"/>
      <c r="AA138" s="71"/>
      <c r="AB138" s="71"/>
      <c r="AC138" s="71"/>
      <c r="AD138" s="71"/>
      <c r="AE138" s="71"/>
      <c r="AF138" s="71"/>
      <c r="AG138" s="71"/>
      <c r="AH138" s="71"/>
      <c r="AI138" s="71"/>
    </row>
    <row r="139" spans="1:35" x14ac:dyDescent="0.4">
      <c r="A139" s="3"/>
      <c r="B139" s="5" t="s">
        <v>984</v>
      </c>
      <c r="C139" t="s">
        <v>614</v>
      </c>
      <c r="D139"/>
      <c r="E139" s="4" t="e">
        <f>IF(ISNUMBER(E101),E137/E$119*100,"")</f>
        <v>#DIV/0!</v>
      </c>
      <c r="F139" s="4" t="e">
        <f t="shared" ref="F139:J139" si="34">IF(ISNUMBER(F101),F137/F$119*100,"")</f>
        <v>#DIV/0!</v>
      </c>
      <c r="G139" s="4" t="str">
        <f t="shared" si="34"/>
        <v/>
      </c>
      <c r="H139" s="4" t="str">
        <f t="shared" si="34"/>
        <v/>
      </c>
      <c r="I139" s="4" t="str">
        <f t="shared" si="34"/>
        <v/>
      </c>
      <c r="J139" s="4" t="str">
        <f t="shared" si="34"/>
        <v/>
      </c>
      <c r="K139" s="4"/>
      <c r="L139"/>
      <c r="M139"/>
      <c r="N139"/>
      <c r="O139"/>
      <c r="P139"/>
      <c r="Q139"/>
      <c r="R139" s="71"/>
      <c r="S139" s="71"/>
      <c r="T139" s="71"/>
      <c r="U139" s="71"/>
      <c r="V139" s="71"/>
      <c r="W139" s="71"/>
      <c r="X139" s="71"/>
      <c r="Y139" s="71"/>
      <c r="Z139" s="71"/>
      <c r="AA139" s="71"/>
      <c r="AB139" s="71"/>
      <c r="AC139" s="71"/>
      <c r="AD139" s="71"/>
      <c r="AE139" s="71"/>
      <c r="AF139" s="71"/>
      <c r="AG139" s="71"/>
      <c r="AH139" s="71"/>
      <c r="AI139" s="71"/>
    </row>
    <row r="140" spans="1:35" x14ac:dyDescent="0.4">
      <c r="A140" s="3"/>
      <c r="B140" s="5" t="s">
        <v>985</v>
      </c>
      <c r="C140"/>
      <c r="D140"/>
      <c r="E140" s="4" t="e">
        <f>IF(ISNUMBER(E101),E122-E130,"")</f>
        <v>#DIV/0!</v>
      </c>
      <c r="F140" s="4" t="e">
        <f t="shared" ref="F140:J140" si="35">IF(ISNUMBER(F101),F122-F130,"")</f>
        <v>#DIV/0!</v>
      </c>
      <c r="G140" s="4" t="str">
        <f t="shared" si="35"/>
        <v/>
      </c>
      <c r="H140" s="4" t="str">
        <f t="shared" si="35"/>
        <v/>
      </c>
      <c r="I140" s="4" t="str">
        <f t="shared" si="35"/>
        <v/>
      </c>
      <c r="J140" s="4" t="str">
        <f t="shared" si="35"/>
        <v/>
      </c>
      <c r="K140" s="4"/>
      <c r="L140"/>
      <c r="M140"/>
      <c r="N140"/>
      <c r="O140"/>
      <c r="P140"/>
      <c r="Q140"/>
      <c r="R140" s="71"/>
      <c r="S140" s="71"/>
      <c r="T140" s="71"/>
      <c r="U140" s="71"/>
      <c r="V140" s="71"/>
      <c r="W140" s="71"/>
      <c r="X140" s="71"/>
      <c r="Y140" s="71"/>
      <c r="Z140" s="71"/>
      <c r="AA140" s="71"/>
      <c r="AB140" s="71"/>
      <c r="AC140" s="71"/>
      <c r="AD140" s="71"/>
      <c r="AE140" s="71"/>
      <c r="AF140" s="71"/>
      <c r="AG140" s="71"/>
      <c r="AH140" s="71"/>
      <c r="AI140" s="71"/>
    </row>
    <row r="141" spans="1:35" x14ac:dyDescent="0.4">
      <c r="B141" s="55" t="str">
        <f>'Step 1 - Set global parameters'!A22</f>
        <v>Years for which an escape clause has been activated</v>
      </c>
      <c r="C141" s="44"/>
      <c r="D141" s="148"/>
      <c r="E141" s="148" t="b">
        <f>'Step 1 - Set global parameters'!B22</f>
        <v>0</v>
      </c>
      <c r="F141" s="148" t="b">
        <f>'Step 1 - Set global parameters'!C22</f>
        <v>0</v>
      </c>
      <c r="G141" s="148" t="b">
        <f>'Step 1 - Set global parameters'!D22</f>
        <v>0</v>
      </c>
      <c r="H141" s="148" t="b">
        <f>'Step 1 - Set global parameters'!E22</f>
        <v>0</v>
      </c>
      <c r="I141" s="148" t="b">
        <f>'Step 1 - Set global parameters'!F22</f>
        <v>0</v>
      </c>
      <c r="J141" s="148" t="b">
        <f>'Step 1 - Set global parameters'!G22</f>
        <v>0</v>
      </c>
      <c r="K141" s="148"/>
      <c r="L141" s="95"/>
      <c r="M141" s="95"/>
      <c r="N141" s="95"/>
      <c r="O141" s="95"/>
      <c r="P141" s="95"/>
      <c r="Q141" s="95"/>
      <c r="R141" s="58"/>
      <c r="S141" s="58"/>
    </row>
    <row r="142" spans="1:35" x14ac:dyDescent="0.4">
      <c r="B142" s="55" t="s">
        <v>649</v>
      </c>
      <c r="C142" s="44"/>
      <c r="D142" s="95"/>
      <c r="E142" s="148" t="e">
        <f>IF('Step 1 - Set global parameters'!B22,IF('Step 1 - Set global parameters'!B24="Defence", TRUE, FALSE),NA())</f>
        <v>#N/A</v>
      </c>
      <c r="F142" s="148" t="e">
        <f>IF('Step 1 - Set global parameters'!C22,IF('Step 1 - Set global parameters'!C24="Defence", TRUE, FALSE),NA())</f>
        <v>#N/A</v>
      </c>
      <c r="G142" s="148" t="e">
        <f>IF('Step 1 - Set global parameters'!D22,IF('Step 1 - Set global parameters'!D24="Defence", TRUE, FALSE),NA())</f>
        <v>#N/A</v>
      </c>
      <c r="H142" s="148" t="e">
        <f>IF('Step 1 - Set global parameters'!E22,IF('Step 1 - Set global parameters'!E24="Defence", TRUE, FALSE),NA())</f>
        <v>#N/A</v>
      </c>
      <c r="I142" s="148" t="e">
        <f>IF('Step 1 - Set global parameters'!F22,IF('Step 1 - Set global parameters'!F24="Defence", TRUE, FALSE),NA())</f>
        <v>#N/A</v>
      </c>
      <c r="J142" s="148" t="e">
        <f>IF('Step 1 - Set global parameters'!G22,IF('Step 1 - Set global parameters'!G24="Defence", TRUE, FALSE),NA())</f>
        <v>#N/A</v>
      </c>
      <c r="K142" s="148"/>
      <c r="L142" s="148"/>
      <c r="M142" s="148"/>
      <c r="N142" s="95"/>
      <c r="O142" s="95"/>
      <c r="P142" s="95"/>
      <c r="Q142" s="95"/>
      <c r="R142" s="58"/>
      <c r="S142" s="58"/>
    </row>
    <row r="143" spans="1:35" x14ac:dyDescent="0.4">
      <c r="B143" s="55" t="s">
        <v>982</v>
      </c>
      <c r="C143" s="44" t="s">
        <v>614</v>
      </c>
      <c r="D143" s="95"/>
      <c r="E143" s="148" t="e">
        <f>IF('Step 1 - Set global parameters'!B22,'Step 1 - Set global parameters'!B25,NA())</f>
        <v>#N/A</v>
      </c>
      <c r="F143" s="148" t="e">
        <f>IF('Step 1 - Set global parameters'!C22,'Step 1 - Set global parameters'!C25,NA())</f>
        <v>#N/A</v>
      </c>
      <c r="G143" s="148" t="e">
        <f>IF('Step 1 - Set global parameters'!D22,'Step 1 - Set global parameters'!D25,NA())</f>
        <v>#N/A</v>
      </c>
      <c r="H143" s="148" t="e">
        <f>IF('Step 1 - Set global parameters'!E22,'Step 1 - Set global parameters'!E25,NA())</f>
        <v>#N/A</v>
      </c>
      <c r="I143" s="148" t="e">
        <f>IF('Step 1 - Set global parameters'!F22,'Step 1 - Set global parameters'!F25,NA())</f>
        <v>#N/A</v>
      </c>
      <c r="J143" s="148" t="e">
        <f>IF('Step 1 - Set global parameters'!G22,'Step 1 - Set global parameters'!G25,NA())</f>
        <v>#N/A</v>
      </c>
      <c r="K143" s="148"/>
      <c r="L143" s="148"/>
      <c r="M143" s="148"/>
      <c r="N143" s="95"/>
      <c r="O143" s="95"/>
      <c r="P143" s="95"/>
      <c r="Q143" s="95"/>
      <c r="R143" s="58"/>
      <c r="S143" s="58"/>
    </row>
    <row r="144" spans="1:35" x14ac:dyDescent="0.4">
      <c r="B144" t="s">
        <v>471</v>
      </c>
      <c r="C144" s="37"/>
      <c r="D144" s="76"/>
      <c r="E144" s="76"/>
      <c r="F144" s="76" t="e">
        <f>F138 &gt; 0.3</f>
        <v>#DIV/0!</v>
      </c>
      <c r="G144" s="76" t="b">
        <f>G138 &gt; 0.3</f>
        <v>1</v>
      </c>
      <c r="H144" s="76" t="b">
        <f>H138 &gt; 0.3</f>
        <v>1</v>
      </c>
      <c r="I144" s="76" t="b">
        <f>I138 &gt; 0.3</f>
        <v>1</v>
      </c>
      <c r="J144" s="76" t="b">
        <f>J138 &gt; 0.3</f>
        <v>1</v>
      </c>
      <c r="K144" s="76"/>
      <c r="L144" s="76"/>
      <c r="M144" s="37"/>
      <c r="N144" s="37"/>
      <c r="O144" s="71"/>
      <c r="P144" s="71"/>
      <c r="Q144" s="71"/>
      <c r="R144" s="71"/>
      <c r="S144" s="71"/>
      <c r="T144" s="71"/>
      <c r="U144" s="71"/>
      <c r="V144" s="71"/>
      <c r="W144" s="71"/>
      <c r="X144" s="71"/>
      <c r="Y144" s="71"/>
      <c r="Z144" s="71"/>
      <c r="AA144" s="71"/>
      <c r="AB144" s="71"/>
      <c r="AC144" s="71"/>
      <c r="AD144" s="71"/>
      <c r="AE144" s="71"/>
      <c r="AF144" s="71"/>
      <c r="AG144" s="71"/>
      <c r="AH144" s="71"/>
      <c r="AI144" s="71"/>
    </row>
    <row r="145" spans="1:35" x14ac:dyDescent="0.4">
      <c r="B145" s="7" t="s">
        <v>472</v>
      </c>
      <c r="C145" s="93"/>
      <c r="D145" s="120"/>
      <c r="E145" s="119"/>
      <c r="F145" s="119" t="e">
        <f>IF(F139 &gt; 0.6, TRUE, FALSE)</f>
        <v>#DIV/0!</v>
      </c>
      <c r="G145" s="119" t="b">
        <f>IF(G139 &gt; 0.6, TRUE, FALSE)</f>
        <v>1</v>
      </c>
      <c r="H145" s="119" t="b">
        <f>IF(H139 &gt; 0.6, TRUE, FALSE)</f>
        <v>1</v>
      </c>
      <c r="I145" s="119" t="b">
        <f>IF(I139 &gt; 0.6, TRUE, FALSE)</f>
        <v>1</v>
      </c>
      <c r="J145" s="119" t="b">
        <f>IF(J139 &gt; 0.6, TRUE, FALSE)</f>
        <v>1</v>
      </c>
      <c r="K145" s="119"/>
      <c r="L145" s="119"/>
      <c r="M145" s="37"/>
      <c r="N145" s="37"/>
      <c r="O145" s="71"/>
      <c r="P145" s="71"/>
      <c r="Q145" s="71"/>
      <c r="R145" s="71"/>
      <c r="S145" s="71"/>
      <c r="T145" s="71"/>
      <c r="U145" s="71"/>
      <c r="V145" s="71"/>
      <c r="W145" s="71"/>
      <c r="X145" s="71"/>
      <c r="Y145" s="71"/>
      <c r="Z145" s="71"/>
      <c r="AA145" s="71"/>
      <c r="AB145" s="71"/>
      <c r="AC145" s="71"/>
      <c r="AD145" s="71"/>
      <c r="AE145" s="71"/>
      <c r="AF145" s="71"/>
      <c r="AG145" s="71"/>
      <c r="AH145" s="71"/>
      <c r="AI145" s="71"/>
    </row>
    <row r="146" spans="1:35" x14ac:dyDescent="0.4">
      <c r="A146" s="3"/>
      <c r="B146" s="5"/>
      <c r="D146"/>
      <c r="E146" s="4"/>
      <c r="F146" s="4"/>
      <c r="G146" s="4"/>
      <c r="H146" s="4"/>
      <c r="I146" s="4"/>
      <c r="J146"/>
      <c r="K146"/>
      <c r="L146"/>
      <c r="M146"/>
      <c r="N146"/>
      <c r="O146"/>
      <c r="P146"/>
      <c r="Q146"/>
      <c r="R146" s="71"/>
      <c r="S146" s="71"/>
      <c r="T146" s="71"/>
      <c r="U146" s="71"/>
      <c r="V146" s="71"/>
      <c r="W146" s="71"/>
      <c r="X146" s="71"/>
      <c r="Y146" s="71"/>
      <c r="Z146" s="71"/>
      <c r="AA146" s="71"/>
      <c r="AB146" s="71"/>
      <c r="AC146" s="71"/>
      <c r="AD146" s="71"/>
      <c r="AE146" s="71"/>
      <c r="AF146" s="71"/>
      <c r="AG146" s="71"/>
      <c r="AH146" s="71"/>
      <c r="AI146" s="71"/>
    </row>
    <row r="147" spans="1:35" x14ac:dyDescent="0.4">
      <c r="B147" s="46" t="s">
        <v>665</v>
      </c>
      <c r="C147" s="46" t="e">
        <f>MAX(INDEX(138:138,_xlfn.XMATCH(MTP_YearT,101:101,0)):INDEX(138:138,_xlfn.XMATCH(AssessmentEnd,101:101,0)))&gt;0.3</f>
        <v>#DIV/0!</v>
      </c>
      <c r="D147" s="58"/>
      <c r="E147" s="58"/>
      <c r="F147" s="58"/>
      <c r="G147" s="58"/>
      <c r="H147" s="58"/>
      <c r="I147" s="58"/>
      <c r="J147" s="58"/>
      <c r="K147" s="58"/>
      <c r="L147" s="58"/>
      <c r="M147" s="58"/>
      <c r="N147" s="58"/>
      <c r="O147" s="58"/>
      <c r="P147" s="58"/>
      <c r="Q147" s="58"/>
      <c r="R147" s="58"/>
      <c r="S147" s="58"/>
      <c r="T147" s="58"/>
    </row>
    <row r="148" spans="1:35" x14ac:dyDescent="0.4">
      <c r="B148" s="46" t="s">
        <v>672</v>
      </c>
      <c r="C148" s="46" t="e">
        <f>MAX(INDEX(139:139,_xlfn.XMATCH(MTP_YearT,101:101,0)):INDEX(139:139,_xlfn.XMATCH(AssessmentEnd,101:101,0)))&gt;0.6</f>
        <v>#DIV/0!</v>
      </c>
      <c r="D148" s="58"/>
      <c r="E148" s="58"/>
      <c r="F148" s="58"/>
      <c r="G148" s="58"/>
      <c r="H148" s="58"/>
      <c r="I148" s="58"/>
      <c r="J148" s="58"/>
      <c r="K148" s="58"/>
      <c r="L148" s="58"/>
      <c r="M148" s="58"/>
      <c r="N148" s="58"/>
      <c r="O148" s="58"/>
      <c r="P148" s="58"/>
      <c r="Q148" s="58"/>
      <c r="R148" s="58"/>
      <c r="S148" s="58"/>
      <c r="T148" s="58"/>
    </row>
    <row r="149" spans="1:35" x14ac:dyDescent="0.4">
      <c r="B149" s="46" t="s">
        <v>666</v>
      </c>
      <c r="C149" s="46" t="e">
        <f>MAX(INDEX(138:138,_xlfn.XMATCH(MTP_YearT,101:101,0)):INDEX(138:138,_xlfn.XMATCH(OutturnThrough,101:101,0)))&gt;0.3</f>
        <v>#DIV/0!</v>
      </c>
      <c r="D149" s="58"/>
      <c r="E149" s="58"/>
      <c r="F149" s="58"/>
      <c r="G149" s="58"/>
      <c r="H149" s="58"/>
      <c r="I149" s="58"/>
      <c r="J149" s="58"/>
      <c r="K149" s="58"/>
      <c r="L149" s="58"/>
      <c r="M149" s="58"/>
      <c r="N149" s="58"/>
      <c r="O149" s="58"/>
      <c r="P149" s="58"/>
      <c r="Q149" s="58"/>
      <c r="R149" s="58"/>
      <c r="S149" s="58"/>
      <c r="T149" s="58"/>
    </row>
    <row r="150" spans="1:35" x14ac:dyDescent="0.4">
      <c r="B150" s="46" t="s">
        <v>673</v>
      </c>
      <c r="C150" s="46" t="e">
        <f>MAX(INDEX(139:139,_xlfn.XMATCH(MTP_YearT,101:101,0)):INDEX(139:139,_xlfn.XMATCH(OutturnThrough,101:101,0)))&gt;0.6</f>
        <v>#DIV/0!</v>
      </c>
      <c r="D150" s="58"/>
      <c r="E150" s="58"/>
      <c r="F150" s="58"/>
      <c r="G150" s="58"/>
      <c r="H150" s="58"/>
      <c r="I150" s="58"/>
      <c r="J150" s="58"/>
      <c r="K150" s="58"/>
      <c r="L150" s="58"/>
      <c r="M150" s="58"/>
      <c r="N150" s="58"/>
      <c r="O150" s="58"/>
      <c r="P150" s="58"/>
      <c r="Q150" s="58"/>
      <c r="R150" s="58"/>
      <c r="S150" s="58"/>
      <c r="T150" s="58"/>
    </row>
    <row r="151" spans="1:35" x14ac:dyDescent="0.4">
      <c r="B151" s="46" t="s">
        <v>668</v>
      </c>
      <c r="C151" s="46" t="e" cm="1">
        <f t="array" ref="C151">IF(SUMPRODUCT((INDEX(141:141,_xlfn.XMATCH(MTP_YearT,101:101,0)+_xlfn.SEQUENCE(1,AssessmentEnd-MTP_YearT+1)-1)=TRUE)*1)=0,NA(),ISNUMBER(MATCH(TRUE,IF(INDEX(141:141,_xlfn.XMATCH(MTP_YearT,101:101,0)+_xlfn.SEQUENCE(1,AssessmentEnd-MTP_YearT+1)-1)=TRUE,INDEX(139:139,_xlfn.XMATCH(MTP_YearT,101:101,0)+_xlfn.SEQUENCE(1,AssessmentEnd-MTP_YearT+1)-1)&gt;INDEX(143:143,_xlfn.XMATCH(MTP_YearT,101:101,0)+_xlfn.SEQUENCE(1,AssessmentEnd-MTP_YearT+1)-1),FALSE),0)))</f>
        <v>#N/A</v>
      </c>
      <c r="D151" s="58"/>
      <c r="E151" s="58"/>
      <c r="F151" s="58"/>
      <c r="G151" s="58"/>
      <c r="H151" s="58"/>
      <c r="I151" s="58"/>
      <c r="J151" s="58"/>
      <c r="K151" s="58"/>
      <c r="L151" s="58"/>
      <c r="M151" s="58"/>
      <c r="N151" s="58"/>
      <c r="O151" s="58"/>
      <c r="P151" s="58"/>
      <c r="Q151" s="58"/>
      <c r="R151" s="58"/>
      <c r="S151" s="58"/>
      <c r="T151" s="58"/>
    </row>
    <row r="152" spans="1:35" x14ac:dyDescent="0.4">
      <c r="B152" s="46" t="s">
        <v>669</v>
      </c>
      <c r="C152" s="46" t="e" cm="1">
        <f t="array" ref="C152">IF(SUMPRODUCT((INDEX(141:141,_xlfn.XMATCH(MTP_YearT,101:101,0)+_xlfn.SEQUENCE(1,OutturnThrough-MTP_YearT+1)-1)=TRUE)*1)=0,NA(),ISNUMBER(MATCH(TRUE,IF(INDEX(141:141,_xlfn.XMATCH(MTP_YearT,101:101,0)+_xlfn.SEQUENCE(1,OutturnThrough-MTP_YearT+1)-1)=TRUE,INDEX(121:121,_xlfn.XMATCH(MTP_YearT,101:101,0)+_xlfn.SEQUENCE(1,OutturnThrough-MTP_YearT+1)-1)&gt;INDEX(143:143,_xlfn.XMATCH(MTP_YearT,101:101,0)+_xlfn.SEQUENCE(1,OutturnThrough-MTP_YearT+1)-1),FALSE),0)))</f>
        <v>#N/A</v>
      </c>
      <c r="D152" s="58"/>
      <c r="E152" s="58"/>
      <c r="F152" s="58"/>
      <c r="G152" s="58"/>
      <c r="H152" s="58"/>
      <c r="I152" s="58"/>
      <c r="J152" s="58"/>
      <c r="K152" s="58"/>
      <c r="L152" s="58"/>
      <c r="M152" s="58"/>
      <c r="N152" s="58"/>
      <c r="O152" s="58"/>
      <c r="P152" s="58"/>
      <c r="Q152" s="58"/>
      <c r="R152" s="58"/>
      <c r="S152" s="58"/>
      <c r="T152" s="58"/>
    </row>
    <row r="153" spans="1:35" x14ac:dyDescent="0.4">
      <c r="B153" s="46" t="s">
        <v>705</v>
      </c>
      <c r="C153" s="46" t="e" cm="1">
        <f t="array" ref="C153">IF(SUMPRODUCT(((INDEX(138:138,_xlfn.XMATCH(MTP_YearT,101:101,0)+_xlfn.SEQUENCE(1,AssessmentEnd-MTP_YearT+1)-1)&gt;0.3)+(INDEX(139:139,_xlfn.XMATCH(MTP_YearT,101:101,0)+_xlfn.SEQUENCE(1,AssessmentEnd-MTP_YearT+1)-1)&gt;0.6))*1)=0,FALSE,SUMPRODUCT(((INDEX(138:138,_xlfn.XMATCH(MTP_YearT,101:101,0)+_xlfn.SEQUENCE(1,AssessmentEnd-MTP_YearT+1)-1)&gt;0.3)+(INDEX(139:139,_xlfn.XMATCH(MTP_YearT,101:101,0)+_xlfn.SEQUENCE(1,AssessmentEnd-MTP_YearT+1)-1)&gt;0.6))*(INDEX(141:141,_xlfn.XMATCH(MTP_YearT,101:101,0)+_xlfn.SEQUENCE(1,AssessmentEnd-MTP_YearT+1)-1)=TRUE)*1)=SUMPRODUCT(((INDEX(138:138,_xlfn.XMATCH(MTP_YearT,101:101,0)+_xlfn.SEQUENCE(1,AssessmentEnd-MTP_YearT+1)-1)&gt;0.3)+(INDEX(139:139,_xlfn.XMATCH(MTP_YearT,101:101,0)+_xlfn.SEQUENCE(1,AssessmentEnd-MTP_YearT+1)-1)&gt;0.6))*1))</f>
        <v>#DIV/0!</v>
      </c>
      <c r="D153" s="58"/>
      <c r="E153" s="58"/>
      <c r="F153" s="58"/>
      <c r="G153" s="58"/>
      <c r="H153" s="58"/>
      <c r="I153" s="58"/>
      <c r="J153" s="58"/>
      <c r="K153" s="58"/>
      <c r="L153" s="58"/>
      <c r="M153" s="58"/>
      <c r="N153" s="58"/>
      <c r="O153" s="58"/>
      <c r="P153" s="58"/>
      <c r="Q153" s="58"/>
      <c r="R153" s="58"/>
      <c r="S153" s="58"/>
      <c r="T153" s="58"/>
    </row>
    <row r="154" spans="1:35" x14ac:dyDescent="0.4">
      <c r="B154" s="46" t="s">
        <v>706</v>
      </c>
      <c r="C154" s="46" t="e" cm="1">
        <f t="array" ref="C154">IF(SUMPRODUCT(((INDEX(138:138,_xlfn.XMATCH(MTP_YearT,101:101,0)+_xlfn.SEQUENCE(1,AssessmentEnd-MTP_YearT+1)-1)&gt;0.3)+(INDEX(139:139,_xlfn.XMATCH(MTP_YearT,101:101,0)+_xlfn.SEQUENCE(1,AssessmentEnd-MTP_YearT+1)-1)&gt;0.6))*(IFERROR(INDEX(142:142,_xlfn.XMATCH(MTP_YearT,101:101,0)+_xlfn.SEQUENCE(1,AssessmentEnd-MTP_YearT+1)-1)=TRUE,FALSE))*1)&gt;0,TRUE,FALSE)</f>
        <v>#DIV/0!</v>
      </c>
      <c r="D154" s="58"/>
      <c r="E154" s="58"/>
      <c r="F154" s="58"/>
      <c r="G154" s="58"/>
      <c r="H154" s="58"/>
      <c r="I154" s="58"/>
      <c r="J154" s="58"/>
      <c r="K154" s="58"/>
      <c r="L154" s="58"/>
      <c r="M154" s="58"/>
      <c r="N154" s="58"/>
      <c r="O154" s="58"/>
      <c r="P154" s="58"/>
      <c r="Q154" s="58"/>
      <c r="R154" s="58"/>
      <c r="S154" s="58"/>
      <c r="T154" s="58"/>
    </row>
    <row r="155" spans="1:35" x14ac:dyDescent="0.4">
      <c r="B155" s="46"/>
      <c r="C155" s="44"/>
      <c r="D155" s="58"/>
      <c r="E155" s="58"/>
      <c r="F155" s="58"/>
      <c r="G155" s="58"/>
      <c r="H155" s="58"/>
      <c r="I155" s="58"/>
      <c r="J155" s="58"/>
      <c r="K155" s="58"/>
      <c r="L155" s="58"/>
      <c r="M155" s="58"/>
      <c r="N155" s="58"/>
      <c r="O155" s="58"/>
      <c r="P155" s="58"/>
      <c r="Q155" s="58"/>
      <c r="R155" s="58"/>
      <c r="S155" s="58"/>
      <c r="T155" s="58"/>
    </row>
    <row r="156" spans="1:35" x14ac:dyDescent="0.4">
      <c r="B156" s="14" t="s">
        <v>266</v>
      </c>
      <c r="C156" s="102" t="e">
        <f>_xlfn.LET(
  _xlpm.bal, INDEX(139:139, MATCH(AssessmentEnd,101:101,0)),
  _xlpm.balText,
    IF(_xlpm.bal&gt;0,
       "a debit (overspend) of " &amp; TEXT(_xlpm.bal,"0.0"),
       IF(_xlpm.bal&lt;0,
          "a credit (underspend) of " &amp; TEXT(-_xlpm.bal,"0.0"),
          "zero"
       )
    ),
  _xlpm.annOut, C149,
  _xlpm.cumOut, C150,
  _xlpm.threshOut, IF(ISNA(C152), FALSE, C152),
  _xlpm.threshPlan, IF(ISNA(C151), FALSE, AND(C151, NOT(_xlpm.threshOut))),
  _xlpm.escClause, C153,
  _xlpm.defenceClause, C154,
  _xlpm.annPlan, AND(C147, NOT(C149)),
  _xlpm.cumPlan, AND(C148, NOT(C150)),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#DIV/0!</v>
      </c>
      <c r="D156" s="38"/>
      <c r="E156" s="17"/>
      <c r="J156" s="71"/>
      <c r="K156" s="71"/>
      <c r="L156" s="71"/>
      <c r="M156" s="71"/>
      <c r="N156" s="71"/>
      <c r="O156" s="71"/>
      <c r="P156" s="71"/>
      <c r="Q156" s="71"/>
      <c r="R156" s="71"/>
      <c r="S156" s="71"/>
      <c r="T156" s="71"/>
      <c r="U156" s="71"/>
      <c r="V156" s="71"/>
      <c r="W156" s="71"/>
      <c r="X156" s="71"/>
      <c r="Y156" s="71"/>
      <c r="Z156" s="71"/>
      <c r="AA156" s="71"/>
      <c r="AB156" s="71"/>
      <c r="AC156" s="71"/>
      <c r="AD156" s="71"/>
      <c r="AE156" s="71"/>
      <c r="AF156" s="71"/>
      <c r="AG156" s="71"/>
      <c r="AH156" s="71"/>
      <c r="AI156" s="71"/>
    </row>
    <row r="157" spans="1:35" x14ac:dyDescent="0.4">
      <c r="C157" s="102"/>
      <c r="D157" s="38"/>
      <c r="E157" s="17"/>
      <c r="J157" s="71"/>
      <c r="K157" s="71"/>
      <c r="L157" s="71"/>
      <c r="M157" s="71"/>
      <c r="N157" s="71"/>
      <c r="O157" s="71"/>
      <c r="P157" s="71"/>
      <c r="Q157" s="71"/>
      <c r="R157" s="71"/>
      <c r="S157" s="71"/>
      <c r="T157" s="71"/>
      <c r="U157" s="71"/>
      <c r="V157" s="71"/>
      <c r="W157" s="71"/>
      <c r="X157" s="71"/>
      <c r="Y157" s="71"/>
      <c r="Z157" s="71"/>
      <c r="AA157" s="71"/>
      <c r="AB157" s="71"/>
      <c r="AC157" s="71"/>
      <c r="AD157" s="71"/>
      <c r="AE157" s="71"/>
      <c r="AF157" s="71"/>
      <c r="AG157" s="71"/>
      <c r="AH157" s="71"/>
      <c r="AI157" s="71"/>
    </row>
    <row r="158" spans="1:35" ht="18" x14ac:dyDescent="0.55000000000000004">
      <c r="B158" s="50" t="s">
        <v>474</v>
      </c>
      <c r="D158" s="17"/>
      <c r="J158" s="71"/>
      <c r="K158" s="71"/>
      <c r="L158" s="71" t="s">
        <v>256</v>
      </c>
      <c r="M158" s="71"/>
      <c r="N158" s="71"/>
      <c r="O158" s="71"/>
      <c r="P158" s="71"/>
      <c r="Q158" s="71"/>
      <c r="R158" s="71"/>
      <c r="S158" s="71"/>
      <c r="T158" s="71"/>
      <c r="U158" s="71"/>
      <c r="V158" s="71"/>
      <c r="W158" s="71"/>
      <c r="X158" s="71"/>
      <c r="Y158" s="71"/>
      <c r="Z158" s="71"/>
      <c r="AA158" s="71"/>
      <c r="AB158" s="71"/>
      <c r="AC158" s="71"/>
      <c r="AD158" s="71"/>
      <c r="AE158" s="71"/>
      <c r="AF158" s="71"/>
      <c r="AG158" s="71"/>
      <c r="AH158" s="71"/>
      <c r="AI158" s="71"/>
    </row>
    <row r="159" spans="1:35" x14ac:dyDescent="0.4">
      <c r="B159" t="s">
        <v>381</v>
      </c>
      <c r="C159" s="15" t="b">
        <f>MAX(INDEX(20:20,1,COLUMN($D$4)):INDEX(20:20,1,COLUMN($D$4)+COLUMNS(_xlfn.ANCHORARRAY($D$4))-1))&gt;90</f>
        <v>0</v>
      </c>
      <c r="J159" s="71"/>
      <c r="K159" s="71"/>
      <c r="L159" s="71"/>
      <c r="M159" s="71"/>
      <c r="N159" s="71"/>
      <c r="O159" s="71"/>
      <c r="P159" s="71"/>
      <c r="Q159" s="71"/>
      <c r="R159" s="71"/>
      <c r="S159" s="71"/>
      <c r="T159" s="71"/>
      <c r="U159" s="71"/>
      <c r="V159" s="71"/>
      <c r="W159" s="71"/>
      <c r="X159" s="71"/>
      <c r="Y159" s="71"/>
      <c r="Z159" s="71"/>
      <c r="AA159" s="71"/>
      <c r="AB159" s="71"/>
      <c r="AC159" s="71"/>
      <c r="AD159" s="71"/>
      <c r="AE159" s="71"/>
      <c r="AF159" s="71"/>
      <c r="AG159" s="71"/>
      <c r="AH159" s="71"/>
      <c r="AI159" s="71"/>
    </row>
    <row r="160" spans="1:35" x14ac:dyDescent="0.4">
      <c r="B160" t="s">
        <v>382</v>
      </c>
      <c r="C160" s="121" t="b" cm="1">
        <f t="array" ref="C160">SUMPRODUCT(
  --(INDEX(20:20,1,COLUMN($D$4)):INDEX(20:20,1,COLUMN($D$4)+COLUMNS(_xlfn.ANCHORARRAY($D$4))-1)&gt;=60),
  --(INDEX(20:20,1,COLUMN($D$4)):INDEX(20:20,1,COLUMN($D$4)+COLUMNS(_xlfn.ANCHORARRAY($D$4))-1)&lt;=90)
)&gt;0</f>
        <v>0</v>
      </c>
      <c r="J160" s="71"/>
      <c r="K160" s="71"/>
      <c r="L160" s="71"/>
      <c r="M160" s="71"/>
      <c r="N160" s="71"/>
      <c r="O160" s="71"/>
      <c r="P160" s="71"/>
      <c r="Q160" s="71"/>
      <c r="R160" s="71"/>
      <c r="S160" s="71"/>
      <c r="T160" s="71"/>
      <c r="U160" s="71"/>
      <c r="V160" s="71"/>
      <c r="W160" s="71"/>
      <c r="X160" s="71"/>
      <c r="Y160" s="71"/>
      <c r="Z160" s="71"/>
      <c r="AA160" s="71"/>
      <c r="AB160" s="71"/>
      <c r="AC160" s="71"/>
      <c r="AD160" s="71"/>
      <c r="AE160" s="71"/>
      <c r="AF160" s="71"/>
      <c r="AG160" s="71"/>
      <c r="AH160" s="71"/>
      <c r="AI160" s="71"/>
    </row>
    <row r="161" spans="2:16" x14ac:dyDescent="0.4">
      <c r="B161" t="s">
        <v>267</v>
      </c>
      <c r="C161" s="121" t="e" cm="1">
        <f t="array" ref="C161">IF(C159,IFERROR(
  (
    INDEX(20:20, COLUMN($D$4)+_xlfn.XMATCH(IF(OR('Step 1 - Set global parameters'!$B$31,'Step 1 - Set global parameters'!$B$33), Validation!$Q$6, MTP_BaseYear-1),_xlfn.ANCHORARRAY( $D$4), 1)-1)
    -
    INDEX(20:20, COLUMN($D$4)+_xlfn.XMATCH(
      LOOKUP(9^9, IF(
        (_xlfn.ANCHORARRAY($D$4)&gt;=IF(OR('Step 1 - Set global parameters'!$B$31,'Step 1 - Set global parameters'!$B$33), Validation!$Q$6, MTP_BaseYear-1))*
        (_xlfn.ANCHORARRAY($D$4)&lt;=AssessmentEnd)*
        (INDEX(20:20, COLUMN($D$4)+_xlfn.SEQUENCE(1, COLUMNS(_xlfn.ANCHORARRAY($D$4)), 0))&gt;90),_xlfn.ANCHORARRAY(
        $D$4))
      ),_xlfn.ANCHORARRAY(
      $D$4), 1)-1)
  )
  /
  (
    LOOKUP(9^9, IF(
      (_xlfn.ANCHORARRAY($D$4)&gt;=IF(OR('Step 1 - Set global parameters'!$B$31,'Step 1 - Set global parameters'!$B$33), Validation!$Q$6, MTP_BaseYear-1))*
      (_xlfn.ANCHORARRAY($D$4)&lt;=AssessmentEnd)*
      (INDEX(20:20, COLUMN($D$4)+_xlfn.SEQUENCE(1, COLUMNS(_xlfn.ANCHORARRAY($D$4)), 0))&gt;90),_xlfn.ANCHORARRAY(
      $D$4))
    )
    - IF(OR('Step 1 - Set global parameters'!$B$31,'Step 1 - Set global parameters'!$B$33), Validation!$Q$6, MTP_BaseYear-1)
  ) &gt;= 1,
  TRUE
),NA())</f>
        <v>#N/A</v>
      </c>
    </row>
    <row r="162" spans="2:16" x14ac:dyDescent="0.4">
      <c r="B162" t="s">
        <v>268</v>
      </c>
      <c r="C162" s="121" t="e" cm="1">
        <f t="array" ref="C162">IF(C160,IFERROR(
  (
    INDEX(20:20, COLUMN($D$4)+_xlfn.XMATCH(IF(OR('Step 1 - Set global parameters'!$B$31,'Step 1 - Set global parameters'!$B$33), Validation!$Q$6, MTP_BaseYear-1),_xlfn.ANCHORARRAY( $D$4), 1)-1)
    -
    INDEX(20:20, COLUMN($D$4)+_xlfn.XMATCH(
      LOOKUP(9^9, IF(
        (_xlfn.ANCHORARRAY($D$4)&gt;=IF(OR('Step 1 - Set global parameters'!$B$31,'Step 1 - Set global parameters'!$B$33), Validation!$Q$6, MTP_BaseYear-1))*
        (_xlfn.ANCHORARRAY($D$4)&lt;=AssessmentEnd)*
        (INDEX(20:20, COLUMN($D$4)+_xlfn.SEQUENCE(1,COLUMNS(_xlfn.ANCHORARRAY($D$4)),0))&gt;TFEU_Debt),_xlfn.ANCHORARRAY(
        $D$4))
      ),_xlfn.ANCHORARRAY(
      $D$4), 1)-1)
  ) /
  (
    LOOKUP(9^9, IF(
      (_xlfn.ANCHORARRAY($D$4)&gt;=IF(OR('Step 1 - Set global parameters'!$B$31,'Step 1 - Set global parameters'!$B$33), Validation!$Q$6, MTP_BaseYear-1))*
      (_xlfn.ANCHORARRAY($D$4)&lt;=AssessmentEnd)*
      (INDEX(20:20, COLUMN($D$4)+_xlfn.SEQUENCE(1,COLUMNS(_xlfn.ANCHORARRAY($D$4)),0))&gt;TFEU_Debt),_xlfn.ANCHORARRAY(
      $D$4))
    )
    - IF(OR('Step 1 - Set global parameters'!$B$31,'Step 1 - Set global parameters'!$B$33), Validation!$Q$6, MTP_BaseYear-1)
  )
  &gt;= 0.5,
  TRUE
),NA())</f>
        <v>#N/A</v>
      </c>
    </row>
    <row r="163" spans="2:16" x14ac:dyDescent="0.4">
      <c r="C163" s="17"/>
    </row>
    <row r="164" spans="2:16" x14ac:dyDescent="0.4">
      <c r="B164" s="14" t="s">
        <v>266</v>
      </c>
      <c r="C164" s="102" t="str">
        <f>IF(
  NOT(Receives_reference_trajectory),
  Country &amp; " does not receive a reference trajectory and is not assessed against the debt sustainability safeguard.",
  IF(
    OR(C159, C160),
    IF(
      OR(
        IF(C159, NOT(C161), FALSE),
        IF(C160, NOT(C162),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does not apply as Select country's debt is not above 60% of GDP.</v>
      </c>
      <c r="E164" s="17"/>
    </row>
    <row r="165" spans="2:16" x14ac:dyDescent="0.4">
      <c r="C165" s="56"/>
      <c r="E165" s="17"/>
    </row>
    <row r="166" spans="2:16" ht="23.25" x14ac:dyDescent="0.7">
      <c r="B166" s="50" t="s">
        <v>475</v>
      </c>
      <c r="C166" s="13"/>
      <c r="E166" s="17"/>
    </row>
    <row r="167" spans="2:16" customFormat="1" ht="23.25" x14ac:dyDescent="0.7">
      <c r="B167" s="103"/>
      <c r="C167" s="104"/>
      <c r="D167" s="14" cm="1">
        <f t="array" ref="D167:F167">_xlfn.SEQUENCE(1, AssessmentEnd-MTP_BaseYear+1, MTP_BaseYear)</f>
        <v>2023</v>
      </c>
      <c r="E167" s="14">
        <v>2024</v>
      </c>
      <c r="F167" s="17">
        <v>2025</v>
      </c>
      <c r="G167" s="14"/>
      <c r="H167" s="14"/>
      <c r="I167" s="14"/>
    </row>
    <row r="168" spans="2:16" customFormat="1" x14ac:dyDescent="0.4">
      <c r="B168" t="s">
        <v>383</v>
      </c>
      <c r="C168" s="37"/>
      <c r="D168" s="91" cm="1">
        <f t="array" ref="D168:F168">INDEX(18:18, COLUMN($D$18) + _xlfn.SEQUENCE(1, COLUMNS(_xlfn.ANCHORARRAY(D4))) - 1)</f>
        <v>0</v>
      </c>
      <c r="E168" s="91">
        <v>0</v>
      </c>
      <c r="F168" s="91">
        <v>0</v>
      </c>
      <c r="G168" s="91"/>
      <c r="H168" s="91"/>
      <c r="I168" s="91"/>
      <c r="J168" s="91"/>
      <c r="K168" s="91"/>
      <c r="L168" s="91"/>
      <c r="M168" s="91"/>
      <c r="N168" s="91"/>
    </row>
    <row r="169" spans="2:16" customFormat="1" x14ac:dyDescent="0.4">
      <c r="B169" t="s">
        <v>214</v>
      </c>
      <c r="C169" s="37"/>
      <c r="D169" s="91" cm="1">
        <f t="array" ref="D169:F169">INDEX(19:19, COLUMN($D$19) + _xlfn.SEQUENCE(1, COLUMNS(_xlfn.ANCHORARRAY(D4))) - 1)</f>
        <v>0</v>
      </c>
      <c r="E169" s="91">
        <v>0</v>
      </c>
      <c r="F169" s="91">
        <v>0</v>
      </c>
      <c r="G169" s="91"/>
      <c r="H169" s="91"/>
      <c r="I169" s="91"/>
      <c r="J169" s="91"/>
      <c r="K169" s="91"/>
      <c r="L169" s="91"/>
      <c r="M169" s="91"/>
    </row>
    <row r="170" spans="2:16" customFormat="1" x14ac:dyDescent="0.4">
      <c r="B170" s="7" t="s">
        <v>384</v>
      </c>
      <c r="C170" s="93"/>
      <c r="D170" s="91"/>
      <c r="E170" s="117" cm="1">
        <f t="array" ref="E170:F170">_xlfn.DROP(_xlfn.ANCHORARRAY(D169),,1) - _xlfn.TAKE(_xlfn.ANCHORARRAY(D169),,COLUMNS(_xlfn.ANCHORARRAY(D167))-1)</f>
        <v>0</v>
      </c>
      <c r="F170" s="91">
        <v>0</v>
      </c>
      <c r="G170" s="91"/>
      <c r="H170" s="91"/>
      <c r="I170" s="91"/>
      <c r="J170" s="91"/>
      <c r="K170" s="91"/>
      <c r="L170" s="91"/>
    </row>
    <row r="171" spans="2:16" customFormat="1" x14ac:dyDescent="0.4">
      <c r="B171" t="s">
        <v>671</v>
      </c>
      <c r="D171" s="3" t="b">
        <f>IF(ISNUMBER(D167),D168&lt;-1.5,"")</f>
        <v>0</v>
      </c>
      <c r="E171" s="3" t="b">
        <f t="shared" ref="E171:K171" si="36">IF(ISNUMBER(E167),E168&lt;-1.5,"")</f>
        <v>0</v>
      </c>
      <c r="F171" s="3" t="b">
        <f t="shared" si="36"/>
        <v>0</v>
      </c>
      <c r="G171" s="3" t="str">
        <f t="shared" si="36"/>
        <v/>
      </c>
      <c r="H171" s="3" t="str">
        <f t="shared" si="36"/>
        <v/>
      </c>
      <c r="I171" s="3" t="str">
        <f t="shared" si="36"/>
        <v/>
      </c>
      <c r="J171" s="3" t="str">
        <f t="shared" si="36"/>
        <v/>
      </c>
      <c r="K171" s="3" t="str">
        <f t="shared" si="36"/>
        <v/>
      </c>
      <c r="L171" s="3"/>
      <c r="M171" s="3"/>
      <c r="N171" s="3"/>
      <c r="O171" s="3"/>
      <c r="P171" s="3"/>
    </row>
    <row r="172" spans="2:16" customFormat="1" x14ac:dyDescent="0.4">
      <c r="B172" t="s">
        <v>385</v>
      </c>
      <c r="C172" s="2" t="b" cm="1">
        <f t="array" ref="C172">IF(
  Receives_reference_trajectory,
  SUMPRODUCT(
    --(
      INDEX(171:171,1,COLUMN($D$167)):
      INDEX(171:171,1,COLUMN($D$167)+COLUMNS(_xlfn.ANCHORARRAY($D$167))-1)
    )
  )&gt;0,
  NA()
)</f>
        <v>0</v>
      </c>
    </row>
    <row r="173" spans="2:16" x14ac:dyDescent="0.4">
      <c r="B173" t="s">
        <v>306</v>
      </c>
      <c r="C173" s="15">
        <f>IF(Receives_reference_trajectory,IF(AdjustmentPeriod=4,0.4,0.25),"Not applicable")</f>
        <v>0.4</v>
      </c>
      <c r="E173" s="17"/>
    </row>
    <row r="174" spans="2:16" x14ac:dyDescent="0.4">
      <c r="B174" t="s">
        <v>473</v>
      </c>
      <c r="C174" s="121" t="e" cm="1">
        <f t="array" ref="C174">IF(
  Receives_reference_trajectory,
  IF(
    NOT(IFERROR(C172,FALSE)),
    NA(),
    SUMPRODUCT(
      --(_xlfn.TAKE(IFERROR(_xlfn.CHOOSECOLS(171:171, COLUMN($D$167)+_xlfn.SEQUENCE(1,COLUMNS(_xlfn.ANCHORARRAY($D$167)))-1), FALSE), , COLUMNS(_xlfn.ANCHORARRAY($D$167))-1)),
      --(_xlfn.DROP(_xlfn.CHOOSECOLS(170:170, COLUMN($D$167)+_xlfn.SEQUENCE(1,COLUMNS(_xlfn.ANCHORARRAY($D$167)))-1), , 1) &lt;= C173)
    )=0
  ),
  NA()
)</f>
        <v>#N/A</v>
      </c>
      <c r="E174" s="17"/>
    </row>
    <row r="175" spans="2:16" x14ac:dyDescent="0.4">
      <c r="B175"/>
      <c r="C175" s="15"/>
      <c r="E175" s="17"/>
    </row>
    <row r="176" spans="2:16" x14ac:dyDescent="0.4">
      <c r="B176" s="14" t="s">
        <v>266</v>
      </c>
      <c r="C176" s="102" t="str">
        <f>IF(
  NOT(Receives_reference_trajectory),
  Country &amp; " does not receive a reference trajectory and is not assessed against the deficit resilience safeguard.",IF(
  NOT(C172),
  "The deficit resilience safeguard does not apply, as "&amp;Country&amp;"'s structural deficit never exceeds 1.5 % of GDP over the adjustment period.",
  IF(
    ISNA(C174),
    "The deficit resilience safeguard does not apply, as "&amp;Country&amp;"'s structural deficit never exceeds 1.5 % of GDP over the adjustment period.",
    IF(
      C174,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does not apply, as Select country's structural deficit never exceeds 1.5 % of GDP over the adjustment period.</v>
      </c>
      <c r="E176" s="17"/>
    </row>
    <row r="177" spans="1:35" x14ac:dyDescent="0.4">
      <c r="C177" s="56"/>
      <c r="E177" s="17"/>
    </row>
    <row r="178" spans="1:35" ht="18" x14ac:dyDescent="0.55000000000000004">
      <c r="B178" s="128" t="s">
        <v>504</v>
      </c>
      <c r="D178" s="17"/>
      <c r="J178" s="71"/>
      <c r="K178" s="71"/>
      <c r="L178" s="71"/>
      <c r="M178" s="71"/>
      <c r="N178" s="71"/>
      <c r="O178" s="71"/>
      <c r="P178" s="71"/>
      <c r="Q178" s="71"/>
      <c r="R178" s="71"/>
      <c r="S178" s="71"/>
      <c r="T178" s="71"/>
      <c r="U178" s="71"/>
      <c r="V178" s="71"/>
      <c r="W178" s="71"/>
      <c r="X178" s="71"/>
      <c r="Y178" s="71"/>
      <c r="Z178" s="71"/>
      <c r="AA178" s="71"/>
      <c r="AB178" s="71"/>
      <c r="AC178" s="71"/>
      <c r="AD178" s="71"/>
      <c r="AE178" s="71"/>
      <c r="AF178" s="71"/>
      <c r="AG178" s="71"/>
      <c r="AH178" s="71"/>
      <c r="AI178" s="71"/>
    </row>
    <row r="179" spans="1:35" ht="14.25" x14ac:dyDescent="0.45">
      <c r="B179" s="129" t="s">
        <v>455</v>
      </c>
      <c r="D179" s="17"/>
      <c r="J179" s="71"/>
      <c r="K179" s="71"/>
      <c r="L179" s="71"/>
      <c r="M179" s="71"/>
      <c r="N179" s="71"/>
      <c r="O179" s="71"/>
      <c r="P179" s="71"/>
      <c r="Q179" s="71"/>
      <c r="R179" s="71"/>
      <c r="S179" s="71"/>
      <c r="T179" s="71"/>
      <c r="U179" s="71"/>
      <c r="V179" s="71"/>
      <c r="W179" s="71"/>
      <c r="X179" s="71"/>
      <c r="Y179" s="71"/>
      <c r="Z179" s="71"/>
      <c r="AA179" s="71"/>
      <c r="AB179" s="71"/>
      <c r="AC179" s="71"/>
      <c r="AD179" s="71"/>
      <c r="AE179" s="71"/>
      <c r="AF179" s="71"/>
      <c r="AG179" s="71"/>
      <c r="AH179" s="71"/>
      <c r="AI179" s="71"/>
    </row>
    <row r="180" spans="1:35" x14ac:dyDescent="0.4">
      <c r="B180"/>
      <c r="D180" s="17"/>
      <c r="J180" s="71"/>
      <c r="K180" s="71"/>
      <c r="L180" s="71"/>
      <c r="M180" s="71"/>
      <c r="N180" s="71"/>
      <c r="O180" s="71"/>
      <c r="P180" s="71"/>
      <c r="Q180" s="71"/>
      <c r="R180" s="71"/>
      <c r="S180" s="71"/>
      <c r="T180" s="71"/>
      <c r="U180" s="71"/>
      <c r="V180" s="71"/>
      <c r="W180" s="71"/>
      <c r="X180" s="71"/>
      <c r="Y180" s="71"/>
      <c r="Z180" s="71"/>
      <c r="AA180" s="71"/>
      <c r="AB180" s="71"/>
      <c r="AC180" s="71"/>
      <c r="AD180" s="71"/>
      <c r="AE180" s="71"/>
      <c r="AF180" s="71"/>
      <c r="AG180" s="71"/>
      <c r="AH180" s="71"/>
      <c r="AI180" s="71"/>
    </row>
    <row r="181" spans="1:35" x14ac:dyDescent="0.4">
      <c r="B181" t="s">
        <v>676</v>
      </c>
      <c r="C181" s="130" cm="1">
        <f t="array" ref="C181">IF(
  AdjustmentPeriodEnd &gt; OutturnThrough,
  INDEX($37:$37, _xlfn.XMATCH(AdjustmentPeriodEnd, $32:$32, 0)) -
  INDEX($19:$19, _xlfn.XMATCH(OutturnThrough, $4:$4, 0)),
  NA()
)</f>
        <v>0</v>
      </c>
      <c r="D181" s="17"/>
      <c r="J181" s="71"/>
      <c r="K181" s="71"/>
      <c r="L181" s="71"/>
      <c r="M181" s="71"/>
      <c r="N181" s="71"/>
      <c r="O181" s="71"/>
      <c r="P181" s="71"/>
      <c r="Q181" s="71"/>
      <c r="R181" s="71"/>
      <c r="S181" s="71"/>
      <c r="T181" s="71"/>
      <c r="U181" s="71"/>
      <c r="V181" s="71"/>
      <c r="W181" s="71"/>
      <c r="X181" s="71"/>
      <c r="Y181" s="71"/>
      <c r="Z181" s="71"/>
      <c r="AA181" s="71"/>
      <c r="AB181" s="71"/>
      <c r="AC181" s="71"/>
      <c r="AD181" s="71"/>
      <c r="AE181" s="71"/>
      <c r="AF181" s="71"/>
      <c r="AG181" s="71"/>
      <c r="AH181" s="71"/>
      <c r="AI181" s="71"/>
    </row>
    <row r="182" spans="1:35" x14ac:dyDescent="0.4">
      <c r="B182" t="s">
        <v>675</v>
      </c>
      <c r="C182" s="130" cm="1">
        <f t="array" ref="C182">IF(
  AdjustmentPeriodEnd &gt; OutturnThrough,
  (
    INDEX($37:$37, _xlfn.XMATCH(AdjustmentPeriodEnd, $32:$32, 0)) -
    INDEX($19:$19, _xlfn.XMATCH(OutturnThrough, $4:$4, 0))
  ) / (AdjustmentPeriodEnd - OutturnThrough),
  NA()
)</f>
        <v>0</v>
      </c>
      <c r="D182" s="17"/>
      <c r="J182" s="71"/>
      <c r="K182" s="71"/>
      <c r="L182" s="71"/>
      <c r="M182" s="71"/>
      <c r="N182" s="71"/>
      <c r="O182" s="71"/>
      <c r="P182" s="71"/>
      <c r="Q182" s="71"/>
      <c r="R182" s="71"/>
      <c r="S182" s="71"/>
      <c r="T182" s="71"/>
      <c r="U182" s="71"/>
      <c r="V182" s="71"/>
      <c r="W182" s="71"/>
      <c r="X182" s="71"/>
      <c r="Y182" s="71"/>
      <c r="Z182" s="71"/>
      <c r="AA182" s="71"/>
      <c r="AB182" s="71"/>
      <c r="AC182" s="71"/>
      <c r="AD182" s="71"/>
      <c r="AE182" s="71"/>
      <c r="AF182" s="71"/>
      <c r="AG182" s="71"/>
      <c r="AH182" s="71"/>
      <c r="AI182" s="71"/>
    </row>
    <row r="183" spans="1:35" x14ac:dyDescent="0.4">
      <c r="B183" t="s">
        <v>674</v>
      </c>
      <c r="C183" s="130" t="e" cm="1">
        <f t="array" ref="C183">IF(
  AssessmentEnd &gt; OutturnThrough,
  (
    INDEX($19:$19, _xlfn.XMATCH(AssessmentEnd, $4:$4, 0))
    - INDEX($19:$19, _xlfn.XMATCH(OutturnThrough, $4:$4, 0))
  ) / (AssessmentEnd - OutturnThrough),
  NA()
)</f>
        <v>#N/A</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1:35" x14ac:dyDescent="0.4">
      <c r="B184" t="s">
        <v>677</v>
      </c>
      <c r="C184" s="130" cm="1">
        <f t="array" ref="C184">IF(
  AssessmentEnd &gt; MTP_YearT,
  (
    INDEX($19:$19, _xlfn.XMATCH(AssessmentEnd, $4:$4, 0))
    - INDEX($19:$19, _xlfn.XMATCH(MTP_YearT, $4:$4, 0))
  ) / (AssessmentEnd - MTP_YearT),
  NA()
)</f>
        <v>0</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1:35" x14ac:dyDescent="0.4">
      <c r="B185" t="s">
        <v>678</v>
      </c>
      <c r="C185" s="131" t="b">
        <f>IF(ISNA(C183), FALSE, AND(ISNUMBER(C183), C183 &gt;= C182))</f>
        <v>0</v>
      </c>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1:35" x14ac:dyDescent="0.4">
      <c r="B186"/>
      <c r="C186" s="2"/>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1:35" x14ac:dyDescent="0.4">
      <c r="B187" s="14" t="s">
        <v>258</v>
      </c>
      <c r="C187" s="102" t="str">
        <f>IFERROR(
  IF(
    AssessmentEnd &lt;= OutturnThrough,
    "Not applicable — the assessment period does not extend beyond the latest outturn year; there is no forward-looking SPB path to assess.",
    IF(
      OR(ISNA(C183), NOT(ISNUMBER(C183))),
      IF(
        C181 &lt; 0,
        Country &amp; "'s SPB already exceeds the target level by " &amp; TEXT(ABS(C181),"0.0") &amp;
          " pp of GDP at the end of the adjustment period. There is fiscal room to allow the SPB to decline while still meeting the target.",
        IF(
          C181 = 0,
          Country &amp; "'s SPB already meets the target level at the end of the adjustment period. No further consolidation is required.",
          Country &amp; "'s total SPB adjustment required over the remaining horizon is " &amp;
            TEXT(C181,"0.0") &amp; " pp of GDP, and the required average annual consolidation is " &amp;
            TEXT(C182,"0.0") &amp; " pp of GDP."
        )
      ),
      IF(
        C181 &lt;= 0,
        IF(
          C183 &lt; 0,
          IF(
            C181 &lt; 0,
            Country &amp; "'s SPB already exceeds the target level by " &amp; TEXT(ABS(C181),"0.0") &amp; " pp of GDP",
            Country &amp; "'s SPB currently meets the target level"
          ) &amp;
            ", but the planned path implies a deterioration of " &amp;
            TEXT(ABS(C183),"0.0") &amp; " pp of GDP per year on average over the assessment period." &amp;
            " Additional adjustment in later years may be needed to maintain the target, creating a risk of backloading." &amp;
            IF(EscapeClauseActivated, " However, an escape clause has been activated.", ""),
          IF(
            C181 &lt; 0,
            Country &amp; "'s SPB already exceeds the target level by " &amp; TEXT(ABS(C181),"0.0") &amp; " pp of GDP",
            Country &amp; "'s SPB already meets the target level"
          ) &amp;
            ". The planned average annual consolidation of " &amp;
            TEXT(C183,"0.0") &amp; " pp of GDP is consistent with maintaining that position."
        ),
        Country &amp; "'s total SPB adjustment required over the remaining horizon is " &amp;
          TEXT(C181,"0.0") &amp; " pp of GDP. The planned average annual consolidation of " &amp;
          TEXT(C183,"0.0") &amp; " pp " &amp;
          IF(
            C183 &gt;= C182,
            "meets or exceeds the required " &amp; TEXT(C182,"0.0") &amp;
              " pp, indicating that adjustment is consistent with achieving the target SPB by the end of the horizon. Adjustment is not backloaded.",
            "falls short of the required " &amp; TEXT(C182,"0.0") &amp;
              " pp, indicating that additional measures may be needed to reach the target SPB. Adjustment may be backloaded." &amp;
              IF(EscapeClauseActivated, " However, an escape clause has been activated.", "")
          )
      )
    )
  ),
  NA()
)</f>
        <v>Not applicable — the assessment period does not extend beyond the latest outturn year; there is no forward-looking SPB path to assess.</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1:35" x14ac:dyDescent="0.4">
      <c r="B188"/>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1:35" ht="31.9" x14ac:dyDescent="1">
      <c r="B189" s="77" t="s">
        <v>488</v>
      </c>
    </row>
    <row r="190" spans="1:35" ht="25.15" customHeight="1" x14ac:dyDescent="0.7">
      <c r="B190" s="13" t="s">
        <v>941</v>
      </c>
    </row>
    <row r="191" spans="1:35" ht="14.25" x14ac:dyDescent="0.45">
      <c r="B191"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Select country's MTP must not exceed (or Select country must submit an alternative net expenditure path meeting all requirements of Article 16(2) and (3) of Regulation (EU) 2024/1263 and sound and data-driven economic arguments explaining the difference)</v>
      </c>
    </row>
    <row r="192" spans="1:35" s="22" customFormat="1" ht="14.25" x14ac:dyDescent="0.45">
      <c r="A192"/>
      <c r="B192" s="54"/>
      <c r="C192" s="54"/>
      <c r="D192" s="54"/>
      <c r="E192" s="54"/>
      <c r="F192" s="54"/>
    </row>
    <row r="193" spans="2:10" ht="18" x14ac:dyDescent="0.55000000000000004">
      <c r="B193" s="50" t="s">
        <v>938</v>
      </c>
      <c r="C193" s="15"/>
      <c r="F193" s="37"/>
    </row>
    <row r="194" spans="2:10" x14ac:dyDescent="0.4">
      <c r="B194" t="s">
        <v>829</v>
      </c>
      <c r="C194" s="15" t="b">
        <f>INDEX(20:20, MATCH(MTP_PlanFirstYear, 4:4, 0)) &lt; TFEU_Debt</f>
        <v>0</v>
      </c>
      <c r="F194" s="37"/>
    </row>
    <row r="195" spans="2:10" x14ac:dyDescent="0.4">
      <c r="B195" t="s">
        <v>258</v>
      </c>
      <c r="C195" s="102" t="str">
        <f>IF(
  C194,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Select country's gross general government debt in 2023 was % of GDP, which does not exceed the 60% TFEU reference level.</v>
      </c>
      <c r="F195" s="37"/>
    </row>
    <row r="196" spans="2:10" x14ac:dyDescent="0.4">
      <c r="B196"/>
      <c r="C196" s="102"/>
      <c r="E196" s="18"/>
      <c r="J196" s="16"/>
    </row>
    <row r="197" spans="2:10" ht="18" x14ac:dyDescent="0.55000000000000004">
      <c r="B197" s="50" t="s">
        <v>939</v>
      </c>
      <c r="F197" s="37"/>
    </row>
    <row r="198" spans="2:10" x14ac:dyDescent="0.4">
      <c r="B198" t="s">
        <v>830</v>
      </c>
      <c r="C198" s="15" t="b">
        <f>INDEX(17:17, MATCH(MTP_PlanFirstYear, 4:4, 0)) &gt; -TFEU_Deficit</f>
        <v>1</v>
      </c>
      <c r="F198" s="37"/>
    </row>
    <row r="199" spans="2:10" x14ac:dyDescent="0.4">
      <c r="B199" t="s">
        <v>258</v>
      </c>
      <c r="C199"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Select country's net lending (general government surplus) in 2023 was % of GDP, which does not exceed the 3% TFEU deficit reference value.</v>
      </c>
      <c r="F199" s="37"/>
    </row>
    <row r="200" spans="2:10" x14ac:dyDescent="0.4">
      <c r="C200" s="102"/>
      <c r="F200" s="37"/>
    </row>
    <row r="201" spans="2:10" ht="18" x14ac:dyDescent="0.55000000000000004">
      <c r="B201" s="50" t="s">
        <v>940</v>
      </c>
      <c r="E201" s="18"/>
      <c r="J201" s="16"/>
    </row>
    <row r="202" spans="2:10" x14ac:dyDescent="0.4">
      <c r="B202" t="s">
        <v>451</v>
      </c>
      <c r="C202" s="15" t="b">
        <f>NOT(AND($C$194,$C$198))</f>
        <v>1</v>
      </c>
      <c r="E202" s="18"/>
      <c r="J202" s="16"/>
    </row>
    <row r="203" spans="2:10" x14ac:dyDescent="0.4">
      <c r="B203" t="s">
        <v>258</v>
      </c>
      <c r="C203" s="102" t="str">
        <f>IF(
  C202,
  IF(
    AND(NOT($C$194), $C$198),
    Country &amp; "'s gross debt was above 60% of GDP in "&amp; MTP_PlanFirstYear &amp; " (T" &amp; IF(MTP_BaseYearIsTminus2,"-2","-1") &amp; "), therefore ",
    IF(
      AND($C$194, NOT($C$198)),
      Country &amp; "'s general government deficit was above 3% of GDP in "&amp; MTP_PlanFirstYear &amp; " (T" &amp; IF(MTP_BaseYearIsTminus2,"-2","-1") &amp; "), therefore ",
      IF(
        AND(NOT($C$194), NOT($C$198)),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E203" s="18"/>
      <c r="J203" s="16"/>
    </row>
    <row r="204" spans="2:10" x14ac:dyDescent="0.4">
      <c r="E204" s="18"/>
      <c r="J204" s="16"/>
    </row>
    <row r="205" spans="2:10" ht="25.15" customHeight="1" x14ac:dyDescent="0.7">
      <c r="B205" s="13" t="s">
        <v>529</v>
      </c>
    </row>
    <row r="206" spans="2:10" ht="14.25" x14ac:dyDescent="0.45">
      <c r="B206" s="105" t="s">
        <v>489</v>
      </c>
    </row>
    <row r="207" spans="2:10" ht="23.25" x14ac:dyDescent="0.7">
      <c r="B207" s="50" t="s">
        <v>952</v>
      </c>
      <c r="C207" s="13"/>
      <c r="E207" s="17"/>
    </row>
    <row r="208" spans="2:10" x14ac:dyDescent="0.4">
      <c r="B208" t="s">
        <v>943</v>
      </c>
      <c r="C208" s="15" t="b">
        <f>'Step 1 - Set global parameters'!B14</f>
        <v>1</v>
      </c>
    </row>
    <row r="209" spans="2:10" x14ac:dyDescent="0.4">
      <c r="B209" t="s">
        <v>946</v>
      </c>
      <c r="C209" s="15" t="b">
        <f>IF(C208,IF('Step 4 (MTP) - IFI scrutiny'!D4="Yes",TRUE,FALSE),NA())</f>
        <v>1</v>
      </c>
    </row>
    <row r="210" spans="2:10" x14ac:dyDescent="0.4">
      <c r="B210" t="s">
        <v>947</v>
      </c>
      <c r="C210" s="2" t="b">
        <f>IF(C209,IF('Step 4 (MTP) - IFI scrutiny'!D5="Yes",TRUE,NA()),NA())</f>
        <v>1</v>
      </c>
    </row>
    <row r="211" spans="2:10" x14ac:dyDescent="0.4">
      <c r="B211" t="s">
        <v>948</v>
      </c>
      <c r="C211" s="2" t="b">
        <f>IF(NOT(C208), TRUE, AND(C209, C210))</f>
        <v>1</v>
      </c>
    </row>
    <row r="212" spans="2:10" x14ac:dyDescent="0.4">
      <c r="B212" s="14" t="s">
        <v>258</v>
      </c>
      <c r="C212" s="102" t="str">
        <f>IF(NOT(C208),
  "The MTP uses the same macroeconomic assumptions as the EC's DSA framework.",
  IF(AND(C209,C210),
    "The "&amp;IFI_Name&amp;" has concluded that the MTP's alternative macroeconomic assumptions are based on sound and data-driven arguments and are plausible.",
    IF(AND(C209,NOT(C210)),
      "The "&amp;IFI_Name&amp;" found the rationale for using different assumptions satisfactory, but did not assess the alternative assumptions themselves as plausible.",
      IF(AND(NOT(C209),C210),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Select IFI has concluded that the MTP's alternative macroeconomic assumptions are based on sound and data-driven arguments and are plausible.</v>
      </c>
    </row>
    <row r="213" spans="2:10" customFormat="1" x14ac:dyDescent="0.4"/>
    <row r="214" spans="2:10" ht="23.25" x14ac:dyDescent="0.7">
      <c r="B214" s="50" t="s">
        <v>953</v>
      </c>
      <c r="C214" s="13"/>
      <c r="E214" s="17"/>
    </row>
    <row r="215" spans="2:10" x14ac:dyDescent="0.4">
      <c r="B215" t="s">
        <v>462</v>
      </c>
      <c r="C215" s="15" t="b">
        <f>AND('Step 4 (MTP) - IFI scrutiny'!D8:D28)</f>
        <v>1</v>
      </c>
    </row>
    <row r="216" spans="2:10" x14ac:dyDescent="0.4">
      <c r="B216" s="14" t="s">
        <v>258</v>
      </c>
      <c r="C216" s="102" t="str">
        <f>IF(C215,"The "&amp;IFI_Name&amp;" has concluded that the plan contains all information required by Article 13 of Regulation (EU) 2024/1263.","The "&amp;IFI_Name&amp;" has concluded that the plan is missing elements required by Article 13 of Regulation (EU) 2024/1263.")</f>
        <v>The Select IFI has concluded that the plan contains all information required by Article 13 of Regulation (EU) 2024/1263.</v>
      </c>
    </row>
    <row r="217" spans="2:10" customFormat="1" x14ac:dyDescent="0.4"/>
    <row r="218" spans="2:10" customFormat="1" ht="18" x14ac:dyDescent="0.55000000000000004">
      <c r="B218" s="50" t="s">
        <v>942</v>
      </c>
    </row>
    <row r="219" spans="2:10" customFormat="1" x14ac:dyDescent="0.4">
      <c r="B219" t="s">
        <v>602</v>
      </c>
      <c r="C219" s="2" t="b">
        <f>'Step 4 (MTP) - IFI scrutiny'!D31</f>
        <v>0</v>
      </c>
    </row>
    <row r="220" spans="2:10" customFormat="1" x14ac:dyDescent="0.4">
      <c r="B220" t="s">
        <v>670</v>
      </c>
      <c r="C220" s="15" t="e" cm="1">
        <f t="array" ref="C220">IF(
  NOT(C219),
  NA(),
  AND(
    'Step 4 (MTP) - IFI scrutiny'!D32:D43=TRUE,
    'Step 4 (MTP) - IFI scrutiny'!D32:D43&lt;&gt;"NA"
  )
)</f>
        <v>#N/A</v>
      </c>
    </row>
    <row r="221" spans="2:10" customFormat="1" x14ac:dyDescent="0.4">
      <c r="B221" s="14" t="s">
        <v>258</v>
      </c>
      <c r="C221" s="102" t="str">
        <f>IF(
  AdjustmentPeriod&lt;&gt;7,
  "Not applicable. " &amp; Country &amp; " has not requested an extension of the adjustment period.",
  IF(
    C220,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Select country has not requested an extension of the adjustment period.</v>
      </c>
    </row>
    <row r="222" spans="2:10" customFormat="1" x14ac:dyDescent="0.4"/>
    <row r="223" spans="2:10" ht="23.25" x14ac:dyDescent="0.7">
      <c r="B223" s="13" t="s">
        <v>452</v>
      </c>
      <c r="E223" s="18"/>
      <c r="J223" s="16"/>
    </row>
    <row r="224" spans="2:10" ht="14.25" x14ac:dyDescent="0.45">
      <c r="B224" s="129" t="s">
        <v>373</v>
      </c>
      <c r="E224" s="18"/>
      <c r="J224" s="16"/>
    </row>
    <row r="225" spans="2:35" customFormat="1" x14ac:dyDescent="0.4"/>
    <row r="226" spans="2:35" customFormat="1" ht="18" x14ac:dyDescent="0.55000000000000004">
      <c r="B226" s="50" t="s">
        <v>955</v>
      </c>
    </row>
    <row r="227" spans="2:35" customFormat="1" x14ac:dyDescent="0.4">
      <c r="B227" t="s">
        <v>491</v>
      </c>
      <c r="C227" s="126" t="e">
        <f>IFERROR(
  AVERAGEIFS(
    69:69,
    32:32, "&gt;" &amp; MTP_YearT,
    32:32, "&lt;=" &amp; AdjustmentPeriodEnd
  ),
  NA()
)</f>
        <v>#N/A</v>
      </c>
    </row>
    <row r="228" spans="2:35" customFormat="1" x14ac:dyDescent="0.4">
      <c r="B228" t="s">
        <v>492</v>
      </c>
      <c r="C228" s="126">
        <f>AVERAGEIFS(
  34:34,
  32:32, "&gt;" &amp; MTP_YearT,
  32:32, "&lt;=" &amp; AdjustmentPeriodEnd
)</f>
        <v>0</v>
      </c>
    </row>
    <row r="229" spans="2:35" customFormat="1" x14ac:dyDescent="0.4">
      <c r="B229" t="s">
        <v>493</v>
      </c>
      <c r="C229" s="126" t="e">
        <f>IFERROR(C227-C228&lt;0, NA())</f>
        <v>#N/A</v>
      </c>
    </row>
    <row r="230" spans="2:35" x14ac:dyDescent="0.4">
      <c r="B230" s="14" t="s">
        <v>494</v>
      </c>
      <c r="C230" s="15" t="b">
        <f>IF(Receives_reference_trajectory,'Step 4 (MTP) - IFI scrutiny'!D3="Yes","Not applicable")</f>
        <v>1</v>
      </c>
      <c r="J230" s="71"/>
      <c r="K230" s="71"/>
      <c r="L230" s="71"/>
      <c r="M230" s="71"/>
      <c r="N230" s="71"/>
      <c r="O230" s="71"/>
      <c r="P230" s="71"/>
      <c r="Q230" s="71"/>
      <c r="R230" s="71"/>
      <c r="S230" s="71"/>
      <c r="T230" s="71"/>
      <c r="U230" s="71"/>
      <c r="V230" s="71"/>
      <c r="W230" s="71"/>
      <c r="X230" s="71"/>
      <c r="Y230" s="71"/>
      <c r="Z230" s="71"/>
      <c r="AA230" s="71"/>
      <c r="AB230" s="71"/>
      <c r="AC230" s="71" t="s">
        <v>264</v>
      </c>
      <c r="AD230" s="71"/>
      <c r="AE230" s="71"/>
      <c r="AF230" s="71"/>
      <c r="AG230" s="71"/>
      <c r="AH230" s="71"/>
      <c r="AI230" s="71"/>
    </row>
    <row r="231" spans="2:35" customFormat="1" x14ac:dyDescent="0.4">
      <c r="B231" t="s">
        <v>258</v>
      </c>
      <c r="C231" s="127" t="str">
        <f>_xlfn.IFNA(
  IF(
    C229,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IF(AND(C229, C230&lt;&gt;"Not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AND(C229, NOT(Receives_reference_trajectory)),
    " but remaining below the technical information path is not required.",
    IF(
      AND(C229, C230&lt;&gt;"Not applicable"),
      IF(
        C230,
        ", but the " &amp; IFI_Name &amp; " deems the explanation and alternative assumptions to be satisfactory.",
        ", and the " &amp; IFI_Name &amp; " does not deem the explanation and alternative assumptions to be satisfactory."
      ),
      ""
    )
  ),
  "N/A"
)</f>
        <v>N/A</v>
      </c>
    </row>
    <row r="232" spans="2:35" customFormat="1" x14ac:dyDescent="0.4">
      <c r="C232" s="4"/>
    </row>
    <row r="233" spans="2:35" customFormat="1" ht="26.25" customHeight="1" x14ac:dyDescent="0.55000000000000004">
      <c r="B233" s="50" t="s">
        <v>963</v>
      </c>
    </row>
    <row r="234" spans="2:35" customFormat="1" ht="15.75" x14ac:dyDescent="0.5">
      <c r="B234" s="79" t="s">
        <v>511</v>
      </c>
    </row>
    <row r="235" spans="2:35" x14ac:dyDescent="0.4">
      <c r="B235" s="5" t="s">
        <v>510</v>
      </c>
      <c r="C235" s="15" t="b" cm="1">
        <f t="array" ref="C235">IF(Receives_reference_trajectory,SUMPRODUCT(((46:46&gt;=MTP_YearT)*(46:46&lt;=AdjustmentPeriodEnd)*(64:64&lt;=34:34)))=0,NA())</f>
        <v>1</v>
      </c>
      <c r="E235" s="18"/>
      <c r="J235" s="16"/>
    </row>
    <row r="236" spans="2:35" x14ac:dyDescent="0.4">
      <c r="B236" s="14" t="s">
        <v>519</v>
      </c>
      <c r="C236" s="15" t="e">
        <f>IF(AND(Receives_reference_trajectory,NOT(C235)),'Step 4 (MTP) - IFI scrutiny'!D3="Yes",NA())</f>
        <v>#N/A</v>
      </c>
      <c r="J236" s="71"/>
      <c r="K236" s="71"/>
      <c r="L236" s="71"/>
      <c r="M236" s="71"/>
      <c r="N236" s="71"/>
      <c r="O236" s="71"/>
      <c r="P236" s="71"/>
      <c r="Q236" s="71"/>
      <c r="R236" s="71"/>
      <c r="S236" s="71"/>
      <c r="T236" s="71"/>
      <c r="U236" s="71"/>
      <c r="V236" s="71"/>
      <c r="W236" s="71"/>
      <c r="X236" s="71"/>
      <c r="Y236" s="71"/>
      <c r="Z236" s="71"/>
      <c r="AA236" s="71"/>
      <c r="AB236" s="71"/>
      <c r="AC236" s="71" t="s">
        <v>264</v>
      </c>
      <c r="AD236" s="71"/>
      <c r="AE236" s="71"/>
      <c r="AF236" s="71"/>
      <c r="AG236" s="71"/>
      <c r="AH236" s="71"/>
      <c r="AI236" s="71"/>
    </row>
    <row r="237" spans="2:35" x14ac:dyDescent="0.4">
      <c r="B237" s="14" t="s">
        <v>516</v>
      </c>
      <c r="C237" s="15" t="b">
        <f>IF(
  Receives_reference_trajectory,
  OR(C235, IFERROR(C236, TRUE)),
  NA()
)</f>
        <v>1</v>
      </c>
      <c r="J237" s="71"/>
      <c r="K237" s="71"/>
      <c r="L237" s="71"/>
      <c r="M237" s="71"/>
      <c r="N237" s="71"/>
      <c r="O237" s="71"/>
      <c r="P237" s="71"/>
      <c r="Q237" s="71"/>
      <c r="R237" s="71"/>
      <c r="S237" s="71"/>
      <c r="T237" s="71"/>
      <c r="U237" s="71"/>
      <c r="V237" s="71"/>
      <c r="W237" s="71"/>
      <c r="X237" s="71"/>
      <c r="Y237" s="71"/>
      <c r="Z237" s="71"/>
      <c r="AA237" s="71"/>
      <c r="AB237" s="71"/>
      <c r="AC237" s="71"/>
      <c r="AD237" s="71"/>
      <c r="AE237" s="71"/>
      <c r="AF237" s="71"/>
      <c r="AG237" s="71"/>
      <c r="AH237" s="71"/>
      <c r="AI237" s="71"/>
    </row>
    <row r="238" spans="2:35" x14ac:dyDescent="0.4">
      <c r="B238" s="14" t="s">
        <v>258</v>
      </c>
      <c r="C238" s="102" t="str">
        <f>IF(
  Receives_reference_trajectory,
  IF(
    C235,
    "The net expenditure path in " &amp; Country &amp; "'s latest MTP adheres to the Commission's reference trajectory.",
    IF(
      C236,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Select country's latest MTP adheres to the Commission's reference trajectory.</v>
      </c>
      <c r="J238" s="71"/>
      <c r="K238" s="71"/>
      <c r="L238" s="71"/>
      <c r="M238" s="71"/>
      <c r="N238" s="71"/>
      <c r="O238" s="71"/>
      <c r="P238" s="71"/>
      <c r="Q238" s="71"/>
      <c r="R238" s="71"/>
      <c r="S238" s="71"/>
      <c r="T238" s="71"/>
      <c r="U238" s="71"/>
      <c r="V238" s="71"/>
      <c r="W238" s="71"/>
      <c r="X238" s="71"/>
      <c r="Y238" s="71"/>
      <c r="Z238" s="71"/>
      <c r="AA238" s="71"/>
      <c r="AB238" s="71"/>
      <c r="AC238" s="71"/>
      <c r="AD238" s="71"/>
      <c r="AE238" s="71"/>
      <c r="AF238" s="71"/>
      <c r="AG238" s="71"/>
      <c r="AH238" s="71"/>
      <c r="AI238" s="71"/>
    </row>
    <row r="239" spans="2:35" x14ac:dyDescent="0.4">
      <c r="C239" s="97"/>
      <c r="J239" s="71"/>
      <c r="K239" s="71"/>
      <c r="L239" s="71"/>
      <c r="M239" s="71"/>
      <c r="N239" s="71"/>
      <c r="O239" s="71"/>
      <c r="P239" s="71"/>
      <c r="Q239" s="71"/>
      <c r="R239" s="71"/>
      <c r="S239" s="71"/>
      <c r="T239" s="71"/>
      <c r="U239" s="71"/>
      <c r="V239" s="71"/>
      <c r="W239" s="71"/>
      <c r="X239" s="71"/>
      <c r="Y239" s="71"/>
      <c r="Z239" s="71"/>
      <c r="AA239" s="71"/>
      <c r="AB239" s="71"/>
      <c r="AC239" s="71"/>
      <c r="AD239" s="71"/>
      <c r="AE239" s="71"/>
      <c r="AF239" s="71"/>
      <c r="AG239" s="71"/>
      <c r="AH239" s="71"/>
      <c r="AI239" s="71"/>
    </row>
    <row r="240" spans="2:35" ht="15.75" x14ac:dyDescent="0.5">
      <c r="B240" s="79" t="s">
        <v>454</v>
      </c>
      <c r="C240" s="37"/>
      <c r="J240" s="71"/>
      <c r="K240" s="71"/>
      <c r="L240" s="71"/>
      <c r="M240" s="71"/>
      <c r="N240" s="71"/>
      <c r="O240" s="71"/>
      <c r="P240" s="71"/>
      <c r="Q240" s="71"/>
      <c r="R240" s="71"/>
      <c r="S240" s="71"/>
      <c r="T240" s="71"/>
      <c r="U240" s="71"/>
      <c r="V240" s="71"/>
      <c r="W240" s="71"/>
      <c r="X240" s="71"/>
      <c r="Y240" s="71"/>
      <c r="Z240" s="71"/>
      <c r="AA240" s="71"/>
      <c r="AB240" s="71"/>
      <c r="AC240" s="71"/>
      <c r="AD240" s="71"/>
      <c r="AE240" s="71"/>
      <c r="AF240" s="71"/>
      <c r="AG240" s="71"/>
      <c r="AH240" s="71"/>
      <c r="AI240" s="71"/>
    </row>
    <row r="241" spans="2:35" x14ac:dyDescent="0.4">
      <c r="B241" t="str">
        <f>"Minimum level of the primary structural balance without safeguard, "&amp;AdjustmentPeriodEnd</f>
        <v>Minimum level of the primary structural balance without safeguard, 2028</v>
      </c>
      <c r="C241" s="138" t="e">
        <f>IF(
  Receives_reference_trajectory,
  NA(),
  INDEX($65:$65, MATCH(AdjustmentPeriodEnd, $62:$62, 0))
)</f>
        <v>#N/A</v>
      </c>
      <c r="J241" s="71"/>
      <c r="K241" s="71"/>
      <c r="L241" s="71"/>
      <c r="M241" s="71"/>
      <c r="N241" s="71"/>
      <c r="O241" s="71"/>
      <c r="P241" s="71"/>
      <c r="Q241" s="71"/>
      <c r="R241" s="71"/>
      <c r="S241" s="71"/>
      <c r="T241" s="71"/>
      <c r="U241" s="71"/>
      <c r="V241" s="71"/>
      <c r="W241" s="71"/>
      <c r="X241" s="71"/>
      <c r="Y241" s="71"/>
      <c r="Z241" s="71"/>
      <c r="AA241" s="71"/>
      <c r="AB241" s="71"/>
      <c r="AC241" s="71"/>
      <c r="AD241" s="71"/>
      <c r="AE241" s="71"/>
      <c r="AF241" s="71"/>
      <c r="AG241" s="71"/>
      <c r="AH241" s="71"/>
      <c r="AI241" s="71"/>
    </row>
    <row r="242" spans="2:35" x14ac:dyDescent="0.4">
      <c r="B242" t="str">
        <f>"Minimum level of the primary structural balance with safeguard, "&amp;AdjustmentPeriodEnd</f>
        <v>Minimum level of the primary structural balance with safeguard, 2028</v>
      </c>
      <c r="C242" s="138" t="e">
        <f>IF(
  Receives_reference_trajectory,
  NA(),
  INDEX($66:$66, MATCH(AdjustmentPeriodEnd, $62:$62, 0))
)</f>
        <v>#N/A</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t="str">
        <f>"Primary structural balance in MTP in "&amp;AdjustmentPeriodEnd</f>
        <v>Primary structural balance in MTP in 2028</v>
      </c>
      <c r="C243" s="97" t="e">
        <f>IF(
  Receives_reference_trajectory,
  NA(),
  INDEX(37:37, MATCH(AdjustmentPeriodEnd, 32:32, 0))
)</f>
        <v>#N/A</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B24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x14ac:dyDescent="0.4">
      <c r="B245" t="s">
        <v>512</v>
      </c>
      <c r="C245" s="97" t="e">
        <f>IF(
  Receives_reference_trajectory,
  NA(),
  C243 &gt;= C241
)</f>
        <v>#N/A</v>
      </c>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s="14" t="s">
        <v>270</v>
      </c>
      <c r="C246" s="15" t="e">
        <f>IF(Receives_reference_trajectory,NA(),IF(NOT(C245),'Step 4 (MTP) - IFI scrutiny'!D3,NA()))</f>
        <v>#N/A</v>
      </c>
      <c r="J246" s="71"/>
      <c r="K246" s="71"/>
      <c r="L246" s="71"/>
      <c r="M246" s="71"/>
      <c r="N246" s="71"/>
      <c r="O246" s="71"/>
      <c r="P246" s="71"/>
      <c r="Q246" s="71"/>
      <c r="R246" s="71"/>
      <c r="S246" s="71"/>
      <c r="T246" s="71"/>
      <c r="U246" s="71"/>
      <c r="V246" s="71"/>
      <c r="W246" s="71"/>
      <c r="X246" s="71"/>
      <c r="Y246" s="71"/>
      <c r="Z246" s="71"/>
      <c r="AA246" s="71"/>
      <c r="AB246" s="71"/>
      <c r="AC246" s="71" t="s">
        <v>264</v>
      </c>
      <c r="AD246" s="71"/>
      <c r="AE246" s="71"/>
      <c r="AF246" s="71"/>
      <c r="AG246" s="71"/>
      <c r="AH246" s="71"/>
      <c r="AI246" s="71"/>
    </row>
    <row r="247" spans="2:35" x14ac:dyDescent="0.4">
      <c r="B247" t="s">
        <v>593</v>
      </c>
      <c r="C247" s="15" t="e">
        <f>IF(
  Receives_reference_trajectory,
  NA(),
  OR(
    C245,
    IF(ISNA(C246), TRUE, C246)
  )
)</f>
        <v>#N/A</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s="14" t="s">
        <v>258</v>
      </c>
      <c r="C248" s="102" t="str">
        <f>IF(
  NOT(Receives_reference_trajectory),
  IF(
    C245,
    "The net expenditure path in " &amp; Country &amp; "'s latest MTP ensures the primary structural balance is above the minimum level of the Commission's prior guidance at the end of the adjustment period.",
    IF(
      C246,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ht="15.75" x14ac:dyDescent="0.5">
      <c r="B249" s="79"/>
      <c r="C249" s="102"/>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ht="20.25" customHeight="1" x14ac:dyDescent="0.7">
      <c r="B250" s="13" t="s">
        <v>523</v>
      </c>
      <c r="C250" s="18"/>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ht="18" x14ac:dyDescent="0.55000000000000004">
      <c r="B251" s="50" t="s">
        <v>956</v>
      </c>
      <c r="C251" s="18"/>
      <c r="J251" s="71"/>
      <c r="K251" s="71"/>
      <c r="L251" s="71"/>
      <c r="M251" s="71"/>
      <c r="N251" s="71"/>
      <c r="O251" s="71"/>
      <c r="P251" s="71"/>
      <c r="Q251" s="71"/>
      <c r="R251" s="71"/>
      <c r="S251" s="71"/>
      <c r="T251" s="71"/>
      <c r="U251" s="71"/>
      <c r="V251" s="71"/>
      <c r="W251" s="71"/>
      <c r="X251" s="71"/>
      <c r="Y251" s="71"/>
      <c r="Z251" s="71"/>
      <c r="AA251" s="71"/>
      <c r="AB251" s="71"/>
      <c r="AC251" s="71"/>
      <c r="AD251" s="71"/>
      <c r="AE251" s="71"/>
      <c r="AF251" s="71"/>
      <c r="AG251" s="71"/>
      <c r="AH251" s="71"/>
      <c r="AI251" s="71"/>
    </row>
    <row r="252" spans="2:35" customFormat="1" ht="15.75" x14ac:dyDescent="0.5">
      <c r="B252" s="79" t="s">
        <v>511</v>
      </c>
    </row>
    <row r="253" spans="2:35" x14ac:dyDescent="0.4">
      <c r="B253" t="s">
        <v>453</v>
      </c>
      <c r="C253" s="15" t="b">
        <f>IF(
  NOT(Receives_reference_trajectory),
  "Not applicable",
  MAX(
    _xlfn.CHOOSECOLS(
      52:52,
      _xlfn.SEQUENCE(
        1,
        _xlfn.XMATCH(AdjustmentPeriodEnd+10,46:46,1) - _xlfn.XMATCH(AdjustmentPeriodEnd,46:46,0),
        _xlfn.XMATCH(AdjustmentPeriodEnd,46:46,0) + 1
      )
    )
  ) &lt;= TFEU_Debt
)</f>
        <v>1</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20.25" customHeight="1" x14ac:dyDescent="0.4">
      <c r="B254" t="s">
        <v>362</v>
      </c>
      <c r="C254" s="18"/>
      <c r="E254" s="18"/>
      <c r="J254" s="16"/>
    </row>
    <row r="255" spans="2:35" x14ac:dyDescent="0.4">
      <c r="B255" s="12" t="s">
        <v>356</v>
      </c>
      <c r="C255" s="15" t="str" cm="1">
        <f t="array" ref="C255">IF(OR(NOT(Receives_reference_trajectory),C253),"Not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55" s="18"/>
      <c r="J255" s="16"/>
    </row>
    <row r="256" spans="2:35" x14ac:dyDescent="0.4">
      <c r="B256" s="12" t="s">
        <v>357</v>
      </c>
      <c r="C256" s="15" t="str" cm="1">
        <f t="array" ref="C256">IF(OR(NOT(Receives_reference_trajectory),C253),"Not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56" s="18"/>
      <c r="J256" s="16"/>
    </row>
    <row r="257" spans="2:35" x14ac:dyDescent="0.4">
      <c r="B257" s="12" t="s">
        <v>358</v>
      </c>
      <c r="C257" s="15" t="str" cm="1">
        <f t="array" ref="C257">IF(OR(NOT(Receives_reference_trajectory),C253),"Not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57" s="18"/>
      <c r="J257" s="16"/>
    </row>
    <row r="258" spans="2:35" x14ac:dyDescent="0.4">
      <c r="B258" s="12" t="s">
        <v>359</v>
      </c>
      <c r="C258" s="15" t="str" cm="1">
        <f t="array" ref="C258">IF(OR(NOT(Receives_reference_trajectory),C253),"Not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58" s="18"/>
      <c r="J258" s="16"/>
    </row>
    <row r="259" spans="2:35" x14ac:dyDescent="0.4">
      <c r="B259" s="12" t="s">
        <v>360</v>
      </c>
      <c r="C259" s="15" t="str" cm="1">
        <f t="array" ref="C259">IF(OR(NOT(Receives_reference_trajectory),C253),"Not applicable",
 IF(_xlfn.XMATCH(AdjustmentPeriodEnd+5,46:46,1)-_xlfn.XMATCH(AdjustmentPeriodEnd,46:46,0)&lt;=0,TRUE,
   INDEX(87:87,_xlfn.XMATCH(AdjustmentPeriodEnd+5,46:46,1)) &lt; INDEX(87:87,_xlfn.XMATCH(AdjustmentPeriodEnd,46:46,0))
 ))</f>
        <v>Not applicable</v>
      </c>
      <c r="E259" s="18"/>
      <c r="J259" s="16"/>
    </row>
    <row r="260" spans="2:35" x14ac:dyDescent="0.4">
      <c r="B260" t="s">
        <v>361</v>
      </c>
      <c r="C260" s="15" t="b" cm="1">
        <f t="array" ref="C260">IF(
  NOT(Receives_reference_trajectory),
  "Not applicable",
  IF(
    C253,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1</v>
      </c>
      <c r="E260" s="18"/>
      <c r="J260" s="16"/>
    </row>
    <row r="261" spans="2:35" ht="20.25" customHeight="1" x14ac:dyDescent="0.4">
      <c r="B261" s="14" t="s">
        <v>258</v>
      </c>
      <c r="C261" s="102" t="str">
        <f>IF(Receives_reference_trajectory,IF(C253,Country&amp;"'s planned net expenditure ensures gross government debt remains at prudent levels below 60% over the medium-term.",IF(C260,Country&amp;"'s planned net expenditure ensures gross government debt meets all risk-based debt requirements for a plausible downward path.",Country&amp;"'s planned net expenditure ensures gross government debt does not meet all risk-based debt requirements for a plausible downward path.")),NA())</f>
        <v>Select country's planned net expenditure ensures gross government debt remains at prudent levels below 60% over the medium-term.</v>
      </c>
      <c r="E261" s="18"/>
      <c r="J261" s="16"/>
    </row>
    <row r="262" spans="2:35" ht="20.25" customHeight="1" x14ac:dyDescent="0.4">
      <c r="C262" s="102"/>
      <c r="E262" s="18"/>
      <c r="J262" s="16"/>
    </row>
    <row r="263" spans="2:35" ht="15.75" x14ac:dyDescent="0.5">
      <c r="B263" s="79" t="s">
        <v>454</v>
      </c>
      <c r="C263" s="37"/>
      <c r="J263" s="71"/>
      <c r="K263" s="71"/>
      <c r="L263" s="71"/>
      <c r="M263" s="71"/>
      <c r="N263" s="71"/>
      <c r="O263" s="71"/>
      <c r="P263" s="71"/>
      <c r="Q263" s="71"/>
      <c r="R263" s="71"/>
      <c r="S263" s="71"/>
      <c r="T263" s="71"/>
      <c r="U263" s="71"/>
      <c r="V263" s="71"/>
      <c r="W263" s="71"/>
      <c r="X263" s="71"/>
      <c r="Y263" s="71"/>
      <c r="Z263" s="71"/>
      <c r="AA263" s="71"/>
      <c r="AB263" s="71"/>
      <c r="AC263" s="71"/>
      <c r="AD263" s="71"/>
      <c r="AE263" s="71"/>
      <c r="AF263" s="71"/>
      <c r="AG263" s="71"/>
      <c r="AH263" s="71"/>
      <c r="AI263" s="71"/>
    </row>
    <row r="264" spans="2:35" x14ac:dyDescent="0.4">
      <c r="B264" t="s">
        <v>513</v>
      </c>
      <c r="C264" s="15" t="e" cm="1">
        <f t="array" ref="C264">IF(
  Receives_reference_trajectory,
  NA(),
  MAX(IF((46:46&gt;AdjustmentPeriodEnd)*(46:46&lt;=AdjustmentPeriodEnd+10), 52:52)) &lt;= TFEU_Debt
)</f>
        <v>#N/A</v>
      </c>
      <c r="J264" s="71"/>
      <c r="K264" s="71"/>
      <c r="L264" s="71"/>
      <c r="M264" s="71"/>
      <c r="N264" s="71"/>
      <c r="O264" s="71"/>
      <c r="P264" s="71"/>
      <c r="Q264" s="71"/>
      <c r="R264" s="71"/>
      <c r="S264" s="71"/>
      <c r="T264" s="71"/>
      <c r="U264" s="71"/>
      <c r="V264" s="71"/>
      <c r="W264" s="71"/>
      <c r="X264" s="71"/>
      <c r="Y264" s="71"/>
      <c r="Z264" s="71"/>
      <c r="AA264" s="71"/>
      <c r="AB264" s="71"/>
      <c r="AC264" s="71"/>
      <c r="AD264" s="71"/>
      <c r="AE264" s="71"/>
      <c r="AF264" s="71"/>
      <c r="AG264" s="71"/>
      <c r="AH264" s="71"/>
      <c r="AI264" s="71"/>
    </row>
    <row r="265" spans="2:35" ht="19.5" customHeight="1" x14ac:dyDescent="0.4">
      <c r="B265" s="14" t="s">
        <v>258</v>
      </c>
      <c r="C265" s="102" t="str">
        <f>IF(
  ISNA(C264),
  "Not applicable",
  IF(
    C264,
    Country &amp; "'s debt remains below the TFEU debt reference level in each of the ten years following the adjustment period.",
    Country &amp; "'s debt breaches the TFEU debt reference level in one or more of the ten years following the adjustment period."
  )
)</f>
        <v>Not applicable</v>
      </c>
      <c r="E265" s="18"/>
      <c r="J265" s="16"/>
    </row>
    <row r="266" spans="2:35" ht="19.5" customHeight="1" x14ac:dyDescent="0.4">
      <c r="C266" s="37"/>
      <c r="E266" s="18"/>
      <c r="J266" s="16"/>
    </row>
    <row r="267" spans="2:35" ht="18" x14ac:dyDescent="0.55000000000000004">
      <c r="B267" s="50" t="s">
        <v>957</v>
      </c>
      <c r="C267" s="92"/>
      <c r="E267" s="18"/>
      <c r="J267" s="16"/>
    </row>
    <row r="268" spans="2:35" customFormat="1" ht="15.75" x14ac:dyDescent="0.5">
      <c r="B268" s="79" t="s">
        <v>511</v>
      </c>
    </row>
    <row r="269" spans="2:35" x14ac:dyDescent="0.4">
      <c r="B269" t="s">
        <v>498</v>
      </c>
      <c r="C269" s="15" t="b" cm="1">
        <f t="array" ref="C269">IF(
  Receives_reference_trajectory,
  IFERROR(
    AND(
      _xlfn._xlws.FILTER(
        50:50,
        (46:46&gt;=MTP_YearT)*(46:46&lt;=AdjustmentPeriodEnd)
      ) &gt; -TFEU_Deficit
    ),
    NA()
  ),
  NA()
)</f>
        <v>1</v>
      </c>
      <c r="E269" s="18"/>
      <c r="J269" s="16"/>
    </row>
    <row r="270" spans="2:35" x14ac:dyDescent="0.4">
      <c r="B270" t="s">
        <v>499</v>
      </c>
      <c r="C270" s="15" t="b" cm="1">
        <f t="array" ref="C270">IF(
  Receives_reference_trajectory,
  IFERROR(
    AND(
      _xlfn._xlws.FILTER(
        50:50,
        (46:46&gt;=AdjustmentPeriodEnd)*(46:46&lt;=AdjustmentPeriodEnd+10)
      ) &gt; -TFEU_Deficit
    ),
    NA()
  ),
  NA()
)</f>
        <v>1</v>
      </c>
      <c r="E270" s="18"/>
      <c r="J270" s="16"/>
    </row>
    <row r="271" spans="2:35" ht="20.25" customHeight="1" x14ac:dyDescent="0.4">
      <c r="B271" s="14" t="s">
        <v>258</v>
      </c>
      <c r="C271" s="102" t="str">
        <f>IF(
  Receives_reference_trajectory,
  IF(
    C270,
    IF(
      C269,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Select country's net expenditure path maintains the government deficit below 3% of GDP throughout the adjustment period and over the medium term.</v>
      </c>
      <c r="E271" s="18"/>
      <c r="J271" s="16"/>
    </row>
    <row r="272" spans="2:35" ht="20.25" customHeight="1" x14ac:dyDescent="0.4">
      <c r="C272" s="102"/>
      <c r="E272" s="18"/>
      <c r="J272" s="16"/>
    </row>
    <row r="273" spans="2:35" ht="15.75" x14ac:dyDescent="0.5">
      <c r="B273" s="79" t="s">
        <v>454</v>
      </c>
      <c r="C273" s="37"/>
      <c r="J273" s="71"/>
      <c r="K273" s="71"/>
      <c r="L273" s="71"/>
      <c r="M273" s="71"/>
      <c r="N273" s="71"/>
      <c r="O273" s="71"/>
      <c r="P273" s="71"/>
      <c r="Q273" s="71"/>
      <c r="R273" s="71"/>
      <c r="S273" s="71"/>
      <c r="T273" s="71"/>
      <c r="U273" s="71"/>
      <c r="V273" s="71"/>
      <c r="W273" s="71"/>
      <c r="X273" s="71"/>
      <c r="Y273" s="71"/>
      <c r="Z273" s="71"/>
      <c r="AA273" s="71"/>
      <c r="AB273" s="71"/>
      <c r="AC273" s="71"/>
      <c r="AD273" s="71"/>
      <c r="AE273" s="71"/>
      <c r="AF273" s="71"/>
      <c r="AG273" s="71"/>
      <c r="AH273" s="71"/>
      <c r="AI273" s="71"/>
    </row>
    <row r="274" spans="2:35" x14ac:dyDescent="0.4">
      <c r="B274" t="s">
        <v>514</v>
      </c>
      <c r="C274" s="15" t="e" cm="1">
        <f t="array" ref="C274">IF(
  Receives_reference_trajectory,
  NA(),
  MIN(IF((46:46&gt;=AdjustmentPeriodEnd)*(46:46&lt;=AdjustmentPeriodEnd+10), 50:50)) &gt;= -TFEU_Deficit
)</f>
        <v>#N/A</v>
      </c>
      <c r="J274" s="71"/>
      <c r="K274" s="71"/>
      <c r="L274" s="71"/>
      <c r="M274" s="71"/>
      <c r="N274" s="71"/>
      <c r="O274" s="71"/>
      <c r="P274" s="71"/>
      <c r="Q274" s="71"/>
      <c r="R274" s="71"/>
      <c r="S274" s="71"/>
      <c r="T274" s="71"/>
      <c r="U274" s="71"/>
      <c r="V274" s="71"/>
      <c r="W274" s="71"/>
      <c r="X274" s="71"/>
      <c r="Y274" s="71"/>
      <c r="Z274" s="71"/>
      <c r="AA274" s="71"/>
      <c r="AB274" s="71"/>
      <c r="AC274" s="71"/>
      <c r="AD274" s="71"/>
      <c r="AE274" s="71"/>
      <c r="AF274" s="71"/>
      <c r="AG274" s="71"/>
      <c r="AH274" s="71"/>
      <c r="AI274" s="71"/>
    </row>
    <row r="275" spans="2:35" x14ac:dyDescent="0.4">
      <c r="B275" s="2" t="s">
        <v>524</v>
      </c>
      <c r="C275" s="15" t="e" cm="1">
        <f t="array" ref="C275">IF(
  Receives_reference_trajectory,
  NA(),
  MIN(IF(46:46=AdjustmentPeriodEnd, 50:50)) &gt;= -TFEU_Deficit
)</f>
        <v>#N/A</v>
      </c>
      <c r="E275" s="18"/>
      <c r="J275" s="16"/>
    </row>
    <row r="276" spans="2:35" x14ac:dyDescent="0.4">
      <c r="B276" s="2" t="s">
        <v>525</v>
      </c>
      <c r="C276" s="15" t="e" cm="1">
        <f t="array" ref="C276">IF(
  Receives_reference_trajectory,
  NA(),
  MIN(IF((46:46&gt;AdjustmentPeriodEnd)*(46:46&lt;=AdjustmentPeriodEnd+10), 50:50)) &gt;= -TFEU_Deficit
)</f>
        <v>#N/A</v>
      </c>
      <c r="E276" s="18"/>
      <c r="J276" s="16"/>
    </row>
    <row r="277" spans="2:35" x14ac:dyDescent="0.4">
      <c r="B277"/>
      <c r="C277" s="15"/>
      <c r="J277" s="71"/>
      <c r="K277" s="71"/>
      <c r="L277" s="71"/>
      <c r="M277" s="71"/>
      <c r="N277" s="71"/>
      <c r="O277" s="71"/>
      <c r="P277" s="71"/>
      <c r="Q277" s="71"/>
      <c r="R277" s="71"/>
      <c r="S277" s="71"/>
      <c r="T277" s="71"/>
      <c r="U277" s="71"/>
      <c r="V277" s="71"/>
      <c r="W277" s="71"/>
      <c r="X277" s="71"/>
      <c r="Y277" s="71"/>
      <c r="Z277" s="71"/>
      <c r="AA277" s="71"/>
      <c r="AB277" s="71"/>
      <c r="AC277" s="71"/>
      <c r="AD277" s="71"/>
      <c r="AE277" s="71"/>
      <c r="AF277" s="71"/>
      <c r="AG277" s="71"/>
      <c r="AH277" s="71"/>
      <c r="AI277" s="71"/>
    </row>
    <row r="278" spans="2:35" ht="17.25" customHeight="1" x14ac:dyDescent="0.4">
      <c r="B278" s="14" t="s">
        <v>258</v>
      </c>
      <c r="C278" s="102" t="str">
        <f>IF(
  OR(ISNA(C275), ISNA(C276)),
  "Not applicable",
  IF(
    AND(C275, C276),
    Country &amp; "'s deficit remains below the TFEU reference level in the final year of the adjustment period and throughout the following ten years.",
    IF(
      AND(NOT(C275), C276),
      Country &amp; "'s deficit breaches the TFEU reference level in the final year of the adjustment period but remains below it in the following ten years.",
      IF(
        AND(C275, NOT(C276)),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C279" s="102"/>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ht="18" x14ac:dyDescent="0.55000000000000004">
      <c r="B280" s="50" t="s">
        <v>958</v>
      </c>
      <c r="C280" s="37"/>
      <c r="E280" s="17"/>
    </row>
    <row r="281" spans="2:35" ht="16.899999999999999" customHeight="1" x14ac:dyDescent="0.7">
      <c r="B281" s="103"/>
      <c r="C281" s="104"/>
      <c r="D281" s="14" cm="1">
        <f t="array" ref="D281:I281">_xlfn.SEQUENCE(1, AdjustmentPeriodEnd-MTP_BaseYear+1, MTP_BaseYear)</f>
        <v>2023</v>
      </c>
      <c r="E281" s="14">
        <v>2024</v>
      </c>
      <c r="F281" s="17">
        <v>2025</v>
      </c>
      <c r="G281" s="14">
        <v>2026</v>
      </c>
      <c r="H281" s="14">
        <v>2027</v>
      </c>
      <c r="I281" s="14">
        <v>2028</v>
      </c>
    </row>
    <row r="282" spans="2:35" ht="13.5" customHeight="1" x14ac:dyDescent="0.4">
      <c r="B282" t="s">
        <v>214</v>
      </c>
      <c r="C282" s="37"/>
      <c r="D282" s="91" cm="1">
        <f t="array" ref="D282:I282">INDEX(37:37, COLUMN($D$37) + _xlfn.SEQUENCE(1, COLUMNS(_xlfn.ANCHORARRAY(D281))) - 1)</f>
        <v>0</v>
      </c>
      <c r="E282" s="91">
        <v>0</v>
      </c>
      <c r="F282" s="91">
        <v>0</v>
      </c>
      <c r="G282" s="91">
        <v>0</v>
      </c>
      <c r="H282" s="91">
        <v>0</v>
      </c>
      <c r="I282" s="91">
        <v>0</v>
      </c>
    </row>
    <row r="283" spans="2:35" ht="13.5" customHeight="1" x14ac:dyDescent="0.4">
      <c r="B283" s="7" t="s">
        <v>346</v>
      </c>
      <c r="C283" s="93"/>
      <c r="E283" s="100">
        <f>IF(ISNUMBER(E282),E282-D282,"")</f>
        <v>0</v>
      </c>
      <c r="F283" s="100">
        <f t="shared" ref="F283:M283" si="37">IF(ISNUMBER(F282),F282-E282,"")</f>
        <v>0</v>
      </c>
      <c r="G283" s="100">
        <f t="shared" si="37"/>
        <v>0</v>
      </c>
      <c r="H283" s="100">
        <f t="shared" si="37"/>
        <v>0</v>
      </c>
      <c r="I283" s="100">
        <f t="shared" si="37"/>
        <v>0</v>
      </c>
      <c r="J283" s="100" t="str">
        <f t="shared" si="37"/>
        <v/>
      </c>
      <c r="K283" s="100" t="str">
        <f t="shared" si="37"/>
        <v/>
      </c>
      <c r="L283" s="100" t="str">
        <f t="shared" si="37"/>
        <v/>
      </c>
      <c r="M283" s="100" t="str">
        <f t="shared" si="37"/>
        <v/>
      </c>
      <c r="N283" s="100"/>
      <c r="O283" s="100"/>
    </row>
    <row r="284" spans="2:35" x14ac:dyDescent="0.4">
      <c r="B284"/>
      <c r="C284" s="37"/>
      <c r="E284" s="100"/>
      <c r="F284" s="100"/>
      <c r="G284" s="100"/>
      <c r="H284" s="100"/>
      <c r="I284" s="100"/>
      <c r="J284" s="100"/>
      <c r="K284" s="100"/>
      <c r="L284" s="100"/>
      <c r="M284" s="100"/>
      <c r="N284" s="100"/>
      <c r="O284" s="100"/>
    </row>
    <row r="285" spans="2:35" x14ac:dyDescent="0.4">
      <c r="B285" t="s">
        <v>375</v>
      </c>
      <c r="C285" s="97" t="b" cm="1">
        <f t="array" ref="C285">IF(
  Receives_reference_trajectory,
  MAX(ROUND(_xlfn._xlws.FILTER(283:283, ISNUMBER(281:281)*(281:281&gt;=MTP_YearT+1)*(281:281&lt;=AdjustmentPeriodEnd)), 1))
  =
  MIN(ROUND(_xlfn._xlws.FILTER(283:283, ISNUMBER(281:281)*(281:281&gt;=MTP_YearT+1)*(281:281&lt;=AdjustmentPeriodEnd)), 1)),
  NA()
)</f>
        <v>1</v>
      </c>
      <c r="D285" s="51"/>
    </row>
    <row r="286" spans="2:35" x14ac:dyDescent="0.4">
      <c r="B286" t="s">
        <v>353</v>
      </c>
      <c r="C286" s="97" t="b" cm="1">
        <f t="array" ref="C286">IF(
  Receives_reference_trajectory,
  MAX(
    _xlfn.DROP(
      ROUND(
        _xlfn._xlws.FILTER(283:283, ISNUMBER(281:281)*(281:281&gt;=MTP_YearT+1)*(281:281&lt;=AdjustmentPeriodEnd)),
        1
      ),
      ,1
    )
    -
    _xlfn.DROP(
      ROUND(
        _xlfn._xlws.FILTER(283:283, ISNUMBER(281:281)*(281:281&gt;=MTP_YearT+1)*(281:281&lt;=AdjustmentPeriodEnd)),
        1
      ),
      ,-1
    )
  )&lt;=0,
  NA()
)</f>
        <v>1</v>
      </c>
      <c r="D286" s="51"/>
    </row>
    <row r="287" spans="2:35" x14ac:dyDescent="0.4">
      <c r="B287" t="s">
        <v>354</v>
      </c>
      <c r="C287" s="97" t="b" cm="1">
        <f t="array" ref="C287">IF(
  Receives_reference_trajectory,
  AND(
    MAX(ROUND(_xlfn._xlws.FILTER(283:283,ISNUMBER(281:281)*(281:281&gt;=MTP_YearT+1)*(281:281&lt;=AdjustmentPeriodEnd)),1))=ROUND($C$288,1),
    MIN(ROUND(_xlfn._xlws.FILTER(283:283,ISNUMBER(281:281)*(281:281&gt;=MTP_YearT+1)*(281:281&lt;=AdjustmentPeriodEnd)),1))=ROUND($C$288,1)
  ),
  NA()
)</f>
        <v>1</v>
      </c>
      <c r="D287" s="51"/>
    </row>
    <row r="288" spans="2:35" x14ac:dyDescent="0.4">
      <c r="B288" s="3" t="s">
        <v>347</v>
      </c>
      <c r="C288" s="97" cm="1">
        <f t="array" ref="C288">IF(
  Receives_reference_trajectory,
  AVERAGE(
    _xlfn.DROP(
      _xlfn._xlws.FILTER(282:282, ISNUMBER(281:281)*(281:281&gt;=MTP_YearT+1)*(281:281&lt;=AdjustmentPeriodEnd)),
      ,1
    )
    -
    _xlfn.DROP(
      _xlfn._xlws.FILTER(282:282, ISNUMBER(281:281)*(281:281&gt;=MTP_YearT+1)*(281:281&lt;=AdjustmentPeriodEnd)),
      ,-1
    )
  ),
  NA()
)</f>
        <v>0</v>
      </c>
      <c r="D288" s="51"/>
    </row>
    <row r="289" spans="2:35" x14ac:dyDescent="0.4">
      <c r="B289" s="5" t="s">
        <v>348</v>
      </c>
      <c r="C289" s="97" t="b">
        <f>IF(Receives_reference_trajectory,AND(C285:C287),NA())</f>
        <v>1</v>
      </c>
      <c r="D289" s="51"/>
    </row>
    <row r="290" spans="2:35" x14ac:dyDescent="0.4">
      <c r="B290" s="3"/>
      <c r="C290" s="101"/>
      <c r="D290" s="51"/>
    </row>
    <row r="291" spans="2:35" x14ac:dyDescent="0.4">
      <c r="B291" s="14" t="s">
        <v>258</v>
      </c>
      <c r="C291" s="102" t="str">
        <f>IF(
  NOT(Receives_reference_trajectory),
  "Not applicable - "&amp;Country&amp;" is not required to comply with a reference trajectory.",
  "The time profile of the fiscal adjustment, measured as the change in the structural primary balance, is " &amp;
  IF(C285,"linear","non-linear") &amp; ". " &amp;
  "The adjustment effort " &amp; IF(C286,"does not rise","rises") &amp; " over the adjustment period, and it is " &amp;
  IF(C287,"proportional","not proportional") &amp;
  " to the total effort over the adjustment period. " &amp;
  IF(AND(C285,C286,C287),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c r="D291" s="51"/>
    </row>
    <row r="292" spans="2:35" x14ac:dyDescent="0.4">
      <c r="C292" s="56"/>
      <c r="D292" s="51"/>
    </row>
    <row r="293" spans="2:35" ht="18" x14ac:dyDescent="0.55000000000000004">
      <c r="B293" s="50" t="s">
        <v>959</v>
      </c>
      <c r="C293" s="56"/>
      <c r="D293" s="51"/>
    </row>
    <row r="294" spans="2:35" x14ac:dyDescent="0.4">
      <c r="B294" t="s">
        <v>363</v>
      </c>
      <c r="C294" s="97" t="b">
        <f>'Step 1 - Set global parameters'!B31</f>
        <v>0</v>
      </c>
      <c r="D294" s="51"/>
    </row>
    <row r="295" spans="2:35" x14ac:dyDescent="0.4">
      <c r="B295" t="s">
        <v>368</v>
      </c>
      <c r="C295" s="97" t="e">
        <f>IF(ISNA('Step 1 - Set global parameters'!B32), NA(), 'Step 1 - Set global parameters'!B32)</f>
        <v>#N/A</v>
      </c>
      <c r="D295" s="51"/>
    </row>
    <row r="296" spans="2:35" x14ac:dyDescent="0.4">
      <c r="B296" t="s">
        <v>364</v>
      </c>
      <c r="C296" s="97" t="b">
        <f>'Step 1 - Set global parameters'!B33</f>
        <v>0</v>
      </c>
      <c r="D296" s="51"/>
    </row>
    <row r="297" spans="2:35" x14ac:dyDescent="0.4">
      <c r="B297" t="s">
        <v>761</v>
      </c>
      <c r="C297" s="97" t="e">
        <f>IF(ISNA('Step 1 - Set global parameters'!B34), NA(), 'Step 1 - Set global parameters'!B34)</f>
        <v>#N/A</v>
      </c>
      <c r="D297" s="51"/>
    </row>
    <row r="298" spans="2:35" x14ac:dyDescent="0.4">
      <c r="B298" t="s">
        <v>371</v>
      </c>
      <c r="C298" s="97" t="e" cm="1">
        <f t="array" ref="C298">IF(
  NOT(C294),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8" s="51"/>
    </row>
    <row r="299" spans="2:35" x14ac:dyDescent="0.4">
      <c r="B299" t="s">
        <v>365</v>
      </c>
      <c r="C299" s="97" t="e" cm="1">
        <f t="array" ref="C299">IF(
  ISNA($C$298),
  NA(),
  IF(
    $C$298=TRUE,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299" s="51"/>
    </row>
    <row r="300" spans="2:35" x14ac:dyDescent="0.4">
      <c r="B300" t="s">
        <v>372</v>
      </c>
      <c r="C300" s="97" t="e">
        <f>IF(NOT(C296),NA(),C235)</f>
        <v>#N/A</v>
      </c>
      <c r="D300" s="51"/>
    </row>
    <row r="301" spans="2:35" x14ac:dyDescent="0.4">
      <c r="B301" t="s">
        <v>374</v>
      </c>
      <c r="C301" s="97" t="e">
        <f>IF(
  NOT($C$296),
  NA(),
  IF(
    Debt_EDP_Deadline &gt; AdjustmentPeriodEnd,
    "Deadline year exceeds last year of reference trajectory.",
    "Requires manual review — test not implemented."
  )
)</f>
        <v>#N/A</v>
      </c>
      <c r="J301" s="71"/>
      <c r="K301" s="71"/>
      <c r="L301" s="71"/>
      <c r="M301" s="71"/>
      <c r="N301" s="71"/>
      <c r="O301" s="71"/>
      <c r="P301" s="71"/>
      <c r="Q301" s="71"/>
      <c r="R301" s="71"/>
      <c r="S301" s="71"/>
      <c r="T301" s="71"/>
      <c r="U301" s="71"/>
      <c r="V301" s="71"/>
      <c r="W301" s="71"/>
      <c r="X301" s="71"/>
      <c r="Y301" s="71"/>
      <c r="Z301" s="71"/>
      <c r="AA301" s="71"/>
      <c r="AB301" s="71"/>
      <c r="AC301" s="71"/>
      <c r="AD301" s="71"/>
      <c r="AE301" s="71"/>
      <c r="AF301" s="71"/>
      <c r="AG301" s="71"/>
      <c r="AH301" s="71"/>
      <c r="AI301" s="71"/>
    </row>
    <row r="302" spans="2:35" x14ac:dyDescent="0.4">
      <c r="B302" t="s">
        <v>379</v>
      </c>
      <c r="C302" s="97" t="e">
        <f>IF(
   OR(ISNA(C298), ISNA(C299), ISNA(C300), ISNA(C301), ISTEXT(C301)),
   NA(),
   AND(
      OR(
         AND(C294, OR(C298, C299)),
         AND(C296, C300, C301),
         AND(C294, NOT(C296), OR(C298, C299)),
         AND(C296, NOT(C294), C300, C301)
      )
   )
)</f>
        <v>#N/A</v>
      </c>
      <c r="J302" s="71"/>
      <c r="K302" s="71"/>
      <c r="L302" s="71"/>
      <c r="M302" s="71"/>
      <c r="N302" s="71"/>
      <c r="O302" s="71"/>
      <c r="P302" s="71"/>
      <c r="Q302" s="71"/>
      <c r="R302" s="71"/>
      <c r="S302" s="71"/>
      <c r="T302" s="71"/>
      <c r="U302" s="71"/>
      <c r="V302" s="71"/>
      <c r="W302" s="71"/>
      <c r="X302" s="71"/>
      <c r="Y302" s="71"/>
      <c r="Z302" s="71"/>
      <c r="AA302" s="71"/>
      <c r="AB302" s="71"/>
      <c r="AC302" s="71"/>
      <c r="AD302" s="71"/>
      <c r="AE302" s="71"/>
      <c r="AF302" s="71"/>
      <c r="AG302" s="71"/>
      <c r="AH302" s="71"/>
      <c r="AI302" s="71"/>
    </row>
    <row r="303" spans="2:35" x14ac:dyDescent="0.4">
      <c r="B303" s="14" t="s">
        <v>258</v>
      </c>
      <c r="C303" s="102" t="str">
        <f>IF(
  OR(C294,C296),
  IF(
    ISNA(C302),
    "The assessment of " &amp; Country &amp; "'s consistency with an excessive deficit procedure corrective path requires manual review.",
    IF(
      C302,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Select country.</v>
      </c>
      <c r="J303" s="71"/>
      <c r="K303" s="71"/>
      <c r="L303" s="71"/>
      <c r="M303" s="71"/>
      <c r="N303" s="71"/>
      <c r="O303" s="71"/>
      <c r="P303" s="71"/>
      <c r="Q303" s="71"/>
      <c r="R303" s="71"/>
      <c r="S303" s="71"/>
      <c r="T303" s="71"/>
      <c r="U303" s="71"/>
      <c r="V303" s="71"/>
      <c r="W303" s="71"/>
      <c r="X303" s="71"/>
      <c r="Y303" s="71"/>
      <c r="Z303" s="71"/>
      <c r="AA303" s="71"/>
      <c r="AB303" s="71"/>
      <c r="AC303" s="71"/>
      <c r="AD303" s="71"/>
      <c r="AE303" s="71"/>
      <c r="AF303" s="71"/>
      <c r="AG303" s="71"/>
      <c r="AH303" s="71"/>
      <c r="AI303" s="71"/>
    </row>
    <row r="304" spans="2:35" x14ac:dyDescent="0.4">
      <c r="B304"/>
      <c r="C304" s="97"/>
      <c r="J304" s="71"/>
      <c r="K304" s="71"/>
      <c r="L304" s="71"/>
      <c r="M304" s="71"/>
      <c r="N304" s="71"/>
      <c r="O304" s="71"/>
      <c r="P304" s="71"/>
      <c r="Q304" s="71"/>
      <c r="R304" s="71"/>
      <c r="S304" s="71"/>
      <c r="T304" s="71"/>
      <c r="U304" s="71"/>
      <c r="V304" s="71"/>
      <c r="W304" s="71"/>
      <c r="X304" s="71"/>
      <c r="Y304" s="71"/>
      <c r="Z304" s="71"/>
      <c r="AA304" s="71"/>
      <c r="AB304" s="71"/>
      <c r="AC304" s="71"/>
      <c r="AD304" s="71"/>
      <c r="AE304" s="71"/>
      <c r="AF304" s="71"/>
      <c r="AG304" s="71"/>
      <c r="AH304" s="71"/>
      <c r="AI304" s="71"/>
    </row>
    <row r="305" spans="2:35" ht="20.25" customHeight="1" x14ac:dyDescent="0.7">
      <c r="B305" s="13" t="s">
        <v>522</v>
      </c>
      <c r="C305" s="18"/>
      <c r="J305" s="71"/>
      <c r="K305" s="71"/>
      <c r="L305" s="71"/>
      <c r="M305" s="71"/>
      <c r="N305" s="71"/>
      <c r="O305" s="71"/>
      <c r="P305" s="71"/>
      <c r="Q305" s="71"/>
      <c r="R305" s="71"/>
      <c r="S305" s="71"/>
      <c r="T305" s="71"/>
      <c r="U305" s="71"/>
      <c r="V305" s="71"/>
      <c r="W305" s="71"/>
      <c r="X305" s="71"/>
      <c r="Y305" s="71"/>
      <c r="Z305" s="71"/>
      <c r="AA305" s="71"/>
      <c r="AB305" s="71"/>
      <c r="AC305" s="71"/>
      <c r="AD305" s="71"/>
      <c r="AE305" s="71"/>
      <c r="AF305" s="71"/>
      <c r="AG305" s="71"/>
      <c r="AH305" s="71"/>
      <c r="AI305" s="71"/>
    </row>
    <row r="306" spans="2:35" ht="18" x14ac:dyDescent="0.55000000000000004">
      <c r="B306" s="50" t="s">
        <v>960</v>
      </c>
      <c r="D306" s="17"/>
      <c r="J306" s="71"/>
      <c r="K306" s="71"/>
      <c r="L306" s="71" t="s">
        <v>256</v>
      </c>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596</v>
      </c>
      <c r="C307" s="121" t="b">
        <f>(Country="Greece")</f>
        <v>0</v>
      </c>
    </row>
    <row r="308" spans="2:35" x14ac:dyDescent="0.4">
      <c r="B308" t="s">
        <v>381</v>
      </c>
      <c r="C308" s="15" t="b">
        <f>MAX(INDEX(52:52,1,COLUMN($D$46)):INDEX(52:52,1,COLUMN($D$46)+COLUMNS(_xlfn.ANCHORARRAY($D$46))-1))&gt;90</f>
        <v>0</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t="s">
        <v>382</v>
      </c>
      <c r="C309" s="121" t="b" cm="1">
        <f t="array" ref="C309">SUMPRODUCT(
  --(INDEX(74:74,1,COLUMN($D$46)):INDEX(74:74,1,COLUMN($D$46)+COLUMNS(_xlfn.ANCHORARRAY($D$46))-1)&gt;=60),
  --(INDEX(74:74,1,COLUMN($D$46)):INDEX(74:74,1,COLUMN($D$46)+COLUMNS(_xlfn.ANCHORARRAY($D$46))-1)&lt;=90)
)&gt;0</f>
        <v>0</v>
      </c>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x14ac:dyDescent="0.4">
      <c r="B310" t="s">
        <v>267</v>
      </c>
      <c r="C310" s="121" t="e" cm="1">
        <f t="array" ref="C310">IF(
  C308,
  IFERROR(
    _xlfn.LET(
      _xlpm.yrs,_xlfn.ANCHORARRAY( $D$46),
      _xlpm.startYr, IF(OR('Step 1 - Set global parameters'!$B$31,'Step 1 - Set global parameters'!$B$33), Validation!$Q$6, MTP_BaseYear-1),
      _xlpm.debt, INDEX(52:52, COLUMN($D$46)+_xlfn.SEQUENCE(1, COLUMNS(_xlfn.ANCHORARRAY($D$46)), 0)),
      _xlpm.elig,
        (_xlpm.yrs&gt;=_xlpm.startYr)*
        (_xlpm.yrs&lt;=AdjustmentPeriodEnd)*
        (_xlpm.debt&gt;90)*
        IF(C307, _xlpm.yrs&lt;&gt;2033, TRUE),
      _xlpm.lastYr, LOOKUP(9^9, IF(_xlpm.elig, _xlpm.yrs)),
      _xlpm.startDebt, _xlfn.XLOOKUP(_xlpm.startYr, _xlpm.yrs, _xlpm.debt,,0),
      _xlpm.endDebt,   _xlfn.XLOOKUP(_xlpm.lastYr,  _xlpm.yrs, _xlpm.debt,,0),
      ((_xlpm.startDebt-_xlpm.endDebt)/(_xlpm.lastYr-_xlpm.startYr))&gt;=1
    ),
    TRUE
  ),
  NA()
)</f>
        <v>#N/A</v>
      </c>
    </row>
    <row r="311" spans="2:35" x14ac:dyDescent="0.4">
      <c r="B311" t="s">
        <v>268</v>
      </c>
      <c r="C311" s="121" t="e" cm="1">
        <f t="array" ref="C311">IF(C309,IFERROR(
  (
    INDEX(52:52, COLUMN($D$46)+_xlfn.XMATCH(IF(OR('Step 1 - Set global parameters'!$B$31,'Step 1 - Set global parameters'!$B$33), Validation!$Q$6, MTP_BaseYear-1),_xlfn.ANCHORARRAY( $D$46), 1)-1)
    -
    INDEX(52:52, COLUMN($D$46)+_xlfn.XMATCH(
      LOOKUP(9^9, IF(
        (_xlfn.ANCHORARRAY($D$46)&gt;=IF(OR('Step 1 - Set global parameters'!$B$31,'Step 1 - Set global parameters'!$B$33), Validation!$Q$6, MTP_BaseYear-1))*
        (_xlfn.ANCHORARRAY($D$46)&lt;=AdjustmentPeriodEnd)*
        (INDEX(52:52, COLUMN($D$46)+_xlfn.SEQUENCE(1,COLUMNS(_xlfn.ANCHORARRAY($D$46)),0))&gt;TFEU_Debt),_xlfn.ANCHORARRAY(
        $D$46))
      ),_xlfn.ANCHORARRAY(
      $D$46), 1)-1)
  ) /
  (
    LOOKUP(9^9, IF(
      (_xlfn.ANCHORARRAY($D$46)&gt;=IF(OR('Step 1 - Set global parameters'!$B$31,'Step 1 - Set global parameters'!$B$33), Validation!$Q$6, MTP_BaseYear-1))*
      (_xlfn.ANCHORARRAY($D$46)&lt;=AdjustmentPeriodEnd)*
      (INDEX(52:52, COLUMN($D$46)+_xlfn.SEQUENCE(1,COLUMNS(_xlfn.ANCHORARRAY($D$46)),0))&gt;TFEU_Debt),_xlfn.ANCHORARRAY(
      $D$46))
    )
    - IF(OR('Step 1 - Set global parameters'!$B$31,'Step 1 - Set global parameters'!$B$33), Validation!$Q$6, MTP_BaseYear-1)
  )
  &gt;= 0.5,
  TRUE
),NA())</f>
        <v>#N/A</v>
      </c>
    </row>
    <row r="312" spans="2:35" x14ac:dyDescent="0.4">
      <c r="B312" s="14" t="s">
        <v>527</v>
      </c>
      <c r="C312" s="15" t="e">
        <f>IF(
  NOT(Receives_reference_trajectory),
  NA(),
  IF(
    OR(C308=TRUE, C309=TRUE),
    IF(
      OR(
        IF(C308=TRUE, C310=FALSE, FALSE),
        IF(C309=TRUE, C311=FALSE, FALSE)
      ),
      FALSE,
      TRUE
    ),
    NA()
  )
)</f>
        <v>#N/A</v>
      </c>
    </row>
    <row r="313" spans="2:35" x14ac:dyDescent="0.4">
      <c r="C313" s="17"/>
    </row>
    <row r="314" spans="2:35" x14ac:dyDescent="0.4">
      <c r="B314" s="14" t="s">
        <v>266</v>
      </c>
      <c r="C314" s="102" t="str">
        <f>IF(
  NOT(Receives_reference_trajectory),
  Country &amp; " does not receive a reference trajectory and its MTP is not assessed against the debt sustainability safeguard.",
  IF(
    OR(C308=TRUE, C309=TRUE),
    IF(
      OR(
        IF(C308=TRUE, C310=FALSE, FALSE),
        IF(C309=TRUE, C311=FALSE,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does not apply as Select country's debt is below 60%.</v>
      </c>
      <c r="E314" s="17"/>
    </row>
    <row r="315" spans="2:35" x14ac:dyDescent="0.4">
      <c r="C315" s="56"/>
      <c r="E315" s="17"/>
    </row>
    <row r="316" spans="2:35" ht="23.25" x14ac:dyDescent="0.7">
      <c r="B316" s="50" t="s">
        <v>961</v>
      </c>
      <c r="C316" s="13"/>
      <c r="E316" s="17"/>
    </row>
    <row r="317" spans="2:35" customFormat="1" ht="23.25" x14ac:dyDescent="0.7">
      <c r="B317" s="103"/>
      <c r="C317" s="104"/>
      <c r="D317" s="14" cm="1">
        <f t="array" ref="D317:I317">_xlfn.SEQUENCE(1, AdjustmentPeriodEnd-MTP_BaseYear+1, MTP_BaseYear)</f>
        <v>2023</v>
      </c>
      <c r="E317" s="14">
        <v>2024</v>
      </c>
      <c r="F317" s="17">
        <v>2025</v>
      </c>
      <c r="G317" s="14">
        <v>2026</v>
      </c>
      <c r="H317" s="14">
        <v>2027</v>
      </c>
      <c r="I317" s="14">
        <v>2028</v>
      </c>
    </row>
    <row r="318" spans="2:35" customFormat="1" x14ac:dyDescent="0.4">
      <c r="B318" t="s">
        <v>383</v>
      </c>
      <c r="C318" s="37"/>
      <c r="D318" s="91" cm="1">
        <f t="array" ref="D318:I318">INDEX(36:36, COLUMN($D$36) + _xlfn.SEQUENCE(1, COLUMNS(_xlfn.ANCHORARRAY(D317))) - 1)</f>
        <v>0</v>
      </c>
      <c r="E318" s="91">
        <v>0</v>
      </c>
      <c r="F318" s="91">
        <v>0</v>
      </c>
      <c r="G318" s="91">
        <v>0</v>
      </c>
      <c r="H318" s="91">
        <v>0</v>
      </c>
      <c r="I318" s="91">
        <v>0</v>
      </c>
      <c r="J318" s="91"/>
      <c r="K318" s="91"/>
      <c r="L318" s="91"/>
      <c r="M318" s="91"/>
      <c r="N318" s="91"/>
    </row>
    <row r="319" spans="2:35" customFormat="1" x14ac:dyDescent="0.4">
      <c r="B319" t="s">
        <v>214</v>
      </c>
      <c r="C319" s="37"/>
      <c r="D319" s="91" cm="1">
        <f t="array" ref="D319:I319">INDEX(37:37, COLUMN($D$37) + _xlfn.SEQUENCE(1, COLUMNS(_xlfn.ANCHORARRAY(D317))) - 1)</f>
        <v>0</v>
      </c>
      <c r="E319" s="91">
        <v>0</v>
      </c>
      <c r="F319" s="91">
        <v>0</v>
      </c>
      <c r="G319" s="91">
        <v>0</v>
      </c>
      <c r="H319" s="91">
        <v>0</v>
      </c>
      <c r="I319" s="91">
        <v>0</v>
      </c>
      <c r="J319" s="91"/>
      <c r="K319" s="91"/>
      <c r="L319" s="91"/>
      <c r="M319" s="91"/>
    </row>
    <row r="320" spans="2:35" customFormat="1" x14ac:dyDescent="0.4">
      <c r="B320" s="7" t="s">
        <v>384</v>
      </c>
      <c r="C320" s="93"/>
      <c r="D320" s="91"/>
      <c r="E320" s="91"/>
      <c r="F320" s="91">
        <f>IF(COUNT(E319,F319)=2, F319-E319, "")</f>
        <v>0</v>
      </c>
      <c r="G320" s="91">
        <f t="shared" ref="G320:L320" si="38">IF(COUNT(F319,G319)=2, G319-F319, "")</f>
        <v>0</v>
      </c>
      <c r="H320" s="91">
        <f t="shared" si="38"/>
        <v>0</v>
      </c>
      <c r="I320" s="91">
        <f t="shared" si="38"/>
        <v>0</v>
      </c>
      <c r="J320" s="91" t="str">
        <f t="shared" si="38"/>
        <v/>
      </c>
      <c r="K320" s="91" t="str">
        <f t="shared" si="38"/>
        <v/>
      </c>
      <c r="L320" s="91" t="str">
        <f t="shared" si="38"/>
        <v/>
      </c>
    </row>
    <row r="321" spans="2:35" customFormat="1" x14ac:dyDescent="0.4">
      <c r="B321" t="s">
        <v>671</v>
      </c>
      <c r="D321" s="3" t="b">
        <f>IF(ISNUMBER(D317),D318&lt;-1.5,"")</f>
        <v>0</v>
      </c>
      <c r="E321" s="3" t="b">
        <f>IF(ISNUMBER(E317),E318&lt;-1.5,"")</f>
        <v>0</v>
      </c>
      <c r="F321" s="3" t="b">
        <f>IF(ISNUMBER(F317),F318&lt;-1.5,"")</f>
        <v>0</v>
      </c>
      <c r="G321" s="3" t="b">
        <f t="shared" ref="G321:M321" si="39">IF(ISNUMBER(G317),G318&lt;-1.5,"")</f>
        <v>0</v>
      </c>
      <c r="H321" s="3" t="b">
        <f t="shared" si="39"/>
        <v>0</v>
      </c>
      <c r="I321" s="3" t="b">
        <f t="shared" si="39"/>
        <v>0</v>
      </c>
      <c r="J321" s="3" t="str">
        <f t="shared" si="39"/>
        <v/>
      </c>
      <c r="K321" s="3" t="str">
        <f t="shared" si="39"/>
        <v/>
      </c>
      <c r="L321" s="3" t="str">
        <f t="shared" si="39"/>
        <v/>
      </c>
      <c r="M321" s="3" t="str">
        <f t="shared" si="39"/>
        <v/>
      </c>
    </row>
    <row r="322" spans="2:35" customFormat="1" x14ac:dyDescent="0.4">
      <c r="D322" s="3"/>
      <c r="E322" s="3"/>
      <c r="F322" s="3"/>
      <c r="G322" s="3"/>
      <c r="H322" s="3"/>
      <c r="I322" s="3"/>
    </row>
    <row r="323" spans="2:35" customFormat="1" x14ac:dyDescent="0.4">
      <c r="B323" t="s">
        <v>385</v>
      </c>
      <c r="C323" s="2" t="b" cm="1">
        <f t="array" ref="C323">IF(
  NOT(Receives_reference_trajectory),
  NA(),
  SUMPRODUCT(
    --(
      INDEX(321:321,1,COLUMN($D$317)):
      INDEX(321:321,1,COLUMN($D$317)+COLUMNS(_xlfn.ANCHORARRAY($D$317))-1)
    )
  )&gt;0
)</f>
        <v>0</v>
      </c>
    </row>
    <row r="324" spans="2:35" x14ac:dyDescent="0.4">
      <c r="B324" t="s">
        <v>306</v>
      </c>
      <c r="C324" s="15">
        <f>IF(Receives_reference_trajectory,IF(AdjustmentPeriod=4,0.4,0.25),NA())</f>
        <v>0.4</v>
      </c>
      <c r="E324" s="17"/>
    </row>
    <row r="325" spans="2:35" x14ac:dyDescent="0.4">
      <c r="B325" t="s">
        <v>473</v>
      </c>
      <c r="C325" s="121" t="e" cm="1">
        <f t="array" ref="C325">IF(
  NOT(Receives_reference_trajectory),
  NA(),
  IF(
    NOT(C323),
    NA(),
    SUMPRODUCT(
      --(_xlfn.TAKE(IFERROR(_xlfn.CHOOSECOLS(321:321, COLUMN($D$317)+_xlfn.SEQUENCE(1,COLUMNS(_xlfn.ANCHORARRAY($D$317)))-1), FALSE), , COLUMNS(_xlfn.ANCHORARRAY($D$317))-1)),
      --(_xlfn.DROP(_xlfn.CHOOSECOLS(320:320, COLUMN($D$317)+_xlfn.SEQUENCE(1,COLUMNS(_xlfn.ANCHORARRAY($D$317)))-1), , 1) &lt;= C324)
    )=0
  )
)</f>
        <v>#N/A</v>
      </c>
      <c r="E325" s="17"/>
    </row>
    <row r="326" spans="2:35" x14ac:dyDescent="0.4">
      <c r="B326"/>
      <c r="C326" s="15"/>
      <c r="E326" s="17"/>
    </row>
    <row r="327" spans="2:35" x14ac:dyDescent="0.4">
      <c r="B327" s="14" t="s">
        <v>266</v>
      </c>
      <c r="C327" s="102" t="str">
        <f>IF(
  NOT(Receives_reference_trajectory),
  Country &amp; " does not receive a reference trajectory and its MTP is not assessed against the deficit resilience safeguard.",
  IF(
    OR(NOT(C323), ISNA(C325)),
    "The deficit resilience safeguard does not apply, as the structural deficit does not exceed 1.5% of GDP during the adjustment period.",
    IF(
      C325,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27" s="17"/>
    </row>
    <row r="328" spans="2:35" x14ac:dyDescent="0.4">
      <c r="C328" s="122"/>
      <c r="E328" s="17"/>
    </row>
    <row r="329" spans="2:35" ht="18" x14ac:dyDescent="0.55000000000000004">
      <c r="B329" s="128" t="s">
        <v>962</v>
      </c>
      <c r="D329" s="17"/>
      <c r="J329" s="71"/>
      <c r="K329" s="71"/>
      <c r="L329" s="71"/>
      <c r="M329" s="71"/>
      <c r="N329" s="71"/>
      <c r="O329" s="71"/>
      <c r="P329" s="71"/>
      <c r="Q329" s="71"/>
      <c r="R329" s="71"/>
      <c r="S329" s="71"/>
      <c r="T329" s="71"/>
      <c r="U329" s="71"/>
      <c r="V329" s="71"/>
      <c r="W329" s="71"/>
      <c r="X329" s="71"/>
      <c r="Y329" s="71"/>
      <c r="Z329" s="71"/>
      <c r="AA329" s="71"/>
      <c r="AB329" s="71"/>
      <c r="AC329" s="71"/>
      <c r="AD329" s="71"/>
      <c r="AE329" s="71"/>
      <c r="AF329" s="71"/>
      <c r="AG329" s="71"/>
      <c r="AH329" s="71"/>
      <c r="AI329" s="71"/>
    </row>
    <row r="330" spans="2:35" ht="14.25" x14ac:dyDescent="0.45">
      <c r="B330" s="129" t="s">
        <v>505</v>
      </c>
      <c r="D330" s="17"/>
      <c r="J330" s="71"/>
      <c r="K330" s="71"/>
      <c r="L330" s="71"/>
      <c r="M330" s="71"/>
      <c r="N330" s="71"/>
      <c r="O330" s="71"/>
      <c r="P330" s="71"/>
      <c r="Q330" s="71"/>
      <c r="R330" s="71"/>
      <c r="S330" s="71"/>
      <c r="T330" s="71"/>
      <c r="U330" s="71"/>
      <c r="V330" s="71"/>
      <c r="W330" s="71"/>
      <c r="X330" s="71"/>
      <c r="Y330" s="71"/>
      <c r="Z330" s="71"/>
      <c r="AA330" s="71"/>
      <c r="AB330" s="71"/>
      <c r="AC330" s="71"/>
      <c r="AD330" s="71"/>
      <c r="AE330" s="71"/>
      <c r="AF330" s="71"/>
      <c r="AG330" s="71"/>
      <c r="AH330" s="71"/>
      <c r="AI330" s="71"/>
    </row>
    <row r="331" spans="2:35" ht="14.25" x14ac:dyDescent="0.45">
      <c r="B331" s="129"/>
      <c r="D331" s="17"/>
      <c r="J331" s="71"/>
      <c r="K331" s="71"/>
      <c r="L331" s="71"/>
      <c r="M331" s="71"/>
      <c r="N331" s="71"/>
      <c r="O331" s="71"/>
      <c r="P331" s="71"/>
      <c r="Q331" s="71"/>
      <c r="R331" s="71"/>
      <c r="S331" s="71"/>
      <c r="T331" s="71"/>
      <c r="U331" s="71"/>
      <c r="V331" s="71"/>
      <c r="W331" s="71"/>
      <c r="X331" s="71"/>
      <c r="Y331" s="71"/>
      <c r="Z331" s="71"/>
      <c r="AA331" s="71"/>
      <c r="AB331" s="71"/>
      <c r="AC331" s="71"/>
      <c r="AD331" s="71"/>
      <c r="AE331" s="71"/>
      <c r="AF331" s="71"/>
      <c r="AG331" s="71"/>
      <c r="AH331" s="71"/>
      <c r="AI331" s="71"/>
    </row>
    <row r="332" spans="2:35" ht="15.75" x14ac:dyDescent="0.5">
      <c r="B332" s="132" t="s">
        <v>526</v>
      </c>
      <c r="D332" s="17"/>
      <c r="J332" s="71"/>
      <c r="K332" s="71"/>
      <c r="L332" s="71"/>
      <c r="M332" s="71"/>
      <c r="N332" s="71"/>
      <c r="O332" s="71"/>
      <c r="P332" s="71"/>
      <c r="Q332" s="71"/>
      <c r="R332" s="71"/>
      <c r="S332" s="71"/>
      <c r="T332" s="71"/>
      <c r="U332" s="71"/>
      <c r="V332" s="71"/>
      <c r="W332" s="71"/>
      <c r="X332" s="71"/>
      <c r="Y332" s="71"/>
      <c r="Z332" s="71"/>
      <c r="AA332" s="71"/>
      <c r="AB332" s="71"/>
      <c r="AC332" s="71"/>
      <c r="AD332" s="71"/>
      <c r="AE332" s="71"/>
      <c r="AF332" s="71"/>
      <c r="AG332" s="71"/>
      <c r="AH332" s="71"/>
      <c r="AI332" s="71"/>
    </row>
    <row r="333" spans="2:35" x14ac:dyDescent="0.4">
      <c r="B333" t="s">
        <v>506</v>
      </c>
      <c r="C333" s="130" t="e" cm="1">
        <f t="array" ref="C333">IF(
  Receives_reference_trajectory,
  IFERROR(
    INDEX(71:71, _xlfn.XMATCH(AdjustmentPeriodEnd, 62:62, 0)) -
    INDEX(71:71, _xlfn.XMATCH(MTP_YearT,        62:62, 0)),
    NA()
  ),
  NA()
)</f>
        <v>#N/A</v>
      </c>
      <c r="D333" s="17"/>
      <c r="J333" s="71"/>
      <c r="K333" s="71"/>
      <c r="L333" s="71"/>
      <c r="M333" s="71"/>
      <c r="N333" s="71"/>
      <c r="O333" s="71"/>
      <c r="P333" s="71"/>
      <c r="Q333" s="71"/>
      <c r="R333" s="71"/>
      <c r="S333" s="71"/>
      <c r="T333" s="71"/>
      <c r="U333" s="71"/>
      <c r="V333" s="71"/>
      <c r="W333" s="71"/>
      <c r="X333" s="71"/>
      <c r="Y333" s="71"/>
      <c r="Z333" s="71"/>
      <c r="AA333" s="71"/>
      <c r="AB333" s="71"/>
      <c r="AC333" s="71"/>
      <c r="AD333" s="71"/>
      <c r="AE333" s="71"/>
      <c r="AF333" s="71"/>
      <c r="AG333" s="71"/>
      <c r="AH333" s="71"/>
      <c r="AI333" s="71"/>
    </row>
    <row r="334" spans="2:35" x14ac:dyDescent="0.4">
      <c r="B334" t="s">
        <v>507</v>
      </c>
      <c r="C334" s="130" t="e" cm="1">
        <f t="array" ref="C334">IF(
  Receives_reference_trajectory,
  IFERROR(
    (
      INDEX(71:71, _xlfn.XMATCH(AdjustmentPeriodEnd, 62:62, 0)) -
      INDEX(71:71, _xlfn.XMATCH(MTP_YearT,        62:62, 0))
    ) / (AdjustmentPeriodEnd - MTP_YearT),
    NA()
  ),
  NA()
)</f>
        <v>#N/A</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x14ac:dyDescent="0.4">
      <c r="B335" t="s">
        <v>456</v>
      </c>
      <c r="C335" s="130" cm="1">
        <f t="array" ref="C335">IF(
  Receives_reference_trajectory,
  IFERROR(
    INDEX(37:37, _xlfn.XMATCH(AdjustmentPeriodEnd, 32:32, 0)) -
    INDEX(37:37, _xlfn.XMATCH(MTP_YearT,        32:32, 0)),
    NA()
  ),
  NA()
)</f>
        <v>0</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x14ac:dyDescent="0.4">
      <c r="B336"/>
      <c r="C336" s="130"/>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x14ac:dyDescent="0.4">
      <c r="B337" s="14" t="s">
        <v>258</v>
      </c>
      <c r="C337" s="102" t="e">
        <f>IF(
  Receives_reference_trajectory,
  IF(
    OR(ISNA(C335),NOT(ISNUMBER(C335))),
    Country &amp; "'s total SPB adjustment required over the adjustment period is " &amp;
      TEXT(C333,"0.0") &amp; " pp of GDP, and the required average annual consolidation is " &amp;
      TEXT(C334,"0.0") &amp; " pp of GDP.",
    Country &amp; "'s total SPB adjustment required over the adjustment period is " &amp;
      TEXT(C333,"0.0") &amp; " pp of GDP. The planned average annual consolidation of " &amp;
      TEXT(C335,"0.0") &amp; " pp " &amp;
      IF(
        C335 &gt; C334 + 0.1,
        "exceeds the required " &amp; TEXT(C334,"0.0") &amp;
          " pp, indicating that the plan appears consistent with achieving the target SPB implied by the reference trajectory by the end of the horizon.",
        IF(
          C335 &lt; C334 - 0.1,
          "falls short of the required " &amp; TEXT(C334,"0.0") &amp;
            " pp, indicating that additional measures may be needed to reach the target SPB.",
          "is broadly in line with the required " &amp; TEXT(C334,"0.0") &amp; " pp."
        )
      )
  ),
  NA()
)</f>
        <v>#N/A</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C338" s="102"/>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ht="15.75" x14ac:dyDescent="0.5">
      <c r="B339" s="79" t="s">
        <v>508</v>
      </c>
      <c r="C339" s="92"/>
      <c r="E339" s="18"/>
      <c r="J339" s="16"/>
    </row>
    <row r="340" spans="2:35" customFormat="1" x14ac:dyDescent="0.4">
      <c r="B340" t="str">
        <f>"Minimum level of structural primary balance in "&amp;AdjustmentPeriodEnd&amp;", no safeguard"</f>
        <v>Minimum level of structural primary balance in 2028, no safeguard</v>
      </c>
      <c r="C340" s="2" t="e">
        <f>IF(Receives_reference_trajectory,NA(),INDEX(65:65, MATCH(AdjustmentPeriodEnd, 46:46, 0)))</f>
        <v>#N/A</v>
      </c>
    </row>
    <row r="341" spans="2:35" customFormat="1" x14ac:dyDescent="0.4">
      <c r="B341" t="str">
        <f>"Minimum level of structural primary balance in "&amp;AdjustmentPeriodEnd&amp;", with safeguard"</f>
        <v>Minimum level of structural primary balance in 2028, with safeguard</v>
      </c>
      <c r="C341" s="126" t="e">
        <f>IF(Receives_reference_trajectory,NA(),INDEX(66:66, MATCH(AdjustmentPeriodEnd, 46:46, 0)))</f>
        <v>#N/A</v>
      </c>
    </row>
    <row r="342" spans="2:35" customFormat="1" x14ac:dyDescent="0.4">
      <c r="B342" t="s">
        <v>378</v>
      </c>
      <c r="C342" s="2" t="e">
        <f>IF(Receives_reference_trajectory,NA(),INDEX(37:37, MATCH(AdjustmentPeriodEnd, 46:46, 0)))</f>
        <v>#N/A</v>
      </c>
    </row>
    <row r="343" spans="2:35" x14ac:dyDescent="0.4">
      <c r="B343" t="s">
        <v>376</v>
      </c>
      <c r="C343" s="15" t="e">
        <f>IF(Receives_reference_trajectory, NA(), C342 &gt;= C340)</f>
        <v>#N/A</v>
      </c>
      <c r="E343" s="18"/>
      <c r="J343" s="16"/>
    </row>
    <row r="344" spans="2:35" x14ac:dyDescent="0.4">
      <c r="B344" t="s">
        <v>377</v>
      </c>
      <c r="C344" s="15" t="e">
        <f>IF(Receives_reference_trajectory, NA(), C342 &gt;= C341)</f>
        <v>#N/A</v>
      </c>
      <c r="E344" s="18"/>
      <c r="J344" s="16"/>
    </row>
    <row r="345" spans="2:35" x14ac:dyDescent="0.4">
      <c r="C345" s="15"/>
      <c r="J345" s="71"/>
      <c r="K345" s="71"/>
      <c r="L345" s="71"/>
      <c r="M345" s="71"/>
      <c r="N345" s="71"/>
      <c r="O345" s="71"/>
      <c r="P345" s="71"/>
      <c r="Q345" s="71"/>
      <c r="R345" s="71"/>
      <c r="S345" s="71"/>
      <c r="T345" s="71"/>
      <c r="U345" s="71"/>
      <c r="V345" s="71"/>
      <c r="W345" s="71"/>
      <c r="X345" s="71"/>
      <c r="Y345" s="71"/>
      <c r="Z345" s="71"/>
      <c r="AA345" s="71"/>
      <c r="AB345" s="71"/>
      <c r="AC345" s="71"/>
      <c r="AD345" s="71"/>
      <c r="AE345" s="71"/>
      <c r="AF345" s="71"/>
      <c r="AG345" s="71"/>
      <c r="AH345" s="71"/>
      <c r="AI345" s="71"/>
    </row>
    <row r="346" spans="2:35" x14ac:dyDescent="0.4">
      <c r="B346" s="14" t="s">
        <v>266</v>
      </c>
      <c r="C346" s="102" t="e">
        <f>_xlfn.LET(
  _xlpm.nos, Assessment!$C$343,
  _xlpm.ws,  Assessment!$C$344,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46" s="17"/>
      <c r="E346" s="18"/>
      <c r="J346" s="71"/>
      <c r="K346" s="71"/>
      <c r="L346" s="71"/>
      <c r="M346" s="71"/>
      <c r="N346" s="71"/>
      <c r="O346" s="71" t="s">
        <v>269</v>
      </c>
      <c r="P346" s="71"/>
      <c r="Q346" s="71"/>
      <c r="R346" s="71"/>
      <c r="S346" s="71"/>
      <c r="T346" s="71"/>
      <c r="U346" s="71"/>
      <c r="V346" s="71"/>
      <c r="W346" s="71"/>
      <c r="X346" s="71"/>
      <c r="Y346" s="71"/>
      <c r="Z346" s="71"/>
      <c r="AA346" s="71"/>
      <c r="AB346" s="71"/>
      <c r="AC346" s="71"/>
      <c r="AD346" s="71"/>
      <c r="AE346" s="71"/>
      <c r="AF346" s="71"/>
      <c r="AG346" s="71"/>
      <c r="AH346" s="71"/>
      <c r="AI346" s="71"/>
    </row>
    <row r="347" spans="2:35" x14ac:dyDescent="0.4">
      <c r="J347" s="71"/>
      <c r="K347" s="71"/>
      <c r="L347" s="71"/>
      <c r="M347" s="71"/>
      <c r="N347" s="71"/>
      <c r="O347" s="71"/>
      <c r="P347" s="71"/>
      <c r="Q347" s="71"/>
      <c r="R347" s="71"/>
      <c r="S347" s="71"/>
      <c r="T347" s="71"/>
      <c r="U347" s="71"/>
      <c r="V347" s="71"/>
      <c r="W347" s="71"/>
      <c r="X347" s="71"/>
      <c r="Y347" s="71"/>
      <c r="Z347" s="71"/>
      <c r="AA347" s="71"/>
      <c r="AB347" s="71"/>
      <c r="AC347" s="71"/>
      <c r="AD347" s="71"/>
      <c r="AE347" s="71"/>
      <c r="AF347" s="71"/>
      <c r="AG347" s="71"/>
      <c r="AH347" s="71"/>
      <c r="AI347" s="71"/>
    </row>
    <row r="348" spans="2:35" ht="18" x14ac:dyDescent="0.55000000000000004">
      <c r="B348" s="50" t="s">
        <v>509</v>
      </c>
      <c r="C348" s="56"/>
      <c r="E348" s="17"/>
    </row>
    <row r="349" spans="2:35" customFormat="1" ht="15.75" x14ac:dyDescent="0.5">
      <c r="B349" s="79" t="s">
        <v>526</v>
      </c>
    </row>
    <row r="350" spans="2:35" x14ac:dyDescent="0.4">
      <c r="B350" t="s">
        <v>515</v>
      </c>
      <c r="C350" s="15" t="b">
        <f>IF(
  NOT(Receives_reference_trajectory),
  NA(),
  IFERROR(
    AND(
      C215,
      IF(AdjustmentPeriod=7, C220, TRUE),
      C237,
      C260,
      C270,
      C289,
      IF(ISNA(C302), TRUE, C302),
      IF(ISNA(C312), TRUE, C312),
      IF(ISNA(C325), TRUE, C325)
    ),
    NA()
  )
)</f>
        <v>1</v>
      </c>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528</v>
      </c>
      <c r="C351" s="102" t="str">
        <f>IF(
  Receives_reference_trajectory,
  IF(
    C235,
    "The net expenditure path in " &amp; Country &amp; "'s latest MTP adheres to the Commission's reference trajectory" &amp;
    IF(
      ISNA(C350),
      ", but overall compliance with Regulation (EU) 2024/1263 cannot yet be assessed.",
      IF(C350,
        " and it meets all requirements of Regulation (EU) 2024/1263.",
        " but it does not meet all requirements of Regulation (EU) 2024/1263."
      )
    ),
    IF(
      C236,
      "The net expenditure path in " &amp; Country &amp; "'s latest MTP exceeds the Commission's reference trajectory but the " &amp; IFI_Name &amp;
      " deems the explanation and alternative assumptions to be satisfactory" &amp;
      IF(
        ISNA(C350),
        ", but overall compliance with Regulation (EU) 2024/1263 cannot yet be assessed.",
        IF(C350,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ISNA(C350),
        ", and overall compliance with Regulation (EU) 2024/1263 cannot yet be assessed.",
        IF(C350,
          ", and it meets all requirements of Regulation (EU) 2024/1263.",
          ", and it does not meet all requirements of Regulation (EU) 2024/1263."
        )
      )
    )
  ),
  "Not applicable."
)</f>
        <v>The net expenditure path in Select country's latest MTP adheres to the Commission's reference trajectory and it meets all requirements of Regulation (EU) 2024/1263.</v>
      </c>
      <c r="J351" s="71"/>
      <c r="K351" s="71"/>
      <c r="L351" s="71"/>
      <c r="M351" s="71"/>
      <c r="N351" s="71"/>
      <c r="O351" s="71"/>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B352"/>
      <c r="C352" s="122"/>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5.75" x14ac:dyDescent="0.5">
      <c r="B353" s="79" t="s">
        <v>454</v>
      </c>
      <c r="C353" s="37"/>
      <c r="J353" s="71"/>
      <c r="K353" s="71"/>
      <c r="L353" s="71"/>
      <c r="M353" s="71"/>
      <c r="N353" s="71"/>
      <c r="O353" s="71"/>
      <c r="P353" s="71"/>
      <c r="Q353" s="71"/>
      <c r="R353" s="71"/>
      <c r="S353" s="71"/>
      <c r="T353" s="71"/>
      <c r="U353" s="71"/>
      <c r="V353" s="71"/>
      <c r="W353" s="71"/>
      <c r="X353" s="71"/>
      <c r="Y353" s="71"/>
      <c r="Z353" s="71"/>
      <c r="AA353" s="71"/>
      <c r="AB353" s="71"/>
      <c r="AC353" s="71"/>
      <c r="AD353" s="71"/>
      <c r="AE353" s="71"/>
      <c r="AF353" s="71"/>
      <c r="AG353" s="71"/>
      <c r="AH353" s="71"/>
      <c r="AI353" s="71"/>
    </row>
    <row r="354" spans="2:35" x14ac:dyDescent="0.4">
      <c r="B354" t="s">
        <v>515</v>
      </c>
      <c r="C354" s="15" t="e">
        <f>IF(
  Receives_reference_trajectory,
  NA(),
  AND(C247, C264, C274)
)</f>
        <v>#N/A</v>
      </c>
      <c r="J354" s="71"/>
      <c r="K354" s="71"/>
      <c r="L354" s="71"/>
      <c r="M354" s="71"/>
      <c r="N354" s="71"/>
      <c r="O354" s="71"/>
      <c r="P354" s="71"/>
      <c r="Q354" s="71"/>
      <c r="R354" s="71"/>
      <c r="S354" s="71"/>
      <c r="T354" s="71"/>
      <c r="U354" s="71"/>
      <c r="V354" s="71"/>
      <c r="W354" s="71"/>
      <c r="X354" s="71"/>
      <c r="Y354" s="71"/>
      <c r="Z354" s="71"/>
      <c r="AA354" s="71"/>
      <c r="AB354" s="71"/>
      <c r="AC354" s="71"/>
      <c r="AD354" s="71"/>
      <c r="AE354" s="71"/>
      <c r="AF354" s="71"/>
      <c r="AG354" s="71"/>
      <c r="AH354" s="71"/>
      <c r="AI354" s="71"/>
    </row>
    <row r="355" spans="2:35" x14ac:dyDescent="0.4">
      <c r="B355" s="14" t="s">
        <v>258</v>
      </c>
      <c r="C355" s="102" t="str">
        <f>IF(
  Receives_reference_trajectory,
  "Not applicable",
  IF(
    C245,
    "The net expenditure path in " &amp; Country &amp; "'s MTP adheres to the minimum level of the primary structural balance in " &amp;
      AdjustmentPeriodEnd &amp; " (" &amp; C241 &amp; "% of GDP). ",
    "The net expenditure path in " &amp; Country &amp; "'s MTP does not adhere to the minimum level of the primary structural balance in " &amp;
      AdjustmentPeriodEnd &amp; " (" &amp; C241 &amp; "% of GDP). "
  ) &amp;
  IF(
    AND(C264, C274),
    "The net expenditure path put forward in the plan is consistent with the deficit and debt requirements as set out in Article 16(2) of Regulation (EU) 2024/1263.",
    IF(
      AND(C264, NOT(C274)),
      "However, while it complies with the debt requirement, it does not comply with the deficit requirement under Article 16(2) of Regulation (EU) 2024/1263.",
      IF(
        AND(NOT(C264), C274),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55" s="17"/>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sheetData>
  <phoneticPr fontId="9" type="noConversion"/>
  <conditionalFormatting sqref="D147:V147 D178:V188 D329:V338 R141:U145">
    <cfRule type="expression" dxfId="41" priority="152">
      <formula>AND(#REF!&gt;MTP_YearT, #REF!&lt;=AdjustmentPeriodEnd)</formula>
    </cfRule>
  </conditionalFormatting>
  <conditionalFormatting sqref="T178:V188 T329:V338 T147:V147">
    <cfRule type="expression" dxfId="40" priority="154">
      <formula>ISNUMBER(#REF!)</formula>
    </cfRule>
  </conditionalFormatting>
  <conditionalFormatting sqref="D281:M281">
    <cfRule type="expression" dxfId="39" priority="59">
      <formula>ISNUMBER(D281)</formula>
    </cfRule>
  </conditionalFormatting>
  <conditionalFormatting sqref="D5:K5">
    <cfRule type="expression" dxfId="38" priority="58">
      <formula>ISNUMBER(D4)</formula>
    </cfRule>
  </conditionalFormatting>
  <conditionalFormatting sqref="E145:M145">
    <cfRule type="expression" dxfId="37" priority="195">
      <formula>ISNUMBER(E$101)</formula>
    </cfRule>
  </conditionalFormatting>
  <conditionalFormatting sqref="D157:V157">
    <cfRule type="expression" dxfId="36" priority="38">
      <formula>AND(#REF!&gt;MTP_YearT, #REF!&lt;=AdjustmentPeriodEnd)</formula>
    </cfRule>
  </conditionalFormatting>
  <conditionalFormatting sqref="T156:V157">
    <cfRule type="expression" dxfId="35" priority="208">
      <formula>ISNUMBER(#REF!)</formula>
    </cfRule>
  </conditionalFormatting>
  <conditionalFormatting sqref="D152:V155">
    <cfRule type="expression" dxfId="34" priority="210">
      <formula>AND(#REF!&gt;MTP_YearT, #REF!&lt;=AdjustmentPeriodEnd)</formula>
    </cfRule>
  </conditionalFormatting>
  <conditionalFormatting sqref="T148:V155">
    <cfRule type="expression" dxfId="33" priority="212">
      <formula>ISNUMBER(#REF!)</formula>
    </cfRule>
  </conditionalFormatting>
  <conditionalFormatting sqref="D156:V156 D148:V151">
    <cfRule type="expression" dxfId="32" priority="214">
      <formula>AND(#REF!&gt;MTP_YearT, #REF!&lt;=AdjustmentPeriodEnd)</formula>
    </cfRule>
  </conditionalFormatting>
  <conditionalFormatting sqref="D283:I283">
    <cfRule type="expression" dxfId="31" priority="31">
      <formula>ISNUMBER(D281)</formula>
    </cfRule>
  </conditionalFormatting>
  <conditionalFormatting sqref="D317:I317">
    <cfRule type="expression" dxfId="30" priority="30">
      <formula>ISNUMBER(D317)</formula>
    </cfRule>
  </conditionalFormatting>
  <conditionalFormatting sqref="D320:L320">
    <cfRule type="expression" dxfId="29" priority="28">
      <formula>ISNUMBER(D317)</formula>
    </cfRule>
  </conditionalFormatting>
  <conditionalFormatting sqref="D4:K4">
    <cfRule type="expression" dxfId="28" priority="25">
      <formula>ISNUMBER(D4)</formula>
    </cfRule>
  </conditionalFormatting>
  <conditionalFormatting sqref="D33:N33 D34:Q34">
    <cfRule type="expression" dxfId="27" priority="24">
      <formula>ISNUMBER(D32)</formula>
    </cfRule>
  </conditionalFormatting>
  <conditionalFormatting sqref="D27:K27">
    <cfRule type="expression" dxfId="26" priority="23">
      <formula>ISNUMBER(D$4)</formula>
    </cfRule>
  </conditionalFormatting>
  <conditionalFormatting sqref="D32:N32">
    <cfRule type="expression" dxfId="25" priority="22">
      <formula>ISNUMBER(D32)</formula>
    </cfRule>
  </conditionalFormatting>
  <conditionalFormatting sqref="D44:W45 D59:W59 D53:W53">
    <cfRule type="expression" dxfId="24" priority="21">
      <formula>ISNUMBER(D44)</formula>
    </cfRule>
  </conditionalFormatting>
  <conditionalFormatting sqref="D88:W88">
    <cfRule type="expression" dxfId="23" priority="20">
      <formula>ISNUMBER(D62)</formula>
    </cfRule>
  </conditionalFormatting>
  <conditionalFormatting sqref="D62:W62">
    <cfRule type="expression" dxfId="22" priority="19">
      <formula>ISNUMBER(D62)</formula>
    </cfRule>
  </conditionalFormatting>
  <conditionalFormatting sqref="X64 D63:W64 D47:W47">
    <cfRule type="expression" dxfId="21" priority="18">
      <formula>ISNUMBER(D46)</formula>
    </cfRule>
  </conditionalFormatting>
  <conditionalFormatting sqref="D46:W46">
    <cfRule type="expression" dxfId="20" priority="17">
      <formula>ISNUMBER(D46)</formula>
    </cfRule>
  </conditionalFormatting>
  <conditionalFormatting sqref="E141:M145">
    <cfRule type="expression" dxfId="19" priority="194">
      <formula>NOT(ISNUMBER(E$101))</formula>
    </cfRule>
  </conditionalFormatting>
  <conditionalFormatting sqref="D167:I167">
    <cfRule type="expression" dxfId="18" priority="14">
      <formula>ISNUMBER(D167)</formula>
    </cfRule>
  </conditionalFormatting>
  <conditionalFormatting sqref="D170:L170">
    <cfRule type="expression" dxfId="17" priority="13">
      <formula>ISNUMBER(D167)</formula>
    </cfRule>
  </conditionalFormatting>
  <conditionalFormatting sqref="D101:K101">
    <cfRule type="expression" dxfId="16" priority="10">
      <formula>D$102&lt;&gt;""</formula>
    </cfRule>
  </conditionalFormatting>
  <conditionalFormatting sqref="D102:K102">
    <cfRule type="expression" dxfId="15" priority="9">
      <formula>D$102&lt;&gt;""</formula>
    </cfRule>
  </conditionalFormatting>
  <conditionalFormatting sqref="D118:K118">
    <cfRule type="expression" dxfId="14" priority="8">
      <formula>D$101&lt;&gt;""</formula>
    </cfRule>
  </conditionalFormatting>
  <conditionalFormatting sqref="D120:K120">
    <cfRule type="expression" dxfId="13" priority="7">
      <formula>D$101&lt;&gt;""</formula>
    </cfRule>
  </conditionalFormatting>
  <conditionalFormatting sqref="D123:K123">
    <cfRule type="expression" dxfId="12" priority="6">
      <formula>D$101&lt;&gt;""</formula>
    </cfRule>
  </conditionalFormatting>
  <conditionalFormatting sqref="D141:D142">
    <cfRule type="expression" dxfId="11" priority="5">
      <formula>NOT(ISNUMBER(G119))</formula>
    </cfRule>
  </conditionalFormatting>
  <conditionalFormatting sqref="D144:D145">
    <cfRule type="expression" dxfId="10" priority="353">
      <formula>NOT(ISNUMBER(#REF!))</formula>
    </cfRule>
    <cfRule type="expression" dxfId="9" priority="354">
      <formula>ISNUMBER(#REF!)</formula>
    </cfRule>
  </conditionalFormatting>
  <conditionalFormatting sqref="D58:W58">
    <cfRule type="expression" dxfId="8" priority="2">
      <formula>ISNUMBER(D$46)</formula>
    </cfRule>
  </conditionalFormatting>
  <conditionalFormatting sqref="D144:D145">
    <cfRule type="expression" dxfId="7" priority="411">
      <formula>NOT(ISNUMBER(G121))</formula>
    </cfRule>
  </conditionalFormatting>
  <conditionalFormatting sqref="D6:K14 D16:K26 D15:L15">
    <cfRule type="expression" dxfId="6" priority="1">
      <formula>ISNUMBER(D$4)</formula>
    </cfRule>
  </conditionalFormatting>
  <conditionalFormatting sqref="D143">
    <cfRule type="expression" dxfId="5" priority="1022">
      <formula>NOT(ISNUMBER(G121))</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973</v>
      </c>
    </row>
    <row r="4" spans="2:24" x14ac:dyDescent="0.4">
      <c r="C4" s="2" t="s">
        <v>390</v>
      </c>
      <c r="F4" s="64">
        <f>IF(MTP_Council_Endorsed,IF(Assessment!E34="",NA(),Assessment!E34),NA())</f>
        <v>0</v>
      </c>
      <c r="G4" s="64">
        <f>IF(MTP_Council_Endorsed,IF(Assessment!F34="",NA(),Assessment!F34),NA())</f>
        <v>0</v>
      </c>
      <c r="H4" s="64">
        <f>IF(MTP_Council_Endorsed,IF(Assessment!G34="",NA(),Assessment!G34),NA())</f>
        <v>0</v>
      </c>
      <c r="I4" s="64">
        <f>IF(MTP_Council_Endorsed,IF(Assessment!H34="",NA(),Assessment!H34),NA())</f>
        <v>0</v>
      </c>
      <c r="J4" s="64">
        <f>IF(MTP_Council_Endorsed,IF(Assessment!I34="",NA(),Assessment!I34),NA())</f>
        <v>0</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t="e">
        <f>IF(OR(ISNUMBER(H8),ISNUMBER(H9)),NA(),IF(ISNUMBER(Assessment!G15),Assessment!G15,NA()))</f>
        <v>#N/A</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t="e"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#N/A</v>
      </c>
      <c r="G8" s="64"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573</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574</v>
      </c>
      <c r="D12">
        <f>_xlfn.AGGREGATE(4,6,F4:W9)</f>
        <v>0</v>
      </c>
    </row>
    <row r="13" spans="2:24" x14ac:dyDescent="0.4">
      <c r="C13" s="110"/>
    </row>
    <row r="14" spans="2:24" ht="16.5" x14ac:dyDescent="0.6">
      <c r="B14" s="110" t="s">
        <v>480</v>
      </c>
      <c r="C14" s="11" t="s">
        <v>992</v>
      </c>
    </row>
    <row r="15" spans="2:24" x14ac:dyDescent="0.4">
      <c r="C15" s="2" t="s">
        <v>484</v>
      </c>
      <c r="F15" s="64" t="e" cm="1">
        <f t="array" ref="F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#DIV/0!</v>
      </c>
      <c r="G15" s="64" t="e" cm="1">
        <f t="array" ref="G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#DIV/0!</v>
      </c>
      <c r="H15" s="64" t="e" cm="1">
        <f t="array" ref="H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I15" s="64" t="e" cm="1">
        <f t="array" ref="I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J15" s="64" t="e" cm="1">
        <f t="array" ref="J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K15" s="64" t="e" cm="1">
        <f t="array" ref="K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L15" s="64" t="e" cm="1">
        <f t="array" ref="L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M15" s="64" t="e" cm="1">
        <f t="array" ref="M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N15" s="64" t="e" cm="1">
        <f t="array" ref="N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O15" s="64" t="e" cm="1">
        <f t="array" ref="O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P15" s="64" t="e" cm="1">
        <f t="array" ref="P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Q15" s="64" t="e" cm="1">
        <f t="array" ref="Q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R15" s="64" t="e" cm="1">
        <f t="array" ref="R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S15" s="64" t="e" cm="1">
        <f t="array" ref="S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T15" s="64" t="e" cm="1">
        <f t="array" ref="T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U15" s="64" t="e" cm="1">
        <f t="array" ref="U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V15" s="64" t="e" cm="1">
        <f t="array" ref="V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W15" s="64" t="e" cm="1">
        <f t="array" ref="W15">IF(COUNTIF('Step 1 - Set global parameters'!$B$22:$G$22,TRUE)&gt;0,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data'!$2:$2,COLUMN())&lt;=OutturnThrough),IF(INDEX(Assessment!$122:$122,_xlfn.XMATCH(INDEX('Chart data'!$2:$2,COLUMN()),Assessment!$4:$4,0))="",NA(),INDEX(Assessment!$122:$122,_xlfn.XMATCH(INDEX('Chart data'!$2:$2,COLUMN()),Assessment!$4:$4,0))),NA()),NA())
)</f>
        <v>#N/A</v>
      </c>
      <c r="X15" s="64"/>
    </row>
    <row r="16" spans="2:24" x14ac:dyDescent="0.4">
      <c r="C16" s="2" t="s">
        <v>483</v>
      </c>
      <c r="F16" s="64" t="e">
        <f>IF(COUNTIF('Step 1 - Set global parameters'!$B$22:$G$22,TRUE)&gt;0,
  IF(MTP_Council_Endorsed,IF(ISNUMBER(F15),NA(),IF(Assessment!E140="",NA(),Assessment!E140)),NA()),
  IF(MTP_Council_Endorsed,IF(ISNUMBER(F15),NA(),IF(Assessment!E122="",NA(),Assessment!E122)),NA())
)</f>
        <v>#DIV/0!</v>
      </c>
      <c r="G16" s="64" t="e">
        <f>IF(COUNTIF('Step 1 - Set global parameters'!$B$22:$G$22,TRUE)&gt;0,
  IF(MTP_Council_Endorsed,IF(ISNUMBER(G15),NA(),IF(Assessment!F140="",NA(),Assessment!F140)),NA()),
  IF(MTP_Council_Endorsed,IF(ISNUMBER(G15),NA(),IF(Assessment!F122="",NA(),Assessment!F122)),NA())
)</f>
        <v>#DIV/0!</v>
      </c>
      <c r="H16" s="64" t="e">
        <f>IF(COUNTIF('Step 1 - Set global parameters'!$B$22:$G$22,TRUE)&gt;0,
  IF(MTP_Council_Endorsed,IF(ISNUMBER(H15),NA(),IF(Assessment!G140="",NA(),Assessment!G140)),NA()),
  IF(MTP_Council_Endorsed,IF(ISNUMBER(H15),NA(),IF(Assessment!G122="",NA(),Assessment!G122)),NA())
)</f>
        <v>#N/A</v>
      </c>
      <c r="I16" s="64" t="e">
        <f>IF(COUNTIF('Step 1 - Set global parameters'!$B$22:$G$22,TRUE)&gt;0,
  IF(MTP_Council_Endorsed,IF(ISNUMBER(I15),NA(),IF(Assessment!H140="",NA(),Assessment!H140)),NA()),
  IF(MTP_Council_Endorsed,IF(ISNUMBER(I15),NA(),IF(Assessment!H122="",NA(),Assessment!H122)),NA())
)</f>
        <v>#N/A</v>
      </c>
      <c r="J16" s="64" t="e">
        <f>IF(COUNTIF('Step 1 - Set global parameters'!$B$22:$G$22,TRUE)&gt;0,
  IF(MTP_Council_Endorsed,IF(ISNUMBER(J15),NA(),IF(Assessment!I140="",NA(),Assessment!I140)),NA()),
  IF(MTP_Council_Endorsed,IF(ISNUMBER(J15),NA(),IF(Assessment!I122="",NA(),Assessment!I122)),NA())
)</f>
        <v>#N/A</v>
      </c>
      <c r="K16" s="64" t="e">
        <f>IF(COUNTIF('Step 1 - Set global parameters'!$B$22:$G$22,TRUE)&gt;0,
  IF(MTP_Council_Endorsed,IF(ISNUMBER(K15),NA(),IF(Assessment!J140="",NA(),Assessment!J140)),NA()),
  IF(MTP_Council_Endorsed,IF(ISNUMBER(K15),NA(),IF(Assessment!J122="",NA(),Assessment!J122)),NA())
)</f>
        <v>#N/A</v>
      </c>
      <c r="L16" s="64" t="e">
        <f>IF(COUNTIF('Step 1 - Set global parameters'!$B$22:$G$22,TRUE)&gt;0,
  IF(MTP_Council_Endorsed,IF(ISNUMBER(L15),NA(),IF(Assessment!K140="",NA(),Assessment!K140)),NA()),
  IF(MTP_Council_Endorsed,IF(ISNUMBER(L15),NA(),IF(Assessment!K122="",NA(),Assessment!K122)),NA())
)</f>
        <v>#N/A</v>
      </c>
      <c r="M16" s="64" t="e">
        <f>IF(COUNTIF('Step 1 - Set global parameters'!$B$22:$G$22,TRUE)&gt;0,
  IF(MTP_Council_Endorsed,IF(ISNUMBER(M15),NA(),IF(Assessment!L140="",NA(),Assessment!L140)),NA()),
  IF(MTP_Council_Endorsed,IF(ISNUMBER(M15),NA(),IF(Assessment!L122="",NA(),Assessment!L122)),NA())
)</f>
        <v>#N/A</v>
      </c>
      <c r="N16" s="64" t="e">
        <f>IF(COUNTIF('Step 1 - Set global parameters'!$B$22:$G$22,TRUE)&gt;0,
  IF(MTP_Council_Endorsed,IF(ISNUMBER(N15),NA(),IF(Assessment!M140="",NA(),Assessment!M140)),NA()),
  IF(MTP_Council_Endorsed,IF(ISNUMBER(N15),NA(),IF(Assessment!M122="",NA(),Assessment!M122)),NA())
)</f>
        <v>#N/A</v>
      </c>
      <c r="O16" s="64" t="e">
        <f>IF(COUNTIF('Step 1 - Set global parameters'!$B$22:$G$22,TRUE)&gt;0,
  IF(MTP_Council_Endorsed,IF(ISNUMBER(O15),NA(),IF(Assessment!N140="",NA(),Assessment!N140)),NA()),
  IF(MTP_Council_Endorsed,IF(ISNUMBER(O15),NA(),IF(Assessment!N122="",NA(),Assessment!N122)),NA())
)</f>
        <v>#N/A</v>
      </c>
      <c r="P16" s="64" t="e">
        <f>IF(COUNTIF('Step 1 - Set global parameters'!$B$22:$G$22,TRUE)&gt;0,
  IF(MTP_Council_Endorsed,IF(ISNUMBER(P15),NA(),IF(Assessment!O140="",NA(),Assessment!O140)),NA()),
  IF(MTP_Council_Endorsed,IF(ISNUMBER(P15),NA(),IF(Assessment!O122="",NA(),Assessment!O122)),NA())
)</f>
        <v>#N/A</v>
      </c>
      <c r="Q16" s="64" t="e">
        <f>IF(COUNTIF('Step 1 - Set global parameters'!$B$22:$G$22,TRUE)&gt;0,
  IF(MTP_Council_Endorsed,IF(ISNUMBER(Q15),NA(),IF(Assessment!P140="",NA(),Assessment!P140)),NA()),
  IF(MTP_Council_Endorsed,IF(ISNUMBER(Q15),NA(),IF(Assessment!P122="",NA(),Assessment!P122)),NA())
)</f>
        <v>#N/A</v>
      </c>
      <c r="R16" s="64" t="e">
        <f>IF(COUNTIF('Step 1 - Set global parameters'!$B$22:$G$22,TRUE)&gt;0,
  IF(MTP_Council_Endorsed,IF(ISNUMBER(R15),NA(),IF(Assessment!Q140="",NA(),Assessment!Q140)),NA()),
  IF(MTP_Council_Endorsed,IF(ISNUMBER(R15),NA(),IF(Assessment!Q122="",NA(),Assessment!Q122)),NA())
)</f>
        <v>#N/A</v>
      </c>
      <c r="S16" s="64" t="e">
        <f>IF(COUNTIF('Step 1 - Set global parameters'!$B$22:$G$22,TRUE)&gt;0,
  IF(MTP_Council_Endorsed,IF(ISNUMBER(S15),NA(),IF(Assessment!R140="",NA(),Assessment!R140)),NA()),
  IF(MTP_Council_Endorsed,IF(ISNUMBER(S15),NA(),IF(Assessment!R122="",NA(),Assessment!R122)),NA())
)</f>
        <v>#N/A</v>
      </c>
      <c r="T16" s="64" t="e">
        <f>IF(COUNTIF('Step 1 - Set global parameters'!$B$22:$G$22,TRUE)&gt;0,
  IF(MTP_Council_Endorsed,IF(ISNUMBER(T15),NA(),IF(Assessment!S140="",NA(),Assessment!S140)),NA()),
  IF(MTP_Council_Endorsed,IF(ISNUMBER(T15),NA(),IF(Assessment!S122="",NA(),Assessment!S122)),NA())
)</f>
        <v>#N/A</v>
      </c>
      <c r="U16" s="64" t="e">
        <f>IF(COUNTIF('Step 1 - Set global parameters'!$B$22:$G$22,TRUE)&gt;0,
  IF(MTP_Council_Endorsed,IF(ISNUMBER(U15),NA(),IF(Assessment!T140="",NA(),Assessment!T140)),NA()),
  IF(MTP_Council_Endorsed,IF(ISNUMBER(U15),NA(),IF(Assessment!T122="",NA(),Assessment!T122)),NA())
)</f>
        <v>#N/A</v>
      </c>
      <c r="V16" s="64" t="e">
        <f>IF(COUNTIF('Step 1 - Set global parameters'!$B$22:$G$22,TRUE)&gt;0,
  IF(MTP_Council_Endorsed,IF(ISNUMBER(V15),NA(),IF(Assessment!U140="",NA(),Assessment!U140)),NA()),
  IF(MTP_Council_Endorsed,IF(ISNUMBER(V15),NA(),IF(Assessment!U122="",NA(),Assessment!U122)),NA())
)</f>
        <v>#N/A</v>
      </c>
      <c r="W16" s="64" t="e">
        <f>IF(COUNTIF('Step 1 - Set global parameters'!$B$22:$G$22,TRUE)&gt;0,
  IF(MTP_Council_Endorsed,IF(ISNUMBER(W15),NA(),IF(Assessment!V140="",NA(),Assessment!V140)),NA()),
  IF(MTP_Council_Endorsed,IF(ISNUMBER(W15),NA(),IF(Assessment!V122="",NA(),Assessment!V122)),NA())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579</v>
      </c>
      <c r="F18" s="64" t="e">
        <f>IF(COUNTIF('Step 1 - Set global parameters'!$B$22:$G$22,TRUE)&gt;0,
  IF(MTP_Council_Endorsed,IF(NOT(Assessment!E141),IF(Assessment!E138&lt;=0,Assessment!E138,NA()),NA()),NA()),
  IF(MTP_Council_Endorsed,IF(NOT(Assessment!E123),IF(Assessment!E121&lt;=0,Assessment!E121,NA()),NA()),NA())
)</f>
        <v>#DIV/0!</v>
      </c>
      <c r="G18" s="64" t="e">
        <f>IF(COUNTIF('Step 1 - Set global parameters'!$B$22:$G$22,TRUE)&gt;0,
  IF(MTP_Council_Endorsed,IF(NOT(Assessment!F141),IF(Assessment!F138&lt;=0,Assessment!F138,NA()),NA()),NA()),
  IF(MTP_Council_Endorsed,IF(NOT(Assessment!F123),IF(Assessment!F121&lt;=0,Assessment!F121,NA()),NA()),NA())
)</f>
        <v>#DIV/0!</v>
      </c>
      <c r="H18" s="64" t="e">
        <f>IF(COUNTIF('Step 1 - Set global parameters'!$B$22:$G$22,TRUE)&gt;0,
  IF(MTP_Council_Endorsed,IF(NOT(Assessment!G141),IF(Assessment!G138&lt;=0,Assessment!G138,NA()),NA()),NA()),
  IF(MTP_Council_Endorsed,IF(NOT(Assessment!G123),IF(Assessment!G121&lt;=0,Assessment!G121,NA()),NA()),NA())
)</f>
        <v>#N/A</v>
      </c>
      <c r="I18" s="64" t="e">
        <f>IF(COUNTIF('Step 1 - Set global parameters'!$B$22:$G$22,TRUE)&gt;0,
  IF(MTP_Council_Endorsed,IF(NOT(Assessment!H141),IF(Assessment!H138&lt;=0,Assessment!H138,NA()),NA()),NA()),
  IF(MTP_Council_Endorsed,IF(NOT(Assessment!H123),IF(Assessment!H121&lt;=0,Assessment!H121,NA()),NA()),NA())
)</f>
        <v>#N/A</v>
      </c>
      <c r="J18" s="64" t="e">
        <f>IF(COUNTIF('Step 1 - Set global parameters'!$B$22:$G$22,TRUE)&gt;0,
  IF(MTP_Council_Endorsed,IF(NOT(Assessment!I141),IF(Assessment!I138&lt;=0,Assessment!I138,NA()),NA()),NA()),
  IF(MTP_Council_Endorsed,IF(NOT(Assessment!I123),IF(Assessment!I121&lt;=0,Assessment!I121,NA()),NA()),NA())
)</f>
        <v>#N/A</v>
      </c>
      <c r="K18" s="64" t="e">
        <f>IF(COUNTIF('Step 1 - Set global parameters'!$B$22:$G$22,TRUE)&gt;0,
  IF(MTP_Council_Endorsed,IF(NOT(Assessment!J141),IF(Assessment!J138&lt;=0,Assessment!J138,NA()),NA()),NA()),
  IF(MTP_Council_Endorsed,IF(NOT(Assessment!J123),IF(Assessment!J121&lt;=0,Assessment!J121,NA()),NA()),NA())
)</f>
        <v>#N/A</v>
      </c>
      <c r="L18" s="64">
        <f>IF(COUNTIF('Step 1 - Set global parameters'!$B$22:$G$22,TRUE)&gt;0,
  IF(MTP_Council_Endorsed,IF(NOT(Assessment!K141),IF(Assessment!K138&lt;=0,Assessment!K138,NA()),NA()),NA()),
  IF(MTP_Council_Endorsed,IF(NOT(Assessment!K123),IF(Assessment!K121&lt;=0,Assessment!K121,NA()),NA()),NA())
)</f>
        <v>0</v>
      </c>
      <c r="M18" s="64">
        <f>IF(COUNTIF('Step 1 - Set global parameters'!$B$22:$G$22,TRUE)&gt;0,
  IF(MTP_Council_Endorsed,IF(NOT(Assessment!L141),IF(Assessment!L138&lt;=0,Assessment!L138,NA()),NA()),NA()),
  IF(MTP_Council_Endorsed,IF(NOT(Assessment!L123),IF(Assessment!L121&lt;=0,Assessment!L121,NA()),NA()),NA())
)</f>
        <v>0</v>
      </c>
      <c r="N18" s="64">
        <f>IF(COUNTIF('Step 1 - Set global parameters'!$B$22:$G$22,TRUE)&gt;0,
  IF(MTP_Council_Endorsed,IF(NOT(Assessment!M141),IF(Assessment!M138&lt;=0,Assessment!M138,NA()),NA()),NA()),
  IF(MTP_Council_Endorsed,IF(NOT(Assessment!M123),IF(Assessment!M121&lt;=0,Assessment!M121,NA()),NA()),NA())
)</f>
        <v>0</v>
      </c>
      <c r="O18" s="64">
        <f>IF(COUNTIF('Step 1 - Set global parameters'!$B$22:$G$22,TRUE)&gt;0,
  IF(MTP_Council_Endorsed,IF(NOT(Assessment!N141),IF(Assessment!N138&lt;=0,Assessment!N138,NA()),NA()),NA()),
  IF(MTP_Council_Endorsed,IF(NOT(Assessment!N123),IF(Assessment!N121&lt;=0,Assessment!N121,NA()),NA()),NA())
)</f>
        <v>0</v>
      </c>
      <c r="P18" s="64">
        <f>IF(COUNTIF('Step 1 - Set global parameters'!$B$22:$G$22,TRUE)&gt;0,
  IF(MTP_Council_Endorsed,IF(NOT(Assessment!O141),IF(Assessment!O138&lt;=0,Assessment!O138,NA()),NA()),NA()),
  IF(MTP_Council_Endorsed,IF(NOT(Assessment!O123),IF(Assessment!O121&lt;=0,Assessment!O121,NA()),NA()),NA())
)</f>
        <v>0</v>
      </c>
      <c r="Q18" s="64">
        <f>IF(COUNTIF('Step 1 - Set global parameters'!$B$22:$G$22,TRUE)&gt;0,
  IF(MTP_Council_Endorsed,IF(NOT(Assessment!P141),IF(Assessment!P138&lt;=0,Assessment!P138,NA()),NA()),NA()),
  IF(MTP_Council_Endorsed,IF(NOT(Assessment!P123),IF(Assessment!P121&lt;=0,Assessment!P121,NA()),NA()),NA())
)</f>
        <v>0</v>
      </c>
      <c r="R18" s="64">
        <f>IF(COUNTIF('Step 1 - Set global parameters'!$B$22:$G$22,TRUE)&gt;0,
  IF(MTP_Council_Endorsed,IF(NOT(Assessment!Q141),IF(Assessment!Q138&lt;=0,Assessment!Q138,NA()),NA()),NA()),
  IF(MTP_Council_Endorsed,IF(NOT(Assessment!Q123),IF(Assessment!Q121&lt;=0,Assessment!Q121,NA()),NA()),NA())
)</f>
        <v>0</v>
      </c>
      <c r="S18" s="64">
        <f>IF(COUNTIF('Step 1 - Set global parameters'!$B$22:$G$22,TRUE)&gt;0,
  IF(MTP_Council_Endorsed,IF(NOT(Assessment!R141),IF(Assessment!R138&lt;=0,Assessment!R138,NA()),NA()),NA()),
  IF(MTP_Council_Endorsed,IF(NOT(Assessment!R123),IF(Assessment!R121&lt;=0,Assessment!R121,NA()),NA()),NA())
)</f>
        <v>0</v>
      </c>
      <c r="T18" s="64">
        <f>IF(COUNTIF('Step 1 - Set global parameters'!$B$22:$G$22,TRUE)&gt;0,
  IF(MTP_Council_Endorsed,IF(NOT(Assessment!S141),IF(Assessment!S138&lt;=0,Assessment!S138,NA()),NA()),NA()),
  IF(MTP_Council_Endorsed,IF(NOT(Assessment!S123),IF(Assessment!S121&lt;=0,Assessment!S121,NA()),NA()),NA())
)</f>
        <v>0</v>
      </c>
      <c r="U18" s="64">
        <f>IF(COUNTIF('Step 1 - Set global parameters'!$B$22:$G$22,TRUE)&gt;0,
  IF(MTP_Council_Endorsed,IF(NOT(Assessment!T141),IF(Assessment!T138&lt;=0,Assessment!T138,NA()),NA()),NA()),
  IF(MTP_Council_Endorsed,IF(NOT(Assessment!T123),IF(Assessment!T121&lt;=0,Assessment!T121,NA()),NA()),NA())
)</f>
        <v>0</v>
      </c>
      <c r="V18" s="64">
        <f>IF(COUNTIF('Step 1 - Set global parameters'!$B$22:$G$22,TRUE)&gt;0,
  IF(MTP_Council_Endorsed,IF(NOT(Assessment!U141),IF(Assessment!U138&lt;=0,Assessment!U138,NA()),NA()),NA()),
  IF(MTP_Council_Endorsed,IF(NOT(Assessment!U123),IF(Assessment!U121&lt;=0,Assessment!U121,NA()),NA()),NA())
)</f>
        <v>0</v>
      </c>
      <c r="W18" s="64">
        <f>IF(COUNTIF('Step 1 - Set global parameters'!$B$22:$G$22,TRUE)&gt;0,
  IF(MTP_Council_Endorsed,IF(NOT(Assessment!V141),IF(Assessment!V138&lt;=0,Assessment!V138,NA()),NA()),NA()),
  IF(MTP_Council_Endorsed,IF(NOT(Assessment!V123),IF(Assessment!V121&lt;=0,Assessment!V121,NA()),NA()),NA())
)</f>
        <v>0</v>
      </c>
    </row>
    <row r="19" spans="2:23" x14ac:dyDescent="0.4">
      <c r="C19" s="2" t="s">
        <v>580</v>
      </c>
      <c r="F19" s="64" t="e">
        <f>IF(COUNTIF('Step 1 - Set global parameters'!$B$22:$G$22,TRUE)&gt;0,
  IF(MTP_Council_Endorsed,IF(NOT(Assessment!E141),IF(Assessment!E138&gt;0,Assessment!E138,NA()),NA()),NA()),
  IF(MTP_Council_Endorsed,IF(NOT(Assessment!E123),IF(Assessment!E121&gt;0,Assessment!E121,NA()),NA()),NA())
)</f>
        <v>#DIV/0!</v>
      </c>
      <c r="G19" s="64" t="e">
        <f>IF(COUNTIF('Step 1 - Set global parameters'!$B$22:$G$22,TRUE)&gt;0,
  IF(MTP_Council_Endorsed,IF(NOT(Assessment!F141),IF(Assessment!F138&gt;0,Assessment!F138,NA()),NA()),NA()),
  IF(MTP_Council_Endorsed,IF(NOT(Assessment!F123),IF(Assessment!F121&gt;0,Assessment!F121,NA()),NA()),NA())
)</f>
        <v>#DIV/0!</v>
      </c>
      <c r="H19" s="64" t="str">
        <f>IF(COUNTIF('Step 1 - Set global parameters'!$B$22:$G$22,TRUE)&gt;0,
  IF(MTP_Council_Endorsed,IF(NOT(Assessment!G141),IF(Assessment!G138&gt;0,Assessment!G138,NA()),NA()),NA()),
  IF(MTP_Council_Endorsed,IF(NOT(Assessment!G123),IF(Assessment!G121&gt;0,Assessment!G121,NA()),NA()),NA())
)</f>
        <v/>
      </c>
      <c r="I19" s="64" t="str">
        <f>IF(COUNTIF('Step 1 - Set global parameters'!$B$22:$G$22,TRUE)&gt;0,
  IF(MTP_Council_Endorsed,IF(NOT(Assessment!H141),IF(Assessment!H138&gt;0,Assessment!H138,NA()),NA()),NA()),
  IF(MTP_Council_Endorsed,IF(NOT(Assessment!H123),IF(Assessment!H121&gt;0,Assessment!H121,NA()),NA()),NA())
)</f>
        <v/>
      </c>
      <c r="J19" s="64" t="str">
        <f>IF(COUNTIF('Step 1 - Set global parameters'!$B$22:$G$22,TRUE)&gt;0,
  IF(MTP_Council_Endorsed,IF(NOT(Assessment!I141),IF(Assessment!I138&gt;0,Assessment!I138,NA()),NA()),NA()),
  IF(MTP_Council_Endorsed,IF(NOT(Assessment!I123),IF(Assessment!I121&gt;0,Assessment!I121,NA()),NA()),NA())
)</f>
        <v/>
      </c>
      <c r="K19" s="64" t="str">
        <f>IF(COUNTIF('Step 1 - Set global parameters'!$B$22:$G$22,TRUE)&gt;0,
  IF(MTP_Council_Endorsed,IF(NOT(Assessment!J141),IF(Assessment!J138&gt;0,Assessment!J138,NA()),NA()),NA()),
  IF(MTP_Council_Endorsed,IF(NOT(Assessment!J123),IF(Assessment!J121&gt;0,Assessment!J121,NA()),NA()),NA())
)</f>
        <v/>
      </c>
      <c r="L19" s="64" t="e">
        <f>IF(COUNTIF('Step 1 - Set global parameters'!$B$22:$G$22,TRUE)&gt;0,
  IF(MTP_Council_Endorsed,IF(NOT(Assessment!K141),IF(Assessment!K138&gt;0,Assessment!K138,NA()),NA()),NA()),
  IF(MTP_Council_Endorsed,IF(NOT(Assessment!K123),IF(Assessment!K121&gt;0,Assessment!K121,NA()),NA()),NA())
)</f>
        <v>#N/A</v>
      </c>
      <c r="M19" s="64" t="e">
        <f>IF(COUNTIF('Step 1 - Set global parameters'!$B$22:$G$22,TRUE)&gt;0,
  IF(MTP_Council_Endorsed,IF(NOT(Assessment!L141),IF(Assessment!L138&gt;0,Assessment!L138,NA()),NA()),NA()),
  IF(MTP_Council_Endorsed,IF(NOT(Assessment!L123),IF(Assessment!L121&gt;0,Assessment!L121,NA()),NA()),NA())
)</f>
        <v>#N/A</v>
      </c>
      <c r="N19" s="64" t="e">
        <f>IF(COUNTIF('Step 1 - Set global parameters'!$B$22:$G$22,TRUE)&gt;0,
  IF(MTP_Council_Endorsed,IF(NOT(Assessment!M141),IF(Assessment!M138&gt;0,Assessment!M138,NA()),NA()),NA()),
  IF(MTP_Council_Endorsed,IF(NOT(Assessment!M123),IF(Assessment!M121&gt;0,Assessment!M121,NA()),NA()),NA())
)</f>
        <v>#N/A</v>
      </c>
      <c r="O19" s="64" t="e">
        <f>IF(COUNTIF('Step 1 - Set global parameters'!$B$22:$G$22,TRUE)&gt;0,
  IF(MTP_Council_Endorsed,IF(NOT(Assessment!N141),IF(Assessment!N138&gt;0,Assessment!N138,NA()),NA()),NA()),
  IF(MTP_Council_Endorsed,IF(NOT(Assessment!N123),IF(Assessment!N121&gt;0,Assessment!N121,NA()),NA()),NA())
)</f>
        <v>#N/A</v>
      </c>
      <c r="P19" s="64" t="e">
        <f>IF(COUNTIF('Step 1 - Set global parameters'!$B$22:$G$22,TRUE)&gt;0,
  IF(MTP_Council_Endorsed,IF(NOT(Assessment!O141),IF(Assessment!O138&gt;0,Assessment!O138,NA()),NA()),NA()),
  IF(MTP_Council_Endorsed,IF(NOT(Assessment!O123),IF(Assessment!O121&gt;0,Assessment!O121,NA()),NA()),NA())
)</f>
        <v>#N/A</v>
      </c>
      <c r="Q19" s="64" t="e">
        <f>IF(COUNTIF('Step 1 - Set global parameters'!$B$22:$G$22,TRUE)&gt;0,
  IF(MTP_Council_Endorsed,IF(NOT(Assessment!P141),IF(Assessment!P138&gt;0,Assessment!P138,NA()),NA()),NA()),
  IF(MTP_Council_Endorsed,IF(NOT(Assessment!P123),IF(Assessment!P121&gt;0,Assessment!P121,NA()),NA()),NA())
)</f>
        <v>#N/A</v>
      </c>
      <c r="R19" s="64" t="e">
        <f>IF(COUNTIF('Step 1 - Set global parameters'!$B$22:$G$22,TRUE)&gt;0,
  IF(MTP_Council_Endorsed,IF(NOT(Assessment!Q141),IF(Assessment!Q138&gt;0,Assessment!Q138,NA()),NA()),NA()),
  IF(MTP_Council_Endorsed,IF(NOT(Assessment!Q123),IF(Assessment!Q121&gt;0,Assessment!Q121,NA()),NA()),NA())
)</f>
        <v>#N/A</v>
      </c>
      <c r="S19" s="64" t="e">
        <f>IF(COUNTIF('Step 1 - Set global parameters'!$B$22:$G$22,TRUE)&gt;0,
  IF(MTP_Council_Endorsed,IF(NOT(Assessment!R141),IF(Assessment!R138&gt;0,Assessment!R138,NA()),NA()),NA()),
  IF(MTP_Council_Endorsed,IF(NOT(Assessment!R123),IF(Assessment!R121&gt;0,Assessment!R121,NA()),NA()),NA())
)</f>
        <v>#N/A</v>
      </c>
      <c r="T19" s="64" t="e">
        <f>IF(COUNTIF('Step 1 - Set global parameters'!$B$22:$G$22,TRUE)&gt;0,
  IF(MTP_Council_Endorsed,IF(NOT(Assessment!S141),IF(Assessment!S138&gt;0,Assessment!S138,NA()),NA()),NA()),
  IF(MTP_Council_Endorsed,IF(NOT(Assessment!S123),IF(Assessment!S121&gt;0,Assessment!S121,NA()),NA()),NA())
)</f>
        <v>#N/A</v>
      </c>
      <c r="U19" s="64" t="e">
        <f>IF(COUNTIF('Step 1 - Set global parameters'!$B$22:$G$22,TRUE)&gt;0,
  IF(MTP_Council_Endorsed,IF(NOT(Assessment!T141),IF(Assessment!T138&gt;0,Assessment!T138,NA()),NA()),NA()),
  IF(MTP_Council_Endorsed,IF(NOT(Assessment!T123),IF(Assessment!T121&gt;0,Assessment!T121,NA()),NA()),NA())
)</f>
        <v>#N/A</v>
      </c>
      <c r="V19" s="64" t="e">
        <f>IF(COUNTIF('Step 1 - Set global parameters'!$B$22:$G$22,TRUE)&gt;0,
  IF(MTP_Council_Endorsed,IF(NOT(Assessment!U141),IF(Assessment!U138&gt;0,Assessment!U138,NA()),NA()),NA()),
  IF(MTP_Council_Endorsed,IF(NOT(Assessment!U123),IF(Assessment!U121&gt;0,Assessment!U121,NA()),NA()),NA())
)</f>
        <v>#N/A</v>
      </c>
      <c r="W19" s="64" t="e">
        <f>IF(COUNTIF('Step 1 - Set global parameters'!$B$22:$G$22,TRUE)&gt;0,
  IF(MTP_Council_Endorsed,IF(NOT(Assessment!V141),IF(Assessment!V138&gt;0,Assessment!V138,NA()),NA()),NA()),
  IF(MTP_Council_Endorsed,IF(NOT(Assessment!V123),IF(Assessment!V121&gt;0,Assessment!V121,NA()),NA()),NA())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667</v>
      </c>
      <c r="F21" s="64" t="e">
        <f>IF(MTP_Council_Endorsed,IF(Assessment!E141,Assessment!E138,NA()),NA())</f>
        <v>#N/A</v>
      </c>
      <c r="G21" s="64" t="e">
        <f>IF(MTP_Council_Endorsed,IF(Assessment!F141,Assessment!F138,NA()),NA())</f>
        <v>#N/A</v>
      </c>
      <c r="H21" s="64" t="e">
        <f>IF(MTP_Council_Endorsed,IF(Assessment!G141,Assessment!G138,NA()),NA())</f>
        <v>#N/A</v>
      </c>
      <c r="I21" s="64" t="e">
        <f>IF(MTP_Council_Endorsed,IF(Assessment!H141,Assessment!H138,NA()),NA())</f>
        <v>#N/A</v>
      </c>
      <c r="J21" s="64" t="e">
        <f>IF(MTP_Council_Endorsed,IF(Assessment!I141,Assessment!I138,NA()),NA())</f>
        <v>#N/A</v>
      </c>
      <c r="K21" s="64" t="e">
        <f>IF(MTP_Council_Endorsed,IF(Assessment!J141,Assessment!J138,NA()),NA())</f>
        <v>#N/A</v>
      </c>
      <c r="L21" s="64" t="e">
        <f>IF(MTP_Council_Endorsed,IF(Assessment!K141,Assessment!K138,NA()),NA())</f>
        <v>#N/A</v>
      </c>
      <c r="M21" s="64" t="e">
        <f>IF(MTP_Council_Endorsed,IF(Assessment!L141,Assessment!L138,NA()),NA())</f>
        <v>#N/A</v>
      </c>
      <c r="N21" s="64" t="e">
        <f>IF(MTP_Council_Endorsed,IF(Assessment!M141,Assessment!M138,NA()),NA())</f>
        <v>#N/A</v>
      </c>
      <c r="O21" s="64" t="e">
        <f>IF(MTP_Council_Endorsed,IF(Assessment!N141,Assessment!N138,NA()),NA())</f>
        <v>#N/A</v>
      </c>
      <c r="P21" s="64" t="e">
        <f>IF(MTP_Council_Endorsed,IF(Assessment!O141,Assessment!O138,NA()),NA())</f>
        <v>#N/A</v>
      </c>
      <c r="Q21" s="64" t="e">
        <f>IF(MTP_Council_Endorsed,IF(Assessment!P141,Assessment!P138,NA()),NA())</f>
        <v>#N/A</v>
      </c>
      <c r="R21" s="64" t="e">
        <f>IF(MTP_Council_Endorsed,IF(Assessment!Q141,Assessment!Q138,NA()),NA())</f>
        <v>#N/A</v>
      </c>
      <c r="S21" s="64" t="e">
        <f>IF(MTP_Council_Endorsed,IF(Assessment!R141,Assessment!R138,NA()),NA())</f>
        <v>#N/A</v>
      </c>
      <c r="T21" s="64" t="e">
        <f>IF(MTP_Council_Endorsed,IF(Assessment!S141,Assessment!S138,NA()),NA())</f>
        <v>#N/A</v>
      </c>
      <c r="U21" s="64" t="e">
        <f>IF(MTP_Council_Endorsed,IF(Assessment!T141,Assessment!T138,NA()),NA())</f>
        <v>#N/A</v>
      </c>
      <c r="V21" s="64" t="e">
        <f>IF(MTP_Council_Endorsed,IF(Assessment!U141,Assessment!U138,NA()),NA())</f>
        <v>#N/A</v>
      </c>
      <c r="W21" s="64" t="e">
        <f>IF(MTP_Council_Endorsed,IF(Assessment!V141,Assessment!V138,NA()),NA())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573</v>
      </c>
      <c r="D25" s="4">
        <f>IF(_xlfn.AGGREGATE(5,6,F15:W23)&lt;0, _xlfn.AGGREGATE(5,6,F15:W23), 0)</f>
        <v>0</v>
      </c>
      <c r="F25" s="64"/>
      <c r="G25" s="64"/>
      <c r="H25" s="64"/>
      <c r="I25" s="64"/>
      <c r="J25" s="64"/>
      <c r="K25" s="64"/>
      <c r="L25" s="64"/>
      <c r="M25" s="64"/>
      <c r="N25" s="64"/>
      <c r="O25" s="64"/>
      <c r="P25" s="64"/>
      <c r="Q25" s="64"/>
      <c r="R25" s="64"/>
      <c r="S25" s="64"/>
      <c r="T25" s="64"/>
      <c r="U25" s="64"/>
      <c r="V25" s="64"/>
      <c r="W25" s="64"/>
    </row>
    <row r="26" spans="2:23" x14ac:dyDescent="0.4">
      <c r="C26" s="110" t="s">
        <v>574</v>
      </c>
      <c r="D26" s="4">
        <f>_xlfn.AGGREGATE(4,6,F15:W23)</f>
        <v>0.6</v>
      </c>
    </row>
    <row r="27" spans="2:23" x14ac:dyDescent="0.4">
      <c r="C27" s="110"/>
    </row>
    <row r="28" spans="2:23" ht="16.5" x14ac:dyDescent="0.6">
      <c r="B28" s="110" t="s">
        <v>481</v>
      </c>
      <c r="C28" s="11" t="s">
        <v>988</v>
      </c>
    </row>
    <row r="29" spans="2:23" x14ac:dyDescent="0.4">
      <c r="C29" s="2" t="s">
        <v>497</v>
      </c>
      <c r="E29" s="64">
        <f>IF(ISNUMBER(Assessment!D38),Assessment!D38,NA())</f>
        <v>0</v>
      </c>
      <c r="F29" s="64">
        <f>IF(ISNUMBER(Assessment!E38),Assessment!E38,NA())</f>
        <v>0</v>
      </c>
      <c r="G29" s="64">
        <f>IF(ISNUMBER(Assessment!F38),Assessment!F38,NA())</f>
        <v>0</v>
      </c>
      <c r="H29" s="64">
        <f>IF(ISNUMBER(Assessment!G38),Assessment!G38,NA())</f>
        <v>0</v>
      </c>
      <c r="I29" s="64">
        <f>IF(ISNUMBER(Assessment!H38),Assessment!H38,NA())</f>
        <v>0</v>
      </c>
      <c r="J29" s="64">
        <f>IF(ISNUMBER(Assessment!I38),Assessment!I38,NA())</f>
        <v>0</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t="e">
        <f>IF(OR(ISNUMBER(E91),ISNUMBER(E92)),NA(),IF(ISNUMBER(Assessment!D20),Assessment!D20,NA()))</f>
        <v>#N/A</v>
      </c>
      <c r="F31" s="64" t="e">
        <f>IF(OR(ISNUMBER(F91),ISNUMBER(F92)),NA(),IF(ISNUMBER(Assessment!E20),Assessment!E20,NA()))</f>
        <v>#N/A</v>
      </c>
      <c r="G31" s="64" t="e">
        <f>IF(OR(ISNUMBER(G91),ISNUMBER(G92)),NA(),IF(ISNUMBER(Assessment!F20),Assessment!F20,NA()))</f>
        <v>#N/A</v>
      </c>
      <c r="H31" s="64" t="e">
        <f>IF(OR(ISNUMBER(H91),ISNUMBER(H92)),NA(),IF(ISNUMBER(Assessment!G20),Assessment!G20,NA()))</f>
        <v>#N/A</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t="e"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#N/A</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573</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574</v>
      </c>
      <c r="D36" s="4">
        <f>_xlfn.AGGREGATE(4,6,F29:W34)</f>
        <v>60.05</v>
      </c>
    </row>
    <row r="37" spans="2:23" x14ac:dyDescent="0.4">
      <c r="C37" s="2"/>
    </row>
    <row r="38" spans="2:23" ht="16.5" x14ac:dyDescent="0.6">
      <c r="B38" s="110" t="s">
        <v>496</v>
      </c>
      <c r="C38" s="11" t="s">
        <v>989</v>
      </c>
      <c r="F38" s="9"/>
      <c r="G38" s="9"/>
      <c r="H38" s="9"/>
      <c r="I38" s="9"/>
      <c r="J38" s="9"/>
      <c r="K38" s="9"/>
      <c r="L38" s="9"/>
      <c r="M38" s="9"/>
      <c r="N38" s="9"/>
      <c r="O38" s="9"/>
      <c r="P38" s="9"/>
      <c r="Q38" s="9"/>
      <c r="R38" s="9"/>
      <c r="S38" s="9"/>
      <c r="T38" s="9"/>
      <c r="U38" s="9"/>
      <c r="V38" s="9"/>
      <c r="W38" s="9"/>
    </row>
    <row r="39" spans="2:23" x14ac:dyDescent="0.4">
      <c r="C39" s="2" t="s">
        <v>497</v>
      </c>
      <c r="F39" s="64">
        <f>Assessment!E50</f>
        <v>0</v>
      </c>
      <c r="G39" s="64">
        <f>Assessment!F50</f>
        <v>0</v>
      </c>
      <c r="H39" s="64">
        <f>Assessment!G50</f>
        <v>0</v>
      </c>
      <c r="I39" s="64">
        <f>Assessment!H50</f>
        <v>0</v>
      </c>
      <c r="J39" s="64">
        <f>Assessment!I50</f>
        <v>0</v>
      </c>
      <c r="K39" s="64">
        <f>Assessment!J50</f>
        <v>0</v>
      </c>
      <c r="L39" s="64">
        <f>Assessment!K50</f>
        <v>0</v>
      </c>
      <c r="M39" s="64">
        <f>Assessment!L50</f>
        <v>0</v>
      </c>
      <c r="N39" s="64">
        <f>Assessment!M50</f>
        <v>0</v>
      </c>
      <c r="O39" s="64">
        <f>Assessment!N50</f>
        <v>0</v>
      </c>
      <c r="P39" s="64">
        <f>Assessment!O50</f>
        <v>0</v>
      </c>
      <c r="Q39" s="64">
        <f>Assessment!P50</f>
        <v>0</v>
      </c>
      <c r="R39" s="64">
        <f>Assessment!Q50</f>
        <v>0</v>
      </c>
      <c r="S39" s="64">
        <f>Assessment!R50</f>
        <v>0</v>
      </c>
      <c r="T39" s="64">
        <f>Assessment!S50</f>
        <v>0</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t="e">
        <f>IF(OR(ISNUMBER(H41),ISNUMBER(H42)),NA(),IF(ISNUMBER(Assessment!G17),Assessment!G17,NA()))</f>
        <v>#N/A</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t="e"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#N/A</v>
      </c>
      <c r="G41" s="64"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0</v>
      </c>
      <c r="G44" s="64">
        <f t="shared" si="0"/>
        <v>0</v>
      </c>
      <c r="H44" s="64">
        <f t="shared" si="0"/>
        <v>0</v>
      </c>
      <c r="I44" s="64">
        <f t="shared" si="0"/>
        <v>0</v>
      </c>
      <c r="J44" s="64">
        <f t="shared" si="0"/>
        <v>0</v>
      </c>
      <c r="K44" s="64">
        <f t="shared" si="0"/>
        <v>0</v>
      </c>
      <c r="L44" s="64">
        <f t="shared" si="0"/>
        <v>0</v>
      </c>
      <c r="M44" s="64">
        <f t="shared" si="0"/>
        <v>0</v>
      </c>
      <c r="N44" s="64">
        <f t="shared" si="0"/>
        <v>0</v>
      </c>
      <c r="O44" s="64">
        <f t="shared" si="0"/>
        <v>0</v>
      </c>
      <c r="P44" s="64">
        <f t="shared" si="0"/>
        <v>0</v>
      </c>
      <c r="Q44" s="64">
        <f t="shared" si="0"/>
        <v>0</v>
      </c>
      <c r="R44" s="64">
        <f t="shared" si="0"/>
        <v>0</v>
      </c>
      <c r="S44" s="64">
        <f t="shared" si="0"/>
        <v>0</v>
      </c>
      <c r="T44" s="64">
        <f t="shared" si="0"/>
        <v>0</v>
      </c>
      <c r="U44" s="64" t="e">
        <f t="shared" ref="U44:W44" si="1">IF(U79&lt;&gt;"",-U79,NA())</f>
        <v>#N/A</v>
      </c>
      <c r="V44" s="64" t="e">
        <f t="shared" si="1"/>
        <v>#N/A</v>
      </c>
      <c r="W44" s="64" t="e">
        <f t="shared" si="1"/>
        <v>#N/A</v>
      </c>
    </row>
    <row r="45" spans="2:23" x14ac:dyDescent="0.4">
      <c r="C45" s="2" t="s">
        <v>301</v>
      </c>
      <c r="F45" s="64" t="e">
        <f t="shared" ref="F45:T45" si="2">IF(F81&lt;&gt;"",-F81,NA())</f>
        <v>#N/A</v>
      </c>
      <c r="G45" s="64" t="e">
        <f t="shared" si="2"/>
        <v>#N/A</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990</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v>
      </c>
      <c r="G49" s="64">
        <f>Assessment!F37</f>
        <v>0</v>
      </c>
      <c r="H49" s="64">
        <f>Assessment!G37</f>
        <v>0</v>
      </c>
      <c r="I49" s="64">
        <f>Assessment!H37</f>
        <v>0</v>
      </c>
      <c r="J49" s="64">
        <f>Assessment!I37</f>
        <v>0</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t="e">
        <f>IF(OR(ISNUMBER(H53),ISNUMBER(H54)),NA(),IF(ISNUMBER(Assessment!G19),Assessment!G19,NA()))</f>
        <v>#N/A</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t="e" cm="1">
        <f t="array" ref="F53">IF(
  AND(
    INDEX($2:$2, COLUMN()) &gt;= MTP_BaseYear,
    INDEX($2:$2, COLUMN()) &lt;= OutturnThrough
  ),
  IFERROR(
    IF(
      F49 - INDEX(Assessment!$19:$19,
                   _xlfn.XMATCH(INDEX($2:$2, COLUMN()),
                          Assessment!$4:$4, 0)
            ) &lt; 0,
      INDEX(Assessment!$19:$19,
            _xlfn.XMATCH(INDEX($2:$2, COLUMN()),
                   Assessment!$4:$4, 0)
      ),
      NA()
    ),
    NA()
  ),
  NA()
)</f>
        <v>#N/A</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0</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0</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573</v>
      </c>
      <c r="D55" s="4">
        <f>IF(_xlfn.AGGREGATE(5,6,F49:W54)&lt;0, _xlfn.AGGREGATE(5,6,F49:W54), 0)</f>
        <v>0</v>
      </c>
      <c r="F55" s="64"/>
      <c r="G55" s="64"/>
      <c r="H55" s="64"/>
      <c r="I55" s="64"/>
      <c r="J55" s="64"/>
      <c r="K55" s="64"/>
      <c r="L55" s="64"/>
      <c r="M55" s="64"/>
      <c r="N55" s="64"/>
      <c r="O55" s="64"/>
      <c r="P55" s="64"/>
      <c r="Q55" s="64"/>
      <c r="R55" s="64"/>
      <c r="S55" s="64"/>
      <c r="T55" s="64"/>
      <c r="U55" s="64"/>
      <c r="V55" s="64"/>
      <c r="W55" s="64"/>
    </row>
    <row r="56" spans="2:23" x14ac:dyDescent="0.4">
      <c r="C56" s="110" t="s">
        <v>574</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991</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0</v>
      </c>
      <c r="G59" s="64">
        <f>IF(
  AND(
    ISNUMBER(Assessment!E38),
    ISNUMBER(Assessment!F38)
  ),
  Assessment!F38-Assessment!E38,
  NA()
)</f>
        <v>0</v>
      </c>
      <c r="H59" s="64">
        <f>IF(
  AND(
    ISNUMBER(Assessment!F38),
    ISNUMBER(Assessment!G38)
  ),
  Assessment!G38-Assessment!F38,
  NA()
)</f>
        <v>0</v>
      </c>
      <c r="I59" s="64">
        <f>IF(
  AND(
    ISNUMBER(Assessment!G38),
    ISNUMBER(Assessment!H38)
  ),
  Assessment!H38-Assessment!G38,
  NA()
)</f>
        <v>0</v>
      </c>
      <c r="J59" s="64">
        <f>IF(
  AND(
    ISNUMBER(Assessment!H38),
    ISNUMBER(Assessment!I38)
  ),
  Assessment!I38-Assessment!H38,
  NA()
)</f>
        <v>0</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t="e" cm="1">
        <f t="array" ref="F63">IF(
  AND(
    INDEX(2:2, COLUMN()) &gt; MTP_BaseYear,
    INDEX(2:2, COLUMN()) &lt;= OutturnThrough
  ),
  IFERROR(
    IF(
      Assessment!E21 &gt; INDEX($65:$65, COLUMN()),
      Assessment!E21,
      NA()
    ),
    NA()
  ),
  NA()
)</f>
        <v>#N/A</v>
      </c>
      <c r="G63" s="64" t="e" cm="1">
        <f t="array" ref="G63">IF(
  AND(
    INDEX(2:2, COLUMN()) &gt; MTP_BaseYear,
    INDEX(2:2, COLUMN()) &lt;= OutturnThrough
  ),
  IFERROR(
    IF(
      Assessment!F21 &gt; INDEX($65:$65, COLUMN()),
      Assessment!F21,
      NA()
    ),
    NA()
  ),
  NA()
)</f>
        <v>#N/A</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571</v>
      </c>
      <c r="E64" s="64" t="e">
        <f>IF(OR(ISNUMBER(E62),ISNUMBER(E63)),NA(),IF(ISNUMBER(Assessment!D21),Assessment!D21,NA()))</f>
        <v>#N/A</v>
      </c>
      <c r="F64" s="64" t="e">
        <f>IF(OR(ISNUMBER(F62),ISNUMBER(F63)),NA(),IF(ISNUMBER(Assessment!E21),Assessment!E21,NA()))</f>
        <v>#N/A</v>
      </c>
      <c r="G64" s="64" t="e">
        <f>IF(OR(ISNUMBER(G62),ISNUMBER(G63)),NA(),IF(ISNUMBER(Assessment!F21),Assessment!F21,NA()))</f>
        <v>#N/A</v>
      </c>
      <c r="H64" s="64" t="e">
        <f>IF(OR(ISNUMBER(H62),ISNUMBER(H63)),NA(),IF(ISNUMBER(Assessment!G21),Assessment!G21,NA()))</f>
        <v>#N/A</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572</v>
      </c>
      <c r="E65" s="64" t="e">
        <f>IF(
  ISNUMBER(Assessment!D20),
  IF(Assessment!D20&gt;90,-1,
     IF(Assessment!D20&gt;60,-0.5,0)
  ),
  NA()
)</f>
        <v>#N/A</v>
      </c>
      <c r="F65" s="64" t="e">
        <f>IF(
  ISNUMBER(Assessment!E20),
  IF(Assessment!E20&gt;90,-1,
     IF(Assessment!E20&gt;60,-0.5,0)
  ),
  NA()
)</f>
        <v>#N/A</v>
      </c>
      <c r="G65" s="64" t="e">
        <f>IF(
  ISNUMBER(Assessment!F20),
  IF(Assessment!F20&gt;90,-1,
     IF(Assessment!F20&gt;60,-0.5,0)
  ),
  NA()
)</f>
        <v>#N/A</v>
      </c>
      <c r="H65" s="64" t="e">
        <f>IF(
  ISNUMBER(Assessment!G20),
  IF(Assessment!G20&gt;90,-1,
     IF(Assessment!G20&gt;60,-0.5,0)
  ),
  NA()
)</f>
        <v>#N/A</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573</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574</v>
      </c>
      <c r="D67" s="4">
        <f>_xlfn.AGGREGATE(4,6,F59:W65)</f>
        <v>0</v>
      </c>
    </row>
    <row r="68" spans="2:23" x14ac:dyDescent="0.4">
      <c r="C68" s="110"/>
      <c r="D68" s="4"/>
    </row>
    <row r="69" spans="2:23" ht="14.25" customHeight="1" x14ac:dyDescent="0.6">
      <c r="B69" s="136" t="s">
        <v>581</v>
      </c>
      <c r="C69" s="11" t="s">
        <v>987</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t="e">
        <f>IF(ISNUMBER(H74),NA(),IF(ISNUMBER(Assessment!G19),Assessment!G19-Assessment!F19,NA()))</f>
        <v>#N/A</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573</v>
      </c>
      <c r="D75" s="4">
        <f>IF(_xlfn.AGGREGATE(5,6,F70:W74)&lt;0, _xlfn.AGGREGATE(5,6,F70:W74), 0)</f>
        <v>0</v>
      </c>
      <c r="F75" s="64"/>
      <c r="G75" s="64"/>
      <c r="H75" s="64"/>
      <c r="I75" s="64"/>
      <c r="J75" s="64"/>
      <c r="K75" s="64"/>
      <c r="L75" s="64"/>
      <c r="M75" s="64"/>
      <c r="N75" s="64"/>
      <c r="O75" s="64"/>
      <c r="P75" s="64"/>
      <c r="Q75" s="64"/>
      <c r="R75" s="64"/>
      <c r="S75" s="64"/>
      <c r="T75" s="64"/>
      <c r="U75" s="64"/>
      <c r="V75" s="64"/>
      <c r="W75" s="64"/>
    </row>
    <row r="76" spans="2:23" x14ac:dyDescent="0.4">
      <c r="C76" s="110" t="s">
        <v>574</v>
      </c>
      <c r="D76" s="4">
        <f>_xlfn.AGGREGATE(4,6,F70:W74)</f>
        <v>0</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582</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0</v>
      </c>
      <c r="G79" s="64">
        <f>Assessment!F50</f>
        <v>0</v>
      </c>
      <c r="H79" s="64">
        <f>Assessment!G50</f>
        <v>0</v>
      </c>
      <c r="I79" s="64">
        <f>Assessment!H50</f>
        <v>0</v>
      </c>
      <c r="J79" s="64">
        <f>Assessment!I50</f>
        <v>0</v>
      </c>
      <c r="K79" s="64">
        <f>Assessment!J50</f>
        <v>0</v>
      </c>
      <c r="L79" s="64">
        <f>Assessment!K50</f>
        <v>0</v>
      </c>
      <c r="M79" s="64">
        <f>Assessment!L50</f>
        <v>0</v>
      </c>
      <c r="N79" s="64">
        <f>Assessment!M50</f>
        <v>0</v>
      </c>
      <c r="O79" s="64">
        <f>Assessment!N50</f>
        <v>0</v>
      </c>
      <c r="P79" s="64">
        <f>Assessment!O50</f>
        <v>0</v>
      </c>
      <c r="Q79" s="64">
        <f>Assessment!P50</f>
        <v>0</v>
      </c>
      <c r="R79" s="64">
        <f>Assessment!Q50</f>
        <v>0</v>
      </c>
      <c r="S79" s="64">
        <f>Assessment!R50</f>
        <v>0</v>
      </c>
      <c r="T79" s="64">
        <f>Assessment!S50</f>
        <v>0</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t="e">
        <f>IF(OR(ISNUMBER(H81),ISNUMBER(H82)),NA(),IF(ISNUMBER(Assessment!G17),Assessment!G17,NA()))</f>
        <v>#N/A</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t="e"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#N/A</v>
      </c>
      <c r="G81" s="106"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0</v>
      </c>
      <c r="G84" s="64">
        <f t="shared" si="6"/>
        <v>0</v>
      </c>
      <c r="H84" s="64">
        <f t="shared" si="6"/>
        <v>0</v>
      </c>
      <c r="I84" s="64">
        <f t="shared" si="6"/>
        <v>0</v>
      </c>
      <c r="J84" s="64">
        <f t="shared" si="6"/>
        <v>0</v>
      </c>
      <c r="K84" s="64">
        <f t="shared" si="6"/>
        <v>0</v>
      </c>
      <c r="L84" s="64">
        <f t="shared" si="6"/>
        <v>0</v>
      </c>
      <c r="M84" s="64">
        <f t="shared" si="6"/>
        <v>0</v>
      </c>
      <c r="N84" s="64">
        <f t="shared" si="6"/>
        <v>0</v>
      </c>
      <c r="O84" s="64">
        <f t="shared" si="6"/>
        <v>0</v>
      </c>
      <c r="P84" s="64">
        <f t="shared" si="6"/>
        <v>0</v>
      </c>
      <c r="Q84" s="64">
        <f t="shared" si="6"/>
        <v>0</v>
      </c>
      <c r="R84" s="64">
        <f t="shared" si="6"/>
        <v>0</v>
      </c>
      <c r="S84" s="64">
        <f t="shared" si="6"/>
        <v>0</v>
      </c>
      <c r="T84" s="64">
        <f t="shared" si="6"/>
        <v>0</v>
      </c>
      <c r="U84" s="64" t="e">
        <f t="shared" ref="U84:W84" si="7">IF(U79&lt;&gt;"",-U79,NA())</f>
        <v>#N/A</v>
      </c>
      <c r="V84" s="64" t="e">
        <f t="shared" si="7"/>
        <v>#N/A</v>
      </c>
      <c r="W84" s="64" t="e">
        <f t="shared" si="7"/>
        <v>#N/A</v>
      </c>
    </row>
    <row r="85" spans="2:23" x14ac:dyDescent="0.4">
      <c r="C85" s="2" t="s">
        <v>301</v>
      </c>
      <c r="F85" s="64" t="e">
        <f t="shared" ref="F85:T85" si="8">IF(F81&lt;&gt;"",-F81,NA())</f>
        <v>#N/A</v>
      </c>
      <c r="G85" s="64" t="e">
        <f t="shared" si="8"/>
        <v>#N/A</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583</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t="str">
        <f>Assessment!D72</f>
        <v/>
      </c>
      <c r="F89" s="64" t="str">
        <f>Assessment!E72</f>
        <v/>
      </c>
      <c r="G89" s="64" t="str">
        <f>Assessment!F72</f>
        <v/>
      </c>
      <c r="H89" s="64" t="str">
        <f>Assessment!G72</f>
        <v/>
      </c>
      <c r="I89" s="64" t="str">
        <f>Assessment!H72</f>
        <v/>
      </c>
      <c r="J89" s="64" t="str">
        <f>Assessment!I72</f>
        <v/>
      </c>
      <c r="K89" s="64" t="str">
        <f>Assessment!J72</f>
        <v/>
      </c>
      <c r="L89" s="64" t="str">
        <f>Assessment!K72</f>
        <v/>
      </c>
      <c r="M89" s="64" t="str">
        <f>Assessment!L72</f>
        <v/>
      </c>
      <c r="N89" s="64" t="str">
        <f>Assessment!M72</f>
        <v/>
      </c>
      <c r="O89" s="64" t="str">
        <f>Assessment!N72</f>
        <v/>
      </c>
      <c r="P89" s="64" t="str">
        <f>Assessment!O72</f>
        <v/>
      </c>
      <c r="Q89" s="64" t="str">
        <f>Assessment!P72</f>
        <v/>
      </c>
      <c r="R89" s="64" t="str">
        <f>Assessment!Q72</f>
        <v/>
      </c>
      <c r="S89" s="64" t="str">
        <f>Assessment!R72</f>
        <v/>
      </c>
      <c r="T89" s="64" t="str">
        <f>Assessment!S72</f>
        <v/>
      </c>
      <c r="U89" s="64" t="str">
        <f>Assessment!T72</f>
        <v/>
      </c>
      <c r="V89" s="64" t="str">
        <f>Assessment!U72</f>
        <v/>
      </c>
      <c r="W89" s="64" t="str">
        <f>Assessment!V72</f>
        <v/>
      </c>
    </row>
    <row r="90" spans="2:23" x14ac:dyDescent="0.4">
      <c r="C90" s="2" t="s">
        <v>243</v>
      </c>
      <c r="E90" s="64" t="e">
        <f>IF(OR(ISNUMBER(E91),ISNUMBER(E92)),NA(),IF(ISNUMBER(Assessment!D20),Assessment!D20,NA()))</f>
        <v>#N/A</v>
      </c>
      <c r="F90" s="64" t="e">
        <f>IF(OR(ISNUMBER(F91),ISNUMBER(F92)),NA(),IF(ISNUMBER(Assessment!E20),Assessment!E20,NA()))</f>
        <v>#N/A</v>
      </c>
      <c r="G90" s="64" t="e">
        <f>IF(OR(ISNUMBER(G91),ISNUMBER(G92)),NA(),IF(ISNUMBER(Assessment!F20),Assessment!F20,NA()))</f>
        <v>#N/A</v>
      </c>
      <c r="H90" s="64" t="e">
        <f>IF(OR(ISNUMBER(H91),ISNUMBER(H92)),NA(),IF(ISNUMBER(Assessment!G20),Assessment!G20,NA()))</f>
        <v>#N/A</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6"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584</v>
      </c>
      <c r="C95" s="11" t="s">
        <v>292</v>
      </c>
    </row>
    <row r="96" spans="2:23" x14ac:dyDescent="0.4">
      <c r="C96" s="2" t="s">
        <v>387</v>
      </c>
      <c r="E96" s="6">
        <f>IF(ISNUMBER(Assessment!D52),Assessment!D52,NA())</f>
        <v>0</v>
      </c>
      <c r="F96" s="6">
        <f>IF(ISNUMBER(Assessment!E52),Assessment!E52,NA())</f>
        <v>0</v>
      </c>
      <c r="G96" s="6">
        <f>IF(ISNUMBER(Assessment!F52),Assessment!F52,NA())</f>
        <v>0</v>
      </c>
      <c r="H96" s="6">
        <f>IF(ISNUMBER(Assessment!G52),Assessment!G52,NA())</f>
        <v>0</v>
      </c>
      <c r="I96" s="6">
        <f>IF(ISNUMBER(Assessment!H52),Assessment!H52,NA())</f>
        <v>0</v>
      </c>
      <c r="J96" s="6">
        <f>IF(ISNUMBER(Assessment!I52),Assessment!I52,NA())</f>
        <v>0</v>
      </c>
      <c r="K96" s="6">
        <f>IF(ISNUMBER(Assessment!J52),Assessment!J52,NA())</f>
        <v>0</v>
      </c>
      <c r="L96" s="6">
        <f>IF(ISNUMBER(Assessment!K52),Assessment!K52,NA())</f>
        <v>0</v>
      </c>
      <c r="M96" s="6">
        <f>IF(ISNUMBER(Assessment!L52),Assessment!L52,NA())</f>
        <v>0</v>
      </c>
      <c r="N96" s="6">
        <f>IF(ISNUMBER(Assessment!M52),Assessment!M52,NA())</f>
        <v>0</v>
      </c>
      <c r="O96" s="6">
        <f>IF(ISNUMBER(Assessment!N52),Assessment!N52,NA())</f>
        <v>0</v>
      </c>
      <c r="P96" s="6">
        <f>IF(ISNUMBER(Assessment!O52),Assessment!O52,NA())</f>
        <v>0</v>
      </c>
      <c r="Q96" s="6">
        <f>IF(ISNUMBER(Assessment!P52),Assessment!P52,NA())</f>
        <v>0</v>
      </c>
      <c r="R96" s="6">
        <f>IF(ISNUMBER(Assessment!Q52),Assessment!Q52,NA())</f>
        <v>0</v>
      </c>
      <c r="S96" s="6">
        <f>IF(ISNUMBER(Assessment!R52),Assessment!R52,NA())</f>
        <v>0</v>
      </c>
      <c r="T96" s="6">
        <f>IF(ISNUMBER(Assessment!S52),Assessment!S52,NA())</f>
        <v>0</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t="e">
        <f>IF(Assessment!D20="",NA(),Assessment!D20)</f>
        <v>#N/A</v>
      </c>
      <c r="F111" s="88" t="e">
        <f>IF(Assessment!E20="",NA(),Assessment!E20)</f>
        <v>#N/A</v>
      </c>
      <c r="G111" s="88" t="e">
        <f>IF(Assessment!F20="",NA(),Assessment!F20)</f>
        <v>#N/A</v>
      </c>
      <c r="H111" s="88" t="e">
        <f>IF(Assessment!G20="",NA(),Assessment!G20)</f>
        <v>#N/A</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600</v>
      </c>
      <c r="C113" s="11"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4" t="str">
        <f>Assessment!E69</f>
        <v/>
      </c>
      <c r="G114" s="64" t="str">
        <f>Assessment!F69</f>
        <v/>
      </c>
      <c r="H114" s="64" t="str">
        <f>Assessment!G69</f>
        <v/>
      </c>
      <c r="I114" s="64" t="str">
        <f>Assessment!H69</f>
        <v/>
      </c>
      <c r="J114" s="64" t="str">
        <f>Assessment!I69</f>
        <v/>
      </c>
      <c r="K114" s="64" t="str">
        <f>Assessment!J69</f>
        <v/>
      </c>
      <c r="L114" s="64" t="str">
        <f>Assessment!K69</f>
        <v/>
      </c>
      <c r="M114" s="64" t="str">
        <f>Assessment!L69</f>
        <v/>
      </c>
      <c r="N114" s="64" t="str">
        <f>Assessment!M69</f>
        <v/>
      </c>
      <c r="O114" s="64" t="str">
        <f>Assessment!N69</f>
        <v/>
      </c>
      <c r="P114" s="64" t="str">
        <f>Assessment!O69</f>
        <v/>
      </c>
      <c r="Q114" s="64" t="str">
        <f>Assessment!P69</f>
        <v/>
      </c>
      <c r="R114" s="64" t="str">
        <f>Assessment!Q69</f>
        <v/>
      </c>
      <c r="S114" s="64" t="str">
        <f>Assessment!R69</f>
        <v/>
      </c>
      <c r="T114" s="64" t="str">
        <f>Assessment!S69</f>
        <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t="e">
        <f>IF(OR(ISNUMBER(H128),ISNUMBER(H129)),NA(),IF(ISNUMBER(Assessment!G15),Assessment!G15,NA()))</f>
        <v>#N/A</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t="e" cm="1">
        <f t="array" ref="F119">IF(
  AND(
    INDEX($2:$2, COLUMN()) &gt;= MTP_BaseYear,
    INDEX($2:$2, COLUMN()) &lt;= OutturnThrough
  ),
  IFERROR(
    IF(
      F114 - INDEX(Assessment!$15:$15,
                   _xlfn.XMATCH(INDEX($2:$2, COLUMN()),
                          Assessment!$4:$4, 0)
            ) &lt; 0,
      INDEX(Assessment!$15:$15,
            _xlfn.XMATCH(INDEX($2:$2, COLUMN()),
                   Assessment!$4:$4, 0)
      ),
      NA()
    ),
    NA()
  ),
  NA()
)</f>
        <v>#N/A</v>
      </c>
      <c r="G119" s="106" t="e" cm="1">
        <f t="array" ref="G119">IF(
  AND(
    INDEX($2:$2, COLUMN()) &gt;= MTP_BaseYear,
    INDEX($2:$2, COLUMN()) &lt;= OutturnThrough
  ),
  IFERROR(
    IF(
      G114 - INDEX(Assessment!$15:$15,
                   _xlfn.XMATCH(INDEX($2:$2, COLUMN()),
                          Assessment!$4:$4, 0)
            ) &lt; 0,
      INDEX(Assessment!$15:$15,
            _xlfn.XMATCH(INDEX($2:$2, COLUMN()),
                   Assessment!$4:$4, 0)
      ),
      NA()
    ),
    NA()
  ),
  NA()
)</f>
        <v>#N/A</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573</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574</v>
      </c>
      <c r="D121" s="4">
        <f>_xlfn.AGGREGATE(4,6,F114:W119)</f>
        <v>0</v>
      </c>
    </row>
    <row r="122" spans="2:23" ht="13.5" customHeight="1" x14ac:dyDescent="0.6">
      <c r="C122" s="11"/>
    </row>
    <row r="123" spans="2:23" ht="16.5" x14ac:dyDescent="0.6">
      <c r="B123" s="110" t="s">
        <v>601</v>
      </c>
      <c r="C123" s="11" t="s">
        <v>389</v>
      </c>
    </row>
    <row r="124" spans="2:23" x14ac:dyDescent="0.4">
      <c r="C124" s="2" t="s">
        <v>388</v>
      </c>
      <c r="F124" s="64" t="str">
        <f>Assessment!E71</f>
        <v/>
      </c>
      <c r="G124" s="64" t="str">
        <f>Assessment!F71</f>
        <v/>
      </c>
      <c r="H124" s="64" t="str">
        <f>Assessment!G71</f>
        <v/>
      </c>
      <c r="I124" s="64" t="str">
        <f>Assessment!H71</f>
        <v/>
      </c>
      <c r="J124" s="64" t="str">
        <f>Assessment!I71</f>
        <v/>
      </c>
      <c r="K124" s="64" t="str">
        <f>Assessment!J71</f>
        <v/>
      </c>
      <c r="L124" s="64" t="str">
        <f>Assessment!K71</f>
        <v/>
      </c>
      <c r="M124" s="64" t="str">
        <f>Assessment!L71</f>
        <v/>
      </c>
      <c r="N124" s="64" t="str">
        <f>Assessment!M71</f>
        <v/>
      </c>
      <c r="O124" s="64" t="str">
        <f>Assessment!N71</f>
        <v/>
      </c>
      <c r="P124" s="64" t="str">
        <f>Assessment!O71</f>
        <v/>
      </c>
      <c r="Q124" s="64" t="str">
        <f>Assessment!P71</f>
        <v/>
      </c>
      <c r="R124" s="64" t="str">
        <f>Assessment!Q71</f>
        <v/>
      </c>
      <c r="S124" s="64" t="str">
        <f>Assessment!R71</f>
        <v/>
      </c>
      <c r="T124" s="64" t="str">
        <f>Assessment!S71</f>
        <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f>IF(OR(ISNUMBER(F128),ISNUMBER(F129)),NA(),IF(ISNUMBER(Assessment!E19),Assessment!E19,NA()))</f>
        <v>0</v>
      </c>
      <c r="G126" s="64">
        <f>IF(OR(ISNUMBER(G128),ISNUMBER(G129)),NA(),IF(ISNUMBER(Assessment!F19),Assessment!F19,NA()))</f>
        <v>0</v>
      </c>
      <c r="H126" s="64" t="e">
        <f>IF(OR(ISNUMBER(H128),ISNUMBER(H129)),NA(),IF(ISNUMBER(Assessment!G19),Assessment!G19,NA()))</f>
        <v>#N/A</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t="e" cm="1">
        <f t="array" ref="F128">IF(
  AND(
    INDEX($2:$2, COLUMN()) &gt;= MTP_BaseYear,
    INDEX($2:$2, COLUMN()) &lt;= OutturnThrough
  ),
  IFERROR(
    IF(
      F124 - INDEX(Assessment!$19:$19,
                   _xlfn.XMATCH(INDEX($2:$2, COLUMN()),
                          Assessment!$4:$4, 0)
            ) &lt; 0,
      INDEX(Assessment!$19:$19,
            _xlfn.XMATCH(INDEX($2:$2, COLUMN()),
                   Assessment!$4:$4, 0)
      ),
      NA()
    ),
    NA()
  ),
  NA()
)</f>
        <v>#N/A</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573</v>
      </c>
      <c r="D130" s="4">
        <f>IF(_xlfn.AGGREGATE(5,6,F124:W129)&lt;0, _xlfn.AGGREGATE(5,6,F124:W129), 0)</f>
        <v>0</v>
      </c>
      <c r="F130" s="64"/>
      <c r="G130" s="64"/>
      <c r="H130" s="64"/>
      <c r="I130" s="64"/>
      <c r="J130" s="64"/>
      <c r="K130" s="64"/>
      <c r="L130" s="64"/>
      <c r="M130" s="64"/>
      <c r="N130" s="64"/>
      <c r="O130" s="64"/>
      <c r="P130" s="64"/>
      <c r="Q130" s="64"/>
      <c r="R130" s="64"/>
      <c r="S130" s="64"/>
      <c r="T130" s="64"/>
      <c r="U130" s="64"/>
      <c r="V130" s="64"/>
      <c r="W130" s="64"/>
    </row>
    <row r="131" spans="2:23" x14ac:dyDescent="0.4">
      <c r="C131" s="110" t="s">
        <v>574</v>
      </c>
      <c r="D131" s="4">
        <f>_xlfn.AGGREGATE(4,6,F124:W129)</f>
        <v>0</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585</v>
      </c>
      <c r="C133" s="11" t="s">
        <v>586</v>
      </c>
    </row>
    <row r="134" spans="2:23" ht="13.5" customHeight="1" x14ac:dyDescent="0.4">
      <c r="C134" t="s">
        <v>576</v>
      </c>
      <c r="F134" s="3">
        <f>IF(ISNUMBER(Assessment!E36),Assessment!E36,NA())</f>
        <v>0</v>
      </c>
      <c r="G134" s="3">
        <f>IF(ISNUMBER(Assessment!F36),Assessment!F36,NA())</f>
        <v>0</v>
      </c>
      <c r="H134" s="3">
        <f>IF(ISNUMBER(Assessment!G36),Assessment!G36,NA())</f>
        <v>0</v>
      </c>
      <c r="I134" s="3">
        <f>IF(ISNUMBER(Assessment!H36),Assessment!H36,NA())</f>
        <v>0</v>
      </c>
      <c r="J134" s="3">
        <f>IF(ISNUMBER(Assessment!I36),Assessment!I36,NA())</f>
        <v>0</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575</v>
      </c>
      <c r="F135" s="3" t="e">
        <f>IF(OR(ISNUMBER(F138),ISNUMBER(F139)),NA(),IF(ISNUMBER(Assessment!E18),Assessment!E18,NA()))</f>
        <v>#N/A</v>
      </c>
      <c r="G135" s="35" t="e">
        <f>IF(OR(ISNUMBER(G138),ISNUMBER(G139)),NA(),IF(ISNUMBER(Assessment!F18),Assessment!F18,NA()))</f>
        <v>#N/A</v>
      </c>
      <c r="H135" s="3" t="e">
        <f>IF(OR(ISNUMBER(H138),ISNUMBER(H139)),NA(),IF(ISNUMBER(Assessment!G18),Assessment!G18,NA()))</f>
        <v>#N/A</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cm="1">
        <f t="array" ref="F138">_xlfn.LET(
  _xlpm.y, INDEX('Chart data'!$2:$2, COLUMN()),
  _xlpm.col, _xlfn.XMATCH(_xlpm.y, Assessment!$4:$4, 0),
  _xlpm.v, INDEX(Assessment!$18:$18, _xlpm.col),
  IF(
    _xlpm.y&lt;=OutturnThrough,
    IF(AND(ISNUMBER(_xlpm.v), _xlpm.v&gt;=0), _xlpm.v, NA()),
    NA()
  )
)</f>
        <v>0</v>
      </c>
      <c r="G138" s="123" cm="1">
        <f t="array" ref="G138">_xlfn.LET(
  _xlpm.y, INDEX('Chart data'!$2:$2, COLUMN()),
  _xlpm.col, _xlfn.XMATCH(_xlpm.y, Assessment!$4:$4, 0),
  _xlpm.v, INDEX(Assessment!$18:$18, _xlpm.col),
  IF(
    _xlpm.y&lt;=OutturnThrough,
    IF(AND(ISNUMBER(_xlpm.v), _xlpm.v&gt;=0), _xlpm.v, NA()),
    NA()
  )
)</f>
        <v>0</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t="e" cm="1">
        <f t="array" ref="F139">_xlfn.LET(
  _xlpm.y, INDEX('Chart data'!$2:$2, COLUMN()),
  _xlpm.col, _xlfn.XMATCH(_xlpm.y, Assessment!$4:$4, 0),
  _xlpm.v, INDEX(Assessment!$18:$18, _xlpm.col),
  IF(
    _xlpm.y&lt;=OutturnThrough,
    IF(AND(ISNUMBER(_xlpm.v), _xlpm.v&lt;0), _xlpm.v, NA()),
    NA()
  )
)</f>
        <v>#N/A</v>
      </c>
      <c r="G139" s="106" t="e" cm="1">
        <f t="array" ref="G139">_xlfn.LET(
  _xlpm.y, INDEX('Chart data'!$2:$2, COLUMN()),
  _xlpm.col, _xlfn.XMATCH(_xlpm.y, Assessment!$4:$4, 0),
  _xlpm.v, INDEX(Assessment!$18:$18, _xlpm.col),
  IF(
    _xlpm.y&lt;=OutturnThrough,
    IF(AND(ISNUMBER(_xlpm.v), _xlpm.v&lt;0), _xlpm.v, NA()),
    NA()
  )
)</f>
        <v>#N/A</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707</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573</v>
      </c>
      <c r="D141" s="4">
        <f>IF(_xlfn.AGGREGATE(5,6,F134:W139)&lt;0, _xlfn.AGGREGATE(5,6,F134:W139), 0)</f>
        <v>0</v>
      </c>
      <c r="F141" s="64"/>
      <c r="G141" s="64"/>
      <c r="H141" s="64"/>
      <c r="I141" s="64"/>
      <c r="J141" s="64"/>
      <c r="K141" s="64"/>
      <c r="L141" s="64"/>
      <c r="M141" s="64"/>
      <c r="N141" s="64"/>
      <c r="O141" s="64"/>
      <c r="P141" s="64"/>
      <c r="Q141" s="64"/>
      <c r="R141" s="64"/>
      <c r="S141" s="64"/>
      <c r="T141" s="64"/>
      <c r="U141" s="64"/>
      <c r="V141" s="64"/>
      <c r="W141" s="64"/>
    </row>
    <row r="142" spans="2:23" x14ac:dyDescent="0.4">
      <c r="C142" s="110" t="s">
        <v>574</v>
      </c>
      <c r="D142" s="4">
        <f>_xlfn.AGGREGATE(4,6,F134:W139)</f>
        <v>0</v>
      </c>
    </row>
    <row r="143" spans="2:23" ht="13.5" customHeight="1" x14ac:dyDescent="0.4"/>
    <row r="144" spans="2:23" ht="13.5" customHeight="1" x14ac:dyDescent="0.6">
      <c r="B144" s="110" t="s">
        <v>588</v>
      </c>
      <c r="C144" s="11" t="s">
        <v>587</v>
      </c>
    </row>
    <row r="145" spans="3:23" ht="13.5" customHeight="1" x14ac:dyDescent="0.4">
      <c r="C145" t="s">
        <v>577</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578</v>
      </c>
      <c r="F146" s="64" t="e">
        <f>IF(OR(ISNUMBER(F149),ISNUMBER(F150)),NA(),IF(ISNUMBER(Assessment!E17),Assessment!E17+(Assessment!E7/Assessment!E27*100),NA()))</f>
        <v>#N/A</v>
      </c>
      <c r="G146" s="64" t="e">
        <f>IF(OR(ISNUMBER(G149),ISNUMBER(G150)),NA(),IF(ISNUMBER(Assessment!F17),Assessment!F17+(Assessment!F7/Assessment!F27*100),NA()))</f>
        <v>#N/A</v>
      </c>
      <c r="H146" s="64" t="e">
        <f>IF(OR(ISNUMBER(H149),ISNUMBER(H150)),NA(),IF(ISNUMBER(Assessment!G17),Assessment!G17+(Assessment!G7/Assessment!G27*100),NA()))</f>
        <v>#N/A</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G149" s="106"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cm="1">
        <f t="array" ref="V149">_xlfn.LET(
  _xlpm.y, INDEX('Chart data'!$2:$2, COLUMN()),
  _xlpm.col, _xlfn.XMATCH(_xlpm.y, Assessment!$4:$4, 0),
  _xlpm.v, INDEX(Assessment!$17:$17, _xlpm.col)
     + INDEX(Assessment!$7:$7, _xlpm.col),
  IF(
    _xlpm.y&lt;=OutturnThrough,
    IF(AND(ISNUMBER(_xlpm.v), _xlpm.v&gt;=0), _xlpm.v, NA()),
    NA()
  )
)</f>
        <v>0</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573</v>
      </c>
      <c r="D151" s="4">
        <f>IF(_xlfn.AGGREGATE(5,6,F145:W150)&lt;0, _xlfn.AGGREGATE(5,6,F145:W150), 0)</f>
        <v>0</v>
      </c>
      <c r="F151" s="64"/>
      <c r="G151" s="64"/>
      <c r="H151" s="64"/>
      <c r="I151" s="64"/>
      <c r="J151" s="64"/>
      <c r="K151" s="64"/>
      <c r="L151" s="64"/>
      <c r="M151" s="64"/>
      <c r="N151" s="64"/>
      <c r="O151" s="64"/>
      <c r="P151" s="64"/>
      <c r="Q151" s="64"/>
      <c r="R151" s="64"/>
      <c r="S151" s="64"/>
      <c r="T151" s="64"/>
      <c r="U151" s="64"/>
      <c r="V151" s="64"/>
      <c r="W151" s="64"/>
    </row>
    <row r="152" spans="3:23" x14ac:dyDescent="0.4">
      <c r="C152" s="110" t="s">
        <v>574</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4" priority="6">
      <formula>ISNUMBER(E2)</formula>
    </cfRule>
  </conditionalFormatting>
  <conditionalFormatting sqref="U3:U150">
    <cfRule type="expression" dxfId="3" priority="3">
      <formula>NOT(ISNUMBER(U$2))</formula>
    </cfRule>
  </conditionalFormatting>
  <conditionalFormatting sqref="V3:W14 V16:W144 V15:X15 V147:W150">
    <cfRule type="expression" dxfId="2" priority="2">
      <formula>NOT(ISNUMBER(V$2))</formula>
    </cfRule>
  </conditionalFormatting>
  <conditionalFormatting sqref="V145:W146">
    <cfRule type="expression" dxfId="1"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597</v>
      </c>
      <c r="I2" s="124" t="s">
        <v>714</v>
      </c>
      <c r="J2" s="124" t="s">
        <v>647</v>
      </c>
      <c r="K2" s="124" t="s">
        <v>242</v>
      </c>
      <c r="L2" s="124" t="s">
        <v>719</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753</v>
      </c>
      <c r="H3" s="18" t="s">
        <v>598</v>
      </c>
      <c r="I3" s="18" t="s">
        <v>715</v>
      </c>
      <c r="J3" s="5" t="s">
        <v>618</v>
      </c>
      <c r="K3" s="5" t="s">
        <v>996</v>
      </c>
      <c r="L3" t="s">
        <v>271</v>
      </c>
      <c r="M3" s="5" t="s">
        <v>997</v>
      </c>
      <c r="P3" t="s">
        <v>12</v>
      </c>
      <c r="Q3" s="162" t="str">
        <f>MTP_YearT&amp;"–"&amp;'Step 3 (IMPL) - Enter outlook'!G3</f>
        <v>2024–2025</v>
      </c>
      <c r="S3" t="s">
        <v>314</v>
      </c>
      <c r="T3">
        <v>60.05</v>
      </c>
      <c r="U3"/>
    </row>
    <row r="4" spans="1:22" x14ac:dyDescent="0.4">
      <c r="A4" s="125">
        <v>2023</v>
      </c>
      <c r="B4" s="125">
        <v>4</v>
      </c>
      <c r="C4" s="125">
        <v>7</v>
      </c>
      <c r="D4" s="18" t="s">
        <v>22</v>
      </c>
      <c r="E4" s="18" t="s">
        <v>30</v>
      </c>
      <c r="F4" s="18" t="b">
        <v>0</v>
      </c>
      <c r="G4" s="5" t="s">
        <v>754</v>
      </c>
      <c r="H4" s="18" t="s">
        <v>599</v>
      </c>
      <c r="I4" s="18" t="s">
        <v>751</v>
      </c>
      <c r="J4" s="5" t="s">
        <v>648</v>
      </c>
      <c r="K4" s="18" t="s">
        <v>216</v>
      </c>
      <c r="L4" s="14" t="s">
        <v>720</v>
      </c>
      <c r="M4" s="18" t="s">
        <v>411</v>
      </c>
      <c r="P4" t="s">
        <v>248</v>
      </c>
      <c r="Q4" s="161">
        <f>AdjustmentPeriodEnd+AdjustmentPeriod+1</f>
        <v>2033</v>
      </c>
      <c r="S4" s="157" t="s">
        <v>758</v>
      </c>
      <c r="T4">
        <v>2025</v>
      </c>
      <c r="U4"/>
      <c r="V4"/>
    </row>
    <row r="5" spans="1:22" x14ac:dyDescent="0.4">
      <c r="A5" s="125">
        <v>2024</v>
      </c>
      <c r="B5" s="125">
        <v>5</v>
      </c>
      <c r="C5" s="18"/>
      <c r="D5" s="18" t="s">
        <v>271</v>
      </c>
      <c r="E5" s="18"/>
      <c r="F5" s="18" t="s">
        <v>271</v>
      </c>
      <c r="G5" s="18"/>
      <c r="H5" s="18"/>
      <c r="I5" t="s">
        <v>760</v>
      </c>
      <c r="J5" s="5" t="e">
        <v>#N/A</v>
      </c>
      <c r="K5" s="18" t="s">
        <v>217</v>
      </c>
      <c r="L5" s="14" t="s">
        <v>721</v>
      </c>
      <c r="M5" s="18" t="s">
        <v>434</v>
      </c>
      <c r="P5" t="s">
        <v>265</v>
      </c>
      <c r="Q5" s="161">
        <f>'Step 1 - Set global parameters'!B11+AdjustmentPeriod</f>
        <v>2028</v>
      </c>
      <c r="S5" s="157" t="s">
        <v>759</v>
      </c>
      <c r="T5">
        <v>2027</v>
      </c>
      <c r="U5"/>
      <c r="V5"/>
    </row>
    <row r="6" spans="1:22" x14ac:dyDescent="0.4">
      <c r="A6" s="125">
        <v>2025</v>
      </c>
      <c r="B6" s="18"/>
      <c r="C6" s="18"/>
      <c r="D6" s="18"/>
      <c r="E6" s="18"/>
      <c r="F6" s="18"/>
      <c r="G6" s="18"/>
      <c r="H6" s="18"/>
      <c r="I6" s="5" t="e">
        <v>#N/A</v>
      </c>
      <c r="J6" s="18"/>
      <c r="K6" s="18" t="s">
        <v>218</v>
      </c>
      <c r="L6" s="14" t="s">
        <v>722</v>
      </c>
      <c r="M6" s="18" t="s">
        <v>435</v>
      </c>
      <c r="P6" t="s">
        <v>380</v>
      </c>
      <c r="Q6" s="162" t="e">
        <f>IF('Step 1 - Set global parameters'!B31,'Step 1 - Set global parameters'!B32+1,IF('Step 1 - Set global parameters'!B33,'Step 1 - Set global parameters'!B34+1,NA()))</f>
        <v>#N/A</v>
      </c>
      <c r="U6"/>
    </row>
    <row r="7" spans="1:22" x14ac:dyDescent="0.4">
      <c r="A7" s="125">
        <v>2026</v>
      </c>
      <c r="B7" s="18"/>
      <c r="C7" s="18"/>
      <c r="D7" s="18"/>
      <c r="E7" s="18"/>
      <c r="F7" s="18"/>
      <c r="G7" s="18"/>
      <c r="H7" s="18"/>
      <c r="I7" s="18"/>
      <c r="J7" s="18"/>
      <c r="K7" s="18" t="s">
        <v>219</v>
      </c>
      <c r="L7" s="14" t="s">
        <v>723</v>
      </c>
      <c r="M7" s="18" t="s">
        <v>407</v>
      </c>
      <c r="P7" t="s">
        <v>873</v>
      </c>
      <c r="Q7" s="162" t="b">
        <f>NOT(AND(Assessment!C194, Assessment!C198))</f>
        <v>1</v>
      </c>
    </row>
    <row r="8" spans="1:22" x14ac:dyDescent="0.4">
      <c r="A8" s="125">
        <v>2027</v>
      </c>
      <c r="B8" s="18"/>
      <c r="C8" s="18"/>
      <c r="D8" s="18"/>
      <c r="E8" s="18"/>
      <c r="F8" s="18"/>
      <c r="G8" s="18"/>
      <c r="H8" s="18"/>
      <c r="I8" s="18"/>
      <c r="J8" s="18"/>
      <c r="K8" s="18" t="s">
        <v>220</v>
      </c>
      <c r="L8" s="14" t="s">
        <v>724</v>
      </c>
      <c r="M8" s="18" t="s">
        <v>409</v>
      </c>
      <c r="P8" t="s">
        <v>717</v>
      </c>
      <c r="Q8" s="162" t="b">
        <f>OR(INDEX('Step 1 - Set global parameters'!22:22, COLUMN('Step 1 - Set global parameters'!$C$22)):INDEX('Step 1 - Set global parameters'!22:22, COLUMN('Step 1 - Set global parameters'!$C$22) + AdjustmentPeriod + 2))</f>
        <v>0</v>
      </c>
    </row>
    <row r="9" spans="1:22" x14ac:dyDescent="0.4">
      <c r="A9" s="125">
        <v>2028</v>
      </c>
      <c r="B9" s="18"/>
      <c r="C9" s="18"/>
      <c r="D9" s="18"/>
      <c r="E9" s="18"/>
      <c r="F9" s="18"/>
      <c r="G9" s="18"/>
      <c r="H9" s="18"/>
      <c r="I9" s="18"/>
      <c r="J9" s="18"/>
      <c r="K9" s="18" t="s">
        <v>221</v>
      </c>
      <c r="L9" s="14" t="s">
        <v>725</v>
      </c>
      <c r="M9" s="18" t="s">
        <v>438</v>
      </c>
      <c r="P9" t="s">
        <v>747</v>
      </c>
      <c r="Q9" s="162" t="str">
        <f>IF(Country="Select country","",INDEX(Validation!L3:L29,MATCH(Country,Validation!K3:K29,0)))</f>
        <v/>
      </c>
    </row>
    <row r="10" spans="1:22" x14ac:dyDescent="0.4">
      <c r="A10" s="125">
        <v>2029</v>
      </c>
      <c r="B10" s="18"/>
      <c r="C10" s="18"/>
      <c r="D10" s="18"/>
      <c r="E10" s="18"/>
      <c r="F10" s="18"/>
      <c r="G10" s="18"/>
      <c r="H10" s="18"/>
      <c r="I10" s="18"/>
      <c r="J10" s="18"/>
      <c r="K10" s="5" t="s">
        <v>222</v>
      </c>
      <c r="L10" s="14" t="s">
        <v>726</v>
      </c>
      <c r="M10" s="18" t="s">
        <v>436</v>
      </c>
      <c r="P10" t="s">
        <v>711</v>
      </c>
      <c r="Q10" s="166" t="str">
        <f>'Step 1 - Set global parameters'!B17</f>
        <v>Enter date</v>
      </c>
    </row>
    <row r="11" spans="1:22" x14ac:dyDescent="0.4">
      <c r="A11" s="125">
        <v>2030</v>
      </c>
      <c r="B11" s="18"/>
      <c r="C11" s="18"/>
      <c r="D11" s="18"/>
      <c r="E11" s="18"/>
      <c r="F11" s="18"/>
      <c r="G11" s="18"/>
      <c r="H11" s="18"/>
      <c r="I11" s="18"/>
      <c r="J11" s="18"/>
      <c r="K11" s="18" t="s">
        <v>223</v>
      </c>
      <c r="L11" s="14" t="s">
        <v>727</v>
      </c>
      <c r="M11" s="18" t="s">
        <v>440</v>
      </c>
      <c r="P11" t="s">
        <v>828</v>
      </c>
      <c r="Q11" s="160">
        <f>IF(MTP_BaseYearIsTminus2, MTP_YearT-2, MTP_YearT-1)</f>
        <v>2023</v>
      </c>
    </row>
    <row r="12" spans="1:22" x14ac:dyDescent="0.4">
      <c r="A12" s="125">
        <v>2031</v>
      </c>
      <c r="B12" s="18"/>
      <c r="C12" s="18"/>
      <c r="D12" s="18"/>
      <c r="E12" s="18"/>
      <c r="F12" s="18"/>
      <c r="G12" s="18"/>
      <c r="H12" s="18"/>
      <c r="I12" s="18"/>
      <c r="J12" s="18"/>
      <c r="K12" s="18" t="s">
        <v>224</v>
      </c>
      <c r="L12" s="14" t="s">
        <v>728</v>
      </c>
      <c r="M12" s="18" t="s">
        <v>445</v>
      </c>
      <c r="P12" s="159" t="s">
        <v>827</v>
      </c>
      <c r="Q12" s="272" t="b">
        <f>MTP_YearT-MTP_BaseYear=2</f>
        <v>0</v>
      </c>
    </row>
    <row r="13" spans="1:22" x14ac:dyDescent="0.4">
      <c r="A13" s="125">
        <v>2032</v>
      </c>
      <c r="B13" s="18"/>
      <c r="C13" s="18"/>
      <c r="D13" s="18"/>
      <c r="E13" s="18"/>
      <c r="F13" s="18"/>
      <c r="G13" s="18"/>
      <c r="H13" s="18"/>
      <c r="I13" s="18"/>
      <c r="J13" s="18"/>
      <c r="K13" s="18" t="s">
        <v>225</v>
      </c>
      <c r="L13" s="14" t="s">
        <v>729</v>
      </c>
      <c r="M13" s="18" t="s">
        <v>414</v>
      </c>
    </row>
    <row r="14" spans="1:22" x14ac:dyDescent="0.4">
      <c r="A14" s="125">
        <v>2033</v>
      </c>
      <c r="B14" s="18"/>
      <c r="C14" s="18"/>
      <c r="D14" s="18"/>
      <c r="E14" s="18"/>
      <c r="F14" s="18"/>
      <c r="G14" s="18"/>
      <c r="H14" s="18"/>
      <c r="I14" s="18"/>
      <c r="J14" s="18"/>
      <c r="K14" s="18" t="s">
        <v>226</v>
      </c>
      <c r="L14" s="14" t="s">
        <v>730</v>
      </c>
      <c r="M14" s="18" t="s">
        <v>416</v>
      </c>
    </row>
    <row r="15" spans="1:22" x14ac:dyDescent="0.4">
      <c r="A15" s="125">
        <v>2034</v>
      </c>
      <c r="B15" s="18"/>
      <c r="C15" s="18"/>
      <c r="D15" s="18"/>
      <c r="E15" s="18"/>
      <c r="F15" s="18"/>
      <c r="G15" s="18"/>
      <c r="H15" s="18"/>
      <c r="I15" s="18"/>
      <c r="J15" s="18"/>
      <c r="K15" s="18" t="s">
        <v>227</v>
      </c>
      <c r="L15" s="14" t="s">
        <v>731</v>
      </c>
      <c r="M15" s="18" t="s">
        <v>417</v>
      </c>
    </row>
    <row r="16" spans="1:22" x14ac:dyDescent="0.4">
      <c r="A16" s="125">
        <v>2035</v>
      </c>
      <c r="B16" s="18"/>
      <c r="C16" s="18"/>
      <c r="D16" s="18"/>
      <c r="E16" s="18"/>
      <c r="F16" s="18"/>
      <c r="G16" s="18"/>
      <c r="H16" s="18"/>
      <c r="I16" s="18"/>
      <c r="J16" s="18"/>
      <c r="K16" s="18" t="s">
        <v>228</v>
      </c>
      <c r="L16" s="14" t="s">
        <v>732</v>
      </c>
      <c r="M16" s="18" t="s">
        <v>410</v>
      </c>
    </row>
    <row r="17" spans="1:13" x14ac:dyDescent="0.4">
      <c r="A17" s="125">
        <v>2036</v>
      </c>
      <c r="B17" s="18"/>
      <c r="C17" s="18"/>
      <c r="D17" s="18"/>
      <c r="E17" s="18"/>
      <c r="F17" s="18"/>
      <c r="G17" s="18"/>
      <c r="H17" s="18"/>
      <c r="I17" s="18"/>
      <c r="J17" s="18"/>
      <c r="K17" s="18" t="s">
        <v>229</v>
      </c>
      <c r="L17" s="14" t="s">
        <v>733</v>
      </c>
      <c r="M17" s="18" t="s">
        <v>406</v>
      </c>
    </row>
    <row r="18" spans="1:13" x14ac:dyDescent="0.4">
      <c r="A18" s="125">
        <v>2037</v>
      </c>
      <c r="B18" s="18"/>
      <c r="C18" s="18"/>
      <c r="D18" s="18"/>
      <c r="E18" s="18"/>
      <c r="F18" s="18"/>
      <c r="G18" s="18"/>
      <c r="H18" s="18"/>
      <c r="I18" s="18"/>
      <c r="J18" s="18"/>
      <c r="K18" s="18" t="s">
        <v>230</v>
      </c>
      <c r="L18" s="14" t="s">
        <v>734</v>
      </c>
      <c r="M18" s="18" t="s">
        <v>418</v>
      </c>
    </row>
    <row r="19" spans="1:13" x14ac:dyDescent="0.4">
      <c r="A19" s="125">
        <v>2038</v>
      </c>
      <c r="B19" s="18"/>
      <c r="C19" s="18"/>
      <c r="D19" s="18"/>
      <c r="E19" s="18"/>
      <c r="F19" s="18"/>
      <c r="G19" s="18"/>
      <c r="H19" s="18"/>
      <c r="I19" s="18"/>
      <c r="J19" s="18"/>
      <c r="K19" s="18" t="s">
        <v>19</v>
      </c>
      <c r="L19" s="14" t="s">
        <v>735</v>
      </c>
      <c r="M19" s="18" t="s">
        <v>427</v>
      </c>
    </row>
    <row r="20" spans="1:13" x14ac:dyDescent="0.4">
      <c r="A20" s="125">
        <v>2039</v>
      </c>
      <c r="B20" s="18"/>
      <c r="C20" s="18"/>
      <c r="D20" s="18"/>
      <c r="E20" s="18"/>
      <c r="F20" s="18"/>
      <c r="G20" s="18"/>
      <c r="H20" s="18"/>
      <c r="I20" s="18"/>
      <c r="J20" s="18"/>
      <c r="K20" s="18" t="s">
        <v>231</v>
      </c>
      <c r="L20" s="14" t="s">
        <v>736</v>
      </c>
      <c r="M20" s="18" t="s">
        <v>433</v>
      </c>
    </row>
    <row r="21" spans="1:13" x14ac:dyDescent="0.4">
      <c r="A21" s="125">
        <v>2040</v>
      </c>
      <c r="B21" s="18"/>
      <c r="C21" s="18"/>
      <c r="D21" s="18"/>
      <c r="E21" s="18"/>
      <c r="F21" s="18"/>
      <c r="G21" s="18"/>
      <c r="H21" s="18"/>
      <c r="I21" s="18"/>
      <c r="J21" s="18"/>
      <c r="K21" s="18" t="s">
        <v>232</v>
      </c>
      <c r="L21" s="14" t="s">
        <v>737</v>
      </c>
      <c r="M21" s="18" t="s">
        <v>432</v>
      </c>
    </row>
    <row r="22" spans="1:13" x14ac:dyDescent="0.4">
      <c r="A22" s="125">
        <v>2041</v>
      </c>
      <c r="B22" s="18"/>
      <c r="C22" s="18"/>
      <c r="D22" s="18"/>
      <c r="E22" s="18"/>
      <c r="F22" s="18"/>
      <c r="G22" s="18"/>
      <c r="H22" s="18"/>
      <c r="I22" s="18"/>
      <c r="J22" s="18"/>
      <c r="K22" s="18" t="s">
        <v>233</v>
      </c>
      <c r="L22" s="14" t="s">
        <v>738</v>
      </c>
      <c r="M22" s="18" t="s">
        <v>446</v>
      </c>
    </row>
    <row r="23" spans="1:13" x14ac:dyDescent="0.4">
      <c r="A23" s="125">
        <v>2042</v>
      </c>
      <c r="B23" s="18"/>
      <c r="C23" s="18"/>
      <c r="D23" s="18"/>
      <c r="E23" s="18"/>
      <c r="F23" s="18"/>
      <c r="G23" s="18"/>
      <c r="H23" s="18"/>
      <c r="I23" s="18"/>
      <c r="J23" s="18"/>
      <c r="K23" s="18" t="s">
        <v>234</v>
      </c>
      <c r="L23" s="14" t="s">
        <v>739</v>
      </c>
      <c r="M23" s="18" t="s">
        <v>405</v>
      </c>
    </row>
    <row r="24" spans="1:13" x14ac:dyDescent="0.4">
      <c r="A24" s="125">
        <v>2043</v>
      </c>
      <c r="B24" s="18"/>
      <c r="C24" s="18"/>
      <c r="D24" s="18"/>
      <c r="E24" s="18"/>
      <c r="F24" s="18"/>
      <c r="G24" s="18"/>
      <c r="H24" s="18"/>
      <c r="I24" s="18"/>
      <c r="J24" s="18"/>
      <c r="K24" s="18" t="s">
        <v>235</v>
      </c>
      <c r="L24" s="14" t="s">
        <v>740</v>
      </c>
      <c r="M24" s="18" t="s">
        <v>330</v>
      </c>
    </row>
    <row r="25" spans="1:13" x14ac:dyDescent="0.4">
      <c r="A25" s="125">
        <v>2044</v>
      </c>
      <c r="B25" s="18"/>
      <c r="C25" s="18"/>
      <c r="D25" s="18"/>
      <c r="E25" s="18"/>
      <c r="F25" s="18"/>
      <c r="G25" s="18"/>
      <c r="H25" s="18"/>
      <c r="I25" s="18"/>
      <c r="J25" s="18"/>
      <c r="K25" s="18" t="s">
        <v>236</v>
      </c>
      <c r="L25" s="14" t="s">
        <v>741</v>
      </c>
      <c r="M25" s="18" t="s">
        <v>420</v>
      </c>
    </row>
    <row r="26" spans="1:13" x14ac:dyDescent="0.4">
      <c r="A26" s="125">
        <v>2045</v>
      </c>
      <c r="B26" s="18"/>
      <c r="C26" s="18"/>
      <c r="D26" s="18"/>
      <c r="E26" s="18"/>
      <c r="F26" s="18"/>
      <c r="G26" s="18"/>
      <c r="H26" s="18"/>
      <c r="I26" s="18"/>
      <c r="J26" s="18"/>
      <c r="K26" s="18" t="s">
        <v>237</v>
      </c>
      <c r="L26" s="14" t="s">
        <v>742</v>
      </c>
      <c r="M26" s="18" t="s">
        <v>422</v>
      </c>
    </row>
    <row r="27" spans="1:13" x14ac:dyDescent="0.4">
      <c r="A27" s="125">
        <v>2046</v>
      </c>
      <c r="B27" s="18"/>
      <c r="C27" s="18"/>
      <c r="D27" s="18"/>
      <c r="E27" s="18"/>
      <c r="F27" s="18"/>
      <c r="G27" s="18"/>
      <c r="H27" s="18"/>
      <c r="I27" s="18"/>
      <c r="J27" s="18"/>
      <c r="K27" s="18" t="s">
        <v>238</v>
      </c>
      <c r="L27" s="14" t="s">
        <v>743</v>
      </c>
      <c r="M27" s="18" t="s">
        <v>449</v>
      </c>
    </row>
    <row r="28" spans="1:13" x14ac:dyDescent="0.4">
      <c r="A28" s="125">
        <v>2047</v>
      </c>
      <c r="B28" s="18"/>
      <c r="C28" s="18"/>
      <c r="D28" s="18"/>
      <c r="E28" s="18"/>
      <c r="F28" s="18"/>
      <c r="G28" s="18"/>
      <c r="H28" s="18"/>
      <c r="I28" s="18"/>
      <c r="J28" s="18"/>
      <c r="K28" s="18" t="s">
        <v>239</v>
      </c>
      <c r="L28" s="14" t="s">
        <v>744</v>
      </c>
      <c r="M28" s="18" t="s">
        <v>429</v>
      </c>
    </row>
    <row r="29" spans="1:13" x14ac:dyDescent="0.4">
      <c r="A29" s="125">
        <v>2048</v>
      </c>
      <c r="B29" s="18"/>
      <c r="C29" s="18"/>
      <c r="D29" s="18"/>
      <c r="E29" s="18"/>
      <c r="F29" s="18"/>
      <c r="G29" s="18"/>
      <c r="H29" s="18"/>
      <c r="I29" s="18"/>
      <c r="J29" s="18"/>
      <c r="K29" s="18" t="s">
        <v>240</v>
      </c>
      <c r="L29" s="14" t="s">
        <v>745</v>
      </c>
      <c r="M29" s="18" t="s">
        <v>428</v>
      </c>
    </row>
    <row r="30" spans="1:13" x14ac:dyDescent="0.4">
      <c r="A30" s="125">
        <v>2049</v>
      </c>
      <c r="B30" s="18"/>
      <c r="C30" s="18"/>
      <c r="D30" s="18"/>
      <c r="E30" s="18"/>
      <c r="F30" s="18"/>
      <c r="G30" s="18"/>
      <c r="H30" s="18"/>
      <c r="I30" s="18"/>
      <c r="J30" s="18"/>
      <c r="K30" s="5" t="s">
        <v>241</v>
      </c>
      <c r="L30" s="5" t="s">
        <v>746</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570</v>
      </c>
      <c r="C9" s="4" t="s">
        <v>874</v>
      </c>
    </row>
    <row r="10" spans="2:3" x14ac:dyDescent="0.4">
      <c r="B10" t="s">
        <v>569</v>
      </c>
    </row>
    <row r="11" spans="2:3" x14ac:dyDescent="0.4">
      <c r="B11" t="s">
        <v>556</v>
      </c>
    </row>
    <row r="12" spans="2:3" x14ac:dyDescent="0.4">
      <c r="B12" t="s">
        <v>844</v>
      </c>
    </row>
    <row r="13" spans="2:3" x14ac:dyDescent="0.4">
      <c r="B13" t="s">
        <v>845</v>
      </c>
    </row>
    <row r="14" spans="2:3" x14ac:dyDescent="0.4">
      <c r="B14" t="s">
        <v>556</v>
      </c>
    </row>
    <row r="15" spans="2:3" x14ac:dyDescent="0.4">
      <c r="B15" t="s">
        <v>841</v>
      </c>
    </row>
    <row r="16" spans="2:3" x14ac:dyDescent="0.4">
      <c r="B16" t="s">
        <v>842</v>
      </c>
    </row>
    <row r="17" spans="2:9" x14ac:dyDescent="0.4">
      <c r="B17" t="s">
        <v>850</v>
      </c>
    </row>
    <row r="19" spans="2:9" x14ac:dyDescent="0.4">
      <c r="B19" t="s">
        <v>843</v>
      </c>
    </row>
    <row r="20" spans="2:9" x14ac:dyDescent="0.4">
      <c r="B20" t="s">
        <v>852</v>
      </c>
    </row>
    <row r="21" spans="2:9" x14ac:dyDescent="0.4">
      <c r="B21" t="s">
        <v>855</v>
      </c>
    </row>
    <row r="22" spans="2:9" x14ac:dyDescent="0.4">
      <c r="B22" t="s">
        <v>853</v>
      </c>
    </row>
    <row r="24" spans="2:9" x14ac:dyDescent="0.4">
      <c r="B24" t="s">
        <v>875</v>
      </c>
    </row>
    <row r="25" spans="2:9" x14ac:dyDescent="0.4">
      <c r="B25" t="s">
        <v>846</v>
      </c>
      <c r="I25" s="36" t="s">
        <v>589</v>
      </c>
    </row>
    <row r="26" spans="2:9" x14ac:dyDescent="0.4">
      <c r="B26" s="2" t="s">
        <v>557</v>
      </c>
    </row>
    <row r="27" spans="2:9" x14ac:dyDescent="0.4">
      <c r="B27" s="2" t="s">
        <v>558</v>
      </c>
    </row>
    <row r="28" spans="2:9" x14ac:dyDescent="0.4">
      <c r="B28" s="2" t="s">
        <v>559</v>
      </c>
    </row>
    <row r="29" spans="2:9" x14ac:dyDescent="0.4">
      <c r="B29" s="2" t="s">
        <v>560</v>
      </c>
    </row>
    <row r="30" spans="2:9" x14ac:dyDescent="0.4">
      <c r="B30" t="s">
        <v>864</v>
      </c>
    </row>
    <row r="31" spans="2:9" x14ac:dyDescent="0.4">
      <c r="B31" t="s">
        <v>847</v>
      </c>
    </row>
    <row r="33" spans="2:2" x14ac:dyDescent="0.4">
      <c r="B33" t="s">
        <v>876</v>
      </c>
    </row>
    <row r="34" spans="2:2" x14ac:dyDescent="0.4">
      <c r="B34" t="s">
        <v>863</v>
      </c>
    </row>
    <row r="35" spans="2:2" x14ac:dyDescent="0.4">
      <c r="B35" t="s">
        <v>862</v>
      </c>
    </row>
    <row r="36" spans="2:2" x14ac:dyDescent="0.4">
      <c r="B36" t="s">
        <v>861</v>
      </c>
    </row>
    <row r="38" spans="2:2" x14ac:dyDescent="0.4">
      <c r="B38" t="s">
        <v>877</v>
      </c>
    </row>
    <row r="39" spans="2:2" x14ac:dyDescent="0.4">
      <c r="B39" t="s">
        <v>848</v>
      </c>
    </row>
    <row r="40" spans="2:2" x14ac:dyDescent="0.4">
      <c r="B40" s="2" t="s">
        <v>561</v>
      </c>
    </row>
    <row r="41" spans="2:2" x14ac:dyDescent="0.4">
      <c r="B41" s="2" t="s">
        <v>591</v>
      </c>
    </row>
    <row r="42" spans="2:2" x14ac:dyDescent="0.4">
      <c r="B42" s="2" t="s">
        <v>562</v>
      </c>
    </row>
    <row r="43" spans="2:2" x14ac:dyDescent="0.4">
      <c r="B43" t="s">
        <v>856</v>
      </c>
    </row>
    <row r="44" spans="2:2" x14ac:dyDescent="0.4">
      <c r="B44" t="s">
        <v>857</v>
      </c>
    </row>
    <row r="45" spans="2:2" x14ac:dyDescent="0.4">
      <c r="B45" t="s">
        <v>858</v>
      </c>
    </row>
    <row r="46" spans="2:2" x14ac:dyDescent="0.4">
      <c r="B46" t="s">
        <v>859</v>
      </c>
    </row>
    <row r="47" spans="2:2" x14ac:dyDescent="0.4">
      <c r="B47" t="s">
        <v>860</v>
      </c>
    </row>
    <row r="49" spans="2:2" x14ac:dyDescent="0.4">
      <c r="B49" t="s">
        <v>556</v>
      </c>
    </row>
    <row r="50" spans="2:2" x14ac:dyDescent="0.4">
      <c r="B50" t="s">
        <v>840</v>
      </c>
    </row>
    <row r="51" spans="2:2" x14ac:dyDescent="0.4">
      <c r="B51" t="s">
        <v>849</v>
      </c>
    </row>
    <row r="52" spans="2:2" x14ac:dyDescent="0.4">
      <c r="B52" t="s">
        <v>556</v>
      </c>
    </row>
    <row r="53" spans="2:2" x14ac:dyDescent="0.4">
      <c r="B53" t="s">
        <v>841</v>
      </c>
    </row>
    <row r="54" spans="2:2" x14ac:dyDescent="0.4">
      <c r="B54" t="s">
        <v>842</v>
      </c>
    </row>
    <row r="55" spans="2:2" x14ac:dyDescent="0.4">
      <c r="B55" t="s">
        <v>850</v>
      </c>
    </row>
    <row r="57" spans="2:2" x14ac:dyDescent="0.4">
      <c r="B57" t="s">
        <v>843</v>
      </c>
    </row>
    <row r="58" spans="2:2" x14ac:dyDescent="0.4">
      <c r="B58" t="s">
        <v>852</v>
      </c>
    </row>
    <row r="59" spans="2:2" x14ac:dyDescent="0.4">
      <c r="B59" t="s">
        <v>855</v>
      </c>
    </row>
    <row r="60" spans="2:2" x14ac:dyDescent="0.4">
      <c r="B60" t="s">
        <v>853</v>
      </c>
    </row>
    <row r="62" spans="2:2" x14ac:dyDescent="0.4">
      <c r="B62" t="s">
        <v>878</v>
      </c>
    </row>
    <row r="63" spans="2:2" x14ac:dyDescent="0.4">
      <c r="B63" t="s">
        <v>851</v>
      </c>
    </row>
    <row r="64" spans="2:2" x14ac:dyDescent="0.4">
      <c r="B64" t="s">
        <v>854</v>
      </c>
    </row>
    <row r="66" spans="2:2" x14ac:dyDescent="0.4">
      <c r="B66" t="s">
        <v>879</v>
      </c>
    </row>
    <row r="67" spans="2:2" x14ac:dyDescent="0.4">
      <c r="B67" t="s">
        <v>865</v>
      </c>
    </row>
    <row r="68" spans="2:2" x14ac:dyDescent="0.4">
      <c r="B68" s="2" t="s">
        <v>561</v>
      </c>
    </row>
    <row r="69" spans="2:2" x14ac:dyDescent="0.4">
      <c r="B69" s="2" t="s">
        <v>591</v>
      </c>
    </row>
    <row r="70" spans="2:2" x14ac:dyDescent="0.4">
      <c r="B70" s="2" t="s">
        <v>562</v>
      </c>
    </row>
    <row r="71" spans="2:2" x14ac:dyDescent="0.4">
      <c r="B71" t="s">
        <v>856</v>
      </c>
    </row>
    <row r="72" spans="2:2" x14ac:dyDescent="0.4">
      <c r="B72" t="s">
        <v>866</v>
      </c>
    </row>
    <row r="73" spans="2:2" x14ac:dyDescent="0.4">
      <c r="B73" t="s">
        <v>858</v>
      </c>
    </row>
    <row r="74" spans="2:2" x14ac:dyDescent="0.4">
      <c r="B74" t="s">
        <v>859</v>
      </c>
    </row>
    <row r="75" spans="2:2" x14ac:dyDescent="0.4">
      <c r="B75" t="s">
        <v>867</v>
      </c>
    </row>
    <row r="77" spans="2:2" x14ac:dyDescent="0.4">
      <c r="B77" t="s">
        <v>563</v>
      </c>
    </row>
    <row r="78" spans="2:2" x14ac:dyDescent="0.4">
      <c r="B78" t="s">
        <v>564</v>
      </c>
    </row>
    <row r="79" spans="2:2" x14ac:dyDescent="0.4">
      <c r="B79" t="s">
        <v>592</v>
      </c>
    </row>
    <row r="80" spans="2:2" x14ac:dyDescent="0.4">
      <c r="B80" t="s">
        <v>868</v>
      </c>
    </row>
    <row r="81" spans="2:2" x14ac:dyDescent="0.4">
      <c r="B81" t="s">
        <v>869</v>
      </c>
    </row>
    <row r="82" spans="2:2" x14ac:dyDescent="0.4">
      <c r="B82" t="s">
        <v>565</v>
      </c>
    </row>
    <row r="84" spans="2:2" x14ac:dyDescent="0.4">
      <c r="B84" t="s">
        <v>566</v>
      </c>
    </row>
    <row r="85" spans="2:2" x14ac:dyDescent="0.4">
      <c r="B85" t="s">
        <v>567</v>
      </c>
    </row>
    <row r="86" spans="2:2" x14ac:dyDescent="0.4">
      <c r="B86" t="s">
        <v>568</v>
      </c>
    </row>
    <row r="88" spans="2:2" x14ac:dyDescent="0.4">
      <c r="B88" t="s">
        <v>880</v>
      </c>
    </row>
    <row r="89" spans="2:2" x14ac:dyDescent="0.4">
      <c r="B89" t="s">
        <v>590</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2026-06-15T06:26:07Z</dcterms:modified>
</cp:coreProperties>
</file>