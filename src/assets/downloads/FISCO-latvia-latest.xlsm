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911" documentId="8_{ECBC098F-4CB9-4AE2-AAB4-4423E0D2AECF}" xr6:coauthVersionLast="47" xr6:coauthVersionMax="47" xr10:uidLastSave="{B7733AA2-E64C-479E-A4A7-2DC43420ADB5}"/>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 i="65" l="1" a="1"/>
  <c r="G54" i="65"/>
  <c r="H54" i="65" a="1"/>
  <c r="H54" i="65"/>
  <c r="I54" i="65" a="1"/>
  <c r="I54" i="65"/>
  <c r="J54" i="65" a="1"/>
  <c r="J54" i="65"/>
  <c r="K54" i="65" a="1"/>
  <c r="K54" i="65"/>
  <c r="L54" i="65" a="1"/>
  <c r="L54" i="65"/>
  <c r="M54" i="65" a="1"/>
  <c r="M54" i="65"/>
  <c r="N54" i="65" a="1"/>
  <c r="N54" i="65"/>
  <c r="O54" i="65" a="1"/>
  <c r="O54" i="65"/>
  <c r="P54" i="65" a="1"/>
  <c r="P54" i="65"/>
  <c r="Q54" i="65" a="1"/>
  <c r="Q54" i="65"/>
  <c r="R54" i="65" a="1"/>
  <c r="R54" i="65"/>
  <c r="S54" i="65" a="1"/>
  <c r="S54" i="65"/>
  <c r="T54" i="65" a="1"/>
  <c r="T54" i="65"/>
  <c r="U54" i="65" a="1"/>
  <c r="U54" i="65"/>
  <c r="V54" i="65" a="1"/>
  <c r="V54" i="65"/>
  <c r="W54" i="65" a="1"/>
  <c r="W54" i="65"/>
  <c r="F54" i="65" a="1"/>
  <c r="F54" i="65" s="1"/>
  <c r="E9" i="17" a="1"/>
  <c r="E9" i="17" s="1"/>
  <c r="E8" i="17" a="1"/>
  <c r="E8" i="17" s="1"/>
  <c r="E14" i="17" a="1"/>
  <c r="E14" i="17" s="1"/>
  <c r="E13" i="17" a="1"/>
  <c r="E13" i="17" s="1"/>
  <c r="E11" i="17" a="1"/>
  <c r="E11" i="17" s="1"/>
  <c r="D12" i="2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30" i="64"/>
  <c r="B131" i="64"/>
  <c r="B43" i="76" s="1"/>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2" i="64" l="1"/>
  <c r="D103" i="64" a="1"/>
  <c r="D103" i="64" s="1"/>
  <c r="V4" i="17"/>
  <c r="D44" i="75"/>
  <c r="C216" i="64"/>
  <c r="B1" i="21"/>
  <c r="B3" i="76"/>
  <c r="B4" i="21"/>
  <c r="E5" i="69"/>
  <c r="C209" i="64"/>
  <c r="C210" i="64" s="1"/>
  <c r="B192" i="64"/>
  <c r="C211" i="64" l="1"/>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5" i="17" l="1"/>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3" i="64"/>
  <c r="G143" i="64"/>
  <c r="E143" i="64"/>
  <c r="B1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Y149" i="17"/>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8" i="64"/>
  <c r="C296" i="64"/>
  <c r="C297" i="64"/>
  <c r="C295" i="64"/>
  <c r="B33" i="75"/>
  <c r="B59" i="75"/>
  <c r="B74" i="64" s="1"/>
  <c r="B54" i="75"/>
  <c r="B69" i="64" l="1"/>
  <c r="B48" i="64"/>
  <c r="D18" i="74"/>
  <c r="B7" i="76" a="1"/>
  <c r="B7" i="76" s="1"/>
  <c r="K172" i="64"/>
  <c r="B6" i="76"/>
  <c r="B4" i="76"/>
  <c r="B1" i="76"/>
  <c r="Q10" i="47"/>
  <c r="Q6" i="47"/>
  <c r="Q5" i="47"/>
  <c r="Q3" i="47"/>
  <c r="Q2" i="47"/>
  <c r="V5" i="17" s="1" a="1"/>
  <c r="V5" i="17" s="1"/>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B6" i="21" l="1"/>
  <c r="D20" i="76" a="1"/>
  <c r="D20" i="76" s="1"/>
  <c r="D18" i="76" a="1"/>
  <c r="D18" i="76" s="1"/>
  <c r="B243" i="64"/>
  <c r="B244" i="64"/>
  <c r="E11" i="21"/>
  <c r="D11" i="21" s="1"/>
  <c r="E81" i="75" a="1"/>
  <c r="E139" i="75" a="1"/>
  <c r="E139" i="75" s="1"/>
  <c r="D7" i="74" a="1"/>
  <c r="D7" i="74" s="1"/>
  <c r="Q4" i="47"/>
  <c r="E34" i="74" a="1"/>
  <c r="E92" i="74" a="1"/>
  <c r="E92" i="74" s="1"/>
  <c r="D14" i="75" a="1"/>
  <c r="D14" i="75" s="1"/>
  <c r="D49" i="75" a="1"/>
  <c r="D49" i="75" s="1"/>
  <c r="D15" i="75" a="1"/>
  <c r="D15" i="75" s="1"/>
  <c r="D32" i="75" a="1"/>
  <c r="D32" i="75" s="1"/>
  <c r="B10" i="15" a="1"/>
  <c r="D4" i="64"/>
  <c r="F59" i="65"/>
  <c r="U111" i="65"/>
  <c r="V111" i="65"/>
  <c r="W111" i="65"/>
  <c r="E212" i="75" l="1"/>
  <c r="B64" i="75"/>
  <c r="B79" i="64" s="1"/>
  <c r="E81" i="75"/>
  <c r="E177" i="75" s="1" a="1"/>
  <c r="E177" i="75" s="1"/>
  <c r="H25" i="74"/>
  <c r="I24" i="74"/>
  <c r="I27" i="74"/>
  <c r="I25" i="74"/>
  <c r="I28" i="74"/>
  <c r="H24" i="74"/>
  <c r="H27" i="74"/>
  <c r="I26" i="74"/>
  <c r="H28" i="74"/>
  <c r="H26" i="74"/>
  <c r="E34" i="74"/>
  <c r="B10" i="15"/>
  <c r="B11" i="15" s="1" a="1"/>
  <c r="B11" i="15" s="1"/>
  <c r="E4" i="17" a="1"/>
  <c r="D157" i="17" a="1"/>
  <c r="D157" i="17" s="1"/>
  <c r="D103" i="17" a="1"/>
  <c r="D33" i="17" a="1"/>
  <c r="D33" i="17" s="1"/>
  <c r="E144" i="75" l="1"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D104" i="17" l="1" a="1"/>
  <c r="D104" i="17" s="1"/>
  <c r="K145" i="17"/>
  <c r="L201" i="17"/>
  <c r="J205" i="17"/>
  <c r="J150" i="17" s="1"/>
  <c r="J120" i="17"/>
  <c r="E25" i="17" a="1"/>
  <c r="E22" i="17" a="1"/>
  <c r="E24" i="17" a="1"/>
  <c r="E23" i="17" a="1"/>
  <c r="E26" i="17" a="1"/>
  <c r="J185" i="17"/>
  <c r="H185" i="17"/>
  <c r="I185" i="17"/>
  <c r="G185" i="17"/>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2" i="64"/>
  <c r="F142" i="64"/>
  <c r="E142"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E23" i="74"/>
  <c r="E21" i="64"/>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F23" i="74" l="1"/>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30" i="64" s="1"/>
  <c r="E126" i="64"/>
  <c r="G127" i="64"/>
  <c r="G131" i="64" s="1"/>
  <c r="G126" i="64"/>
  <c r="F127" i="64"/>
  <c r="F131" i="64" s="1"/>
  <c r="F126" i="64"/>
  <c r="F112" i="64"/>
  <c r="D5" i="64" a="1"/>
  <c r="D5" i="64" s="1"/>
  <c r="C185" i="64" a="1"/>
  <c r="C185" i="64" s="1"/>
  <c r="C184" i="64" a="1"/>
  <c r="C184"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44" i="65" l="1"/>
  <c r="G43" i="76"/>
  <c r="G130" i="64"/>
  <c r="F43" i="76"/>
  <c r="F130" i="64"/>
  <c r="F128" i="64"/>
  <c r="F129" i="64" s="1"/>
  <c r="G128" i="64"/>
  <c r="G114" i="64"/>
  <c r="G30" i="76"/>
  <c r="E112" i="64"/>
  <c r="D29" i="76"/>
  <c r="F114" i="64"/>
  <c r="F30" i="76"/>
  <c r="F19" i="21"/>
  <c r="D127" i="64"/>
  <c r="D126" i="64"/>
  <c r="E128" i="64" s="1"/>
  <c r="E129"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F135"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G19" i="65"/>
  <c r="G18" i="65"/>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5" i="64" s="1"/>
  <c r="G136" i="64"/>
  <c r="E36" i="76"/>
  <c r="E133" i="64"/>
  <c r="E119" i="64"/>
  <c r="E122" i="64"/>
  <c r="E125" i="64"/>
  <c r="E132" i="64" s="1"/>
  <c r="H19" i="65"/>
  <c r="H18" i="65"/>
  <c r="D170" i="64" a="1"/>
  <c r="D169" i="64" a="1"/>
  <c r="J172" i="64" s="1"/>
  <c r="R109" i="65"/>
  <c r="P109" i="65"/>
  <c r="G109" i="65"/>
  <c r="Q109" i="65"/>
  <c r="O109" i="65"/>
  <c r="E109" i="65"/>
  <c r="T109" i="65"/>
  <c r="N109" i="65"/>
  <c r="I109" i="65"/>
  <c r="M109" i="65"/>
  <c r="J109" i="65"/>
  <c r="F109" i="65"/>
  <c r="S109" i="65"/>
  <c r="L109" i="65"/>
  <c r="K109" i="65"/>
  <c r="F139" i="64" l="1"/>
  <c r="F44" i="76" s="1"/>
  <c r="E40" i="76"/>
  <c r="C153" i="64" a="1"/>
  <c r="C153" i="64" s="1"/>
  <c r="E123" i="64"/>
  <c r="E37" i="76"/>
  <c r="F119" i="64"/>
  <c r="E136" i="64"/>
  <c r="E134" i="64"/>
  <c r="E135" i="64" s="1"/>
  <c r="F21" i="65"/>
  <c r="I21" i="65"/>
  <c r="J21" i="65"/>
  <c r="H172" i="64"/>
  <c r="I172" i="64"/>
  <c r="D169" i="64"/>
  <c r="D172" i="64" s="1"/>
  <c r="G172" i="64"/>
  <c r="E172" i="64"/>
  <c r="F172" i="64"/>
  <c r="D170" i="64"/>
  <c r="E171" i="64" s="1" a="1"/>
  <c r="E171" i="64" s="1"/>
  <c r="F145" i="64" l="1"/>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G139" i="64"/>
  <c r="G44" i="76" s="1"/>
  <c r="E139" i="64"/>
  <c r="E44" i="76" s="1"/>
  <c r="E138" i="64"/>
  <c r="E140" i="64" s="1"/>
  <c r="G37" i="76"/>
  <c r="G123" i="64"/>
  <c r="F45" i="76" l="1"/>
  <c r="G41" i="76"/>
  <c r="G141" i="64"/>
  <c r="F138" i="64"/>
  <c r="C150" i="64"/>
  <c r="C148" i="64"/>
  <c r="G145" i="64"/>
  <c r="E4" i="69"/>
  <c r="G45" i="76" l="1"/>
  <c r="F140" i="64"/>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W47" i="64"/>
  <c r="V47" i="64"/>
  <c r="W64" i="64"/>
  <c r="U47" i="64"/>
  <c r="D63" i="64" a="1"/>
  <c r="B242" i="64"/>
  <c r="C229" i="64"/>
  <c r="D318" i="64" a="1"/>
  <c r="D46" i="64" a="1"/>
  <c r="T47" i="64" s="1"/>
  <c r="B342" i="64"/>
  <c r="B341" i="64"/>
  <c r="D282" i="64" a="1"/>
  <c r="D283" i="64" s="1" a="1"/>
  <c r="E2" i="65" a="1"/>
  <c r="C15" i="76" l="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2" i="64" a="1"/>
  <c r="C152" i="64" s="1"/>
  <c r="G146" i="64"/>
  <c r="C149" i="64"/>
  <c r="C155" i="64" a="1"/>
  <c r="C155" i="64" s="1"/>
  <c r="C154" i="64" a="1"/>
  <c r="C154"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E62" i="65" l="1" a="1"/>
  <c r="E62" i="65" s="1"/>
  <c r="E63" i="65" a="1"/>
  <c r="E63" i="65" s="1"/>
  <c r="C157" i="64"/>
  <c r="E11" i="76" s="1"/>
  <c r="D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5" i="76" l="1"/>
  <c r="E15" i="76" s="1"/>
  <c r="C11" i="76"/>
  <c r="E64" i="65"/>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 ref="D189" authorId="0" shapeId="0" xr:uid="{99F02C27-DA52-4A8F-8EDB-32D864062506}">
      <text>
        <r>
          <rPr>
            <b/>
            <sz val="9"/>
            <color indexed="81"/>
            <rFont val="Tahoma"/>
            <family val="2"/>
          </rPr>
          <t>Scott Cameron:</t>
        </r>
        <r>
          <rPr>
            <sz val="9"/>
            <color indexed="81"/>
            <rFont val="Tahoma"/>
            <family val="2"/>
          </rPr>
          <t xml:space="preserve">
Not sure why this enters with opposite sign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<sst xmlns="http://schemas.openxmlformats.org/spreadsheetml/2006/main" count="2149" uniqueCount="1002">
  <si>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</si>
  <si>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</si>
  <si>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</si>
  <si>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</si>
  <si>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</si>
  <si>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</si>
  <si>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</si>
  <si>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</si>
  <si>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</si>
  <si>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</si>
  <si>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</si>
  <si>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</si>
  <si>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</si>
  <si>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</si>
  <si>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</si>
  <si>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</si>
  <si>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</si>
  <si>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</si>
  <si>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</si>
  <si>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</si>
  <si>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</si>
  <si>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</si>
  <si>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</si>
  <si>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</si>
  <si>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</si>
  <si>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</si>
  <si>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</si>
  <si>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</si>
  <si>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</si>
  <si>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</si>
  <si>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</si>
  <si>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</si>
  <si>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</si>
  <si>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</si>
  <si>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</si>
  <si>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</si>
  <si>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</si>
  <si>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</si>
  <si>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</si>
  <si>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</si>
  <si>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</si>
  <si>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</si>
  <si>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</si>
  <si>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</si>
  <si>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</si>
  <si>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</si>
  <si>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</si>
  <si>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</si>
  <si>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</si>
  <si>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</si>
  <si>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</si>
  <si>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</si>
  <si>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</si>
  <si>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</si>
  <si>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</si>
  <si>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</si>
  <si>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</si>
  <si>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</si>
  <si>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</si>
  <si>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</si>
  <si>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</si>
  <si>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</si>
  <si>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</si>
  <si>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</si>
  <si>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</si>
  <si>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</si>
  <si>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</si>
  <si>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</si>
  <si>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</si>
  <si>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</si>
  <si>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</si>
  <si>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</si>
  <si>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</si>
  <si>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</si>
  <si>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</si>
  <si>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</si>
  <si>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</si>
  <si>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</si>
  <si>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</si>
  <si>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</si>
  <si>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</si>
  <si>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</si>
  <si>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</si>
  <si>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</si>
  <si>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</si>
  <si>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</si>
  <si>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</si>
  <si>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</si>
  <si>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</si>
  <si>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</si>
  <si>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</si>
  <si>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</si>
  <si>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</si>
  <si>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</si>
  <si>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</si>
  <si>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</si>
  <si>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</si>
  <si>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</si>
  <si>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</si>
  <si>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</si>
  <si>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</si>
  <si>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</si>
  <si>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</si>
  <si>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</si>
  <si>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</si>
  <si>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</si>
  <si>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</si>
  <si>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</si>
  <si>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</si>
  <si>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</si>
  <si>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</si>
  <si>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</si>
  <si>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</si>
  <si>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</si>
  <si>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</si>
  <si>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</si>
  <si>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</si>
  <si>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</si>
  <si>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</si>
  <si>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</si>
  <si>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</si>
  <si>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</si>
  <si>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</si>
  <si>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</si>
  <si>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</si>
  <si>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</si>
  <si>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</si>
  <si>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</si>
  <si>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</si>
  <si>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</si>
  <si>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</si>
  <si>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</si>
  <si>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</si>
  <si>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</si>
  <si>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</si>
  <si>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</si>
  <si>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</si>
  <si>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</si>
  <si>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</si>
  <si>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</si>
  <si>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</si>
  <si>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</si>
  <si>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</si>
  <si>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</si>
  <si>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</si>
  <si>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</si>
  <si>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</si>
  <si>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</si>
  <si>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</si>
  <si>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</si>
  <si>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</si>
  <si>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</si>
  <si>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</si>
  <si>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</si>
  <si>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</si>
  <si>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</si>
  <si>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</si>
  <si>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</si>
  <si>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</si>
  <si>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</si>
  <si>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</si>
  <si>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</si>
  <si>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</si>
  <si>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</si>
  <si>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</si>
  <si>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</si>
  <si>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</si>
  <si>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</si>
  <si>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</si>
  <si>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</si>
  <si>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</si>
  <si>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</si>
  <si>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</si>
  <si>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</si>
  <si>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</si>
  <si>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</si>
  <si>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</si>
  <si>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</si>
  <si>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</si>
  <si>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</si>
  <si>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</si>
  <si>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</si>
  <si>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</si>
  <si>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</si>
  <si>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</si>
  <si>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</si>
  <si>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</si>
  <si>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</si>
  <si>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</si>
  <si>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</si>
  <si>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</si>
  <si>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</si>
  <si>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</si>
  <si>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</si>
  <si>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</si>
  <si>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</si>
  <si>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</si>
  <si>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</si>
  <si>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</si>
  <si>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</si>
  <si>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</si>
  <si>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</si>
  <si>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</si>
  <si>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</si>
  <si>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</si>
  <si>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</si>
  <si>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</si>
  <si>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</si>
  <si>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</si>
  <si>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</si>
  <si>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</si>
  <si>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</si>
  <si>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</si>
  <si>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</si>
  <si>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</si>
  <si>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</si>
  <si>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</si>
  <si>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</si>
  <si>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</si>
  <si>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</si>
  <si>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</si>
  <si>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</si>
  <si>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</si>
  <si>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</si>
  <si>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</si>
  <si>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</si>
  <si>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</si>
  <si>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</si>
  <si>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</si>
  <si>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</si>
  <si>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</si>
  <si>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</si>
  <si>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</si>
  <si>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</si>
  <si>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</si>
  <si>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</si>
  <si>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</si>
  <si>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</si>
  <si>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</si>
  <si>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</si>
  <si>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</si>
  <si>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</si>
  <si>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</si>
  <si>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</si>
  <si>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</si>
  <si>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</si>
  <si>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</si>
  <si>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</si>
  <si>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</si>
  <si>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</si>
  <si>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</si>
  <si>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</si>
  <si>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</si>
  <si>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</si>
  <si>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</si>
  <si>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</si>
  <si>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</si>
  <si>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</si>
  <si>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</si>
  <si>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</si>
  <si>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</si>
  <si>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</si>
  <si>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</si>
  <si>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</si>
  <si>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</si>
  <si>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</si>
  <si>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</si>
  <si>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</si>
  <si>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</si>
  <si>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</si>
  <si>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</si>
  <si>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</si>
  <si>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</si>
  <si>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</si>
  <si>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</si>
  <si>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</si>
  <si>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</si>
  <si>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</si>
  <si>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</si>
  <si>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</si>
  <si>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</si>
  <si>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</si>
  <si>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</si>
  <si>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</si>
  <si>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</si>
  <si>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</si>
  <si>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</si>
  <si>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</si>
  <si>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</si>
  <si>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</si>
  <si>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</si>
  <si>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</si>
  <si>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</si>
  <si>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</si>
  <si>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</si>
  <si>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</si>
  <si>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</si>
  <si>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</si>
  <si>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</si>
  <si>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</si>
  <si>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</si>
  <si>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</si>
  <si>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</si>
  <si>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</si>
  <si>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</si>
  <si>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</si>
  <si>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</si>
  <si>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</si>
  <si>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</si>
  <si>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</si>
  <si>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</si>
  <si>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</si>
  <si>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</si>
  <si>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</si>
  <si>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</si>
  <si>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</si>
  <si>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</si>
  <si>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</si>
  <si>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</si>
  <si>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</si>
  <si>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</si>
  <si>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</si>
  <si>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</si>
  <si>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</si>
  <si>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</si>
  <si>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</si>
  <si>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</si>
  <si>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</si>
  <si>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</si>
  <si>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</si>
  <si>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</si>
  <si>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</si>
  <si>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</si>
  <si>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</si>
  <si>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</si>
  <si>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</si>
  <si>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</si>
  <si>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</si>
  <si>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</si>
  <si>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</si>
  <si>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</si>
  <si>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</si>
  <si>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</si>
  <si>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</si>
  <si>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</si>
  <si>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</si>
  <si>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</si>
  <si>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</si>
  <si>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</si>
  <si>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</si>
  <si>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</si>
  <si>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</si>
  <si>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</si>
  <si>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</si>
  <si>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</si>
  <si>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</si>
  <si>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</si>
  <si>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</si>
  <si>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</si>
  <si>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</si>
  <si>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</si>
  <si>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</si>
  <si>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</si>
  <si>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</si>
  <si>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</si>
  <si>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</si>
  <si>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</si>
  <si>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</si>
  <si>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</si>
  <si>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</si>
  <si>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</si>
  <si>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</si>
  <si>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</si>
  <si>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</si>
  <si>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</si>
  <si>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</si>
  <si>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</si>
  <si>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</si>
  <si>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</si>
  <si>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</si>
  <si>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</si>
  <si>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</si>
  <si>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</si>
  <si>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</si>
  <si>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</si>
  <si>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</si>
  <si>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</si>
  <si>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</si>
  <si>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</si>
  <si>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</si>
  <si>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</si>
  <si>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</si>
  <si>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</si>
  <si>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</si>
  <si>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</si>
  <si>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</si>
  <si>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</si>
  <si>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</si>
  <si>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</si>
  <si>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</si>
  <si>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</si>
  <si>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</si>
  <si>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</si>
  <si>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</si>
  <si>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</si>
  <si>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</si>
  <si>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</si>
  <si>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</si>
  <si>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</si>
  <si>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</si>
  <si>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</si>
  <si>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</si>
  <si>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</si>
  <si>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</si>
  <si>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</si>
  <si>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</si>
  <si>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</si>
  <si>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</si>
  <si>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</si>
  <si>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</si>
  <si>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</si>
  <si>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</si>
  <si>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</si>
  <si>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</si>
  <si>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</si>
  <si>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</si>
  <si>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</si>
  <si>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</si>
  <si>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</si>
  <si>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</si>
  <si>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</si>
  <si>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</si>
  <si>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</si>
  <si>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</si>
  <si>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</si>
  <si>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</si>
  <si>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</si>
  <si>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</si>
  <si>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</si>
  <si>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</si>
  <si>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</si>
  <si>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</si>
  <si>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</si>
  <si>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</si>
  <si>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</si>
  <si>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</si>
  <si>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</si>
  <si>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</si>
  <si>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</si>
  <si>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</si>
  <si>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</si>
  <si>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</si>
  <si>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</si>
  <si>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</si>
  <si>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</si>
  <si>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</si>
  <si>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</si>
  <si>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</si>
  <si>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</si>
  <si>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</si>
  <si>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</si>
  <si>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</si>
  <si>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</si>
  <si>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</si>
  <si>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</si>
  <si>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</si>
  <si>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</si>
  <si>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</si>
  <si>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</si>
  <si>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</si>
  <si>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</si>
  <si>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</si>
  <si>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</si>
  <si>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</si>
  <si>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</si>
  <si>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</si>
  <si>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</si>
  <si>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</si>
  <si>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</si>
  <si>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</si>
  <si>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</si>
  <si>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</si>
  <si>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</si>
  <si>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</si>
  <si>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</si>
  <si>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</si>
  <si>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</si>
  <si>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</si>
  <si>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</si>
  <si>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</si>
  <si>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</si>
  <si>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</si>
  <si>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</si>
  <si>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</si>
  <si>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</si>
  <si>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</si>
  <si>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</si>
  <si>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</si>
  <si>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</si>
  <si>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</si>
  <si>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</si>
  <si>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</si>
  <si>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</si>
  <si>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</si>
  <si>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</si>
  <si>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</si>
  <si>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</si>
  <si>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</si>
  <si>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</si>
  <si>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</si>
  <si>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</si>
  <si>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</si>
  <si>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</si>
  <si>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</si>
  <si>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</si>
  <si>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</si>
  <si>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</si>
  <si>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</si>
  <si>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</si>
  <si>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</si>
  <si>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</si>
  <si>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</si>
  <si>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</si>
  <si>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</si>
  <si>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</si>
  <si>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</si>
  <si>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</si>
  <si>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</si>
  <si>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</si>
  <si>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</si>
  <si>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</si>
  <si>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</si>
  <si>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</si>
  <si>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</si>
  <si>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</si>
  <si>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</si>
  <si>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</si>
  <si>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</si>
  <si>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</si>
  <si>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</si>
  <si>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</si>
  <si>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</si>
  <si>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</si>
  <si>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</si>
  <si>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</si>
  <si>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</si>
  <si>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</si>
  <si>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</si>
  <si>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</si>
  <si>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</si>
  <si>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</si>
  <si>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</si>
  <si>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</si>
  <si>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</si>
  <si>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</si>
  <si>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</si>
  <si>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</si>
  <si>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</si>
  <si>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</si>
  <si>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</si>
  <si>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</si>
  <si>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</si>
  <si>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</si>
  <si>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</si>
  <si>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</si>
  <si>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</si>
  <si>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</si>
  <si>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</si>
  <si>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</si>
  <si>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</si>
  <si>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</si>
  <si>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</si>
  <si>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</si>
  <si>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</si>
  <si>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</si>
  <si>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</si>
  <si>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</si>
  <si>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</si>
  <si>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</si>
  <si>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</si>
  <si>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</si>
  <si>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</si>
  <si>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</si>
  <si>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</si>
  <si>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</si>
  <si>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</si>
  <si>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</si>
  <si>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</si>
  <si>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</si>
  <si>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</si>
  <si>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</si>
  <si>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</si>
  <si>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</si>
  <si>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</si>
  <si>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</si>
  <si>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</si>
  <si>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</si>
  <si>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</si>
  <si>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</si>
  <si>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</si>
  <si>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</si>
  <si>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</si>
  <si>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</si>
  <si>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</si>
  <si>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</si>
  <si>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</si>
  <si>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</si>
  <si>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</si>
  <si>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</si>
  <si>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</si>
  <si>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</si>
  <si>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</si>
  <si>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</si>
  <si>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</si>
  <si>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</si>
  <si>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</si>
  <si>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</si>
  <si>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</si>
  <si>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</si>
  <si>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</si>
  <si>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</si>
  <si>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</si>
  <si>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</si>
  <si>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</si>
  <si>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</si>
  <si>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</si>
  <si>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</si>
  <si>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</si>
  <si>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</si>
  <si>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</si>
  <si>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</si>
  <si>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</si>
  <si>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</si>
  <si>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</si>
  <si>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</si>
  <si>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</si>
  <si>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</si>
  <si>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</si>
  <si>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</si>
  <si>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</si>
  <si>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</si>
  <si>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</si>
  <si>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</si>
  <si>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</si>
  <si>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</si>
  <si>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</si>
  <si>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</si>
  <si>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</si>
  <si>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</si>
  <si>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</si>
  <si>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</si>
  <si>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</si>
  <si>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</si>
  <si>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</si>
  <si>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</si>
  <si>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</si>
  <si>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</si>
  <si>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</si>
  <si>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</si>
  <si>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</si>
  <si>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</si>
  <si>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</si>
  <si>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</si>
  <si>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</si>
  <si>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</si>
  <si>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</si>
  <si>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</si>
  <si>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</si>
  <si>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</si>
  <si>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</si>
  <si>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</si>
  <si>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</si>
  <si>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</si>
  <si>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</si>
  <si>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</si>
  <si>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</si>
  <si>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</si>
  <si>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</si>
  <si>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</si>
  <si>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</si>
  <si>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</si>
  <si>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</si>
  <si>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</si>
  <si>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</si>
  <si>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</si>
  <si>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</si>
  <si>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</si>
  <si>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</si>
  <si>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</si>
  <si>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</si>
  <si>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</si>
  <si>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</si>
  <si>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</si>
  <si>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</si>
  <si>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</si>
  <si>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</si>
  <si>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</si>
  <si>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</si>
  <si>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</si>
  <si>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</si>
  <si>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</si>
  <si>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</si>
  <si>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</si>
  <si>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</si>
  <si>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</si>
  <si>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</si>
  <si>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</si>
  <si>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</si>
  <si>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</si>
  <si>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</si>
  <si>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</si>
  <si>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</si>
  <si>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</si>
  <si>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</si>
  <si>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</si>
  <si>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</si>
  <si>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</si>
  <si>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</si>
  <si>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</si>
  <si>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</si>
  <si>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</si>
  <si>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</si>
  <si>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</si>
  <si>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</si>
  <si>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</si>
  <si>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</si>
  <si>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</si>
  <si>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</si>
  <si>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</si>
  <si>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</si>
  <si>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</si>
  <si>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</si>
  <si>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</si>
  <si>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</si>
  <si>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</si>
  <si>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</si>
  <si>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</si>
  <si>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</si>
  <si>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</si>
  <si>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</si>
  <si>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</si>
  <si>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</si>
  <si>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</si>
  <si>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</si>
  <si>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</si>
  <si>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</si>
  <si>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</si>
  <si>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</si>
  <si>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</si>
  <si>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</si>
  <si>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</si>
  <si>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</si>
  <si>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</si>
  <si>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</si>
  <si>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</si>
  <si>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</si>
  <si>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</si>
  <si>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</si>
  <si>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</si>
  <si>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</si>
  <si>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</si>
  <si>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</si>
  <si>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</si>
  <si>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</si>
  <si>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</si>
  <si>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</si>
  <si>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</si>
  <si>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</si>
  <si>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</si>
  <si>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</si>
  <si>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</si>
  <si>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</si>
  <si>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</si>
  <si>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</si>
  <si>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</si>
  <si>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</si>
  <si>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</si>
  <si>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</si>
  <si>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</si>
  <si>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</si>
  <si>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</si>
  <si>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</si>
  <si>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</si>
  <si>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</si>
  <si>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</si>
  <si>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</si>
  <si>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</si>
  <si>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</si>
  <si>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</si>
  <si>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</si>
  <si>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</si>
  <si>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</si>
  <si>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</si>
  <si>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</si>
  <si>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</si>
  <si>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</si>
  <si>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</si>
  <si>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</si>
  <si>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</si>
  <si>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</si>
  <si>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</si>
  <si>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</si>
  <si>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</si>
  <si>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</si>
  <si>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</si>
  <si>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</si>
  <si>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</si>
  <si>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</si>
  <si>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</si>
  <si>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</si>
  <si>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</si>
  <si>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</si>
  <si>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</si>
  <si>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</si>
  <si>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</si>
  <si>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</si>
  <si>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</si>
  <si>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</si>
  <si>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</si>
  <si>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</si>
  <si>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</si>
  <si>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</si>
  <si>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</si>
  <si>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</si>
  <si>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</si>
  <si>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</si>
  <si>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</si>
  <si>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</si>
  <si>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</si>
  <si>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</si>
  <si>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</si>
  <si>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</si>
  <si>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</si>
  <si>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</si>
  <si>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</si>
  <si>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</si>
  <si>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</si>
  <si>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</si>
  <si>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</si>
  <si>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</si>
  <si>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</si>
  <si>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</si>
  <si>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</si>
  <si>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</si>
  <si>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</si>
  <si>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</si>
  <si>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</si>
  <si>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</si>
  <si>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</si>
  <si>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</si>
  <si>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</si>
  <si>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</si>
  <si>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</si>
  <si>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</si>
  <si>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</si>
  <si>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</si>
  <si>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</si>
  <si>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</si>
  <si>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</si>
  <si>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</si>
  <si>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</si>
  <si>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</si>
  <si>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</si>
  <si>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</si>
  <si>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</si>
  <si>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</si>
  <si>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</si>
  <si>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</si>
  <si>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</si>
  <si>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</si>
  <si>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</si>
  <si>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</si>
  <si>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</si>
  <si>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</si>
  <si>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</si>
  <si>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</si>
  <si>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</si>
  <si>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</si>
  <si>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</si>
  <si>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</si>
  <si>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</si>
  <si>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</si>
  <si>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</si>
  <si>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</si>
  <si>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</si>
  <si>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 GDP)</t>
  </si>
  <si>
    <t>General government balance</t>
  </si>
  <si>
    <t>MTP Table 4, line 31</t>
  </si>
  <si>
    <t>MTP Table 4, line 34</t>
  </si>
  <si>
    <t>(% pot. GDP)</t>
  </si>
  <si>
    <t>Cyclical component</t>
  </si>
  <si>
    <t>One-off measures</t>
  </si>
  <si>
    <t>MTP Table 4, line 14</t>
  </si>
  <si>
    <t>Long-term interest rate</t>
  </si>
  <si>
    <t xml:space="preserve">MTP Table 3, line 1 </t>
  </si>
  <si>
    <t>(%)</t>
  </si>
  <si>
    <t>Short-term interest rate</t>
  </si>
  <si>
    <t>MTP Table 3, line 2</t>
  </si>
  <si>
    <t>Implicit average interest rate</t>
  </si>
  <si>
    <t>MTP Table 4, line 44</t>
  </si>
  <si>
    <t>Stock-flow adjustment</t>
  </si>
  <si>
    <t>MTP Table 4, line 43</t>
  </si>
  <si>
    <t>Potential GDP</t>
  </si>
  <si>
    <t>MTP Table 2, line 26</t>
  </si>
  <si>
    <t>(growth rate)</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</si>
  <si>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</si>
  <si>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</si>
  <si>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</si>
  <si>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</si>
  <si>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</si>
  <si>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</si>
  <si>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</si>
  <si>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</si>
  <si>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</si>
  <si>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</si>
  <si>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</si>
  <si>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</si>
  <si>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</si>
  <si>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</si>
  <si>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</si>
  <si>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</si>
  <si>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</si>
  <si>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</si>
  <si>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</si>
  <si>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</si>
  <si>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</si>
  <si>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</si>
  <si>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</si>
  <si>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</si>
  <si>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</si>
  <si>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</si>
  <si>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</si>
  <si>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</si>
  <si>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</si>
  <si>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</si>
  <si>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</si>
  <si>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</si>
  <si>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</si>
  <si>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</si>
  <si>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</si>
  <si>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</si>
  <si>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</si>
  <si>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</si>
  <si>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</si>
  <si>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</si>
  <si>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</si>
  <si>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</si>
  <si>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</si>
  <si>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</si>
  <si>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</si>
  <si>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</si>
  <si>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</si>
  <si>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</si>
  <si>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</si>
  <si>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</si>
  <si>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</si>
  <si>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</si>
  <si>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</si>
  <si>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</si>
  <si>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</si>
  <si>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</si>
  <si>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</si>
  <si>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</si>
  <si>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</si>
  <si>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</si>
  <si>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</si>
  <si>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</si>
  <si>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</si>
  <si>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</si>
  <si>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</si>
  <si>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</si>
  <si>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</si>
  <si>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</si>
  <si>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</si>
  <si>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</si>
  <si>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</si>
  <si>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</si>
  <si>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</si>
  <si>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</si>
  <si>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</si>
  <si>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</si>
  <si>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</si>
  <si>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</si>
  <si>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</si>
  <si>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</si>
  <si>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</si>
  <si>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</si>
  <si>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</si>
  <si>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</si>
  <si>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</si>
  <si>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</si>
  <si>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</si>
  <si>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</si>
  <si>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</si>
  <si>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</si>
  <si>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</si>
  <si>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</si>
  <si>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Annual Progress Report 2026</t>
  </si>
  <si>
    <t>P2: Control account deviations and balance</t>
  </si>
  <si>
    <t>Cumulated balance (14/15)</t>
  </si>
  <si>
    <t>Recommended net expenditure growth</t>
  </si>
  <si>
    <t>Enter alternative scenario to override outturn net expenditure growth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</si>
</sst>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10">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
      <patternFill patternType="solid">
        <fgColor rgb="FFFFFF00"/>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69">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166" fontId="0" fillId="0" borderId="2" xfId="0" applyNumberFormat="1" applyBorder="1"/>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9" fillId="0" borderId="0" xfId="8" applyAlignment="1">
      <alignment horizontal="left"/>
    </xf>
    <xf numFmtId="0" fontId="33" fillId="0" borderId="3" xfId="0" applyFont="1" applyBorder="1" applyAlignment="1">
      <alignment horizontal="center"/>
    </xf>
    <xf numFmtId="165" fontId="12" fillId="0" borderId="0" xfId="0" applyNumberFormat="1" applyFont="1" applyAlignment="1">
      <alignment wrapText="1"/>
    </xf>
    <xf numFmtId="165" fontId="12" fillId="0" borderId="0" xfId="0" applyNumberFormat="1" applyFont="1" applyAlignment="1">
      <alignment horizontal="right"/>
    </xf>
    <xf numFmtId="167" fontId="43" fillId="0" borderId="0" xfId="0" applyNumberFormat="1" applyFont="1" applyAlignment="1">
      <alignment horizontal="left"/>
    </xf>
    <xf numFmtId="3" fontId="0" fillId="9" borderId="0" xfId="0" applyNumberFormat="1" applyFill="1"/>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2" fontId="0" fillId="0" borderId="0" xfId="0" applyNumberFormat="1"/>
    <xf numFmtId="0" fontId="53" fillId="0" borderId="0" xfId="0" applyFont="1"/>
    <xf numFmtId="0" fontId="0" fillId="0" borderId="15" xfId="0" applyBorder="1"/>
    <xf numFmtId="164" fontId="13" fillId="5" borderId="0" xfId="1" applyNumberFormat="1" applyBorder="1" applyAlignment="1">
      <alignment horizontal="lef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-1.7696851346664355</c:v>
                </c:pt>
                <c:pt idx="1">
                  <c:v>-2.6544224216872645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-3.2238230752513153</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-0.52200029284482985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-1.5546849993727376</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-3.2238230752513153</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-3.2238230752513153</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5.1512647831902569</c:v>
                </c:pt>
                <c:pt idx="1">
                  <c:v>4.5845608885135114</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0.59732</cdr:x>
      <cdr:y>0.299</cdr:y>
    </cdr:from>
    <cdr:to>
      <cdr:x>0.98486</cdr:x>
      <cdr:y>0.40294</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91136" y="825917"/>
          <a:ext cx="1745994"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0.59001</cdr:x>
      <cdr:y>0.44672</cdr:y>
    </cdr:from>
    <cdr:to>
      <cdr:x>0.85158</cdr:x>
      <cdr:y>0.52679</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377213" y="1293536"/>
          <a:ext cx="1053884" cy="23184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0.56426</cdr:x>
      <cdr:y>0.39368</cdr:y>
    </cdr:from>
    <cdr:to>
      <cdr:x>0.89206</cdr:x>
      <cdr:y>0.47429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33561" y="1139940"/>
          <a:ext cx="1529904"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3" t="s">
        <v>19</v>
      </c>
    </row>
    <row r="3" spans="1:11" ht="13.5" customHeight="1" x14ac:dyDescent="0.4">
      <c r="A3" s="158" t="s">
        <v>305</v>
      </c>
      <c r="B3" s="253" t="s">
        <v>433</v>
      </c>
    </row>
    <row r="5" spans="1:11" ht="18" x14ac:dyDescent="0.55000000000000004">
      <c r="A5" s="51" t="s">
        <v>756</v>
      </c>
      <c r="K5" s="39"/>
    </row>
    <row r="6" spans="1:11" ht="13.5" customHeight="1" x14ac:dyDescent="0.4">
      <c r="A6" s="158" t="s">
        <v>755</v>
      </c>
      <c r="B6" s="253" t="s">
        <v>754</v>
      </c>
      <c r="K6" s="39"/>
    </row>
    <row r="7" spans="1:11" ht="13.5" customHeight="1" x14ac:dyDescent="0.4">
      <c r="A7" s="160" t="s">
        <v>757</v>
      </c>
      <c r="B7" s="253" t="s">
        <v>997</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1</v>
      </c>
      <c r="D12" s="88" t="b">
        <v>1</v>
      </c>
      <c r="E12" s="88" t="b">
        <v>1</v>
      </c>
      <c r="F12" s="88" t="b">
        <v>1</v>
      </c>
      <c r="G12" s="88" t="b">
        <v>0</v>
      </c>
      <c r="H12" s="88"/>
      <c r="I12" s="72"/>
      <c r="J12" s="72"/>
    </row>
    <row r="13" spans="1:11" ht="13.5" customHeight="1" x14ac:dyDescent="0.4">
      <c r="A13" t="s">
        <v>713</v>
      </c>
      <c r="B13" s="88" t="e">
        <v>#N/A</v>
      </c>
      <c r="C13" s="88" t="s">
        <v>751</v>
      </c>
      <c r="D13" s="88" t="s">
        <v>751</v>
      </c>
      <c r="E13" s="88" t="s">
        <v>751</v>
      </c>
      <c r="F13" s="88" t="s">
        <v>751</v>
      </c>
      <c r="G13" s="88" t="s">
        <v>271</v>
      </c>
      <c r="H13" s="88"/>
      <c r="I13" s="72"/>
      <c r="J13" s="72"/>
    </row>
    <row r="14" spans="1:11" ht="13.5" customHeight="1" x14ac:dyDescent="0.4">
      <c r="A14" t="s">
        <v>653</v>
      </c>
      <c r="B14" s="88" t="e">
        <v>#N/A</v>
      </c>
      <c r="C14" s="88" t="s">
        <v>618</v>
      </c>
      <c r="D14" s="88" t="s">
        <v>618</v>
      </c>
      <c r="E14" s="88" t="s">
        <v>618</v>
      </c>
      <c r="F14" s="88" t="s">
        <v>618</v>
      </c>
      <c r="G14" s="88" t="s">
        <v>618</v>
      </c>
      <c r="H14" s="88" t="s">
        <v>271</v>
      </c>
      <c r="I14" s="72"/>
      <c r="J14" s="72"/>
    </row>
    <row r="15" spans="1:11" ht="13.5" customHeight="1" x14ac:dyDescent="0.4">
      <c r="A15" s="87" t="s">
        <v>840</v>
      </c>
      <c r="B15" s="88"/>
      <c r="C15" s="88">
        <v>1.5</v>
      </c>
      <c r="D15" s="88">
        <v>1.5</v>
      </c>
      <c r="E15" s="88">
        <v>1.5</v>
      </c>
      <c r="F15" s="88">
        <v>1.5</v>
      </c>
      <c r="G15" s="88"/>
      <c r="H15" s="88"/>
      <c r="I15" s="72"/>
      <c r="J15" s="72"/>
    </row>
    <row r="16" spans="1:11" ht="13.5" customHeight="1" x14ac:dyDescent="0.4">
      <c r="B16" s="88"/>
      <c r="G16" s="88"/>
      <c r="H16" s="88"/>
      <c r="I16" s="72"/>
      <c r="J16" s="72"/>
    </row>
    <row r="17" spans="1:10" ht="13.5" customHeight="1" x14ac:dyDescent="0.4">
      <c r="A17" t="s">
        <v>986</v>
      </c>
      <c r="B17" s="53">
        <v>2021</v>
      </c>
      <c r="J17" s="72"/>
    </row>
    <row r="18" spans="1:10" ht="13.5" customHeight="1" x14ac:dyDescent="0.4">
      <c r="A18" t="s">
        <v>988</v>
      </c>
      <c r="B18" s="53">
        <v>2.5</v>
      </c>
      <c r="J18" s="72"/>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115" priority="9">
      <formula>B10&lt;&gt;""</formula>
    </cfRule>
  </conditionalFormatting>
  <conditionalFormatting sqref="B11:H11">
    <cfRule type="expression" dxfId="114" priority="8">
      <formula>B10&lt;&gt;""</formula>
    </cfRule>
  </conditionalFormatting>
  <conditionalFormatting sqref="B12:H14">
    <cfRule type="expression" dxfId="113" priority="7">
      <formula>B$10&lt;&gt;""</formula>
    </cfRule>
  </conditionalFormatting>
  <conditionalFormatting sqref="B15:H15 B16 G16:H16">
    <cfRule type="expression" dxfId="112" priority="6">
      <formula>B10&lt;&gt;""</formula>
    </cfRule>
  </conditionalFormatting>
  <conditionalFormatting sqref="B2">
    <cfRule type="expression" dxfId="111" priority="3">
      <formula>$B$2="Select country"</formula>
    </cfRule>
  </conditionalFormatting>
  <conditionalFormatting sqref="B3">
    <cfRule type="expression" dxfId="110" priority="2">
      <formula>$B$3="Select IFI"</formula>
    </cfRule>
  </conditionalFormatting>
  <conditionalFormatting sqref="B17:B18">
    <cfRule type="expression" dxfId="109" priority="1">
      <formula>$B$2="Select country"</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34" ht="23.25" x14ac:dyDescent="0.7">
      <c r="B1" s="14" t="s">
        <v>284</v>
      </c>
    </row>
    <row r="2" spans="1:34" x14ac:dyDescent="0.4">
      <c r="D2" s="77" t="s">
        <v>826</v>
      </c>
      <c r="E2" s="185">
        <v>2025</v>
      </c>
    </row>
    <row r="3" spans="1:34" ht="15.75" x14ac:dyDescent="0.5">
      <c r="B3" s="150"/>
      <c r="R3" s="80" t="s">
        <v>1001</v>
      </c>
    </row>
    <row r="4" spans="1:34"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40"/>
      <c r="S4" s="40" t="s">
        <v>251</v>
      </c>
      <c r="T4" s="41"/>
      <c r="U4" s="41"/>
      <c r="V4" s="45" cm="1">
        <f t="array" ref="V4:X4">_xlfn.SEQUENCE(1, OutturnThrough-MTP_BaseYear+1, MTP_BaseYear)</f>
        <v>2023</v>
      </c>
      <c r="W4" s="45">
        <v>2024</v>
      </c>
      <c r="X4" s="45">
        <v>2025</v>
      </c>
      <c r="Y4" s="45"/>
      <c r="Z4" s="45"/>
    </row>
    <row r="5" spans="1:34"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42" t="s">
        <v>980</v>
      </c>
      <c r="S5" s="42" t="s">
        <v>274</v>
      </c>
      <c r="T5" s="43"/>
      <c r="U5" s="43"/>
      <c r="V5" s="48" t="str" cm="1">
        <f t="array" ref="V5:X5">IF(
  AND(_xlfn.ANCHORARRAY(V4) &gt;= MTP_YearT-1,_xlfn.ANCHORARRAY( V4) &lt;= MTP_EndYear),
  "T" &amp; TEXT(_xlfn.ANCHORARRAY(V4) - MTP_YearT, "+0;-0;"),
  ""
)</f>
        <v>T-1</v>
      </c>
      <c r="W5" s="48" t="str">
        <v>T</v>
      </c>
      <c r="X5" s="48" t="str">
        <v>T+1</v>
      </c>
      <c r="Y5" s="48"/>
      <c r="Z5" s="48"/>
    </row>
    <row r="6" spans="1:34" ht="14.65" customHeight="1" x14ac:dyDescent="0.7">
      <c r="A6" s="14"/>
      <c r="B6" s="60" t="s">
        <v>257</v>
      </c>
      <c r="C6" s="45" t="s">
        <v>6</v>
      </c>
      <c r="D6" s="45"/>
      <c r="E6" s="141" cm="1">
        <f t="array" ref="E6:G6">INDEX(184:184, _xlfn.XMATCH(INDEX(_xlfn.ANCHORARRAY(E4),1,1), 33:33, 0) + _xlfn.SEQUENCE(1, COLUMNS(_xlfn.ANCHORARRAY(E4))) - 1)/1000</f>
        <v>17.182600000000001</v>
      </c>
      <c r="F6" s="141">
        <v>18.413499999999999</v>
      </c>
      <c r="G6" s="182">
        <v>19.8324</v>
      </c>
      <c r="H6" s="182"/>
      <c r="I6" s="182"/>
      <c r="J6" s="182"/>
      <c r="K6" s="182"/>
      <c r="L6" s="182"/>
      <c r="M6" s="182"/>
      <c r="N6" s="182"/>
      <c r="O6" s="182"/>
      <c r="P6" s="182"/>
      <c r="Q6" s="182"/>
      <c r="R6" s="262" t="b">
        <v>0</v>
      </c>
      <c r="S6" s="260" t="s">
        <v>276</v>
      </c>
      <c r="T6" s="182"/>
      <c r="U6" s="182"/>
      <c r="V6" s="182">
        <v>-7.9128400000000008E-3</v>
      </c>
      <c r="W6" s="182">
        <v>8.1304600000000008E-3</v>
      </c>
      <c r="X6" s="182">
        <v>1.2907859999999998E-2</v>
      </c>
      <c r="Y6" s="182"/>
      <c r="Z6" s="182"/>
    </row>
    <row r="7" spans="1:34" ht="14.65" customHeight="1" x14ac:dyDescent="0.7">
      <c r="A7" s="14"/>
      <c r="B7" s="81" t="s">
        <v>25</v>
      </c>
      <c r="C7" s="45" t="s">
        <v>6</v>
      </c>
      <c r="D7" s="45"/>
      <c r="E7" s="142" cm="1">
        <f t="array" ref="E7:G7">INDEX(175:175, _xlfn.XMATCH(INDEX(_xlfn.ANCHORARRAY(E4),1,1), 33:33, 0) + _xlfn.SEQUENCE(1, COLUMNS(_xlfn.ANCHORARRAY(E4))) - 1)/1000</f>
        <v>0.28689999999999999</v>
      </c>
      <c r="F7" s="142">
        <v>0.44330000000000003</v>
      </c>
      <c r="G7" s="183">
        <v>0.4758</v>
      </c>
      <c r="H7" s="183"/>
      <c r="I7" s="183"/>
      <c r="J7" s="183"/>
      <c r="K7" s="183"/>
      <c r="L7" s="183"/>
      <c r="M7" s="183"/>
      <c r="N7" s="183"/>
      <c r="O7" s="183"/>
      <c r="P7" s="183"/>
      <c r="Q7" s="183"/>
      <c r="R7" s="262" t="b">
        <v>1</v>
      </c>
      <c r="S7" s="260" t="s">
        <v>277</v>
      </c>
      <c r="T7" s="182"/>
      <c r="U7" s="182"/>
      <c r="V7" s="182">
        <v>0.75171979999999994</v>
      </c>
      <c r="W7" s="182">
        <v>0.77239370000000007</v>
      </c>
      <c r="X7" s="182">
        <v>0.81749779999999994</v>
      </c>
      <c r="Y7" s="182"/>
      <c r="Z7" s="182"/>
    </row>
    <row r="8" spans="1:34"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-2.3600000000000001E-3</v>
      </c>
      <c r="F8" s="142">
        <v>3.14E-3</v>
      </c>
      <c r="G8" s="183">
        <v>6.7000000000000002E-3</v>
      </c>
      <c r="H8" s="183"/>
      <c r="I8" s="183"/>
      <c r="J8" s="183"/>
      <c r="K8" s="183"/>
      <c r="L8" s="183"/>
      <c r="M8" s="183"/>
      <c r="N8" s="183"/>
      <c r="O8" s="183"/>
      <c r="P8" s="183"/>
      <c r="Q8" s="183"/>
      <c r="R8" s="262" t="b">
        <v>0</v>
      </c>
      <c r="S8" s="261" t="s">
        <v>279</v>
      </c>
      <c r="T8" s="183"/>
      <c r="U8" s="183"/>
      <c r="V8" s="183">
        <v>0</v>
      </c>
      <c r="W8" s="183">
        <v>0</v>
      </c>
      <c r="X8" s="183">
        <v>0</v>
      </c>
      <c r="Y8" s="183"/>
      <c r="Z8" s="183"/>
    </row>
    <row r="9" spans="1:34" ht="14.65" customHeight="1" x14ac:dyDescent="0.7">
      <c r="A9" s="14"/>
      <c r="B9" s="81" t="s">
        <v>277</v>
      </c>
      <c r="C9" s="45" t="s">
        <v>6</v>
      </c>
      <c r="D9" s="45"/>
      <c r="E9" s="142" cm="1">
        <f t="array" ref="E9:G9">IF(R7,
    INDEX(7:7, COLUMN(V1) + _xlfn.SEQUENCE(1, COLUMNS(_xlfn.ANCHORARRAY(E4))) - 1),INDEX(185:185, _xlfn.XMATCH(INDEX(_xlfn.ANCHORARRAY(E4),1,1), 33:33, 0) + _xlfn.SEQUENCE(1, COLUMNS(_xlfn.ANCHORARRAY(E4))) - 1)/1000)</f>
        <v>0.75171979999999994</v>
      </c>
      <c r="F9" s="142">
        <v>0.77239370000000007</v>
      </c>
      <c r="G9" s="183">
        <v>0.81749779999999994</v>
      </c>
      <c r="H9" s="183"/>
      <c r="I9" s="183"/>
      <c r="J9" s="183"/>
      <c r="K9" s="183"/>
      <c r="L9" s="183"/>
      <c r="M9" s="183"/>
      <c r="N9" s="183"/>
      <c r="O9" s="183"/>
      <c r="P9" s="183"/>
      <c r="Q9" s="183"/>
      <c r="R9" s="262" t="b">
        <v>1</v>
      </c>
      <c r="S9" s="261" t="s">
        <v>607</v>
      </c>
      <c r="T9" s="183"/>
      <c r="U9" s="183"/>
      <c r="V9" s="183">
        <v>-7.9128400000000002E-2</v>
      </c>
      <c r="W9" s="183">
        <v>0.24391380000000004</v>
      </c>
      <c r="X9" s="183">
        <v>4.3026199999999994E-2</v>
      </c>
      <c r="Y9" s="183"/>
      <c r="Z9" s="183"/>
    </row>
    <row r="10" spans="1:34" ht="14.65" customHeight="1" x14ac:dyDescent="0.7">
      <c r="A10" s="14"/>
      <c r="B10" s="81" t="s">
        <v>278</v>
      </c>
      <c r="C10" s="45" t="s">
        <v>6</v>
      </c>
      <c r="D10" s="45"/>
      <c r="E10" s="142" cm="1">
        <f t="array" ref="E10:G10">INDEX(187:187, _xlfn.XMATCH(INDEX(_xlfn.ANCHORARRAY(E4),1,1), 33:33, 0) + _xlfn.SEQUENCE(1, COLUMNS(_xlfn.ANCHORARRAY(E4))) - 1)/1000</f>
        <v>0.15825</v>
      </c>
      <c r="F10" s="142">
        <v>0.13764999999999999</v>
      </c>
      <c r="G10" s="183">
        <v>0.19919999999999999</v>
      </c>
      <c r="H10" s="183"/>
      <c r="I10" s="183"/>
      <c r="J10" s="183"/>
      <c r="K10" s="183"/>
      <c r="L10" s="183"/>
      <c r="M10" s="183"/>
      <c r="N10" s="183"/>
      <c r="O10" s="183"/>
      <c r="P10" s="183"/>
      <c r="Q10" s="183"/>
      <c r="R10" s="262" t="b">
        <v>0</v>
      </c>
      <c r="S10" s="261" t="s">
        <v>609</v>
      </c>
      <c r="T10" s="183"/>
      <c r="U10" s="183"/>
      <c r="V10" s="183"/>
      <c r="W10" s="183"/>
      <c r="X10" s="183"/>
      <c r="Y10" s="183"/>
      <c r="Z10" s="183"/>
    </row>
    <row r="11" spans="1:34" ht="14.65" customHeight="1" x14ac:dyDescent="0.7">
      <c r="A11" s="14"/>
      <c r="B11" s="81" t="s">
        <v>279</v>
      </c>
      <c r="C11" s="45" t="s">
        <v>6</v>
      </c>
      <c r="D11" s="45"/>
      <c r="E11" s="142" cm="1">
        <f t="array" ref="E11:G11">IF(R8,
    INDEX(8:8, COLUMN(V1) + _xlfn.SEQUENCE(1, COLUMNS(_xlfn.ANCHORARRAY(E4))) - 1),INDEX(189:189, _xlfn.XMATCH(INDEX(_xlfn.ANCHORARRAY(E4),1,1), 33:33, 0) + _xlfn.SEQUENCE(1, COLUMNS(_xlfn.ANCHORARRAY(E4))) - 1)/1000)</f>
        <v>0</v>
      </c>
      <c r="F11" s="142">
        <v>0</v>
      </c>
      <c r="G11" s="183">
        <v>0</v>
      </c>
      <c r="H11" s="183"/>
      <c r="I11" s="183"/>
      <c r="J11" s="183"/>
      <c r="K11" s="183"/>
      <c r="L11" s="183"/>
      <c r="M11" s="183"/>
      <c r="N11" s="183"/>
      <c r="O11" s="183"/>
      <c r="P11" s="183"/>
      <c r="Q11" s="183"/>
      <c r="R11" s="183"/>
      <c r="S11" s="183"/>
      <c r="T11" s="183"/>
      <c r="U11" s="183"/>
      <c r="V11" s="183"/>
      <c r="W11" s="183"/>
      <c r="X11" s="183"/>
      <c r="Y11" s="183"/>
      <c r="Z11" s="183"/>
    </row>
    <row r="12" spans="1:34" ht="14.65" customHeight="1" x14ac:dyDescent="0.7">
      <c r="A12" s="14"/>
      <c r="B12" s="81" t="s">
        <v>307</v>
      </c>
      <c r="C12" s="45" t="s">
        <v>6</v>
      </c>
      <c r="D12" s="45"/>
      <c r="E12" s="142" cm="1">
        <f t="array" ref="E12:G12">INDEX(190:190, _xlfn.XMATCH(INDEX(_xlfn.ANCHORARRAY(E4),1,1), 33:33, 0) + _xlfn.SEQUENCE(1, COLUMNS(_xlfn.ANCHORARRAY(E4))) - 1)/1000</f>
        <v>16.005510000000005</v>
      </c>
      <c r="F12" s="142">
        <v>17.073910000000001</v>
      </c>
      <c r="G12" s="183">
        <v>17.899699999999999</v>
      </c>
      <c r="H12" s="183"/>
      <c r="I12" s="183"/>
      <c r="J12" s="183"/>
      <c r="K12" s="183"/>
      <c r="L12" s="183"/>
      <c r="M12" s="183"/>
      <c r="N12" s="183"/>
      <c r="O12" s="183"/>
      <c r="P12" s="183"/>
      <c r="Q12" s="183"/>
      <c r="R12" s="183"/>
      <c r="S12" s="183"/>
      <c r="T12" s="183"/>
      <c r="U12" s="183"/>
      <c r="V12" s="183"/>
      <c r="W12" s="183"/>
      <c r="X12" s="183"/>
      <c r="Y12" s="183"/>
      <c r="Z12" s="183"/>
    </row>
    <row r="13" spans="1:34" ht="14.65" customHeight="1" x14ac:dyDescent="0.7">
      <c r="A13" s="14"/>
      <c r="B13" s="81" t="s">
        <v>607</v>
      </c>
      <c r="C13" s="45" t="s">
        <v>6</v>
      </c>
      <c r="D13" s="45"/>
      <c r="E13" s="142" cm="1">
        <f t="array" ref="E13:G13">IF(R9,
    INDEX(9:9, COLUMN(V1) + _xlfn.SEQUENCE(1, COLUMNS(_xlfn.ANCHORARRAY(E4))) - 1),(INDEX(169:169, _xlfn.XMATCH(INDEX(_xlfn.ANCHORARRAY(E4),1,1)+0, 33:33+0, 0) + _xlfn.SEQUENCE(1, COLUMNS(_xlfn.ANCHORARRAY(E4))) - 1))/1000)</f>
        <v>-7.9128400000000002E-2</v>
      </c>
      <c r="F13" s="142">
        <v>0.24391380000000004</v>
      </c>
      <c r="G13" s="183">
        <v>4.3026199999999994E-2</v>
      </c>
      <c r="H13" s="183"/>
      <c r="I13" s="183"/>
      <c r="J13" s="183"/>
      <c r="K13" s="183"/>
      <c r="L13" s="183"/>
      <c r="M13" s="183"/>
      <c r="N13" s="183"/>
      <c r="O13" s="183"/>
      <c r="P13" s="183"/>
      <c r="Q13" s="183"/>
      <c r="R13" s="183"/>
      <c r="S13" s="183"/>
      <c r="T13" s="183"/>
      <c r="U13" s="183"/>
      <c r="V13" s="183"/>
      <c r="W13" s="183"/>
      <c r="X13" s="183"/>
      <c r="Y13" s="183"/>
      <c r="Z13" s="183"/>
      <c r="AF13" s="4"/>
      <c r="AG13" s="4"/>
      <c r="AH13" s="4"/>
    </row>
    <row r="14" spans="1:34" ht="14.65" customHeight="1" x14ac:dyDescent="0.7">
      <c r="A14" s="14"/>
      <c r="B14" s="81" t="s">
        <v>609</v>
      </c>
      <c r="C14" s="45" t="s">
        <v>6</v>
      </c>
      <c r="D14" s="45"/>
      <c r="E14" s="142" cm="1">
        <f t="array" ref="E14:G14">IF(R10,
INDEX(10:10,COLUMN(V1)+_xlfn.SEQUENCE(1,COLUMNS(_xlfn.ANCHORARRAY(E4)))-1),INDEX(92:92,_xlfn.XMATCH(INDEX(_xlfn.ANCHORARRAY(E4),1,1),33:33,0)+_xlfn.SEQUENCE(1,COLUMNS(_xlfn.ANCHORARRAY(E4)))-1)/1000)</f>
        <v>1.0249299999999999</v>
      </c>
      <c r="F14" s="142">
        <v>1.10371</v>
      </c>
      <c r="G14" s="183">
        <v>1.36114</v>
      </c>
      <c r="H14" s="183"/>
      <c r="I14" s="183"/>
      <c r="J14" s="183"/>
      <c r="K14" s="183"/>
      <c r="L14" s="183"/>
      <c r="M14" s="183"/>
      <c r="N14" s="183"/>
      <c r="O14" s="183"/>
      <c r="P14" s="183"/>
      <c r="Q14" s="183"/>
      <c r="R14" s="183"/>
      <c r="S14" s="183"/>
      <c r="T14" s="183"/>
      <c r="U14" s="183"/>
      <c r="V14" s="183"/>
      <c r="W14" s="183"/>
      <c r="X14" s="183"/>
      <c r="Y14" s="183"/>
      <c r="Z14" s="183"/>
      <c r="AF14" s="4"/>
      <c r="AG14" s="4"/>
      <c r="AH14" s="4"/>
    </row>
    <row r="15" spans="1:34"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v>5.1512647831902569</v>
      </c>
      <c r="G15" s="182">
        <v>4.5845608885135114</v>
      </c>
      <c r="H15" s="182"/>
      <c r="I15" s="182"/>
      <c r="J15" s="182"/>
      <c r="K15" s="182"/>
      <c r="L15" s="182"/>
      <c r="M15" s="182"/>
      <c r="N15" s="182"/>
      <c r="O15" s="182"/>
      <c r="P15" s="182"/>
      <c r="Q15" s="182"/>
      <c r="R15" s="183"/>
      <c r="S15" s="183"/>
      <c r="T15" s="183"/>
      <c r="U15" s="183"/>
      <c r="V15" s="183"/>
      <c r="W15" s="183"/>
      <c r="X15" s="183"/>
      <c r="Y15" s="183"/>
      <c r="Z15" s="183"/>
      <c r="AF15" s="4"/>
      <c r="AG15" s="4"/>
      <c r="AH15" s="4"/>
    </row>
    <row r="16" spans="1:34"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5.1512647831902569</v>
      </c>
      <c r="G16" s="184">
        <v>9.9719885422176802</v>
      </c>
      <c r="H16" s="184"/>
      <c r="I16" s="184"/>
      <c r="J16" s="184"/>
      <c r="K16" s="184"/>
      <c r="L16" s="184"/>
      <c r="M16" s="184"/>
      <c r="N16" s="184"/>
      <c r="O16" s="184"/>
      <c r="P16" s="184"/>
      <c r="Q16" s="184"/>
      <c r="R16" s="182"/>
      <c r="S16" s="182"/>
      <c r="T16" s="182"/>
      <c r="U16" s="182"/>
      <c r="V16" s="182"/>
      <c r="W16" s="182"/>
      <c r="X16" s="182"/>
      <c r="Y16" s="182"/>
      <c r="Z16" s="182"/>
      <c r="AF16" s="4"/>
      <c r="AG16" s="4"/>
      <c r="AH16" s="4"/>
    </row>
    <row r="17" spans="1:34" ht="20.25" customHeight="1" x14ac:dyDescent="0.7">
      <c r="A17" s="14"/>
      <c r="B17" s="56" t="s">
        <v>206</v>
      </c>
      <c r="C17" s="50" t="s">
        <v>614</v>
      </c>
      <c r="D17" s="50"/>
      <c r="E17" s="143" cm="1">
        <f t="array" ref="E17:G17">INDEX(139:139, _xlfn.XMATCH(INDEX(_xlfn.ANCHORARRAY(E4),1,1), 33:33, 0) + _xlfn.SEQUENCE(1, COLUMNS(_xlfn.ANCHORARRAY(E4))) - 1)</f>
        <v>-2.342774528487884</v>
      </c>
      <c r="F17" s="143">
        <v>-1.7868607680254289</v>
      </c>
      <c r="G17" s="184">
        <v>-2.5407774797681517</v>
      </c>
      <c r="H17" s="184"/>
      <c r="I17" s="184"/>
      <c r="J17" s="184"/>
      <c r="K17" s="184"/>
      <c r="L17" s="184"/>
      <c r="M17" s="184"/>
      <c r="N17" s="184"/>
      <c r="O17" s="184"/>
      <c r="P17" s="184"/>
      <c r="Q17" s="184"/>
      <c r="R17" s="184"/>
      <c r="S17" s="184"/>
      <c r="T17" s="184"/>
      <c r="U17" s="184"/>
      <c r="V17" s="184"/>
      <c r="W17" s="184"/>
      <c r="X17" s="184"/>
      <c r="Y17" s="184"/>
      <c r="Z17" s="184"/>
      <c r="AF17" s="4"/>
      <c r="AG17" s="4"/>
      <c r="AH17" s="4"/>
    </row>
    <row r="18" spans="1:34" ht="14.65" customHeight="1" x14ac:dyDescent="0.7">
      <c r="A18" s="14"/>
      <c r="B18" s="56" t="s">
        <v>0</v>
      </c>
      <c r="C18" s="50" t="s">
        <v>614</v>
      </c>
      <c r="D18" s="50"/>
      <c r="E18" s="143" cm="1">
        <f t="array" ref="E18:G18">INDEX(142:142, _xlfn.XMATCH(INDEX(_xlfn.ANCHORARRAY(E4),1,1), 33:33, 0) + _xlfn.SEQUENCE(1, COLUMNS(_xlfn.ANCHORARRAY(E4))) - 1)</f>
        <v>-2.0901399999999999</v>
      </c>
      <c r="F18" s="143">
        <v>-1.3087</v>
      </c>
      <c r="G18" s="184">
        <v>-2.5189499999999998</v>
      </c>
      <c r="H18" s="184"/>
      <c r="I18" s="184"/>
      <c r="J18" s="184"/>
      <c r="K18" s="184"/>
      <c r="L18" s="184"/>
      <c r="M18" s="184"/>
      <c r="N18" s="184"/>
      <c r="O18" s="184"/>
      <c r="P18" s="184"/>
      <c r="Q18" s="184"/>
      <c r="R18" s="184"/>
      <c r="S18" s="184"/>
      <c r="T18" s="184"/>
      <c r="U18" s="184"/>
      <c r="V18" s="184"/>
      <c r="W18" s="184"/>
      <c r="X18" s="184"/>
      <c r="Y18" s="184"/>
      <c r="Z18" s="184"/>
    </row>
    <row r="19" spans="1:34" ht="14.65" customHeight="1" x14ac:dyDescent="0.7">
      <c r="A19" s="14"/>
      <c r="B19" s="56" t="s">
        <v>3</v>
      </c>
      <c r="C19" s="50" t="s">
        <v>614</v>
      </c>
      <c r="D19" s="50"/>
      <c r="E19" s="143" cm="1">
        <f t="array" ref="E19:G19">INDEX(143:143, _xlfn.XMATCH(INDEX(_xlfn.ANCHORARRAY(E4),1,1), 33:33, 0) + _xlfn.SEQUENCE(1, COLUMNS(_xlfn.ANCHORARRAY(E4))) - 1)</f>
        <v>-1.3650599999999999</v>
      </c>
      <c r="F19" s="143">
        <v>-0.21811</v>
      </c>
      <c r="G19" s="184">
        <v>-1.41309</v>
      </c>
      <c r="H19" s="184"/>
      <c r="I19" s="184"/>
      <c r="J19" s="184"/>
      <c r="K19" s="184"/>
      <c r="L19" s="184"/>
      <c r="M19" s="184"/>
      <c r="N19" s="184"/>
      <c r="O19" s="184"/>
      <c r="P19" s="184"/>
      <c r="Q19" s="184"/>
      <c r="R19" s="184"/>
      <c r="S19" s="184"/>
      <c r="T19" s="184"/>
      <c r="U19" s="184"/>
      <c r="V19" s="184"/>
      <c r="W19" s="184"/>
      <c r="X19" s="184"/>
      <c r="Y19" s="184"/>
      <c r="Z19" s="184"/>
    </row>
    <row r="20" spans="1:34" ht="14.65" customHeight="1" x14ac:dyDescent="0.7">
      <c r="A20" s="14"/>
      <c r="B20" s="56" t="s">
        <v>1</v>
      </c>
      <c r="C20" s="50" t="s">
        <v>614</v>
      </c>
      <c r="D20" s="50"/>
      <c r="E20" s="143" cm="1">
        <f t="array" ref="E20:G20">INDEX(145:145, _xlfn.XMATCH(INDEX(_xlfn.ANCHORARRAY(E4),1,1), 33:33, 0) + _xlfn.SEQUENCE(1, COLUMNS(_xlfn.ANCHORARRAY(E4))) - 1)</f>
        <v>44.430318318075436</v>
      </c>
      <c r="F20" s="143">
        <v>46.249535696627248</v>
      </c>
      <c r="G20" s="184">
        <v>46.887477862325753</v>
      </c>
      <c r="H20" s="184"/>
      <c r="I20" s="184"/>
      <c r="J20" s="184"/>
      <c r="K20" s="184"/>
      <c r="L20" s="184"/>
      <c r="M20" s="184"/>
      <c r="N20" s="184"/>
      <c r="O20" s="184"/>
      <c r="P20" s="184"/>
      <c r="Q20" s="184"/>
      <c r="R20" s="184"/>
      <c r="S20" s="184"/>
      <c r="T20" s="184"/>
      <c r="U20" s="184"/>
      <c r="V20" s="184"/>
      <c r="W20" s="184"/>
      <c r="X20" s="184"/>
      <c r="Y20" s="184"/>
      <c r="Z20" s="184"/>
    </row>
    <row r="21" spans="1:34" ht="14.65" customHeight="1" x14ac:dyDescent="0.7">
      <c r="A21" s="14"/>
      <c r="B21" s="56" t="s">
        <v>2</v>
      </c>
      <c r="C21" s="50" t="s">
        <v>614</v>
      </c>
      <c r="D21" s="50"/>
      <c r="E21" s="184" cm="1">
        <f t="array" ref="E21:G21">INDEX(146:146, _xlfn.XMATCH(INDEX(_xlfn.ANCHORARRAY(E4),1,1), 33:33, 0) + _xlfn.SEQUENCE(1, COLUMNS(_xlfn.ANCHORARRAY(E4))) - 1)</f>
        <v>3.8913967677850185</v>
      </c>
      <c r="F21" s="184">
        <v>3.0084398668710008</v>
      </c>
      <c r="G21" s="184">
        <v>3.1896844248388225</v>
      </c>
      <c r="H21" s="184"/>
      <c r="I21" s="184"/>
      <c r="J21" s="184"/>
      <c r="K21" s="184"/>
      <c r="L21" s="184"/>
      <c r="M21" s="184"/>
      <c r="N21" s="184"/>
      <c r="O21" s="184"/>
      <c r="P21" s="184"/>
      <c r="Q21" s="184"/>
      <c r="R21" s="184"/>
      <c r="S21" s="184"/>
      <c r="T21" s="184"/>
      <c r="U21" s="184"/>
      <c r="V21" s="184"/>
      <c r="W21" s="184"/>
      <c r="X21" s="184"/>
      <c r="Y21" s="184"/>
      <c r="Z21" s="184"/>
    </row>
    <row r="22" spans="1:34" ht="20.25" customHeight="1" x14ac:dyDescent="0.7">
      <c r="A22" s="14"/>
      <c r="B22" s="56" t="s">
        <v>280</v>
      </c>
      <c r="C22" s="50" t="s">
        <v>644</v>
      </c>
      <c r="D22" s="50"/>
      <c r="E22" s="141" cm="1">
        <f t="array" ref="E22:G22">_xlfn.LET(
  _xlpm.pos,  _xlfn.XMATCH(INDEX(_xlfn.ANCHORARRAY(E4),1,1)+0, 33:33+0, 0) + _xlfn.SEQUENCE(1, COLUMNS(_xlfn.ANCHORARRAY(E4))),
  _xlpm.num,  INDEX(35:35, _xlpm.pos - 1),
  _xlpm.den,  INDEX(35:35, _xlpm.pos - 2),
  IF((_xlpm.num=0) + (_xlpm.den=0), "", 100*(_xlpm.num/_xlpm.den - 1))
)</f>
        <v>-0.9414574313402313</v>
      </c>
      <c r="F22" s="141">
        <v>-3.7310985009997299E-2</v>
      </c>
      <c r="G22" s="182">
        <v>2.1381842045897326</v>
      </c>
      <c r="H22" s="182"/>
      <c r="I22" s="182"/>
      <c r="J22" s="182"/>
      <c r="K22" s="182"/>
      <c r="L22" s="182"/>
      <c r="M22" s="182"/>
      <c r="N22" s="182"/>
      <c r="O22" s="182"/>
      <c r="P22" s="182"/>
      <c r="Q22" s="182"/>
      <c r="R22" s="184"/>
      <c r="S22" s="184"/>
      <c r="T22" s="184"/>
      <c r="U22" s="184"/>
      <c r="V22" s="184"/>
      <c r="W22" s="184"/>
      <c r="X22" s="184"/>
      <c r="Y22" s="184"/>
      <c r="Z22" s="184"/>
    </row>
    <row r="23" spans="1:34" ht="14.65" customHeight="1" x14ac:dyDescent="0.7">
      <c r="A23" s="14"/>
      <c r="B23" s="56" t="s">
        <v>281</v>
      </c>
      <c r="C23" s="50" t="s">
        <v>644</v>
      </c>
      <c r="D23" s="50"/>
      <c r="E23" s="141"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1">
        <v>2.7885650030008202</v>
      </c>
      <c r="G23" s="182">
        <v>3.623853135142574</v>
      </c>
      <c r="H23" s="182"/>
      <c r="I23" s="182"/>
      <c r="J23" s="182"/>
      <c r="K23" s="182"/>
      <c r="L23" s="182"/>
      <c r="M23" s="182"/>
      <c r="N23" s="182"/>
      <c r="O23" s="182"/>
      <c r="P23" s="182"/>
      <c r="Q23" s="182"/>
      <c r="R23" s="182"/>
      <c r="S23" s="182"/>
      <c r="T23" s="182"/>
      <c r="U23" s="182"/>
      <c r="V23" s="182"/>
      <c r="W23" s="182"/>
      <c r="X23" s="182"/>
      <c r="Y23" s="182"/>
      <c r="Z23" s="182"/>
    </row>
    <row r="24" spans="1:34" ht="14.65" customHeight="1" x14ac:dyDescent="0.7">
      <c r="A24" s="14"/>
      <c r="B24" s="56" t="s">
        <v>282</v>
      </c>
      <c r="C24" s="50" t="s">
        <v>644</v>
      </c>
      <c r="D24" s="50"/>
      <c r="E24" s="141" cm="1">
        <f t="array" ref="E24:G24">_xlfn.LET(
  _xlpm.pos,  _xlfn.XMATCH(INDEX(_xlfn.ANCHORARRAY(E4),1,1)+0, 33:33+0, 0) + _xlfn.SEQUENCE(1, COLUMNS(_xlfn.ANCHORARRAY(E4))),
  _xlpm.num,  INDEX(34:34, _xlpm.pos - 1),
  _xlpm.den,  INDEX(34:34, _xlpm.pos - 2),
  IF((_xlpm.num=0) + (_xlpm.den=0), "", 100*(_xlpm.num/_xlpm.den - 1))
)</f>
        <v>9.630438336653846</v>
      </c>
      <c r="F24" s="141">
        <v>2.7502135769205571</v>
      </c>
      <c r="G24" s="182">
        <v>5.8395219950654553</v>
      </c>
      <c r="H24" s="182"/>
      <c r="I24" s="182"/>
      <c r="J24" s="182"/>
      <c r="K24" s="182"/>
      <c r="L24" s="182"/>
      <c r="M24" s="182"/>
      <c r="N24" s="182"/>
      <c r="O24" s="182"/>
      <c r="P24" s="182"/>
      <c r="Q24" s="182"/>
      <c r="R24" s="182"/>
      <c r="S24" s="182"/>
      <c r="T24" s="182"/>
      <c r="U24" s="182"/>
      <c r="V24" s="182"/>
      <c r="W24" s="182"/>
      <c r="X24" s="182"/>
      <c r="Y24" s="182"/>
      <c r="Z24" s="182"/>
    </row>
    <row r="25" spans="1:34" ht="14.65" customHeight="1" x14ac:dyDescent="0.7">
      <c r="A25" s="14"/>
      <c r="B25" s="56" t="s">
        <v>283</v>
      </c>
      <c r="C25" s="45" t="s">
        <v>644</v>
      </c>
      <c r="D25" s="45"/>
      <c r="E25" s="141" cm="1">
        <f t="array" ref="E25:G25">_xlfn.LET(
  _xlpm.pos,  _xlfn.XMATCH(INDEX(_xlfn.ANCHORARRAY(E4),1,1)+0, 33:33+0, 0) + _xlfn.SEQUENCE(1, COLUMNS(_xlfn.ANCHORARRAY(E4))),
  _xlpm.num,  INDEX(90:90, _xlpm.pos - 1),
  _xlpm.den,  INDEX(90:90, _xlpm.pos - 2),
  IF((_xlpm.num=0) + (_xlpm.den=0), "", 100*(_xlpm.num/_xlpm.den - 1))
)</f>
        <v>1.0494115850457675</v>
      </c>
      <c r="F25" s="143">
        <v>0.56895479625649337</v>
      </c>
      <c r="G25" s="184">
        <v>0.90465793805487582</v>
      </c>
      <c r="H25" s="184"/>
      <c r="I25" s="184"/>
      <c r="J25" s="184"/>
      <c r="K25" s="184"/>
      <c r="L25" s="184"/>
      <c r="M25" s="184"/>
      <c r="N25" s="184"/>
      <c r="O25" s="184"/>
      <c r="P25" s="184"/>
      <c r="Q25" s="184"/>
      <c r="R25" s="182"/>
      <c r="S25" s="182"/>
      <c r="T25" s="182"/>
      <c r="U25" s="182"/>
      <c r="V25" s="182"/>
      <c r="W25" s="182"/>
      <c r="X25" s="182"/>
      <c r="Y25" s="182"/>
      <c r="Z25" s="182"/>
    </row>
    <row r="26" spans="1:34" ht="14.65" customHeight="1" x14ac:dyDescent="0.7">
      <c r="A26" s="14"/>
      <c r="B26" s="56" t="s">
        <v>272</v>
      </c>
      <c r="C26" s="45" t="s">
        <v>610</v>
      </c>
      <c r="D26" s="45"/>
      <c r="E26" s="143" cm="1">
        <f t="array" ref="E26:G26">_xlfn.LET(
  _xlpm.pos,   _xlfn.XMATCH(INDEX(_xlfn.ANCHORARRAY(E4),1,1)+0, 33:33+0, 0) + _xlfn.SEQUENCE(1, COLUMNS(_xlfn.ANCHORARRAY(E4))),
  _xlpm.rGDP,  INDEX(89:89, _xlpm.pos - 1),
  _xlpm.pGDP,  INDEX(90:90, _xlpm.pos - 1),
  IF((_xlpm.rGDP=0) + (_xlpm.pGDP=0), "", 100*(_xlpm.rGDP/_xlpm.pGDP - 1))
)</f>
        <v>-0.6672176438640709</v>
      </c>
      <c r="F26" s="143">
        <v>-1.2657760235122772</v>
      </c>
      <c r="G26" s="184">
        <v>-5.9072774617829893E-2</v>
      </c>
      <c r="H26" s="184"/>
      <c r="I26" s="184"/>
      <c r="J26" s="184"/>
      <c r="K26" s="184"/>
      <c r="L26" s="184"/>
      <c r="M26" s="184"/>
      <c r="N26" s="184"/>
      <c r="O26" s="184"/>
      <c r="P26" s="184"/>
      <c r="Q26" s="184"/>
      <c r="R26" s="184"/>
      <c r="S26" s="184"/>
      <c r="T26" s="184"/>
      <c r="U26" s="184"/>
      <c r="V26" s="184"/>
      <c r="W26" s="184"/>
      <c r="X26" s="184"/>
      <c r="Y26" s="184"/>
      <c r="Z26" s="184"/>
    </row>
    <row r="27" spans="1:34" x14ac:dyDescent="0.4">
      <c r="B27" s="43" t="s">
        <v>606</v>
      </c>
      <c r="C27" s="148" t="s">
        <v>646</v>
      </c>
      <c r="D27" s="148"/>
      <c r="E27" s="143" cm="1">
        <f t="array" ref="E27:G27">INDEX(34:34, _xlfn.XMATCH(INDEX(_xlfn.ANCHORARRAY(E4),1,1), 33:33, 0) + _xlfn.SEQUENCE(1, COLUMNS(_xlfn.ANCHORARRAY(E4))) - 1)/1000</f>
        <v>39.5642</v>
      </c>
      <c r="F27" s="143">
        <v>40.652300000000004</v>
      </c>
      <c r="G27" s="184">
        <v>43.026199999999996</v>
      </c>
      <c r="H27" s="184"/>
      <c r="I27" s="184"/>
      <c r="J27" s="184"/>
      <c r="K27" s="184"/>
      <c r="L27" s="184"/>
      <c r="M27" s="184"/>
      <c r="N27" s="184"/>
      <c r="O27" s="184"/>
      <c r="P27" s="184"/>
      <c r="Q27" s="184"/>
      <c r="R27" s="184"/>
      <c r="S27" s="184"/>
      <c r="T27" s="184"/>
      <c r="U27" s="184"/>
      <c r="V27" s="184"/>
      <c r="W27" s="184"/>
      <c r="X27" s="184"/>
      <c r="Y27" s="184"/>
      <c r="Z27" s="184"/>
    </row>
    <row r="28" spans="1:34" x14ac:dyDescent="0.4">
      <c r="C28" s="8"/>
      <c r="D28" s="8"/>
      <c r="F28" s="145"/>
      <c r="G28" s="145"/>
      <c r="R28" s="184"/>
      <c r="S28" s="184"/>
      <c r="T28" s="184"/>
      <c r="U28" s="184"/>
      <c r="V28" s="184"/>
      <c r="W28" s="184"/>
      <c r="X28" s="184"/>
      <c r="Y28" s="184"/>
      <c r="Z28" s="184"/>
    </row>
    <row r="29" spans="1:34" ht="23.25" x14ac:dyDescent="0.7">
      <c r="A29" s="14" t="s">
        <v>839</v>
      </c>
      <c r="B29" s="8"/>
      <c r="C29" s="8"/>
    </row>
    <row r="30" spans="1:34" outlineLevel="1" x14ac:dyDescent="0.4">
      <c r="A30" s="151" t="s">
        <v>15</v>
      </c>
      <c r="B30" s="152" t="str">
        <f>Country</f>
        <v>Latvia</v>
      </c>
      <c r="C30" s="8"/>
    </row>
    <row r="31" spans="1:34" outlineLevel="1" x14ac:dyDescent="0.4">
      <c r="A31" s="151" t="s">
        <v>871</v>
      </c>
      <c r="B31" s="258">
        <v>46180.828206018516</v>
      </c>
      <c r="C31" s="8"/>
    </row>
    <row r="32" spans="1:34"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v>219.8</v>
      </c>
      <c r="E58" s="9">
        <v>394.5</v>
      </c>
      <c r="F58">
        <v>445</v>
      </c>
      <c r="G58">
        <v>444.6</v>
      </c>
    </row>
    <row r="59" spans="1:169" outlineLevel="1" x14ac:dyDescent="0.4">
      <c r="A59" t="s">
        <v>107</v>
      </c>
      <c r="B59" t="s">
        <v>106</v>
      </c>
      <c r="C59" t="s">
        <v>685</v>
      </c>
      <c r="D59" s="9">
        <v>0</v>
      </c>
      <c r="E59" s="9">
        <v>0</v>
      </c>
      <c r="F59">
        <v>0</v>
      </c>
      <c r="G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v>208.7</v>
      </c>
      <c r="E62" s="9">
        <v>339.8</v>
      </c>
      <c r="F62">
        <v>310.5</v>
      </c>
      <c r="G62">
        <v>806.4</v>
      </c>
    </row>
    <row r="63" spans="1:169" outlineLevel="1" x14ac:dyDescent="0.4">
      <c r="A63" t="s">
        <v>679</v>
      </c>
      <c r="B63" t="s">
        <v>109</v>
      </c>
      <c r="C63" t="s">
        <v>685</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v>194.3</v>
      </c>
      <c r="E87" s="147">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v>31849.74</v>
      </c>
      <c r="E89" s="9">
        <v>31549.83</v>
      </c>
      <c r="F89" s="9">
        <v>31538.14</v>
      </c>
      <c r="G89" s="9">
        <v>32212.39</v>
      </c>
      <c r="H89" s="9"/>
      <c r="I89" s="9"/>
      <c r="J89" s="9"/>
      <c r="K89" s="9"/>
      <c r="L89" s="9"/>
      <c r="M89" s="9"/>
      <c r="N89" s="9"/>
      <c r="O89" s="9"/>
      <c r="P89" s="9"/>
      <c r="Q89" s="9"/>
    </row>
    <row r="90" spans="1:169" outlineLevel="1" x14ac:dyDescent="0.4">
      <c r="A90" t="s">
        <v>692</v>
      </c>
      <c r="B90" t="s">
        <v>294</v>
      </c>
      <c r="C90" t="s">
        <v>683</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64"/>
      <c r="S105" s="64"/>
      <c r="T105" s="64"/>
      <c r="U105" s="64"/>
      <c r="V105" s="64"/>
      <c r="W105" s="64"/>
      <c r="X105" s="64"/>
      <c r="Y105" s="64"/>
      <c r="Z105" s="64"/>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623</v>
      </c>
      <c r="C132" t="s">
        <v>832</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831</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833</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624</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625</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4"/>
      <c r="B156" s="58"/>
      <c r="R156" s="7"/>
      <c r="S156" s="7"/>
      <c r="T156" s="7"/>
      <c r="U156" s="7"/>
      <c r="V156" s="7"/>
      <c r="W156" s="7"/>
      <c r="X156" s="7"/>
      <c r="Y156" s="7"/>
      <c r="Z156" s="7"/>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64"/>
      <c r="S159" s="64"/>
      <c r="T159" s="64"/>
      <c r="U159" s="64"/>
      <c r="V159" s="64"/>
      <c r="W159" s="64"/>
      <c r="X159" s="64"/>
      <c r="Y159" s="64"/>
      <c r="Z159" s="64"/>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834</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6">
        <f t="shared" ref="D182:E182" si="199">D60</f>
        <v>267.7</v>
      </c>
      <c r="E182" s="146">
        <f t="shared" si="199"/>
        <v>87.9</v>
      </c>
      <c r="F182" s="146">
        <f t="shared" ref="F182:K182" si="200">F60</f>
        <v>128.30000000000001</v>
      </c>
      <c r="G182" s="146">
        <f t="shared" si="200"/>
        <v>47.1</v>
      </c>
      <c r="H182" s="146">
        <f t="shared" si="200"/>
        <v>0</v>
      </c>
      <c r="I182" s="146">
        <f t="shared" si="200"/>
        <v>0</v>
      </c>
      <c r="J182" s="146">
        <f t="shared" si="200"/>
        <v>0</v>
      </c>
      <c r="K182" s="146">
        <f t="shared" si="200"/>
        <v>0</v>
      </c>
      <c r="L182" s="146">
        <f t="shared" ref="L182:Z183" si="201">L60</f>
        <v>0</v>
      </c>
      <c r="M182" s="146">
        <f t="shared" si="201"/>
        <v>0</v>
      </c>
      <c r="N182" s="146">
        <f t="shared" si="201"/>
        <v>0</v>
      </c>
      <c r="O182" s="146">
        <f t="shared" si="201"/>
        <v>0</v>
      </c>
      <c r="P182" s="146">
        <f t="shared" si="201"/>
        <v>0</v>
      </c>
      <c r="Q182" s="146">
        <f t="shared" si="201"/>
        <v>0</v>
      </c>
    </row>
    <row r="183" spans="1:26" outlineLevel="1" x14ac:dyDescent="0.4">
      <c r="A183" s="1">
        <v>22</v>
      </c>
      <c r="B183" t="s">
        <v>53</v>
      </c>
      <c r="C183" t="s">
        <v>86</v>
      </c>
      <c r="D183" s="146">
        <f t="shared" ref="D183:E183" si="202">D84+D78</f>
        <v>305.39999999999998</v>
      </c>
      <c r="E183" s="146">
        <f t="shared" si="202"/>
        <v>51</v>
      </c>
      <c r="F183" s="146">
        <f t="shared" ref="F183:K183" si="203">F84+F78</f>
        <v>153</v>
      </c>
      <c r="G183" s="146">
        <f t="shared" si="203"/>
        <v>-3.3000000000000007</v>
      </c>
      <c r="H183" s="146">
        <f t="shared" si="203"/>
        <v>0</v>
      </c>
      <c r="I183" s="146">
        <f t="shared" si="203"/>
        <v>0</v>
      </c>
      <c r="J183" s="146">
        <f t="shared" si="203"/>
        <v>0</v>
      </c>
      <c r="K183" s="146">
        <f t="shared" si="203"/>
        <v>0</v>
      </c>
      <c r="L183" s="146">
        <f t="shared" ref="L183:Z184" si="204">L84+L78</f>
        <v>0</v>
      </c>
      <c r="M183" s="146">
        <f t="shared" si="204"/>
        <v>0</v>
      </c>
      <c r="N183" s="146">
        <f t="shared" si="204"/>
        <v>0</v>
      </c>
      <c r="O183" s="146">
        <f t="shared" si="204"/>
        <v>0</v>
      </c>
      <c r="P183" s="146">
        <f t="shared" si="204"/>
        <v>0</v>
      </c>
      <c r="Q183" s="146">
        <f t="shared" si="204"/>
        <v>0</v>
      </c>
      <c r="R183" s="146">
        <f t="shared" si="201"/>
        <v>0</v>
      </c>
      <c r="S183" s="146">
        <f t="shared" si="201"/>
        <v>0</v>
      </c>
      <c r="T183" s="146">
        <f t="shared" si="201"/>
        <v>0</v>
      </c>
      <c r="U183" s="146">
        <f t="shared" si="201"/>
        <v>0</v>
      </c>
      <c r="V183" s="146">
        <f t="shared" si="201"/>
        <v>0</v>
      </c>
      <c r="W183" s="146">
        <f t="shared" si="201"/>
        <v>0</v>
      </c>
      <c r="X183" s="146">
        <f t="shared" si="201"/>
        <v>0</v>
      </c>
      <c r="Y183" s="146">
        <f t="shared" si="201"/>
        <v>0</v>
      </c>
      <c r="Z183" s="146">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6">
        <f t="shared" si="204"/>
        <v>0</v>
      </c>
      <c r="S184" s="146">
        <f t="shared" si="204"/>
        <v>0</v>
      </c>
      <c r="T184" s="146">
        <f t="shared" si="204"/>
        <v>0</v>
      </c>
      <c r="U184" s="146">
        <f t="shared" si="204"/>
        <v>0</v>
      </c>
      <c r="V184" s="146">
        <f t="shared" si="204"/>
        <v>0</v>
      </c>
      <c r="W184" s="146">
        <f t="shared" si="204"/>
        <v>0</v>
      </c>
      <c r="X184" s="146">
        <f t="shared" si="204"/>
        <v>0</v>
      </c>
      <c r="Y184" s="146">
        <f t="shared" si="204"/>
        <v>0</v>
      </c>
      <c r="Z184" s="146">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622</v>
      </c>
      <c r="C187" t="s">
        <v>832</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831</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833</v>
      </c>
      <c r="D189" s="259">
        <f>-D97</f>
        <v>0</v>
      </c>
      <c r="E189" s="259">
        <f t="shared" ref="E189:O189" si="214">-E97</f>
        <v>0</v>
      </c>
      <c r="F189" s="259">
        <f t="shared" si="214"/>
        <v>0</v>
      </c>
      <c r="G189" s="25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4" type="noConversion"/>
  <conditionalFormatting sqref="D34:Q99">
    <cfRule type="expression" dxfId="108" priority="12">
      <formula>ISNUMBER(D$33)</formula>
    </cfRule>
  </conditionalFormatting>
  <conditionalFormatting sqref="E4:Q4 V4:Z4">
    <cfRule type="expression" dxfId="107" priority="11">
      <formula>ISNUMBER(E4)</formula>
    </cfRule>
  </conditionalFormatting>
  <conditionalFormatting sqref="F5:Q5 W5:Z5">
    <cfRule type="expression" dxfId="106" priority="10">
      <formula>F4&lt;&gt;""</formula>
    </cfRule>
  </conditionalFormatting>
  <conditionalFormatting sqref="E27:Q27">
    <cfRule type="expression" dxfId="105" priority="9">
      <formula>ISNUMBER(E4)</formula>
    </cfRule>
  </conditionalFormatting>
  <conditionalFormatting sqref="AT49:AU49 AT58:AU58 AT62:AU62 AT84:AU84 AT88:AU90 AT45:AU47">
    <cfRule type="expression" dxfId="104" priority="137">
      <formula>ISNUMBER(#REF!)</formula>
    </cfRule>
  </conditionalFormatting>
  <conditionalFormatting sqref="F103:Q105 F117:Q168 F170:Q210">
    <cfRule type="expression" dxfId="103" priority="3">
      <formula>NOT(ISNUMBER(F$103))</formula>
    </cfRule>
  </conditionalFormatting>
  <conditionalFormatting sqref="E5">
    <cfRule type="expression" dxfId="102" priority="2">
      <formula>ISNUMBER(E4)</formula>
    </cfRule>
  </conditionalFormatting>
  <conditionalFormatting sqref="V5">
    <cfRule type="expression" dxfId="101" priority="1">
      <formula>ISNUMBER(V4)</formula>
    </cfRule>
  </conditionalFormatting>
  <conditionalFormatting sqref="R35:Z100">
    <cfRule type="expression" dxfId="100" priority="1025">
      <formula>ISNUMBER(R$34)</formula>
    </cfRule>
  </conditionalFormatting>
  <conditionalFormatting sqref="R28:Z28">
    <cfRule type="expression" dxfId="99" priority="1027">
      <formula>ISNUMBER(R4)</formula>
    </cfRule>
  </conditionalFormatting>
  <conditionalFormatting sqref="R104:Z106 R118:Z169 R171:Z211">
    <cfRule type="expression" dxfId="98" priority="1029">
      <formula>NOT(ISNUMBER(R$104))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election activeCell="N83" sqref="N83"/>
    </sheetView>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873</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Annual Progress Report 2026</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17.182600000000001</v>
      </c>
      <c r="E8" s="168">
        <f>IF(ISNUMBER(E$6),IF(AND(E$6&gt;=MTP_BaseYear,E$6&lt;=OutturnThrough),'Step 2 - Update outturn data'!F6,INDEX($D$59:$J$59,MATCH(E$6,$D$34:$J$34,0))/100*E$29),"")</f>
        <v>18.413499999999999</v>
      </c>
      <c r="F8" s="168">
        <f>IF(ISNUMBER(F$6),IF(AND(F$6&gt;=MTP_BaseYear,F$6&lt;=OutturnThrough),'Step 2 - Update outturn data'!G6,INDEX($D$59:$J$59,MATCH(F$6,$D$34:$J$34,0))/100*F$29),"")</f>
        <v>19.8324</v>
      </c>
      <c r="G8" s="168">
        <f>IF(ISNUMBER(G$6),IF(AND(G$6&gt;=MTP_BaseYear,G$6&lt;=OutturnThrough),'Step 2 - Update outturn data'!H6,INDEX($D$59:$J$59,MATCH(G$6,$D$34:$J$34,0))/100*G$29),"")</f>
        <v>20.588509988199995</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0.28689999999999999</v>
      </c>
      <c r="E9" s="168">
        <f>IF(ISNUMBER(E$6),IF(AND(E$6&gt;=MTP_BaseYear,E$6&lt;=OutturnThrough),'Step 2 - Update outturn data'!F7,INDEX($D$50:$J$50,MATCH(E$6,$D$34:$J$34,0))/100*E$29),"")</f>
        <v>0.44330000000000003</v>
      </c>
      <c r="F9" s="168">
        <f>IF(ISNUMBER(F$6),IF(AND(F$6&gt;=MTP_BaseYear,F$6&lt;=OutturnThrough),'Step 2 - Update outturn data'!G7,INDEX($D$50:$J$50,MATCH(F$6,$D$34:$J$34,0))/100*F$29),"")</f>
        <v>0.4758</v>
      </c>
      <c r="G9" s="168">
        <f>IF(ISNUMBER(G$6),IF(AND(G$6&gt;=MTP_BaseYear,G$6&lt;=OutturnThrough),'Step 2 - Update outturn data'!H7,INDEX($D$50:$J$50,MATCH(G$6,$D$34:$J$34,0))/100*G$29),"")</f>
        <v>0.59346037659999995</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-2.3600000000000001E-3</v>
      </c>
      <c r="E10" s="168">
        <f>IF(ISNUMBER(E$6),IF(AND(E$6&gt;=MTP_BaseYear,E$6&lt;=OutturnThrough),'Step 2 - Update outturn data'!F8,INDEX($D$63:$J$63,MATCH(E$6,$D$34:$J$34,0))/100*E$29),"")</f>
        <v>3.14E-3</v>
      </c>
      <c r="F10" s="168">
        <f>IF(ISNUMBER(F$6),IF(AND(F$6&gt;=MTP_BaseYear,F$6&lt;=OutturnThrough),'Step 2 - Update outturn data'!G8,INDEX($D$63:$J$63,MATCH(F$6,$D$34:$J$34,0))/100*F$29),"")</f>
        <v>6.7000000000000002E-3</v>
      </c>
      <c r="G10" s="168">
        <f>IF(ISNUMBER(G$6),IF(AND(G$6&gt;=MTP_BaseYear,G$6&lt;=OutturnThrough),'Step 2 - Update outturn data'!H8,INDEX($D$63:$J$63,MATCH(G$6,$D$34:$J$34,0))/100*G$29),"")</f>
        <v>9.130159639999998E-3</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0.75171979999999994</v>
      </c>
      <c r="E11" s="168">
        <f>IF(ISNUMBER(E$6),IF(AND(E$6&gt;=MTP_BaseYear,E$6&lt;=OutturnThrough),'Step 2 - Update outturn data'!F9,INDEX($D$60:$J$60,MATCH(E$6,$D$34:$J$34,0))/100*E$29),"")</f>
        <v>0.77239370000000007</v>
      </c>
      <c r="F11" s="168">
        <f>IF(ISNUMBER(F$6),IF(AND(F$6&gt;=MTP_BaseYear,F$6&lt;=OutturnThrough),'Step 2 - Update outturn data'!G9,INDEX($D$60:$J$60,MATCH(F$6,$D$34:$J$34,0))/100*F$29),"")</f>
        <v>0.81749779999999994</v>
      </c>
      <c r="G11" s="168">
        <f>IF(ISNUMBER(G$6),IF(AND(G$6&gt;=MTP_BaseYear,G$6&lt;=OutturnThrough),'Step 2 - Update outturn data'!H9,INDEX($D$60:$J$60,MATCH(G$6,$D$34:$J$34,0))/100*G$29),"")</f>
        <v>0.91301596399999985</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0.15825</v>
      </c>
      <c r="E12" s="168">
        <f>IF(ISNUMBER(E$6),IF(AND(E$6&gt;=MTP_BaseYear,E$6&lt;=OutturnThrough),'Step 2 - Update outturn data'!F10,INDEX($D$62:$J$62,MATCH(E$6,$D$34:$J$34,0))/100*E$29),"")</f>
        <v>0.13764999999999999</v>
      </c>
      <c r="F12" s="168">
        <f>IF(ISNUMBER(F$6),IF(AND(F$6&gt;=MTP_BaseYear,F$6&lt;=OutturnThrough),'Step 2 - Update outturn data'!G10,INDEX($D$62:$J$62,MATCH(F$6,$D$34:$J$34,0))/100*F$29),"")</f>
        <v>0.19919999999999999</v>
      </c>
      <c r="G12" s="168">
        <f>IF(ISNUMBER(G$6),IF(AND(G$6&gt;=MTP_BaseYear,G$6&lt;=OutturnThrough),'Step 2 - Update outturn data'!H10,INDEX($D$62:$J$62,MATCH(G$6,$D$34:$J$34,0))/100*G$29),"")</f>
        <v>0.22825399099999996</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v>
      </c>
      <c r="E13" s="168">
        <f>IF(ISNUMBER(E$6),IF(AND(E$6&gt;=MTP_BaseYear,E$6&lt;=OutturnThrough),'Step 2 - Update outturn data'!F11,INDEX($D$64:$J$64,MATCH(E$6,$D$34:$J$34,0))/100*E$29),"")</f>
        <v>0</v>
      </c>
      <c r="F13" s="168">
        <f>IF(ISNUMBER(F$6),IF(AND(F$6&gt;=MTP_BaseYear,F$6&lt;=OutturnThrough),'Step 2 - Update outturn data'!G11,INDEX($D$64:$J$64,MATCH(F$6,$D$34:$J$34,0))/100*F$29),"")</f>
        <v>0</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16.005510000000005</v>
      </c>
      <c r="E14" s="168">
        <f>IF(ISNUMBER(E$6),IF(AND(E$6&gt;=MTP_BaseYear,E$6&lt;=OutturnThrough),'Step 2 - Update outturn data'!F12,INDEX($D$65:$J$65,MATCH(E$6,$D$34:$J$34,0))/100*E$29),"")</f>
        <v>17.073910000000001</v>
      </c>
      <c r="F14" s="168">
        <f>IF(ISNUMBER(F$6),IF(AND(F$6&gt;=MTP_BaseYear,F$6&lt;=OutturnThrough),'Step 2 - Update outturn data'!G12,INDEX($D$65:$J$65,MATCH(F$6,$D$34:$J$34,0))/100*F$29),"")</f>
        <v>17.899699999999999</v>
      </c>
      <c r="G14" s="168">
        <f>IF(ISNUMBER(G$6),IF(AND(G$6&gt;=MTP_BaseYear,G$6&lt;=OutturnThrough),'Step 2 - Update outturn data'!H12,INDEX($D$65:$J$65,MATCH(G$6,$D$34:$J$34,0))/100*G$29),"")</f>
        <v>18.853779656599993</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-7.9128400000000002E-2</v>
      </c>
      <c r="E15" s="168">
        <f>IF(ISNUMBER(E$6),IF(AND(E$6&gt;=MTP_BaseYear,E$6&lt;=OutturnThrough),'Step 2 - Update outturn data'!F13,(INDEX($D$45:$J$45,MATCH(E$6,$D$34:$J$34,0))-INDEX($D$46:$J$46,MATCH(E$6,$D$34:$J$34,0)))/100*E$29),"")</f>
        <v>0.24391380000000004</v>
      </c>
      <c r="F15" s="168">
        <f>IF(ISNUMBER(F$6),IF(AND(F$6&gt;=MTP_BaseYear,F$6&lt;=OutturnThrough),'Step 2 - Update outturn data'!G13,(INDEX($D$45:$J$45,MATCH(F$6,$D$34:$J$34,0))-INDEX($D$46:$J$46,MATCH(F$6,$D$34:$J$34,0)))/100*F$29),"")</f>
        <v>4.3026199999999994E-2</v>
      </c>
      <c r="G15" s="168">
        <f>IF(ISNUMBER(G$6),IF(AND(G$6&gt;=MTP_BaseYear,G$6&lt;=OutturnThrough),'Step 2 - Update outturn data'!H13,(INDEX($D$45:$J$45,MATCH(G$6,$D$34:$J$34,0))-INDEX($D$46:$J$46,MATCH(G$6,$D$34:$J$34,0)))/100*G$29),"")</f>
        <v>-9.1301596399999976E-2</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1.0249299999999999</v>
      </c>
      <c r="E16" s="168">
        <f>IF(ISNUMBER(E$6),IF(AND(E$6&gt;=MTP_BaseYear,E$6&lt;=OutturnThrough),'Step 2 - Update outturn data'!F14,INDEX($D$87:$J$87,MATCH(E$6,$D$34:$J$34,0))/100*E$29),"")</f>
        <v>1.10371</v>
      </c>
      <c r="F16" s="168">
        <f>IF(ISNUMBER(F$6),IF(AND(F$6&gt;=MTP_BaseYear,F$6&lt;=OutturnThrough),'Step 2 - Update outturn data'!G14,INDEX($D$87:$J$87,MATCH(F$6,$D$34:$J$34,0))/100*F$29),"")</f>
        <v>1.36114</v>
      </c>
      <c r="G16" s="168">
        <f>IF(ISNUMBER(G$6),IF(AND(G$6&gt;=MTP_BaseYear,G$6&lt;=OutturnThrough),'Step 2 - Update outturn data'!H14,INDEX($D$87:$J$87,MATCH(G$6,$D$34:$J$34,0))/100*G$29),"")</f>
        <v>2.1573508744079999</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f>IF(ISNUMBER(E$6),IF(AND(E$6&gt;=MTP_BaseYear,E$6&lt;=OutturnThrough),'Step 2 - Update outturn data'!F15,INDEX($D$67:$J$67,MATCH(E$6,$D$34:$J$34,0))),"")</f>
        <v>5.1512647831902569</v>
      </c>
      <c r="F17" s="168">
        <f>IF(ISNUMBER(F$6),IF(AND(F$6&gt;=MTP_BaseYear,F$6&lt;=OutturnThrough),'Step 2 - Update outturn data'!G15,INDEX($D$67:$J$67,MATCH(F$6,$D$34:$J$34,0))),"")</f>
        <v>4.5845608885135114</v>
      </c>
      <c r="G17" s="168">
        <f>IF(ISNUMBER(G$6),IF(AND(G$6&gt;=MTP_BaseYear,G$6&lt;=OutturnThrough),'Step 2 - Update outturn data'!H15,INDEX($D$67:$J$67,MATCH(G$6,$D$34:$J$34,0))),"")</f>
        <v>5.3</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f>IF(ISNUMBER(E$6),IF(E$6&lt;=MTP_BaseYear,"",IF(ISNUMBER(D18),((1+D18/100)*(1+E17/100)-1)*100,E17)),"")</f>
        <v>5.1512647831902569</v>
      </c>
      <c r="F18" s="70">
        <f>IF(ISNUMBER(F$6),IF(F$6&lt;=MTP_BaseYear,"",IF(ISNUMBER(E18),((1+E18/100)*(1+F17/100)-1)*100,F17)),"")</f>
        <v>9.9719885422176802</v>
      </c>
      <c r="G18" s="70">
        <f>IF(ISNUMBER(G$6),IF(G$6&lt;=MTP_BaseYear,"",IF(ISNUMBER(F18),((1+F18/100)*(1+G17/100)-1)*100,G17)),"")</f>
        <v>15.800503934955202</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f>IF(ISNUMBER(D$6),IF(AND(D$6&gt;=MTP_BaseYear,D$6&lt;=OutturnThrough),'Step 2 - Update outturn data'!E17,INDEX($D$69:$J$69,MATCH(D$6,$D$34:$J$34,0))),"")</f>
        <v>-2.342774528487884</v>
      </c>
      <c r="E19" s="168">
        <f>IF(ISNUMBER(E$6),IF(AND(E$6&gt;=MTP_BaseYear,E$6&lt;=OutturnThrough),'Step 2 - Update outturn data'!F17,INDEX($D$69:$J$69,MATCH(E$6,$D$34:$J$34,0))),"")</f>
        <v>-1.7868607680254289</v>
      </c>
      <c r="F19" s="168">
        <f>IF(ISNUMBER(F$6),IF(AND(F$6&gt;=MTP_BaseYear,F$6&lt;=OutturnThrough),'Step 2 - Update outturn data'!G17,INDEX($D$69:$J$69,MATCH(F$6,$D$34:$J$34,0))),"")</f>
        <v>-2.5407774797681517</v>
      </c>
      <c r="G19" s="168">
        <f>IF(ISNUMBER(G$6),IF(AND(G$6&gt;=MTP_BaseYear,G$6&lt;=OutturnThrough),'Step 2 - Update outturn data'!H17,INDEX($D$69:$J$69,MATCH(G$6,$D$34:$J$34,0))),"")</f>
        <v>-3</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-2.0901399999999999</v>
      </c>
      <c r="E20" s="168">
        <f>IF(ISNUMBER(E$6),IF(AND(E$6&gt;=MTP_BaseYear,E$6&lt;=OutturnThrough),'Step 2 - Update outturn data'!F18,INDEX($D$72:$J$72,MATCH(E$6,$D$34:$J$34,0))),"")</f>
        <v>-1.3087</v>
      </c>
      <c r="F20" s="168">
        <f>IF(ISNUMBER(F$6),IF(AND(F$6&gt;=MTP_BaseYear,F$6&lt;=OutturnThrough),'Step 2 - Update outturn data'!G18,INDEX($D$72:$J$72,MATCH(F$6,$D$34:$J$34,0))),"")</f>
        <v>-2.5189499999999998</v>
      </c>
      <c r="G20" s="168">
        <f>IF(ISNUMBER(G$6),IF(AND(G$6&gt;=MTP_BaseYear,G$6&lt;=OutturnThrough),'Step 2 - Update outturn data'!H18,INDEX($D$72:$J$72,MATCH(G$6,$D$34:$J$34,0))),"")</f>
        <v>-2.6</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-1.3650599999999999</v>
      </c>
      <c r="E21" s="168">
        <f>IF(ISNUMBER(E$6),IF(AND(E$6&gt;=MTP_BaseYear,E$6&lt;=OutturnThrough),'Step 2 - Update outturn data'!F19,INDEX($D$73:$J$73,MATCH(E$6,$D$34:$J$34,0))),"")</f>
        <v>-0.21811</v>
      </c>
      <c r="F21" s="168">
        <f>IF(ISNUMBER(F$6),IF(AND(F$6&gt;=MTP_BaseYear,F$6&lt;=OutturnThrough),'Step 2 - Update outturn data'!G19,INDEX($D$73:$J$73,MATCH(F$6,$D$34:$J$34,0))),"")</f>
        <v>-1.41309</v>
      </c>
      <c r="G21" s="168">
        <f>IF(ISNUMBER(G$6),IF(AND(G$6&gt;=MTP_BaseYear,G$6&lt;=OutturnThrough),'Step 2 - Update outturn data'!H19,INDEX($D$73:$J$73,MATCH(G$6,$D$34:$J$34,0))),"")</f>
        <v>-1.3</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f>IF(ISNUMBER(D$6),IF(AND(D$6&gt;=MTP_BaseYear,D$6&lt;=OutturnThrough),'Step 2 - Update outturn data'!E20,INDEX($D$75:$J$75,MATCH(D$6,$D$34:$J$34,0))),"")</f>
        <v>44.430318318075436</v>
      </c>
      <c r="E22" s="168">
        <f>IF(ISNUMBER(E$6),IF(AND(E$6&gt;=MTP_BaseYear,E$6&lt;=OutturnThrough),'Step 2 - Update outturn data'!F20,INDEX($D$75:$J$75,MATCH(E$6,$D$34:$J$34,0))),"")</f>
        <v>46.249535696627248</v>
      </c>
      <c r="F22" s="168">
        <f>IF(ISNUMBER(F$6),IF(AND(F$6&gt;=MTP_BaseYear,F$6&lt;=OutturnThrough),'Step 2 - Update outturn data'!G20,INDEX($D$75:$J$75,MATCH(F$6,$D$34:$J$34,0))),"")</f>
        <v>46.887477862325753</v>
      </c>
      <c r="G22" s="168">
        <f>IF(ISNUMBER(G$6),IF(AND(G$6&gt;=MTP_BaseYear,G$6&lt;=OutturnThrough),'Step 2 - Update outturn data'!H20,INDEX($D$75:$J$75,MATCH(G$6,$D$34:$J$34,0))),"")</f>
        <v>47.9</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f>IF(ISNUMBER(D$6),IF(AND(D$6&gt;=MTP_BaseYear,D$6&lt;=OutturnThrough),'Step 2 - Update outturn data'!E21,INDEX($D$76:$J$76,MATCH(D$6,$D$34:$J$34,0))),"")</f>
        <v>3.8913967677850185</v>
      </c>
      <c r="E23" s="168">
        <f>IF(ISNUMBER(E$6),IF(AND(E$6&gt;=MTP_BaseYear,E$6&lt;=OutturnThrough),'Step 2 - Update outturn data'!F21,INDEX($D$76:$J$76,MATCH(E$6,$D$34:$J$34,0))),"")</f>
        <v>3.0084398668710008</v>
      </c>
      <c r="F23" s="168">
        <f>IF(ISNUMBER(F$6),IF(AND(F$6&gt;=MTP_BaseYear,F$6&lt;=OutturnThrough),'Step 2 - Update outturn data'!G21,INDEX($D$76:$J$76,MATCH(F$6,$D$34:$J$34,0))),"")</f>
        <v>3.1896844248388225</v>
      </c>
      <c r="G23" s="168">
        <f>IF(ISNUMBER(G$6),IF(AND(G$6&gt;=MTP_BaseYear,G$6&lt;=OutturnThrough),'Step 2 - Update outturn data'!H21,INDEX($D$76:$J$76,MATCH(G$6,$D$34:$J$34,0))),"")</f>
        <v>0.9</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f>IF(ISNUMBER(D$6),IF(AND(D$6&gt;=MTP_BaseYear,D$6&lt;=OutturnThrough),'Step 2 - Update outturn data'!E22,INDEX($D$94:$J$94,MATCH(D$6,$D$92:$J$92,0))),"")</f>
        <v>-0.9414574313402313</v>
      </c>
      <c r="E24" s="168">
        <f>IF(ISNUMBER(E$6),IF(AND(E$6&gt;=MTP_BaseYear,E$6&lt;=OutturnThrough),'Step 2 - Update outturn data'!F22,INDEX($D$94:$J$94,MATCH(E$6,$D$92:$J$92,0))),"")</f>
        <v>-3.7310985009997299E-2</v>
      </c>
      <c r="F24" s="168">
        <f>IF(ISNUMBER(F$6),IF(AND(F$6&gt;=MTP_BaseYear,F$6&lt;=OutturnThrough),'Step 2 - Update outturn data'!G22,INDEX($D$94:$J$94,MATCH(F$6,$D$92:$J$92,0))),"")</f>
        <v>2.1381842045897326</v>
      </c>
      <c r="G24" s="168">
        <f>IF(ISNUMBER(G$6),IF(AND(G$6&gt;=MTP_BaseYear,G$6&lt;=OutturnThrough),'Step 2 - Update outturn data'!H22,INDEX($D$94:$J$94,MATCH(G$6,$D$92:$J$92,0))),"")</f>
        <v>2.6</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f>IF(ISNUMBER(D$6),IF(AND(D$6&gt;=MTP_BaseYear,D$6&lt;=OutturnThrough),'Step 2 - Update outturn data'!E23,INDEX($D$95:$J$95,MATCH(D$6,$D$92:$J$92,0))),"")</f>
        <v>10.672371603556009</v>
      </c>
      <c r="E25" s="168">
        <f>IF(ISNUMBER(E$6),IF(AND(E$6&gt;=MTP_BaseYear,E$6&lt;=OutturnThrough),'Step 2 - Update outturn data'!F23,INDEX($D$95:$J$95,MATCH(E$6,$D$92:$J$92,0))),"")</f>
        <v>2.7885650030008202</v>
      </c>
      <c r="F25" s="168">
        <f>IF(ISNUMBER(F$6),IF(AND(F$6&gt;=MTP_BaseYear,F$6&lt;=OutturnThrough),'Step 2 - Update outturn data'!G23,INDEX($D$95:$J$95,MATCH(F$6,$D$92:$J$92,0))),"")</f>
        <v>3.623853135142574</v>
      </c>
      <c r="G25" s="168">
        <f>IF(ISNUMBER(G$6),IF(AND(G$6&gt;=MTP_BaseYear,G$6&lt;=OutturnThrough),'Step 2 - Update outturn data'!H23,INDEX($D$95:$J$95,MATCH(G$6,$D$92:$J$92,0))),"")</f>
        <v>3.3</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f>IF(ISNUMBER(D$6),IF(AND(D$6&gt;=MTP_BaseYear,D$6&lt;=OutturnThrough),'Step 2 - Update outturn data'!E24,INDEX($D$96:$J$96,MATCH(D$6,$D$92:$J$92,0))),"")</f>
        <v>9.630438336653846</v>
      </c>
      <c r="E26" s="168">
        <f>IF(ISNUMBER(E$6),IF(AND(E$6&gt;=MTP_BaseYear,E$6&lt;=OutturnThrough),'Step 2 - Update outturn data'!F24,INDEX($D$96:$J$96,MATCH(E$6,$D$92:$J$92,0))),"")</f>
        <v>2.7502135769205571</v>
      </c>
      <c r="F26" s="168">
        <f>IF(ISNUMBER(F$6),IF(AND(F$6&gt;=MTP_BaseYear,F$6&lt;=OutturnThrough),'Step 2 - Update outturn data'!G24,INDEX($D$96:$J$96,MATCH(F$6,$D$92:$J$92,0))),"")</f>
        <v>5.8395219950654553</v>
      </c>
      <c r="G26" s="168">
        <f>IF(ISNUMBER(G$6),IF(AND(G$6&gt;=MTP_BaseYear,G$6&lt;=OutturnThrough),'Step 2 - Update outturn data'!H24,INDEX($D$96:$J$96,MATCH(G$6,$D$92:$J$92,0))),"")</f>
        <v>6.1</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f>IF(ISNUMBER(D$6),IF(AND(D$6&gt;=MTP_BaseYear,D$6&lt;=OutturnThrough),'Step 2 - Update outturn data'!E25,INDEX($D$125:$J$125,MATCH(D$6,$D$92:$J$92,0))),"")</f>
        <v>1.0494115850457675</v>
      </c>
      <c r="E27" s="168">
        <f>IF(ISNUMBER(E$6),IF(AND(E$6&gt;=MTP_BaseYear,E$6&lt;=OutturnThrough),'Step 2 - Update outturn data'!F25,INDEX($D$125:$J$125,MATCH(E$6,$D$92:$J$92,0))),"")</f>
        <v>0.56895479625649337</v>
      </c>
      <c r="F27" s="168">
        <f>IF(ISNUMBER(F$6),IF(AND(F$6&gt;=MTP_BaseYear,F$6&lt;=OutturnThrough),'Step 2 - Update outturn data'!G25,INDEX($D$125:$J$125,MATCH(F$6,$D$92:$J$92,0))),"")</f>
        <v>0.90465793805487582</v>
      </c>
      <c r="G27" s="168">
        <f>IF(ISNUMBER(G$6),IF(AND(G$6&gt;=MTP_BaseYear,G$6&lt;=OutturnThrough),'Step 2 - Update outturn data'!H25,INDEX($D$125:$J$125,MATCH(G$6,$D$92:$J$92,0))),"")</f>
        <v>1.9</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f>IF(ISNUMBER(D$6),IF(AND(D$6&gt;=MTP_BaseYear,D$6&lt;=OutturnThrough),'Step 2 - Update outturn data'!E26,INDEX($D$131:$J$131,MATCH(D$6,$D$92:$J$92,0))),"")</f>
        <v>-0.6672176438640709</v>
      </c>
      <c r="E28" s="168">
        <f>IF(ISNUMBER(E$6),IF(AND(E$6&gt;=MTP_BaseYear,E$6&lt;=OutturnThrough),'Step 2 - Update outturn data'!F26,INDEX($D$131:$J$131,MATCH(E$6,$D$92:$J$92,0))),"")</f>
        <v>-1.2657760235122772</v>
      </c>
      <c r="F28" s="168">
        <f>IF(ISNUMBER(F$6),IF(AND(F$6&gt;=MTP_BaseYear,F$6&lt;=OutturnThrough),'Step 2 - Update outturn data'!G26,INDEX($D$131:$J$131,MATCH(F$6,$D$92:$J$92,0))),"")</f>
        <v>-5.9072774617829893E-2</v>
      </c>
      <c r="G28" s="168">
        <f>IF(ISNUMBER(G$6),IF(AND(G$6&gt;=MTP_BaseYear,G$6&lt;=OutturnThrough),'Step 2 - Update outturn data'!H26,INDEX($D$131:$J$131,MATCH(G$6,$D$92:$J$92,0))),"")</f>
        <v>-1</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39.5642</v>
      </c>
      <c r="E29" s="169">
        <f>IF(ISNUMBER(E$6),IF(AND(E$6&gt;=MTP_BaseYear,E$6&lt;=OutturnThrough),'Step 2 - Update outturn data'!F27,D29*(1+INDEX($D$96:$J$96,MATCH(E$6,$D$92:$J$92,0))/100)),"")</f>
        <v>40.652300000000004</v>
      </c>
      <c r="F29" s="169">
        <f>IF(ISNUMBER(F$6),IF(AND(F$6&gt;=MTP_BaseYear,F$6&lt;=OutturnThrough),'Step 2 - Update outturn data'!G27,E29*(1+INDEX($D$96:$J$96,MATCH(F$6,$D$92:$J$92,0))/100)),"")</f>
        <v>43.026199999999996</v>
      </c>
      <c r="G29" s="169">
        <f>IF(ISNUMBER(G$6),IF(AND(G$6&gt;=MTP_BaseYear,G$6&lt;=OutturnThrough),'Step 2 - Update outturn data'!H27,F29*(1+INDEX($D$96:$J$96,MATCH(G$6,$D$92:$J$92,0))/100)),"")</f>
        <v>45.65079819999999</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7"/>
      <c r="B34" s="237"/>
      <c r="C34" s="237"/>
      <c r="D34" s="237">
        <f>P9</f>
        <v>2023</v>
      </c>
      <c r="E34" s="237" cm="1">
        <f t="array" ref="E34:J34">_xlfn.SEQUENCE(1, MTP_EndYear-P9+1, P9)</f>
        <v>2023</v>
      </c>
      <c r="F34" s="237">
        <v>2024</v>
      </c>
      <c r="G34" s="237">
        <v>2025</v>
      </c>
      <c r="H34" s="237">
        <v>2026</v>
      </c>
      <c r="I34" s="237">
        <v>2027</v>
      </c>
      <c r="J34" s="237">
        <v>2028</v>
      </c>
    </row>
    <row r="35" spans="1:10" x14ac:dyDescent="0.4">
      <c r="A35" s="215"/>
      <c r="B35" s="215" t="s">
        <v>30</v>
      </c>
      <c r="C35" s="215" t="s">
        <v>31</v>
      </c>
      <c r="D35" s="238" t="s">
        <v>6</v>
      </c>
      <c r="E35" s="238" t="str" cm="1">
        <f t="array" ref="E35:J35">IF(ISNUMBER(_xlfn.ANCHORARRAY(E$34)),"% of GDP","")</f>
        <v>% of GDP</v>
      </c>
      <c r="F35" s="238" t="str">
        <v>% of GDP</v>
      </c>
      <c r="G35" s="238" t="str">
        <v>% of GDP</v>
      </c>
      <c r="H35" s="238" t="str">
        <v>% of GDP</v>
      </c>
      <c r="I35" s="238" t="str">
        <v>% of GDP</v>
      </c>
      <c r="J35" s="238" t="str">
        <v>% of GDP</v>
      </c>
    </row>
    <row r="36" spans="1:10" x14ac:dyDescent="0.4">
      <c r="A36" s="215">
        <v>1</v>
      </c>
      <c r="B36" s="241" t="s">
        <v>32</v>
      </c>
      <c r="C36" s="241" t="s">
        <v>72</v>
      </c>
      <c r="D36" s="4">
        <v>5.6</v>
      </c>
      <c r="E36" s="4">
        <v>14.1</v>
      </c>
      <c r="F36" s="4">
        <v>14.4</v>
      </c>
      <c r="G36" s="4">
        <v>14.2</v>
      </c>
      <c r="H36" s="4">
        <v>14.2</v>
      </c>
      <c r="I36" s="4"/>
      <c r="J36" s="4"/>
    </row>
    <row r="37" spans="1:10" x14ac:dyDescent="0.4">
      <c r="A37" s="215">
        <v>2</v>
      </c>
      <c r="B37" s="241" t="s">
        <v>33</v>
      </c>
      <c r="C37" s="241" t="s">
        <v>73</v>
      </c>
      <c r="D37" s="4">
        <v>3.1</v>
      </c>
      <c r="E37" s="4">
        <v>7.9</v>
      </c>
      <c r="F37" s="4">
        <v>9.1999999999999993</v>
      </c>
      <c r="G37" s="4">
        <v>8.5</v>
      </c>
      <c r="H37" s="4">
        <v>8.4</v>
      </c>
      <c r="I37" s="4"/>
      <c r="J37" s="4"/>
    </row>
    <row r="38" spans="1:10" x14ac:dyDescent="0.4">
      <c r="A38" s="215">
        <v>3</v>
      </c>
      <c r="B38" s="241" t="s">
        <v>34</v>
      </c>
      <c r="C38" s="241" t="s">
        <v>74</v>
      </c>
      <c r="D38" s="4">
        <v>4.3</v>
      </c>
      <c r="E38" s="4">
        <v>10.8</v>
      </c>
      <c r="F38" s="4">
        <v>11.5</v>
      </c>
      <c r="G38" s="4">
        <v>11.7</v>
      </c>
      <c r="H38" s="4">
        <v>11.8</v>
      </c>
      <c r="I38" s="4"/>
      <c r="J38" s="4"/>
    </row>
    <row r="39" spans="1:10" x14ac:dyDescent="0.4">
      <c r="A39" s="215">
        <v>4</v>
      </c>
      <c r="B39" s="241" t="s">
        <v>36</v>
      </c>
      <c r="C39" s="241" t="s">
        <v>75</v>
      </c>
      <c r="D39" s="4">
        <v>2.9</v>
      </c>
      <c r="E39" s="4">
        <v>7.4</v>
      </c>
      <c r="F39" s="4">
        <v>7.5</v>
      </c>
      <c r="G39" s="4">
        <v>7</v>
      </c>
      <c r="H39" s="4">
        <v>6.1</v>
      </c>
      <c r="I39" s="4"/>
      <c r="J39" s="4"/>
    </row>
    <row r="40" spans="1:10" x14ac:dyDescent="0.4">
      <c r="A40" s="215">
        <v>5</v>
      </c>
      <c r="B40" s="241" t="s">
        <v>37</v>
      </c>
      <c r="C40" s="241" t="s">
        <v>76</v>
      </c>
      <c r="D40" s="4">
        <v>0</v>
      </c>
      <c r="E40" s="4">
        <v>0</v>
      </c>
      <c r="F40" s="4">
        <v>0</v>
      </c>
      <c r="G40" s="4">
        <v>0</v>
      </c>
      <c r="H40" s="4">
        <v>0</v>
      </c>
      <c r="I40" s="4"/>
      <c r="J40" s="4"/>
    </row>
    <row r="41" spans="1:10" x14ac:dyDescent="0.4">
      <c r="A41" s="215">
        <v>6</v>
      </c>
      <c r="B41" s="241" t="s">
        <v>38</v>
      </c>
      <c r="C41" s="241" t="s">
        <v>77</v>
      </c>
      <c r="D41" s="4">
        <v>0.3</v>
      </c>
      <c r="E41" s="4">
        <v>0.9</v>
      </c>
      <c r="F41" s="4">
        <v>0.9</v>
      </c>
      <c r="G41" s="4">
        <v>1.4</v>
      </c>
      <c r="H41" s="4">
        <v>1.5</v>
      </c>
      <c r="I41" s="4"/>
      <c r="J41" s="4"/>
    </row>
    <row r="42" spans="1:10" x14ac:dyDescent="0.4">
      <c r="A42" s="215">
        <v>7</v>
      </c>
      <c r="B42" s="241" t="s">
        <v>39</v>
      </c>
      <c r="C42" s="241" t="s">
        <v>78</v>
      </c>
      <c r="D42" s="241">
        <v>16.3</v>
      </c>
      <c r="E42" s="241">
        <v>41.1</v>
      </c>
      <c r="F42" s="241">
        <v>43.5</v>
      </c>
      <c r="G42" s="241">
        <v>43</v>
      </c>
      <c r="H42" s="241">
        <v>42.1</v>
      </c>
      <c r="I42" s="241"/>
      <c r="J42" s="241"/>
    </row>
    <row r="43" spans="1:10" x14ac:dyDescent="0.4">
      <c r="A43" s="215">
        <v>8</v>
      </c>
      <c r="B43" s="241" t="s">
        <v>40</v>
      </c>
      <c r="C43" s="241" t="s">
        <v>79</v>
      </c>
      <c r="D43" s="4">
        <v>0.7</v>
      </c>
      <c r="E43" s="4">
        <v>1.9</v>
      </c>
      <c r="F43" s="4">
        <v>1.9</v>
      </c>
      <c r="G43" s="4">
        <v>1.9</v>
      </c>
      <c r="H43" s="4">
        <v>2</v>
      </c>
      <c r="I43" s="4"/>
      <c r="J43" s="4"/>
    </row>
    <row r="44" spans="1:10" x14ac:dyDescent="0.4">
      <c r="A44" s="215">
        <v>9</v>
      </c>
      <c r="B44" s="241" t="s">
        <v>41</v>
      </c>
      <c r="C44" s="241"/>
      <c r="D44" s="241">
        <v>15.5</v>
      </c>
      <c r="E44" s="241">
        <v>39.200000000000003</v>
      </c>
      <c r="F44" s="241">
        <v>41.6</v>
      </c>
      <c r="G44" s="241">
        <v>41.1</v>
      </c>
      <c r="H44" s="241">
        <v>40.1</v>
      </c>
      <c r="I44" s="241"/>
      <c r="J44" s="241"/>
    </row>
    <row r="45" spans="1:10" x14ac:dyDescent="0.4">
      <c r="A45" s="215">
        <v>10</v>
      </c>
      <c r="B45" s="241" t="s">
        <v>42</v>
      </c>
      <c r="C45" s="241"/>
      <c r="D45" s="4">
        <v>0.1</v>
      </c>
      <c r="E45" s="4">
        <v>-0.2</v>
      </c>
      <c r="F45" s="4">
        <v>0.6</v>
      </c>
      <c r="G45" s="4">
        <v>0.1</v>
      </c>
      <c r="H45" s="4">
        <v>-0.2</v>
      </c>
      <c r="I45" s="4"/>
      <c r="J45" s="4"/>
    </row>
    <row r="46" spans="1:10" x14ac:dyDescent="0.4">
      <c r="A46" s="215">
        <v>11</v>
      </c>
      <c r="B46" s="241" t="s">
        <v>43</v>
      </c>
      <c r="C46" s="241"/>
      <c r="D46" s="4">
        <v>0</v>
      </c>
      <c r="E46" s="4">
        <v>0</v>
      </c>
      <c r="F46" s="4">
        <v>0</v>
      </c>
      <c r="G46" s="4">
        <v>0</v>
      </c>
      <c r="H46" s="4">
        <v>0</v>
      </c>
      <c r="I46" s="4"/>
      <c r="J46" s="4"/>
    </row>
    <row r="47" spans="1:10" x14ac:dyDescent="0.4">
      <c r="A47" s="215"/>
      <c r="B47" s="215" t="s">
        <v>29</v>
      </c>
      <c r="C47" s="215" t="s">
        <v>31</v>
      </c>
      <c r="D47" s="239" t="s">
        <v>6</v>
      </c>
      <c r="E47" s="239" t="str" cm="1">
        <f t="array" ref="E47:J47">IF(ISNUMBER(_xlfn.ANCHORARRAY(E$34)),"% of GDP","")</f>
        <v>% of GDP</v>
      </c>
      <c r="F47" s="239" t="str">
        <v>% of GDP</v>
      </c>
      <c r="G47" s="239" t="str">
        <v>% of GDP</v>
      </c>
      <c r="H47" s="239" t="str">
        <v>% of GDP</v>
      </c>
      <c r="I47" s="239" t="str">
        <v>% of GDP</v>
      </c>
      <c r="J47" s="239" t="str">
        <v>% of GDP</v>
      </c>
    </row>
    <row r="48" spans="1:10" x14ac:dyDescent="0.4">
      <c r="A48" s="215">
        <v>12</v>
      </c>
      <c r="B48" s="228" t="s">
        <v>44</v>
      </c>
      <c r="C48" s="228" t="s">
        <v>5</v>
      </c>
      <c r="D48" s="4">
        <v>4.8</v>
      </c>
      <c r="E48" s="4">
        <v>12.1</v>
      </c>
      <c r="F48" s="4">
        <v>13.1</v>
      </c>
      <c r="G48" s="4">
        <v>13.1</v>
      </c>
      <c r="H48" s="4">
        <v>12.8</v>
      </c>
      <c r="I48" s="4"/>
      <c r="J48" s="4"/>
    </row>
    <row r="49" spans="1:10" x14ac:dyDescent="0.4">
      <c r="A49" s="215">
        <v>13</v>
      </c>
      <c r="B49" s="228" t="s">
        <v>45</v>
      </c>
      <c r="C49" s="228" t="s">
        <v>80</v>
      </c>
      <c r="D49" s="4">
        <v>2.5</v>
      </c>
      <c r="E49" s="4">
        <v>6.3</v>
      </c>
      <c r="F49" s="4">
        <v>6.1</v>
      </c>
      <c r="G49" s="4">
        <v>6.3</v>
      </c>
      <c r="H49" s="4">
        <v>6.2</v>
      </c>
      <c r="I49" s="4"/>
      <c r="J49" s="4"/>
    </row>
    <row r="50" spans="1:10" x14ac:dyDescent="0.4">
      <c r="A50" s="215">
        <v>14</v>
      </c>
      <c r="B50" s="228" t="s">
        <v>46</v>
      </c>
      <c r="C50" s="228" t="s">
        <v>28</v>
      </c>
      <c r="D50" s="4">
        <v>0.3</v>
      </c>
      <c r="E50" s="4">
        <v>0.7</v>
      </c>
      <c r="F50" s="4">
        <v>1.1000000000000001</v>
      </c>
      <c r="G50" s="4">
        <v>1.2</v>
      </c>
      <c r="H50" s="4">
        <v>1.3</v>
      </c>
      <c r="I50" s="4"/>
      <c r="J50" s="4"/>
    </row>
    <row r="51" spans="1:10" x14ac:dyDescent="0.4">
      <c r="A51" s="215">
        <v>15</v>
      </c>
      <c r="B51" s="228" t="s">
        <v>47</v>
      </c>
      <c r="C51" s="228" t="s">
        <v>81</v>
      </c>
      <c r="D51" s="4">
        <v>4.7</v>
      </c>
      <c r="E51" s="4">
        <v>11.9</v>
      </c>
      <c r="F51" s="4">
        <v>12.5</v>
      </c>
      <c r="G51" s="4">
        <v>12.8</v>
      </c>
      <c r="H51" s="4">
        <v>13.2</v>
      </c>
      <c r="I51" s="4"/>
      <c r="J51" s="4"/>
    </row>
    <row r="52" spans="1:10" x14ac:dyDescent="0.4">
      <c r="A52" s="215">
        <v>16</v>
      </c>
      <c r="B52" s="228" t="s">
        <v>48</v>
      </c>
      <c r="C52" s="228" t="s">
        <v>82</v>
      </c>
      <c r="D52" s="4">
        <v>0.8</v>
      </c>
      <c r="E52" s="4">
        <v>2.1</v>
      </c>
      <c r="F52" s="4">
        <v>2.1</v>
      </c>
      <c r="G52" s="4">
        <v>2</v>
      </c>
      <c r="H52" s="4">
        <v>2.2000000000000002</v>
      </c>
      <c r="I52" s="4"/>
      <c r="J52" s="4"/>
    </row>
    <row r="53" spans="1:10" x14ac:dyDescent="0.4">
      <c r="A53" s="215">
        <v>17</v>
      </c>
      <c r="B53" s="228" t="s">
        <v>49</v>
      </c>
      <c r="C53" s="228" t="s">
        <v>83</v>
      </c>
      <c r="D53" s="4">
        <v>0.6</v>
      </c>
      <c r="E53" s="4">
        <v>1.6</v>
      </c>
      <c r="F53" s="4">
        <v>0.9</v>
      </c>
      <c r="G53" s="4">
        <v>0.8</v>
      </c>
      <c r="H53" s="4">
        <v>0.8</v>
      </c>
      <c r="I53" s="4"/>
      <c r="J53" s="4"/>
    </row>
    <row r="54" spans="1:10" x14ac:dyDescent="0.4">
      <c r="A54" s="215">
        <v>18</v>
      </c>
      <c r="B54" s="228" t="s">
        <v>50</v>
      </c>
      <c r="C54" s="228" t="s">
        <v>84</v>
      </c>
      <c r="D54" s="4">
        <v>1.1000000000000001</v>
      </c>
      <c r="E54" s="4">
        <v>2.7</v>
      </c>
      <c r="F54" s="4">
        <v>2.4</v>
      </c>
      <c r="G54" s="4">
        <v>2.7</v>
      </c>
      <c r="H54" s="4">
        <v>1.6</v>
      </c>
      <c r="I54" s="4"/>
      <c r="J54" s="4"/>
    </row>
    <row r="55" spans="1:10" x14ac:dyDescent="0.4">
      <c r="A55" s="215">
        <v>19</v>
      </c>
      <c r="B55" s="228" t="s">
        <v>10</v>
      </c>
      <c r="C55" s="228" t="s">
        <v>4</v>
      </c>
      <c r="D55" s="4">
        <v>2.2000000000000002</v>
      </c>
      <c r="E55" s="4">
        <v>5.6</v>
      </c>
      <c r="F55" s="4">
        <v>6.3</v>
      </c>
      <c r="G55" s="4">
        <v>6.1</v>
      </c>
      <c r="H55" s="4">
        <v>6.5</v>
      </c>
      <c r="I55" s="4"/>
      <c r="J55" s="4"/>
    </row>
    <row r="56" spans="1:10" x14ac:dyDescent="0.4">
      <c r="A56" s="215">
        <v>20</v>
      </c>
      <c r="B56" s="228" t="s">
        <v>51</v>
      </c>
      <c r="C56" s="228"/>
      <c r="D56" s="4">
        <v>1.9</v>
      </c>
      <c r="E56" s="4">
        <v>4.8</v>
      </c>
      <c r="F56" s="4">
        <v>5.5</v>
      </c>
      <c r="G56" s="4">
        <v>4.9000000000000004</v>
      </c>
      <c r="H56" s="4">
        <v>5.3</v>
      </c>
      <c r="I56" s="4"/>
      <c r="J56" s="4"/>
    </row>
    <row r="57" spans="1:10" x14ac:dyDescent="0.4">
      <c r="A57" s="215">
        <v>21</v>
      </c>
      <c r="B57" s="228" t="s">
        <v>52</v>
      </c>
      <c r="C57" s="228" t="s">
        <v>85</v>
      </c>
      <c r="D57" s="4">
        <v>0.1</v>
      </c>
      <c r="E57" s="4">
        <v>0.2</v>
      </c>
      <c r="F57" s="4">
        <v>0.3</v>
      </c>
      <c r="G57" s="4">
        <v>0.3</v>
      </c>
      <c r="H57" s="4">
        <v>0.2</v>
      </c>
      <c r="I57" s="4"/>
      <c r="J57" s="4"/>
    </row>
    <row r="58" spans="1:10" x14ac:dyDescent="0.4">
      <c r="A58" s="215">
        <v>22</v>
      </c>
      <c r="B58" s="228" t="s">
        <v>53</v>
      </c>
      <c r="C58" s="228" t="s">
        <v>86</v>
      </c>
      <c r="D58" s="4">
        <v>0.1</v>
      </c>
      <c r="E58" s="4">
        <v>0.1</v>
      </c>
      <c r="F58" s="4">
        <v>0.4</v>
      </c>
      <c r="G58" s="4">
        <v>0</v>
      </c>
      <c r="H58" s="4">
        <v>0.3</v>
      </c>
      <c r="I58" s="4"/>
      <c r="J58" s="4"/>
    </row>
    <row r="59" spans="1:10" x14ac:dyDescent="0.4">
      <c r="A59" s="215">
        <v>23</v>
      </c>
      <c r="B59" s="228" t="s">
        <v>54</v>
      </c>
      <c r="C59" s="228" t="s">
        <v>87</v>
      </c>
      <c r="D59" s="241">
        <v>17.2</v>
      </c>
      <c r="E59" s="241">
        <v>43.4</v>
      </c>
      <c r="F59" s="241">
        <v>45.3</v>
      </c>
      <c r="G59" s="241">
        <v>45.3</v>
      </c>
      <c r="H59" s="241">
        <v>45.1</v>
      </c>
      <c r="I59" s="241"/>
      <c r="J59" s="241"/>
    </row>
    <row r="60" spans="1:10" x14ac:dyDescent="0.4">
      <c r="A60" s="215">
        <v>24</v>
      </c>
      <c r="B60" s="228" t="s">
        <v>55</v>
      </c>
      <c r="C60" s="228" t="s">
        <v>79</v>
      </c>
      <c r="D60" s="4">
        <v>0.7</v>
      </c>
      <c r="E60" s="4">
        <v>1.9</v>
      </c>
      <c r="F60" s="4">
        <v>1.9</v>
      </c>
      <c r="G60" s="4">
        <v>1.9</v>
      </c>
      <c r="H60" s="4">
        <v>2</v>
      </c>
      <c r="I60" s="4"/>
      <c r="J60" s="4"/>
    </row>
    <row r="61" spans="1:10" x14ac:dyDescent="0.4">
      <c r="A61" s="215">
        <v>25</v>
      </c>
      <c r="B61" s="228" t="s">
        <v>56</v>
      </c>
      <c r="C61" s="228"/>
      <c r="D61" s="241">
        <v>16.5</v>
      </c>
      <c r="E61" s="241">
        <v>41.6</v>
      </c>
      <c r="F61" s="241">
        <v>43.4</v>
      </c>
      <c r="G61" s="241">
        <v>43.4</v>
      </c>
      <c r="H61" s="241">
        <v>43.1</v>
      </c>
      <c r="I61" s="241"/>
      <c r="J61" s="241"/>
    </row>
    <row r="62" spans="1:10" x14ac:dyDescent="0.4">
      <c r="A62" s="215">
        <v>26</v>
      </c>
      <c r="B62" s="228" t="s">
        <v>763</v>
      </c>
      <c r="C62" s="228"/>
      <c r="D62" s="4">
        <v>0.2</v>
      </c>
      <c r="E62" s="4">
        <v>0.4</v>
      </c>
      <c r="F62" s="4">
        <v>0.3</v>
      </c>
      <c r="G62" s="4">
        <v>0.5</v>
      </c>
      <c r="H62" s="4">
        <v>0.5</v>
      </c>
      <c r="I62" s="4"/>
      <c r="J62" s="4"/>
    </row>
    <row r="63" spans="1:10" x14ac:dyDescent="0.4">
      <c r="A63" s="215">
        <v>27</v>
      </c>
      <c r="B63" s="228" t="s">
        <v>57</v>
      </c>
      <c r="C63" s="228"/>
      <c r="D63" s="4">
        <v>-0.01</v>
      </c>
      <c r="E63" s="4">
        <v>-0.02</v>
      </c>
      <c r="F63" s="4">
        <v>0.02</v>
      </c>
      <c r="G63" s="4">
        <v>0.03</v>
      </c>
      <c r="H63" s="4">
        <v>0.02</v>
      </c>
      <c r="I63" s="4"/>
      <c r="J63" s="4"/>
    </row>
    <row r="64" spans="1:10" x14ac:dyDescent="0.4">
      <c r="A64" s="215">
        <v>28</v>
      </c>
      <c r="B64" s="228" t="s">
        <v>58</v>
      </c>
      <c r="C64" s="228"/>
      <c r="D64" s="4">
        <v>0</v>
      </c>
      <c r="E64" s="4">
        <v>0</v>
      </c>
      <c r="F64" s="4">
        <v>0</v>
      </c>
      <c r="G64" s="4">
        <v>0</v>
      </c>
      <c r="H64" s="4">
        <v>0</v>
      </c>
      <c r="I64" s="4"/>
      <c r="J64" s="4"/>
    </row>
    <row r="65" spans="1:10" x14ac:dyDescent="0.4">
      <c r="A65" s="215">
        <v>29</v>
      </c>
      <c r="B65" s="228" t="s">
        <v>59</v>
      </c>
      <c r="C65" s="228"/>
      <c r="D65" s="241">
        <v>16</v>
      </c>
      <c r="E65" s="241">
        <v>40.5</v>
      </c>
      <c r="F65" s="241">
        <v>42</v>
      </c>
      <c r="G65" s="241">
        <v>41.8</v>
      </c>
      <c r="H65" s="241">
        <v>41.3</v>
      </c>
      <c r="I65" s="241"/>
      <c r="J65" s="241"/>
    </row>
    <row r="66" spans="1:10" x14ac:dyDescent="0.4">
      <c r="A66" s="215"/>
      <c r="B66" s="215" t="s">
        <v>35</v>
      </c>
      <c r="C66" s="215"/>
      <c r="D66" s="240"/>
      <c r="E66" s="240" t="str" cm="1">
        <f t="array" ref="E66:J66">IF(ISNUMBER(_xlfn.ANCHORARRAY(E$34)),"growth rate","")</f>
        <v>growth rate</v>
      </c>
      <c r="F66" s="240" t="str">
        <v>growth rate</v>
      </c>
      <c r="G66" s="240" t="str">
        <v>growth rate</v>
      </c>
      <c r="H66" s="240" t="str">
        <v>growth rate</v>
      </c>
      <c r="I66" s="240" t="str">
        <v>growth rate</v>
      </c>
      <c r="J66" s="240" t="str">
        <v>growth rate</v>
      </c>
    </row>
    <row r="67" spans="1:10" ht="14.25" x14ac:dyDescent="0.45">
      <c r="A67" s="215">
        <v>30</v>
      </c>
      <c r="B67" s="228" t="s">
        <v>838</v>
      </c>
      <c r="C67" s="228" t="s">
        <v>764</v>
      </c>
      <c r="D67" s="247"/>
      <c r="E67" s="4"/>
      <c r="F67" s="4">
        <v>5.2</v>
      </c>
      <c r="G67" s="4">
        <v>5</v>
      </c>
      <c r="H67" s="4">
        <v>5.3</v>
      </c>
      <c r="I67" s="4"/>
      <c r="J67" s="4"/>
    </row>
    <row r="68" spans="1:10" x14ac:dyDescent="0.4">
      <c r="A68" s="215"/>
      <c r="B68" s="215" t="s">
        <v>60</v>
      </c>
      <c r="C68" s="215"/>
      <c r="D68" s="240" t="s">
        <v>6</v>
      </c>
      <c r="E68" s="240" t="s">
        <v>614</v>
      </c>
      <c r="F68" s="240" t="s">
        <v>614</v>
      </c>
      <c r="G68" s="240" t="s">
        <v>614</v>
      </c>
      <c r="H68" s="240" t="s">
        <v>614</v>
      </c>
      <c r="I68" s="240" t="s">
        <v>614</v>
      </c>
      <c r="J68" s="240" t="s">
        <v>614</v>
      </c>
    </row>
    <row r="69" spans="1:10" x14ac:dyDescent="0.4">
      <c r="A69" s="215">
        <v>31</v>
      </c>
      <c r="B69" s="228" t="s">
        <v>61</v>
      </c>
      <c r="C69" s="228" t="s">
        <v>27</v>
      </c>
      <c r="D69" s="4">
        <v>-0.9</v>
      </c>
      <c r="E69" s="4">
        <v>-2.4</v>
      </c>
      <c r="F69" s="4">
        <v>-1.8</v>
      </c>
      <c r="G69" s="4">
        <v>-2.4</v>
      </c>
      <c r="H69" s="4">
        <v>-3</v>
      </c>
      <c r="I69" s="4"/>
      <c r="J69" s="4"/>
    </row>
    <row r="70" spans="1:10" x14ac:dyDescent="0.4">
      <c r="A70" s="215">
        <v>32</v>
      </c>
      <c r="B70" s="228" t="s">
        <v>62</v>
      </c>
      <c r="C70" s="228" t="s">
        <v>88</v>
      </c>
      <c r="D70" s="4">
        <v>-0.6</v>
      </c>
      <c r="E70" s="4">
        <v>-1.6</v>
      </c>
      <c r="F70" s="4">
        <v>-0.7</v>
      </c>
      <c r="G70" s="4">
        <v>-1.2</v>
      </c>
      <c r="H70" s="4">
        <v>-1.7</v>
      </c>
      <c r="I70" s="4"/>
      <c r="J70" s="4"/>
    </row>
    <row r="71" spans="1:10" x14ac:dyDescent="0.4">
      <c r="A71" s="215"/>
      <c r="B71" s="215" t="s">
        <v>63</v>
      </c>
      <c r="C71" s="215"/>
      <c r="D71" s="240"/>
      <c r="E71" s="240" t="s">
        <v>614</v>
      </c>
      <c r="F71" s="240" t="s">
        <v>614</v>
      </c>
      <c r="G71" s="240" t="s">
        <v>614</v>
      </c>
      <c r="H71" s="240" t="s">
        <v>614</v>
      </c>
      <c r="I71" s="240" t="s">
        <v>614</v>
      </c>
      <c r="J71" s="240" t="s">
        <v>614</v>
      </c>
    </row>
    <row r="72" spans="1:10" ht="14.25" x14ac:dyDescent="0.45">
      <c r="A72" s="215">
        <v>33</v>
      </c>
      <c r="B72" s="242" t="s">
        <v>0</v>
      </c>
      <c r="C72" s="242"/>
      <c r="D72" s="247"/>
      <c r="E72" s="4">
        <v>-2.2000000000000002</v>
      </c>
      <c r="F72" s="4">
        <v>-1</v>
      </c>
      <c r="G72" s="4">
        <v>-1.7</v>
      </c>
      <c r="H72" s="4">
        <v>-2.6</v>
      </c>
      <c r="I72" s="4"/>
      <c r="J72" s="4"/>
    </row>
    <row r="73" spans="1:10" ht="14.25" x14ac:dyDescent="0.45">
      <c r="A73" s="215">
        <v>34</v>
      </c>
      <c r="B73" s="242" t="s">
        <v>3</v>
      </c>
      <c r="C73" s="242"/>
      <c r="D73" s="247"/>
      <c r="E73" s="4">
        <v>-1.5</v>
      </c>
      <c r="F73" s="4">
        <v>0.05</v>
      </c>
      <c r="G73" s="4">
        <v>-0.6</v>
      </c>
      <c r="H73" s="4">
        <v>-1.3</v>
      </c>
      <c r="I73" s="4"/>
      <c r="J73" s="4"/>
    </row>
    <row r="74" spans="1:10" x14ac:dyDescent="0.4">
      <c r="A74" s="215"/>
      <c r="B74" s="215" t="s">
        <v>20</v>
      </c>
      <c r="C74" s="215"/>
      <c r="D74" s="240" t="s">
        <v>6</v>
      </c>
      <c r="E74" s="240" t="s">
        <v>614</v>
      </c>
      <c r="F74" s="240" t="s">
        <v>614</v>
      </c>
      <c r="G74" s="240" t="s">
        <v>614</v>
      </c>
      <c r="H74" s="240" t="s">
        <v>614</v>
      </c>
      <c r="I74" s="240" t="s">
        <v>614</v>
      </c>
      <c r="J74" s="240" t="s">
        <v>614</v>
      </c>
    </row>
    <row r="75" spans="1:10" x14ac:dyDescent="0.4">
      <c r="A75" s="215">
        <v>35</v>
      </c>
      <c r="B75" s="228" t="s">
        <v>1</v>
      </c>
      <c r="C75" s="228"/>
      <c r="D75" s="4">
        <v>17.600000000000001</v>
      </c>
      <c r="E75" s="4">
        <v>44.4</v>
      </c>
      <c r="F75" s="4">
        <v>46.2</v>
      </c>
      <c r="G75" s="4">
        <v>47</v>
      </c>
      <c r="H75" s="4">
        <v>47.9</v>
      </c>
      <c r="I75" s="4"/>
      <c r="J75" s="4"/>
    </row>
    <row r="76" spans="1:10" x14ac:dyDescent="0.4">
      <c r="A76" s="215">
        <v>36</v>
      </c>
      <c r="B76" s="228" t="s">
        <v>2</v>
      </c>
      <c r="C76" s="228"/>
      <c r="D76" s="4">
        <v>1.5</v>
      </c>
      <c r="E76" s="4">
        <v>-0.01</v>
      </c>
      <c r="F76" s="4">
        <v>1.8</v>
      </c>
      <c r="G76" s="4">
        <v>0.8</v>
      </c>
      <c r="H76" s="4">
        <v>0.9</v>
      </c>
      <c r="I76" s="4"/>
      <c r="J76" s="4"/>
    </row>
    <row r="77" spans="1:10" x14ac:dyDescent="0.4">
      <c r="A77" s="215">
        <v>37</v>
      </c>
      <c r="B77" s="228" t="s">
        <v>64</v>
      </c>
      <c r="C77" s="228"/>
      <c r="D77" s="245"/>
      <c r="E77" s="245"/>
      <c r="F77" s="245"/>
      <c r="G77" s="245"/>
      <c r="H77" s="241"/>
      <c r="I77" s="241"/>
      <c r="J77" s="241"/>
    </row>
    <row r="78" spans="1:10" ht="14.25" x14ac:dyDescent="0.45">
      <c r="A78" s="215">
        <v>38</v>
      </c>
      <c r="B78" s="243" t="s">
        <v>765</v>
      </c>
      <c r="C78" s="228"/>
      <c r="D78" s="247"/>
      <c r="E78" s="4">
        <v>1.6</v>
      </c>
      <c r="F78" s="4">
        <v>0.7</v>
      </c>
      <c r="G78" s="4">
        <v>1.2</v>
      </c>
      <c r="H78" s="4">
        <v>1.7</v>
      </c>
      <c r="I78" s="4"/>
      <c r="J78" s="4"/>
    </row>
    <row r="79" spans="1:10" ht="14.25" x14ac:dyDescent="0.45">
      <c r="A79" s="215">
        <v>39</v>
      </c>
      <c r="B79" s="243" t="s">
        <v>766</v>
      </c>
      <c r="C79" s="228"/>
      <c r="D79" s="247"/>
      <c r="E79" s="4">
        <v>-3.2</v>
      </c>
      <c r="F79" s="4">
        <v>-0.1</v>
      </c>
      <c r="G79" s="4">
        <v>-1.4</v>
      </c>
      <c r="H79" s="4">
        <v>-1.4</v>
      </c>
      <c r="I79" s="4"/>
      <c r="J79" s="4"/>
    </row>
    <row r="80" spans="1:10" ht="14.25" x14ac:dyDescent="0.45">
      <c r="A80" s="215">
        <v>40</v>
      </c>
      <c r="B80" s="244" t="s">
        <v>767</v>
      </c>
      <c r="C80" s="228"/>
      <c r="D80" s="247"/>
      <c r="E80" s="4">
        <v>0.7</v>
      </c>
      <c r="F80" s="4">
        <v>1.1000000000000001</v>
      </c>
      <c r="G80" s="4">
        <v>1.2</v>
      </c>
      <c r="H80" s="4">
        <v>1.3</v>
      </c>
      <c r="I80" s="4"/>
      <c r="J80" s="4"/>
    </row>
    <row r="81" spans="1:10" ht="14.25" x14ac:dyDescent="0.45">
      <c r="A81" s="215">
        <v>41</v>
      </c>
      <c r="B81" s="244" t="s">
        <v>768</v>
      </c>
      <c r="C81" s="228"/>
      <c r="D81" s="247"/>
      <c r="E81" s="4">
        <v>0.4</v>
      </c>
      <c r="F81" s="4">
        <v>0</v>
      </c>
      <c r="G81" s="4">
        <v>-0.9</v>
      </c>
      <c r="H81" s="4">
        <v>-1.2</v>
      </c>
      <c r="I81" s="4"/>
      <c r="J81" s="4"/>
    </row>
    <row r="82" spans="1:10" ht="14.25" x14ac:dyDescent="0.45">
      <c r="A82" s="215">
        <v>42</v>
      </c>
      <c r="B82" s="244" t="s">
        <v>769</v>
      </c>
      <c r="C82" s="228"/>
      <c r="D82" s="247"/>
      <c r="E82" s="4">
        <v>-4.3</v>
      </c>
      <c r="F82" s="4">
        <v>-1.2</v>
      </c>
      <c r="G82" s="4">
        <v>-1.6</v>
      </c>
      <c r="H82" s="4">
        <v>-1.5</v>
      </c>
      <c r="I82" s="4"/>
      <c r="J82" s="4"/>
    </row>
    <row r="83" spans="1:10" ht="14.25" x14ac:dyDescent="0.45">
      <c r="A83" s="215">
        <v>43</v>
      </c>
      <c r="B83" s="243" t="s">
        <v>770</v>
      </c>
      <c r="C83" s="228"/>
      <c r="D83" s="247"/>
      <c r="E83" s="4">
        <v>1.5</v>
      </c>
      <c r="F83" s="4">
        <v>1.2</v>
      </c>
      <c r="G83" s="4">
        <v>1</v>
      </c>
      <c r="H83" s="4">
        <v>0.6</v>
      </c>
      <c r="I83" s="4"/>
      <c r="J83" s="4"/>
    </row>
    <row r="84" spans="1:10" x14ac:dyDescent="0.4">
      <c r="A84" s="215"/>
      <c r="B84" s="215"/>
      <c r="C84" s="215"/>
      <c r="D84" s="240"/>
      <c r="E84" s="239" t="str" cm="1">
        <f t="array" ref="E84:J84">IF(ISNUMBER(_xlfn.ANCHORARRAY(E$34)),"%","")</f>
        <v>%</v>
      </c>
      <c r="F84" s="239" t="str">
        <v>%</v>
      </c>
      <c r="G84" s="239" t="str">
        <v>%</v>
      </c>
      <c r="H84" s="239" t="str">
        <v>%</v>
      </c>
      <c r="I84" s="239" t="str">
        <v>%</v>
      </c>
      <c r="J84" s="239" t="str">
        <v>%</v>
      </c>
    </row>
    <row r="85" spans="1:10" ht="14.25" x14ac:dyDescent="0.45">
      <c r="A85" s="215">
        <v>44</v>
      </c>
      <c r="B85" s="230" t="s">
        <v>71</v>
      </c>
      <c r="C85" s="230"/>
      <c r="D85" s="248"/>
      <c r="E85" s="4">
        <v>1.8</v>
      </c>
      <c r="F85" s="4">
        <v>2.5</v>
      </c>
      <c r="G85" s="4">
        <v>2.7</v>
      </c>
      <c r="H85" s="4">
        <v>3</v>
      </c>
      <c r="I85" s="4"/>
      <c r="J85" s="4"/>
    </row>
    <row r="86" spans="1:10" x14ac:dyDescent="0.4">
      <c r="A86" s="215"/>
      <c r="B86" s="215"/>
      <c r="C86" s="215"/>
      <c r="D86" s="240"/>
      <c r="E86" s="268" t="s">
        <v>614</v>
      </c>
      <c r="F86" s="268" t="s">
        <v>614</v>
      </c>
      <c r="G86" s="268" t="s">
        <v>614</v>
      </c>
      <c r="H86" s="268" t="s">
        <v>614</v>
      </c>
      <c r="I86" s="268" t="s">
        <v>614</v>
      </c>
      <c r="J86" s="268" t="s">
        <v>614</v>
      </c>
    </row>
    <row r="87" spans="1:10" x14ac:dyDescent="0.4">
      <c r="A87" s="215">
        <v>45</v>
      </c>
      <c r="B87" s="242" t="s">
        <v>771</v>
      </c>
      <c r="C87" s="242" t="s">
        <v>772</v>
      </c>
      <c r="D87" s="4">
        <v>1</v>
      </c>
      <c r="E87" s="4">
        <v>2.9976595002552808</v>
      </c>
      <c r="F87" s="4">
        <v>3.1420657625767783</v>
      </c>
      <c r="G87" s="4">
        <v>3.4555754586740171</v>
      </c>
      <c r="H87" s="4">
        <v>4.7257681343411875</v>
      </c>
      <c r="I87" s="4"/>
      <c r="J87" s="4"/>
    </row>
    <row r="88" spans="1:10" x14ac:dyDescent="0.4">
      <c r="A88" s="215">
        <v>46</v>
      </c>
      <c r="B88" s="242" t="s">
        <v>773</v>
      </c>
      <c r="C88" s="242" t="s">
        <v>774</v>
      </c>
      <c r="D88" s="4">
        <v>0.3</v>
      </c>
      <c r="E88" s="4"/>
      <c r="F88" s="4"/>
      <c r="G88" s="4"/>
      <c r="H88" s="4"/>
      <c r="I88" s="4"/>
      <c r="J88" s="4"/>
    </row>
    <row r="89" spans="1:10" x14ac:dyDescent="0.4">
      <c r="E89" s="265"/>
      <c r="F89" s="265"/>
      <c r="G89" s="265"/>
      <c r="H89" s="265"/>
    </row>
    <row r="91" spans="1:10" ht="23.25" x14ac:dyDescent="0.7">
      <c r="A91" s="14" t="s">
        <v>815</v>
      </c>
    </row>
    <row r="92" spans="1:10" x14ac:dyDescent="0.4">
      <c r="A92" s="237"/>
      <c r="B92" s="237" t="s">
        <v>8</v>
      </c>
      <c r="C92" s="237" t="s">
        <v>31</v>
      </c>
      <c r="D92" s="237">
        <f>P9</f>
        <v>2023</v>
      </c>
      <c r="E92" s="237" cm="1">
        <f t="array" ref="E92:J92">_xlfn.SEQUENCE(1, MTP_EndYear-P9+1, P9)</f>
        <v>2023</v>
      </c>
      <c r="F92" s="237">
        <v>2024</v>
      </c>
      <c r="G92" s="237">
        <v>2025</v>
      </c>
      <c r="H92" s="237">
        <v>2026</v>
      </c>
      <c r="I92" s="237">
        <v>2027</v>
      </c>
      <c r="J92" s="237">
        <v>2028</v>
      </c>
    </row>
    <row r="93" spans="1:10" x14ac:dyDescent="0.4">
      <c r="A93" s="215"/>
      <c r="B93" s="215"/>
      <c r="C93" s="215"/>
      <c r="D93" s="238" t="s">
        <v>6</v>
      </c>
      <c r="E93" s="238" t="str" cm="1">
        <f t="array" ref="E93:J93">IF(ISNUMBER(_xlfn.ANCHORARRAY(E$34)),"growth rate","")</f>
        <v>growth rate</v>
      </c>
      <c r="F93" s="238" t="str">
        <v>growth rate</v>
      </c>
      <c r="G93" s="238" t="str">
        <v>growth rate</v>
      </c>
      <c r="H93" s="238" t="str">
        <v>growth rate</v>
      </c>
      <c r="I93" s="238" t="str">
        <v>growth rate</v>
      </c>
      <c r="J93" s="238" t="str">
        <v>growth rate</v>
      </c>
    </row>
    <row r="94" spans="1:10" ht="14.25" x14ac:dyDescent="0.45">
      <c r="A94" s="215">
        <v>1</v>
      </c>
      <c r="B94" s="228" t="s">
        <v>7</v>
      </c>
      <c r="C94" s="228" t="s">
        <v>775</v>
      </c>
      <c r="D94" s="249"/>
      <c r="E94">
        <v>-0.9</v>
      </c>
      <c r="F94">
        <v>-0.04</v>
      </c>
      <c r="G94">
        <v>2.1</v>
      </c>
      <c r="H94" s="4">
        <v>2.6</v>
      </c>
      <c r="I94" s="4"/>
      <c r="J94" s="4"/>
    </row>
    <row r="95" spans="1:10" ht="14.25" x14ac:dyDescent="0.45">
      <c r="A95" s="215">
        <v>2</v>
      </c>
      <c r="B95" s="228" t="s">
        <v>8</v>
      </c>
      <c r="C95" s="228"/>
      <c r="D95" s="249"/>
      <c r="E95">
        <v>10.7</v>
      </c>
      <c r="F95">
        <v>2.8</v>
      </c>
      <c r="G95">
        <v>3.6</v>
      </c>
      <c r="H95" s="4">
        <v>3.3</v>
      </c>
      <c r="I95" s="4"/>
      <c r="J95" s="4"/>
    </row>
    <row r="96" spans="1:10" x14ac:dyDescent="0.4">
      <c r="A96" s="215">
        <v>3</v>
      </c>
      <c r="B96" s="228" t="s">
        <v>9</v>
      </c>
      <c r="C96" s="228" t="s">
        <v>775</v>
      </c>
      <c r="D96" s="145">
        <v>39.6</v>
      </c>
      <c r="E96">
        <v>9.6</v>
      </c>
      <c r="F96">
        <v>2.8</v>
      </c>
      <c r="G96">
        <v>5.8</v>
      </c>
      <c r="H96" s="4">
        <v>6.1</v>
      </c>
      <c r="I96" s="4"/>
      <c r="J96" s="4"/>
    </row>
    <row r="97" spans="1:10" x14ac:dyDescent="0.4">
      <c r="A97" s="215"/>
      <c r="B97" s="215" t="s">
        <v>776</v>
      </c>
      <c r="C97" s="215"/>
      <c r="D97" s="238" t="s">
        <v>6</v>
      </c>
      <c r="E97" s="238" t="str" cm="1">
        <f t="array" ref="E97:J97">IF(ISNUMBER(_xlfn.ANCHORARRAY(E$34)),"growth rate","")</f>
        <v>growth rate</v>
      </c>
      <c r="F97" s="238" t="str">
        <v>growth rate</v>
      </c>
      <c r="G97" s="238" t="str">
        <v>growth rate</v>
      </c>
      <c r="H97" s="239" t="str">
        <v>growth rate</v>
      </c>
      <c r="I97" s="239" t="str">
        <v>growth rate</v>
      </c>
      <c r="J97" s="239" t="str">
        <v>growth rate</v>
      </c>
    </row>
    <row r="98" spans="1:10" ht="14.25" x14ac:dyDescent="0.45">
      <c r="A98" s="215">
        <v>4</v>
      </c>
      <c r="B98" s="228" t="s">
        <v>777</v>
      </c>
      <c r="C98" s="228" t="s">
        <v>778</v>
      </c>
      <c r="D98" s="249"/>
      <c r="E98">
        <v>-0.9</v>
      </c>
      <c r="F98">
        <v>0.1</v>
      </c>
      <c r="G98">
        <v>0.8</v>
      </c>
      <c r="H98" s="4">
        <v>2.9</v>
      </c>
      <c r="I98" s="4"/>
      <c r="J98" s="4"/>
    </row>
    <row r="99" spans="1:10" ht="14.25" x14ac:dyDescent="0.45">
      <c r="A99" s="215">
        <v>5</v>
      </c>
      <c r="B99" s="228" t="s">
        <v>779</v>
      </c>
      <c r="C99" s="228" t="s">
        <v>778</v>
      </c>
      <c r="D99" s="249"/>
      <c r="E99">
        <v>2.5</v>
      </c>
      <c r="F99">
        <v>-0.4</v>
      </c>
      <c r="G99">
        <v>3.3</v>
      </c>
      <c r="H99" s="4">
        <v>1.5</v>
      </c>
      <c r="I99" s="4"/>
      <c r="J99" s="4"/>
    </row>
    <row r="100" spans="1:10" ht="14.25" x14ac:dyDescent="0.45">
      <c r="A100" s="215">
        <v>6</v>
      </c>
      <c r="B100" s="228" t="s">
        <v>10</v>
      </c>
      <c r="C100" s="228" t="s">
        <v>4</v>
      </c>
      <c r="D100" s="249"/>
      <c r="E100">
        <v>5</v>
      </c>
      <c r="F100">
        <v>7</v>
      </c>
      <c r="G100">
        <v>9.8000000000000007</v>
      </c>
      <c r="H100" s="4">
        <v>7.5</v>
      </c>
      <c r="I100" s="4"/>
      <c r="J100" s="4"/>
    </row>
    <row r="101" spans="1:10" ht="14.25" x14ac:dyDescent="0.45">
      <c r="A101" s="215">
        <v>7</v>
      </c>
      <c r="B101" s="228" t="s">
        <v>780</v>
      </c>
      <c r="C101" s="228" t="s">
        <v>781</v>
      </c>
      <c r="D101" s="249"/>
      <c r="E101" s="250"/>
      <c r="F101" s="250"/>
      <c r="G101" s="250"/>
      <c r="H101" s="251"/>
      <c r="I101" s="251"/>
      <c r="J101" s="251"/>
    </row>
    <row r="102" spans="1:10" ht="14.25" x14ac:dyDescent="0.45">
      <c r="A102" s="215">
        <v>8</v>
      </c>
      <c r="B102" s="228" t="s">
        <v>782</v>
      </c>
      <c r="C102" s="228" t="s">
        <v>783</v>
      </c>
      <c r="D102" s="249"/>
      <c r="E102">
        <v>-7</v>
      </c>
      <c r="F102">
        <v>0.1</v>
      </c>
      <c r="G102">
        <v>0.1</v>
      </c>
      <c r="H102" s="4">
        <v>3</v>
      </c>
      <c r="I102" s="4"/>
      <c r="J102" s="4"/>
    </row>
    <row r="103" spans="1:10" ht="14.25" x14ac:dyDescent="0.45">
      <c r="A103" s="215">
        <v>9</v>
      </c>
      <c r="B103" s="228" t="s">
        <v>784</v>
      </c>
      <c r="C103" s="228" t="s">
        <v>785</v>
      </c>
      <c r="D103" s="249"/>
      <c r="E103">
        <v>-5</v>
      </c>
      <c r="F103">
        <v>-1.8</v>
      </c>
      <c r="G103">
        <v>5.7</v>
      </c>
      <c r="H103" s="4">
        <v>4.8</v>
      </c>
      <c r="I103" s="4"/>
      <c r="J103" s="4"/>
    </row>
    <row r="104" spans="1:10" x14ac:dyDescent="0.4">
      <c r="A104" s="215"/>
      <c r="B104" s="228" t="s">
        <v>786</v>
      </c>
      <c r="C104" s="228"/>
      <c r="D104" s="228"/>
      <c r="E104" s="228"/>
      <c r="F104" s="228"/>
      <c r="G104" s="228"/>
      <c r="H104" s="245"/>
      <c r="I104" s="245"/>
      <c r="J104" s="245"/>
    </row>
    <row r="105" spans="1:10" ht="14.25" x14ac:dyDescent="0.45">
      <c r="A105" s="215">
        <v>10</v>
      </c>
      <c r="B105" s="246" t="s">
        <v>787</v>
      </c>
      <c r="C105" s="228"/>
      <c r="D105" s="249"/>
      <c r="E105">
        <v>1.1000000000000001</v>
      </c>
      <c r="F105">
        <v>-1.7</v>
      </c>
      <c r="G105">
        <v>3.3</v>
      </c>
      <c r="H105" s="4">
        <v>3.8</v>
      </c>
      <c r="I105" s="4"/>
      <c r="J105" s="4"/>
    </row>
    <row r="106" spans="1:10" ht="14.25" x14ac:dyDescent="0.45">
      <c r="A106" s="215">
        <v>11</v>
      </c>
      <c r="B106" s="246" t="s">
        <v>788</v>
      </c>
      <c r="C106" s="228" t="s">
        <v>781</v>
      </c>
      <c r="D106" s="249"/>
      <c r="E106">
        <v>-0.7</v>
      </c>
      <c r="F106">
        <v>0.4</v>
      </c>
      <c r="G106">
        <v>2.6</v>
      </c>
      <c r="H106" s="4">
        <v>0.3</v>
      </c>
      <c r="I106" s="4"/>
      <c r="J106" s="4"/>
    </row>
    <row r="107" spans="1:10" ht="14.25" x14ac:dyDescent="0.45">
      <c r="A107" s="215">
        <v>12</v>
      </c>
      <c r="B107" s="246" t="s">
        <v>789</v>
      </c>
      <c r="C107" s="228" t="s">
        <v>790</v>
      </c>
      <c r="D107" s="249"/>
      <c r="E107">
        <v>-1.3</v>
      </c>
      <c r="F107">
        <v>1.3</v>
      </c>
      <c r="G107">
        <v>-3.8</v>
      </c>
      <c r="H107" s="4">
        <v>-1.4</v>
      </c>
      <c r="I107" s="4"/>
      <c r="J107" s="4"/>
    </row>
    <row r="108" spans="1:10" x14ac:dyDescent="0.4">
      <c r="A108" s="215"/>
      <c r="B108" s="215" t="s">
        <v>791</v>
      </c>
      <c r="C108" s="215"/>
      <c r="D108" s="238"/>
      <c r="E108" s="238" t="str" cm="1">
        <f t="array" ref="E108:J108">IF(ISNUMBER(_xlfn.ANCHORARRAY(E$34)),"growth rate","")</f>
        <v>growth rate</v>
      </c>
      <c r="F108" s="238" t="str">
        <v>growth rate</v>
      </c>
      <c r="G108" s="238" t="str">
        <v>growth rate</v>
      </c>
      <c r="H108" s="239" t="str">
        <v>growth rate</v>
      </c>
      <c r="I108" s="239" t="str">
        <v>growth rate</v>
      </c>
      <c r="J108" s="239" t="str">
        <v>growth rate</v>
      </c>
    </row>
    <row r="109" spans="1:10" ht="14.25" x14ac:dyDescent="0.45">
      <c r="A109" s="215">
        <v>13</v>
      </c>
      <c r="B109" s="228" t="s">
        <v>792</v>
      </c>
      <c r="C109" s="228"/>
      <c r="D109" s="249"/>
      <c r="E109">
        <v>7.8</v>
      </c>
      <c r="F109">
        <v>3.4</v>
      </c>
      <c r="G109">
        <v>3.6</v>
      </c>
      <c r="H109" s="4">
        <v>2.9</v>
      </c>
      <c r="I109" s="4"/>
      <c r="J109" s="4"/>
    </row>
    <row r="110" spans="1:10" ht="14.25" x14ac:dyDescent="0.45">
      <c r="A110" s="215">
        <v>14</v>
      </c>
      <c r="B110" s="243" t="s">
        <v>793</v>
      </c>
      <c r="C110" s="228"/>
      <c r="D110" s="249"/>
      <c r="E110">
        <v>9.1</v>
      </c>
      <c r="F110">
        <v>1.3</v>
      </c>
      <c r="G110">
        <v>3.6</v>
      </c>
      <c r="H110" s="4">
        <v>2.9</v>
      </c>
      <c r="I110" s="4"/>
      <c r="J110" s="4"/>
    </row>
    <row r="111" spans="1:10" ht="14.25" x14ac:dyDescent="0.45">
      <c r="A111" s="215">
        <v>15</v>
      </c>
      <c r="B111" s="228" t="s">
        <v>794</v>
      </c>
      <c r="C111" s="228"/>
      <c r="D111" s="249"/>
      <c r="E111">
        <v>8.5</v>
      </c>
      <c r="F111">
        <v>6.7</v>
      </c>
      <c r="G111">
        <v>4.3</v>
      </c>
      <c r="H111" s="4">
        <v>1.8</v>
      </c>
      <c r="I111" s="4"/>
      <c r="J111" s="4"/>
    </row>
    <row r="112" spans="1:10" ht="14.25" x14ac:dyDescent="0.45">
      <c r="A112" s="215">
        <v>16</v>
      </c>
      <c r="B112" s="228" t="s">
        <v>795</v>
      </c>
      <c r="C112" s="228"/>
      <c r="D112" s="249"/>
      <c r="E112">
        <v>7.7</v>
      </c>
      <c r="F112">
        <v>2.2999999999999998</v>
      </c>
      <c r="G112">
        <v>1.7</v>
      </c>
      <c r="H112" s="4">
        <v>3.4</v>
      </c>
      <c r="I112" s="4"/>
      <c r="J112" s="4"/>
    </row>
    <row r="113" spans="1:10" ht="14.25" x14ac:dyDescent="0.45">
      <c r="A113" s="215">
        <v>17</v>
      </c>
      <c r="B113" s="228" t="s">
        <v>796</v>
      </c>
      <c r="C113" s="228"/>
      <c r="D113" s="249"/>
      <c r="E113">
        <v>0.4</v>
      </c>
      <c r="F113">
        <v>0.9</v>
      </c>
      <c r="G113">
        <v>2</v>
      </c>
      <c r="H113" s="4">
        <v>3.5</v>
      </c>
      <c r="I113" s="4"/>
      <c r="J113" s="4"/>
    </row>
    <row r="114" spans="1:10" ht="14.25" x14ac:dyDescent="0.45">
      <c r="A114" s="215">
        <v>18</v>
      </c>
      <c r="B114" s="228" t="s">
        <v>797</v>
      </c>
      <c r="C114" s="228"/>
      <c r="D114" s="249"/>
      <c r="E114">
        <v>-2.4</v>
      </c>
      <c r="F114">
        <v>-0.2</v>
      </c>
      <c r="G114">
        <v>1.2</v>
      </c>
      <c r="H114" s="4">
        <v>2</v>
      </c>
      <c r="I114" s="4"/>
      <c r="J114" s="4"/>
    </row>
    <row r="115" spans="1:10" x14ac:dyDescent="0.4">
      <c r="A115" s="215"/>
      <c r="B115" s="215" t="s">
        <v>798</v>
      </c>
      <c r="C115" s="215" t="s">
        <v>26</v>
      </c>
      <c r="D115" s="238" t="s">
        <v>799</v>
      </c>
      <c r="E115" s="238" t="str" cm="1">
        <f t="array" ref="E115:J115">IF(ISNUMBER(_xlfn.ANCHORARRAY(E$34)),"growth rate","")</f>
        <v>growth rate</v>
      </c>
      <c r="F115" s="238" t="str">
        <v>growth rate</v>
      </c>
      <c r="G115" s="238" t="str">
        <v>growth rate</v>
      </c>
      <c r="H115" s="239" t="str">
        <v>growth rate</v>
      </c>
      <c r="I115" s="239" t="str">
        <v>growth rate</v>
      </c>
      <c r="J115" s="239" t="str">
        <v>growth rate</v>
      </c>
    </row>
    <row r="116" spans="1:10" x14ac:dyDescent="0.4">
      <c r="A116" s="215">
        <v>19</v>
      </c>
      <c r="B116" s="228" t="s">
        <v>800</v>
      </c>
      <c r="C116" s="228"/>
      <c r="D116" s="145">
        <v>884.2</v>
      </c>
      <c r="E116" s="3">
        <v>-0.2</v>
      </c>
      <c r="F116">
        <v>-0.8</v>
      </c>
      <c r="G116" s="3">
        <v>0.6</v>
      </c>
      <c r="H116" s="65">
        <v>0</v>
      </c>
      <c r="I116" s="65"/>
      <c r="J116" s="65"/>
    </row>
    <row r="117" spans="1:10" x14ac:dyDescent="0.4">
      <c r="A117" s="215">
        <v>20</v>
      </c>
      <c r="B117" s="228" t="s">
        <v>801</v>
      </c>
      <c r="C117" s="228"/>
      <c r="D117" s="145">
        <v>1832.8</v>
      </c>
      <c r="E117">
        <v>-1.7</v>
      </c>
      <c r="F117">
        <v>1.4</v>
      </c>
      <c r="G117">
        <v>-2</v>
      </c>
      <c r="H117" s="4">
        <v>0</v>
      </c>
      <c r="I117" s="4"/>
      <c r="J117" s="4"/>
    </row>
    <row r="118" spans="1:10" ht="14.25" x14ac:dyDescent="0.45">
      <c r="A118" s="215">
        <v>21</v>
      </c>
      <c r="B118" s="228" t="s">
        <v>802</v>
      </c>
      <c r="C118" s="228"/>
      <c r="D118" s="249"/>
      <c r="E118">
        <v>-0.7</v>
      </c>
      <c r="F118">
        <v>0.7</v>
      </c>
      <c r="G118">
        <v>1.5</v>
      </c>
      <c r="H118" s="4">
        <v>2.6</v>
      </c>
      <c r="I118" s="4"/>
      <c r="J118" s="4"/>
    </row>
    <row r="119" spans="1:10" ht="14.25" x14ac:dyDescent="0.45">
      <c r="A119" s="215">
        <v>22</v>
      </c>
      <c r="B119" s="228" t="s">
        <v>803</v>
      </c>
      <c r="C119" s="228"/>
      <c r="D119" s="249"/>
      <c r="E119">
        <v>1</v>
      </c>
      <c r="F119">
        <v>-0.7</v>
      </c>
      <c r="G119">
        <v>3.5</v>
      </c>
      <c r="H119" s="4">
        <v>2.6</v>
      </c>
      <c r="I119" s="4"/>
      <c r="J119" s="4"/>
    </row>
    <row r="120" spans="1:10" x14ac:dyDescent="0.4">
      <c r="A120" s="215">
        <v>23</v>
      </c>
      <c r="B120" s="228" t="s">
        <v>804</v>
      </c>
      <c r="C120" s="228" t="s">
        <v>5</v>
      </c>
      <c r="D120" s="145">
        <v>16</v>
      </c>
      <c r="E120">
        <v>9.6</v>
      </c>
      <c r="F120">
        <v>7.9</v>
      </c>
      <c r="G120">
        <v>6.5</v>
      </c>
      <c r="H120" s="4">
        <v>8.4</v>
      </c>
      <c r="I120" s="4"/>
      <c r="J120" s="4"/>
    </row>
    <row r="121" spans="1:10" x14ac:dyDescent="0.4">
      <c r="A121" s="215">
        <v>24</v>
      </c>
      <c r="B121" s="228" t="s">
        <v>805</v>
      </c>
      <c r="C121" s="228"/>
      <c r="D121">
        <v>18090.599999999999</v>
      </c>
      <c r="E121">
        <v>9.8000000000000007</v>
      </c>
      <c r="F121">
        <v>8.6999999999999993</v>
      </c>
      <c r="G121">
        <v>5.9</v>
      </c>
      <c r="H121" s="4">
        <v>8.4</v>
      </c>
      <c r="I121" s="4"/>
      <c r="J121" s="4"/>
    </row>
    <row r="122" spans="1:10" x14ac:dyDescent="0.4">
      <c r="A122" s="215"/>
      <c r="B122" s="215"/>
      <c r="C122" s="215"/>
      <c r="D122" s="238"/>
      <c r="E122" s="238" t="str" cm="1">
        <f t="array" ref="E122:J122">IF(ISNUMBER(_xlfn.ANCHORARRAY(E$34)),"%","")</f>
        <v>%</v>
      </c>
      <c r="F122" s="238" t="str">
        <v>%</v>
      </c>
      <c r="G122" s="238" t="str">
        <v>%</v>
      </c>
      <c r="H122" s="239" t="str">
        <v>%</v>
      </c>
      <c r="I122" s="239" t="str">
        <v>%</v>
      </c>
      <c r="J122" s="239" t="str">
        <v>%</v>
      </c>
    </row>
    <row r="123" spans="1:10" ht="14.25" x14ac:dyDescent="0.45">
      <c r="A123" s="215">
        <v>25</v>
      </c>
      <c r="B123" s="228" t="s">
        <v>806</v>
      </c>
      <c r="C123" s="228"/>
      <c r="D123" s="249"/>
      <c r="E123">
        <v>6.5</v>
      </c>
      <c r="F123">
        <v>6.9</v>
      </c>
      <c r="G123">
        <v>6.9</v>
      </c>
      <c r="H123" s="4">
        <v>6.6</v>
      </c>
      <c r="I123" s="4"/>
      <c r="J123" s="4"/>
    </row>
    <row r="124" spans="1:10" x14ac:dyDescent="0.4">
      <c r="A124" s="215"/>
      <c r="B124" s="215" t="s">
        <v>807</v>
      </c>
      <c r="C124" s="215"/>
      <c r="D124" s="238"/>
      <c r="E124" s="238" t="str" cm="1">
        <f t="array" ref="E124:J124">IF(ISNUMBER(_xlfn.ANCHORARRAY(E$34)),"growth rate","")</f>
        <v>growth rate</v>
      </c>
      <c r="F124" s="238" t="str">
        <v>growth rate</v>
      </c>
      <c r="G124" s="238" t="str">
        <v>growth rate</v>
      </c>
      <c r="H124" s="239" t="str">
        <v>growth rate</v>
      </c>
      <c r="I124" s="239" t="str">
        <v>growth rate</v>
      </c>
      <c r="J124" s="239" t="str">
        <v>growth rate</v>
      </c>
    </row>
    <row r="125" spans="1:10" ht="14.25" x14ac:dyDescent="0.45">
      <c r="A125" s="215">
        <v>26</v>
      </c>
      <c r="B125" s="228" t="s">
        <v>808</v>
      </c>
      <c r="C125" s="228"/>
      <c r="D125" s="249"/>
      <c r="E125">
        <v>1.7</v>
      </c>
      <c r="F125">
        <v>1.6</v>
      </c>
      <c r="G125">
        <v>1.8</v>
      </c>
      <c r="H125" s="4">
        <v>1.9</v>
      </c>
      <c r="I125" s="4"/>
      <c r="J125" s="4"/>
    </row>
    <row r="126" spans="1:10" x14ac:dyDescent="0.4">
      <c r="A126" s="215"/>
      <c r="B126" s="228" t="s">
        <v>809</v>
      </c>
      <c r="C126" s="228"/>
      <c r="D126" s="228"/>
      <c r="E126" s="228"/>
      <c r="F126" s="228"/>
      <c r="G126" s="228"/>
      <c r="H126" s="245"/>
      <c r="I126" s="245"/>
      <c r="J126" s="245"/>
    </row>
    <row r="127" spans="1:10" ht="14.25" x14ac:dyDescent="0.45">
      <c r="A127" s="215">
        <v>27</v>
      </c>
      <c r="B127" s="243" t="s">
        <v>810</v>
      </c>
      <c r="C127" s="228"/>
      <c r="D127" s="249"/>
      <c r="E127">
        <v>-0.1</v>
      </c>
      <c r="F127">
        <v>0.1</v>
      </c>
      <c r="G127">
        <v>-0.1</v>
      </c>
      <c r="H127" s="4">
        <v>-0.2</v>
      </c>
      <c r="I127" s="4"/>
      <c r="J127" s="4"/>
    </row>
    <row r="128" spans="1:10" ht="14.25" x14ac:dyDescent="0.45">
      <c r="A128" s="215">
        <v>28</v>
      </c>
      <c r="B128" s="243" t="s">
        <v>811</v>
      </c>
      <c r="C128" s="228"/>
      <c r="D128" s="249"/>
      <c r="E128">
        <v>0.7</v>
      </c>
      <c r="F128">
        <v>0.5</v>
      </c>
      <c r="G128">
        <v>0.8</v>
      </c>
      <c r="H128" s="4">
        <v>1.1000000000000001</v>
      </c>
      <c r="I128" s="4"/>
      <c r="J128" s="4"/>
    </row>
    <row r="129" spans="1:10" ht="14.25" x14ac:dyDescent="0.45">
      <c r="A129" s="215">
        <v>29</v>
      </c>
      <c r="B129" s="243" t="s">
        <v>812</v>
      </c>
      <c r="C129" s="228"/>
      <c r="D129" s="249"/>
      <c r="E129">
        <v>1</v>
      </c>
      <c r="F129">
        <v>1</v>
      </c>
      <c r="G129">
        <v>1</v>
      </c>
      <c r="H129" s="4">
        <v>1</v>
      </c>
      <c r="I129" s="4"/>
      <c r="J129" s="4"/>
    </row>
    <row r="130" spans="1:10" x14ac:dyDescent="0.4">
      <c r="A130" s="215"/>
      <c r="B130" s="215"/>
      <c r="C130" s="215"/>
      <c r="D130" s="238"/>
      <c r="E130" s="64" t="str" cm="1">
        <f t="array" ref="E130:J130">IF(ISNUMBER(_xlfn.ANCHORARRAY(E$34)),"% pot. GDP","")</f>
        <v>% pot. GDP</v>
      </c>
      <c r="F130" s="238" t="str">
        <v>% pot. GDP</v>
      </c>
      <c r="G130" s="238" t="str">
        <v>% pot. GDP</v>
      </c>
      <c r="H130" s="239" t="str">
        <v>% pot. GDP</v>
      </c>
      <c r="I130" s="239" t="str">
        <v>% pot. GDP</v>
      </c>
      <c r="J130" s="239" t="str">
        <v>% pot. GDP</v>
      </c>
    </row>
    <row r="131" spans="1:10" ht="14.25" x14ac:dyDescent="0.45">
      <c r="A131" s="215">
        <v>30</v>
      </c>
      <c r="B131" s="228" t="s">
        <v>89</v>
      </c>
      <c r="C131" s="228"/>
      <c r="D131" s="249"/>
      <c r="E131">
        <v>-0.4</v>
      </c>
      <c r="F131">
        <v>-2</v>
      </c>
      <c r="G131">
        <v>-1.7</v>
      </c>
      <c r="H131" s="4">
        <v>-1</v>
      </c>
      <c r="I131" s="4"/>
      <c r="J131" s="4"/>
    </row>
  </sheetData>
  <conditionalFormatting sqref="D7:J7">
    <cfRule type="expression" dxfId="97" priority="8">
      <formula>ISNUMBER(D6)</formula>
    </cfRule>
  </conditionalFormatting>
  <conditionalFormatting sqref="D6:J6">
    <cfRule type="expression" dxfId="96" priority="7">
      <formula>ISNUMBER(D6)</formula>
    </cfRule>
  </conditionalFormatting>
  <conditionalFormatting sqref="D29:J29">
    <cfRule type="expression" dxfId="95"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Latvia's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Latvia is adhering to its Council-endorsed medium-term structural-fiscal plan.</v>
      </c>
      <c r="M4" s="27"/>
      <c r="N4" s="27"/>
      <c r="Q4" s="29"/>
      <c r="R4" s="29"/>
      <c r="AU4" s="175"/>
      <c r="AV4" s="26"/>
    </row>
    <row r="5" spans="1:54" customFormat="1" x14ac:dyDescent="0.45">
      <c r="B5" s="135" t="str">
        <f>CHAR(149)&amp;" "&amp;MTP_Requirement</f>
        <v>• Latvia does not receive a reference trajectory but its MTP must contain a net expenditure path that complies with TFEU general government debt and deficit sustainability requirements.</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9"/>
      <c r="AV7" s="158"/>
    </row>
    <row r="8" spans="1:54" x14ac:dyDescent="0.45">
      <c r="A8" s="22"/>
    </row>
    <row r="9" spans="1:54" ht="15.75" x14ac:dyDescent="0.5">
      <c r="A9" s="112"/>
      <c r="B9" s="115" t="s">
        <v>18</v>
      </c>
      <c r="C9" s="255"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row>
    <row r="10" spans="1:54" ht="19.149999999999999" customHeight="1" x14ac:dyDescent="0.7">
      <c r="A10" s="113" t="s">
        <v>392</v>
      </c>
      <c r="B10" s="79" t="s">
        <v>476</v>
      </c>
      <c r="C10" s="76" t="str">
        <f t="shared" ref="C10:C11" si="0">IF(D10="At risk","⚠",IF(D10="Compliant","☑",IF(D10="Breach","⮽","☐")))</f>
        <v>☑</v>
      </c>
      <c r="D10" s="79" t="str">
        <f>IF(AssessmentRound="A new or revised MTP","N/A",IF(
  OR(
    Assessment!C96="Not applicable (all years adhere to the net expenditure path)",
    Assessment!C96=TRUE
  ),
  "Compliant",
  IF(
    Assessment!C94=FALSE,
    "Breach",
    IF(
      IFERROR(Assessment!C95=FALSE,FALSE),
      "At risk",
      "Compliant"
    )
  )
))</f>
        <v>Compliant</v>
      </c>
      <c r="E10" s="23" t="str">
        <f>IF(AssessmentRound="A new or revised MTP",NA(),Assessment!C98)</f>
        <v>Latvia's observed net expenditure to 2025 adheres to the net expenditure path in its latest Council-endorsed MTP, but planned net expenditure to 2026 does not. Deviations occur only in years covered by an escape clause.</v>
      </c>
      <c r="AU10" s="164"/>
      <c r="AV10" s="164"/>
      <c r="AW10" s="164"/>
      <c r="AX10" s="164"/>
      <c r="AY10" s="164"/>
      <c r="AZ10" s="164"/>
      <c r="BA10" s="164"/>
      <c r="BB10" s="164"/>
    </row>
    <row r="11" spans="1:54" ht="19.149999999999999" customHeight="1" x14ac:dyDescent="0.7">
      <c r="A11" s="113" t="s">
        <v>393</v>
      </c>
      <c r="B11" s="79" t="s">
        <v>482</v>
      </c>
      <c r="C11" s="76" t="str">
        <f t="shared" si="0"/>
        <v>☑</v>
      </c>
      <c r="D11" s="79" t="str">
        <f>IF(
  AssessmentRound="A new or revised MTP",
  "N/A",
  IF(
    OR(IF(ISNA(Assessment!C152),FALSE,Assessment!C152),
       IF(ISNA(Assessment!C153),FALSE,Assessment!C153)),
    "Breach",
    IF(
      AND(OR(Assessment!C150,Assessment!C151),
          NOT(Assessment!C154)),
      "Breach",
      IF(
        AND(OR(Assessment!C148,Assessment!C149),
            NOT(Assessment!C154)),
        "At risk",
        "Compliant"
      )
    )
  )
)</f>
        <v>Compliant</v>
      </c>
      <c r="E11" s="23" t="str">
        <f>IF(AssessmentRound="A new or revised MTP",NA(),Assessment!C157)</f>
        <v>At the end of the assessment period (2026), the balance in Latvia's cumulative control account is a credit (underspend) of 1.9 percentage points of GDP. Observed annual and cumulative deviations do not exceed the respective 0.3 and 0.6 percentage points of GDP limits.</v>
      </c>
    </row>
    <row r="12" spans="1:54" ht="19.149999999999999" customHeight="1" x14ac:dyDescent="0.7">
      <c r="A12" s="113" t="s">
        <v>137</v>
      </c>
      <c r="B12" s="79" t="s">
        <v>604</v>
      </c>
      <c r="C12" s="76" t="str">
        <f>IF(D12="At risk","⚠",IF(D12="Compliant","☑",IF(D12="Breach","⮽","☐")))</f>
        <v>☐</v>
      </c>
      <c r="D12" s="79" t="str">
        <f>IF(AssessmentRound="A new or revised MTP", "N/A", IF(
  OR(
    NOT(Receives_reference_trajectory),
    NOT(OR(Assessment!C160, Assessment!C161))
  ),
  "N/A",
  IF(
    OR(
      IF(Assessment!C160, NOT(Assessment!C162), FALSE),
      IF(Assessment!C161, NOT(Assessment!C163), FALSE)
    ),
    "At risk",
    "Compliant"
  )
))</f>
        <v>N/A</v>
      </c>
      <c r="E12" s="23" t="str">
        <f>IF(AssessmentRound="A new or revised MTP",NA(),Assessment!C165)</f>
        <v>Latvia does not receive a reference trajectory and is not assessed against the debt sustainability safeguard.</v>
      </c>
    </row>
    <row r="13" spans="1:54" ht="19.149999999999999" customHeight="1" x14ac:dyDescent="0.7">
      <c r="A13" s="113" t="s">
        <v>463</v>
      </c>
      <c r="B13" s="79" t="s">
        <v>605</v>
      </c>
      <c r="C13" s="76" t="str">
        <f t="shared" ref="C13" si="1">IF(D13="At risk","⚠",IF(D13="Compliant","☑",IF(D13="Breach","⮽","☐")))</f>
        <v>☐</v>
      </c>
      <c r="D13" s="79" t="str">
        <f>IF(AssessmentRound="A new or revised MTP","N/A",IF(
  NOT(Receives_reference_trajectory),
  "N/A",
  IF(
    ISNA(Assessment!C175),
    "N/A",
    IF(Assessment!C175,"Compliant","At risk")
  )
))</f>
        <v>N/A</v>
      </c>
      <c r="E13" s="23" t="str">
        <f>IF(AssessmentRound="A new or revised MTP",NA(),Assessment!C177)</f>
        <v>Latvia does not receive a reference trajectory and is not assessed against the deficit resilience safeguard.</v>
      </c>
    </row>
    <row r="14" spans="1:54" ht="19.149999999999999" customHeight="1" x14ac:dyDescent="0.7">
      <c r="A14" s="113" t="s">
        <v>503</v>
      </c>
      <c r="B14" s="79" t="s">
        <v>608</v>
      </c>
      <c r="C14" s="76" t="str">
        <f>IF(D14="At risk","⚠",IF(D14="Compliant","☑",IF(D14="Breach","⮽","☐")))</f>
        <v>☑</v>
      </c>
      <c r="D14" s="79" t="str">
        <f>IF(AssessmentRound="A new or revised MTP","N/A",IF(Assessment!C186,"Compliant",IF(EscapeClauseActivated,"Compliant","At risk")))</f>
        <v>Compliant</v>
      </c>
      <c r="E14" s="23" t="str">
        <f>IF(AssessmentRound="A new or revised MTP",NA(),Assessment!C188)</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3"/>
      <c r="B15" s="74" t="s">
        <v>477</v>
      </c>
      <c r="C15" s="75" t="str">
        <f>IF(D14="At risk","⚠",IF(D14="Compliant","☑",IF(D14="Breach","⮽","☐")))</f>
        <v>☑</v>
      </c>
      <c r="D15" s="140" t="str">
        <f>IF(AssessmentRound="A new or revised MTP","N/A",IF(COUNTIF(D10:D11,"Breach")=0,"Compliant","Breach"))</f>
        <v>Compliant</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row>
    <row r="16" spans="1:54" customFormat="1" ht="19.149999999999999" customHeight="1" thickTop="1" x14ac:dyDescent="0.4"/>
    <row r="17" spans="1:21" customFormat="1" ht="23.25" x14ac:dyDescent="0.7">
      <c r="B17" s="119" t="s">
        <v>979</v>
      </c>
      <c r="C17" s="23"/>
      <c r="D17" s="23"/>
      <c r="E17" s="23"/>
      <c r="F17" s="23"/>
      <c r="G17" s="23"/>
      <c r="H17" s="23"/>
      <c r="I17" s="23"/>
      <c r="J17" s="23"/>
      <c r="K17" s="23"/>
      <c r="L17" s="23"/>
      <c r="M17" s="23"/>
      <c r="N17" s="23"/>
      <c r="O17" s="23"/>
      <c r="P17" s="23"/>
      <c r="Q17" s="23"/>
      <c r="R17" s="23"/>
      <c r="S17" s="23"/>
      <c r="T17" s="23"/>
      <c r="U17" s="23"/>
    </row>
    <row r="18" spans="1:21" customFormat="1" x14ac:dyDescent="0.45">
      <c r="A18" s="3"/>
      <c r="B18" s="67"/>
      <c r="C18" s="67"/>
      <c r="D18" s="31" t="str" cm="1">
        <f t="array" ref="D18:G18">IF(AssessmentRound="New or revised MTP", "", IF(_xlfn.ANCHORARRAY(D21)&lt;=AdjustmentPeriodEnd, IF(_xlfn.ANCHORARRAY(D21)&lt;=OutturnThrough, "Observed", "Planned"), ""))</f>
        <v>Observed</v>
      </c>
      <c r="E18" s="31" t="str">
        <v>Observed</v>
      </c>
      <c r="F18" s="31" t="str">
        <v>Observed</v>
      </c>
      <c r="G18" s="31" t="str">
        <v>Planned</v>
      </c>
      <c r="H18" s="31"/>
      <c r="I18" s="31"/>
      <c r="J18" s="23"/>
      <c r="P18" s="23"/>
      <c r="Q18" s="23"/>
      <c r="R18" s="23"/>
      <c r="S18" s="23"/>
      <c r="T18" s="23"/>
      <c r="U18" s="23"/>
    </row>
    <row r="19" spans="1:21" customFormat="1" ht="14.85" customHeight="1" x14ac:dyDescent="0.45">
      <c r="A19" s="3"/>
      <c r="B19" s="67" t="s">
        <v>495</v>
      </c>
      <c r="C19" s="67"/>
      <c r="D19" s="97" t="str" cm="1">
        <f t="array" aca="1" ref="D19:G19" ca="1">IF(AssessmentRound="New or revised MTP", "", IF(AssessmentRound="Revised MTP","",_xlfn.HSTACK("",IF(OFFSET(Assessment!$F$142,0,0,1,COLUMNS(_xlfn.ANCHORARRAY(D21))-1),"Yes","No"))))</f>
        <v/>
      </c>
      <c r="E19" s="97" t="str">
        <f ca="1"/>
        <v>Yes</v>
      </c>
      <c r="F19" s="97" t="str">
        <f ca="1"/>
        <v>Yes</v>
      </c>
      <c r="G19" s="97" t="str">
        <f ca="1"/>
        <v>Yes</v>
      </c>
      <c r="H19" s="97"/>
      <c r="I19" s="97"/>
      <c r="J19" s="23"/>
    </row>
    <row r="20" spans="1:21" customFormat="1" ht="14.85" customHeight="1" x14ac:dyDescent="0.45">
      <c r="A20" s="3"/>
      <c r="B20" s="67" t="s">
        <v>274</v>
      </c>
      <c r="C20" s="67"/>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31"/>
      <c r="I20" s="31"/>
      <c r="J20" s="23"/>
    </row>
    <row r="21" spans="1:21" customFormat="1" ht="14.85" customHeight="1" x14ac:dyDescent="0.45">
      <c r="A21" s="3"/>
      <c r="B21" s="67" t="s">
        <v>251</v>
      </c>
      <c r="C21" s="67"/>
      <c r="D21" s="30" cm="1">
        <f t="array" ref="D21:G21">_xlfn.SEQUENCE(1, AssessmentEnd-MTP_BaseYear+1, MTP_BaseYear)</f>
        <v>2023</v>
      </c>
      <c r="E21" s="30">
        <v>2024</v>
      </c>
      <c r="F21" s="30">
        <v>2025</v>
      </c>
      <c r="G21" s="30">
        <v>2026</v>
      </c>
      <c r="H21" s="23"/>
      <c r="I21" s="23"/>
      <c r="J21" s="23"/>
    </row>
    <row r="22" spans="1:21" customFormat="1" ht="19.05" customHeight="1" x14ac:dyDescent="0.4">
      <c r="A22" s="3"/>
      <c r="B22" s="266" t="s">
        <v>635</v>
      </c>
    </row>
    <row r="23" spans="1:21" customFormat="1" ht="14.85" customHeight="1" x14ac:dyDescent="0.4">
      <c r="A23" s="3">
        <v>1</v>
      </c>
      <c r="B23" t="s">
        <v>257</v>
      </c>
      <c r="C23" t="s">
        <v>6</v>
      </c>
      <c r="D23" s="4">
        <f>Assessment!D105</f>
        <v>17.182600000000001</v>
      </c>
      <c r="E23" s="4">
        <f>Assessment!E105</f>
        <v>18.413499999999999</v>
      </c>
      <c r="F23" s="4">
        <f>Assessment!F105</f>
        <v>19.8324</v>
      </c>
      <c r="G23" s="4">
        <f>Assessment!G105</f>
        <v>20.588509988199995</v>
      </c>
      <c r="H23" t="str">
        <f>Assessment!H105</f>
        <v/>
      </c>
      <c r="I23" t="str">
        <f>Assessment!I105</f>
        <v/>
      </c>
      <c r="J23" t="str">
        <f>Assessment!J105</f>
        <v/>
      </c>
    </row>
    <row r="24" spans="1:21" customFormat="1" ht="14.85" customHeight="1" x14ac:dyDescent="0.4">
      <c r="A24" s="3">
        <v>2</v>
      </c>
      <c r="B24" t="s">
        <v>25</v>
      </c>
      <c r="C24" t="s">
        <v>6</v>
      </c>
      <c r="D24" s="4">
        <f>Assessment!D106</f>
        <v>0.28689999999999999</v>
      </c>
      <c r="E24" s="4">
        <f>Assessment!E106</f>
        <v>0.44330000000000003</v>
      </c>
      <c r="F24" s="4">
        <f>Assessment!F106</f>
        <v>0.4758</v>
      </c>
      <c r="G24" s="4">
        <f>Assessment!G106</f>
        <v>0.59346037659999995</v>
      </c>
      <c r="H24" t="str">
        <f>Assessment!H106</f>
        <v/>
      </c>
      <c r="I24" t="str">
        <f>Assessment!I106</f>
        <v/>
      </c>
      <c r="J24" t="str">
        <f>Assessment!J106</f>
        <v/>
      </c>
    </row>
    <row r="25" spans="1:21" customFormat="1" ht="14.85" customHeight="1" x14ac:dyDescent="0.4">
      <c r="A25" s="3">
        <v>3</v>
      </c>
      <c r="B25" t="s">
        <v>276</v>
      </c>
      <c r="C25" t="s">
        <v>6</v>
      </c>
      <c r="D25" s="4">
        <f>Assessment!D107</f>
        <v>-2.3600000000000001E-3</v>
      </c>
      <c r="E25" s="4">
        <f>Assessment!E107</f>
        <v>3.14E-3</v>
      </c>
      <c r="F25" s="4">
        <f>Assessment!F107</f>
        <v>6.7000000000000002E-3</v>
      </c>
      <c r="G25" s="4">
        <f>Assessment!G107</f>
        <v>9.130159639999998E-3</v>
      </c>
      <c r="H25" t="str">
        <f>Assessment!H107</f>
        <v/>
      </c>
      <c r="I25" t="str">
        <f>Assessment!I107</f>
        <v/>
      </c>
      <c r="J25" t="str">
        <f>Assessment!J107</f>
        <v/>
      </c>
    </row>
    <row r="26" spans="1:21" customFormat="1" ht="14.85" customHeight="1" x14ac:dyDescent="0.4">
      <c r="A26" s="3">
        <v>4</v>
      </c>
      <c r="B26" t="s">
        <v>636</v>
      </c>
      <c r="C26" t="s">
        <v>6</v>
      </c>
      <c r="D26" s="4">
        <f>Assessment!D108</f>
        <v>0.75171979999999994</v>
      </c>
      <c r="E26" s="4">
        <f>Assessment!E108</f>
        <v>0.77239370000000007</v>
      </c>
      <c r="F26" s="4">
        <f>Assessment!F108</f>
        <v>0.81749779999999994</v>
      </c>
      <c r="G26" s="4">
        <f>Assessment!G108</f>
        <v>0.91301596399999985</v>
      </c>
      <c r="H26" t="str">
        <f>Assessment!H108</f>
        <v/>
      </c>
      <c r="I26" t="str">
        <f>Assessment!I108</f>
        <v/>
      </c>
      <c r="J26" t="str">
        <f>Assessment!J108</f>
        <v/>
      </c>
    </row>
    <row r="27" spans="1:21" customFormat="1" ht="14.85" customHeight="1" x14ac:dyDescent="0.4">
      <c r="A27" s="3">
        <v>5</v>
      </c>
      <c r="B27" t="s">
        <v>278</v>
      </c>
      <c r="C27" t="s">
        <v>6</v>
      </c>
      <c r="D27" s="4">
        <f>Assessment!D109</f>
        <v>0.15825</v>
      </c>
      <c r="E27" s="4">
        <f>Assessment!E109</f>
        <v>0.13764999999999999</v>
      </c>
      <c r="F27" s="4">
        <f>Assessment!F109</f>
        <v>0.19919999999999999</v>
      </c>
      <c r="G27" s="4">
        <f>Assessment!G109</f>
        <v>0.22825399099999996</v>
      </c>
      <c r="H27" t="str">
        <f>Assessment!H109</f>
        <v/>
      </c>
      <c r="I27" t="str">
        <f>Assessment!I109</f>
        <v/>
      </c>
      <c r="J27" t="str">
        <f>Assessment!J109</f>
        <v/>
      </c>
    </row>
    <row r="28" spans="1:21" customFormat="1" ht="14.65" customHeight="1" x14ac:dyDescent="0.4">
      <c r="A28" s="3">
        <v>6</v>
      </c>
      <c r="B28" t="s">
        <v>637</v>
      </c>
      <c r="C28" t="s">
        <v>6</v>
      </c>
      <c r="D28" s="4">
        <f>Assessment!D110</f>
        <v>0</v>
      </c>
      <c r="E28" s="4">
        <f>Assessment!E110</f>
        <v>0</v>
      </c>
      <c r="F28" s="4">
        <f>Assessment!F110</f>
        <v>0</v>
      </c>
      <c r="G28" s="4">
        <f>Assessment!G110</f>
        <v>0</v>
      </c>
      <c r="H28" t="str">
        <f>Assessment!H110</f>
        <v/>
      </c>
      <c r="I28" t="str">
        <f>Assessment!I110</f>
        <v/>
      </c>
      <c r="J28" t="str">
        <f>Assessment!J110</f>
        <v/>
      </c>
    </row>
    <row r="29" spans="1:21" customFormat="1" ht="14.65" customHeight="1" x14ac:dyDescent="0.4">
      <c r="A29" s="3">
        <v>7</v>
      </c>
      <c r="B29" t="s">
        <v>638</v>
      </c>
      <c r="C29" t="s">
        <v>6</v>
      </c>
      <c r="D29" s="4">
        <f>Assessment!D111</f>
        <v>16.005510000000005</v>
      </c>
      <c r="E29" s="4">
        <f>Assessment!E111</f>
        <v>17.073910000000001</v>
      </c>
      <c r="F29" s="4">
        <f>Assessment!F111</f>
        <v>17.899699999999999</v>
      </c>
      <c r="G29" s="4">
        <f>Assessment!G111</f>
        <v>18.853779656599993</v>
      </c>
      <c r="H29" t="str">
        <f>Assessment!H111</f>
        <v/>
      </c>
      <c r="I29" t="str">
        <f>Assessment!I111</f>
        <v/>
      </c>
      <c r="J29" t="str">
        <f>Assessment!J111</f>
        <v/>
      </c>
    </row>
    <row r="30" spans="1:21" customFormat="1" ht="14.65" customHeight="1" x14ac:dyDescent="0.4">
      <c r="A30" s="3">
        <v>8</v>
      </c>
      <c r="B30" t="s">
        <v>639</v>
      </c>
      <c r="C30" t="s">
        <v>6</v>
      </c>
      <c r="D30" s="4"/>
      <c r="E30" s="4">
        <f>Assessment!E112</f>
        <v>1.0683999999999969</v>
      </c>
      <c r="F30" s="4">
        <f>Assessment!F112</f>
        <v>0.8257899999999978</v>
      </c>
      <c r="G30" s="4">
        <f>Assessment!G112</f>
        <v>0.95407965659999405</v>
      </c>
      <c r="H30" t="str">
        <f>Assessment!H112</f>
        <v/>
      </c>
      <c r="I30" t="str">
        <f>Assessment!I112</f>
        <v/>
      </c>
      <c r="J30" t="str">
        <f>Assessment!J112</f>
        <v/>
      </c>
    </row>
    <row r="31" spans="1:21" customFormat="1" ht="14.65" customHeight="1" x14ac:dyDescent="0.4">
      <c r="A31" s="3">
        <v>9</v>
      </c>
      <c r="B31" t="s">
        <v>640</v>
      </c>
      <c r="C31" t="s">
        <v>6</v>
      </c>
      <c r="D31" s="4"/>
      <c r="E31" s="4">
        <f>Assessment!E113</f>
        <v>0.24391380000000004</v>
      </c>
      <c r="F31" s="4">
        <f>Assessment!F113</f>
        <v>4.3026199999999994E-2</v>
      </c>
      <c r="G31" s="4">
        <f>Assessment!G113</f>
        <v>-9.1301596399999976E-2</v>
      </c>
      <c r="H31" t="str">
        <f>Assessment!H113</f>
        <v/>
      </c>
      <c r="I31" t="str">
        <f>Assessment!I113</f>
        <v/>
      </c>
      <c r="J31" t="str">
        <f>Assessment!J113</f>
        <v/>
      </c>
    </row>
    <row r="32" spans="1:21" customFormat="1" ht="14.65" customHeight="1" x14ac:dyDescent="0.4">
      <c r="A32" s="3">
        <v>10</v>
      </c>
      <c r="B32" t="s">
        <v>641</v>
      </c>
      <c r="C32" t="s">
        <v>6</v>
      </c>
      <c r="D32" s="4"/>
      <c r="E32" s="4">
        <f>Assessment!E114</f>
        <v>0.82448619999999684</v>
      </c>
      <c r="F32" s="4">
        <f>Assessment!F114</f>
        <v>0.78276379999999779</v>
      </c>
      <c r="G32" s="4">
        <f>Assessment!G114</f>
        <v>1.045381252999994</v>
      </c>
      <c r="H32" t="str">
        <f>Assessment!H114</f>
        <v/>
      </c>
      <c r="I32" t="str">
        <f>Assessment!I114</f>
        <v/>
      </c>
      <c r="J32" t="str">
        <f>Assessment!J114</f>
        <v/>
      </c>
    </row>
    <row r="33" spans="1:23" customFormat="1" ht="19.05" customHeight="1" x14ac:dyDescent="0.4">
      <c r="A33" s="3"/>
      <c r="B33" s="266" t="s">
        <v>981</v>
      </c>
      <c r="D33" s="4"/>
      <c r="E33" s="4"/>
      <c r="F33" s="4"/>
      <c r="G33" s="4"/>
    </row>
    <row r="34" spans="1:23" customFormat="1" ht="14.65" customHeight="1" x14ac:dyDescent="0.4">
      <c r="A34" s="3">
        <v>11</v>
      </c>
      <c r="B34" t="s">
        <v>643</v>
      </c>
      <c r="C34" t="s">
        <v>612</v>
      </c>
      <c r="D34" s="4"/>
      <c r="E34" s="4">
        <f>Assessment!E116</f>
        <v>5.1512647831902676</v>
      </c>
      <c r="F34" s="4">
        <f>Assessment!F116</f>
        <v>4.5845608885135141</v>
      </c>
      <c r="G34" s="4">
        <f>Assessment!G116</f>
        <v>5.8402166125688924</v>
      </c>
      <c r="H34" t="str">
        <f>Assessment!H116</f>
        <v/>
      </c>
      <c r="I34" t="str">
        <f>Assessment!I116</f>
        <v/>
      </c>
      <c r="J34" t="str">
        <f>Assessment!J116</f>
        <v/>
      </c>
    </row>
    <row r="35" spans="1:23" customFormat="1" ht="14.65" customHeight="1" x14ac:dyDescent="0.4">
      <c r="A35" s="3">
        <v>12</v>
      </c>
      <c r="B35" t="s">
        <v>1000</v>
      </c>
      <c r="C35" t="s">
        <v>612</v>
      </c>
      <c r="D35" s="4"/>
      <c r="E35" s="263">
        <f>Assessment!E117</f>
        <v>9.1</v>
      </c>
      <c r="F35" s="4">
        <f>Assessment!F117</f>
        <v>5.8999999999999995</v>
      </c>
      <c r="G35" s="4">
        <f>Assessment!G117</f>
        <v>3.5999999999999996</v>
      </c>
      <c r="H35" t="str">
        <f>Assessment!H117</f>
        <v/>
      </c>
      <c r="I35" t="str">
        <f>Assessment!I117</f>
        <v/>
      </c>
      <c r="J35" t="str">
        <f>Assessment!J117</f>
        <v/>
      </c>
    </row>
    <row r="36" spans="1:23" customFormat="1" ht="14.65" customHeight="1" x14ac:dyDescent="0.4">
      <c r="A36" s="3">
        <v>13</v>
      </c>
      <c r="B36" t="s">
        <v>982</v>
      </c>
      <c r="C36" t="s">
        <v>6</v>
      </c>
      <c r="D36" s="4"/>
      <c r="E36" s="263">
        <f>Assessment!E118</f>
        <v>-0.63201521000000349</v>
      </c>
      <c r="F36" s="4">
        <f>Assessment!F118</f>
        <v>-0.22459689000000219</v>
      </c>
      <c r="G36" s="4">
        <f>Assessment!G118</f>
        <v>0.40099205299999402</v>
      </c>
      <c r="H36" t="str">
        <f>Assessment!H118</f>
        <v/>
      </c>
      <c r="I36" t="str">
        <f>Assessment!I118</f>
        <v/>
      </c>
      <c r="J36" t="str">
        <f>Assessment!J118</f>
        <v/>
      </c>
    </row>
    <row r="37" spans="1:23" customFormat="1" ht="14.65" customHeight="1" x14ac:dyDescent="0.4">
      <c r="A37" s="3">
        <v>14</v>
      </c>
      <c r="B37" t="s">
        <v>983</v>
      </c>
      <c r="C37" t="s">
        <v>6</v>
      </c>
      <c r="D37" s="4"/>
      <c r="E37" s="263">
        <f>Assessment!E119</f>
        <v>-0.63201521000000349</v>
      </c>
      <c r="F37" s="4">
        <f>Assessment!F119</f>
        <v>-0.85661210000000565</v>
      </c>
      <c r="G37" s="4">
        <f>Assessment!G119</f>
        <v>-0.45562004700001163</v>
      </c>
      <c r="H37" t="str">
        <f>Assessment!H119</f>
        <v/>
      </c>
      <c r="I37" t="str">
        <f>Assessment!I119</f>
        <v/>
      </c>
      <c r="J37" t="str">
        <f>Assessment!J119</f>
        <v/>
      </c>
    </row>
    <row r="38" spans="1:23" customFormat="1" ht="14.65" customHeight="1" x14ac:dyDescent="0.4">
      <c r="A38" s="3">
        <v>15</v>
      </c>
      <c r="B38" t="s">
        <v>9</v>
      </c>
      <c r="C38" t="s">
        <v>6</v>
      </c>
      <c r="D38" s="4">
        <f>Assessment!D120</f>
        <v>39.5642</v>
      </c>
      <c r="E38" s="4">
        <f>Assessment!E120</f>
        <v>40.652300000000004</v>
      </c>
      <c r="F38" s="4">
        <f>Assessment!F120</f>
        <v>43.026199999999996</v>
      </c>
      <c r="G38" s="4">
        <f>Assessment!G120</f>
        <v>45.65079819999999</v>
      </c>
      <c r="H38" t="str">
        <f>Assessment!H120</f>
        <v/>
      </c>
      <c r="I38" t="str">
        <f>Assessment!I120</f>
        <v/>
      </c>
      <c r="J38" t="str">
        <f>Assessment!J120</f>
        <v/>
      </c>
    </row>
    <row r="39" spans="1:23" customFormat="1" ht="19.05" customHeight="1" x14ac:dyDescent="0.4">
      <c r="A39" s="3"/>
      <c r="B39" s="266" t="s">
        <v>979</v>
      </c>
      <c r="D39" s="4"/>
      <c r="E39" s="4"/>
      <c r="F39" s="4"/>
      <c r="G39" s="4"/>
    </row>
    <row r="40" spans="1:23" customFormat="1" ht="14.65" customHeight="1" x14ac:dyDescent="0.4">
      <c r="A40" s="3">
        <v>16</v>
      </c>
      <c r="B40" t="s">
        <v>613</v>
      </c>
      <c r="C40" t="s">
        <v>614</v>
      </c>
      <c r="D40" s="4"/>
      <c r="E40" s="263">
        <f>Assessment!E122</f>
        <v>-1.5546849993727376</v>
      </c>
      <c r="F40" s="4">
        <f>Assessment!F122</f>
        <v>-0.52200029284482985</v>
      </c>
      <c r="G40" s="4">
        <f>Assessment!G122</f>
        <v>0.87839001465694877</v>
      </c>
      <c r="H40" t="str">
        <f>Assessment!H122</f>
        <v/>
      </c>
      <c r="I40" t="str">
        <f>Assessment!I122</f>
        <v/>
      </c>
      <c r="J40" t="str">
        <f>Assessment!J122</f>
        <v/>
      </c>
    </row>
    <row r="41" spans="1:23" customFormat="1" ht="14.65" customHeight="1" x14ac:dyDescent="0.45">
      <c r="A41" s="3">
        <v>17</v>
      </c>
      <c r="B41" t="s">
        <v>999</v>
      </c>
      <c r="C41" t="s">
        <v>614</v>
      </c>
      <c r="D41" s="4"/>
      <c r="E41" s="263">
        <f>Assessment!E123</f>
        <v>-1.5546849993727376</v>
      </c>
      <c r="F41" s="4">
        <f>Assessment!F123</f>
        <v>-1.9909080978566682</v>
      </c>
      <c r="G41" s="4">
        <f>Assessment!G123</f>
        <v>-0.99805494091012792</v>
      </c>
      <c r="H41" t="str">
        <f>Assessment!H123</f>
        <v/>
      </c>
      <c r="I41" t="str">
        <f>Assessment!I123</f>
        <v/>
      </c>
      <c r="J41" t="str">
        <f>Assessment!J123</f>
        <v/>
      </c>
      <c r="W41" s="23"/>
    </row>
    <row r="42" spans="1:23" customFormat="1" ht="19.05" customHeight="1" x14ac:dyDescent="0.4">
      <c r="A42" s="3"/>
      <c r="B42" s="266" t="s">
        <v>984</v>
      </c>
      <c r="D42" s="4"/>
      <c r="E42" s="4"/>
      <c r="F42" s="4"/>
      <c r="G42" s="4"/>
    </row>
    <row r="43" spans="1:23" customFormat="1" ht="14.65" customHeight="1" x14ac:dyDescent="0.4">
      <c r="A43" s="3">
        <v>18</v>
      </c>
      <c r="B43" t="str">
        <f>Assessment!B131</f>
        <v>Growth of defence expenditure since 2021</v>
      </c>
      <c r="C43" t="s">
        <v>614</v>
      </c>
      <c r="D43" s="4"/>
      <c r="E43" s="4"/>
      <c r="F43" s="4">
        <f>Assessment!F131</f>
        <v>0.66351432383059628</v>
      </c>
      <c r="G43" s="4">
        <f>Assessment!G131</f>
        <v>2.2257681343411875</v>
      </c>
      <c r="H43" t="str">
        <f>Assessment!H131</f>
        <v/>
      </c>
      <c r="I43" t="str">
        <f>Assessment!I131</f>
        <v/>
      </c>
      <c r="J43" t="str">
        <f>Assessment!J131</f>
        <v/>
      </c>
    </row>
    <row r="44" spans="1:23" customFormat="1" ht="14.65" customHeight="1" x14ac:dyDescent="0.4">
      <c r="A44" s="3">
        <v>19</v>
      </c>
      <c r="B44" t="s">
        <v>991</v>
      </c>
      <c r="C44" t="s">
        <v>614</v>
      </c>
      <c r="D44" s="4"/>
      <c r="E44" s="4">
        <f>Assessment!E139</f>
        <v>-1.5546849993727376</v>
      </c>
      <c r="F44" s="4">
        <f>Assessment!F139</f>
        <v>-0.52200029284482985</v>
      </c>
      <c r="G44" s="4">
        <f>Assessment!G139</f>
        <v>0</v>
      </c>
    </row>
    <row r="45" spans="1:23" customFormat="1" ht="14.65" customHeight="1" x14ac:dyDescent="0.4">
      <c r="A45" s="3">
        <v>20</v>
      </c>
      <c r="B45" s="267" t="s">
        <v>985</v>
      </c>
      <c r="C45" s="267" t="s">
        <v>614</v>
      </c>
      <c r="D45" s="4"/>
      <c r="E45" s="4"/>
      <c r="F45" s="4">
        <f>Assessment!F141</f>
        <v>-2.6544224216872645</v>
      </c>
      <c r="G45" s="4">
        <f>Assessment!G141</f>
        <v>-3.2238230752513153</v>
      </c>
      <c r="H45" s="4" t="str">
        <f>Assessment!H141</f>
        <v/>
      </c>
      <c r="I45" s="4" t="str">
        <f>Assessment!I141</f>
        <v/>
      </c>
      <c r="J45" s="4" t="str">
        <f>Assessment!J141</f>
        <v/>
      </c>
    </row>
    <row r="46" spans="1:23" customFormat="1" ht="14.65" customHeight="1" x14ac:dyDescent="0.4">
      <c r="A46" s="3"/>
      <c r="D46" s="4"/>
      <c r="E46" s="4"/>
      <c r="F46" s="4"/>
      <c r="G46" s="4"/>
      <c r="I46" t="str">
        <f>Assessment!I127</f>
        <v/>
      </c>
      <c r="J46" t="str">
        <f>Assessment!J127</f>
        <v/>
      </c>
    </row>
    <row r="47" spans="1:23" customFormat="1" ht="14.65" customHeight="1" x14ac:dyDescent="0.4">
      <c r="A47" s="3"/>
      <c r="D47" s="4"/>
      <c r="E47" s="4"/>
      <c r="F47" s="4"/>
      <c r="G47" s="4"/>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2">IF(C50="", "", IF(C50&lt;=OutturnThrough, "Observed", "Planned"))</f>
        <v>Observed</v>
      </c>
      <c r="D51" s="31" t="str">
        <f t="shared" si="2"/>
        <v>Observed</v>
      </c>
      <c r="E51" s="31" t="str">
        <f t="shared" si="2"/>
        <v>Observed</v>
      </c>
      <c r="F51" s="31" t="str">
        <f t="shared" si="2"/>
        <v>Planned</v>
      </c>
      <c r="G51" s="31" t="str">
        <f t="shared" si="2"/>
        <v>Planned</v>
      </c>
      <c r="H51" s="31" t="str">
        <f t="shared" si="2"/>
        <v>Planned</v>
      </c>
      <c r="I51" s="31" t="str">
        <f t="shared" si="2"/>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9.1</v>
      </c>
      <c r="E52" s="46">
        <v>5.8999999999999995</v>
      </c>
      <c r="F52" s="46">
        <v>3.5999999999999996</v>
      </c>
      <c r="G52" s="48">
        <v>3.4000000000000004</v>
      </c>
      <c r="H52" s="46">
        <v>3.3000000000000003</v>
      </c>
      <c r="I52" s="46"/>
      <c r="J52" s="65"/>
      <c r="K52" s="65"/>
      <c r="L52" s="65"/>
      <c r="M52" s="23"/>
    </row>
    <row r="53" spans="1:13" customFormat="1" x14ac:dyDescent="0.45">
      <c r="A53" s="23"/>
      <c r="B53" s="136" t="str">
        <f>ScenarioName</f>
        <v>Annual Progress Report 2026</v>
      </c>
      <c r="C53" s="65" t="str" cm="1">
        <f t="array" ref="C53:H53">INDEX(
  Assessment!$15:$15,
  1,
  MATCH(MTP_BaseYear,Assessment!$4:$4,0)
    + _xlfn.SEQUENCE(1, COLUMNS(_xlfn.ANCHORARRAY(C50)), 0)
)</f>
        <v/>
      </c>
      <c r="D53" s="65">
        <v>5.1512647831902569</v>
      </c>
      <c r="E53" s="65">
        <v>4.5845608885135114</v>
      </c>
      <c r="F53" s="65">
        <v>5.3</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-2.2000000000000002</v>
      </c>
      <c r="D54" s="46">
        <v>-2.6</v>
      </c>
      <c r="E54" s="46">
        <v>-2.9</v>
      </c>
      <c r="F54" s="46">
        <v>-2.9</v>
      </c>
      <c r="G54" s="48">
        <v>-2.9</v>
      </c>
      <c r="H54" s="48">
        <v>-2.9</v>
      </c>
      <c r="I54" s="48"/>
      <c r="J54" s="65"/>
      <c r="K54" s="65"/>
      <c r="L54" s="65"/>
      <c r="M54" s="23"/>
    </row>
    <row r="55" spans="1:13" customFormat="1" x14ac:dyDescent="0.45">
      <c r="A55" s="23"/>
      <c r="B55" s="136" t="str">
        <f>ScenarioName</f>
        <v>Annual Progress Report 2026</v>
      </c>
      <c r="C55" s="65" cm="1">
        <f t="array" ref="C55:H55">INDEX(
  Assessment!$17:$17,
  1,
  MATCH(MTP_BaseYear,Assessment!$4:$4,0)
    + _xlfn.SEQUENCE(1, COLUMNS(_xlfn.ANCHORARRAY(C50)), 0)
)</f>
        <v>-2.342774528487884</v>
      </c>
      <c r="D55" s="65">
        <v>-1.7868607680254289</v>
      </c>
      <c r="E55" s="65">
        <v>-2.5407774797681517</v>
      </c>
      <c r="F55" s="65">
        <v>-3</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-1.8</v>
      </c>
      <c r="D56" s="48">
        <v>-1.9</v>
      </c>
      <c r="E56" s="48">
        <v>-2.5</v>
      </c>
      <c r="F56" s="48">
        <v>-2.6</v>
      </c>
      <c r="G56" s="48">
        <v>-2.7</v>
      </c>
      <c r="H56" s="48">
        <v>-2.7</v>
      </c>
      <c r="I56" s="48"/>
      <c r="J56" s="65"/>
      <c r="K56" s="65"/>
      <c r="L56" s="65"/>
      <c r="M56" s="23"/>
    </row>
    <row r="57" spans="1:13" customFormat="1" x14ac:dyDescent="0.45">
      <c r="A57" s="23"/>
      <c r="B57" s="136" t="str">
        <f>ScenarioName</f>
        <v>Annual Progress Report 2026</v>
      </c>
      <c r="C57" s="65" cm="1">
        <f t="array" ref="C57:H57">INDEX(
  Assessment!$18:$18,
  1,
  MATCH(MTP_BaseYear,Assessment!$4:$4,0)
    + _xlfn.SEQUENCE(1, COLUMNS(_xlfn.ANCHORARRAY(C50)), 0)
)</f>
        <v>-2.0901399999999999</v>
      </c>
      <c r="D57" s="65">
        <v>-1.3087</v>
      </c>
      <c r="E57" s="65">
        <v>-2.5189499999999998</v>
      </c>
      <c r="F57" s="65">
        <v>-2.6</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-1.2</v>
      </c>
      <c r="D58" s="46">
        <v>-0.8</v>
      </c>
      <c r="E58" s="46">
        <v>-1.3</v>
      </c>
      <c r="F58" s="46">
        <v>-1.3</v>
      </c>
      <c r="G58" s="48">
        <v>-1.3</v>
      </c>
      <c r="H58" s="48">
        <v>-1.3</v>
      </c>
      <c r="I58" s="48"/>
      <c r="J58" s="65"/>
      <c r="K58" s="65"/>
      <c r="L58" s="65"/>
      <c r="M58" s="23"/>
    </row>
    <row r="59" spans="1:13" customFormat="1" x14ac:dyDescent="0.45">
      <c r="A59" s="23"/>
      <c r="B59" s="136" t="str">
        <f>ScenarioName</f>
        <v>Annual Progress Report 2026</v>
      </c>
      <c r="C59" s="65" cm="1">
        <f t="array" ref="C59:H59">INDEX(
  Assessment!$19:$19,
  1,
  MATCH(MTP_BaseYear,Assessment!$4:$4,0)
    + _xlfn.SEQUENCE(1, COLUMNS(_xlfn.ANCHORARRAY(C50)), 0)
)</f>
        <v>-1.3650599999999999</v>
      </c>
      <c r="D59" s="65">
        <v>-0.21811</v>
      </c>
      <c r="E59" s="65">
        <v>-1.41309</v>
      </c>
      <c r="F59" s="65">
        <v>-1.3</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43.6</v>
      </c>
      <c r="D60" s="46">
        <v>45.8</v>
      </c>
      <c r="E60" s="46">
        <v>47.5</v>
      </c>
      <c r="F60" s="46">
        <v>48.5</v>
      </c>
      <c r="G60" s="46">
        <v>49.7</v>
      </c>
      <c r="H60" s="46">
        <v>50.8</v>
      </c>
      <c r="I60" s="46"/>
      <c r="J60" s="65"/>
      <c r="K60" s="65"/>
      <c r="L60" s="65"/>
      <c r="M60" s="23"/>
    </row>
    <row r="61" spans="1:13" customFormat="1" x14ac:dyDescent="0.45">
      <c r="A61" s="23"/>
      <c r="B61" s="136" t="str">
        <f>ScenarioName</f>
        <v>Annual Progress Report 2026</v>
      </c>
      <c r="C61" s="65" cm="1">
        <f t="array" ref="C61:H61">INDEX(
  Assessment!$20:$20,
  1,
  MATCH(MTP_BaseYear,Assessment!$4:$4,0)
    + _xlfn.SEQUENCE(1, COLUMNS(_xlfn.ANCHORARRAY(C50)), 0)
)</f>
        <v>44.430318318075436</v>
      </c>
      <c r="D61" s="65">
        <v>46.249535696627248</v>
      </c>
      <c r="E61" s="65">
        <v>46.887477862325753</v>
      </c>
      <c r="F61" s="65">
        <v>47.9</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1.8</v>
      </c>
      <c r="D62" s="46">
        <v>2.2999999999999998</v>
      </c>
      <c r="E62" s="46">
        <v>1.6</v>
      </c>
      <c r="F62" s="46">
        <v>1.1000000000000001</v>
      </c>
      <c r="G62" s="46">
        <v>1.2</v>
      </c>
      <c r="H62" s="46">
        <v>1.2</v>
      </c>
      <c r="I62" s="46"/>
      <c r="J62" s="65"/>
      <c r="K62" s="65"/>
      <c r="L62" s="65"/>
      <c r="M62" s="23"/>
    </row>
    <row r="63" spans="1:13" customFormat="1" x14ac:dyDescent="0.45">
      <c r="A63" s="23"/>
      <c r="B63" s="136" t="str">
        <f>ScenarioName</f>
        <v>Annual Progress Report 2026</v>
      </c>
      <c r="C63" s="65" cm="1">
        <f t="array" ref="C63:H63">INDEX(
  Assessment!$21:$21,
  1,
  MATCH(MTP_BaseYear,Assessment!$4:$4,0)
    + _xlfn.SEQUENCE(1, COLUMNS(_xlfn.ANCHORARRAY(C50)), 0)
)</f>
        <v>3.8913967677850185</v>
      </c>
      <c r="D63" s="65">
        <v>3.0084398668710008</v>
      </c>
      <c r="E63" s="65">
        <v>3.1896844248388225</v>
      </c>
      <c r="F63" s="65">
        <v>0.9</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-0.3</v>
      </c>
      <c r="D65" s="108">
        <v>1.4</v>
      </c>
      <c r="E65" s="108">
        <v>2.9</v>
      </c>
      <c r="F65" s="108">
        <v>1.6</v>
      </c>
      <c r="G65" s="108">
        <v>1.2</v>
      </c>
      <c r="H65" s="108">
        <v>1.1000000000000001</v>
      </c>
      <c r="I65" s="108"/>
      <c r="J65" s="109"/>
      <c r="K65" s="109"/>
      <c r="L65" s="109"/>
      <c r="M65" s="23"/>
    </row>
    <row r="66" spans="1:13" customFormat="1" x14ac:dyDescent="0.45">
      <c r="A66" s="23"/>
      <c r="B66" s="173" t="str">
        <f>ScenarioName</f>
        <v>Annual Progress Report 2026</v>
      </c>
      <c r="C66" s="109" cm="1">
        <f t="array" ref="C66:H66">INDEX(
  Assessment!$22:$22,
  1,
  MATCH(MTP_BaseYear,Assessment!$4:$4,0)
    + _xlfn.SEQUENCE(1, COLUMNS(_xlfn.ANCHORARRAY(C50)), 0)
)</f>
        <v>-0.9414574313402313</v>
      </c>
      <c r="D66" s="65">
        <v>-3.7310985009997299E-2</v>
      </c>
      <c r="E66" s="65">
        <v>2.1381842045897326</v>
      </c>
      <c r="F66" s="65">
        <v>2.6</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5.4</v>
      </c>
      <c r="D67" s="108">
        <v>2.4</v>
      </c>
      <c r="E67" s="108">
        <v>2.5</v>
      </c>
      <c r="F67" s="108">
        <v>2.5</v>
      </c>
      <c r="G67" s="108">
        <v>2.5</v>
      </c>
      <c r="H67" s="108">
        <v>2.5</v>
      </c>
      <c r="I67" s="108"/>
    </row>
    <row r="68" spans="1:13" customFormat="1" x14ac:dyDescent="0.45">
      <c r="A68" s="23"/>
      <c r="B68" s="173" t="str">
        <f>ScenarioName</f>
        <v>Annual Progress Report 2026</v>
      </c>
      <c r="C68" s="109" cm="1">
        <f t="array" ref="C68:H68">INDEX(
  Assessment!$23:$23,
  1,
  MATCH(MTP_BaseYear,Assessment!$4:$4,0)
    + _xlfn.SEQUENCE(1, COLUMNS(_xlfn.ANCHORARRAY(C50)), 0)
)</f>
        <v>10.672371603556009</v>
      </c>
      <c r="D68" s="65">
        <v>2.7885650030008202</v>
      </c>
      <c r="E68" s="65">
        <v>3.623853135142574</v>
      </c>
      <c r="F68" s="65">
        <v>3.3</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5.0999999999999996</v>
      </c>
      <c r="D69" s="108">
        <v>3.8</v>
      </c>
      <c r="E69" s="108">
        <v>5.5</v>
      </c>
      <c r="F69" s="108">
        <v>4.0999999999999996</v>
      </c>
      <c r="G69" s="108">
        <v>3.7</v>
      </c>
      <c r="H69" s="108">
        <v>3.6</v>
      </c>
      <c r="I69" s="108"/>
    </row>
    <row r="70" spans="1:13" x14ac:dyDescent="0.45">
      <c r="B70" s="173" t="str">
        <f>ScenarioName</f>
        <v>Annual Progress Report 2026</v>
      </c>
      <c r="C70" s="109" cm="1">
        <f t="array" ref="C70:H70">INDEX(
  Assessment!$24:$24,
  1,
  MATCH(MTP_BaseYear,Assessment!$4:$4,0)
    + _xlfn.SEQUENCE(1, COLUMNS(_xlfn.ANCHORARRAY(C50)), 0)
)</f>
        <v>9.630438336653846</v>
      </c>
      <c r="D70" s="65">
        <v>2.7502135769205571</v>
      </c>
      <c r="E70" s="65">
        <v>5.8395219950654553</v>
      </c>
      <c r="F70" s="65">
        <v>6.1</v>
      </c>
      <c r="G70" s="65" t="str">
        <v/>
      </c>
      <c r="H70" s="65" t="str">
        <v/>
      </c>
      <c r="I70" s="65"/>
    </row>
    <row r="71" spans="1:13" x14ac:dyDescent="0.45">
      <c r="B71" s="172" t="s">
        <v>275</v>
      </c>
      <c r="C71" s="108" cm="1">
        <f t="array" ref="C71:H71">INDEX(
  Assessment!$43:$43,
  1,
  MATCH(MTP_BaseYear,Assessment!$32:$32,0)
    + _xlfn.SEQUENCE(1, COLUMNS(_xlfn.ANCHORARRAY(C50)), 0)
)</f>
        <v>2.2999999999999998</v>
      </c>
      <c r="D71" s="108">
        <v>2.2000000000000002</v>
      </c>
      <c r="E71" s="108">
        <v>2.1</v>
      </c>
      <c r="F71" s="108">
        <v>1.2</v>
      </c>
      <c r="G71" s="108">
        <v>0.9</v>
      </c>
      <c r="H71" s="108">
        <v>0.9</v>
      </c>
      <c r="I71" s="108"/>
    </row>
    <row r="72" spans="1:13" x14ac:dyDescent="0.45">
      <c r="B72" s="173" t="str">
        <f>ScenarioName</f>
        <v>Annual Progress Report 2026</v>
      </c>
      <c r="C72" s="109" cm="1">
        <f t="array" ref="C72:H72">INDEX(
  Assessment!$25:$25,
  1,
  MATCH(MTP_BaseYear,Assessment!$4:$4,0)
    + _xlfn.SEQUENCE(1, COLUMNS(_xlfn.ANCHORARRAY(C50)), 0)
)</f>
        <v>1.0494115850457675</v>
      </c>
      <c r="D72" s="65">
        <v>0.56895479625649337</v>
      </c>
      <c r="E72" s="65">
        <v>0.90465793805487582</v>
      </c>
      <c r="F72" s="65">
        <v>1.9</v>
      </c>
      <c r="G72" s="65" t="str">
        <v/>
      </c>
      <c r="H72" s="65" t="str">
        <v/>
      </c>
      <c r="I72" s="65"/>
    </row>
    <row r="73" spans="1:13" x14ac:dyDescent="0.45">
      <c r="B73" s="172" t="s">
        <v>272</v>
      </c>
      <c r="C73" s="108" cm="1">
        <f t="array" ref="C73:H73">INDEX(
  Assessment!$44:$44,
  1,
  MATCH(MTP_BaseYear,Assessment!$32:$32,0)
    + _xlfn.SEQUENCE(1, COLUMNS(_xlfn.ANCHORARRAY(C50)), 0)
)</f>
        <v>-1</v>
      </c>
      <c r="D73" s="108">
        <v>-1.8</v>
      </c>
      <c r="E73" s="108">
        <v>-1</v>
      </c>
      <c r="F73" s="108">
        <v>-0.7</v>
      </c>
      <c r="G73" s="108">
        <v>-0.5</v>
      </c>
      <c r="H73" s="108">
        <v>-0.4</v>
      </c>
      <c r="I73" s="108"/>
    </row>
    <row r="74" spans="1:13" x14ac:dyDescent="0.45">
      <c r="B74" s="174" t="str">
        <f>ScenarioName</f>
        <v>Annual Progress Report 2026</v>
      </c>
      <c r="C74" s="110" cm="1">
        <f t="array" ref="C74:H74">INDEX(
  Assessment!$26:$26,
  1,
  MATCH(MTP_BaseYear,Assessment!$4:$4,0)
    + _xlfn.SEQUENCE(1, COLUMNS(_xlfn.ANCHORARRAY(C50)), 0)
)</f>
        <v>-0.6672176438640709</v>
      </c>
      <c r="D74" s="110">
        <v>-1.2657760235122772</v>
      </c>
      <c r="E74" s="110">
        <v>-5.9072774617829893E-2</v>
      </c>
      <c r="F74" s="110">
        <v>-1</v>
      </c>
      <c r="G74" s="110" t="str">
        <v/>
      </c>
      <c r="H74" s="110" t="str">
        <v/>
      </c>
      <c r="I74" s="109"/>
    </row>
    <row r="75" spans="1:13" x14ac:dyDescent="0.45">
      <c r="B75" s="154" t="str">
        <f>"Numbers in green indicate "&amp;ScenarioName&amp;" is outperforming the medium-term plan"</f>
        <v>Numbers in green indicate Annual Progress Report 2026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Annual Progress Report 2026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Annual Progress Report 2026 is underperforming the medium-term plan but an escape clause is in place</v>
      </c>
      <c r="C77"/>
      <c r="D77"/>
      <c r="E77"/>
      <c r="F77"/>
      <c r="G77"/>
      <c r="H77"/>
      <c r="I77"/>
    </row>
  </sheetData>
  <conditionalFormatting sqref="K18:K19">
    <cfRule type="expression" dxfId="94" priority="127">
      <formula>K18&gt;#REF!</formula>
    </cfRule>
    <cfRule type="expression" dxfId="93" priority="128">
      <formula>K18&lt;=#REF!</formula>
    </cfRule>
  </conditionalFormatting>
  <conditionalFormatting sqref="C49:H51 I51 D18:I21">
    <cfRule type="expression" dxfId="92" priority="120">
      <formula>C18&lt;&gt;""</formula>
    </cfRule>
  </conditionalFormatting>
  <conditionalFormatting sqref="C75:H77 M20 L18:N19 L20:L21">
    <cfRule type="expression" dxfId="91" priority="144">
      <formula>ROUND(#REF!,1)&gt;ROUND(C18,1)</formula>
    </cfRule>
    <cfRule type="expression" dxfId="90" priority="145">
      <formula>ROUND(#REF!,1)&lt;=ROUND(C18,1)</formula>
    </cfRule>
  </conditionalFormatting>
  <conditionalFormatting sqref="C10:C14">
    <cfRule type="expression" dxfId="89" priority="59">
      <formula>D10="At risk"</formula>
    </cfRule>
    <cfRule type="expression" dxfId="88" priority="60">
      <formula>D10="Breach"</formula>
    </cfRule>
    <cfRule type="expression" dxfId="87" priority="61">
      <formula>D10="Compliant"</formula>
    </cfRule>
    <cfRule type="expression" dxfId="86" priority="62">
      <formula>AND(D10&lt;&gt;"Compliant", D10&lt;&gt;"Caution", D10&lt;&gt;"Breach")</formula>
    </cfRule>
  </conditionalFormatting>
  <conditionalFormatting sqref="I49:I50">
    <cfRule type="expression" dxfId="85" priority="58">
      <formula>I49&lt;&gt;""</formula>
    </cfRule>
  </conditionalFormatting>
  <conditionalFormatting sqref="D53:L53 D61:L61 D63:L63 D68:I68">
    <cfRule type="expression" dxfId="84" priority="50">
      <formula>ROUND(D52,1)&gt;=ROUND(D53,1)</formula>
    </cfRule>
  </conditionalFormatting>
  <conditionalFormatting sqref="D55:L55 D57:L57 D59:L59 D66:L66 D70:I70 D72:I72">
    <cfRule type="expression" dxfId="83" priority="47">
      <formula>ROUND(D54,1)&lt;=ROUND(D55,1)</formula>
    </cfRule>
  </conditionalFormatting>
  <conditionalFormatting sqref="D74:I74">
    <cfRule type="expression" dxfId="82" priority="2">
      <formula>ROUND(D73,1)&lt;=ROUND(D74,1)</formula>
    </cfRule>
  </conditionalFormatting>
  <conditionalFormatting sqref="B15:BB15">
    <cfRule type="expression" dxfId="81" priority="851">
      <formula>$D$15="Compliant"</formula>
    </cfRule>
    <cfRule type="expression" dxfId="80" priority="852">
      <formula>$D$15="Caution"</formula>
    </cfRule>
    <cfRule type="expression" dxfId="79" priority="853">
      <formula>$D$15="Breach"</formula>
    </cfRule>
    <cfRule type="expression" dxfId="78" priority="854">
      <formula>$D$15="N/A"</formula>
    </cfRule>
  </conditionalFormatting>
  <conditionalFormatting sqref="I48">
    <cfRule type="expression" dxfId="77" priority="859">
      <formula>ROUND(#REF!,1)&lt;ROUND(I48,1)</formula>
    </cfRule>
    <cfRule type="expression" dxfId="76" priority="860">
      <formula>ROUND(#REF!,1)&gt;=ROUND(I48,1)</formula>
    </cfRule>
  </conditionalFormatting>
  <conditionalFormatting sqref="D18:I21">
    <cfRule type="expression" dxfId="75" priority="998">
      <formula>D$21&lt;&gt;""</formula>
    </cfRule>
  </conditionalFormatting>
  <conditionalFormatting sqref="D45:J45">
    <cfRule type="expression" dxfId="74" priority="1">
      <formula>ISNUMBER(D$21)</formula>
    </cfRule>
  </conditionalFormatting>
  <conditionalFormatting sqref="I74">
    <cfRule type="expression" dxfId="73"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election activeCell="D92" sqref="D92"/>
    </sheetView>
  </sheetViews>
  <sheetFormatPr defaultRowHeight="13.15" x14ac:dyDescent="0.4"/>
  <cols>
    <col min="1" max="1" width="5.140625" customWidth="1"/>
    <col min="2" max="2" width="67.140625" customWidth="1"/>
    <col min="3" max="3" width="12.85546875" bestFit="1" customWidth="1"/>
    <col min="27" max="27" width="45.28515625" customWidth="1"/>
  </cols>
  <sheetData>
    <row r="1" spans="2:30" ht="23.25" x14ac:dyDescent="0.7">
      <c r="B1" s="14" t="s">
        <v>718</v>
      </c>
      <c r="C1" s="15"/>
    </row>
    <row r="2" spans="2:30" ht="28.5" customHeight="1" x14ac:dyDescent="0.55000000000000004">
      <c r="B2" s="51" t="s">
        <v>749</v>
      </c>
      <c r="AA2" s="80" t="s">
        <v>922</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917</v>
      </c>
      <c r="AB5" s="181" t="s">
        <v>937</v>
      </c>
    </row>
    <row r="6" spans="2:30" ht="13.5" customHeight="1" x14ac:dyDescent="0.4">
      <c r="B6" t="s">
        <v>254</v>
      </c>
      <c r="C6" s="187">
        <v>4</v>
      </c>
      <c r="AA6" t="s">
        <v>816</v>
      </c>
      <c r="AB6" s="181" t="s">
        <v>819</v>
      </c>
    </row>
    <row r="7" spans="2:30" ht="13.5" customHeight="1" x14ac:dyDescent="0.6">
      <c r="B7" s="160" t="s">
        <v>304</v>
      </c>
      <c r="C7" s="188" t="b">
        <v>1</v>
      </c>
      <c r="D7" s="51"/>
      <c r="N7" s="11"/>
      <c r="AA7" t="s">
        <v>921</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189">
        <v>45464</v>
      </c>
      <c r="AA10" t="s">
        <v>918</v>
      </c>
      <c r="AB10" s="181">
        <v>2</v>
      </c>
      <c r="AC10" s="45"/>
      <c r="AD10" s="45"/>
    </row>
    <row r="11" spans="2:30" x14ac:dyDescent="0.4">
      <c r="AA11" t="s">
        <v>939</v>
      </c>
      <c r="AB11" s="181">
        <v>19</v>
      </c>
      <c r="AC11" s="45"/>
      <c r="AD11" s="45"/>
    </row>
    <row r="12" spans="2:30" ht="18" x14ac:dyDescent="0.55000000000000004">
      <c r="B12" s="51" t="s">
        <v>312</v>
      </c>
      <c r="C12" s="15"/>
      <c r="AA12" t="s">
        <v>920</v>
      </c>
      <c r="AB12" s="181">
        <v>36</v>
      </c>
    </row>
    <row r="13" spans="2:30" ht="15.75" x14ac:dyDescent="0.5">
      <c r="B13" s="80" t="s">
        <v>310</v>
      </c>
      <c r="C13" s="15"/>
      <c r="D13" s="45"/>
      <c r="E13" s="45"/>
      <c r="F13" s="45"/>
      <c r="G13" s="45"/>
      <c r="H13" s="45"/>
      <c r="I13" s="45"/>
      <c r="J13" s="45"/>
      <c r="K13" s="45"/>
      <c r="L13" s="45"/>
      <c r="M13" s="45"/>
      <c r="N13" s="45"/>
      <c r="S13" s="45"/>
      <c r="T13" s="45"/>
      <c r="AA13" t="s">
        <v>919</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9.1</v>
      </c>
      <c r="F16" s="165">
        <f t="shared" ref="F16:I16" si="0">G114</f>
        <v>5.8999999999999995</v>
      </c>
      <c r="G16" s="165">
        <f t="shared" si="0"/>
        <v>3.5999999999999996</v>
      </c>
      <c r="H16" s="165">
        <f t="shared" si="0"/>
        <v>3.4000000000000004</v>
      </c>
      <c r="I16" s="165">
        <f t="shared" si="0"/>
        <v>3.3000000000000003</v>
      </c>
      <c r="J16" s="38" t="s">
        <v>709</v>
      </c>
      <c r="K16" s="38"/>
      <c r="L16" s="38"/>
      <c r="M16" s="38"/>
      <c r="N16" s="38"/>
      <c r="O16" s="38"/>
      <c r="S16" s="38"/>
      <c r="T16" s="38"/>
      <c r="U16" s="38"/>
      <c r="V16" s="45"/>
      <c r="W16" s="45"/>
    </row>
    <row r="17" spans="1:23" ht="20.25" customHeight="1" x14ac:dyDescent="0.4">
      <c r="B17" s="56" t="s">
        <v>206</v>
      </c>
      <c r="C17" s="45"/>
      <c r="D17" s="166">
        <f>E116</f>
        <v>-2.2000000000000002</v>
      </c>
      <c r="E17" s="166">
        <f t="shared" ref="E17:I17" si="1">F116</f>
        <v>-2.6</v>
      </c>
      <c r="F17" s="166">
        <f t="shared" si="1"/>
        <v>-2.9</v>
      </c>
      <c r="G17" s="166">
        <f t="shared" si="1"/>
        <v>-2.9</v>
      </c>
      <c r="H17" s="166">
        <f t="shared" si="1"/>
        <v>-2.9</v>
      </c>
      <c r="I17" s="166">
        <f t="shared" si="1"/>
        <v>-2.9</v>
      </c>
      <c r="J17" s="166" t="s">
        <v>709</v>
      </c>
      <c r="K17" s="166"/>
      <c r="L17" s="166"/>
      <c r="M17" s="166"/>
      <c r="N17" s="166"/>
      <c r="O17" s="166"/>
      <c r="P17" s="166"/>
      <c r="Q17" s="166"/>
      <c r="R17" s="166"/>
      <c r="S17" s="166"/>
      <c r="T17" s="166"/>
      <c r="U17" s="166"/>
      <c r="V17" s="59"/>
      <c r="W17" s="59"/>
    </row>
    <row r="18" spans="1:23" x14ac:dyDescent="0.4">
      <c r="B18" s="56" t="s">
        <v>0</v>
      </c>
      <c r="C18" s="45"/>
      <c r="D18" s="166">
        <f>E119</f>
        <v>-1.8</v>
      </c>
      <c r="E18" s="166">
        <f t="shared" ref="E18:I18" si="2">F119</f>
        <v>-1.9</v>
      </c>
      <c r="F18" s="166">
        <f t="shared" si="2"/>
        <v>-2.5</v>
      </c>
      <c r="G18" s="166">
        <f t="shared" si="2"/>
        <v>-2.6</v>
      </c>
      <c r="H18" s="166">
        <f t="shared" si="2"/>
        <v>-2.7</v>
      </c>
      <c r="I18" s="166">
        <f t="shared" si="2"/>
        <v>-2.7</v>
      </c>
      <c r="J18" s="166" t="s">
        <v>709</v>
      </c>
      <c r="K18" s="166"/>
      <c r="L18" s="166"/>
      <c r="M18" s="166"/>
      <c r="N18" s="166"/>
      <c r="O18" s="166"/>
      <c r="P18" s="166"/>
      <c r="Q18" s="166"/>
      <c r="R18" s="166"/>
      <c r="S18" s="166"/>
      <c r="T18" s="166"/>
      <c r="U18" s="166"/>
      <c r="V18" s="59"/>
      <c r="W18" s="59"/>
    </row>
    <row r="19" spans="1:23" x14ac:dyDescent="0.4">
      <c r="B19" s="56" t="s">
        <v>3</v>
      </c>
      <c r="C19" s="45"/>
      <c r="D19" s="166">
        <f>E120</f>
        <v>-1.2</v>
      </c>
      <c r="E19" s="166">
        <f t="shared" ref="E19:I19" si="3">F120</f>
        <v>-0.8</v>
      </c>
      <c r="F19" s="166">
        <f t="shared" si="3"/>
        <v>-1.3</v>
      </c>
      <c r="G19" s="166">
        <f t="shared" si="3"/>
        <v>-1.3</v>
      </c>
      <c r="H19" s="166">
        <f t="shared" si="3"/>
        <v>-1.3</v>
      </c>
      <c r="I19" s="166">
        <f t="shared" si="3"/>
        <v>-1.3</v>
      </c>
      <c r="J19" s="166" t="s">
        <v>709</v>
      </c>
      <c r="K19" s="166"/>
      <c r="L19" s="166"/>
      <c r="M19" s="166"/>
      <c r="N19" s="166"/>
      <c r="O19" s="166"/>
      <c r="P19" s="166"/>
      <c r="Q19" s="166"/>
      <c r="R19" s="166"/>
      <c r="S19" s="166"/>
      <c r="T19" s="166"/>
      <c r="U19" s="166"/>
      <c r="V19" s="59"/>
      <c r="W19" s="59"/>
    </row>
    <row r="20" spans="1:23" x14ac:dyDescent="0.4">
      <c r="B20" s="56" t="s">
        <v>1</v>
      </c>
      <c r="C20" s="45"/>
      <c r="D20" s="166">
        <f>E122</f>
        <v>43.6</v>
      </c>
      <c r="E20" s="166">
        <f t="shared" ref="E20:I20" si="4">F122</f>
        <v>45.8</v>
      </c>
      <c r="F20" s="166">
        <f t="shared" si="4"/>
        <v>47.5</v>
      </c>
      <c r="G20" s="166">
        <f t="shared" si="4"/>
        <v>48.5</v>
      </c>
      <c r="H20" s="166">
        <f t="shared" si="4"/>
        <v>49.7</v>
      </c>
      <c r="I20" s="166">
        <f t="shared" si="4"/>
        <v>50.8</v>
      </c>
      <c r="J20" s="166" t="s">
        <v>709</v>
      </c>
      <c r="K20" s="166"/>
      <c r="L20" s="166"/>
      <c r="M20" s="166"/>
      <c r="N20" s="166"/>
      <c r="O20" s="166"/>
      <c r="P20" s="166"/>
      <c r="Q20" s="166"/>
      <c r="R20" s="166"/>
      <c r="S20" s="166"/>
      <c r="T20" s="166"/>
      <c r="U20" s="166"/>
      <c r="V20" s="59"/>
      <c r="W20" s="59"/>
    </row>
    <row r="21" spans="1:23" x14ac:dyDescent="0.4">
      <c r="B21" s="56" t="s">
        <v>2</v>
      </c>
      <c r="C21" s="45"/>
      <c r="D21" s="166">
        <f>E123</f>
        <v>1.8</v>
      </c>
      <c r="E21" s="166">
        <f t="shared" ref="E21:I21" si="5">F123</f>
        <v>2.2999999999999998</v>
      </c>
      <c r="F21" s="166">
        <f t="shared" si="5"/>
        <v>1.6</v>
      </c>
      <c r="G21" s="166">
        <f t="shared" si="5"/>
        <v>1.1000000000000001</v>
      </c>
      <c r="H21" s="166">
        <f t="shared" si="5"/>
        <v>1.2</v>
      </c>
      <c r="I21" s="166">
        <f t="shared" si="5"/>
        <v>1.2</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-0.3</v>
      </c>
      <c r="E22" s="166">
        <f t="shared" ref="E22:I22" si="6">F141</f>
        <v>1.4</v>
      </c>
      <c r="F22" s="166">
        <f t="shared" si="6"/>
        <v>2.9</v>
      </c>
      <c r="G22" s="166">
        <f t="shared" si="6"/>
        <v>1.6</v>
      </c>
      <c r="H22" s="166">
        <f t="shared" si="6"/>
        <v>1.2</v>
      </c>
      <c r="I22" s="166">
        <f t="shared" si="6"/>
        <v>1.1000000000000001</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5.4</v>
      </c>
      <c r="E23" s="166">
        <f t="shared" ref="E23:I23" si="7">F142</f>
        <v>2.4</v>
      </c>
      <c r="F23" s="166">
        <f t="shared" si="7"/>
        <v>2.5</v>
      </c>
      <c r="G23" s="166">
        <f t="shared" si="7"/>
        <v>2.5</v>
      </c>
      <c r="H23" s="166">
        <f t="shared" si="7"/>
        <v>2.5</v>
      </c>
      <c r="I23" s="166">
        <f t="shared" si="7"/>
        <v>2.5</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5.0999999999999996</v>
      </c>
      <c r="E24" s="166">
        <f t="shared" ref="E24:I24" si="8">F143</f>
        <v>3.8</v>
      </c>
      <c r="F24" s="166">
        <f t="shared" si="8"/>
        <v>5.5</v>
      </c>
      <c r="G24" s="166">
        <f t="shared" si="8"/>
        <v>4.0999999999999996</v>
      </c>
      <c r="H24" s="166">
        <f t="shared" si="8"/>
        <v>3.7</v>
      </c>
      <c r="I24" s="166">
        <f t="shared" si="8"/>
        <v>3.6</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2.2999999999999998</v>
      </c>
      <c r="E25" s="38">
        <f t="shared" ref="E25:I25" si="9">F172</f>
        <v>2.2000000000000002</v>
      </c>
      <c r="F25" s="38">
        <f t="shared" si="9"/>
        <v>2.1</v>
      </c>
      <c r="G25" s="38">
        <f t="shared" si="9"/>
        <v>1.2</v>
      </c>
      <c r="H25" s="38">
        <f t="shared" si="9"/>
        <v>0.9</v>
      </c>
      <c r="I25" s="38">
        <f t="shared" si="9"/>
        <v>0.9</v>
      </c>
      <c r="J25" s="38" t="s">
        <v>709</v>
      </c>
      <c r="K25" s="38"/>
      <c r="L25" s="38"/>
      <c r="M25" s="38"/>
      <c r="N25" s="38"/>
      <c r="O25" s="38"/>
      <c r="P25" s="38"/>
      <c r="Q25" s="38"/>
      <c r="R25" s="38"/>
      <c r="S25" s="38"/>
      <c r="T25" s="38"/>
      <c r="U25" s="38"/>
      <c r="V25" s="45"/>
      <c r="W25" s="45"/>
    </row>
    <row r="26" spans="1:23" x14ac:dyDescent="0.4">
      <c r="B26" s="56" t="s">
        <v>89</v>
      </c>
      <c r="C26" s="56" t="s">
        <v>610</v>
      </c>
      <c r="D26" s="165">
        <f>E178</f>
        <v>-1</v>
      </c>
      <c r="E26" s="165">
        <f t="shared" ref="E26:I26" si="10">F178</f>
        <v>-1.8</v>
      </c>
      <c r="F26" s="165">
        <f t="shared" si="10"/>
        <v>-1</v>
      </c>
      <c r="G26" s="165">
        <f t="shared" si="10"/>
        <v>-0.7</v>
      </c>
      <c r="H26" s="165">
        <f t="shared" si="10"/>
        <v>-0.5</v>
      </c>
      <c r="I26" s="165">
        <f t="shared" si="10"/>
        <v>-0.4</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2"/>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MTP_YearT + MTP_PlanningHorizon + 10 - MTP_PlanFirstYear + 1, MTP_PlanFirstYear)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48" t="str" cm="1">
        <f t="array" ref="D32:I32">_xlfn.LET(
  _xlpm.n, _xlfn.SEQUENCE(1, MTP_EndYear - MTP_PlanFirstYear + 1, MTP_PlanFirstYear - MTP_YearT),
  CHOOSE(SIGN(_xlpm.n) + 2, "T" &amp; _xlpm.n, "T", "T+" &amp; _xlpm.n)
)</f>
        <v>T-1</v>
      </c>
      <c r="E32" s="48" t="str">
        <v>T</v>
      </c>
      <c r="F32" s="48" t="str">
        <v>T+1</v>
      </c>
      <c r="G32" s="48" t="str">
        <v>T+2</v>
      </c>
      <c r="H32" s="48" t="str">
        <v>T+3</v>
      </c>
      <c r="I32" s="48" t="str">
        <v>T+4</v>
      </c>
      <c r="J32" s="48"/>
      <c r="K32" s="48"/>
      <c r="L32" s="48"/>
      <c r="M32" s="48"/>
      <c r="N32" s="48"/>
      <c r="O32" s="48"/>
      <c r="P32" s="48"/>
      <c r="Q32" s="48" t="s">
        <v>709</v>
      </c>
      <c r="R32" s="48" t="s">
        <v>709</v>
      </c>
      <c r="S32" s="48" t="s">
        <v>709</v>
      </c>
      <c r="T32" s="48" t="s">
        <v>709</v>
      </c>
      <c r="U32" s="48" t="s">
        <v>709</v>
      </c>
      <c r="V32" s="48" t="s">
        <v>709</v>
      </c>
      <c r="W32" s="48" t="s">
        <v>709</v>
      </c>
    </row>
    <row r="33" spans="1:28" x14ac:dyDescent="0.4">
      <c r="B33" s="56" t="str">
        <f>"Main budgetary variables under the planned fiscal path ("&amp;AdjustmentPeriod&amp;"-year adjustment period)"</f>
        <v>Main budgetary variables under the planned fiscal path (4-year adjustment period)</v>
      </c>
      <c r="C33" s="15"/>
      <c r="D33" s="38"/>
      <c r="E33" s="38"/>
      <c r="F33" s="38"/>
      <c r="G33" s="38"/>
      <c r="H33" s="38"/>
      <c r="I33" s="38"/>
      <c r="J33" s="38"/>
      <c r="K33" s="38"/>
      <c r="L33" s="38"/>
      <c r="M33" s="38"/>
      <c r="N33" s="38"/>
      <c r="O33" s="38"/>
      <c r="P33" s="38"/>
      <c r="Q33" s="38"/>
      <c r="R33" s="38"/>
      <c r="S33" s="38"/>
      <c r="T33" s="38"/>
      <c r="U33" s="38"/>
      <c r="V33" s="38"/>
      <c r="W33" s="38"/>
      <c r="X33" s="38"/>
      <c r="Y33" s="38"/>
    </row>
    <row r="34" spans="1:28" x14ac:dyDescent="0.4">
      <c r="B34" s="47" t="s">
        <v>311</v>
      </c>
      <c r="C34" s="15"/>
      <c r="D34" s="257"/>
      <c r="E34" s="257"/>
      <c r="F34" s="257"/>
      <c r="G34" s="257"/>
      <c r="H34" s="257"/>
      <c r="I34" s="257"/>
      <c r="J34" s="257"/>
      <c r="K34" s="257"/>
      <c r="L34" s="257"/>
      <c r="M34" s="257"/>
      <c r="N34" s="257"/>
      <c r="O34" s="257"/>
      <c r="P34" s="257"/>
      <c r="Q34" s="257"/>
      <c r="R34" s="257"/>
      <c r="S34" s="257"/>
      <c r="T34" s="257"/>
      <c r="U34" s="257"/>
      <c r="V34" s="257"/>
      <c r="W34" s="257"/>
      <c r="X34" s="38"/>
      <c r="Y34" s="38"/>
    </row>
    <row r="35" spans="1:28" x14ac:dyDescent="0.4">
      <c r="B35" s="47" t="s">
        <v>206</v>
      </c>
      <c r="C35" s="15"/>
      <c r="D35" s="257">
        <f>E184</f>
        <v>-2.2000000000000002</v>
      </c>
      <c r="E35" s="257">
        <f t="shared" ref="E35:S35" si="11">F184</f>
        <v>-2.6</v>
      </c>
      <c r="F35" s="257">
        <f t="shared" si="11"/>
        <v>-2.9</v>
      </c>
      <c r="G35" s="257">
        <f t="shared" si="11"/>
        <v>-2.9</v>
      </c>
      <c r="H35" s="257">
        <f t="shared" si="11"/>
        <v>-2.9</v>
      </c>
      <c r="I35" s="257">
        <f t="shared" si="11"/>
        <v>-2.9</v>
      </c>
      <c r="J35" s="257">
        <f t="shared" si="11"/>
        <v>-2.9</v>
      </c>
      <c r="K35" s="257">
        <f t="shared" si="11"/>
        <v>-2.9</v>
      </c>
      <c r="L35" s="257">
        <f t="shared" si="11"/>
        <v>-2.9</v>
      </c>
      <c r="M35" s="257">
        <f t="shared" si="11"/>
        <v>-3</v>
      </c>
      <c r="N35" s="257">
        <f t="shared" si="11"/>
        <v>-3</v>
      </c>
      <c r="O35" s="257">
        <f t="shared" si="11"/>
        <v>-3</v>
      </c>
      <c r="P35" s="257">
        <f t="shared" si="11"/>
        <v>-3</v>
      </c>
      <c r="Q35" s="257">
        <f t="shared" si="11"/>
        <v>-3</v>
      </c>
      <c r="R35" s="257">
        <f t="shared" si="11"/>
        <v>-3</v>
      </c>
      <c r="S35" s="257">
        <f t="shared" si="11"/>
        <v>-2.9</v>
      </c>
      <c r="T35" s="257" t="s">
        <v>709</v>
      </c>
      <c r="U35" s="257" t="s">
        <v>709</v>
      </c>
      <c r="V35" s="257" t="s">
        <v>709</v>
      </c>
      <c r="W35" s="257" t="s">
        <v>709</v>
      </c>
      <c r="X35" s="38"/>
      <c r="Y35" s="38"/>
    </row>
    <row r="36" spans="1:28" x14ac:dyDescent="0.4">
      <c r="B36" s="47" t="s">
        <v>0</v>
      </c>
      <c r="C36" s="15"/>
      <c r="D36" s="257"/>
      <c r="E36" s="257"/>
      <c r="F36" s="257"/>
      <c r="G36" s="257"/>
      <c r="H36" s="257"/>
      <c r="I36" s="257"/>
      <c r="J36" s="257"/>
      <c r="K36" s="257"/>
      <c r="L36" s="257"/>
      <c r="M36" s="257"/>
      <c r="N36" s="257"/>
      <c r="O36" s="257"/>
      <c r="P36" s="257"/>
      <c r="Q36" s="257"/>
      <c r="R36" s="257"/>
      <c r="S36" s="257"/>
      <c r="T36" s="257"/>
      <c r="U36" s="257"/>
      <c r="V36" s="257"/>
      <c r="W36" s="257"/>
      <c r="X36" s="38"/>
      <c r="Y36" s="38"/>
    </row>
    <row r="37" spans="1:28" x14ac:dyDescent="0.4">
      <c r="B37" s="47" t="s">
        <v>3</v>
      </c>
      <c r="C37" s="15"/>
      <c r="D37" s="257"/>
      <c r="E37" s="257"/>
      <c r="F37" s="257"/>
      <c r="G37" s="257"/>
      <c r="H37" s="257"/>
      <c r="I37" s="257"/>
      <c r="J37" s="257"/>
      <c r="K37" s="257"/>
      <c r="L37" s="257"/>
      <c r="M37" s="257"/>
      <c r="N37" s="257"/>
      <c r="O37" s="257"/>
      <c r="P37" s="257"/>
      <c r="Q37" s="257"/>
      <c r="R37" s="257"/>
      <c r="S37" s="257"/>
      <c r="T37" s="257" t="s">
        <v>709</v>
      </c>
      <c r="U37" s="257" t="s">
        <v>709</v>
      </c>
      <c r="V37" s="257" t="s">
        <v>709</v>
      </c>
      <c r="W37" s="257" t="s">
        <v>709</v>
      </c>
      <c r="X37" s="38"/>
      <c r="Y37" s="38"/>
    </row>
    <row r="38" spans="1:28" s="15" customFormat="1" x14ac:dyDescent="0.4">
      <c r="A38"/>
      <c r="B38" s="47" t="s">
        <v>1</v>
      </c>
      <c r="D38" s="257">
        <f>E183</f>
        <v>43.6</v>
      </c>
      <c r="E38" s="257">
        <f t="shared" ref="E38:S38" si="12">F183</f>
        <v>45.8</v>
      </c>
      <c r="F38" s="257">
        <f t="shared" si="12"/>
        <v>47.5</v>
      </c>
      <c r="G38" s="257">
        <f t="shared" si="12"/>
        <v>48.5</v>
      </c>
      <c r="H38" s="257">
        <f t="shared" si="12"/>
        <v>49.7</v>
      </c>
      <c r="I38" s="257">
        <f t="shared" si="12"/>
        <v>50.8</v>
      </c>
      <c r="J38" s="257">
        <f t="shared" si="12"/>
        <v>51.9</v>
      </c>
      <c r="K38" s="257">
        <f t="shared" si="12"/>
        <v>53</v>
      </c>
      <c r="L38" s="257">
        <f t="shared" si="12"/>
        <v>53.9</v>
      </c>
      <c r="M38" s="257">
        <f t="shared" si="12"/>
        <v>54.9</v>
      </c>
      <c r="N38" s="257">
        <f t="shared" si="12"/>
        <v>55.9</v>
      </c>
      <c r="O38" s="257">
        <f t="shared" si="12"/>
        <v>56.8</v>
      </c>
      <c r="P38" s="257">
        <f t="shared" si="12"/>
        <v>57.7</v>
      </c>
      <c r="Q38" s="257">
        <f t="shared" si="12"/>
        <v>58.5</v>
      </c>
      <c r="R38" s="257">
        <f t="shared" si="12"/>
        <v>59.2</v>
      </c>
      <c r="S38" s="257">
        <f t="shared" si="12"/>
        <v>59.9</v>
      </c>
      <c r="T38" s="257" t="s">
        <v>709</v>
      </c>
      <c r="U38" s="257" t="s">
        <v>709</v>
      </c>
      <c r="V38" s="257" t="s">
        <v>709</v>
      </c>
      <c r="W38" s="257" t="s">
        <v>709</v>
      </c>
      <c r="X38" s="38"/>
      <c r="Y38" s="38"/>
    </row>
    <row r="39" spans="1:28" ht="20.65" customHeight="1" x14ac:dyDescent="0.4">
      <c r="B39" s="56" t="s">
        <v>315</v>
      </c>
      <c r="C39" s="15"/>
      <c r="D39" s="165"/>
      <c r="E39" s="165"/>
      <c r="F39" s="165"/>
      <c r="G39" s="165"/>
      <c r="H39" s="165"/>
      <c r="I39" s="165"/>
      <c r="J39" s="165"/>
      <c r="K39" s="165"/>
      <c r="L39" s="165"/>
      <c r="M39" s="165"/>
      <c r="N39" s="165"/>
      <c r="O39" s="165"/>
      <c r="P39" s="165"/>
      <c r="Q39" s="165"/>
      <c r="R39" s="165"/>
      <c r="S39" s="165"/>
      <c r="T39" s="165"/>
      <c r="U39" s="165"/>
      <c r="V39" s="165"/>
      <c r="W39" s="165"/>
      <c r="X39" s="38"/>
      <c r="Y39" s="38"/>
    </row>
    <row r="40" spans="1:28" s="15" customFormat="1" x14ac:dyDescent="0.4">
      <c r="A40"/>
      <c r="B40" s="47" t="s">
        <v>285</v>
      </c>
      <c r="D40" s="257">
        <f>E217</f>
        <v>0</v>
      </c>
      <c r="E40" s="257">
        <f t="shared" ref="E40:S40" si="13">F217</f>
        <v>0</v>
      </c>
      <c r="F40" s="257">
        <f t="shared" si="13"/>
        <v>0</v>
      </c>
      <c r="G40" s="257">
        <f t="shared" si="13"/>
        <v>0</v>
      </c>
      <c r="H40" s="257">
        <f t="shared" si="13"/>
        <v>0</v>
      </c>
      <c r="I40" s="257">
        <f t="shared" si="13"/>
        <v>0</v>
      </c>
      <c r="J40" s="257">
        <f t="shared" si="13"/>
        <v>0</v>
      </c>
      <c r="K40" s="257">
        <f t="shared" si="13"/>
        <v>0</v>
      </c>
      <c r="L40" s="257">
        <f t="shared" si="13"/>
        <v>0</v>
      </c>
      <c r="M40" s="257">
        <f t="shared" si="13"/>
        <v>0</v>
      </c>
      <c r="N40" s="257">
        <f t="shared" si="13"/>
        <v>0</v>
      </c>
      <c r="O40" s="257">
        <f t="shared" si="13"/>
        <v>0</v>
      </c>
      <c r="P40" s="257">
        <f t="shared" si="13"/>
        <v>0</v>
      </c>
      <c r="Q40" s="257">
        <f t="shared" si="13"/>
        <v>0</v>
      </c>
      <c r="R40" s="257">
        <f t="shared" si="13"/>
        <v>0</v>
      </c>
      <c r="S40" s="257">
        <f t="shared" si="13"/>
        <v>0</v>
      </c>
      <c r="T40" s="257" t="s">
        <v>709</v>
      </c>
      <c r="U40" s="257" t="s">
        <v>709</v>
      </c>
      <c r="V40" s="257" t="s">
        <v>709</v>
      </c>
      <c r="W40" s="257" t="s">
        <v>709</v>
      </c>
      <c r="X40" s="38"/>
      <c r="Y40" s="38"/>
    </row>
    <row r="41" spans="1:28" s="15" customFormat="1" x14ac:dyDescent="0.4">
      <c r="A41"/>
      <c r="B41" s="47" t="s">
        <v>286</v>
      </c>
      <c r="D41" s="257">
        <f t="shared" ref="D41:S41" si="14">E200</f>
        <v>0</v>
      </c>
      <c r="E41" s="257">
        <f t="shared" si="14"/>
        <v>0</v>
      </c>
      <c r="F41" s="257">
        <f t="shared" si="14"/>
        <v>0</v>
      </c>
      <c r="G41" s="257">
        <f t="shared" si="14"/>
        <v>0</v>
      </c>
      <c r="H41" s="257">
        <f t="shared" si="14"/>
        <v>0</v>
      </c>
      <c r="I41" s="257">
        <f t="shared" si="14"/>
        <v>0</v>
      </c>
      <c r="J41" s="257">
        <f t="shared" si="14"/>
        <v>0</v>
      </c>
      <c r="K41" s="257">
        <f t="shared" si="14"/>
        <v>0</v>
      </c>
      <c r="L41" s="257">
        <f t="shared" si="14"/>
        <v>0</v>
      </c>
      <c r="M41" s="257">
        <f t="shared" si="14"/>
        <v>0</v>
      </c>
      <c r="N41" s="257">
        <f t="shared" si="14"/>
        <v>0</v>
      </c>
      <c r="O41" s="257">
        <f t="shared" si="14"/>
        <v>0</v>
      </c>
      <c r="P41" s="257">
        <f t="shared" si="14"/>
        <v>0</v>
      </c>
      <c r="Q41" s="257">
        <f t="shared" si="14"/>
        <v>0</v>
      </c>
      <c r="R41" s="257">
        <f t="shared" si="14"/>
        <v>0</v>
      </c>
      <c r="S41" s="257">
        <f t="shared" si="14"/>
        <v>0</v>
      </c>
      <c r="T41" s="257" t="s">
        <v>709</v>
      </c>
      <c r="U41" s="257" t="s">
        <v>709</v>
      </c>
      <c r="V41" s="257" t="s">
        <v>709</v>
      </c>
      <c r="W41" s="257" t="s">
        <v>709</v>
      </c>
      <c r="X41" s="38"/>
      <c r="Y41" s="38"/>
    </row>
    <row r="42" spans="1:28" s="15" customFormat="1" x14ac:dyDescent="0.4">
      <c r="A42"/>
      <c r="B42" s="47" t="s">
        <v>287</v>
      </c>
      <c r="D42" s="257">
        <f t="shared" ref="D42:S42" si="15">E204</f>
        <v>0</v>
      </c>
      <c r="E42" s="257">
        <f t="shared" si="15"/>
        <v>0</v>
      </c>
      <c r="F42" s="257">
        <f t="shared" si="15"/>
        <v>0</v>
      </c>
      <c r="G42" s="257">
        <f t="shared" si="15"/>
        <v>0</v>
      </c>
      <c r="H42" s="257">
        <f t="shared" si="15"/>
        <v>0</v>
      </c>
      <c r="I42" s="257">
        <f t="shared" si="15"/>
        <v>0</v>
      </c>
      <c r="J42" s="257">
        <f t="shared" si="15"/>
        <v>0</v>
      </c>
      <c r="K42" s="257">
        <f t="shared" si="15"/>
        <v>0</v>
      </c>
      <c r="L42" s="257">
        <f t="shared" si="15"/>
        <v>0</v>
      </c>
      <c r="M42" s="257">
        <f t="shared" si="15"/>
        <v>0</v>
      </c>
      <c r="N42" s="257">
        <f t="shared" si="15"/>
        <v>0</v>
      </c>
      <c r="O42" s="257">
        <f t="shared" si="15"/>
        <v>0</v>
      </c>
      <c r="P42" s="257">
        <f t="shared" si="15"/>
        <v>0</v>
      </c>
      <c r="Q42" s="257">
        <f t="shared" si="15"/>
        <v>0</v>
      </c>
      <c r="R42" s="257">
        <f t="shared" si="15"/>
        <v>0</v>
      </c>
      <c r="S42" s="257">
        <f t="shared" si="15"/>
        <v>0</v>
      </c>
      <c r="T42" s="257" t="s">
        <v>709</v>
      </c>
      <c r="U42" s="257" t="s">
        <v>709</v>
      </c>
      <c r="V42" s="257" t="s">
        <v>709</v>
      </c>
      <c r="W42" s="257" t="s">
        <v>709</v>
      </c>
      <c r="X42" s="38"/>
      <c r="Y42" s="38"/>
    </row>
    <row r="43" spans="1:28" s="15" customFormat="1" x14ac:dyDescent="0.4">
      <c r="A43"/>
      <c r="B43" s="47" t="s">
        <v>288</v>
      </c>
      <c r="D43" s="257">
        <f t="shared" ref="D43:S43" si="16">E207</f>
        <v>0</v>
      </c>
      <c r="E43" s="257">
        <f t="shared" si="16"/>
        <v>0</v>
      </c>
      <c r="F43" s="257">
        <f t="shared" si="16"/>
        <v>0</v>
      </c>
      <c r="G43" s="257">
        <f t="shared" si="16"/>
        <v>0</v>
      </c>
      <c r="H43" s="257">
        <f t="shared" si="16"/>
        <v>0</v>
      </c>
      <c r="I43" s="257">
        <f t="shared" si="16"/>
        <v>0</v>
      </c>
      <c r="J43" s="257">
        <f t="shared" si="16"/>
        <v>0</v>
      </c>
      <c r="K43" s="257">
        <f t="shared" si="16"/>
        <v>0</v>
      </c>
      <c r="L43" s="257">
        <f t="shared" si="16"/>
        <v>0</v>
      </c>
      <c r="M43" s="257">
        <f t="shared" si="16"/>
        <v>0</v>
      </c>
      <c r="N43" s="257">
        <f t="shared" si="16"/>
        <v>0</v>
      </c>
      <c r="O43" s="257">
        <f t="shared" si="16"/>
        <v>0</v>
      </c>
      <c r="P43" s="257">
        <f t="shared" si="16"/>
        <v>0</v>
      </c>
      <c r="Q43" s="257">
        <f t="shared" si="16"/>
        <v>0</v>
      </c>
      <c r="R43" s="257">
        <f t="shared" si="16"/>
        <v>0</v>
      </c>
      <c r="S43" s="257">
        <f t="shared" si="16"/>
        <v>0</v>
      </c>
      <c r="T43" s="257" t="s">
        <v>709</v>
      </c>
      <c r="U43" s="257" t="s">
        <v>709</v>
      </c>
      <c r="V43" s="257" t="s">
        <v>709</v>
      </c>
      <c r="W43" s="257" t="s">
        <v>709</v>
      </c>
      <c r="X43" s="38"/>
      <c r="Y43" s="38"/>
    </row>
    <row r="44" spans="1:28" s="15" customFormat="1" ht="12.4" customHeight="1" x14ac:dyDescent="0.4">
      <c r="A44"/>
      <c r="B44" s="62" t="s">
        <v>355</v>
      </c>
      <c r="C44" s="20"/>
      <c r="D44" s="120">
        <f>E213</f>
        <v>0</v>
      </c>
      <c r="E44" s="165"/>
      <c r="F44" s="165"/>
      <c r="G44" s="165"/>
      <c r="H44" s="165"/>
      <c r="I44" s="165"/>
      <c r="J44" s="165"/>
      <c r="K44" s="165"/>
      <c r="L44" s="165"/>
      <c r="M44" s="165"/>
      <c r="N44" s="165"/>
      <c r="O44" s="165"/>
      <c r="P44" s="165"/>
      <c r="Q44" s="165"/>
      <c r="R44" s="165"/>
      <c r="S44" s="165"/>
      <c r="T44" s="165"/>
      <c r="U44" s="165"/>
      <c r="V44" s="165"/>
      <c r="W44" s="165"/>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technical information and DSA</v>
      </c>
      <c r="D46" s="49"/>
      <c r="E46" s="49"/>
      <c r="F46" s="49"/>
      <c r="G46" s="49"/>
      <c r="H46" s="49"/>
      <c r="I46" s="49"/>
    </row>
    <row r="47" spans="1:28" ht="15.75" x14ac:dyDescent="0.5">
      <c r="B47" s="80" t="s">
        <v>310</v>
      </c>
      <c r="C47" s="15"/>
      <c r="D47" s="49"/>
      <c r="E47" s="49"/>
      <c r="F47" s="49"/>
      <c r="G47" s="49"/>
      <c r="H47" s="49"/>
      <c r="I47" s="49"/>
      <c r="AA47" s="80" t="s">
        <v>923</v>
      </c>
    </row>
    <row r="48" spans="1:28" s="15" customFormat="1" x14ac:dyDescent="0.4">
      <c r="A48"/>
      <c r="B48" s="40" t="s">
        <v>251</v>
      </c>
      <c r="C48" s="95"/>
      <c r="D48" s="45" cm="1">
        <f t="array" ref="D48:S48">_xlfn.SEQUENCE(1, MTP_YearT + MTP_PlanningHorizon + 10 - MTP_PlanFirstYear + 1, MTP_PlanFirstYear)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925</v>
      </c>
      <c r="AB48" s="18" t="s">
        <v>926</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927</v>
      </c>
      <c r="AB49" s="18" t="s">
        <v>928</v>
      </c>
    </row>
    <row r="50" spans="1:28" s="15" customFormat="1" x14ac:dyDescent="0.4">
      <c r="A50"/>
      <c r="B50" s="56" t="str">
        <f>"Reference trajectory provided by the Commission"&amp;IF(NOT(Receives_reference_trajectory)," (not applicable)","")</f>
        <v>Reference trajectory provided by the Commission (not applicable)</v>
      </c>
      <c r="D50" s="256" t="s">
        <v>709</v>
      </c>
      <c r="E50" s="256" t="s">
        <v>709</v>
      </c>
      <c r="F50" s="256"/>
      <c r="G50" s="256"/>
      <c r="H50" s="256"/>
      <c r="I50" s="256"/>
      <c r="J50" s="256"/>
      <c r="K50" s="256"/>
      <c r="L50" s="256" t="s">
        <v>709</v>
      </c>
      <c r="M50" s="256" t="s">
        <v>709</v>
      </c>
      <c r="N50" s="256" t="s">
        <v>709</v>
      </c>
      <c r="O50" s="256" t="s">
        <v>709</v>
      </c>
      <c r="P50" s="256" t="s">
        <v>709</v>
      </c>
      <c r="Q50" s="256" t="s">
        <v>709</v>
      </c>
      <c r="R50" s="256" t="s">
        <v>709</v>
      </c>
      <c r="S50" s="256" t="s">
        <v>709</v>
      </c>
      <c r="T50" s="256" t="s">
        <v>709</v>
      </c>
      <c r="U50" s="256" t="s">
        <v>709</v>
      </c>
      <c r="V50" s="256" t="s">
        <v>709</v>
      </c>
      <c r="W50" s="256" t="s">
        <v>709</v>
      </c>
      <c r="X50" s="85"/>
      <c r="AA50" t="s">
        <v>929</v>
      </c>
      <c r="AB50" s="18">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 safeguard</v>
      </c>
      <c r="D51" s="257" t="s">
        <v>709</v>
      </c>
      <c r="E51" s="257" t="s">
        <v>709</v>
      </c>
      <c r="F51" s="257" t="s">
        <v>709</v>
      </c>
      <c r="G51" s="257" t="s">
        <v>709</v>
      </c>
      <c r="H51" s="257" t="s">
        <v>709</v>
      </c>
      <c r="I51" s="257">
        <v>-1.3</v>
      </c>
      <c r="J51" s="257" t="s">
        <v>709</v>
      </c>
      <c r="K51" s="257" t="s">
        <v>709</v>
      </c>
      <c r="L51" s="257" t="s">
        <v>709</v>
      </c>
      <c r="M51" s="257" t="s">
        <v>709</v>
      </c>
      <c r="N51" s="257" t="s">
        <v>709</v>
      </c>
      <c r="O51" s="257" t="s">
        <v>709</v>
      </c>
      <c r="P51" s="257" t="s">
        <v>709</v>
      </c>
      <c r="Q51" s="257" t="s">
        <v>709</v>
      </c>
      <c r="R51" s="257" t="s">
        <v>709</v>
      </c>
      <c r="S51" s="257" t="s">
        <v>709</v>
      </c>
      <c r="T51" s="257" t="s">
        <v>709</v>
      </c>
      <c r="U51" s="257" t="s">
        <v>709</v>
      </c>
      <c r="V51" s="257" t="s">
        <v>709</v>
      </c>
      <c r="W51" s="257" t="s">
        <v>709</v>
      </c>
      <c r="AA51" t="s">
        <v>938</v>
      </c>
      <c r="AB51" s="18">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with safeguard</v>
      </c>
      <c r="D52" s="257" t="s">
        <v>709</v>
      </c>
      <c r="E52" s="257" t="s">
        <v>709</v>
      </c>
      <c r="F52" s="257" t="s">
        <v>709</v>
      </c>
      <c r="G52" s="257" t="s">
        <v>709</v>
      </c>
      <c r="H52" s="257" t="s">
        <v>709</v>
      </c>
      <c r="I52" s="257">
        <v>-0.1424659999999999</v>
      </c>
      <c r="J52" s="257" t="s">
        <v>709</v>
      </c>
      <c r="K52" s="257" t="s">
        <v>709</v>
      </c>
      <c r="L52" s="257" t="s">
        <v>709</v>
      </c>
      <c r="M52" s="257" t="s">
        <v>709</v>
      </c>
      <c r="N52" s="257" t="s">
        <v>709</v>
      </c>
      <c r="O52" s="257" t="s">
        <v>709</v>
      </c>
      <c r="P52" s="257" t="s">
        <v>709</v>
      </c>
      <c r="Q52" s="257" t="s">
        <v>709</v>
      </c>
      <c r="R52" s="257" t="s">
        <v>709</v>
      </c>
      <c r="S52" s="257" t="s">
        <v>709</v>
      </c>
      <c r="T52" s="257" t="s">
        <v>709</v>
      </c>
      <c r="U52" s="257" t="s">
        <v>709</v>
      </c>
      <c r="V52" s="257" t="s">
        <v>709</v>
      </c>
      <c r="W52" s="257" t="s">
        <v>709</v>
      </c>
      <c r="X52" s="85"/>
      <c r="AA52" t="s">
        <v>930</v>
      </c>
      <c r="AB52" s="18">
        <v>40</v>
      </c>
    </row>
    <row r="53" spans="1:28" ht="20.25" customHeight="1" x14ac:dyDescent="0.4">
      <c r="B53" s="82" t="str">
        <f>IF(Receives_reference_trajectory,"EC reference trajectory","EC technical information - Path to meet all requirements and safeguard.")</f>
        <v>EC technical information - Path to meet all requirements and safeguard.</v>
      </c>
      <c r="C53" s="15"/>
      <c r="D53" s="38"/>
      <c r="E53" s="38"/>
      <c r="F53" s="38"/>
      <c r="G53" s="38"/>
      <c r="H53" s="38"/>
      <c r="I53" s="38"/>
      <c r="J53" s="38"/>
      <c r="K53" s="38"/>
      <c r="L53" s="38"/>
      <c r="M53" s="38"/>
      <c r="N53" s="38"/>
      <c r="O53" s="38"/>
      <c r="P53" s="38"/>
      <c r="Q53" s="38"/>
      <c r="R53" s="38"/>
      <c r="S53" s="38"/>
      <c r="T53" s="38"/>
      <c r="U53" s="38"/>
      <c r="V53" s="38"/>
      <c r="W53" s="38"/>
      <c r="AA53" t="s">
        <v>931</v>
      </c>
      <c r="AB53" s="3" t="s">
        <v>924</v>
      </c>
    </row>
    <row r="54" spans="1:28" x14ac:dyDescent="0.4">
      <c r="B54" s="56" t="str">
        <f>"Main budgetary variables ("&amp;AdjustmentPeriod&amp;"-year adjustment period)"</f>
        <v>Main budgetary variables (4-year adjustment period)</v>
      </c>
      <c r="C54" s="15"/>
      <c r="D54" s="38"/>
      <c r="E54" s="38"/>
      <c r="F54" s="38"/>
      <c r="G54" s="38"/>
      <c r="H54" s="38"/>
      <c r="I54" s="38"/>
      <c r="J54" s="38"/>
      <c r="K54" s="38"/>
      <c r="L54" s="38"/>
      <c r="M54" s="38"/>
      <c r="N54" s="38"/>
      <c r="O54" s="38"/>
      <c r="P54" s="38"/>
      <c r="Q54" s="38"/>
      <c r="R54" s="38"/>
      <c r="S54" s="38"/>
      <c r="T54" s="38"/>
      <c r="U54" s="38"/>
      <c r="V54" s="38"/>
      <c r="W54" s="38"/>
      <c r="AA54" t="s">
        <v>932</v>
      </c>
      <c r="AB54" s="3">
        <v>56</v>
      </c>
    </row>
    <row r="55" spans="1:28" x14ac:dyDescent="0.4">
      <c r="B55" s="47" t="str">
        <f>"Net expenditure growth in a plan"&amp;IF(AdjustmentPeriod=4," without extention","with extension")</f>
        <v>Net expenditure growth in a plan without extention</v>
      </c>
      <c r="C55" s="15"/>
      <c r="D55" s="257">
        <v>4.5</v>
      </c>
      <c r="E55" s="257">
        <v>1.8</v>
      </c>
      <c r="F55" s="257">
        <v>3</v>
      </c>
      <c r="G55" s="257">
        <v>3.2</v>
      </c>
      <c r="H55" s="257">
        <v>3.1</v>
      </c>
      <c r="I55" s="257">
        <v>3</v>
      </c>
      <c r="J55" s="257">
        <v>3.3</v>
      </c>
      <c r="K55" s="257">
        <v>3.3</v>
      </c>
      <c r="L55" s="257">
        <v>3.3</v>
      </c>
      <c r="M55" s="257">
        <v>3.2</v>
      </c>
      <c r="N55" s="257">
        <v>3.2</v>
      </c>
      <c r="O55" s="257">
        <v>3.2</v>
      </c>
      <c r="P55" s="257">
        <v>3.2</v>
      </c>
      <c r="Q55" s="257">
        <v>3.2</v>
      </c>
      <c r="R55" s="257">
        <v>3.3</v>
      </c>
      <c r="S55" s="257">
        <v>3.3</v>
      </c>
      <c r="T55" s="257" t="s">
        <v>709</v>
      </c>
      <c r="U55" s="257" t="s">
        <v>709</v>
      </c>
      <c r="V55" s="257" t="s">
        <v>709</v>
      </c>
      <c r="W55" s="257" t="s">
        <v>709</v>
      </c>
      <c r="AA55" t="s">
        <v>936</v>
      </c>
      <c r="AB55" s="3">
        <v>79</v>
      </c>
    </row>
    <row r="56" spans="1:28" x14ac:dyDescent="0.4">
      <c r="B56" s="47" t="s">
        <v>206</v>
      </c>
      <c r="C56" s="15"/>
      <c r="D56" s="257">
        <v>-1.6</v>
      </c>
      <c r="E56" s="257">
        <v>-1.2</v>
      </c>
      <c r="F56" s="257">
        <v>-0.3</v>
      </c>
      <c r="G56" s="257">
        <v>-0.6</v>
      </c>
      <c r="H56" s="257">
        <v>-0.9</v>
      </c>
      <c r="I56" s="257">
        <v>-1</v>
      </c>
      <c r="J56" s="257">
        <v>-1.2</v>
      </c>
      <c r="K56" s="257">
        <v>-1.2</v>
      </c>
      <c r="L56" s="257">
        <v>-1.3</v>
      </c>
      <c r="M56" s="257">
        <v>-1.4</v>
      </c>
      <c r="N56" s="257">
        <v>-1.6</v>
      </c>
      <c r="O56" s="257">
        <v>-1.8</v>
      </c>
      <c r="P56" s="257">
        <v>-2</v>
      </c>
      <c r="Q56" s="257">
        <v>-1.9</v>
      </c>
      <c r="R56" s="257">
        <v>-2</v>
      </c>
      <c r="S56" s="257">
        <v>-2.1</v>
      </c>
      <c r="T56" s="257" t="s">
        <v>709</v>
      </c>
      <c r="U56" s="257" t="s">
        <v>709</v>
      </c>
      <c r="V56" s="257" t="s">
        <v>709</v>
      </c>
      <c r="W56" s="257" t="s">
        <v>709</v>
      </c>
      <c r="AA56" t="s">
        <v>933</v>
      </c>
      <c r="AB56" s="3" t="s">
        <v>934</v>
      </c>
    </row>
    <row r="57" spans="1:28" x14ac:dyDescent="0.4">
      <c r="B57" s="47" t="s">
        <v>3</v>
      </c>
      <c r="C57" s="15"/>
      <c r="D57" s="257">
        <v>1.9</v>
      </c>
      <c r="E57" s="257">
        <v>1.7</v>
      </c>
      <c r="F57" s="257">
        <v>2.1</v>
      </c>
      <c r="G57" s="257">
        <v>2.2999999999999998</v>
      </c>
      <c r="H57" s="257">
        <v>2.4</v>
      </c>
      <c r="I57" s="257">
        <v>2.6</v>
      </c>
      <c r="J57" s="257">
        <v>2.6</v>
      </c>
      <c r="K57" s="257">
        <v>2.6</v>
      </c>
      <c r="L57" s="257">
        <v>2.6</v>
      </c>
      <c r="M57" s="257">
        <v>2.6</v>
      </c>
      <c r="N57" s="257">
        <v>2.6</v>
      </c>
      <c r="O57" s="257">
        <v>2.6</v>
      </c>
      <c r="P57" s="257">
        <v>2.6</v>
      </c>
      <c r="Q57" s="257">
        <v>2.6</v>
      </c>
      <c r="R57" s="257">
        <v>2.6</v>
      </c>
      <c r="S57" s="257">
        <v>2.6</v>
      </c>
      <c r="T57" s="257" t="s">
        <v>709</v>
      </c>
      <c r="U57" s="257" t="s">
        <v>709</v>
      </c>
      <c r="V57" s="257" t="s">
        <v>709</v>
      </c>
      <c r="W57" s="257" t="s">
        <v>709</v>
      </c>
      <c r="AA57" t="s">
        <v>935</v>
      </c>
      <c r="AB57" s="3">
        <v>21</v>
      </c>
    </row>
    <row r="58" spans="1:28" x14ac:dyDescent="0.4">
      <c r="B58" s="47" t="s">
        <v>1</v>
      </c>
      <c r="C58" s="15"/>
      <c r="D58" s="257">
        <v>161.9</v>
      </c>
      <c r="E58" s="257">
        <v>153.9</v>
      </c>
      <c r="F58" s="257">
        <v>149.69999999999999</v>
      </c>
      <c r="G58" s="257">
        <v>145.1</v>
      </c>
      <c r="H58" s="257">
        <v>140.80000000000001</v>
      </c>
      <c r="I58" s="257">
        <v>136.6</v>
      </c>
      <c r="J58" s="257">
        <v>132.4</v>
      </c>
      <c r="K58" s="257">
        <v>128.4</v>
      </c>
      <c r="L58" s="257">
        <v>124.7</v>
      </c>
      <c r="M58" s="257">
        <v>121.2</v>
      </c>
      <c r="N58" s="257">
        <v>119.1</v>
      </c>
      <c r="O58" s="257">
        <v>117.4</v>
      </c>
      <c r="P58" s="257">
        <v>115.9</v>
      </c>
      <c r="Q58" s="257">
        <v>114.3</v>
      </c>
      <c r="R58" s="257">
        <v>112.9</v>
      </c>
      <c r="S58" s="257">
        <v>111.5</v>
      </c>
      <c r="T58" s="257" t="s">
        <v>709</v>
      </c>
      <c r="U58" s="257" t="s">
        <v>709</v>
      </c>
      <c r="V58" s="257" t="s">
        <v>709</v>
      </c>
      <c r="W58" s="257" t="s">
        <v>709</v>
      </c>
    </row>
    <row r="59" spans="1:28" s="15" customFormat="1" ht="20.25" customHeight="1" x14ac:dyDescent="0.4">
      <c r="A59"/>
      <c r="B59" s="45" t="str">
        <f>"Debt sustainability assessment ("&amp;AdjustmentPeriod&amp;"-year adjustment period)"</f>
        <v>Debt sustainability assessment (4-year adjustment period)</v>
      </c>
      <c r="D59" s="166"/>
      <c r="E59" s="166"/>
      <c r="F59" s="166"/>
      <c r="G59" s="166"/>
      <c r="H59" s="166"/>
      <c r="I59" s="166"/>
      <c r="J59" s="166"/>
      <c r="K59" s="166"/>
      <c r="L59" s="166"/>
      <c r="M59" s="166"/>
      <c r="N59" s="166"/>
      <c r="O59" s="166"/>
      <c r="P59" s="166"/>
      <c r="Q59" s="166"/>
      <c r="R59" s="166"/>
      <c r="S59" s="166"/>
      <c r="T59" s="166"/>
      <c r="U59" s="166"/>
      <c r="V59" s="166"/>
      <c r="W59" s="166"/>
      <c r="X59"/>
    </row>
    <row r="60" spans="1:28" s="15" customFormat="1" x14ac:dyDescent="0.4">
      <c r="A60"/>
      <c r="B60" s="47" t="s">
        <v>285</v>
      </c>
      <c r="D60" s="77"/>
      <c r="E60" s="77"/>
      <c r="F60" s="77"/>
      <c r="G60" s="77"/>
      <c r="H60" s="77"/>
      <c r="I60" s="77"/>
      <c r="J60" s="77"/>
      <c r="K60" s="77"/>
      <c r="L60" s="77"/>
      <c r="M60" s="77"/>
      <c r="N60" s="77"/>
      <c r="O60" s="77"/>
      <c r="P60" s="77"/>
      <c r="Q60" s="77"/>
      <c r="R60" s="77"/>
      <c r="S60" s="77"/>
      <c r="T60" s="257" t="s">
        <v>709</v>
      </c>
      <c r="U60" s="257" t="s">
        <v>709</v>
      </c>
      <c r="V60" s="257" t="s">
        <v>709</v>
      </c>
      <c r="W60" s="257" t="s">
        <v>709</v>
      </c>
      <c r="X60"/>
    </row>
    <row r="61" spans="1:28" s="15" customFormat="1" x14ac:dyDescent="0.4">
      <c r="A61"/>
      <c r="B61" s="47" t="s">
        <v>286</v>
      </c>
      <c r="D61" s="77"/>
      <c r="E61" s="77"/>
      <c r="F61" s="77"/>
      <c r="G61" s="77"/>
      <c r="H61" s="77"/>
      <c r="I61" s="77"/>
      <c r="J61" s="77"/>
      <c r="K61" s="77"/>
      <c r="L61" s="77"/>
      <c r="M61" s="77"/>
      <c r="N61" s="77"/>
      <c r="O61" s="77"/>
      <c r="P61" s="77"/>
      <c r="Q61" s="77"/>
      <c r="R61" s="77"/>
      <c r="S61" s="77"/>
      <c r="T61" s="257" t="s">
        <v>709</v>
      </c>
      <c r="U61" s="257" t="s">
        <v>709</v>
      </c>
      <c r="V61" s="257" t="s">
        <v>709</v>
      </c>
      <c r="W61" s="257" t="s">
        <v>709</v>
      </c>
      <c r="X61"/>
    </row>
    <row r="62" spans="1:28" s="15" customFormat="1" x14ac:dyDescent="0.4">
      <c r="A62"/>
      <c r="B62" s="47" t="s">
        <v>287</v>
      </c>
      <c r="D62" s="77"/>
      <c r="E62" s="77"/>
      <c r="F62" s="77"/>
      <c r="G62" s="77"/>
      <c r="H62" s="77"/>
      <c r="I62" s="77"/>
      <c r="J62" s="77"/>
      <c r="K62" s="77"/>
      <c r="L62" s="77"/>
      <c r="M62" s="77"/>
      <c r="N62" s="77"/>
      <c r="O62" s="77"/>
      <c r="P62" s="77"/>
      <c r="Q62" s="77"/>
      <c r="R62" s="77"/>
      <c r="S62" s="77"/>
      <c r="T62" s="257" t="s">
        <v>709</v>
      </c>
      <c r="U62" s="257" t="s">
        <v>709</v>
      </c>
      <c r="V62" s="257" t="s">
        <v>709</v>
      </c>
      <c r="W62" s="257" t="s">
        <v>709</v>
      </c>
      <c r="X62"/>
    </row>
    <row r="63" spans="1:28" s="15" customFormat="1" x14ac:dyDescent="0.4">
      <c r="A63"/>
      <c r="B63" s="47" t="s">
        <v>288</v>
      </c>
      <c r="D63" s="77"/>
      <c r="E63" s="77"/>
      <c r="F63" s="77"/>
      <c r="G63" s="77"/>
      <c r="H63" s="77"/>
      <c r="I63" s="77"/>
      <c r="J63" s="77"/>
      <c r="K63" s="77"/>
      <c r="L63" s="77"/>
      <c r="M63" s="77"/>
      <c r="N63" s="77"/>
      <c r="O63" s="77"/>
      <c r="P63" s="77"/>
      <c r="Q63" s="77"/>
      <c r="R63" s="77"/>
      <c r="S63" s="77"/>
      <c r="T63" s="257" t="s">
        <v>709</v>
      </c>
      <c r="U63" s="257" t="s">
        <v>709</v>
      </c>
      <c r="V63" s="257" t="s">
        <v>709</v>
      </c>
      <c r="W63" s="257" t="s">
        <v>709</v>
      </c>
      <c r="X63"/>
    </row>
    <row r="64" spans="1:28" s="15" customFormat="1" x14ac:dyDescent="0.4">
      <c r="A64"/>
      <c r="B64" s="47" t="str">
        <f>"Stochastic debt projections, "&amp;AdjustmentPeriodEnd+1&amp;"-"&amp;StochasticLastYear</f>
        <v>Stochastic debt projections, 2029-2033</v>
      </c>
      <c r="D64" s="257"/>
      <c r="E64" s="257"/>
      <c r="F64" s="257"/>
      <c r="G64" s="257"/>
      <c r="H64" s="257"/>
      <c r="I64" s="257"/>
      <c r="J64" s="257"/>
      <c r="K64" s="257"/>
      <c r="L64" s="257"/>
      <c r="M64" s="257"/>
      <c r="N64" s="257"/>
      <c r="O64" s="257"/>
      <c r="P64" s="257"/>
      <c r="Q64" s="257"/>
      <c r="R64" s="257"/>
      <c r="S64" s="257"/>
      <c r="T64" s="257"/>
      <c r="U64" s="257"/>
      <c r="V64" s="257"/>
      <c r="W64" s="257"/>
      <c r="X64"/>
    </row>
    <row r="65" spans="1:24" s="15" customFormat="1" x14ac:dyDescent="0.4">
      <c r="A65"/>
      <c r="B65" s="83" t="s">
        <v>317</v>
      </c>
      <c r="D65" s="257"/>
      <c r="E65" s="257"/>
      <c r="F65" s="257"/>
      <c r="G65" s="257"/>
      <c r="H65" s="257"/>
      <c r="I65" s="257"/>
      <c r="J65" s="257"/>
      <c r="K65" s="257"/>
      <c r="L65" s="257"/>
      <c r="M65" s="257"/>
      <c r="N65" s="257"/>
      <c r="O65" s="257"/>
      <c r="P65" s="257"/>
      <c r="Q65" s="257"/>
      <c r="R65" s="257"/>
      <c r="S65" s="257"/>
      <c r="T65" s="257" t="s">
        <v>709</v>
      </c>
      <c r="U65" s="257" t="s">
        <v>709</v>
      </c>
      <c r="V65" s="257" t="s">
        <v>709</v>
      </c>
      <c r="W65" s="257" t="s">
        <v>709</v>
      </c>
      <c r="X65"/>
    </row>
    <row r="66" spans="1:24" s="15" customFormat="1" x14ac:dyDescent="0.4">
      <c r="A66"/>
      <c r="B66" s="83" t="s">
        <v>318</v>
      </c>
      <c r="D66" s="257"/>
      <c r="E66" s="257"/>
      <c r="F66" s="257"/>
      <c r="G66" s="257"/>
      <c r="H66" s="257"/>
      <c r="I66" s="257"/>
      <c r="J66" s="257"/>
      <c r="K66" s="257"/>
      <c r="L66" s="257"/>
      <c r="M66" s="257"/>
      <c r="N66" s="257"/>
      <c r="O66" s="257"/>
      <c r="P66" s="257"/>
      <c r="Q66" s="257"/>
      <c r="R66" s="257"/>
      <c r="S66" s="257"/>
      <c r="T66" s="257" t="s">
        <v>709</v>
      </c>
      <c r="U66" s="257" t="s">
        <v>709</v>
      </c>
      <c r="V66" s="257" t="s">
        <v>709</v>
      </c>
      <c r="W66" s="257" t="s">
        <v>709</v>
      </c>
      <c r="X66"/>
    </row>
    <row r="67" spans="1:24" s="15" customFormat="1" x14ac:dyDescent="0.4">
      <c r="A67"/>
      <c r="B67" s="83" t="s">
        <v>319</v>
      </c>
      <c r="D67" s="257"/>
      <c r="E67" s="257"/>
      <c r="F67" s="257"/>
      <c r="G67" s="257"/>
      <c r="H67" s="257"/>
      <c r="I67" s="257"/>
      <c r="J67" s="257"/>
      <c r="K67" s="257"/>
      <c r="L67" s="257"/>
      <c r="M67" s="257"/>
      <c r="N67" s="257"/>
      <c r="O67" s="257"/>
      <c r="P67" s="257"/>
      <c r="Q67" s="257"/>
      <c r="R67" s="257"/>
      <c r="S67" s="257"/>
      <c r="T67" s="257" t="s">
        <v>709</v>
      </c>
      <c r="U67" s="257" t="s">
        <v>709</v>
      </c>
      <c r="V67" s="257" t="s">
        <v>709</v>
      </c>
      <c r="W67" s="257" t="s">
        <v>709</v>
      </c>
      <c r="X67"/>
    </row>
    <row r="68" spans="1:24" s="15" customFormat="1" x14ac:dyDescent="0.4">
      <c r="A68"/>
      <c r="B68" s="83" t="s">
        <v>320</v>
      </c>
      <c r="D68" s="257"/>
      <c r="E68" s="257"/>
      <c r="F68" s="257"/>
      <c r="G68" s="257"/>
      <c r="H68" s="257"/>
      <c r="I68" s="257"/>
      <c r="J68" s="257"/>
      <c r="K68" s="257"/>
      <c r="L68" s="257"/>
      <c r="M68" s="257"/>
      <c r="N68" s="257"/>
      <c r="O68" s="257"/>
      <c r="P68" s="257"/>
      <c r="Q68" s="257"/>
      <c r="R68" s="257"/>
      <c r="S68" s="257"/>
      <c r="T68" s="257" t="s">
        <v>709</v>
      </c>
      <c r="U68" s="257" t="s">
        <v>709</v>
      </c>
      <c r="V68" s="257" t="s">
        <v>709</v>
      </c>
      <c r="W68" s="257" t="s">
        <v>709</v>
      </c>
      <c r="X68"/>
    </row>
    <row r="69" spans="1:24" s="15" customFormat="1" x14ac:dyDescent="0.4">
      <c r="A69"/>
      <c r="B69" s="83" t="s">
        <v>321</v>
      </c>
      <c r="D69" s="257"/>
      <c r="E69" s="257"/>
      <c r="F69" s="257"/>
      <c r="G69" s="257"/>
      <c r="H69" s="257"/>
      <c r="I69" s="257"/>
      <c r="J69" s="257"/>
      <c r="K69" s="257"/>
      <c r="L69" s="257"/>
      <c r="M69" s="257"/>
      <c r="N69" s="257"/>
      <c r="O69" s="257"/>
      <c r="P69" s="257"/>
      <c r="Q69" s="257"/>
      <c r="R69" s="257"/>
      <c r="S69" s="257"/>
      <c r="T69" s="257" t="s">
        <v>709</v>
      </c>
      <c r="U69" s="257" t="s">
        <v>709</v>
      </c>
      <c r="V69" s="257" t="s">
        <v>709</v>
      </c>
      <c r="W69" s="257" t="s">
        <v>709</v>
      </c>
      <c r="X69"/>
    </row>
    <row r="70" spans="1:24" s="15" customFormat="1" x14ac:dyDescent="0.4">
      <c r="A70"/>
      <c r="B70" s="83" t="s">
        <v>317</v>
      </c>
      <c r="D70" s="257"/>
      <c r="E70" s="257"/>
      <c r="F70" s="257"/>
      <c r="G70" s="257"/>
      <c r="H70" s="257"/>
      <c r="I70" s="257"/>
      <c r="J70" s="257"/>
      <c r="K70" s="257"/>
      <c r="L70" s="257"/>
      <c r="M70" s="257"/>
      <c r="N70" s="257"/>
      <c r="O70" s="257"/>
      <c r="P70" s="257"/>
      <c r="Q70" s="257"/>
      <c r="R70" s="257"/>
      <c r="S70" s="257"/>
      <c r="T70" s="257" t="s">
        <v>709</v>
      </c>
      <c r="U70" s="257" t="s">
        <v>709</v>
      </c>
      <c r="V70" s="257" t="s">
        <v>709</v>
      </c>
      <c r="W70" s="257" t="s">
        <v>709</v>
      </c>
      <c r="X70"/>
    </row>
    <row r="71" spans="1:24" x14ac:dyDescent="0.4">
      <c r="B71" s="83" t="s">
        <v>322</v>
      </c>
      <c r="C71" s="15"/>
      <c r="D71" s="257"/>
      <c r="E71" s="257"/>
      <c r="F71" s="257"/>
      <c r="G71" s="257"/>
      <c r="H71" s="257"/>
      <c r="I71" s="257"/>
      <c r="J71" s="257"/>
      <c r="K71" s="257"/>
      <c r="L71" s="257"/>
      <c r="M71" s="257"/>
      <c r="N71" s="257"/>
      <c r="O71" s="257"/>
      <c r="P71" s="257"/>
      <c r="Q71" s="257"/>
      <c r="R71" s="257"/>
      <c r="S71" s="257"/>
      <c r="T71" s="257" t="s">
        <v>709</v>
      </c>
      <c r="U71" s="257" t="s">
        <v>709</v>
      </c>
      <c r="V71" s="257" t="s">
        <v>709</v>
      </c>
      <c r="W71" s="257" t="s">
        <v>709</v>
      </c>
      <c r="X71" s="71"/>
    </row>
    <row r="72" spans="1:24" x14ac:dyDescent="0.4">
      <c r="B72" s="83" t="s">
        <v>323</v>
      </c>
      <c r="C72" s="15"/>
      <c r="D72" s="257"/>
      <c r="E72" s="257"/>
      <c r="F72" s="257"/>
      <c r="G72" s="257"/>
      <c r="H72" s="257"/>
      <c r="I72" s="257"/>
      <c r="J72" s="257"/>
      <c r="K72" s="257"/>
      <c r="L72" s="257"/>
      <c r="M72" s="257"/>
      <c r="N72" s="257"/>
      <c r="O72" s="257"/>
      <c r="P72" s="257"/>
      <c r="Q72" s="257"/>
      <c r="R72" s="257"/>
      <c r="S72" s="257"/>
      <c r="T72" s="257" t="s">
        <v>709</v>
      </c>
      <c r="U72" s="257" t="s">
        <v>709</v>
      </c>
      <c r="V72" s="257" t="s">
        <v>709</v>
      </c>
      <c r="W72" s="257" t="s">
        <v>709</v>
      </c>
      <c r="X72" s="71"/>
    </row>
    <row r="73" spans="1:24" x14ac:dyDescent="0.4">
      <c r="B73" s="83" t="s">
        <v>324</v>
      </c>
      <c r="C73" s="15"/>
      <c r="D73" s="257"/>
      <c r="E73" s="257"/>
      <c r="F73" s="257"/>
      <c r="G73" s="257"/>
      <c r="H73" s="257"/>
      <c r="I73" s="257"/>
      <c r="J73" s="257"/>
      <c r="K73" s="257"/>
      <c r="L73" s="257"/>
      <c r="M73" s="257"/>
      <c r="N73" s="257"/>
      <c r="O73" s="257"/>
      <c r="P73" s="257"/>
      <c r="Q73" s="257"/>
      <c r="R73" s="257"/>
      <c r="S73" s="257"/>
      <c r="T73" s="257" t="s">
        <v>709</v>
      </c>
      <c r="U73" s="257" t="s">
        <v>709</v>
      </c>
      <c r="V73" s="257" t="s">
        <v>709</v>
      </c>
      <c r="W73" s="257" t="s">
        <v>709</v>
      </c>
      <c r="X73" s="71"/>
    </row>
    <row r="74" spans="1:24" x14ac:dyDescent="0.4">
      <c r="B74" s="84" t="s">
        <v>325</v>
      </c>
      <c r="C74" s="20"/>
      <c r="D74" s="257"/>
      <c r="E74" s="257"/>
      <c r="F74" s="257"/>
      <c r="G74" s="257"/>
      <c r="H74" s="257"/>
      <c r="I74" s="257"/>
      <c r="J74" s="257"/>
      <c r="K74" s="257"/>
      <c r="L74" s="257"/>
      <c r="M74" s="257"/>
      <c r="N74" s="257"/>
      <c r="O74" s="257"/>
      <c r="P74" s="257"/>
      <c r="Q74" s="257"/>
      <c r="R74" s="257"/>
      <c r="S74" s="257"/>
      <c r="T74" s="257" t="s">
        <v>709</v>
      </c>
      <c r="U74" s="257" t="s">
        <v>709</v>
      </c>
      <c r="V74" s="257" t="s">
        <v>709</v>
      </c>
      <c r="W74" s="257" t="s">
        <v>709</v>
      </c>
      <c r="X74" s="71"/>
    </row>
    <row r="80" spans="1:24" ht="23.25" x14ac:dyDescent="0.7">
      <c r="A80" s="14" t="s">
        <v>814</v>
      </c>
    </row>
    <row r="81" spans="1:10" x14ac:dyDescent="0.4">
      <c r="A81" s="237"/>
      <c r="B81" s="237"/>
      <c r="C81" s="237"/>
      <c r="D81" s="237">
        <f>MTP_BaseYear</f>
        <v>2023</v>
      </c>
      <c r="E81" s="237" cm="1">
        <f t="array" ref="E81:J81">_xlfn.SEQUENCE(1, MTP_EndYear-MTP_BaseYear+1, MTP_BaseYear)</f>
        <v>2023</v>
      </c>
      <c r="F81" s="237">
        <v>2024</v>
      </c>
      <c r="G81" s="237">
        <v>2025</v>
      </c>
      <c r="H81" s="237">
        <v>2026</v>
      </c>
      <c r="I81" s="237">
        <v>2027</v>
      </c>
      <c r="J81" s="237">
        <v>2028</v>
      </c>
    </row>
    <row r="82" spans="1:10" x14ac:dyDescent="0.4">
      <c r="A82" s="215"/>
      <c r="B82" s="215" t="s">
        <v>30</v>
      </c>
      <c r="C82" s="215" t="s">
        <v>31</v>
      </c>
      <c r="D82" s="238" t="s">
        <v>6</v>
      </c>
      <c r="E82" s="238" t="str" cm="1">
        <f t="array" ref="E82:J82">IF(ISNUMBER(_xlfn.ANCHORARRAY(E$81)),"% of GDP","")</f>
        <v>% of GDP</v>
      </c>
      <c r="F82" s="238" t="str">
        <v>% of GDP</v>
      </c>
      <c r="G82" s="238" t="str">
        <v>% of GDP</v>
      </c>
      <c r="H82" s="238" t="str">
        <v>% of GDP</v>
      </c>
      <c r="I82" s="238" t="str">
        <v>% of GDP</v>
      </c>
      <c r="J82" s="238" t="str">
        <v>% of GDP</v>
      </c>
    </row>
    <row r="83" spans="1:10" x14ac:dyDescent="0.4">
      <c r="A83" s="215">
        <v>1</v>
      </c>
      <c r="B83" s="241" t="s">
        <v>32</v>
      </c>
      <c r="C83" s="241" t="s">
        <v>72</v>
      </c>
      <c r="D83" s="4">
        <v>5.5</v>
      </c>
      <c r="E83" s="4">
        <v>13.8</v>
      </c>
      <c r="F83" s="4">
        <v>14.3</v>
      </c>
      <c r="G83" s="4"/>
      <c r="H83" s="4"/>
      <c r="I83" s="4"/>
      <c r="J83" s="4"/>
    </row>
    <row r="84" spans="1:10" x14ac:dyDescent="0.4">
      <c r="A84" s="215">
        <v>2</v>
      </c>
      <c r="B84" s="241" t="s">
        <v>33</v>
      </c>
      <c r="C84" s="241" t="s">
        <v>73</v>
      </c>
      <c r="D84" s="4">
        <v>3.1</v>
      </c>
      <c r="E84" s="4">
        <v>7.8</v>
      </c>
      <c r="F84" s="4">
        <v>8.6</v>
      </c>
      <c r="G84" s="4"/>
      <c r="H84" s="4"/>
      <c r="I84" s="4"/>
      <c r="J84" s="4"/>
    </row>
    <row r="85" spans="1:10" x14ac:dyDescent="0.4">
      <c r="A85" s="215">
        <v>3</v>
      </c>
      <c r="B85" s="241" t="s">
        <v>34</v>
      </c>
      <c r="C85" s="241" t="s">
        <v>74</v>
      </c>
      <c r="D85" s="4">
        <v>4.3</v>
      </c>
      <c r="E85" s="4">
        <v>10.6</v>
      </c>
      <c r="F85" s="4">
        <v>11.2</v>
      </c>
      <c r="G85" s="4"/>
      <c r="H85" s="4"/>
      <c r="I85" s="4"/>
      <c r="J85" s="4"/>
    </row>
    <row r="86" spans="1:10" x14ac:dyDescent="0.4">
      <c r="A86" s="215">
        <v>4</v>
      </c>
      <c r="B86" s="241" t="s">
        <v>36</v>
      </c>
      <c r="C86" s="241" t="s">
        <v>75</v>
      </c>
      <c r="D86" s="4">
        <v>2.2999999999999998</v>
      </c>
      <c r="E86" s="4">
        <v>5.6</v>
      </c>
      <c r="F86" s="4">
        <v>6.6</v>
      </c>
      <c r="G86" s="4"/>
      <c r="H86" s="4"/>
      <c r="I86" s="4"/>
      <c r="J86" s="4"/>
    </row>
    <row r="87" spans="1:10" x14ac:dyDescent="0.4">
      <c r="A87" s="215">
        <v>5</v>
      </c>
      <c r="B87" s="241" t="s">
        <v>37</v>
      </c>
      <c r="C87" s="241" t="s">
        <v>76</v>
      </c>
      <c r="D87" s="4">
        <v>0</v>
      </c>
      <c r="E87" s="4">
        <v>0</v>
      </c>
      <c r="F87" s="4">
        <v>0</v>
      </c>
      <c r="G87" s="4"/>
      <c r="H87" s="4"/>
      <c r="I87" s="4"/>
      <c r="J87" s="4"/>
    </row>
    <row r="88" spans="1:10" x14ac:dyDescent="0.4">
      <c r="A88" s="215">
        <v>6</v>
      </c>
      <c r="B88" s="241" t="s">
        <v>38</v>
      </c>
      <c r="C88" s="241" t="s">
        <v>77</v>
      </c>
      <c r="D88" s="4">
        <v>0.4</v>
      </c>
      <c r="E88" s="4">
        <v>1</v>
      </c>
      <c r="F88" s="4">
        <v>1.4</v>
      </c>
      <c r="G88" s="4"/>
      <c r="H88" s="4"/>
      <c r="I88" s="4"/>
      <c r="J88" s="4"/>
    </row>
    <row r="89" spans="1:10" x14ac:dyDescent="0.4">
      <c r="A89" s="215">
        <v>7</v>
      </c>
      <c r="B89" s="241" t="s">
        <v>39</v>
      </c>
      <c r="C89" s="241" t="s">
        <v>78</v>
      </c>
      <c r="D89" s="241">
        <v>15.6</v>
      </c>
      <c r="E89" s="241">
        <v>38.700000000000003</v>
      </c>
      <c r="F89" s="241">
        <v>42.1</v>
      </c>
      <c r="G89" s="241"/>
      <c r="H89" s="241"/>
      <c r="I89" s="241"/>
      <c r="J89" s="241"/>
    </row>
    <row r="90" spans="1:10" x14ac:dyDescent="0.4">
      <c r="A90" s="215">
        <v>8</v>
      </c>
      <c r="B90" s="241" t="s">
        <v>40</v>
      </c>
      <c r="C90" s="241" t="s">
        <v>79</v>
      </c>
      <c r="D90" s="4">
        <v>0.6</v>
      </c>
      <c r="E90" s="4">
        <v>1.5</v>
      </c>
      <c r="F90" s="4">
        <v>1.9</v>
      </c>
      <c r="G90" s="4"/>
      <c r="H90" s="4"/>
      <c r="I90" s="4"/>
      <c r="J90" s="4"/>
    </row>
    <row r="91" spans="1:10" x14ac:dyDescent="0.4">
      <c r="A91" s="215">
        <v>9</v>
      </c>
      <c r="B91" s="241" t="s">
        <v>41</v>
      </c>
      <c r="C91" s="241"/>
      <c r="D91" s="241">
        <v>15</v>
      </c>
      <c r="E91" s="241">
        <v>37.200000000000003</v>
      </c>
      <c r="F91" s="241">
        <v>40.200000000000003</v>
      </c>
      <c r="G91" s="241"/>
      <c r="H91" s="241"/>
      <c r="I91" s="241"/>
      <c r="J91" s="241"/>
    </row>
    <row r="92" spans="1:10" x14ac:dyDescent="0.4">
      <c r="A92" s="215">
        <v>10</v>
      </c>
      <c r="B92" s="241" t="s">
        <v>42</v>
      </c>
      <c r="C92" s="241"/>
      <c r="D92" s="4">
        <v>-0.1</v>
      </c>
      <c r="E92" s="4">
        <v>-0.3</v>
      </c>
      <c r="F92" s="4">
        <v>0.8</v>
      </c>
      <c r="G92" s="4"/>
      <c r="H92" s="4"/>
      <c r="I92" s="4"/>
      <c r="J92" s="4"/>
    </row>
    <row r="93" spans="1:10" x14ac:dyDescent="0.4">
      <c r="A93" s="215">
        <v>11</v>
      </c>
      <c r="B93" s="241" t="s">
        <v>43</v>
      </c>
      <c r="C93" s="241"/>
      <c r="D93" s="4">
        <v>0</v>
      </c>
      <c r="E93" s="4">
        <v>0</v>
      </c>
      <c r="F93" s="4">
        <v>0</v>
      </c>
      <c r="G93" s="4"/>
      <c r="H93" s="4"/>
      <c r="I93" s="4"/>
      <c r="J93" s="4"/>
    </row>
    <row r="94" spans="1:10" x14ac:dyDescent="0.4">
      <c r="A94" s="215"/>
      <c r="B94" s="215" t="s">
        <v>29</v>
      </c>
      <c r="C94" s="215" t="s">
        <v>31</v>
      </c>
      <c r="D94" s="239" t="s">
        <v>6</v>
      </c>
      <c r="E94" s="239" t="str" cm="1">
        <f t="array" ref="E94:J94">IF(ISNUMBER(_xlfn.ANCHORARRAY(E$81)),"% of GDP","")</f>
        <v>% of GDP</v>
      </c>
      <c r="F94" s="239" t="str">
        <v>% of GDP</v>
      </c>
      <c r="G94" s="239" t="str">
        <v>% of GDP</v>
      </c>
      <c r="H94" s="239" t="str">
        <v>% of GDP</v>
      </c>
      <c r="I94" s="239" t="str">
        <v>% of GDP</v>
      </c>
      <c r="J94" s="239" t="str">
        <v>% of GDP</v>
      </c>
    </row>
    <row r="95" spans="1:10" x14ac:dyDescent="0.4">
      <c r="A95" s="215">
        <v>12</v>
      </c>
      <c r="B95" s="228" t="s">
        <v>44</v>
      </c>
      <c r="C95" s="228" t="s">
        <v>5</v>
      </c>
      <c r="D95" s="4">
        <v>4.7</v>
      </c>
      <c r="E95" s="4">
        <v>11.6</v>
      </c>
      <c r="F95" s="4">
        <v>12.7</v>
      </c>
      <c r="G95" s="4"/>
      <c r="H95" s="4"/>
      <c r="I95" s="4"/>
      <c r="J95" s="4"/>
    </row>
    <row r="96" spans="1:10" x14ac:dyDescent="0.4">
      <c r="A96" s="215">
        <v>13</v>
      </c>
      <c r="B96" s="228" t="s">
        <v>45</v>
      </c>
      <c r="C96" s="228" t="s">
        <v>80</v>
      </c>
      <c r="D96" s="4">
        <v>2.6</v>
      </c>
      <c r="E96" s="4">
        <v>6.3</v>
      </c>
      <c r="F96" s="4">
        <v>6.8</v>
      </c>
      <c r="G96" s="4"/>
      <c r="H96" s="4"/>
      <c r="I96" s="4"/>
      <c r="J96" s="4"/>
    </row>
    <row r="97" spans="1:10" x14ac:dyDescent="0.4">
      <c r="A97" s="215">
        <v>14</v>
      </c>
      <c r="B97" s="228" t="s">
        <v>46</v>
      </c>
      <c r="C97" s="228" t="s">
        <v>28</v>
      </c>
      <c r="D97" s="4">
        <v>0.3</v>
      </c>
      <c r="E97" s="4">
        <v>0.6</v>
      </c>
      <c r="F97" s="4">
        <v>1.1000000000000001</v>
      </c>
      <c r="G97" s="4">
        <v>1.2</v>
      </c>
      <c r="H97" s="4">
        <v>1.3</v>
      </c>
      <c r="I97" s="4">
        <v>1.4</v>
      </c>
      <c r="J97" s="4">
        <v>1.5</v>
      </c>
    </row>
    <row r="98" spans="1:10" x14ac:dyDescent="0.4">
      <c r="A98" s="215">
        <v>15</v>
      </c>
      <c r="B98" s="228" t="s">
        <v>47</v>
      </c>
      <c r="C98" s="228" t="s">
        <v>81</v>
      </c>
      <c r="D98" s="4">
        <v>4.8</v>
      </c>
      <c r="E98" s="4">
        <v>11.9</v>
      </c>
      <c r="F98" s="4">
        <v>12.9</v>
      </c>
      <c r="G98" s="4"/>
      <c r="H98" s="4"/>
      <c r="I98" s="4"/>
      <c r="J98" s="4"/>
    </row>
    <row r="99" spans="1:10" x14ac:dyDescent="0.4">
      <c r="A99" s="215">
        <v>16</v>
      </c>
      <c r="B99" s="228" t="s">
        <v>48</v>
      </c>
      <c r="C99" s="228" t="s">
        <v>82</v>
      </c>
      <c r="D99" s="4">
        <v>0.5</v>
      </c>
      <c r="E99" s="4">
        <v>1.3</v>
      </c>
      <c r="F99" s="4">
        <v>1.3</v>
      </c>
      <c r="G99" s="4"/>
      <c r="H99" s="4"/>
      <c r="I99" s="4"/>
      <c r="J99" s="4"/>
    </row>
    <row r="100" spans="1:10" x14ac:dyDescent="0.4">
      <c r="A100" s="215">
        <v>17</v>
      </c>
      <c r="B100" s="228" t="s">
        <v>49</v>
      </c>
      <c r="C100" s="228" t="s">
        <v>83</v>
      </c>
      <c r="D100" s="4">
        <v>0.6</v>
      </c>
      <c r="E100" s="4">
        <v>1.4</v>
      </c>
      <c r="F100" s="4">
        <v>0.8</v>
      </c>
      <c r="G100" s="4"/>
      <c r="H100" s="4"/>
      <c r="I100" s="4"/>
      <c r="J100" s="4"/>
    </row>
    <row r="101" spans="1:10" x14ac:dyDescent="0.4">
      <c r="A101" s="215">
        <v>18</v>
      </c>
      <c r="B101" s="228" t="s">
        <v>50</v>
      </c>
      <c r="C101" s="228" t="s">
        <v>84</v>
      </c>
      <c r="D101" s="4">
        <v>1.2</v>
      </c>
      <c r="E101" s="4">
        <v>3</v>
      </c>
      <c r="F101" s="4">
        <v>3.8</v>
      </c>
      <c r="G101" s="4"/>
      <c r="H101" s="4"/>
      <c r="I101" s="4"/>
      <c r="J101" s="4"/>
    </row>
    <row r="102" spans="1:10" x14ac:dyDescent="0.4">
      <c r="A102" s="215">
        <v>19</v>
      </c>
      <c r="B102" s="228" t="s">
        <v>10</v>
      </c>
      <c r="C102" s="228" t="s">
        <v>4</v>
      </c>
      <c r="D102" s="4">
        <v>1.7</v>
      </c>
      <c r="E102" s="4">
        <v>4.2</v>
      </c>
      <c r="F102" s="4">
        <v>5.0999999999999996</v>
      </c>
      <c r="G102" s="4"/>
      <c r="H102" s="4"/>
      <c r="I102" s="4"/>
      <c r="J102" s="4"/>
    </row>
    <row r="103" spans="1:10" x14ac:dyDescent="0.4">
      <c r="A103" s="215">
        <v>20</v>
      </c>
      <c r="B103" s="228" t="s">
        <v>51</v>
      </c>
      <c r="C103" s="228"/>
      <c r="D103" s="4">
        <v>1.3</v>
      </c>
      <c r="E103" s="4">
        <v>3.3</v>
      </c>
      <c r="F103" s="4">
        <v>3.9</v>
      </c>
      <c r="G103" s="4">
        <v>4</v>
      </c>
      <c r="H103" s="4">
        <v>4.5</v>
      </c>
      <c r="I103" s="4">
        <v>4.4000000000000004</v>
      </c>
      <c r="J103" s="4">
        <v>4.3</v>
      </c>
    </row>
    <row r="104" spans="1:10" x14ac:dyDescent="0.4">
      <c r="A104" s="215">
        <v>21</v>
      </c>
      <c r="B104" s="228" t="s">
        <v>52</v>
      </c>
      <c r="C104" s="228" t="s">
        <v>85</v>
      </c>
      <c r="D104" s="4">
        <v>0.2</v>
      </c>
      <c r="E104" s="4">
        <v>0.5</v>
      </c>
      <c r="F104" s="4">
        <v>0.1</v>
      </c>
      <c r="G104" s="4"/>
      <c r="H104" s="4"/>
      <c r="I104" s="4"/>
      <c r="J104" s="4"/>
    </row>
    <row r="105" spans="1:10" x14ac:dyDescent="0.4">
      <c r="A105" s="215">
        <v>22</v>
      </c>
      <c r="B105" s="228" t="s">
        <v>53</v>
      </c>
      <c r="C105" s="228" t="s">
        <v>86</v>
      </c>
      <c r="D105" s="4">
        <v>0</v>
      </c>
      <c r="E105" s="4">
        <v>0</v>
      </c>
      <c r="F105" s="4">
        <v>0.2</v>
      </c>
      <c r="G105" s="4"/>
      <c r="H105" s="4"/>
      <c r="I105" s="4"/>
      <c r="J105" s="4"/>
    </row>
    <row r="106" spans="1:10" x14ac:dyDescent="0.4">
      <c r="A106" s="215">
        <v>23</v>
      </c>
      <c r="B106" s="228" t="s">
        <v>54</v>
      </c>
      <c r="C106" s="228" t="s">
        <v>87</v>
      </c>
      <c r="D106" s="241">
        <v>16.5</v>
      </c>
      <c r="E106" s="241">
        <v>41</v>
      </c>
      <c r="F106" s="241">
        <v>44.7</v>
      </c>
      <c r="G106" s="241"/>
      <c r="H106" s="241"/>
      <c r="I106" s="241"/>
      <c r="J106" s="241"/>
    </row>
    <row r="107" spans="1:10" x14ac:dyDescent="0.4">
      <c r="A107" s="215">
        <v>24</v>
      </c>
      <c r="B107" s="228" t="s">
        <v>55</v>
      </c>
      <c r="C107" s="228" t="s">
        <v>79</v>
      </c>
      <c r="D107" s="4">
        <v>0.6</v>
      </c>
      <c r="E107" s="4">
        <v>1.5</v>
      </c>
      <c r="F107" s="4">
        <v>1.9</v>
      </c>
      <c r="G107" s="4"/>
      <c r="H107" s="4"/>
      <c r="I107" s="4"/>
      <c r="J107" s="4"/>
    </row>
    <row r="108" spans="1:10" x14ac:dyDescent="0.4">
      <c r="A108" s="215">
        <v>25</v>
      </c>
      <c r="B108" s="228" t="s">
        <v>56</v>
      </c>
      <c r="C108" s="228"/>
      <c r="D108" s="241">
        <v>15.9</v>
      </c>
      <c r="E108" s="241">
        <v>39.5</v>
      </c>
      <c r="F108" s="241">
        <v>42.8</v>
      </c>
      <c r="G108" s="241"/>
      <c r="H108" s="241"/>
      <c r="I108" s="241"/>
      <c r="J108" s="241"/>
    </row>
    <row r="109" spans="1:10" x14ac:dyDescent="0.4">
      <c r="A109" s="215">
        <v>26</v>
      </c>
      <c r="B109" s="228" t="s">
        <v>763</v>
      </c>
      <c r="C109" s="228"/>
      <c r="D109" s="4">
        <v>0.2</v>
      </c>
      <c r="E109" s="4">
        <v>0.4</v>
      </c>
      <c r="F109" s="4">
        <v>0.4</v>
      </c>
      <c r="G109" s="4"/>
      <c r="H109" s="4"/>
      <c r="I109" s="4"/>
      <c r="J109" s="4"/>
    </row>
    <row r="110" spans="1:10" x14ac:dyDescent="0.4">
      <c r="A110" s="215">
        <v>27</v>
      </c>
      <c r="B110" s="228" t="s">
        <v>57</v>
      </c>
      <c r="C110" s="228"/>
      <c r="D110" s="4">
        <v>0</v>
      </c>
      <c r="E110" s="4">
        <v>0</v>
      </c>
      <c r="F110" s="4">
        <v>0</v>
      </c>
      <c r="G110" s="4"/>
      <c r="H110" s="4"/>
      <c r="I110" s="4"/>
      <c r="J110" s="4"/>
    </row>
    <row r="111" spans="1:10" x14ac:dyDescent="0.4">
      <c r="A111" s="215">
        <v>28</v>
      </c>
      <c r="B111" s="228" t="s">
        <v>58</v>
      </c>
      <c r="C111" s="228"/>
      <c r="D111" s="4">
        <v>0</v>
      </c>
      <c r="E111" s="4">
        <v>0</v>
      </c>
      <c r="F111" s="4">
        <v>0</v>
      </c>
      <c r="G111" s="4"/>
      <c r="H111" s="4"/>
      <c r="I111" s="4"/>
      <c r="J111" s="4"/>
    </row>
    <row r="112" spans="1:10" x14ac:dyDescent="0.4">
      <c r="A112" s="215">
        <v>29</v>
      </c>
      <c r="B112" s="228" t="s">
        <v>59</v>
      </c>
      <c r="C112" s="228"/>
      <c r="D112" s="241">
        <v>15.5</v>
      </c>
      <c r="E112" s="241">
        <v>38.4</v>
      </c>
      <c r="F112" s="241">
        <v>41.2</v>
      </c>
      <c r="G112" s="241"/>
      <c r="H112" s="241"/>
      <c r="I112" s="241"/>
      <c r="J112" s="241"/>
    </row>
    <row r="113" spans="1:10" x14ac:dyDescent="0.4">
      <c r="A113" s="215"/>
      <c r="B113" s="215" t="s">
        <v>35</v>
      </c>
      <c r="C113" s="215"/>
      <c r="D113" s="240"/>
      <c r="E113" s="240" t="str" cm="1">
        <f t="array" ref="E113:J113">IF(ISNUMBER(_xlfn.ANCHORARRAY(E$81)),"growth rate","")</f>
        <v>growth rate</v>
      </c>
      <c r="F113" s="240" t="str">
        <v>growth rate</v>
      </c>
      <c r="G113" s="240" t="str">
        <v>growth rate</v>
      </c>
      <c r="H113" s="240" t="str">
        <v>growth rate</v>
      </c>
      <c r="I113" s="240" t="str">
        <v>growth rate</v>
      </c>
      <c r="J113" s="240" t="str">
        <v>growth rate</v>
      </c>
    </row>
    <row r="114" spans="1:10" ht="14.25" x14ac:dyDescent="0.45">
      <c r="A114" s="215">
        <v>30</v>
      </c>
      <c r="B114" s="228" t="s">
        <v>838</v>
      </c>
      <c r="C114" s="228" t="s">
        <v>764</v>
      </c>
      <c r="D114" s="247"/>
      <c r="E114" s="4"/>
      <c r="F114" s="4">
        <v>9.1</v>
      </c>
      <c r="G114" s="4">
        <v>5.8999999999999995</v>
      </c>
      <c r="H114" s="4">
        <v>3.5999999999999996</v>
      </c>
      <c r="I114" s="4">
        <v>3.4000000000000004</v>
      </c>
      <c r="J114" s="4">
        <v>3.3000000000000003</v>
      </c>
    </row>
    <row r="115" spans="1:10" x14ac:dyDescent="0.4">
      <c r="A115" s="215"/>
      <c r="B115" s="215" t="s">
        <v>60</v>
      </c>
      <c r="C115" s="215"/>
      <c r="D115" s="240" t="s">
        <v>6</v>
      </c>
      <c r="E115" s="240" t="str" cm="1">
        <f t="array" ref="E115:J115">IF(ISNUMBER(_xlfn.ANCHORARRAY(E$81)),"% of GDP","")</f>
        <v>% of GDP</v>
      </c>
      <c r="F115" s="240" t="str">
        <v>% of GDP</v>
      </c>
      <c r="G115" s="240" t="str">
        <v>% of GDP</v>
      </c>
      <c r="H115" s="240" t="str">
        <v>% of GDP</v>
      </c>
      <c r="I115" s="240" t="str">
        <v>% of GDP</v>
      </c>
      <c r="J115" s="240" t="str">
        <v>% of GDP</v>
      </c>
    </row>
    <row r="116" spans="1:10" x14ac:dyDescent="0.4">
      <c r="A116" s="215">
        <v>31</v>
      </c>
      <c r="B116" s="228" t="s">
        <v>61</v>
      </c>
      <c r="C116" s="228" t="s">
        <v>27</v>
      </c>
      <c r="D116" s="4">
        <v>-0.9</v>
      </c>
      <c r="E116" s="4">
        <v>-2.2000000000000002</v>
      </c>
      <c r="F116" s="4">
        <v>-2.6</v>
      </c>
      <c r="G116" s="4">
        <v>-2.9</v>
      </c>
      <c r="H116" s="4">
        <v>-2.9</v>
      </c>
      <c r="I116" s="4">
        <v>-2.9</v>
      </c>
      <c r="J116" s="4">
        <v>-2.9</v>
      </c>
    </row>
    <row r="117" spans="1:10" x14ac:dyDescent="0.4">
      <c r="A117" s="215">
        <v>32</v>
      </c>
      <c r="B117" s="228" t="s">
        <v>62</v>
      </c>
      <c r="C117" s="228" t="s">
        <v>88</v>
      </c>
      <c r="D117" s="4">
        <v>-0.6</v>
      </c>
      <c r="E117" s="4">
        <v>-1.6</v>
      </c>
      <c r="F117" s="4">
        <v>-1.5</v>
      </c>
      <c r="G117" s="4">
        <v>-1.7</v>
      </c>
      <c r="H117" s="4">
        <v>-1.6</v>
      </c>
      <c r="I117" s="4">
        <v>-1.5</v>
      </c>
      <c r="J117" s="4">
        <v>-1.4</v>
      </c>
    </row>
    <row r="118" spans="1:10" x14ac:dyDescent="0.4">
      <c r="A118" s="215"/>
      <c r="B118" s="215" t="s">
        <v>63</v>
      </c>
      <c r="C118" s="215"/>
      <c r="D118" s="240"/>
      <c r="E118" s="240" t="str" cm="1">
        <f t="array" ref="E118:J118">IF(ISNUMBER(_xlfn.ANCHORARRAY(E$81)),"% of GDP","")</f>
        <v>% of GDP</v>
      </c>
      <c r="F118" s="240" t="str">
        <v>% of GDP</v>
      </c>
      <c r="G118" s="240" t="str">
        <v>% of GDP</v>
      </c>
      <c r="H118" s="240" t="str">
        <v>% of GDP</v>
      </c>
      <c r="I118" s="240" t="str">
        <v>% of GDP</v>
      </c>
      <c r="J118" s="240" t="str">
        <v>% of GDP</v>
      </c>
    </row>
    <row r="119" spans="1:10" ht="14.25" x14ac:dyDescent="0.45">
      <c r="A119" s="215">
        <v>33</v>
      </c>
      <c r="B119" s="242" t="s">
        <v>0</v>
      </c>
      <c r="C119" s="242"/>
      <c r="D119" s="247"/>
      <c r="E119" s="4">
        <v>-1.8</v>
      </c>
      <c r="F119" s="4">
        <v>-1.9</v>
      </c>
      <c r="G119" s="4">
        <v>-2.5</v>
      </c>
      <c r="H119" s="4">
        <v>-2.6</v>
      </c>
      <c r="I119" s="4">
        <v>-2.7</v>
      </c>
      <c r="J119" s="4">
        <v>-2.7</v>
      </c>
    </row>
    <row r="120" spans="1:10" ht="14.25" x14ac:dyDescent="0.45">
      <c r="A120" s="215">
        <v>34</v>
      </c>
      <c r="B120" s="242" t="s">
        <v>3</v>
      </c>
      <c r="C120" s="242"/>
      <c r="D120" s="247"/>
      <c r="E120" s="4">
        <v>-1.2</v>
      </c>
      <c r="F120" s="4">
        <v>-0.8</v>
      </c>
      <c r="G120" s="4">
        <v>-1.3</v>
      </c>
      <c r="H120" s="4">
        <v>-1.3</v>
      </c>
      <c r="I120" s="4">
        <v>-1.3</v>
      </c>
      <c r="J120" s="4">
        <v>-1.3</v>
      </c>
    </row>
    <row r="121" spans="1:10" x14ac:dyDescent="0.4">
      <c r="A121" s="215"/>
      <c r="B121" s="215" t="s">
        <v>20</v>
      </c>
      <c r="C121" s="215"/>
      <c r="D121" s="240" t="s">
        <v>6</v>
      </c>
      <c r="E121" s="240" t="s">
        <v>614</v>
      </c>
      <c r="F121" s="240" t="s">
        <v>614</v>
      </c>
      <c r="G121" s="240" t="s">
        <v>614</v>
      </c>
      <c r="H121" s="240"/>
      <c r="I121" s="240"/>
      <c r="J121" s="240"/>
    </row>
    <row r="122" spans="1:10" x14ac:dyDescent="0.4">
      <c r="A122" s="215">
        <v>35</v>
      </c>
      <c r="B122" s="228" t="s">
        <v>1</v>
      </c>
      <c r="C122" s="228"/>
      <c r="D122" s="4">
        <v>17.600000000000001</v>
      </c>
      <c r="E122" s="4">
        <v>43.6</v>
      </c>
      <c r="F122" s="4">
        <v>45.8</v>
      </c>
      <c r="G122" s="4">
        <v>47.5</v>
      </c>
      <c r="H122" s="4">
        <v>48.5</v>
      </c>
      <c r="I122" s="4">
        <v>49.7</v>
      </c>
      <c r="J122" s="4">
        <v>50.8</v>
      </c>
    </row>
    <row r="123" spans="1:10" x14ac:dyDescent="0.4">
      <c r="A123" s="215">
        <v>36</v>
      </c>
      <c r="B123" s="228" t="s">
        <v>2</v>
      </c>
      <c r="C123" s="228"/>
      <c r="D123" s="4">
        <v>1.5</v>
      </c>
      <c r="E123" s="4">
        <v>1.8</v>
      </c>
      <c r="F123" s="4">
        <v>2.2999999999999998</v>
      </c>
      <c r="G123" s="4">
        <v>1.6</v>
      </c>
      <c r="H123" s="4">
        <v>1.1000000000000001</v>
      </c>
      <c r="I123" s="4">
        <v>1.2</v>
      </c>
      <c r="J123" s="4">
        <v>1.2</v>
      </c>
    </row>
    <row r="124" spans="1:10" x14ac:dyDescent="0.4">
      <c r="A124" s="215">
        <v>37</v>
      </c>
      <c r="B124" s="228" t="s">
        <v>64</v>
      </c>
      <c r="C124" s="228"/>
      <c r="D124" s="245"/>
      <c r="E124" s="245"/>
      <c r="F124" s="245"/>
      <c r="G124" s="245"/>
      <c r="H124" s="241"/>
      <c r="I124" s="241"/>
      <c r="J124" s="241"/>
    </row>
    <row r="125" spans="1:10" ht="14.25" x14ac:dyDescent="0.45">
      <c r="A125" s="215">
        <v>38</v>
      </c>
      <c r="B125" s="243" t="s">
        <v>765</v>
      </c>
      <c r="C125" s="228"/>
      <c r="D125" s="247"/>
      <c r="E125" s="4">
        <v>1.6</v>
      </c>
      <c r="F125" s="4">
        <v>1.5</v>
      </c>
      <c r="G125" s="4">
        <v>1.7</v>
      </c>
      <c r="H125" s="4">
        <v>1.6</v>
      </c>
      <c r="I125" s="4">
        <v>1.5</v>
      </c>
      <c r="J125" s="4">
        <v>1.4</v>
      </c>
    </row>
    <row r="126" spans="1:10" ht="14.25" x14ac:dyDescent="0.45">
      <c r="A126" s="215">
        <v>39</v>
      </c>
      <c r="B126" s="243" t="s">
        <v>766</v>
      </c>
      <c r="C126" s="228"/>
      <c r="D126" s="247"/>
      <c r="E126" s="4">
        <v>-1.4</v>
      </c>
      <c r="F126" s="4">
        <v>-0.5</v>
      </c>
      <c r="G126" s="4">
        <v>-1.2</v>
      </c>
      <c r="H126" s="4">
        <v>-0.5</v>
      </c>
      <c r="I126" s="4">
        <v>-0.3</v>
      </c>
      <c r="J126" s="4">
        <v>-0.2</v>
      </c>
    </row>
    <row r="127" spans="1:10" ht="14.25" x14ac:dyDescent="0.45">
      <c r="A127" s="215">
        <v>40</v>
      </c>
      <c r="B127" s="244" t="s">
        <v>767</v>
      </c>
      <c r="C127" s="228"/>
      <c r="D127" s="247"/>
      <c r="E127" s="4">
        <v>0.6</v>
      </c>
      <c r="F127" s="4">
        <v>1.1000000000000001</v>
      </c>
      <c r="G127" s="4">
        <v>1.2</v>
      </c>
      <c r="H127" s="4">
        <v>1.3</v>
      </c>
      <c r="I127" s="4">
        <v>1.4</v>
      </c>
      <c r="J127" s="4">
        <v>1.5</v>
      </c>
    </row>
    <row r="128" spans="1:10" ht="14.25" x14ac:dyDescent="0.45">
      <c r="A128" s="215">
        <v>41</v>
      </c>
      <c r="B128" s="244" t="s">
        <v>768</v>
      </c>
      <c r="C128" s="228"/>
      <c r="D128" s="247"/>
      <c r="E128" s="4">
        <v>0.1</v>
      </c>
      <c r="F128" s="4">
        <v>-0.6</v>
      </c>
      <c r="G128" s="4">
        <v>-1.3</v>
      </c>
      <c r="H128" s="4">
        <v>-0.7</v>
      </c>
      <c r="I128" s="4">
        <v>-0.5</v>
      </c>
      <c r="J128" s="4">
        <v>-0.5</v>
      </c>
    </row>
    <row r="129" spans="1:13" ht="14.25" x14ac:dyDescent="0.45">
      <c r="A129" s="215">
        <v>42</v>
      </c>
      <c r="B129" s="244" t="s">
        <v>769</v>
      </c>
      <c r="C129" s="228"/>
      <c r="D129" s="247"/>
      <c r="E129" s="4">
        <v>-2.1</v>
      </c>
      <c r="F129" s="4">
        <v>-1</v>
      </c>
      <c r="G129" s="4">
        <v>-1.1000000000000001</v>
      </c>
      <c r="H129" s="4">
        <v>-1.1000000000000001</v>
      </c>
      <c r="I129" s="4">
        <v>-1.2</v>
      </c>
      <c r="J129" s="4">
        <v>-1.2</v>
      </c>
    </row>
    <row r="130" spans="1:13" ht="14.25" x14ac:dyDescent="0.45">
      <c r="A130" s="215">
        <v>43</v>
      </c>
      <c r="B130" s="243" t="s">
        <v>770</v>
      </c>
      <c r="C130" s="228"/>
      <c r="D130" s="247"/>
      <c r="E130" s="4">
        <v>1.6</v>
      </c>
      <c r="F130" s="4">
        <v>1.3</v>
      </c>
      <c r="G130" s="4">
        <v>1</v>
      </c>
      <c r="H130" s="4">
        <v>0</v>
      </c>
      <c r="I130" s="4">
        <v>0</v>
      </c>
      <c r="J130" s="4">
        <v>0</v>
      </c>
    </row>
    <row r="131" spans="1:13" x14ac:dyDescent="0.4">
      <c r="A131" s="215"/>
      <c r="B131" s="215"/>
      <c r="C131" s="215"/>
      <c r="D131" s="240"/>
      <c r="E131" s="239" t="str" cm="1">
        <f t="array" ref="E131:J131">IF(ISNUMBER(_xlfn.ANCHORARRAY(E$81)),"%","")</f>
        <v>%</v>
      </c>
      <c r="F131" s="239" t="str">
        <v>%</v>
      </c>
      <c r="G131" s="239" t="str">
        <v>%</v>
      </c>
      <c r="H131" s="239" t="str">
        <v>%</v>
      </c>
      <c r="I131" s="239" t="str">
        <v>%</v>
      </c>
      <c r="J131" s="239" t="str">
        <v>%</v>
      </c>
    </row>
    <row r="132" spans="1:13" ht="14.25" x14ac:dyDescent="0.45">
      <c r="A132" s="215">
        <v>44</v>
      </c>
      <c r="B132" s="230" t="s">
        <v>71</v>
      </c>
      <c r="C132" s="230"/>
      <c r="D132" s="248"/>
      <c r="E132" s="4">
        <v>1.6</v>
      </c>
      <c r="F132" s="4">
        <v>2.6</v>
      </c>
      <c r="G132" s="4">
        <v>2.7</v>
      </c>
      <c r="H132" s="4">
        <v>2.9</v>
      </c>
      <c r="I132" s="4">
        <v>3</v>
      </c>
      <c r="J132" s="4">
        <v>3.1</v>
      </c>
      <c r="M132" s="4"/>
    </row>
    <row r="133" spans="1:13" x14ac:dyDescent="0.4">
      <c r="A133" s="215"/>
      <c r="B133" s="215"/>
      <c r="C133" s="215"/>
      <c r="D133" s="240"/>
      <c r="E133" s="240"/>
      <c r="F133" s="240"/>
      <c r="G133" s="240"/>
      <c r="H133" s="240"/>
      <c r="I133" s="240"/>
      <c r="J133" s="240"/>
    </row>
    <row r="134" spans="1:13" x14ac:dyDescent="0.4">
      <c r="A134" s="215">
        <v>45</v>
      </c>
      <c r="B134" s="242" t="s">
        <v>771</v>
      </c>
      <c r="C134" s="242" t="s">
        <v>772</v>
      </c>
      <c r="D134" s="4"/>
      <c r="E134" s="4"/>
      <c r="F134" s="4"/>
      <c r="G134" s="4"/>
      <c r="H134" s="4"/>
      <c r="I134" s="4"/>
      <c r="J134" s="4"/>
    </row>
    <row r="135" spans="1:13" x14ac:dyDescent="0.4">
      <c r="A135" s="215">
        <v>46</v>
      </c>
      <c r="B135" s="242" t="s">
        <v>773</v>
      </c>
      <c r="C135" s="242" t="s">
        <v>774</v>
      </c>
      <c r="D135" s="4"/>
      <c r="E135" s="4"/>
      <c r="F135" s="4"/>
      <c r="G135" s="4"/>
      <c r="H135" s="4"/>
      <c r="I135" s="4"/>
      <c r="J135" s="4"/>
    </row>
    <row r="138" spans="1:13" ht="23.25" x14ac:dyDescent="0.7">
      <c r="A138" s="14" t="s">
        <v>815</v>
      </c>
    </row>
    <row r="139" spans="1:13" x14ac:dyDescent="0.4">
      <c r="A139" s="237"/>
      <c r="B139" s="237" t="s">
        <v>8</v>
      </c>
      <c r="C139" s="237" t="s">
        <v>31</v>
      </c>
      <c r="D139" s="237">
        <f>MTP_BaseYear</f>
        <v>2023</v>
      </c>
      <c r="E139" s="237" cm="1">
        <f t="array" ref="E139:J139">_xlfn.SEQUENCE(1, MTP_EndYear-MTP_BaseYear+1, MTP_BaseYear)</f>
        <v>2023</v>
      </c>
      <c r="F139" s="237">
        <v>2024</v>
      </c>
      <c r="G139" s="237">
        <v>2025</v>
      </c>
      <c r="H139" s="237">
        <v>2026</v>
      </c>
      <c r="I139" s="237">
        <v>2027</v>
      </c>
      <c r="J139" s="237">
        <v>2028</v>
      </c>
    </row>
    <row r="140" spans="1:13" x14ac:dyDescent="0.4">
      <c r="A140" s="215"/>
      <c r="B140" s="215"/>
      <c r="C140" s="215"/>
      <c r="D140" s="238" t="s">
        <v>6</v>
      </c>
      <c r="E140" s="238" t="str" cm="1">
        <f t="array" ref="E140:J140">IF(ISNUMBER(_xlfn.ANCHORARRAY(E$81)),"growth rate","")</f>
        <v>growth rate</v>
      </c>
      <c r="F140" s="238" t="str">
        <v>growth rate</v>
      </c>
      <c r="G140" s="238" t="str">
        <v>growth rate</v>
      </c>
      <c r="H140" s="238" t="str">
        <v>growth rate</v>
      </c>
      <c r="I140" s="238" t="str">
        <v>growth rate</v>
      </c>
      <c r="J140" s="238" t="str">
        <v>growth rate</v>
      </c>
    </row>
    <row r="141" spans="1:13" ht="14.25" x14ac:dyDescent="0.45">
      <c r="A141" s="215">
        <v>1</v>
      </c>
      <c r="B141" s="228" t="s">
        <v>7</v>
      </c>
      <c r="C141" s="228" t="s">
        <v>775</v>
      </c>
      <c r="D141" s="249"/>
      <c r="E141">
        <v>-0.3</v>
      </c>
      <c r="F141">
        <v>1.4</v>
      </c>
      <c r="G141">
        <v>2.9</v>
      </c>
      <c r="H141" s="4">
        <v>1.6</v>
      </c>
      <c r="I141" s="4">
        <v>1.2</v>
      </c>
      <c r="J141" s="4">
        <v>1.1000000000000001</v>
      </c>
    </row>
    <row r="142" spans="1:13" ht="14.25" x14ac:dyDescent="0.45">
      <c r="A142" s="215">
        <v>2</v>
      </c>
      <c r="B142" s="228" t="s">
        <v>8</v>
      </c>
      <c r="C142" s="228"/>
      <c r="D142" s="249"/>
      <c r="E142">
        <v>5.4</v>
      </c>
      <c r="F142">
        <v>2.4</v>
      </c>
      <c r="G142">
        <v>2.5</v>
      </c>
      <c r="H142" s="4">
        <v>2.5</v>
      </c>
      <c r="I142" s="4">
        <v>2.5</v>
      </c>
      <c r="J142" s="4">
        <v>2.5</v>
      </c>
    </row>
    <row r="143" spans="1:13" x14ac:dyDescent="0.4">
      <c r="A143" s="215">
        <v>3</v>
      </c>
      <c r="B143" s="228" t="s">
        <v>9</v>
      </c>
      <c r="C143" s="228" t="s">
        <v>775</v>
      </c>
      <c r="D143" s="145">
        <v>40.299999999999997</v>
      </c>
      <c r="E143">
        <v>5.0999999999999996</v>
      </c>
      <c r="F143">
        <v>3.8</v>
      </c>
      <c r="G143">
        <v>5.5</v>
      </c>
      <c r="H143" s="4">
        <v>4.0999999999999996</v>
      </c>
      <c r="I143" s="4">
        <v>3.7</v>
      </c>
      <c r="J143" s="4">
        <v>3.6</v>
      </c>
    </row>
    <row r="144" spans="1:13" x14ac:dyDescent="0.4">
      <c r="A144" s="215"/>
      <c r="B144" s="215" t="s">
        <v>776</v>
      </c>
      <c r="C144" s="215"/>
      <c r="D144" s="238" t="s">
        <v>6</v>
      </c>
      <c r="E144" s="238" t="str" cm="1">
        <f t="array" ref="E144:J144">IF(ISNUMBER(_xlfn.ANCHORARRAY(E$81)),"growth rate","")</f>
        <v>growth rate</v>
      </c>
      <c r="F144" s="238" t="str">
        <v>growth rate</v>
      </c>
      <c r="G144" s="238" t="str">
        <v>growth rate</v>
      </c>
      <c r="H144" s="239" t="str">
        <v>growth rate</v>
      </c>
      <c r="I144" s="239" t="str">
        <v>growth rate</v>
      </c>
      <c r="J144" s="239" t="str">
        <v>growth rate</v>
      </c>
    </row>
    <row r="145" spans="1:10" ht="14.25" x14ac:dyDescent="0.45">
      <c r="A145" s="215">
        <v>4</v>
      </c>
      <c r="B145" s="228" t="s">
        <v>777</v>
      </c>
      <c r="C145" s="228" t="s">
        <v>778</v>
      </c>
      <c r="D145" s="249"/>
      <c r="E145">
        <v>-1.3</v>
      </c>
      <c r="F145">
        <v>1.6</v>
      </c>
      <c r="H145" s="4"/>
      <c r="I145" s="4"/>
      <c r="J145" s="4"/>
    </row>
    <row r="146" spans="1:10" ht="14.25" x14ac:dyDescent="0.45">
      <c r="A146" s="215">
        <v>5</v>
      </c>
      <c r="B146" s="228" t="s">
        <v>779</v>
      </c>
      <c r="C146" s="228" t="s">
        <v>778</v>
      </c>
      <c r="D146" s="249"/>
      <c r="E146">
        <v>7</v>
      </c>
      <c r="F146">
        <v>4.5999999999999996</v>
      </c>
      <c r="H146" s="4"/>
      <c r="I146" s="4"/>
      <c r="J146" s="4"/>
    </row>
    <row r="147" spans="1:10" ht="14.25" x14ac:dyDescent="0.45">
      <c r="A147" s="215">
        <v>6</v>
      </c>
      <c r="B147" s="228" t="s">
        <v>10</v>
      </c>
      <c r="C147" s="228" t="s">
        <v>4</v>
      </c>
      <c r="D147" s="249"/>
      <c r="E147">
        <v>4.0999999999999996</v>
      </c>
      <c r="F147">
        <v>0.2</v>
      </c>
      <c r="H147" s="4"/>
      <c r="I147" s="4"/>
      <c r="J147" s="4"/>
    </row>
    <row r="148" spans="1:10" ht="14.25" x14ac:dyDescent="0.45">
      <c r="A148" s="215">
        <v>7</v>
      </c>
      <c r="B148" s="228" t="s">
        <v>780</v>
      </c>
      <c r="C148" s="228" t="s">
        <v>781</v>
      </c>
      <c r="D148" s="249"/>
      <c r="E148" s="250"/>
      <c r="F148" s="250"/>
      <c r="G148" s="250"/>
      <c r="H148" s="251"/>
      <c r="I148" s="251"/>
      <c r="J148" s="251"/>
    </row>
    <row r="149" spans="1:10" ht="14.25" x14ac:dyDescent="0.45">
      <c r="A149" s="215">
        <v>8</v>
      </c>
      <c r="B149" s="228" t="s">
        <v>782</v>
      </c>
      <c r="C149" s="228" t="s">
        <v>783</v>
      </c>
      <c r="D149" s="249"/>
      <c r="E149">
        <v>-5.9</v>
      </c>
      <c r="F149">
        <v>0.3</v>
      </c>
      <c r="H149" s="4"/>
      <c r="I149" s="4"/>
      <c r="J149" s="4"/>
    </row>
    <row r="150" spans="1:10" ht="14.25" x14ac:dyDescent="0.45">
      <c r="A150" s="215">
        <v>9</v>
      </c>
      <c r="B150" s="228" t="s">
        <v>784</v>
      </c>
      <c r="C150" s="228" t="s">
        <v>785</v>
      </c>
      <c r="D150" s="249"/>
      <c r="E150">
        <v>-2.8</v>
      </c>
      <c r="F150">
        <v>1</v>
      </c>
      <c r="H150" s="4"/>
      <c r="I150" s="4"/>
      <c r="J150" s="4"/>
    </row>
    <row r="151" spans="1:10" x14ac:dyDescent="0.4">
      <c r="A151" s="215"/>
      <c r="B151" s="228" t="s">
        <v>786</v>
      </c>
      <c r="C151" s="228"/>
      <c r="D151" s="228"/>
      <c r="E151" s="228"/>
      <c r="F151" s="228"/>
      <c r="G151" s="228"/>
      <c r="H151" s="245"/>
      <c r="I151" s="245"/>
      <c r="J151" s="245"/>
    </row>
    <row r="152" spans="1:10" ht="14.25" x14ac:dyDescent="0.45">
      <c r="A152" s="215">
        <v>10</v>
      </c>
      <c r="B152" s="246" t="s">
        <v>787</v>
      </c>
      <c r="C152" s="228"/>
      <c r="D152" s="249"/>
      <c r="E152">
        <v>2.4</v>
      </c>
      <c r="F152">
        <v>2</v>
      </c>
      <c r="H152" s="4"/>
      <c r="I152" s="4"/>
      <c r="J152" s="4"/>
    </row>
    <row r="153" spans="1:10" ht="14.25" x14ac:dyDescent="0.45">
      <c r="A153" s="215">
        <v>11</v>
      </c>
      <c r="B153" s="246" t="s">
        <v>788</v>
      </c>
      <c r="C153" s="228" t="s">
        <v>781</v>
      </c>
      <c r="D153" s="249"/>
      <c r="E153">
        <v>-0.7</v>
      </c>
      <c r="F153">
        <v>0</v>
      </c>
      <c r="H153" s="4"/>
      <c r="I153" s="4"/>
      <c r="J153" s="4"/>
    </row>
    <row r="154" spans="1:10" ht="14.25" x14ac:dyDescent="0.45">
      <c r="A154" s="215">
        <v>12</v>
      </c>
      <c r="B154" s="246" t="s">
        <v>789</v>
      </c>
      <c r="C154" s="228" t="s">
        <v>790</v>
      </c>
      <c r="D154" s="249"/>
      <c r="E154">
        <v>-2</v>
      </c>
      <c r="F154">
        <v>-0.6</v>
      </c>
      <c r="H154" s="4"/>
      <c r="I154" s="4"/>
      <c r="J154" s="4"/>
    </row>
    <row r="155" spans="1:10" x14ac:dyDescent="0.4">
      <c r="A155" s="215"/>
      <c r="B155" s="215" t="s">
        <v>791</v>
      </c>
      <c r="C155" s="215"/>
      <c r="D155" s="238"/>
      <c r="E155" s="238" t="str" cm="1">
        <f t="array" ref="E155:J155">IF(ISNUMBER(_xlfn.ANCHORARRAY(E$81)),"growth rate","")</f>
        <v>growth rate</v>
      </c>
      <c r="F155" s="238" t="str">
        <v>growth rate</v>
      </c>
      <c r="G155" s="238" t="str">
        <v>growth rate</v>
      </c>
      <c r="H155" s="239" t="str">
        <v>growth rate</v>
      </c>
      <c r="I155" s="239" t="str">
        <v>growth rate</v>
      </c>
      <c r="J155" s="239" t="str">
        <v>growth rate</v>
      </c>
    </row>
    <row r="156" spans="1:10" ht="14.25" x14ac:dyDescent="0.45">
      <c r="A156" s="215">
        <v>13</v>
      </c>
      <c r="B156" s="228" t="s">
        <v>792</v>
      </c>
      <c r="C156" s="228"/>
      <c r="D156" s="249"/>
      <c r="E156">
        <v>8</v>
      </c>
      <c r="F156">
        <v>1</v>
      </c>
      <c r="H156" s="4"/>
      <c r="I156" s="4"/>
      <c r="J156" s="4"/>
    </row>
    <row r="157" spans="1:10" ht="14.25" x14ac:dyDescent="0.45">
      <c r="A157" s="215">
        <v>14</v>
      </c>
      <c r="B157" s="243" t="s">
        <v>793</v>
      </c>
      <c r="C157" s="228"/>
      <c r="D157" s="249"/>
      <c r="E157">
        <v>8.9</v>
      </c>
      <c r="F157">
        <v>1.2</v>
      </c>
      <c r="H157" s="4"/>
      <c r="I157" s="4"/>
      <c r="J157" s="4"/>
    </row>
    <row r="158" spans="1:10" ht="14.25" x14ac:dyDescent="0.45">
      <c r="A158" s="215">
        <v>15</v>
      </c>
      <c r="B158" s="228" t="s">
        <v>794</v>
      </c>
      <c r="C158" s="228"/>
      <c r="D158" s="249"/>
      <c r="E158">
        <v>0.6</v>
      </c>
      <c r="F158">
        <v>3.6</v>
      </c>
      <c r="H158" s="4"/>
      <c r="I158" s="4"/>
      <c r="J158" s="4"/>
    </row>
    <row r="159" spans="1:10" ht="14.25" x14ac:dyDescent="0.45">
      <c r="A159" s="215">
        <v>16</v>
      </c>
      <c r="B159" s="228" t="s">
        <v>795</v>
      </c>
      <c r="C159" s="228"/>
      <c r="D159" s="249"/>
      <c r="E159">
        <v>6.4</v>
      </c>
      <c r="F159">
        <v>3</v>
      </c>
      <c r="H159" s="4"/>
      <c r="I159" s="4"/>
      <c r="J159" s="4"/>
    </row>
    <row r="160" spans="1:10" ht="14.25" x14ac:dyDescent="0.45">
      <c r="A160" s="215">
        <v>17</v>
      </c>
      <c r="B160" s="228" t="s">
        <v>796</v>
      </c>
      <c r="C160" s="228"/>
      <c r="D160" s="249"/>
      <c r="E160">
        <v>-1.8</v>
      </c>
      <c r="F160">
        <v>1.5</v>
      </c>
      <c r="H160" s="4"/>
      <c r="I160" s="4"/>
      <c r="J160" s="4"/>
    </row>
    <row r="161" spans="1:10" ht="14.25" x14ac:dyDescent="0.45">
      <c r="A161" s="215">
        <v>18</v>
      </c>
      <c r="B161" s="228" t="s">
        <v>797</v>
      </c>
      <c r="C161" s="228"/>
      <c r="D161" s="249"/>
      <c r="E161">
        <v>-5.2</v>
      </c>
      <c r="F161">
        <v>0.7</v>
      </c>
      <c r="H161" s="4"/>
      <c r="I161" s="4"/>
      <c r="J161" s="4"/>
    </row>
    <row r="162" spans="1:10" x14ac:dyDescent="0.4">
      <c r="A162" s="215"/>
      <c r="B162" s="215" t="s">
        <v>798</v>
      </c>
      <c r="C162" s="215" t="s">
        <v>26</v>
      </c>
      <c r="D162" s="238" t="s">
        <v>799</v>
      </c>
      <c r="E162" s="238" t="str" cm="1">
        <f t="array" ref="E162:J162">IF(ISNUMBER(_xlfn.ANCHORARRAY(E$81)),"growth rate","")</f>
        <v>growth rate</v>
      </c>
      <c r="F162" s="238" t="str">
        <v>growth rate</v>
      </c>
      <c r="G162" s="238" t="str">
        <v>growth rate</v>
      </c>
      <c r="H162" s="239" t="str">
        <v>growth rate</v>
      </c>
      <c r="I162" s="239" t="str">
        <v>growth rate</v>
      </c>
      <c r="J162" s="239" t="str">
        <v>growth rate</v>
      </c>
    </row>
    <row r="163" spans="1:10" x14ac:dyDescent="0.4">
      <c r="A163" s="215">
        <v>19</v>
      </c>
      <c r="B163" s="228" t="s">
        <v>800</v>
      </c>
      <c r="C163" s="228"/>
      <c r="D163" s="145">
        <v>884</v>
      </c>
      <c r="E163" s="3">
        <v>-0.2</v>
      </c>
      <c r="F163">
        <v>0</v>
      </c>
      <c r="G163" s="3"/>
      <c r="H163" s="65"/>
      <c r="I163" s="65"/>
      <c r="J163" s="65"/>
    </row>
    <row r="164" spans="1:10" x14ac:dyDescent="0.4">
      <c r="A164" s="215">
        <v>20</v>
      </c>
      <c r="B164" s="228" t="s">
        <v>801</v>
      </c>
      <c r="C164" s="228"/>
      <c r="D164" s="145">
        <v>1862</v>
      </c>
      <c r="E164">
        <v>-0.4</v>
      </c>
      <c r="F164">
        <v>0</v>
      </c>
      <c r="H164" s="4"/>
      <c r="I164" s="4"/>
      <c r="J164" s="4"/>
    </row>
    <row r="165" spans="1:10" ht="14.25" x14ac:dyDescent="0.45">
      <c r="A165" s="215">
        <v>21</v>
      </c>
      <c r="B165" s="228" t="s">
        <v>802</v>
      </c>
      <c r="C165" s="228"/>
      <c r="D165" s="249"/>
      <c r="E165">
        <v>-0.1</v>
      </c>
      <c r="F165">
        <v>1.4</v>
      </c>
      <c r="H165" s="4"/>
      <c r="I165" s="4"/>
      <c r="J165" s="4"/>
    </row>
    <row r="166" spans="1:10" ht="14.25" x14ac:dyDescent="0.45">
      <c r="A166" s="215">
        <v>22</v>
      </c>
      <c r="B166" s="228" t="s">
        <v>803</v>
      </c>
      <c r="C166" s="228"/>
      <c r="D166" s="249"/>
      <c r="E166">
        <v>0.3</v>
      </c>
      <c r="F166">
        <v>1.4</v>
      </c>
      <c r="H166" s="4"/>
      <c r="I166" s="4"/>
      <c r="J166" s="4"/>
    </row>
    <row r="167" spans="1:10" x14ac:dyDescent="0.4">
      <c r="A167" s="215">
        <v>23</v>
      </c>
      <c r="B167" s="228" t="s">
        <v>804</v>
      </c>
      <c r="C167" s="228" t="s">
        <v>5</v>
      </c>
      <c r="D167" s="145">
        <v>20.6</v>
      </c>
      <c r="E167">
        <v>12.7</v>
      </c>
      <c r="F167">
        <v>6.7</v>
      </c>
      <c r="H167" s="4"/>
      <c r="I167" s="4"/>
      <c r="J167" s="4"/>
    </row>
    <row r="168" spans="1:10" x14ac:dyDescent="0.4">
      <c r="A168" s="215">
        <v>24</v>
      </c>
      <c r="B168" s="228" t="s">
        <v>805</v>
      </c>
      <c r="C168" s="228"/>
      <c r="D168">
        <v>23298</v>
      </c>
      <c r="E168">
        <v>13</v>
      </c>
      <c r="F168">
        <v>6.7</v>
      </c>
      <c r="H168" s="4"/>
      <c r="I168" s="4"/>
      <c r="J168" s="4"/>
    </row>
    <row r="169" spans="1:10" x14ac:dyDescent="0.4">
      <c r="A169" s="215"/>
      <c r="B169" s="215"/>
      <c r="C169" s="215"/>
      <c r="D169" s="238"/>
      <c r="E169" s="238" t="str" cm="1">
        <f t="array" ref="E169:J169">IF(ISNUMBER(_xlfn.ANCHORARRAY(E$81)),"%","")</f>
        <v>%</v>
      </c>
      <c r="F169" s="238" t="str">
        <v>%</v>
      </c>
      <c r="G169" s="238" t="str">
        <v>%</v>
      </c>
      <c r="H169" s="239" t="str">
        <v>%</v>
      </c>
      <c r="I169" s="239" t="str">
        <v>%</v>
      </c>
      <c r="J169" s="239" t="str">
        <v>%</v>
      </c>
    </row>
    <row r="170" spans="1:10" ht="14.25" x14ac:dyDescent="0.45">
      <c r="A170" s="215">
        <v>25</v>
      </c>
      <c r="B170" s="228" t="s">
        <v>806</v>
      </c>
      <c r="C170" s="228"/>
      <c r="D170" s="249"/>
      <c r="E170">
        <v>6.5</v>
      </c>
      <c r="F170">
        <v>6.7</v>
      </c>
      <c r="H170" s="4"/>
      <c r="I170" s="4"/>
      <c r="J170" s="4"/>
    </row>
    <row r="171" spans="1:10" x14ac:dyDescent="0.4">
      <c r="A171" s="215"/>
      <c r="B171" s="215" t="s">
        <v>807</v>
      </c>
      <c r="C171" s="215"/>
      <c r="D171" s="238"/>
      <c r="E171" s="238" t="str" cm="1">
        <f t="array" ref="E171:J171">IF(ISNUMBER(_xlfn.ANCHORARRAY(E$81)),"growth rate","")</f>
        <v>growth rate</v>
      </c>
      <c r="F171" s="238" t="str">
        <v>growth rate</v>
      </c>
      <c r="G171" s="238" t="str">
        <v>growth rate</v>
      </c>
      <c r="H171" s="239" t="str">
        <v>growth rate</v>
      </c>
      <c r="I171" s="239" t="str">
        <v>growth rate</v>
      </c>
      <c r="J171" s="239" t="str">
        <v>growth rate</v>
      </c>
    </row>
    <row r="172" spans="1:10" ht="14.25" x14ac:dyDescent="0.45">
      <c r="A172" s="215">
        <v>26</v>
      </c>
      <c r="B172" s="228" t="s">
        <v>808</v>
      </c>
      <c r="C172" s="228"/>
      <c r="D172" s="249"/>
      <c r="E172">
        <v>2.2999999999999998</v>
      </c>
      <c r="F172">
        <v>2.2000000000000002</v>
      </c>
      <c r="G172">
        <v>2.1</v>
      </c>
      <c r="H172" s="4">
        <v>1.2</v>
      </c>
      <c r="I172" s="4">
        <v>0.9</v>
      </c>
      <c r="J172" s="4">
        <v>0.9</v>
      </c>
    </row>
    <row r="173" spans="1:10" x14ac:dyDescent="0.4">
      <c r="A173" s="215"/>
      <c r="B173" s="228" t="s">
        <v>809</v>
      </c>
      <c r="C173" s="228"/>
      <c r="D173" s="228"/>
      <c r="E173" s="228"/>
      <c r="F173" s="228"/>
      <c r="G173" s="228"/>
      <c r="H173" s="245"/>
      <c r="I173" s="245"/>
      <c r="J173" s="245"/>
    </row>
    <row r="174" spans="1:10" ht="14.25" x14ac:dyDescent="0.45">
      <c r="A174" s="215">
        <v>27</v>
      </c>
      <c r="B174" s="243" t="s">
        <v>810</v>
      </c>
      <c r="C174" s="228"/>
      <c r="D174" s="249"/>
      <c r="E174">
        <v>0</v>
      </c>
      <c r="F174">
        <v>0.1</v>
      </c>
      <c r="H174" s="4"/>
      <c r="I174" s="4"/>
      <c r="J174" s="4"/>
    </row>
    <row r="175" spans="1:10" ht="14.25" x14ac:dyDescent="0.45">
      <c r="A175" s="215">
        <v>28</v>
      </c>
      <c r="B175" s="243" t="s">
        <v>811</v>
      </c>
      <c r="C175" s="228"/>
      <c r="D175" s="249"/>
      <c r="E175">
        <v>0.9</v>
      </c>
      <c r="F175">
        <v>0.8</v>
      </c>
      <c r="H175" s="4"/>
      <c r="I175" s="4"/>
      <c r="J175" s="4"/>
    </row>
    <row r="176" spans="1:10" ht="14.25" x14ac:dyDescent="0.45">
      <c r="A176" s="215">
        <v>29</v>
      </c>
      <c r="B176" s="243" t="s">
        <v>812</v>
      </c>
      <c r="C176" s="228"/>
      <c r="D176" s="249"/>
      <c r="E176">
        <v>1.4</v>
      </c>
      <c r="F176">
        <v>1.4</v>
      </c>
      <c r="H176" s="4"/>
      <c r="I176" s="4"/>
      <c r="J176" s="4"/>
    </row>
    <row r="177" spans="1:23" x14ac:dyDescent="0.4">
      <c r="A177" s="215"/>
      <c r="B177" s="215"/>
      <c r="C177" s="215"/>
      <c r="D177" s="238"/>
      <c r="E177" s="64" t="str" cm="1">
        <f t="array" ref="E177:J177">IF(ISNUMBER(_xlfn.ANCHORARRAY(E$81)),"% pot. GDP","")</f>
        <v>% pot. GDP</v>
      </c>
      <c r="F177" s="238" t="str">
        <v>% pot. GDP</v>
      </c>
      <c r="G177" s="238" t="str">
        <v>% pot. GDP</v>
      </c>
      <c r="H177" s="239" t="str">
        <v>% pot. GDP</v>
      </c>
      <c r="I177" s="239" t="str">
        <v>% pot. GDP</v>
      </c>
      <c r="J177" s="239" t="str">
        <v>% pot. GDP</v>
      </c>
    </row>
    <row r="178" spans="1:23" ht="14.25" x14ac:dyDescent="0.45">
      <c r="A178" s="215">
        <v>30</v>
      </c>
      <c r="B178" s="228" t="s">
        <v>89</v>
      </c>
      <c r="C178" s="228"/>
      <c r="D178" s="249"/>
      <c r="E178" s="4">
        <v>-1</v>
      </c>
      <c r="F178">
        <v>-1.8</v>
      </c>
      <c r="G178">
        <v>-1</v>
      </c>
      <c r="H178" s="4">
        <v>-0.7</v>
      </c>
      <c r="I178" s="4">
        <v>-0.5</v>
      </c>
      <c r="J178" s="4">
        <v>-0.4</v>
      </c>
    </row>
    <row r="181" spans="1:23" s="192" customFormat="1" ht="23.25" x14ac:dyDescent="0.6">
      <c r="A181" s="190" t="s">
        <v>882</v>
      </c>
      <c r="B181" s="191"/>
      <c r="C181" s="191"/>
      <c r="D181" s="191"/>
      <c r="E181" s="191"/>
      <c r="F181" s="191"/>
      <c r="G181" s="191"/>
      <c r="H181" s="191"/>
      <c r="I181" s="191"/>
    </row>
    <row r="182" spans="1:23" x14ac:dyDescent="0.4">
      <c r="A182" s="193"/>
      <c r="B182" s="194"/>
      <c r="C182" s="195" t="s">
        <v>883</v>
      </c>
      <c r="D182" s="196"/>
      <c r="E182" s="196">
        <v>2023</v>
      </c>
      <c r="F182" s="196">
        <v>2024</v>
      </c>
      <c r="G182" s="196">
        <v>2025</v>
      </c>
      <c r="H182" s="196">
        <v>2026</v>
      </c>
      <c r="I182" s="196">
        <v>2027</v>
      </c>
      <c r="J182" s="196">
        <v>2028</v>
      </c>
      <c r="K182" s="196">
        <v>2029</v>
      </c>
      <c r="L182" s="196">
        <v>2030</v>
      </c>
      <c r="M182" s="196">
        <v>2031</v>
      </c>
      <c r="N182" s="196">
        <v>2032</v>
      </c>
      <c r="O182" s="196">
        <v>2033</v>
      </c>
      <c r="P182" s="196">
        <v>2034</v>
      </c>
      <c r="Q182" s="196">
        <v>2035</v>
      </c>
      <c r="R182" s="196">
        <v>2036</v>
      </c>
      <c r="S182" s="196">
        <v>2037</v>
      </c>
      <c r="T182" s="196">
        <v>2038</v>
      </c>
      <c r="U182" s="196">
        <v>2039</v>
      </c>
      <c r="V182" s="196">
        <v>2040</v>
      </c>
      <c r="W182" s="196">
        <v>2041</v>
      </c>
    </row>
    <row r="183" spans="1:23" x14ac:dyDescent="0.4">
      <c r="A183" s="197">
        <v>1</v>
      </c>
      <c r="B183" s="198" t="s">
        <v>1</v>
      </c>
      <c r="C183" s="199" t="s">
        <v>884</v>
      </c>
      <c r="D183" s="199" t="s">
        <v>885</v>
      </c>
      <c r="E183" s="200">
        <v>43.6</v>
      </c>
      <c r="F183" s="200">
        <v>45.8</v>
      </c>
      <c r="G183" s="200">
        <v>47.5</v>
      </c>
      <c r="H183" s="200">
        <v>48.5</v>
      </c>
      <c r="I183" s="200">
        <v>49.7</v>
      </c>
      <c r="J183" s="200">
        <v>50.8</v>
      </c>
      <c r="K183" s="201">
        <v>51.9</v>
      </c>
      <c r="L183" s="201">
        <v>53</v>
      </c>
      <c r="M183" s="201">
        <v>53.9</v>
      </c>
      <c r="N183" s="201">
        <v>54.9</v>
      </c>
      <c r="O183" s="201">
        <v>55.9</v>
      </c>
      <c r="P183" s="201">
        <v>56.8</v>
      </c>
      <c r="Q183" s="201">
        <v>57.7</v>
      </c>
      <c r="R183" s="201">
        <v>58.5</v>
      </c>
      <c r="S183" s="201">
        <v>59.2</v>
      </c>
      <c r="T183" s="201">
        <v>59.9</v>
      </c>
      <c r="U183" s="201"/>
      <c r="V183" s="201"/>
      <c r="W183" s="201"/>
    </row>
    <row r="184" spans="1:23" x14ac:dyDescent="0.4">
      <c r="A184" s="197">
        <v>2</v>
      </c>
      <c r="B184" s="198" t="s">
        <v>886</v>
      </c>
      <c r="C184" s="199" t="s">
        <v>887</v>
      </c>
      <c r="D184" s="199" t="s">
        <v>885</v>
      </c>
      <c r="E184" s="200">
        <v>-2.2000000000000002</v>
      </c>
      <c r="F184" s="200">
        <v>-2.6</v>
      </c>
      <c r="G184" s="200">
        <v>-2.9</v>
      </c>
      <c r="H184" s="200">
        <v>-2.9</v>
      </c>
      <c r="I184" s="200">
        <v>-2.9</v>
      </c>
      <c r="J184" s="200">
        <v>-2.9</v>
      </c>
      <c r="K184" s="201">
        <v>-2.9</v>
      </c>
      <c r="L184" s="201">
        <v>-2.9</v>
      </c>
      <c r="M184" s="201">
        <v>-2.9</v>
      </c>
      <c r="N184" s="201">
        <v>-3</v>
      </c>
      <c r="O184" s="201">
        <v>-3</v>
      </c>
      <c r="P184" s="201">
        <v>-3</v>
      </c>
      <c r="Q184" s="201">
        <v>-3</v>
      </c>
      <c r="R184" s="201">
        <v>-3</v>
      </c>
      <c r="S184" s="201">
        <v>-3</v>
      </c>
      <c r="T184" s="201">
        <v>-2.9</v>
      </c>
      <c r="U184" s="201"/>
      <c r="V184" s="201"/>
      <c r="W184" s="201"/>
    </row>
    <row r="185" spans="1:23" x14ac:dyDescent="0.4">
      <c r="A185" s="197">
        <v>3</v>
      </c>
      <c r="B185" s="198" t="s">
        <v>3</v>
      </c>
      <c r="C185" s="199" t="s">
        <v>888</v>
      </c>
      <c r="D185" s="199" t="s">
        <v>889</v>
      </c>
      <c r="E185" s="200">
        <v>-1.2</v>
      </c>
      <c r="F185" s="200">
        <v>-0.8</v>
      </c>
      <c r="G185" s="200">
        <v>-1.3</v>
      </c>
      <c r="H185" s="200">
        <v>-1.3</v>
      </c>
      <c r="I185" s="200">
        <v>-1.3</v>
      </c>
      <c r="J185" s="200">
        <v>-1.3</v>
      </c>
      <c r="K185" s="201">
        <v>-1.3</v>
      </c>
      <c r="L185" s="201">
        <v>-1.3</v>
      </c>
      <c r="M185" s="201">
        <v>-1.3</v>
      </c>
      <c r="N185" s="201">
        <v>-1.3</v>
      </c>
      <c r="O185" s="201">
        <v>-1.3</v>
      </c>
      <c r="P185" s="201">
        <v>-1.3</v>
      </c>
      <c r="Q185" s="201">
        <v>-1.3</v>
      </c>
      <c r="R185" s="201">
        <v>-1.3</v>
      </c>
      <c r="S185" s="201">
        <v>-1.3</v>
      </c>
      <c r="T185" s="201">
        <v>-1.3</v>
      </c>
      <c r="U185" s="201"/>
      <c r="V185" s="201"/>
      <c r="W185" s="201"/>
    </row>
    <row r="186" spans="1:23" x14ac:dyDescent="0.4">
      <c r="A186" s="197">
        <v>4</v>
      </c>
      <c r="B186" s="198" t="s">
        <v>890</v>
      </c>
      <c r="C186" s="199"/>
      <c r="D186" s="199" t="s">
        <v>889</v>
      </c>
      <c r="E186" s="200">
        <v>0.4</v>
      </c>
      <c r="F186" s="200">
        <v>0.7</v>
      </c>
      <c r="G186" s="200">
        <v>0.4</v>
      </c>
      <c r="H186" s="200">
        <v>0.3</v>
      </c>
      <c r="I186" s="200">
        <v>0.2</v>
      </c>
      <c r="J186" s="200">
        <v>0.1</v>
      </c>
      <c r="K186" s="201">
        <v>0.1</v>
      </c>
      <c r="L186" s="201">
        <v>0</v>
      </c>
      <c r="M186" s="201">
        <v>0</v>
      </c>
      <c r="N186" s="201">
        <v>0</v>
      </c>
      <c r="O186" s="201">
        <v>0</v>
      </c>
      <c r="P186" s="201">
        <v>0</v>
      </c>
      <c r="Q186" s="201">
        <v>0</v>
      </c>
      <c r="R186" s="201">
        <v>0</v>
      </c>
      <c r="S186" s="201">
        <v>0</v>
      </c>
      <c r="T186" s="201">
        <v>0</v>
      </c>
      <c r="U186" s="201"/>
      <c r="V186" s="201"/>
      <c r="W186" s="201"/>
    </row>
    <row r="187" spans="1:23" x14ac:dyDescent="0.4">
      <c r="A187" s="197">
        <v>5</v>
      </c>
      <c r="B187" s="198" t="s">
        <v>891</v>
      </c>
      <c r="C187" s="199"/>
      <c r="D187" s="199" t="s">
        <v>885</v>
      </c>
      <c r="E187" s="200">
        <v>0</v>
      </c>
      <c r="F187" s="200">
        <v>0</v>
      </c>
      <c r="G187" s="200">
        <v>0</v>
      </c>
      <c r="H187" s="200">
        <v>0</v>
      </c>
      <c r="I187" s="200">
        <v>0</v>
      </c>
      <c r="J187" s="200">
        <v>0</v>
      </c>
      <c r="K187" s="200">
        <v>0</v>
      </c>
      <c r="L187" s="200">
        <v>0</v>
      </c>
      <c r="M187" s="200">
        <v>0</v>
      </c>
      <c r="N187" s="200">
        <v>0</v>
      </c>
      <c r="O187" s="200">
        <v>0</v>
      </c>
      <c r="P187" s="200">
        <v>0</v>
      </c>
      <c r="Q187" s="200">
        <v>0</v>
      </c>
      <c r="R187" s="200">
        <v>0</v>
      </c>
      <c r="S187" s="200">
        <v>0</v>
      </c>
      <c r="T187" s="200">
        <v>0</v>
      </c>
      <c r="U187" s="200"/>
      <c r="V187" s="200"/>
      <c r="W187" s="200"/>
    </row>
    <row r="188" spans="1:23" x14ac:dyDescent="0.4">
      <c r="A188" s="197">
        <v>6</v>
      </c>
      <c r="B188" s="198" t="s">
        <v>25</v>
      </c>
      <c r="C188" s="199" t="s">
        <v>892</v>
      </c>
      <c r="D188" s="199" t="s">
        <v>885</v>
      </c>
      <c r="E188" s="200">
        <v>0.6</v>
      </c>
      <c r="F188" s="200">
        <v>1.1000000000000001</v>
      </c>
      <c r="G188" s="200">
        <v>1.2</v>
      </c>
      <c r="H188" s="200">
        <v>1.3</v>
      </c>
      <c r="I188" s="200">
        <v>1.4</v>
      </c>
      <c r="J188" s="200">
        <v>1.5</v>
      </c>
      <c r="K188" s="201">
        <v>1.6</v>
      </c>
      <c r="L188" s="201">
        <v>1.6</v>
      </c>
      <c r="M188" s="201">
        <v>1.7</v>
      </c>
      <c r="N188" s="201">
        <v>1.8</v>
      </c>
      <c r="O188" s="201">
        <v>1.9</v>
      </c>
      <c r="P188" s="201">
        <v>1.9</v>
      </c>
      <c r="Q188" s="201">
        <v>2</v>
      </c>
      <c r="R188" s="201">
        <v>2</v>
      </c>
      <c r="S188" s="201">
        <v>2.1</v>
      </c>
      <c r="T188" s="201">
        <v>2.1</v>
      </c>
      <c r="U188" s="201"/>
      <c r="V188" s="201"/>
      <c r="W188" s="201"/>
    </row>
    <row r="189" spans="1:23" x14ac:dyDescent="0.4">
      <c r="A189" s="197">
        <v>7</v>
      </c>
      <c r="B189" s="202" t="s">
        <v>893</v>
      </c>
      <c r="C189" s="199" t="s">
        <v>894</v>
      </c>
      <c r="D189" s="199" t="s">
        <v>895</v>
      </c>
      <c r="E189" s="200">
        <v>3.9</v>
      </c>
      <c r="F189" s="200">
        <v>3.5</v>
      </c>
      <c r="G189" s="200">
        <v>3.6</v>
      </c>
      <c r="H189" s="200">
        <v>3.7</v>
      </c>
      <c r="I189" s="200">
        <v>3.7</v>
      </c>
      <c r="J189" s="200">
        <v>3.8</v>
      </c>
      <c r="K189" s="201">
        <v>3.8</v>
      </c>
      <c r="L189" s="201">
        <v>3.8</v>
      </c>
      <c r="M189" s="201">
        <v>3.9</v>
      </c>
      <c r="N189" s="201">
        <v>3.9</v>
      </c>
      <c r="O189" s="201">
        <v>4</v>
      </c>
      <c r="P189" s="201">
        <v>4</v>
      </c>
      <c r="Q189" s="201">
        <v>4</v>
      </c>
      <c r="R189" s="201">
        <v>4</v>
      </c>
      <c r="S189" s="201">
        <v>4</v>
      </c>
      <c r="T189" s="201">
        <v>4</v>
      </c>
      <c r="U189" s="201"/>
      <c r="V189" s="201"/>
      <c r="W189" s="201"/>
    </row>
    <row r="190" spans="1:23" x14ac:dyDescent="0.4">
      <c r="A190" s="197">
        <v>8</v>
      </c>
      <c r="B190" s="202" t="s">
        <v>896</v>
      </c>
      <c r="C190" s="199" t="s">
        <v>897</v>
      </c>
      <c r="D190" s="199" t="s">
        <v>895</v>
      </c>
      <c r="E190" s="200">
        <v>3.8</v>
      </c>
      <c r="F190" s="200">
        <v>3.5</v>
      </c>
      <c r="G190" s="200">
        <v>2.8</v>
      </c>
      <c r="H190" s="200">
        <v>2.8</v>
      </c>
      <c r="I190" s="200">
        <v>2.8</v>
      </c>
      <c r="J190" s="200">
        <v>2.8</v>
      </c>
      <c r="K190" s="201">
        <v>2.8</v>
      </c>
      <c r="L190" s="201">
        <v>2.8</v>
      </c>
      <c r="M190" s="201">
        <v>2.7</v>
      </c>
      <c r="N190" s="201">
        <v>2.7</v>
      </c>
      <c r="O190" s="201">
        <v>2.7</v>
      </c>
      <c r="P190" s="201">
        <v>2.7</v>
      </c>
      <c r="Q190" s="201">
        <v>2.7</v>
      </c>
      <c r="R190" s="201">
        <v>2.6</v>
      </c>
      <c r="S190" s="201">
        <v>2.6</v>
      </c>
      <c r="T190" s="201">
        <v>2.5</v>
      </c>
      <c r="U190" s="201"/>
      <c r="V190" s="201"/>
      <c r="W190" s="201"/>
    </row>
    <row r="191" spans="1:23" x14ac:dyDescent="0.4">
      <c r="A191" s="197">
        <v>9</v>
      </c>
      <c r="B191" s="198" t="s">
        <v>898</v>
      </c>
      <c r="C191" s="199" t="s">
        <v>899</v>
      </c>
      <c r="D191" s="199" t="s">
        <v>895</v>
      </c>
      <c r="E191" s="200">
        <v>1.6</v>
      </c>
      <c r="F191" s="200">
        <v>2.6</v>
      </c>
      <c r="G191" s="200">
        <v>2.7</v>
      </c>
      <c r="H191" s="200">
        <v>2.9</v>
      </c>
      <c r="I191" s="200">
        <v>3</v>
      </c>
      <c r="J191" s="200">
        <v>3.1</v>
      </c>
      <c r="K191" s="200">
        <v>3.2</v>
      </c>
      <c r="L191" s="200">
        <v>3.3</v>
      </c>
      <c r="M191" s="200">
        <v>3.4</v>
      </c>
      <c r="N191" s="200">
        <v>3.4</v>
      </c>
      <c r="O191" s="200">
        <v>3.5</v>
      </c>
      <c r="P191" s="200">
        <v>3.6</v>
      </c>
      <c r="Q191" s="200">
        <v>3.6</v>
      </c>
      <c r="R191" s="200">
        <v>3.7</v>
      </c>
      <c r="S191" s="200">
        <v>3.7</v>
      </c>
      <c r="T191" s="200">
        <v>3.7</v>
      </c>
      <c r="U191" s="200"/>
      <c r="V191" s="200"/>
      <c r="W191" s="200"/>
    </row>
    <row r="192" spans="1:23" x14ac:dyDescent="0.4">
      <c r="A192" s="197">
        <v>10</v>
      </c>
      <c r="B192" s="198" t="s">
        <v>900</v>
      </c>
      <c r="C192" s="199" t="s">
        <v>901</v>
      </c>
      <c r="D192" s="199" t="s">
        <v>885</v>
      </c>
      <c r="E192" s="200">
        <v>1.6</v>
      </c>
      <c r="F192" s="200">
        <v>1.3</v>
      </c>
      <c r="G192" s="200">
        <v>1</v>
      </c>
      <c r="H192" s="200">
        <v>0</v>
      </c>
      <c r="I192" s="200">
        <v>0</v>
      </c>
      <c r="J192" s="200">
        <v>0</v>
      </c>
      <c r="K192" s="201">
        <v>0</v>
      </c>
      <c r="L192" s="201">
        <v>0</v>
      </c>
      <c r="M192" s="201">
        <v>0</v>
      </c>
      <c r="N192" s="201">
        <v>0</v>
      </c>
      <c r="O192" s="201">
        <v>0</v>
      </c>
      <c r="P192" s="201">
        <v>0</v>
      </c>
      <c r="Q192" s="201">
        <v>0</v>
      </c>
      <c r="R192" s="201">
        <v>0</v>
      </c>
      <c r="S192" s="201">
        <v>0</v>
      </c>
      <c r="T192" s="201">
        <v>0</v>
      </c>
      <c r="U192" s="201"/>
      <c r="V192" s="201"/>
      <c r="W192" s="201"/>
    </row>
    <row r="193" spans="1:23" x14ac:dyDescent="0.4">
      <c r="A193" s="197">
        <v>11</v>
      </c>
      <c r="B193" s="203" t="s">
        <v>902</v>
      </c>
      <c r="C193" s="199" t="s">
        <v>903</v>
      </c>
      <c r="D193" s="199" t="s">
        <v>904</v>
      </c>
      <c r="E193" s="200">
        <v>2.2999999999999998</v>
      </c>
      <c r="F193" s="200">
        <v>2.2000000000000002</v>
      </c>
      <c r="G193" s="200">
        <v>2.1</v>
      </c>
      <c r="H193" s="200">
        <v>1.2</v>
      </c>
      <c r="I193" s="200">
        <v>0.9</v>
      </c>
      <c r="J193" s="200">
        <v>0.9</v>
      </c>
      <c r="K193" s="201">
        <v>1</v>
      </c>
      <c r="L193" s="201">
        <v>1.1000000000000001</v>
      </c>
      <c r="M193" s="201">
        <v>1.2</v>
      </c>
      <c r="N193" s="201">
        <v>1.2</v>
      </c>
      <c r="O193" s="201">
        <v>1.3</v>
      </c>
      <c r="P193" s="201">
        <v>1.3</v>
      </c>
      <c r="Q193" s="201">
        <v>1.4</v>
      </c>
      <c r="R193" s="201">
        <v>1.5</v>
      </c>
      <c r="S193" s="201">
        <v>1.5</v>
      </c>
      <c r="T193" s="201">
        <v>1.4</v>
      </c>
      <c r="U193" s="201"/>
      <c r="V193" s="201"/>
      <c r="W193" s="201"/>
    </row>
    <row r="194" spans="1:23" x14ac:dyDescent="0.4">
      <c r="A194" s="197">
        <v>12</v>
      </c>
      <c r="B194" s="203" t="s">
        <v>7</v>
      </c>
      <c r="C194" s="199" t="s">
        <v>905</v>
      </c>
      <c r="D194" s="199" t="s">
        <v>904</v>
      </c>
      <c r="E194" s="200">
        <v>-0.3</v>
      </c>
      <c r="F194" s="200">
        <v>1.4</v>
      </c>
      <c r="G194" s="200">
        <v>2.9</v>
      </c>
      <c r="H194" s="200">
        <v>1.6</v>
      </c>
      <c r="I194" s="200">
        <v>1.2</v>
      </c>
      <c r="J194" s="200">
        <v>1.1000000000000001</v>
      </c>
      <c r="K194" s="201">
        <v>1.2</v>
      </c>
      <c r="L194" s="201">
        <v>1.2</v>
      </c>
      <c r="M194" s="201">
        <v>1.3</v>
      </c>
      <c r="N194" s="201">
        <v>1.2</v>
      </c>
      <c r="O194" s="201">
        <v>1.3</v>
      </c>
      <c r="P194" s="201">
        <v>1.3</v>
      </c>
      <c r="Q194" s="201">
        <v>1.4</v>
      </c>
      <c r="R194" s="201">
        <v>1.5</v>
      </c>
      <c r="S194" s="201">
        <v>1.5</v>
      </c>
      <c r="T194" s="201">
        <v>1.4</v>
      </c>
      <c r="U194" s="201"/>
      <c r="V194" s="201"/>
      <c r="W194" s="201"/>
    </row>
    <row r="195" spans="1:23" x14ac:dyDescent="0.4">
      <c r="A195" s="197">
        <v>13</v>
      </c>
      <c r="B195" s="204" t="s">
        <v>8</v>
      </c>
      <c r="C195" s="199" t="s">
        <v>906</v>
      </c>
      <c r="D195" s="199" t="s">
        <v>904</v>
      </c>
      <c r="E195" s="200">
        <v>5.4</v>
      </c>
      <c r="F195" s="200">
        <v>2.4</v>
      </c>
      <c r="G195" s="200">
        <v>2.5</v>
      </c>
      <c r="H195" s="200">
        <v>2.5</v>
      </c>
      <c r="I195" s="200">
        <v>2.5</v>
      </c>
      <c r="J195" s="200">
        <v>2.5</v>
      </c>
      <c r="K195" s="201">
        <v>2.5</v>
      </c>
      <c r="L195" s="201">
        <v>2.5</v>
      </c>
      <c r="M195" s="201">
        <v>2.5</v>
      </c>
      <c r="N195" s="201">
        <v>2.5</v>
      </c>
      <c r="O195" s="201">
        <v>2.6</v>
      </c>
      <c r="P195" s="201">
        <v>2.5</v>
      </c>
      <c r="Q195" s="201">
        <v>2.5</v>
      </c>
      <c r="R195" s="201">
        <v>2.5</v>
      </c>
      <c r="S195" s="201">
        <v>2.4</v>
      </c>
      <c r="T195" s="201">
        <v>2.4</v>
      </c>
      <c r="U195" s="201"/>
      <c r="V195" s="201"/>
      <c r="W195" s="201"/>
    </row>
    <row r="196" spans="1:23" x14ac:dyDescent="0.4">
      <c r="A196" s="205">
        <v>14</v>
      </c>
      <c r="B196" s="206" t="s">
        <v>9</v>
      </c>
      <c r="C196" s="207" t="s">
        <v>907</v>
      </c>
      <c r="D196" s="207" t="s">
        <v>904</v>
      </c>
      <c r="E196" s="208">
        <v>5.0999999999999996</v>
      </c>
      <c r="F196" s="208">
        <v>3.8</v>
      </c>
      <c r="G196" s="208">
        <v>5.5</v>
      </c>
      <c r="H196" s="208">
        <v>4.0999999999999996</v>
      </c>
      <c r="I196" s="208">
        <v>3.7</v>
      </c>
      <c r="J196" s="208">
        <v>3.6</v>
      </c>
      <c r="K196" s="208">
        <v>3.7</v>
      </c>
      <c r="L196" s="208">
        <v>3.8</v>
      </c>
      <c r="M196" s="208">
        <v>3.8</v>
      </c>
      <c r="N196" s="208">
        <v>3.8</v>
      </c>
      <c r="O196" s="208">
        <v>3.9</v>
      </c>
      <c r="P196" s="208">
        <v>3.9</v>
      </c>
      <c r="Q196" s="208">
        <v>3.9</v>
      </c>
      <c r="R196" s="208">
        <v>4</v>
      </c>
      <c r="S196" s="208">
        <v>4</v>
      </c>
      <c r="T196" s="208">
        <v>3.9</v>
      </c>
      <c r="U196" s="208"/>
      <c r="V196" s="208"/>
      <c r="W196" s="208"/>
    </row>
    <row r="197" spans="1:23" x14ac:dyDescent="0.4">
      <c r="H197" s="209"/>
      <c r="I197" s="209"/>
      <c r="J197" s="210"/>
      <c r="K197" s="210"/>
      <c r="L197" s="210"/>
      <c r="M197" s="210"/>
      <c r="N197" s="210"/>
      <c r="O197" s="210"/>
      <c r="P197" s="210"/>
      <c r="Q197" s="210"/>
      <c r="R197" s="210"/>
      <c r="S197" s="210"/>
      <c r="T197" s="210"/>
      <c r="U197" s="210"/>
      <c r="V197" s="210"/>
      <c r="W197" s="210"/>
    </row>
    <row r="198" spans="1:23" ht="23.25" x14ac:dyDescent="0.4">
      <c r="A198" s="190" t="s">
        <v>908</v>
      </c>
      <c r="B198" s="209"/>
      <c r="C198" s="209"/>
      <c r="D198" s="209"/>
      <c r="E198" s="209"/>
      <c r="F198" s="209"/>
      <c r="G198" s="209"/>
      <c r="H198" s="209"/>
      <c r="I198" s="209"/>
      <c r="J198" s="210"/>
      <c r="K198" s="210"/>
      <c r="L198" s="210"/>
      <c r="M198" s="210"/>
      <c r="N198" s="210"/>
      <c r="O198" s="210"/>
      <c r="P198" s="210"/>
      <c r="Q198" s="210"/>
      <c r="R198" s="210"/>
      <c r="S198" s="210"/>
      <c r="T198" s="210"/>
      <c r="U198" s="210"/>
      <c r="V198" s="210"/>
      <c r="W198" s="210"/>
    </row>
    <row r="199" spans="1:23" x14ac:dyDescent="0.4">
      <c r="A199" s="193"/>
      <c r="B199" s="194" t="s">
        <v>207</v>
      </c>
      <c r="C199" s="194"/>
      <c r="D199" s="196"/>
      <c r="E199" s="196">
        <v>2023</v>
      </c>
      <c r="F199" s="196">
        <v>2024</v>
      </c>
      <c r="G199" s="196">
        <v>2025</v>
      </c>
      <c r="H199" s="196">
        <v>2026</v>
      </c>
      <c r="I199" s="196">
        <v>2027</v>
      </c>
      <c r="J199" s="196">
        <v>2028</v>
      </c>
      <c r="K199" s="196">
        <v>2029</v>
      </c>
      <c r="L199" s="196">
        <v>2030</v>
      </c>
      <c r="M199" s="196">
        <v>2031</v>
      </c>
      <c r="N199" s="196">
        <v>2032</v>
      </c>
      <c r="O199" s="196">
        <v>2033</v>
      </c>
      <c r="P199" s="196">
        <v>2034</v>
      </c>
      <c r="Q199" s="196">
        <v>2035</v>
      </c>
      <c r="R199" s="196">
        <v>2036</v>
      </c>
      <c r="S199" s="196">
        <v>2037</v>
      </c>
      <c r="T199" s="196">
        <v>2038</v>
      </c>
      <c r="U199" s="196">
        <v>2039</v>
      </c>
      <c r="V199" s="196">
        <v>2040</v>
      </c>
      <c r="W199" s="196">
        <v>2041</v>
      </c>
    </row>
    <row r="200" spans="1:23" x14ac:dyDescent="0.4">
      <c r="A200" s="197">
        <v>1</v>
      </c>
      <c r="B200" s="198" t="s">
        <v>1</v>
      </c>
      <c r="C200" s="199" t="s">
        <v>884</v>
      </c>
      <c r="D200" s="199" t="s">
        <v>885</v>
      </c>
      <c r="E200" s="211"/>
      <c r="F200" s="211"/>
      <c r="G200" s="211"/>
      <c r="H200" s="211"/>
      <c r="I200" s="211"/>
      <c r="J200" s="211"/>
      <c r="K200" s="211"/>
      <c r="L200" s="211"/>
      <c r="M200" s="211"/>
      <c r="N200" s="211"/>
      <c r="O200" s="211"/>
      <c r="P200" s="211"/>
      <c r="Q200" s="211"/>
      <c r="R200" s="211"/>
      <c r="S200" s="211"/>
      <c r="T200" s="211"/>
      <c r="U200" s="200"/>
      <c r="V200" s="200"/>
      <c r="W200" s="200"/>
    </row>
    <row r="201" spans="1:23" x14ac:dyDescent="0.4">
      <c r="A201" s="197">
        <v>2</v>
      </c>
      <c r="B201" s="198" t="s">
        <v>893</v>
      </c>
      <c r="C201" s="199" t="s">
        <v>894</v>
      </c>
      <c r="D201" s="199" t="s">
        <v>895</v>
      </c>
      <c r="E201" s="211"/>
      <c r="F201" s="211"/>
      <c r="G201" s="211"/>
      <c r="H201" s="211"/>
      <c r="I201" s="211"/>
      <c r="J201" s="211"/>
      <c r="K201" s="211"/>
      <c r="L201" s="211"/>
      <c r="M201" s="211"/>
      <c r="N201" s="211"/>
      <c r="O201" s="211"/>
      <c r="P201" s="211"/>
      <c r="Q201" s="211"/>
      <c r="R201" s="211"/>
      <c r="S201" s="211"/>
      <c r="T201" s="211"/>
      <c r="U201" s="200"/>
      <c r="V201" s="200"/>
      <c r="W201" s="200"/>
    </row>
    <row r="202" spans="1:23" x14ac:dyDescent="0.4">
      <c r="A202" s="197">
        <v>3</v>
      </c>
      <c r="B202" s="198" t="s">
        <v>896</v>
      </c>
      <c r="C202" s="199" t="s">
        <v>897</v>
      </c>
      <c r="D202" s="199" t="s">
        <v>895</v>
      </c>
      <c r="E202" s="211"/>
      <c r="F202" s="211"/>
      <c r="G202" s="211"/>
      <c r="H202" s="211"/>
      <c r="I202" s="211"/>
      <c r="J202" s="211"/>
      <c r="K202" s="211"/>
      <c r="L202" s="211"/>
      <c r="M202" s="211"/>
      <c r="N202" s="211"/>
      <c r="O202" s="211"/>
      <c r="P202" s="211"/>
      <c r="Q202" s="211"/>
      <c r="R202" s="211"/>
      <c r="S202" s="211"/>
      <c r="T202" s="211"/>
      <c r="U202" s="200"/>
      <c r="V202" s="200"/>
      <c r="W202" s="200"/>
    </row>
    <row r="203" spans="1:23" x14ac:dyDescent="0.4">
      <c r="A203" s="197"/>
      <c r="B203" s="212" t="s">
        <v>208</v>
      </c>
      <c r="C203" s="212"/>
      <c r="D203" s="213"/>
      <c r="E203" s="213">
        <v>2023</v>
      </c>
      <c r="F203" s="213">
        <v>2024</v>
      </c>
      <c r="G203" s="213">
        <v>2025</v>
      </c>
      <c r="H203" s="213">
        <v>2026</v>
      </c>
      <c r="I203" s="213">
        <v>2027</v>
      </c>
      <c r="J203" s="213">
        <v>2028</v>
      </c>
      <c r="K203" s="213">
        <v>2029</v>
      </c>
      <c r="L203" s="213">
        <v>2030</v>
      </c>
      <c r="M203" s="213">
        <v>2031</v>
      </c>
      <c r="N203" s="213">
        <v>2032</v>
      </c>
      <c r="O203" s="213">
        <v>2033</v>
      </c>
      <c r="P203" s="213">
        <v>2034</v>
      </c>
      <c r="Q203" s="213">
        <v>2035</v>
      </c>
      <c r="R203" s="213">
        <v>2036</v>
      </c>
      <c r="S203" s="213">
        <v>2037</v>
      </c>
      <c r="T203" s="213">
        <v>2038</v>
      </c>
      <c r="U203" s="213">
        <v>2039</v>
      </c>
      <c r="V203" s="213">
        <v>2040</v>
      </c>
      <c r="W203" s="213">
        <v>2041</v>
      </c>
    </row>
    <row r="204" spans="1:23" x14ac:dyDescent="0.4">
      <c r="A204" s="197">
        <v>4</v>
      </c>
      <c r="B204" s="198" t="s">
        <v>1</v>
      </c>
      <c r="C204" s="199" t="s">
        <v>884</v>
      </c>
      <c r="D204" s="199" t="s">
        <v>885</v>
      </c>
      <c r="E204" s="211"/>
      <c r="F204" s="211"/>
      <c r="G204" s="211"/>
      <c r="H204" s="211"/>
      <c r="I204" s="211"/>
      <c r="J204" s="211"/>
      <c r="K204" s="211"/>
      <c r="L204" s="211"/>
      <c r="M204" s="211"/>
      <c r="N204" s="211"/>
      <c r="O204" s="211"/>
      <c r="P204" s="211"/>
      <c r="Q204" s="211"/>
      <c r="R204" s="211"/>
      <c r="S204" s="211"/>
      <c r="T204" s="211"/>
      <c r="U204" s="200"/>
      <c r="V204" s="200"/>
      <c r="W204" s="200"/>
    </row>
    <row r="205" spans="1:23" x14ac:dyDescent="0.4">
      <c r="A205" s="197">
        <v>5</v>
      </c>
      <c r="B205" s="198" t="s">
        <v>3</v>
      </c>
      <c r="C205" s="199" t="s">
        <v>888</v>
      </c>
      <c r="D205" s="199" t="s">
        <v>889</v>
      </c>
      <c r="E205" s="211"/>
      <c r="F205" s="211"/>
      <c r="G205" s="211"/>
      <c r="H205" s="211"/>
      <c r="I205" s="211"/>
      <c r="J205" s="211"/>
      <c r="K205" s="211"/>
      <c r="L205" s="211"/>
      <c r="M205" s="211"/>
      <c r="N205" s="211"/>
      <c r="O205" s="211"/>
      <c r="P205" s="211"/>
      <c r="Q205" s="211"/>
      <c r="R205" s="211"/>
      <c r="S205" s="211"/>
      <c r="T205" s="211"/>
      <c r="U205" s="200"/>
      <c r="V205" s="200"/>
      <c r="W205" s="200"/>
    </row>
    <row r="206" spans="1:23" x14ac:dyDescent="0.4">
      <c r="A206" s="197"/>
      <c r="B206" s="212" t="s">
        <v>209</v>
      </c>
      <c r="C206" s="212"/>
      <c r="D206" s="213"/>
      <c r="E206" s="213"/>
      <c r="F206" s="213"/>
      <c r="G206" s="213"/>
      <c r="H206" s="213"/>
      <c r="I206" s="213"/>
      <c r="J206" s="213"/>
      <c r="K206" s="213"/>
      <c r="L206" s="213"/>
      <c r="M206" s="213"/>
      <c r="N206" s="213"/>
      <c r="O206" s="213"/>
      <c r="P206" s="213"/>
      <c r="Q206" s="213"/>
      <c r="R206" s="213"/>
      <c r="S206" s="213"/>
      <c r="T206" s="213"/>
      <c r="U206" s="213"/>
      <c r="V206" s="213"/>
      <c r="W206" s="213"/>
    </row>
    <row r="207" spans="1:23" x14ac:dyDescent="0.4">
      <c r="A207" s="197">
        <v>6</v>
      </c>
      <c r="B207" s="198" t="s">
        <v>1</v>
      </c>
      <c r="C207" s="199" t="s">
        <v>884</v>
      </c>
      <c r="D207" s="199" t="s">
        <v>885</v>
      </c>
      <c r="E207" s="211"/>
      <c r="F207" s="211"/>
      <c r="G207" s="211"/>
      <c r="H207" s="211"/>
      <c r="I207" s="211"/>
      <c r="J207" s="211"/>
      <c r="K207" s="211"/>
      <c r="L207" s="211"/>
      <c r="M207" s="211"/>
      <c r="N207" s="211"/>
      <c r="O207" s="211"/>
      <c r="P207" s="211"/>
      <c r="Q207" s="211"/>
      <c r="R207" s="211"/>
      <c r="S207" s="211"/>
      <c r="T207" s="211"/>
      <c r="U207" s="200"/>
      <c r="V207" s="200"/>
      <c r="W207" s="200"/>
    </row>
    <row r="208" spans="1:23" x14ac:dyDescent="0.4">
      <c r="A208" s="197">
        <v>7</v>
      </c>
      <c r="B208" s="198" t="s">
        <v>893</v>
      </c>
      <c r="C208" s="199" t="s">
        <v>894</v>
      </c>
      <c r="D208" s="199" t="s">
        <v>895</v>
      </c>
      <c r="E208" s="211"/>
      <c r="F208" s="211"/>
      <c r="G208" s="211"/>
      <c r="H208" s="211"/>
      <c r="I208" s="211"/>
      <c r="J208" s="211"/>
      <c r="K208" s="211"/>
      <c r="L208" s="211"/>
      <c r="M208" s="211"/>
      <c r="N208" s="211"/>
      <c r="O208" s="211"/>
      <c r="P208" s="211"/>
      <c r="Q208" s="211"/>
      <c r="R208" s="211"/>
      <c r="S208" s="211"/>
      <c r="T208" s="211"/>
      <c r="U208" s="200"/>
      <c r="V208" s="200"/>
      <c r="W208" s="200"/>
    </row>
    <row r="209" spans="1:23" x14ac:dyDescent="0.4">
      <c r="A209" s="197">
        <v>8</v>
      </c>
      <c r="B209" s="198" t="s">
        <v>896</v>
      </c>
      <c r="C209" s="199" t="s">
        <v>897</v>
      </c>
      <c r="D209" s="199" t="s">
        <v>895</v>
      </c>
      <c r="E209" s="211"/>
      <c r="F209" s="211"/>
      <c r="G209" s="211"/>
      <c r="H209" s="211"/>
      <c r="I209" s="211"/>
      <c r="J209" s="211"/>
      <c r="K209" s="211"/>
      <c r="L209" s="211"/>
      <c r="M209" s="211"/>
      <c r="N209" s="211"/>
      <c r="O209" s="211"/>
      <c r="P209" s="211"/>
      <c r="Q209" s="211"/>
      <c r="R209" s="211"/>
      <c r="S209" s="211"/>
      <c r="T209" s="211"/>
      <c r="U209" s="200"/>
      <c r="V209" s="200"/>
      <c r="W209" s="200"/>
    </row>
    <row r="210" spans="1:23" x14ac:dyDescent="0.4">
      <c r="A210" s="197">
        <v>9</v>
      </c>
      <c r="B210" s="203" t="s">
        <v>7</v>
      </c>
      <c r="C210" s="199" t="s">
        <v>905</v>
      </c>
      <c r="D210" s="199" t="s">
        <v>904</v>
      </c>
      <c r="E210" s="211"/>
      <c r="F210" s="211"/>
      <c r="G210" s="211"/>
      <c r="H210" s="211"/>
      <c r="I210" s="211"/>
      <c r="J210" s="211"/>
      <c r="K210" s="211"/>
      <c r="L210" s="211"/>
      <c r="M210" s="211"/>
      <c r="N210" s="211"/>
      <c r="O210" s="211"/>
      <c r="P210" s="211"/>
      <c r="Q210" s="211"/>
      <c r="R210" s="211"/>
      <c r="S210" s="211"/>
      <c r="T210" s="211"/>
      <c r="U210" s="200"/>
      <c r="V210" s="200"/>
      <c r="W210" s="200"/>
    </row>
    <row r="211" spans="1:23" x14ac:dyDescent="0.4">
      <c r="A211" s="197">
        <v>10</v>
      </c>
      <c r="B211" s="203" t="s">
        <v>902</v>
      </c>
      <c r="C211" s="199" t="s">
        <v>903</v>
      </c>
      <c r="D211" s="199" t="s">
        <v>904</v>
      </c>
      <c r="E211" s="211"/>
      <c r="F211" s="211"/>
      <c r="G211" s="211"/>
      <c r="H211" s="211"/>
      <c r="I211" s="211"/>
      <c r="J211" s="211"/>
      <c r="K211" s="211"/>
      <c r="L211" s="211"/>
      <c r="M211" s="211"/>
      <c r="N211" s="211"/>
      <c r="O211" s="211"/>
      <c r="P211" s="211"/>
      <c r="Q211" s="211"/>
      <c r="R211" s="211"/>
      <c r="S211" s="211"/>
      <c r="T211" s="211"/>
      <c r="U211" s="200"/>
      <c r="V211" s="200"/>
      <c r="W211" s="200"/>
    </row>
    <row r="212" spans="1:23" x14ac:dyDescent="0.4">
      <c r="A212" s="197"/>
      <c r="B212" s="212" t="s">
        <v>210</v>
      </c>
      <c r="C212" s="212"/>
      <c r="D212" s="213"/>
      <c r="E212" s="214">
        <f>StochasticLastYear</f>
        <v>2033</v>
      </c>
      <c r="F212" s="215"/>
      <c r="G212" s="215"/>
      <c r="H212" s="215"/>
      <c r="I212" s="215"/>
      <c r="J212" s="215"/>
      <c r="K212" s="215"/>
      <c r="L212" s="215"/>
      <c r="M212" s="215"/>
      <c r="N212" s="215"/>
      <c r="O212" s="215"/>
      <c r="P212" s="215"/>
      <c r="Q212" s="215"/>
      <c r="R212" s="215"/>
      <c r="S212" s="215"/>
      <c r="T212" s="215"/>
      <c r="U212" s="215"/>
      <c r="V212" s="215"/>
      <c r="W212" s="215"/>
    </row>
    <row r="213" spans="1:23" x14ac:dyDescent="0.4">
      <c r="A213" s="205">
        <v>11</v>
      </c>
      <c r="B213" s="216" t="s">
        <v>909</v>
      </c>
      <c r="C213" s="207"/>
      <c r="D213" s="207" t="s">
        <v>895</v>
      </c>
      <c r="E213" s="217"/>
      <c r="F213" s="218"/>
      <c r="G213" s="217"/>
      <c r="H213" s="219"/>
      <c r="I213" s="219"/>
      <c r="J213" s="217"/>
      <c r="K213" s="219"/>
      <c r="L213" s="217"/>
      <c r="M213" s="217"/>
      <c r="N213" s="219"/>
      <c r="O213" s="219"/>
      <c r="P213" s="217"/>
      <c r="Q213" s="219"/>
      <c r="R213" s="217"/>
      <c r="S213" s="220"/>
      <c r="T213" s="218"/>
      <c r="U213" s="221"/>
      <c r="V213" s="222"/>
      <c r="W213" s="221"/>
    </row>
    <row r="214" spans="1:23" x14ac:dyDescent="0.4">
      <c r="A214" s="223"/>
      <c r="B214" s="209"/>
      <c r="C214" s="209"/>
      <c r="D214" s="209"/>
      <c r="E214" s="209"/>
      <c r="F214" s="209"/>
      <c r="G214" s="209"/>
      <c r="H214" s="209"/>
      <c r="I214" s="209"/>
      <c r="J214" s="210"/>
      <c r="K214" s="210"/>
      <c r="L214" s="210"/>
      <c r="M214" s="210"/>
      <c r="N214" s="210"/>
      <c r="O214" s="210"/>
      <c r="P214" s="224"/>
      <c r="Q214" s="224"/>
      <c r="R214" s="224"/>
      <c r="S214" s="224"/>
      <c r="T214" s="224"/>
      <c r="U214" s="224"/>
      <c r="V214" s="210"/>
      <c r="W214" s="210"/>
    </row>
    <row r="215" spans="1:23" ht="23.25" x14ac:dyDescent="0.4">
      <c r="A215" s="190" t="s">
        <v>910</v>
      </c>
      <c r="B215" s="209"/>
      <c r="C215" s="209"/>
      <c r="D215" s="209"/>
      <c r="E215" s="209"/>
      <c r="F215" s="209"/>
      <c r="G215" s="209"/>
      <c r="H215" s="209"/>
      <c r="I215" s="209"/>
      <c r="J215" s="210"/>
      <c r="K215" s="210"/>
      <c r="L215" s="210"/>
      <c r="M215" s="210"/>
      <c r="N215" s="210"/>
      <c r="O215" s="210"/>
      <c r="P215" s="210"/>
      <c r="Q215" s="210"/>
      <c r="R215" s="210"/>
      <c r="S215" s="210"/>
      <c r="T215" s="210"/>
      <c r="U215" s="210"/>
      <c r="V215" s="210"/>
      <c r="W215" s="210"/>
    </row>
    <row r="216" spans="1:23" x14ac:dyDescent="0.4">
      <c r="A216" s="225"/>
      <c r="B216" s="226"/>
      <c r="C216" s="226"/>
      <c r="D216" s="226"/>
      <c r="E216" s="226">
        <v>2023</v>
      </c>
      <c r="F216" s="226">
        <v>2024</v>
      </c>
      <c r="G216" s="226">
        <v>2025</v>
      </c>
      <c r="H216" s="226">
        <v>2026</v>
      </c>
      <c r="I216" s="226">
        <v>2027</v>
      </c>
      <c r="J216" s="226">
        <v>2028</v>
      </c>
      <c r="K216" s="226">
        <v>2029</v>
      </c>
      <c r="L216" s="226">
        <v>2030</v>
      </c>
      <c r="M216" s="226">
        <v>2031</v>
      </c>
      <c r="N216" s="226">
        <v>2032</v>
      </c>
      <c r="O216" s="226">
        <v>2033</v>
      </c>
      <c r="P216" s="226">
        <v>2034</v>
      </c>
      <c r="Q216" s="226">
        <v>2035</v>
      </c>
      <c r="R216" s="226">
        <v>2036</v>
      </c>
      <c r="S216" s="226">
        <v>2037</v>
      </c>
      <c r="T216" s="226">
        <v>2038</v>
      </c>
      <c r="U216" s="226">
        <v>2039</v>
      </c>
      <c r="V216" s="226">
        <v>2040</v>
      </c>
      <c r="W216" s="226">
        <v>2041</v>
      </c>
    </row>
    <row r="217" spans="1:23" x14ac:dyDescent="0.4">
      <c r="A217" s="227">
        <v>1</v>
      </c>
      <c r="B217" s="228" t="s">
        <v>1</v>
      </c>
      <c r="C217" s="228" t="s">
        <v>884</v>
      </c>
      <c r="D217" s="228" t="s">
        <v>885</v>
      </c>
    </row>
    <row r="218" spans="1:23" x14ac:dyDescent="0.4">
      <c r="A218" s="227">
        <v>2</v>
      </c>
      <c r="B218" s="228" t="s">
        <v>886</v>
      </c>
      <c r="C218" s="228" t="s">
        <v>887</v>
      </c>
      <c r="D218" s="228" t="s">
        <v>885</v>
      </c>
    </row>
    <row r="219" spans="1:23" x14ac:dyDescent="0.4">
      <c r="A219" s="227">
        <v>3</v>
      </c>
      <c r="B219" s="228" t="s">
        <v>3</v>
      </c>
      <c r="C219" s="228" t="s">
        <v>888</v>
      </c>
      <c r="D219" s="228" t="s">
        <v>889</v>
      </c>
    </row>
    <row r="220" spans="1:23" x14ac:dyDescent="0.4">
      <c r="A220" s="227">
        <v>4</v>
      </c>
      <c r="B220" s="228" t="s">
        <v>890</v>
      </c>
      <c r="C220" s="228"/>
      <c r="D220" s="228" t="s">
        <v>889</v>
      </c>
    </row>
    <row r="221" spans="1:23" x14ac:dyDescent="0.4">
      <c r="A221" s="227">
        <v>5</v>
      </c>
      <c r="B221" s="228" t="s">
        <v>25</v>
      </c>
      <c r="C221" s="228" t="s">
        <v>892</v>
      </c>
      <c r="D221" s="228" t="s">
        <v>885</v>
      </c>
    </row>
    <row r="222" spans="1:23" x14ac:dyDescent="0.4">
      <c r="A222" s="227">
        <v>6</v>
      </c>
      <c r="B222" s="228" t="s">
        <v>893</v>
      </c>
      <c r="C222" s="228" t="s">
        <v>894</v>
      </c>
      <c r="D222" s="228" t="s">
        <v>895</v>
      </c>
    </row>
    <row r="223" spans="1:23" x14ac:dyDescent="0.4">
      <c r="A223" s="227">
        <v>7</v>
      </c>
      <c r="B223" s="228" t="s">
        <v>896</v>
      </c>
      <c r="C223" s="228" t="s">
        <v>897</v>
      </c>
      <c r="D223" s="228" t="s">
        <v>895</v>
      </c>
    </row>
    <row r="224" spans="1:23" x14ac:dyDescent="0.4">
      <c r="A224" s="227">
        <v>8</v>
      </c>
      <c r="B224" s="228" t="s">
        <v>898</v>
      </c>
      <c r="C224" s="228" t="s">
        <v>899</v>
      </c>
      <c r="D224" s="228" t="s">
        <v>895</v>
      </c>
    </row>
    <row r="225" spans="1:23" x14ac:dyDescent="0.4">
      <c r="A225" s="227">
        <v>9</v>
      </c>
      <c r="B225" s="228" t="s">
        <v>902</v>
      </c>
      <c r="C225" s="228" t="s">
        <v>903</v>
      </c>
      <c r="D225" s="228" t="s">
        <v>904</v>
      </c>
    </row>
    <row r="226" spans="1:23" x14ac:dyDescent="0.4">
      <c r="A226" s="227">
        <v>10</v>
      </c>
      <c r="B226" s="228" t="s">
        <v>7</v>
      </c>
      <c r="C226" s="228" t="s">
        <v>905</v>
      </c>
      <c r="D226" s="228" t="s">
        <v>904</v>
      </c>
    </row>
    <row r="227" spans="1:23" x14ac:dyDescent="0.4">
      <c r="A227" s="227">
        <v>11</v>
      </c>
      <c r="B227" s="228" t="s">
        <v>8</v>
      </c>
      <c r="C227" s="228" t="s">
        <v>906</v>
      </c>
      <c r="D227" s="228" t="s">
        <v>904</v>
      </c>
    </row>
    <row r="228" spans="1:23" x14ac:dyDescent="0.4">
      <c r="A228" s="227">
        <v>12</v>
      </c>
      <c r="B228" s="228" t="s">
        <v>9</v>
      </c>
      <c r="C228" s="228" t="s">
        <v>907</v>
      </c>
      <c r="D228" s="228" t="s">
        <v>904</v>
      </c>
    </row>
    <row r="229" spans="1:23" x14ac:dyDescent="0.4">
      <c r="A229" s="229">
        <v>13</v>
      </c>
      <c r="B229" s="230" t="s">
        <v>911</v>
      </c>
      <c r="C229" s="230"/>
      <c r="D229" s="230" t="s">
        <v>895</v>
      </c>
      <c r="E229" s="231"/>
      <c r="F229" s="231"/>
      <c r="G229" s="231"/>
      <c r="H229" s="231"/>
      <c r="I229" s="231"/>
      <c r="J229" s="231"/>
      <c r="K229" s="231"/>
      <c r="L229" s="231"/>
      <c r="M229" s="231"/>
      <c r="N229" s="231"/>
      <c r="O229" s="231"/>
      <c r="P229" s="231"/>
      <c r="Q229" s="231"/>
      <c r="R229" s="231"/>
      <c r="S229" s="231"/>
      <c r="T229" s="231"/>
      <c r="U229" s="231"/>
      <c r="V229" s="231"/>
      <c r="W229" s="231"/>
    </row>
    <row r="230" spans="1:23" x14ac:dyDescent="0.4">
      <c r="A230" s="223"/>
      <c r="B230" s="209"/>
      <c r="C230" s="209"/>
      <c r="D230" s="209"/>
      <c r="E230" s="209"/>
      <c r="F230" s="209"/>
      <c r="G230" s="209"/>
      <c r="H230" s="209"/>
      <c r="I230" s="209"/>
      <c r="J230" s="210"/>
      <c r="K230" s="210"/>
      <c r="L230" s="210"/>
      <c r="M230" s="210"/>
      <c r="N230" s="210"/>
      <c r="O230" s="210"/>
      <c r="P230" s="210"/>
      <c r="Q230" s="210"/>
      <c r="R230" s="210"/>
      <c r="S230" s="210"/>
      <c r="T230" s="210"/>
      <c r="U230" s="210"/>
      <c r="V230" s="210"/>
      <c r="W230" s="210"/>
    </row>
    <row r="231" spans="1:23" ht="23.25" x14ac:dyDescent="0.4">
      <c r="A231" s="190" t="s">
        <v>912</v>
      </c>
      <c r="B231" s="209"/>
      <c r="C231" s="209"/>
      <c r="D231" s="209"/>
      <c r="E231" s="209"/>
      <c r="F231" s="209"/>
      <c r="G231" s="209"/>
      <c r="H231" s="209"/>
      <c r="I231" s="209"/>
      <c r="J231" s="210"/>
      <c r="K231" s="210"/>
      <c r="L231" s="210"/>
      <c r="M231" s="210"/>
      <c r="N231" s="210"/>
      <c r="O231" s="210"/>
      <c r="P231" s="210"/>
      <c r="Q231" s="210"/>
      <c r="R231" s="210"/>
      <c r="S231" s="210"/>
      <c r="T231" s="210"/>
      <c r="U231" s="210"/>
      <c r="V231" s="210"/>
      <c r="W231" s="210"/>
    </row>
    <row r="232" spans="1:23" x14ac:dyDescent="0.4">
      <c r="A232" s="193"/>
      <c r="B232" s="194"/>
      <c r="C232" s="194"/>
      <c r="D232" s="196"/>
      <c r="E232" s="196">
        <v>2023</v>
      </c>
      <c r="F232" s="196">
        <v>2024</v>
      </c>
      <c r="G232" s="196">
        <v>2025</v>
      </c>
      <c r="H232" s="196">
        <v>2026</v>
      </c>
      <c r="I232" s="196">
        <v>2027</v>
      </c>
      <c r="J232" s="196">
        <v>2028</v>
      </c>
      <c r="K232" s="196">
        <v>2029</v>
      </c>
      <c r="L232" s="196">
        <v>2030</v>
      </c>
      <c r="M232" s="196">
        <v>2031</v>
      </c>
      <c r="N232" s="196">
        <v>2032</v>
      </c>
      <c r="O232" s="196">
        <v>2033</v>
      </c>
      <c r="P232" s="196">
        <v>2034</v>
      </c>
      <c r="Q232" s="196">
        <v>2035</v>
      </c>
      <c r="R232" s="196">
        <v>2036</v>
      </c>
      <c r="S232" s="196">
        <v>2037</v>
      </c>
      <c r="T232" s="196">
        <v>2038</v>
      </c>
      <c r="U232" s="196">
        <v>2039</v>
      </c>
      <c r="V232" s="196">
        <v>2040</v>
      </c>
      <c r="W232" s="196">
        <v>2041</v>
      </c>
    </row>
    <row r="233" spans="1:23" x14ac:dyDescent="0.4">
      <c r="A233" s="197">
        <v>1</v>
      </c>
      <c r="B233" s="198" t="s">
        <v>1</v>
      </c>
      <c r="C233" s="199" t="s">
        <v>884</v>
      </c>
      <c r="D233" s="199" t="s">
        <v>885</v>
      </c>
      <c r="E233" s="200"/>
      <c r="F233" s="200"/>
      <c r="G233" s="200"/>
      <c r="H233" s="200"/>
      <c r="I233" s="200"/>
      <c r="J233" s="200"/>
      <c r="K233" s="201"/>
      <c r="L233" s="201"/>
      <c r="M233" s="201"/>
      <c r="N233" s="201"/>
      <c r="O233" s="201"/>
      <c r="P233" s="201"/>
      <c r="Q233" s="201"/>
      <c r="R233" s="201"/>
      <c r="S233" s="201"/>
      <c r="T233" s="201"/>
      <c r="U233" s="201"/>
      <c r="V233" s="201"/>
      <c r="W233" s="201"/>
    </row>
    <row r="234" spans="1:23" x14ac:dyDescent="0.4">
      <c r="A234" s="197">
        <v>2</v>
      </c>
      <c r="B234" s="232" t="s">
        <v>913</v>
      </c>
      <c r="C234" s="233"/>
      <c r="D234" s="199" t="s">
        <v>885</v>
      </c>
      <c r="E234" s="200"/>
      <c r="F234" s="200"/>
      <c r="G234" s="200"/>
      <c r="H234" s="200"/>
      <c r="I234" s="200"/>
      <c r="J234" s="200"/>
      <c r="K234" s="201"/>
      <c r="L234" s="201"/>
      <c r="M234" s="201"/>
      <c r="N234" s="201"/>
      <c r="O234" s="201"/>
      <c r="P234" s="201"/>
      <c r="Q234" s="201"/>
      <c r="R234" s="201"/>
      <c r="S234" s="201"/>
      <c r="T234" s="201"/>
      <c r="U234" s="201"/>
      <c r="V234" s="201"/>
      <c r="W234" s="201"/>
    </row>
    <row r="235" spans="1:23" x14ac:dyDescent="0.4">
      <c r="A235" s="197">
        <v>3</v>
      </c>
      <c r="B235" s="232" t="s">
        <v>914</v>
      </c>
      <c r="C235" s="233"/>
      <c r="D235" s="199" t="s">
        <v>885</v>
      </c>
      <c r="E235" s="200"/>
      <c r="F235" s="200"/>
      <c r="G235" s="200"/>
      <c r="H235" s="200"/>
      <c r="I235" s="200"/>
      <c r="J235" s="200"/>
      <c r="K235" s="201"/>
      <c r="L235" s="201"/>
      <c r="M235" s="201"/>
      <c r="N235" s="201"/>
      <c r="O235" s="201"/>
      <c r="P235" s="201"/>
      <c r="Q235" s="201"/>
      <c r="R235" s="201"/>
      <c r="S235" s="201"/>
      <c r="T235" s="201"/>
      <c r="U235" s="201"/>
      <c r="V235" s="201"/>
      <c r="W235" s="201"/>
    </row>
    <row r="236" spans="1:23" x14ac:dyDescent="0.4">
      <c r="A236" s="197">
        <v>4</v>
      </c>
      <c r="B236" s="232" t="s">
        <v>915</v>
      </c>
      <c r="C236" s="233"/>
      <c r="D236" s="199" t="s">
        <v>885</v>
      </c>
      <c r="E236" s="200"/>
      <c r="F236" s="200"/>
      <c r="G236" s="200"/>
      <c r="H236" s="200"/>
      <c r="I236" s="200"/>
      <c r="J236" s="200"/>
      <c r="K236" s="201"/>
      <c r="L236" s="201"/>
      <c r="M236" s="201"/>
      <c r="N236" s="201"/>
      <c r="O236" s="201"/>
      <c r="P236" s="201"/>
      <c r="Q236" s="201"/>
      <c r="R236" s="201"/>
      <c r="S236" s="201"/>
      <c r="T236" s="201"/>
      <c r="U236" s="201"/>
      <c r="V236" s="201"/>
      <c r="W236" s="201"/>
    </row>
    <row r="237" spans="1:23" x14ac:dyDescent="0.4">
      <c r="A237" s="205">
        <v>5</v>
      </c>
      <c r="B237" s="234" t="s">
        <v>916</v>
      </c>
      <c r="C237" s="235"/>
      <c r="D237" s="207" t="s">
        <v>885</v>
      </c>
      <c r="E237" s="208"/>
      <c r="F237" s="208"/>
      <c r="G237" s="208"/>
      <c r="H237" s="208"/>
      <c r="I237" s="208"/>
      <c r="J237" s="208"/>
      <c r="K237" s="236"/>
      <c r="L237" s="236"/>
      <c r="M237" s="236"/>
      <c r="N237" s="236"/>
      <c r="O237" s="236"/>
      <c r="P237" s="236"/>
      <c r="Q237" s="236"/>
      <c r="R237" s="236"/>
      <c r="S237" s="236"/>
      <c r="T237" s="236"/>
      <c r="U237" s="236"/>
      <c r="V237" s="236"/>
      <c r="W237" s="236"/>
    </row>
  </sheetData>
  <dataConsolidate/>
  <conditionalFormatting sqref="D15:N16">
    <cfRule type="expression" dxfId="66" priority="19">
      <formula>ISNUMBER(D14)</formula>
    </cfRule>
  </conditionalFormatting>
  <conditionalFormatting sqref="D14:N14">
    <cfRule type="expression" dxfId="65" priority="18">
      <formula>ISNUMBER(D14)</formula>
    </cfRule>
  </conditionalFormatting>
  <conditionalFormatting sqref="D29:K29">
    <cfRule type="expression" dxfId="64" priority="17">
      <formula>ISNUMBER(D$14)</formula>
    </cfRule>
  </conditionalFormatting>
  <conditionalFormatting sqref="D74:W74">
    <cfRule type="expression" dxfId="63" priority="16">
      <formula>ISNUMBER(D48)</formula>
    </cfRule>
  </conditionalFormatting>
  <conditionalFormatting sqref="D48:W48">
    <cfRule type="expression" dxfId="62" priority="15">
      <formula>ISNUMBER(D48)</formula>
    </cfRule>
  </conditionalFormatting>
  <conditionalFormatting sqref="D32:W32 D49:W49">
    <cfRule type="expression" dxfId="61" priority="14">
      <formula>ISNUMBER(D31)</formula>
    </cfRule>
  </conditionalFormatting>
  <conditionalFormatting sqref="D31:W31">
    <cfRule type="expression" dxfId="60" priority="13">
      <formula>ISNUMBER(D31)</formula>
    </cfRule>
  </conditionalFormatting>
  <conditionalFormatting sqref="D44:W44">
    <cfRule type="expression" dxfId="59" priority="12">
      <formula>ISNUMBER(D$57)</formula>
    </cfRule>
  </conditionalFormatting>
  <conditionalFormatting sqref="D51:Z52">
    <cfRule type="expression" dxfId="58" priority="11">
      <formula>AND(D$48=AdjustmentPeriodEnd, Receives_reference_trajectory=FALSE)</formula>
    </cfRule>
  </conditionalFormatting>
  <conditionalFormatting sqref="D35:Z35 D38:Z38 D55:Z58">
    <cfRule type="expression" dxfId="57" priority="10">
      <formula>AND(D$48&lt;&gt;"", Receives_reference_trajectory=FALSE)</formula>
    </cfRule>
  </conditionalFormatting>
  <conditionalFormatting sqref="D44">
    <cfRule type="expression" dxfId="56" priority="7">
      <formula>AND(Receives_reference_trajectory=TRUE,D$31&lt;&gt;"")</formula>
    </cfRule>
  </conditionalFormatting>
  <conditionalFormatting sqref="D35:Z35 D40:Z43 D37:Z38">
    <cfRule type="expression" dxfId="55" priority="6">
      <formula>AND(Receives_reference_trajectory=TRUE,D$31&lt;&gt;"")</formula>
    </cfRule>
  </conditionalFormatting>
  <conditionalFormatting sqref="D60:Z63 D40:S43 D55:Z58">
    <cfRule type="expression" dxfId="54" priority="5">
      <formula>AND(Receives_reference_trajectory,D$48&lt;&gt;"")</formula>
    </cfRule>
  </conditionalFormatting>
  <conditionalFormatting sqref="F50:L50">
    <cfRule type="expression" dxfId="53" priority="4">
      <formula>AND(Receives_reference_trajectory,F$49&lt;&gt;"")</formula>
    </cfRule>
  </conditionalFormatting>
  <conditionalFormatting sqref="D65:Z73">
    <cfRule type="expression" dxfId="52" priority="3">
      <formula>AND(D$48&gt;AdjustmentPeriodEnd,D$48&lt;=StochasticLastYear,Receives_reference_trajectory)</formula>
    </cfRule>
  </conditionalFormatting>
  <conditionalFormatting sqref="D74:Z74">
    <cfRule type="expression" dxfId="51" priority="2">
      <formula>AND(D$48&gt;AdjustmentPeriodEnd,D$48&lt;=StochasticLastYear,Receives_reference_trajectory)</formula>
    </cfRule>
  </conditionalFormatting>
  <conditionalFormatting sqref="O16">
    <cfRule type="expression" dxfId="50" priority="758">
      <formula>ISNUMBER(AA14)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942</v>
      </c>
      <c r="D4" s="53" t="s">
        <v>23</v>
      </c>
      <c r="E4" s="10" t="str">
        <f t="shared" si="0"/>
        <v>€</v>
      </c>
    </row>
    <row r="5" spans="2:5" x14ac:dyDescent="0.4">
      <c r="B5" t="s">
        <v>949</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election activeCell="D13" sqref="D13"/>
    </sheetView>
  </sheetViews>
  <sheetFormatPr defaultColWidth="9" defaultRowHeight="14.25" x14ac:dyDescent="0.45"/>
  <cols>
    <col min="1" max="1" width="7.42578125" style="23" customWidth="1"/>
    <col min="2" max="2" width="68.7109375" style="23" customWidth="1"/>
    <col min="3" max="3" width="19.0703125" style="23"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Latvia's adherence to Regulation (EU) 2024/1263 and associated guidance</v>
      </c>
      <c r="C1" s="78"/>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4"/>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5"/>
      <c r="L4" s="159"/>
      <c r="M4" s="158"/>
    </row>
    <row r="5" spans="1:27" x14ac:dyDescent="0.45">
      <c r="A5" s="21"/>
      <c r="B5" s="135" t="str">
        <f>CHAR(149)&amp;" "&amp;MTP_Requirement</f>
        <v>• Latvia does not receive a reference trajectory but its MTP must contain a net expenditure path that complies with TFEU general government debt and deficit sustainability requirements.</v>
      </c>
      <c r="C5" s="135"/>
      <c r="D5" s="32"/>
      <c r="E5" s="32"/>
      <c r="F5" s="32"/>
      <c r="G5" s="32"/>
      <c r="H5" s="32"/>
      <c r="I5" s="32"/>
      <c r="J5" s="32"/>
      <c r="K5" s="32"/>
      <c r="L5" s="175"/>
      <c r="M5" s="21"/>
      <c r="Q5" s="27"/>
      <c r="R5" s="27"/>
      <c r="S5" s="27"/>
      <c r="T5" s="27"/>
      <c r="U5" s="27"/>
      <c r="V5" s="27"/>
      <c r="W5" s="27"/>
      <c r="X5" s="27"/>
      <c r="Y5" s="22"/>
      <c r="Z5" s="22"/>
    </row>
    <row r="6" spans="1:27" x14ac:dyDescent="0.45">
      <c r="A6" s="21"/>
      <c r="B6" s="135"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5"/>
      <c r="D6" s="32"/>
      <c r="E6" s="32"/>
      <c r="F6" s="32"/>
      <c r="G6" s="32"/>
      <c r="H6" s="32"/>
      <c r="I6" s="32"/>
      <c r="J6" s="32"/>
      <c r="K6" s="32"/>
      <c r="L6" s="175"/>
      <c r="M6" s="21"/>
      <c r="Q6" s="27"/>
      <c r="R6" s="27"/>
      <c r="S6" s="27"/>
      <c r="T6" s="27"/>
      <c r="U6" s="27"/>
      <c r="V6" s="27"/>
      <c r="W6" s="27"/>
      <c r="X6" s="27"/>
      <c r="Y6" s="22"/>
      <c r="Z6" s="22"/>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5"/>
      <c r="D7" s="32"/>
      <c r="E7" s="32"/>
      <c r="F7" s="32"/>
      <c r="G7" s="32"/>
      <c r="H7" s="32"/>
      <c r="I7" s="32"/>
      <c r="J7" s="32"/>
      <c r="K7" s="32"/>
      <c r="L7" s="175"/>
      <c r="M7" s="21"/>
      <c r="Q7" s="27"/>
      <c r="R7" s="27"/>
      <c r="S7" s="27"/>
      <c r="T7" s="27"/>
      <c r="U7" s="27"/>
      <c r="V7" s="27"/>
      <c r="W7" s="27"/>
      <c r="X7" s="27"/>
      <c r="Y7" s="22"/>
      <c r="Z7" s="22"/>
    </row>
    <row r="8" spans="1:27" x14ac:dyDescent="0.45">
      <c r="A8" s="22"/>
      <c r="B8" s="135"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3"/>
      <c r="B9" s="51" t="s">
        <v>959</v>
      </c>
      <c r="C9" s="51"/>
      <c r="D9" s="76"/>
      <c r="E9" s="28"/>
    </row>
    <row r="10" spans="1:27" ht="19.149999999999999" customHeight="1" x14ac:dyDescent="0.7">
      <c r="A10" s="113" t="s">
        <v>394</v>
      </c>
      <c r="B10" s="79" t="s">
        <v>940</v>
      </c>
      <c r="C10" s="79" t="s">
        <v>956</v>
      </c>
      <c r="D10" s="76" t="str">
        <f>IF(E10="At risk","⚠",IF(E10="Compliant","☑",IF(E10="Breach","⮽","☐")))</f>
        <v>☑</v>
      </c>
      <c r="E10" s="28" t="str">
        <f>IF(Assessment!$C$212,"Compliant","Breach")</f>
        <v>Compliant</v>
      </c>
      <c r="F10" s="23" t="str">
        <f>Assessment!C213</f>
        <v>The Fiscal Discipline Council has concluded that the MTP's alternative macroeconomic assumptions are based on sound and data-driven arguments and are plausible.</v>
      </c>
    </row>
    <row r="11" spans="1:27" ht="19.149999999999999" customHeight="1" x14ac:dyDescent="0.7">
      <c r="A11" s="113" t="s">
        <v>395</v>
      </c>
      <c r="B11" s="79" t="s">
        <v>518</v>
      </c>
      <c r="C11" s="79" t="s">
        <v>954</v>
      </c>
      <c r="D11" s="76" t="str">
        <f>IF(E11="At risk","⚠",IF(E11="Compliant","☑",IF(E11="Breach","⮽","☐")))</f>
        <v>☑</v>
      </c>
      <c r="E11" s="28" t="str">
        <f>IF(Assessment!$C$216,"Compliant","Breach")</f>
        <v>Compliant</v>
      </c>
      <c r="F11" s="23" t="str">
        <f>Assessment!C217</f>
        <v>The Fiscal Discipline Council has concluded that the plan contains all information required by Article 13 of Regulation (EU) 2024/1263.</v>
      </c>
    </row>
    <row r="12" spans="1:27" ht="19.149999999999999" customHeight="1" x14ac:dyDescent="0.7">
      <c r="A12" s="113" t="s">
        <v>396</v>
      </c>
      <c r="B12" s="79" t="s">
        <v>530</v>
      </c>
      <c r="C12" s="79" t="s">
        <v>955</v>
      </c>
      <c r="D12" s="76" t="str">
        <f>IF(E12="At risk","⚠",IF(E12="Compliant","☑",IF(E12="Breach","⮽","☐")))</f>
        <v>☐</v>
      </c>
      <c r="E12" s="28" t="str">
        <f>IF(
  AdjustmentPeriod=7,
  IF(Assessment!C221, "Compliant", "Breach"),
  "N/A"
)</f>
        <v>N/A</v>
      </c>
      <c r="F12" s="23" t="str">
        <f>Assessment!C222</f>
        <v>Not applicable. Latvia has not requested an extension of the adjustment period.</v>
      </c>
    </row>
    <row r="13" spans="1:27" ht="19.149999999999999" customHeight="1" x14ac:dyDescent="0.7">
      <c r="A13" s="113"/>
      <c r="B13" s="254" t="s">
        <v>974</v>
      </c>
      <c r="D13" s="76"/>
      <c r="E13" s="28"/>
    </row>
    <row r="14" spans="1:27" ht="19.149999999999999" customHeight="1" x14ac:dyDescent="0.7">
      <c r="A14" s="113" t="s">
        <v>397</v>
      </c>
      <c r="B14" s="79" t="s">
        <v>517</v>
      </c>
      <c r="C14" s="79" t="s">
        <v>975</v>
      </c>
      <c r="D14" s="76" t="str">
        <f>IF(E14="At risk","⚠",IF(E14="Compliant","☑",IF(E14="Breach","⮽","☐")))</f>
        <v>☐</v>
      </c>
      <c r="E14" s="28" t="str">
        <f>IF(
  NOT(Receives_reference_trajectory),
  "N/A",
  IF(
    NOT(Assessment!$C$230),
    "Compliant",
    IF(
      Assessment!$C$231,
      "Compliant",
      "Breach"
    )
  )
)</f>
        <v>N/A</v>
      </c>
      <c r="F14" s="23" t="str">
        <f>Assessment!C232</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3" t="s">
        <v>398</v>
      </c>
      <c r="B15" s="79" t="s">
        <v>969</v>
      </c>
      <c r="C15" s="79" t="s">
        <v>975</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Latvia's latest MTP ensures the primary structural balance is above the minimum level of the Commission's prior guidance at the end of the adjustment period.</v>
      </c>
    </row>
    <row r="16" spans="1:27" ht="19.149999999999999" customHeight="1" x14ac:dyDescent="0.7">
      <c r="A16" s="113" t="s">
        <v>399</v>
      </c>
      <c r="B16" s="79" t="s">
        <v>594</v>
      </c>
      <c r="C16" s="79" t="s">
        <v>970</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Latvia's debt remains below the TFEU debt reference level in each of the ten years following the adjustment period.</v>
      </c>
    </row>
    <row r="17" spans="1:34" ht="19.149999999999999" customHeight="1" x14ac:dyDescent="0.7">
      <c r="A17" s="113" t="s">
        <v>400</v>
      </c>
      <c r="B17" s="79" t="s">
        <v>595</v>
      </c>
      <c r="C17" s="79" t="s">
        <v>970</v>
      </c>
      <c r="D17" s="76" t="str">
        <f t="shared" si="0"/>
        <v>☑</v>
      </c>
      <c r="E17" s="28" t="str">
        <f>IF(Receives_reference_trajectory,IF(Assessment!C271,"Compliant","Breach"),IF(Assessment!C275,"Compliant","Breach"))</f>
        <v>Compliant</v>
      </c>
      <c r="F17" s="23" t="str">
        <f>IF(Receives_reference_trajectory,Assessment!$C$272,Assessment!$C$279)</f>
        <v>Latvia's deficit remains below the TFEU reference level in the final year of the adjustment period and throughout the following ten years.</v>
      </c>
    </row>
    <row r="18" spans="1:34" ht="19.149999999999999" customHeight="1" x14ac:dyDescent="0.7">
      <c r="A18" s="113" t="s">
        <v>401</v>
      </c>
      <c r="B18" s="79" t="s">
        <v>500</v>
      </c>
      <c r="C18" s="79" t="s">
        <v>976</v>
      </c>
      <c r="D18" s="76" t="str">
        <f t="shared" si="0"/>
        <v>☐</v>
      </c>
      <c r="E18" s="28" t="str">
        <f>IF(Receives_reference_trajectory,IF(Assessment!C290,"Compliant","Breach"),"N/A")</f>
        <v>N/A</v>
      </c>
      <c r="F18" s="23" t="str">
        <f>Assessment!C292</f>
        <v>Not applicable - Latvia is not required to comply with a reference trajectory.</v>
      </c>
    </row>
    <row r="19" spans="1:34" ht="19.149999999999999" customHeight="1" x14ac:dyDescent="0.7">
      <c r="A19" s="113" t="s">
        <v>402</v>
      </c>
      <c r="B19" s="79" t="s">
        <v>290</v>
      </c>
      <c r="C19" s="79" t="s">
        <v>971</v>
      </c>
      <c r="D19" s="76" t="str">
        <f t="shared" si="0"/>
        <v>☐</v>
      </c>
      <c r="E19" s="79" t="str">
        <f>_xlfn.IFNA(IF(Assessment!C303,"Compliant",IF(NOT(Assessment!C312),"Breach")),"N/A")</f>
        <v>N/A</v>
      </c>
      <c r="F19" s="23" t="str">
        <f>Assessment!C304</f>
        <v>The Council has not opened an excessive deficit procedure against Latvia.</v>
      </c>
    </row>
    <row r="20" spans="1:34" ht="19.149999999999999" customHeight="1" x14ac:dyDescent="0.7">
      <c r="A20" s="113"/>
      <c r="B20" s="254" t="s">
        <v>941</v>
      </c>
      <c r="C20" s="254"/>
      <c r="D20" s="76"/>
      <c r="E20" s="79"/>
    </row>
    <row r="21" spans="1:34" ht="19.149999999999999" customHeight="1" x14ac:dyDescent="0.7">
      <c r="A21" s="113" t="s">
        <v>403</v>
      </c>
      <c r="B21" s="79" t="s">
        <v>459</v>
      </c>
      <c r="C21" s="79" t="s">
        <v>972</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N/A</v>
      </c>
      <c r="F21" s="23" t="str">
        <f>Assessment!C315</f>
        <v>Latvia does not receive a reference trajectory and its MTP is not assessed against the debt sustainability safeguard.</v>
      </c>
    </row>
    <row r="22" spans="1:34" ht="19.149999999999999" customHeight="1" x14ac:dyDescent="0.7">
      <c r="A22" s="113" t="s">
        <v>404</v>
      </c>
      <c r="B22" s="79" t="s">
        <v>603</v>
      </c>
      <c r="C22" s="79" t="s">
        <v>973</v>
      </c>
      <c r="D22" s="76" t="str">
        <f t="shared" si="1"/>
        <v>☐</v>
      </c>
      <c r="E22" s="28" t="str">
        <f>IF(
  NOT(Receives_reference_trajectory),
  "N/A",
  IF(
    OR(Assessment!C324=FALSE, ISNA(Assessment!C326)),
    "N/A",
    IF(Assessment!C326, "Compliant", "Breach")
  )
)</f>
        <v>N/A</v>
      </c>
      <c r="F22" s="23" t="str">
        <f>Assessment!C328</f>
        <v>Latvia does not receive a reference trajectory and its MTP is not assessed against the deficit resilience safeguard.</v>
      </c>
    </row>
    <row r="23" spans="1:34" ht="19.149999999999999" customHeight="1" x14ac:dyDescent="0.7">
      <c r="A23" s="113" t="s">
        <v>461</v>
      </c>
      <c r="B23" s="79" t="s">
        <v>716</v>
      </c>
      <c r="C23" s="79" t="s">
        <v>977</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str">
        <f>IF(Receives_reference_trajectory,Assessment!C338,Assessment!C347)</f>
        <v>Latvia is required to meet the structural primary balance condition without a safeguard. This condition is met, although the safeguard threshold is not.</v>
      </c>
    </row>
    <row r="24" spans="1:34" ht="19.149999999999999" customHeight="1" x14ac:dyDescent="0.7">
      <c r="A24" s="113"/>
      <c r="B24" s="254" t="s">
        <v>950</v>
      </c>
      <c r="C24" s="254"/>
      <c r="D24" s="76"/>
      <c r="E24" s="79"/>
    </row>
    <row r="25" spans="1:34" ht="23.65" thickBot="1" x14ac:dyDescent="0.75">
      <c r="A25" s="113"/>
      <c r="B25" s="74" t="s">
        <v>509</v>
      </c>
      <c r="C25" s="74"/>
      <c r="D25" s="75" t="str">
        <f>IF(E23="At risk","⚠",IF(E23="Compliant","☑",IF(E23="Breach","⮽","☐")))</f>
        <v>☑</v>
      </c>
      <c r="E25" s="74" t="str">
        <f>IF(COUNTIF(E11:E22,"Breach")&gt;0,"Breach",IF(COUNTIF(E14:E22,"At risk")&gt;0,"At risk","Compliant"))</f>
        <v>Compliant</v>
      </c>
      <c r="F25" s="74" t="str">
        <f>IF(Receives_reference_trajectory,Assessment!C352,Assessment!C356)</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row r="27" spans="1:34" customFormat="1" ht="19.149999999999999" customHeight="1" x14ac:dyDescent="0.45">
      <c r="J27" s="23"/>
      <c r="K27" s="23"/>
      <c r="L27" s="23"/>
      <c r="M27" s="23"/>
      <c r="N27" s="23"/>
      <c r="O27" s="23"/>
      <c r="P27" s="23"/>
      <c r="Q27" s="23"/>
      <c r="R27" s="23"/>
      <c r="S27" s="23"/>
      <c r="T27" s="23"/>
      <c r="U27" s="23"/>
      <c r="V27" s="23"/>
    </row>
    <row r="28" spans="1:34" customFormat="1" ht="19.149999999999999" customHeight="1" x14ac:dyDescent="0.45">
      <c r="B28" s="23"/>
      <c r="C28" s="23"/>
      <c r="J28" s="23"/>
      <c r="K28" s="23"/>
      <c r="L28" s="23"/>
      <c r="M28" s="23"/>
      <c r="N28" s="23"/>
      <c r="O28" s="23"/>
      <c r="P28" s="23"/>
      <c r="Q28" s="23"/>
      <c r="R28" s="23"/>
      <c r="S28" s="23"/>
      <c r="T28" s="23"/>
      <c r="U28" s="23"/>
      <c r="V28" s="23"/>
    </row>
    <row r="29" spans="1:34" customFormat="1" ht="19.149999999999999" customHeight="1" x14ac:dyDescent="0.45">
      <c r="J29" s="23"/>
      <c r="K29" s="23"/>
      <c r="L29" s="23"/>
      <c r="M29" s="23"/>
      <c r="N29" s="23"/>
      <c r="O29" s="23"/>
      <c r="P29" s="23"/>
      <c r="Q29" s="23"/>
      <c r="R29" s="23"/>
      <c r="S29" s="23"/>
      <c r="T29" s="23"/>
      <c r="U29" s="23"/>
      <c r="V29" s="23"/>
    </row>
    <row r="30" spans="1:34" customFormat="1" ht="19.149999999999999" customHeight="1" x14ac:dyDescent="0.45">
      <c r="J30" s="23"/>
      <c r="K30" s="23"/>
      <c r="L30" s="23"/>
      <c r="M30" s="23"/>
      <c r="N30" s="23"/>
      <c r="O30" s="23"/>
      <c r="P30" s="23"/>
      <c r="Q30" s="23"/>
      <c r="R30" s="23"/>
      <c r="S30" s="23"/>
      <c r="T30" s="23"/>
      <c r="U30" s="23"/>
      <c r="V30" s="23"/>
    </row>
    <row r="31" spans="1:34" customFormat="1" ht="19.149999999999999" customHeight="1" x14ac:dyDescent="0.45">
      <c r="J31" s="23"/>
      <c r="K31" s="23"/>
      <c r="L31" s="23"/>
      <c r="M31" s="23"/>
      <c r="N31" s="23"/>
      <c r="O31" s="23"/>
      <c r="P31" s="23"/>
      <c r="Q31" s="23"/>
      <c r="R31" s="23"/>
      <c r="S31" s="23"/>
      <c r="T31" s="23"/>
      <c r="U31" s="23"/>
      <c r="V31" s="23"/>
    </row>
    <row r="32" spans="1:34" customFormat="1" ht="19.149999999999999" customHeight="1" x14ac:dyDescent="0.45">
      <c r="J32" s="23"/>
      <c r="K32" s="23"/>
      <c r="L32" s="23"/>
      <c r="M32" s="23"/>
      <c r="N32" s="23"/>
      <c r="O32" s="23"/>
      <c r="P32" s="23"/>
      <c r="Q32" s="23"/>
      <c r="R32" s="23"/>
      <c r="S32" s="23"/>
      <c r="T32" s="23"/>
      <c r="U32" s="23"/>
      <c r="V32" s="23"/>
    </row>
    <row r="33" spans="2:22" customFormat="1" ht="19.149999999999999" customHeight="1" x14ac:dyDescent="0.45">
      <c r="J33" s="23"/>
      <c r="K33" s="23"/>
      <c r="L33" s="23"/>
      <c r="M33" s="23"/>
      <c r="N33" s="23"/>
      <c r="O33" s="23"/>
      <c r="P33" s="23"/>
      <c r="Q33" s="23"/>
      <c r="R33" s="23"/>
      <c r="S33" s="23"/>
      <c r="T33" s="23"/>
      <c r="U33" s="23"/>
      <c r="V33" s="23"/>
    </row>
    <row r="34" spans="2:22" customFormat="1" ht="19.350000000000001" customHeight="1" x14ac:dyDescent="0.45">
      <c r="J34" s="23"/>
      <c r="K34" s="23"/>
      <c r="L34" s="23"/>
      <c r="M34" s="23"/>
      <c r="N34" s="23"/>
      <c r="O34" s="23"/>
      <c r="P34" s="23"/>
      <c r="Q34" s="23"/>
      <c r="R34" s="23"/>
      <c r="S34" s="23"/>
      <c r="T34" s="23"/>
      <c r="U34" s="23"/>
      <c r="V34" s="23"/>
    </row>
    <row r="35" spans="2:22" customFormat="1" x14ac:dyDescent="0.45">
      <c r="J35" s="23"/>
      <c r="K35" s="23"/>
      <c r="L35" s="23"/>
      <c r="M35" s="23"/>
      <c r="N35" s="23"/>
      <c r="O35" s="23"/>
      <c r="P35" s="23"/>
      <c r="Q35" s="23"/>
      <c r="R35" s="23"/>
      <c r="S35" s="23"/>
      <c r="T35" s="23"/>
      <c r="U35" s="23"/>
      <c r="V35" s="23"/>
    </row>
    <row r="36" spans="2:22"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3"/>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3"/>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3"/>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3"/>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3"/>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872</v>
      </c>
    </row>
    <row r="2" spans="2:23" customFormat="1" ht="23.25" x14ac:dyDescent="0.7">
      <c r="B2" s="14" t="str">
        <f>"Latest outturn data to "&amp;OutturnThrough&amp;IF(OutturnThrough=AssessmentEnd,""," and "&amp;ScenarioName)</f>
        <v>Latest outturn data to 2025 and Annual Progress Report 2026</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17.182600000000001</v>
      </c>
      <c r="E6" s="156">
        <f>IF(E$4&lt;=OutturnThrough,IF(ISNUMBER('Step 2 - Update outturn data'!F6),'Step 2 - Update outturn data'!F6,""),IF(ISNUMBER('Step 3 (IMPL) - Enter outlook'!E8),'Step 3 (IMPL) - Enter outlook'!E8,""))</f>
        <v>18.413499999999999</v>
      </c>
      <c r="F6" s="156">
        <f>IF(F$4&lt;=OutturnThrough,IF(ISNUMBER('Step 2 - Update outturn data'!G6),'Step 2 - Update outturn data'!G6,""),IF(ISNUMBER('Step 3 (IMPL) - Enter outlook'!F8),'Step 3 (IMPL) - Enter outlook'!F8,""))</f>
        <v>19.8324</v>
      </c>
      <c r="G6" s="156">
        <f>IF(G$4&lt;=OutturnThrough,IF(ISNUMBER('Step 2 - Update outturn data'!H6),'Step 2 - Update outturn data'!H6,""),IF(ISNUMBER('Step 3 (IMPL) - Enter outlook'!G8),'Step 3 (IMPL) - Enter outlook'!G8,""))</f>
        <v>20.588509988199995</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0.28689999999999999</v>
      </c>
      <c r="E7" s="156">
        <f>IF(E$4&lt;=OutturnThrough,IF(ISNUMBER('Step 2 - Update outturn data'!F7),'Step 2 - Update outturn data'!F7,""),IF(ISNUMBER('Step 3 (IMPL) - Enter outlook'!E9),'Step 3 (IMPL) - Enter outlook'!E9,""))</f>
        <v>0.44330000000000003</v>
      </c>
      <c r="F7" s="156">
        <f>IF(F$4&lt;=OutturnThrough,IF(ISNUMBER('Step 2 - Update outturn data'!G7),'Step 2 - Update outturn data'!G7,""),IF(ISNUMBER('Step 3 (IMPL) - Enter outlook'!F9),'Step 3 (IMPL) - Enter outlook'!F9,""))</f>
        <v>0.4758</v>
      </c>
      <c r="G7" s="156">
        <f>IF(G$4&lt;=OutturnThrough,IF(ISNUMBER('Step 2 - Update outturn data'!H7),'Step 2 - Update outturn data'!H7,""),IF(ISNUMBER('Step 3 (IMPL) - Enter outlook'!G9),'Step 3 (IMPL) - Enter outlook'!G9,""))</f>
        <v>0.59346037659999995</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-2.3600000000000001E-3</v>
      </c>
      <c r="E8" s="156">
        <f>IF(E$4&lt;=OutturnThrough,IF(ISNUMBER('Step 2 - Update outturn data'!F8),'Step 2 - Update outturn data'!F8,""),IF(ISNUMBER('Step 3 (IMPL) - Enter outlook'!E10),'Step 3 (IMPL) - Enter outlook'!E10,""))</f>
        <v>3.14E-3</v>
      </c>
      <c r="F8" s="156">
        <f>IF(F$4&lt;=OutturnThrough,IF(ISNUMBER('Step 2 - Update outturn data'!G8),'Step 2 - Update outturn data'!G8,""),IF(ISNUMBER('Step 3 (IMPL) - Enter outlook'!F10),'Step 3 (IMPL) - Enter outlook'!F10,""))</f>
        <v>6.7000000000000002E-3</v>
      </c>
      <c r="G8" s="156">
        <f>IF(G$4&lt;=OutturnThrough,IF(ISNUMBER('Step 2 - Update outturn data'!H8),'Step 2 - Update outturn data'!H8,""),IF(ISNUMBER('Step 3 (IMPL) - Enter outlook'!G10),'Step 3 (IMPL) - Enter outlook'!G10,""))</f>
        <v>9.130159639999998E-3</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0.75171979999999994</v>
      </c>
      <c r="E9" s="156">
        <f>IF(E$4&lt;=OutturnThrough,IF(ISNUMBER('Step 2 - Update outturn data'!F9),'Step 2 - Update outturn data'!F9,""),IF(ISNUMBER('Step 3 (IMPL) - Enter outlook'!E11),'Step 3 (IMPL) - Enter outlook'!E11,""))</f>
        <v>0.77239370000000007</v>
      </c>
      <c r="F9" s="156">
        <f>IF(F$4&lt;=OutturnThrough,IF(ISNUMBER('Step 2 - Update outturn data'!G9),'Step 2 - Update outturn data'!G9,""),IF(ISNUMBER('Step 3 (IMPL) - Enter outlook'!F11),'Step 3 (IMPL) - Enter outlook'!F11,""))</f>
        <v>0.81749779999999994</v>
      </c>
      <c r="G9" s="156">
        <f>IF(G$4&lt;=OutturnThrough,IF(ISNUMBER('Step 2 - Update outturn data'!H9),'Step 2 - Update outturn data'!H9,""),IF(ISNUMBER('Step 3 (IMPL) - Enter outlook'!G11),'Step 3 (IMPL) - Enter outlook'!G11,""))</f>
        <v>0.91301596399999985</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0.15825</v>
      </c>
      <c r="E10" s="156">
        <f>IF(E$4&lt;=OutturnThrough,IF(ISNUMBER('Step 2 - Update outturn data'!F10),'Step 2 - Update outturn data'!F10,""),IF(ISNUMBER('Step 3 (IMPL) - Enter outlook'!E12),'Step 3 (IMPL) - Enter outlook'!E12,""))</f>
        <v>0.13764999999999999</v>
      </c>
      <c r="F10" s="156">
        <f>IF(F$4&lt;=OutturnThrough,IF(ISNUMBER('Step 2 - Update outturn data'!G10),'Step 2 - Update outturn data'!G10,""),IF(ISNUMBER('Step 3 (IMPL) - Enter outlook'!F12),'Step 3 (IMPL) - Enter outlook'!F12,""))</f>
        <v>0.19919999999999999</v>
      </c>
      <c r="G10" s="156">
        <f>IF(G$4&lt;=OutturnThrough,IF(ISNUMBER('Step 2 - Update outturn data'!H10),'Step 2 - Update outturn data'!H10,""),IF(ISNUMBER('Step 3 (IMPL) - Enter outlook'!G12),'Step 3 (IMPL) - Enter outlook'!G12,""))</f>
        <v>0.22825399099999996</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v>
      </c>
      <c r="E11" s="156">
        <f>IF(E$4&lt;=OutturnThrough,IF(ISNUMBER('Step 2 - Update outturn data'!F11),'Step 2 - Update outturn data'!F11,""),IF(ISNUMBER('Step 3 (IMPL) - Enter outlook'!E13),'Step 3 (IMPL) - Enter outlook'!E13,""))</f>
        <v>0</v>
      </c>
      <c r="F11" s="156">
        <f>IF(F$4&lt;=OutturnThrough,IF(ISNUMBER('Step 2 - Update outturn data'!G11),'Step 2 - Update outturn data'!G11,""),IF(ISNUMBER('Step 3 (IMPL) - Enter outlook'!F13),'Step 3 (IMPL) - Enter outlook'!F13,""))</f>
        <v>0</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16.005510000000005</v>
      </c>
      <c r="E12" s="156">
        <f>IF(E$4&lt;=OutturnThrough,IF(ISNUMBER('Step 2 - Update outturn data'!F12),'Step 2 - Update outturn data'!F12,""),IF(ISNUMBER('Step 3 (IMPL) - Enter outlook'!E14),'Step 3 (IMPL) - Enter outlook'!E14,""))</f>
        <v>17.073910000000001</v>
      </c>
      <c r="F12" s="156">
        <f>IF(F$4&lt;=OutturnThrough,IF(ISNUMBER('Step 2 - Update outturn data'!G12),'Step 2 - Update outturn data'!G12,""),IF(ISNUMBER('Step 3 (IMPL) - Enter outlook'!F14),'Step 3 (IMPL) - Enter outlook'!F14,""))</f>
        <v>17.899699999999999</v>
      </c>
      <c r="G12" s="156">
        <f>IF(G$4&lt;=OutturnThrough,IF(ISNUMBER('Step 2 - Update outturn data'!H12),'Step 2 - Update outturn data'!H12,""),IF(ISNUMBER('Step 3 (IMPL) - Enter outlook'!G14),'Step 3 (IMPL) - Enter outlook'!G14,""))</f>
        <v>18.853779656599993</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-7.9128400000000002E-2</v>
      </c>
      <c r="E13" s="156">
        <f>IF(E$4&lt;=OutturnThrough,IF(ISNUMBER('Step 2 - Update outturn data'!F13),'Step 2 - Update outturn data'!F13,""),IF(ISNUMBER('Step 3 (IMPL) - Enter outlook'!E15),'Step 3 (IMPL) - Enter outlook'!E15,""))</f>
        <v>0.24391380000000004</v>
      </c>
      <c r="F13" s="156">
        <f>IF(F$4&lt;=OutturnThrough,IF(ISNUMBER('Step 2 - Update outturn data'!G13),'Step 2 - Update outturn data'!G13,""),IF(ISNUMBER('Step 3 (IMPL) - Enter outlook'!F15),'Step 3 (IMPL) - Enter outlook'!F15,""))</f>
        <v>4.3026199999999994E-2</v>
      </c>
      <c r="G13" s="156">
        <f>IF(G$4&lt;=OutturnThrough,IF(ISNUMBER('Step 2 - Update outturn data'!H13),'Step 2 - Update outturn data'!H13,""),IF(ISNUMBER('Step 3 (IMPL) - Enter outlook'!G15),'Step 3 (IMPL) - Enter outlook'!G15,""))</f>
        <v>-9.1301596399999976E-2</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1.0249299999999999</v>
      </c>
      <c r="E14" s="156">
        <f>IF(E$4&lt;=OutturnThrough,IF(ISNUMBER('Step 2 - Update outturn data'!F14),'Step 2 - Update outturn data'!F14,""),IF(ISNUMBER('Step 3 (IMPL) - Enter outlook'!E16),'Step 3 (IMPL) - Enter outlook'!E16,""))</f>
        <v>1.10371</v>
      </c>
      <c r="F14" s="156">
        <f>IF(F$4&lt;=OutturnThrough,IF(ISNUMBER('Step 2 - Update outturn data'!G14),'Step 2 - Update outturn data'!G14,""),IF(ISNUMBER('Step 3 (IMPL) - Enter outlook'!F16),'Step 3 (IMPL) - Enter outlook'!F16,""))</f>
        <v>1.36114</v>
      </c>
      <c r="G14" s="156">
        <f>IF(G$4&lt;=OutturnThrough,IF(ISNUMBER('Step 2 - Update outturn data'!H14),'Step 2 - Update outturn data'!H14,""),IF(ISNUMBER('Step 3 (IMPL) - Enter outlook'!G16),'Step 3 (IMPL) - Enter outlook'!G16,""))</f>
        <v>2.1573508744079999</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f>IF(E$4&lt;=OutturnThrough,IF(ISNUMBER('Step 2 - Update outturn data'!F15),'Step 2 - Update outturn data'!F15,""),IF(ISNUMBER('Step 3 (IMPL) - Enter outlook'!E17),'Step 3 (IMPL) - Enter outlook'!E17,""))</f>
        <v>5.1512647831902569</v>
      </c>
      <c r="F15" s="156">
        <f>IF(F$4&lt;=OutturnThrough,IF(ISNUMBER('Step 2 - Update outturn data'!G15),'Step 2 - Update outturn data'!G15,""),IF(ISNUMBER('Step 3 (IMPL) - Enter outlook'!F17),'Step 3 (IMPL) - Enter outlook'!F17,""))</f>
        <v>4.5845608885135114</v>
      </c>
      <c r="G15" s="156">
        <f>IF(G$4&lt;=OutturnThrough,IF(ISNUMBER('Step 2 - Update outturn data'!H15),'Step 2 - Update outturn data'!H15,""),IF(ISNUMBER('Step 3 (IMPL) - Enter outlook'!G17),'Step 3 (IMPL) - Enter outlook'!G17,""))</f>
        <v>5.3</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5.1512647831902569</v>
      </c>
      <c r="F16" s="156">
        <f>IF(F$4&lt;=OutturnThrough,IF(ISNUMBER('Step 2 - Update outturn data'!G16),'Step 2 - Update outturn data'!G16,""),IF(ISNUMBER('Step 3 (IMPL) - Enter outlook'!F18),'Step 3 (IMPL) - Enter outlook'!F18,""))</f>
        <v>9.9719885422176802</v>
      </c>
      <c r="G16" s="156">
        <f>IF(G$4&lt;=OutturnThrough,IF(ISNUMBER('Step 2 - Update outturn data'!H16),'Step 2 - Update outturn data'!H16,""),IF(ISNUMBER('Step 3 (IMPL) - Enter outlook'!G18),'Step 3 (IMPL) - Enter outlook'!G18,""))</f>
        <v>15.800503934955202</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f>IF(D$4&lt;=OutturnThrough,IF(ISNUMBER('Step 2 - Update outturn data'!E17),'Step 2 - Update outturn data'!E17,""),IF(ISNUMBER('Step 3 (IMPL) - Enter outlook'!D19),'Step 3 (IMPL) - Enter outlook'!D19,""))</f>
        <v>-2.342774528487884</v>
      </c>
      <c r="E17" s="156">
        <f>IF(E$4&lt;=OutturnThrough,IF(ISNUMBER('Step 2 - Update outturn data'!F17),'Step 2 - Update outturn data'!F17,""),IF(ISNUMBER('Step 3 (IMPL) - Enter outlook'!E19),'Step 3 (IMPL) - Enter outlook'!E19,""))</f>
        <v>-1.7868607680254289</v>
      </c>
      <c r="F17" s="156">
        <f>IF(F$4&lt;=OutturnThrough,IF(ISNUMBER('Step 2 - Update outturn data'!G17),'Step 2 - Update outturn data'!G17,""),IF(ISNUMBER('Step 3 (IMPL) - Enter outlook'!F19),'Step 3 (IMPL) - Enter outlook'!F19,""))</f>
        <v>-2.5407774797681517</v>
      </c>
      <c r="G17" s="156">
        <f>IF(G$4&lt;=OutturnThrough,IF(ISNUMBER('Step 2 - Update outturn data'!H17),'Step 2 - Update outturn data'!H17,""),IF(ISNUMBER('Step 3 (IMPL) - Enter outlook'!G19),'Step 3 (IMPL) - Enter outlook'!G19,""))</f>
        <v>-3</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-2.0901399999999999</v>
      </c>
      <c r="E18" s="156">
        <f>IF(E$4&lt;=OutturnThrough,IF(ISNUMBER('Step 2 - Update outturn data'!F18),'Step 2 - Update outturn data'!F18,""),IF(ISNUMBER('Step 3 (IMPL) - Enter outlook'!E20),'Step 3 (IMPL) - Enter outlook'!E20,""))</f>
        <v>-1.3087</v>
      </c>
      <c r="F18" s="156">
        <f>IF(F$4&lt;=OutturnThrough,IF(ISNUMBER('Step 2 - Update outturn data'!G18),'Step 2 - Update outturn data'!G18,""),IF(ISNUMBER('Step 3 (IMPL) - Enter outlook'!F20),'Step 3 (IMPL) - Enter outlook'!F20,""))</f>
        <v>-2.5189499999999998</v>
      </c>
      <c r="G18" s="156">
        <f>IF(G$4&lt;=OutturnThrough,IF(ISNUMBER('Step 2 - Update outturn data'!H18),'Step 2 - Update outturn data'!H18,""),IF(ISNUMBER('Step 3 (IMPL) - Enter outlook'!G20),'Step 3 (IMPL) - Enter outlook'!G20,""))</f>
        <v>-2.6</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-1.3650599999999999</v>
      </c>
      <c r="E19" s="156">
        <f>IF(E$4&lt;=OutturnThrough,IF(ISNUMBER('Step 2 - Update outturn data'!F19),'Step 2 - Update outturn data'!F19,""),IF(ISNUMBER('Step 3 (IMPL) - Enter outlook'!E21),'Step 3 (IMPL) - Enter outlook'!E21,""))</f>
        <v>-0.21811</v>
      </c>
      <c r="F19" s="156">
        <f>IF(F$4&lt;=OutturnThrough,IF(ISNUMBER('Step 2 - Update outturn data'!G19),'Step 2 - Update outturn data'!G19,""),IF(ISNUMBER('Step 3 (IMPL) - Enter outlook'!F21),'Step 3 (IMPL) - Enter outlook'!F21,""))</f>
        <v>-1.41309</v>
      </c>
      <c r="G19" s="156">
        <f>IF(G$4&lt;=OutturnThrough,IF(ISNUMBER('Step 2 - Update outturn data'!H19),'Step 2 - Update outturn data'!H19,""),IF(ISNUMBER('Step 3 (IMPL) - Enter outlook'!G21),'Step 3 (IMPL) - Enter outlook'!G21,""))</f>
        <v>-1.3</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f>IF(D$4&lt;=OutturnThrough,IF(ISNUMBER('Step 2 - Update outturn data'!E20),'Step 2 - Update outturn data'!E20,""),IF(ISNUMBER('Step 3 (IMPL) - Enter outlook'!D22),'Step 3 (IMPL) - Enter outlook'!D22,""))</f>
        <v>44.430318318075436</v>
      </c>
      <c r="E20" s="156">
        <f>IF(E$4&lt;=OutturnThrough,IF(ISNUMBER('Step 2 - Update outturn data'!F20),'Step 2 - Update outturn data'!F20,""),IF(ISNUMBER('Step 3 (IMPL) - Enter outlook'!E22),'Step 3 (IMPL) - Enter outlook'!E22,""))</f>
        <v>46.249535696627248</v>
      </c>
      <c r="F20" s="156">
        <f>IF(F$4&lt;=OutturnThrough,IF(ISNUMBER('Step 2 - Update outturn data'!G20),'Step 2 - Update outturn data'!G20,""),IF(ISNUMBER('Step 3 (IMPL) - Enter outlook'!F22),'Step 3 (IMPL) - Enter outlook'!F22,""))</f>
        <v>46.887477862325753</v>
      </c>
      <c r="G20" s="156">
        <f>IF(G$4&lt;=OutturnThrough,IF(ISNUMBER('Step 2 - Update outturn data'!H20),'Step 2 - Update outturn data'!H20,""),IF(ISNUMBER('Step 3 (IMPL) - Enter outlook'!G22),'Step 3 (IMPL) - Enter outlook'!G22,""))</f>
        <v>47.9</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f>IF(D$4&lt;=OutturnThrough,IF(ISNUMBER('Step 2 - Update outturn data'!E21),'Step 2 - Update outturn data'!E21,""),IF(ISNUMBER('Step 3 (IMPL) - Enter outlook'!D23),'Step 3 (IMPL) - Enter outlook'!D23,""))</f>
        <v>3.8913967677850185</v>
      </c>
      <c r="E21" s="156">
        <f>IF(E$4&lt;=OutturnThrough,IF(ISNUMBER('Step 2 - Update outturn data'!F21),'Step 2 - Update outturn data'!F21,""),IF(ISNUMBER('Step 3 (IMPL) - Enter outlook'!E23),'Step 3 (IMPL) - Enter outlook'!E23,""))</f>
        <v>3.0084398668710008</v>
      </c>
      <c r="F21" s="156">
        <f>IF(F$4&lt;=OutturnThrough,IF(ISNUMBER('Step 2 - Update outturn data'!G21),'Step 2 - Update outturn data'!G21,""),IF(ISNUMBER('Step 3 (IMPL) - Enter outlook'!F23),'Step 3 (IMPL) - Enter outlook'!F23,""))</f>
        <v>3.1896844248388225</v>
      </c>
      <c r="G21" s="156">
        <f>IF(G$4&lt;=OutturnThrough,IF(ISNUMBER('Step 2 - Update outturn data'!H21),'Step 2 - Update outturn data'!H21,""),IF(ISNUMBER('Step 3 (IMPL) - Enter outlook'!G23),'Step 3 (IMPL) - Enter outlook'!G23,""))</f>
        <v>0.9</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f>IF(D$4&lt;=OutturnThrough,IF(ISNUMBER('Step 2 - Update outturn data'!E22),'Step 2 - Update outturn data'!E22,""),IF(ISNUMBER('Step 3 (IMPL) - Enter outlook'!D24),'Step 3 (IMPL) - Enter outlook'!D24,""))</f>
        <v>-0.9414574313402313</v>
      </c>
      <c r="E22" s="156">
        <f>IF(E$4&lt;=OutturnThrough,IF(ISNUMBER('Step 2 - Update outturn data'!F22),'Step 2 - Update outturn data'!F22,""),IF(ISNUMBER('Step 3 (IMPL) - Enter outlook'!E24),'Step 3 (IMPL) - Enter outlook'!E24,""))</f>
        <v>-3.7310985009997299E-2</v>
      </c>
      <c r="F22" s="156">
        <f>IF(F$4&lt;=OutturnThrough,IF(ISNUMBER('Step 2 - Update outturn data'!G22),'Step 2 - Update outturn data'!G22,""),IF(ISNUMBER('Step 3 (IMPL) - Enter outlook'!F24),'Step 3 (IMPL) - Enter outlook'!F24,""))</f>
        <v>2.1381842045897326</v>
      </c>
      <c r="G22" s="156">
        <f>IF(G$4&lt;=OutturnThrough,IF(ISNUMBER('Step 2 - Update outturn data'!H22),'Step 2 - Update outturn data'!H22,""),IF(ISNUMBER('Step 3 (IMPL) - Enter outlook'!G24),'Step 3 (IMPL) - Enter outlook'!G24,""))</f>
        <v>2.6</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f>IF(D$4&lt;=OutturnThrough,IF(ISNUMBER('Step 2 - Update outturn data'!E23),'Step 2 - Update outturn data'!E23,""),IF(ISNUMBER('Step 3 (IMPL) - Enter outlook'!D25),'Step 3 (IMPL) - Enter outlook'!D25,""))</f>
        <v>10.672371603556009</v>
      </c>
      <c r="E23" s="156">
        <f>IF(E$4&lt;=OutturnThrough,IF(ISNUMBER('Step 2 - Update outturn data'!F23),'Step 2 - Update outturn data'!F23,""),IF(ISNUMBER('Step 3 (IMPL) - Enter outlook'!E25),'Step 3 (IMPL) - Enter outlook'!E25,""))</f>
        <v>2.7885650030008202</v>
      </c>
      <c r="F23" s="156">
        <f>IF(F$4&lt;=OutturnThrough,IF(ISNUMBER('Step 2 - Update outturn data'!G23),'Step 2 - Update outturn data'!G23,""),IF(ISNUMBER('Step 3 (IMPL) - Enter outlook'!F25),'Step 3 (IMPL) - Enter outlook'!F25,""))</f>
        <v>3.623853135142574</v>
      </c>
      <c r="G23" s="156">
        <f>IF(G$4&lt;=OutturnThrough,IF(ISNUMBER('Step 2 - Update outturn data'!H23),'Step 2 - Update outturn data'!H23,""),IF(ISNUMBER('Step 3 (IMPL) - Enter outlook'!G25),'Step 3 (IMPL) - Enter outlook'!G25,""))</f>
        <v>3.3</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f>IF(D$4&lt;=OutturnThrough,IF(ISNUMBER('Step 2 - Update outturn data'!E24),'Step 2 - Update outturn data'!E24,""),IF(ISNUMBER('Step 3 (IMPL) - Enter outlook'!D26),'Step 3 (IMPL) - Enter outlook'!D26,""))</f>
        <v>9.630438336653846</v>
      </c>
      <c r="E24" s="156">
        <f>IF(E$4&lt;=OutturnThrough,IF(ISNUMBER('Step 2 - Update outturn data'!F24),'Step 2 - Update outturn data'!F24,""),IF(ISNUMBER('Step 3 (IMPL) - Enter outlook'!E26),'Step 3 (IMPL) - Enter outlook'!E26,""))</f>
        <v>2.7502135769205571</v>
      </c>
      <c r="F24" s="156">
        <f>IF(F$4&lt;=OutturnThrough,IF(ISNUMBER('Step 2 - Update outturn data'!G24),'Step 2 - Update outturn data'!G24,""),IF(ISNUMBER('Step 3 (IMPL) - Enter outlook'!F26),'Step 3 (IMPL) - Enter outlook'!F26,""))</f>
        <v>5.8395219950654553</v>
      </c>
      <c r="G24" s="156">
        <f>IF(G$4&lt;=OutturnThrough,IF(ISNUMBER('Step 2 - Update outturn data'!H24),'Step 2 - Update outturn data'!H24,""),IF(ISNUMBER('Step 3 (IMPL) - Enter outlook'!G26),'Step 3 (IMPL) - Enter outlook'!G26,""))</f>
        <v>6.1</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f>IF(D$4&lt;=OutturnThrough,IF(ISNUMBER('Step 2 - Update outturn data'!E25),'Step 2 - Update outturn data'!E25,""),IF(ISNUMBER('Step 3 (IMPL) - Enter outlook'!D27),'Step 3 (IMPL) - Enter outlook'!D27,""))</f>
        <v>1.0494115850457675</v>
      </c>
      <c r="E25" s="156">
        <f>IF(E$4&lt;=OutturnThrough,IF(ISNUMBER('Step 2 - Update outturn data'!F25),'Step 2 - Update outturn data'!F25,""),IF(ISNUMBER('Step 3 (IMPL) - Enter outlook'!E27),'Step 3 (IMPL) - Enter outlook'!E27,""))</f>
        <v>0.56895479625649337</v>
      </c>
      <c r="F25" s="156">
        <f>IF(F$4&lt;=OutturnThrough,IF(ISNUMBER('Step 2 - Update outturn data'!G25),'Step 2 - Update outturn data'!G25,""),IF(ISNUMBER('Step 3 (IMPL) - Enter outlook'!F27),'Step 3 (IMPL) - Enter outlook'!F27,""))</f>
        <v>0.90465793805487582</v>
      </c>
      <c r="G25" s="156">
        <f>IF(G$4&lt;=OutturnThrough,IF(ISNUMBER('Step 2 - Update outturn data'!H25),'Step 2 - Update outturn data'!H25,""),IF(ISNUMBER('Step 3 (IMPL) - Enter outlook'!G27),'Step 3 (IMPL) - Enter outlook'!G27,""))</f>
        <v>1.9</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f>IF(D$4&lt;=OutturnThrough,IF(ISNUMBER('Step 2 - Update outturn data'!E26),'Step 2 - Update outturn data'!E26,""),IF(ISNUMBER('Step 3 (IMPL) - Enter outlook'!D28),'Step 3 (IMPL) - Enter outlook'!D28,""))</f>
        <v>-0.6672176438640709</v>
      </c>
      <c r="E26" s="156">
        <f>IF(E$4&lt;=OutturnThrough,IF(ISNUMBER('Step 2 - Update outturn data'!F26),'Step 2 - Update outturn data'!F26,""),IF(ISNUMBER('Step 3 (IMPL) - Enter outlook'!E28),'Step 3 (IMPL) - Enter outlook'!E28,""))</f>
        <v>-1.2657760235122772</v>
      </c>
      <c r="F26" s="156">
        <f>IF(F$4&lt;=OutturnThrough,IF(ISNUMBER('Step 2 - Update outturn data'!G26),'Step 2 - Update outturn data'!G26,""),IF(ISNUMBER('Step 3 (IMPL) - Enter outlook'!F28),'Step 3 (IMPL) - Enter outlook'!F28,""))</f>
        <v>-5.9072774617829893E-2</v>
      </c>
      <c r="G26" s="156">
        <f>IF(G$4&lt;=OutturnThrough,IF(ISNUMBER('Step 2 - Update outturn data'!H26),'Step 2 - Update outturn data'!H26,""),IF(ISNUMBER('Step 3 (IMPL) - Enter outlook'!G28),'Step 3 (IMPL) - Enter outlook'!G28,""))</f>
        <v>-1</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39.5642</v>
      </c>
      <c r="E27" s="157">
        <f>IF(E$4&lt;=OutturnThrough,IF(ISNUMBER('Step 2 - Update outturn data'!F27),'Step 2 - Update outturn data'!F27,""),IF(ISNUMBER('Step 3 (IMPL) - Enter outlook'!E29),'Step 3 (IMPL) - Enter outlook'!E29,""))</f>
        <v>40.652300000000004</v>
      </c>
      <c r="F27" s="157">
        <f>IF(F$4&lt;=OutturnThrough,IF(ISNUMBER('Step 2 - Update outturn data'!G27),'Step 2 - Update outturn data'!G27,""),IF(ISNUMBER('Step 3 (IMPL) - Enter outlook'!F29),'Step 3 (IMPL) - Enter outlook'!F29,""))</f>
        <v>43.026199999999996</v>
      </c>
      <c r="G27" s="157">
        <f>IF(G$4&lt;=OutturnThrough,IF(ISNUMBER('Step 2 - Update outturn data'!H27),'Step 2 - Update outturn data'!H27,""),IF(ISNUMBER('Step 3 (IMPL) - Enter outlook'!G29),'Step 3 (IMPL) - Enter outlook'!G29,""))</f>
        <v>45.65079819999999</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9.1</v>
      </c>
      <c r="F34" s="45">
        <f>IF(ISNUMBER('Step 3 (MTP) - Plan and prior'!F16),'Step 3 (MTP) - Plan and prior'!F16,"")</f>
        <v>5.8999999999999995</v>
      </c>
      <c r="G34" s="45">
        <f>IF(ISNUMBER('Step 3 (MTP) - Plan and prior'!G16),'Step 3 (MTP) - Plan and prior'!G16,"")</f>
        <v>3.5999999999999996</v>
      </c>
      <c r="H34" s="45">
        <f>IF(ISNUMBER('Step 3 (MTP) - Plan and prior'!H16),'Step 3 (MTP) - Plan and prior'!H16,"")</f>
        <v>3.4000000000000004</v>
      </c>
      <c r="I34" s="45">
        <f>IF(ISNUMBER('Step 3 (MTP) - Plan and prior'!I16),'Step 3 (MTP) - Plan and prior'!I16,"")</f>
        <v>3.3000000000000003</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-2.2000000000000002</v>
      </c>
      <c r="E35" s="59">
        <f>IF(ISNUMBER('Step 3 (MTP) - Plan and prior'!E17),'Step 3 (MTP) - Plan and prior'!E17,"")</f>
        <v>-2.6</v>
      </c>
      <c r="F35" s="59">
        <f>IF(ISNUMBER('Step 3 (MTP) - Plan and prior'!F17),'Step 3 (MTP) - Plan and prior'!F17,"")</f>
        <v>-2.9</v>
      </c>
      <c r="G35" s="59">
        <f>IF(ISNUMBER('Step 3 (MTP) - Plan and prior'!G17),'Step 3 (MTP) - Plan and prior'!G17,"")</f>
        <v>-2.9</v>
      </c>
      <c r="H35" s="59">
        <f>IF(ISNUMBER('Step 3 (MTP) - Plan and prior'!H17),'Step 3 (MTP) - Plan and prior'!H17,"")</f>
        <v>-2.9</v>
      </c>
      <c r="I35" s="59">
        <f>IF(ISNUMBER('Step 3 (MTP) - Plan and prior'!I17),'Step 3 (MTP) - Plan and prior'!I17,"")</f>
        <v>-2.9</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-1.8</v>
      </c>
      <c r="E36" s="59">
        <f>IF(ISNUMBER('Step 3 (MTP) - Plan and prior'!E18),'Step 3 (MTP) - Plan and prior'!E18,"")</f>
        <v>-1.9</v>
      </c>
      <c r="F36" s="59">
        <f>IF(ISNUMBER('Step 3 (MTP) - Plan and prior'!F18),'Step 3 (MTP) - Plan and prior'!F18,"")</f>
        <v>-2.5</v>
      </c>
      <c r="G36" s="59">
        <f>IF(ISNUMBER('Step 3 (MTP) - Plan and prior'!G18),'Step 3 (MTP) - Plan and prior'!G18,"")</f>
        <v>-2.6</v>
      </c>
      <c r="H36" s="59">
        <f>IF(ISNUMBER('Step 3 (MTP) - Plan and prior'!H18),'Step 3 (MTP) - Plan and prior'!H18,"")</f>
        <v>-2.7</v>
      </c>
      <c r="I36" s="59">
        <f>IF(ISNUMBER('Step 3 (MTP) - Plan and prior'!I18),'Step 3 (MTP) - Plan and prior'!I18,"")</f>
        <v>-2.7</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-1.2</v>
      </c>
      <c r="E37" s="59">
        <f>IF(ISNUMBER('Step 3 (MTP) - Plan and prior'!E19),'Step 3 (MTP) - Plan and prior'!E19,"")</f>
        <v>-0.8</v>
      </c>
      <c r="F37" s="59">
        <f>IF(ISNUMBER('Step 3 (MTP) - Plan and prior'!F19),'Step 3 (MTP) - Plan and prior'!F19,"")</f>
        <v>-1.3</v>
      </c>
      <c r="G37" s="59">
        <f>IF(ISNUMBER('Step 3 (MTP) - Plan and prior'!G19),'Step 3 (MTP) - Plan and prior'!G19,"")</f>
        <v>-1.3</v>
      </c>
      <c r="H37" s="59">
        <f>IF(ISNUMBER('Step 3 (MTP) - Plan and prior'!H19),'Step 3 (MTP) - Plan and prior'!H19,"")</f>
        <v>-1.3</v>
      </c>
      <c r="I37" s="59">
        <f>IF(ISNUMBER('Step 3 (MTP) - Plan and prior'!I19),'Step 3 (MTP) - Plan and prior'!I19,"")</f>
        <v>-1.3</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43.6</v>
      </c>
      <c r="E38" s="59">
        <f>IF(ISNUMBER('Step 3 (MTP) - Plan and prior'!E20),'Step 3 (MTP) - Plan and prior'!E20,"")</f>
        <v>45.8</v>
      </c>
      <c r="F38" s="59">
        <f>IF(ISNUMBER('Step 3 (MTP) - Plan and prior'!F20),'Step 3 (MTP) - Plan and prior'!F20,"")</f>
        <v>47.5</v>
      </c>
      <c r="G38" s="59">
        <f>IF(ISNUMBER('Step 3 (MTP) - Plan and prior'!G20),'Step 3 (MTP) - Plan and prior'!G20,"")</f>
        <v>48.5</v>
      </c>
      <c r="H38" s="59">
        <f>IF(ISNUMBER('Step 3 (MTP) - Plan and prior'!H20),'Step 3 (MTP) - Plan and prior'!H20,"")</f>
        <v>49.7</v>
      </c>
      <c r="I38" s="59">
        <f>IF(ISNUMBER('Step 3 (MTP) - Plan and prior'!I20),'Step 3 (MTP) - Plan and prior'!I20,"")</f>
        <v>50.8</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1.8</v>
      </c>
      <c r="E39" s="59">
        <f>IF(ISNUMBER('Step 3 (MTP) - Plan and prior'!E21),'Step 3 (MTP) - Plan and prior'!E21,"")</f>
        <v>2.2999999999999998</v>
      </c>
      <c r="F39" s="59">
        <f>IF(ISNUMBER('Step 3 (MTP) - Plan and prior'!F21),'Step 3 (MTP) - Plan and prior'!F21,"")</f>
        <v>1.6</v>
      </c>
      <c r="G39" s="59">
        <f>IF(ISNUMBER('Step 3 (MTP) - Plan and prior'!G21),'Step 3 (MTP) - Plan and prior'!G21,"")</f>
        <v>1.1000000000000001</v>
      </c>
      <c r="H39" s="59">
        <f>IF(ISNUMBER('Step 3 (MTP) - Plan and prior'!H21),'Step 3 (MTP) - Plan and prior'!H21,"")</f>
        <v>1.2</v>
      </c>
      <c r="I39" s="59">
        <f>IF(ISNUMBER('Step 3 (MTP) - Plan and prior'!I21),'Step 3 (MTP) - Plan and prior'!I21,"")</f>
        <v>1.2</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-0.3</v>
      </c>
      <c r="E40" s="59">
        <f>IF(ISNUMBER('Step 3 (MTP) - Plan and prior'!E22),'Step 3 (MTP) - Plan and prior'!E22,"")</f>
        <v>1.4</v>
      </c>
      <c r="F40" s="59">
        <f>IF(ISNUMBER('Step 3 (MTP) - Plan and prior'!F22),'Step 3 (MTP) - Plan and prior'!F22,"")</f>
        <v>2.9</v>
      </c>
      <c r="G40" s="59">
        <f>IF(ISNUMBER('Step 3 (MTP) - Plan and prior'!G22),'Step 3 (MTP) - Plan and prior'!G22,"")</f>
        <v>1.6</v>
      </c>
      <c r="H40" s="59">
        <f>IF(ISNUMBER('Step 3 (MTP) - Plan and prior'!H22),'Step 3 (MTP) - Plan and prior'!H22,"")</f>
        <v>1.2</v>
      </c>
      <c r="I40" s="59">
        <f>IF(ISNUMBER('Step 3 (MTP) - Plan and prior'!I22),'Step 3 (MTP) - Plan and prior'!I22,"")</f>
        <v>1.1000000000000001</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5.4</v>
      </c>
      <c r="E41" s="59">
        <f>IF(ISNUMBER('Step 3 (MTP) - Plan and prior'!E23),'Step 3 (MTP) - Plan and prior'!E23,"")</f>
        <v>2.4</v>
      </c>
      <c r="F41" s="59">
        <f>IF(ISNUMBER('Step 3 (MTP) - Plan and prior'!F23),'Step 3 (MTP) - Plan and prior'!F23,"")</f>
        <v>2.5</v>
      </c>
      <c r="G41" s="59">
        <f>IF(ISNUMBER('Step 3 (MTP) - Plan and prior'!G23),'Step 3 (MTP) - Plan and prior'!G23,"")</f>
        <v>2.5</v>
      </c>
      <c r="H41" s="59">
        <f>IF(ISNUMBER('Step 3 (MTP) - Plan and prior'!H23),'Step 3 (MTP) - Plan and prior'!H23,"")</f>
        <v>2.5</v>
      </c>
      <c r="I41" s="59">
        <f>IF(ISNUMBER('Step 3 (MTP) - Plan and prior'!I23),'Step 3 (MTP) - Plan and prior'!I23,"")</f>
        <v>2.5</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5.0999999999999996</v>
      </c>
      <c r="E42" s="59">
        <f>IF(ISNUMBER('Step 3 (MTP) - Plan and prior'!E24),'Step 3 (MTP) - Plan and prior'!E24,"")</f>
        <v>3.8</v>
      </c>
      <c r="F42" s="59">
        <f>IF(ISNUMBER('Step 3 (MTP) - Plan and prior'!F24),'Step 3 (MTP) - Plan and prior'!F24,"")</f>
        <v>5.5</v>
      </c>
      <c r="G42" s="59">
        <f>IF(ISNUMBER('Step 3 (MTP) - Plan and prior'!G24),'Step 3 (MTP) - Plan and prior'!G24,"")</f>
        <v>4.0999999999999996</v>
      </c>
      <c r="H42" s="59">
        <f>IF(ISNUMBER('Step 3 (MTP) - Plan and prior'!H24),'Step 3 (MTP) - Plan and prior'!H24,"")</f>
        <v>3.7</v>
      </c>
      <c r="I42" s="59">
        <f>IF(ISNUMBER('Step 3 (MTP) - Plan and prior'!I24),'Step 3 (MTP) - Plan and prior'!I24,"")</f>
        <v>3.6</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2.2999999999999998</v>
      </c>
      <c r="E43" s="45">
        <f>IF(ISNUMBER('Step 3 (MTP) - Plan and prior'!E25),'Step 3 (MTP) - Plan and prior'!E25,"")</f>
        <v>2.2000000000000002</v>
      </c>
      <c r="F43" s="45">
        <f>IF(ISNUMBER('Step 3 (MTP) - Plan and prior'!F25),'Step 3 (MTP) - Plan and prior'!F25,"")</f>
        <v>2.1</v>
      </c>
      <c r="G43" s="45">
        <f>IF(ISNUMBER('Step 3 (MTP) - Plan and prior'!G25),'Step 3 (MTP) - Plan and prior'!G25,"")</f>
        <v>1.2</v>
      </c>
      <c r="H43" s="45">
        <f>IF(ISNUMBER('Step 3 (MTP) - Plan and prior'!H25),'Step 3 (MTP) - Plan and prior'!H25,"")</f>
        <v>0.9</v>
      </c>
      <c r="I43" s="45">
        <f>IF(ISNUMBER('Step 3 (MTP) - Plan and prior'!I25),'Step 3 (MTP) - Plan and prior'!I25,"")</f>
        <v>0.9</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-1</v>
      </c>
      <c r="E44" s="49">
        <f>IF(ISNUMBER('Step 3 (MTP) - Plan and prior'!E26),'Step 3 (MTP) - Plan and prior'!E26,"")</f>
        <v>-1.8</v>
      </c>
      <c r="F44" s="49">
        <f>IF(ISNUMBER('Step 3 (MTP) - Plan and prior'!F26),'Step 3 (MTP) - Plan and prior'!F26,"")</f>
        <v>-1</v>
      </c>
      <c r="G44" s="49">
        <f>IF(ISNUMBER('Step 3 (MTP) - Plan and prior'!G26),'Step 3 (MTP) - Plan and prior'!G26,"")</f>
        <v>-0.7</v>
      </c>
      <c r="H44" s="49">
        <f>IF(ISNUMBER('Step 3 (MTP) - Plan and prior'!H26),'Step 3 (MTP) - Plan and prior'!H26,"")</f>
        <v>-0.5</v>
      </c>
      <c r="I44" s="49">
        <f>IF(ISNUMBER('Step 3 (MTP) - Plan and prior'!I26),'Step 3 (MTP) - Plan and prior'!I26,"")</f>
        <v>-0.4</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-2.2000000000000002</v>
      </c>
      <c r="E50" s="69">
        <f>IF(ISNUMBER('Step 3 (MTP) - Plan and prior'!E35),'Step 3 (MTP) - Plan and prior'!E35,"")</f>
        <v>-2.6</v>
      </c>
      <c r="F50" s="69">
        <f>IF(ISNUMBER('Step 3 (MTP) - Plan and prior'!F35),'Step 3 (MTP) - Plan and prior'!F35,"")</f>
        <v>-2.9</v>
      </c>
      <c r="G50" s="69">
        <f>IF(ISNUMBER('Step 3 (MTP) - Plan and prior'!G35),'Step 3 (MTP) - Plan and prior'!G35,"")</f>
        <v>-2.9</v>
      </c>
      <c r="H50" s="69">
        <f>IF(ISNUMBER('Step 3 (MTP) - Plan and prior'!H35),'Step 3 (MTP) - Plan and prior'!H35,"")</f>
        <v>-2.9</v>
      </c>
      <c r="I50" s="69">
        <f>IF(ISNUMBER('Step 3 (MTP) - Plan and prior'!I35),'Step 3 (MTP) - Plan and prior'!I35,"")</f>
        <v>-2.9</v>
      </c>
      <c r="J50" s="69">
        <f>IF(ISNUMBER('Step 3 (MTP) - Plan and prior'!J35),'Step 3 (MTP) - Plan and prior'!J35,"")</f>
        <v>-2.9</v>
      </c>
      <c r="K50" s="69">
        <f>IF(ISNUMBER('Step 3 (MTP) - Plan and prior'!K35),'Step 3 (MTP) - Plan and prior'!K35,"")</f>
        <v>-2.9</v>
      </c>
      <c r="L50" s="69">
        <f>IF(ISNUMBER('Step 3 (MTP) - Plan and prior'!L35),'Step 3 (MTP) - Plan and prior'!L35,"")</f>
        <v>-2.9</v>
      </c>
      <c r="M50" s="69">
        <f>IF(ISNUMBER('Step 3 (MTP) - Plan and prior'!M35),'Step 3 (MTP) - Plan and prior'!M35,"")</f>
        <v>-3</v>
      </c>
      <c r="N50" s="69">
        <f>IF(ISNUMBER('Step 3 (MTP) - Plan and prior'!N35),'Step 3 (MTP) - Plan and prior'!N35,"")</f>
        <v>-3</v>
      </c>
      <c r="O50" s="69">
        <f>IF(ISNUMBER('Step 3 (MTP) - Plan and prior'!O35),'Step 3 (MTP) - Plan and prior'!O35,"")</f>
        <v>-3</v>
      </c>
      <c r="P50" s="69">
        <f>IF(ISNUMBER('Step 3 (MTP) - Plan and prior'!P35),'Step 3 (MTP) - Plan and prior'!P35,"")</f>
        <v>-3</v>
      </c>
      <c r="Q50" s="69">
        <f>IF(ISNUMBER('Step 3 (MTP) - Plan and prior'!Q35),'Step 3 (MTP) - Plan and prior'!Q35,"")</f>
        <v>-3</v>
      </c>
      <c r="R50" s="69">
        <f>IF(ISNUMBER('Step 3 (MTP) - Plan and prior'!R35),'Step 3 (MTP) - Plan and prior'!R35,"")</f>
        <v>-3</v>
      </c>
      <c r="S50" s="69">
        <f>IF(ISNUMBER('Step 3 (MTP) - Plan and prior'!S35),'Step 3 (MTP) - Plan and prior'!S35,"")</f>
        <v>-2.9</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t="str">
        <f>IF(ISNUMBER('Step 3 (MTP) - Plan and prior'!D37),'Step 3 (MTP) - Plan and prior'!D37,"")</f>
        <v/>
      </c>
      <c r="E52" s="69" t="str">
        <f>IF(ISNUMBER('Step 3 (MTP) - Plan and prior'!E37),'Step 3 (MTP) - Plan and prior'!E37,"")</f>
        <v/>
      </c>
      <c r="F52" s="69" t="str">
        <f>IF(ISNUMBER('Step 3 (MTP) - Plan and prior'!F37),'Step 3 (MTP) - Plan and prior'!F37,"")</f>
        <v/>
      </c>
      <c r="G52" s="69" t="str">
        <f>IF(ISNUMBER('Step 3 (MTP) - Plan and prior'!G37),'Step 3 (MTP) - Plan and prior'!G37,"")</f>
        <v/>
      </c>
      <c r="H52" s="69" t="str">
        <f>IF(ISNUMBER('Step 3 (MTP) - Plan and prior'!H37),'Step 3 (MTP) - Plan and prior'!H37,"")</f>
        <v/>
      </c>
      <c r="I52" s="69" t="str">
        <f>IF(ISNUMBER('Step 3 (MTP) - Plan and prior'!I37),'Step 3 (MTP) - Plan and prior'!I37,"")</f>
        <v/>
      </c>
      <c r="J52" s="69" t="str">
        <f>IF(ISNUMBER('Step 3 (MTP) - Plan and prior'!J37),'Step 3 (MTP) - Plan and prior'!J37,"")</f>
        <v/>
      </c>
      <c r="K52" s="69" t="str">
        <f>IF(ISNUMBER('Step 3 (MTP) - Plan and prior'!K37),'Step 3 (MTP) - Plan and prior'!K37,"")</f>
        <v/>
      </c>
      <c r="L52" s="69" t="str">
        <f>IF(ISNUMBER('Step 3 (MTP) - Plan and prior'!L37),'Step 3 (MTP) - Plan and prior'!L37,"")</f>
        <v/>
      </c>
      <c r="M52" s="69" t="str">
        <f>IF(ISNUMBER('Step 3 (MTP) - Plan and prior'!M37),'Step 3 (MTP) - Plan and prior'!M37,"")</f>
        <v/>
      </c>
      <c r="N52" s="69" t="str">
        <f>IF(ISNUMBER('Step 3 (MTP) - Plan and prior'!N37),'Step 3 (MTP) - Plan and prior'!N37,"")</f>
        <v/>
      </c>
      <c r="O52" s="69" t="str">
        <f>IF(ISNUMBER('Step 3 (MTP) - Plan and prior'!O37),'Step 3 (MTP) - Plan and prior'!O37,"")</f>
        <v/>
      </c>
      <c r="P52" s="69" t="str">
        <f>IF(ISNUMBER('Step 3 (MTP) - Plan and prior'!P37),'Step 3 (MTP) - Plan and prior'!P37,"")</f>
        <v/>
      </c>
      <c r="Q52" s="69" t="str">
        <f>IF(ISNUMBER('Step 3 (MTP) - Plan and prior'!Q37),'Step 3 (MTP) - Plan and prior'!Q37,"")</f>
        <v/>
      </c>
      <c r="R52" s="69" t="str">
        <f>IF(ISNUMBER('Step 3 (MTP) - Plan and prior'!R37),'Step 3 (MTP) - Plan and prior'!R37,"")</f>
        <v/>
      </c>
      <c r="S52" s="69" t="str">
        <f>IF(ISNUMBER('Step 3 (MTP) - Plan and prior'!S37),'Step 3 (MTP) - Plan and prior'!S37,"")</f>
        <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43.6</v>
      </c>
      <c r="E53" s="69">
        <f>IF(ISNUMBER('Step 3 (MTP) - Plan and prior'!E38),'Step 3 (MTP) - Plan and prior'!E38,"")</f>
        <v>45.8</v>
      </c>
      <c r="F53" s="69">
        <f>IF(ISNUMBER('Step 3 (MTP) - Plan and prior'!F38),'Step 3 (MTP) - Plan and prior'!F38,"")</f>
        <v>47.5</v>
      </c>
      <c r="G53" s="69">
        <f>IF(ISNUMBER('Step 3 (MTP) - Plan and prior'!G38),'Step 3 (MTP) - Plan and prior'!G38,"")</f>
        <v>48.5</v>
      </c>
      <c r="H53" s="69">
        <f>IF(ISNUMBER('Step 3 (MTP) - Plan and prior'!H38),'Step 3 (MTP) - Plan and prior'!H38,"")</f>
        <v>49.7</v>
      </c>
      <c r="I53" s="69">
        <f>IF(ISNUMBER('Step 3 (MTP) - Plan and prior'!I38),'Step 3 (MTP) - Plan and prior'!I38,"")</f>
        <v>50.8</v>
      </c>
      <c r="J53" s="69">
        <f>IF(ISNUMBER('Step 3 (MTP) - Plan and prior'!J38),'Step 3 (MTP) - Plan and prior'!J38,"")</f>
        <v>51.9</v>
      </c>
      <c r="K53" s="69">
        <f>IF(ISNUMBER('Step 3 (MTP) - Plan and prior'!K38),'Step 3 (MTP) - Plan and prior'!K38,"")</f>
        <v>53</v>
      </c>
      <c r="L53" s="69">
        <f>IF(ISNUMBER('Step 3 (MTP) - Plan and prior'!L38),'Step 3 (MTP) - Plan and prior'!L38,"")</f>
        <v>53.9</v>
      </c>
      <c r="M53" s="69">
        <f>IF(ISNUMBER('Step 3 (MTP) - Plan and prior'!M38),'Step 3 (MTP) - Plan and prior'!M38,"")</f>
        <v>54.9</v>
      </c>
      <c r="N53" s="69">
        <f>IF(ISNUMBER('Step 3 (MTP) - Plan and prior'!N38),'Step 3 (MTP) - Plan and prior'!N38,"")</f>
        <v>55.9</v>
      </c>
      <c r="O53" s="69">
        <f>IF(ISNUMBER('Step 3 (MTP) - Plan and prior'!O38),'Step 3 (MTP) - Plan and prior'!O38,"")</f>
        <v>56.8</v>
      </c>
      <c r="P53" s="69">
        <f>IF(ISNUMBER('Step 3 (MTP) - Plan and prior'!P38),'Step 3 (MTP) - Plan and prior'!P38,"")</f>
        <v>57.7</v>
      </c>
      <c r="Q53" s="69">
        <f>IF(ISNUMBER('Step 3 (MTP) - Plan and prior'!Q38),'Step 3 (MTP) - Plan and prior'!Q38,"")</f>
        <v>58.5</v>
      </c>
      <c r="R53" s="69">
        <f>IF(ISNUMBER('Step 3 (MTP) - Plan and prior'!R38),'Step 3 (MTP) - Plan and prior'!R38,"")</f>
        <v>59.2</v>
      </c>
      <c r="S53" s="69">
        <f>IF(ISNUMBER('Step 3 (MTP) - Plan and prior'!S38),'Step 3 (MTP) - Plan and prior'!S38,"")</f>
        <v>59.9</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0</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technical information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 (not applicable)</v>
      </c>
      <c r="D65" s="85" t="str">
        <f>IF(ISNUMBER('Step 3 (MTP) - Plan and prior'!D50),'Step 3 (MTP) - Plan and prior'!D50,"")</f>
        <v/>
      </c>
      <c r="E65" s="85" t="str">
        <f>IF(ISNUMBER('Step 3 (MTP) - Plan and prior'!E50),'Step 3 (MTP) - Plan and prior'!E50,"")</f>
        <v/>
      </c>
      <c r="F65" s="85" t="str">
        <f>IF(ISNUMBER('Step 3 (MTP) - Plan and prior'!F50),'Step 3 (MTP) - Plan and prior'!F50,"")</f>
        <v/>
      </c>
      <c r="G65" s="85" t="str">
        <f>IF(ISNUMBER('Step 3 (MTP) - Plan and prior'!G50),'Step 3 (MTP) - Plan and prior'!G50,"")</f>
        <v/>
      </c>
      <c r="H65" s="85" t="str">
        <f>IF(ISNUMBER('Step 3 (MTP) - Plan and prior'!H50),'Step 3 (MTP) - Plan and prior'!H50,"")</f>
        <v/>
      </c>
      <c r="I65" s="85" t="str">
        <f>IF(ISNUMBER('Step 3 (MTP) - Plan and prior'!I50),'Step 3 (MTP) - Plan and prior'!I50,"")</f>
        <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f>IF(ISNUMBER('Step 3 (MTP) - Plan and prior'!I51),'Step 3 (MTP) - Plan and prior'!I51,"")</f>
        <v>-1.3</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f>IF(ISNUMBER('Step 3 (MTP) - Plan and prior'!I52),'Step 3 (MTP) - Plan and prior'!I52,"")</f>
        <v>-0.1424659999999999</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f>IF(ISNUMBER('Step 3 (MTP) - Plan and prior'!D55),'Step 3 (MTP) - Plan and prior'!D55,"")</f>
        <v>4.5</v>
      </c>
      <c r="E70" s="69">
        <f>IF(ISNUMBER('Step 3 (MTP) - Plan and prior'!E55),'Step 3 (MTP) - Plan and prior'!E55,"")</f>
        <v>1.8</v>
      </c>
      <c r="F70" s="69">
        <f>IF(ISNUMBER('Step 3 (MTP) - Plan and prior'!F55),'Step 3 (MTP) - Plan and prior'!F55,"")</f>
        <v>3</v>
      </c>
      <c r="G70" s="69">
        <f>IF(ISNUMBER('Step 3 (MTP) - Plan and prior'!G55),'Step 3 (MTP) - Plan and prior'!G55,"")</f>
        <v>3.2</v>
      </c>
      <c r="H70" s="69">
        <f>IF(ISNUMBER('Step 3 (MTP) - Plan and prior'!H55),'Step 3 (MTP) - Plan and prior'!H55,"")</f>
        <v>3.1</v>
      </c>
      <c r="I70" s="69">
        <f>IF(ISNUMBER('Step 3 (MTP) - Plan and prior'!I55),'Step 3 (MTP) - Plan and prior'!I55,"")</f>
        <v>3</v>
      </c>
      <c r="J70" s="69">
        <f>IF(ISNUMBER('Step 3 (MTP) - Plan and prior'!J55),'Step 3 (MTP) - Plan and prior'!J55,"")</f>
        <v>3.3</v>
      </c>
      <c r="K70" s="69">
        <f>IF(ISNUMBER('Step 3 (MTP) - Plan and prior'!K55),'Step 3 (MTP) - Plan and prior'!K55,"")</f>
        <v>3.3</v>
      </c>
      <c r="L70" s="69">
        <f>IF(ISNUMBER('Step 3 (MTP) - Plan and prior'!L55),'Step 3 (MTP) - Plan and prior'!L55,"")</f>
        <v>3.3</v>
      </c>
      <c r="M70" s="69">
        <f>IF(ISNUMBER('Step 3 (MTP) - Plan and prior'!M55),'Step 3 (MTP) - Plan and prior'!M55,"")</f>
        <v>3.2</v>
      </c>
      <c r="N70" s="69">
        <f>IF(ISNUMBER('Step 3 (MTP) - Plan and prior'!N55),'Step 3 (MTP) - Plan and prior'!N55,"")</f>
        <v>3.2</v>
      </c>
      <c r="O70" s="69">
        <f>IF(ISNUMBER('Step 3 (MTP) - Plan and prior'!O55),'Step 3 (MTP) - Plan and prior'!O55,"")</f>
        <v>3.2</v>
      </c>
      <c r="P70" s="69">
        <f>IF(ISNUMBER('Step 3 (MTP) - Plan and prior'!P55),'Step 3 (MTP) - Plan and prior'!P55,"")</f>
        <v>3.2</v>
      </c>
      <c r="Q70" s="69">
        <f>IF(ISNUMBER('Step 3 (MTP) - Plan and prior'!Q55),'Step 3 (MTP) - Plan and prior'!Q55,"")</f>
        <v>3.2</v>
      </c>
      <c r="R70" s="69">
        <f>IF(ISNUMBER('Step 3 (MTP) - Plan and prior'!R55),'Step 3 (MTP) - Plan and prior'!R55,"")</f>
        <v>3.3</v>
      </c>
      <c r="S70" s="69">
        <f>IF(ISNUMBER('Step 3 (MTP) - Plan and prior'!S55),'Step 3 (MTP) - Plan and prior'!S55,"")</f>
        <v>3.3</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f>IF(ISNUMBER('Step 3 (MTP) - Plan and prior'!D57),'Step 3 (MTP) - Plan and prior'!D57,"")</f>
        <v>1.9</v>
      </c>
      <c r="E72" s="69">
        <f>IF(ISNUMBER('Step 3 (MTP) - Plan and prior'!E57),'Step 3 (MTP) - Plan and prior'!E57,"")</f>
        <v>1.7</v>
      </c>
      <c r="F72" s="69">
        <f>IF(ISNUMBER('Step 3 (MTP) - Plan and prior'!F57),'Step 3 (MTP) - Plan and prior'!F57,"")</f>
        <v>2.1</v>
      </c>
      <c r="G72" s="69">
        <f>IF(ISNUMBER('Step 3 (MTP) - Plan and prior'!G57),'Step 3 (MTP) - Plan and prior'!G57,"")</f>
        <v>2.2999999999999998</v>
      </c>
      <c r="H72" s="69">
        <f>IF(ISNUMBER('Step 3 (MTP) - Plan and prior'!H57),'Step 3 (MTP) - Plan and prior'!H57,"")</f>
        <v>2.4</v>
      </c>
      <c r="I72" s="69">
        <f>IF(ISNUMBER('Step 3 (MTP) - Plan and prior'!I57),'Step 3 (MTP) - Plan and prior'!I57,"")</f>
        <v>2.6</v>
      </c>
      <c r="J72" s="69">
        <f>IF(ISNUMBER('Step 3 (MTP) - Plan and prior'!J57),'Step 3 (MTP) - Plan and prior'!J57,"")</f>
        <v>2.6</v>
      </c>
      <c r="K72" s="69">
        <f>IF(ISNUMBER('Step 3 (MTP) - Plan and prior'!K57),'Step 3 (MTP) - Plan and prior'!K57,"")</f>
        <v>2.6</v>
      </c>
      <c r="L72" s="69">
        <f>IF(ISNUMBER('Step 3 (MTP) - Plan and prior'!L57),'Step 3 (MTP) - Plan and prior'!L57,"")</f>
        <v>2.6</v>
      </c>
      <c r="M72" s="69">
        <f>IF(ISNUMBER('Step 3 (MTP) - Plan and prior'!M57),'Step 3 (MTP) - Plan and prior'!M57,"")</f>
        <v>2.6</v>
      </c>
      <c r="N72" s="69">
        <f>IF(ISNUMBER('Step 3 (MTP) - Plan and prior'!N57),'Step 3 (MTP) - Plan and prior'!N57,"")</f>
        <v>2.6</v>
      </c>
      <c r="O72" s="69">
        <f>IF(ISNUMBER('Step 3 (MTP) - Plan and prior'!O57),'Step 3 (MTP) - Plan and prior'!O57,"")</f>
        <v>2.6</v>
      </c>
      <c r="P72" s="69">
        <f>IF(ISNUMBER('Step 3 (MTP) - Plan and prior'!P57),'Step 3 (MTP) - Plan and prior'!P57,"")</f>
        <v>2.6</v>
      </c>
      <c r="Q72" s="69">
        <f>IF(ISNUMBER('Step 3 (MTP) - Plan and prior'!Q57),'Step 3 (MTP) - Plan and prior'!Q57,"")</f>
        <v>2.6</v>
      </c>
      <c r="R72" s="69">
        <f>IF(ISNUMBER('Step 3 (MTP) - Plan and prior'!R57),'Step 3 (MTP) - Plan and prior'!R57,"")</f>
        <v>2.6</v>
      </c>
      <c r="S72" s="69">
        <f>IF(ISNUMBER('Step 3 (MTP) - Plan and prior'!S57),'Step 3 (MTP) - Plan and prior'!S57,"")</f>
        <v>2.6</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f>IF(ISNUMBER('Step 3 (MTP) - Plan and prior'!D58),'Step 3 (MTP) - Plan and prior'!D58,"")</f>
        <v>161.9</v>
      </c>
      <c r="E73" s="69">
        <f>IF(ISNUMBER('Step 3 (MTP) - Plan and prior'!E58),'Step 3 (MTP) - Plan and prior'!E58,"")</f>
        <v>153.9</v>
      </c>
      <c r="F73" s="69">
        <f>IF(ISNUMBER('Step 3 (MTP) - Plan and prior'!F58),'Step 3 (MTP) - Plan and prior'!F58,"")</f>
        <v>149.69999999999999</v>
      </c>
      <c r="G73" s="69">
        <f>IF(ISNUMBER('Step 3 (MTP) - Plan and prior'!G58),'Step 3 (MTP) - Plan and prior'!G58,"")</f>
        <v>145.1</v>
      </c>
      <c r="H73" s="69">
        <f>IF(ISNUMBER('Step 3 (MTP) - Plan and prior'!H58),'Step 3 (MTP) - Plan and prior'!H58,"")</f>
        <v>140.80000000000001</v>
      </c>
      <c r="I73" s="69">
        <f>IF(ISNUMBER('Step 3 (MTP) - Plan and prior'!I58),'Step 3 (MTP) - Plan and prior'!I58,"")</f>
        <v>136.6</v>
      </c>
      <c r="J73" s="69">
        <f>IF(ISNUMBER('Step 3 (MTP) - Plan and prior'!J58),'Step 3 (MTP) - Plan and prior'!J58,"")</f>
        <v>132.4</v>
      </c>
      <c r="K73" s="69">
        <f>IF(ISNUMBER('Step 3 (MTP) - Plan and prior'!K58),'Step 3 (MTP) - Plan and prior'!K58,"")</f>
        <v>128.4</v>
      </c>
      <c r="L73" s="69">
        <f>IF(ISNUMBER('Step 3 (MTP) - Plan and prior'!L58),'Step 3 (MTP) - Plan and prior'!L58,"")</f>
        <v>124.7</v>
      </c>
      <c r="M73" s="69">
        <f>IF(ISNUMBER('Step 3 (MTP) - Plan and prior'!M58),'Step 3 (MTP) - Plan and prior'!M58,"")</f>
        <v>121.2</v>
      </c>
      <c r="N73" s="69">
        <f>IF(ISNUMBER('Step 3 (MTP) - Plan and prior'!N58),'Step 3 (MTP) - Plan and prior'!N58,"")</f>
        <v>119.1</v>
      </c>
      <c r="O73" s="69">
        <f>IF(ISNUMBER('Step 3 (MTP) - Plan and prior'!O58),'Step 3 (MTP) - Plan and prior'!O58,"")</f>
        <v>117.4</v>
      </c>
      <c r="P73" s="69">
        <f>IF(ISNUMBER('Step 3 (MTP) - Plan and prior'!P58),'Step 3 (MTP) - Plan and prior'!P58,"")</f>
        <v>115.9</v>
      </c>
      <c r="Q73" s="69">
        <f>IF(ISNUMBER('Step 3 (MTP) - Plan and prior'!Q58),'Step 3 (MTP) - Plan and prior'!Q58,"")</f>
        <v>114.3</v>
      </c>
      <c r="R73" s="69">
        <f>IF(ISNUMBER('Step 3 (MTP) - Plan and prior'!R58),'Step 3 (MTP) - Plan and prior'!R58,"")</f>
        <v>112.9</v>
      </c>
      <c r="S73" s="69">
        <f>IF(ISNUMBER('Step 3 (MTP) - Plan and prior'!S58),'Step 3 (MTP) - Plan and prior'!S58,"")</f>
        <v>111.5</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0</v>
      </c>
      <c r="E75" s="69">
        <f>IF(ISNUMBER('Step 3 (MTP) - Plan and prior'!E40),'Step 3 (MTP) - Plan and prior'!E40,"")</f>
        <v>0</v>
      </c>
      <c r="F75" s="69">
        <f>IF(ISNUMBER('Step 3 (MTP) - Plan and prior'!F40),'Step 3 (MTP) - Plan and prior'!F40,"")</f>
        <v>0</v>
      </c>
      <c r="G75" s="69">
        <f>IF(ISNUMBER('Step 3 (MTP) - Plan and prior'!G40),'Step 3 (MTP) - Plan and prior'!G40,"")</f>
        <v>0</v>
      </c>
      <c r="H75" s="69">
        <f>IF(ISNUMBER('Step 3 (MTP) - Plan and prior'!H40),'Step 3 (MTP) - Plan and prior'!H40,"")</f>
        <v>0</v>
      </c>
      <c r="I75" s="69">
        <f>IF(ISNUMBER('Step 3 (MTP) - Plan and prior'!I40),'Step 3 (MTP) - Plan and prior'!I40,"")</f>
        <v>0</v>
      </c>
      <c r="J75" s="69">
        <f>IF(ISNUMBER('Step 3 (MTP) - Plan and prior'!J40),'Step 3 (MTP) - Plan and prior'!J40,"")</f>
        <v>0</v>
      </c>
      <c r="K75" s="69">
        <f>IF(ISNUMBER('Step 3 (MTP) - Plan and prior'!K40),'Step 3 (MTP) - Plan and prior'!K40,"")</f>
        <v>0</v>
      </c>
      <c r="L75" s="69">
        <f>IF(ISNUMBER('Step 3 (MTP) - Plan and prior'!L40),'Step 3 (MTP) - Plan and prior'!L40,"")</f>
        <v>0</v>
      </c>
      <c r="M75" s="69">
        <f>IF(ISNUMBER('Step 3 (MTP) - Plan and prior'!M40),'Step 3 (MTP) - Plan and prior'!M40,"")</f>
        <v>0</v>
      </c>
      <c r="N75" s="69">
        <f>IF(ISNUMBER('Step 3 (MTP) - Plan and prior'!N40),'Step 3 (MTP) - Plan and prior'!N40,"")</f>
        <v>0</v>
      </c>
      <c r="O75" s="69">
        <f>IF(ISNUMBER('Step 3 (MTP) - Plan and prior'!O40),'Step 3 (MTP) - Plan and prior'!O40,"")</f>
        <v>0</v>
      </c>
      <c r="P75" s="69">
        <f>IF(ISNUMBER('Step 3 (MTP) - Plan and prior'!P40),'Step 3 (MTP) - Plan and prior'!P40,"")</f>
        <v>0</v>
      </c>
      <c r="Q75" s="69">
        <f>IF(ISNUMBER('Step 3 (MTP) - Plan and prior'!Q40),'Step 3 (MTP) - Plan and prior'!Q40,"")</f>
        <v>0</v>
      </c>
      <c r="R75" s="69">
        <f>IF(ISNUMBER('Step 3 (MTP) - Plan and prior'!R40),'Step 3 (MTP) - Plan and prior'!R40,"")</f>
        <v>0</v>
      </c>
      <c r="S75" s="69">
        <f>IF(ISNUMBER('Step 3 (MTP) - Plan and prior'!S40),'Step 3 (MTP) - Plan and prior'!S40,"")</f>
        <v>0</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0</v>
      </c>
      <c r="E76" s="69">
        <f>IF(ISNUMBER('Step 3 (MTP) - Plan and prior'!E41),'Step 3 (MTP) - Plan and prior'!E41,"")</f>
        <v>0</v>
      </c>
      <c r="F76" s="69">
        <f>IF(ISNUMBER('Step 3 (MTP) - Plan and prior'!F41),'Step 3 (MTP) - Plan and prior'!F41,"")</f>
        <v>0</v>
      </c>
      <c r="G76" s="69">
        <f>IF(ISNUMBER('Step 3 (MTP) - Plan and prior'!G41),'Step 3 (MTP) - Plan and prior'!G41,"")</f>
        <v>0</v>
      </c>
      <c r="H76" s="69">
        <f>IF(ISNUMBER('Step 3 (MTP) - Plan and prior'!H41),'Step 3 (MTP) - Plan and prior'!H41,"")</f>
        <v>0</v>
      </c>
      <c r="I76" s="69">
        <f>IF(ISNUMBER('Step 3 (MTP) - Plan and prior'!I41),'Step 3 (MTP) - Plan and prior'!I41,"")</f>
        <v>0</v>
      </c>
      <c r="J76" s="69">
        <f>IF(ISNUMBER('Step 3 (MTP) - Plan and prior'!J41),'Step 3 (MTP) - Plan and prior'!J41,"")</f>
        <v>0</v>
      </c>
      <c r="K76" s="69">
        <f>IF(ISNUMBER('Step 3 (MTP) - Plan and prior'!K41),'Step 3 (MTP) - Plan and prior'!K41,"")</f>
        <v>0</v>
      </c>
      <c r="L76" s="69">
        <f>IF(ISNUMBER('Step 3 (MTP) - Plan and prior'!L41),'Step 3 (MTP) - Plan and prior'!L41,"")</f>
        <v>0</v>
      </c>
      <c r="M76" s="69">
        <f>IF(ISNUMBER('Step 3 (MTP) - Plan and prior'!M41),'Step 3 (MTP) - Plan and prior'!M41,"")</f>
        <v>0</v>
      </c>
      <c r="N76" s="69">
        <f>IF(ISNUMBER('Step 3 (MTP) - Plan and prior'!N41),'Step 3 (MTP) - Plan and prior'!N41,"")</f>
        <v>0</v>
      </c>
      <c r="O76" s="69">
        <f>IF(ISNUMBER('Step 3 (MTP) - Plan and prior'!O41),'Step 3 (MTP) - Plan and prior'!O41,"")</f>
        <v>0</v>
      </c>
      <c r="P76" s="69">
        <f>IF(ISNUMBER('Step 3 (MTP) - Plan and prior'!P41),'Step 3 (MTP) - Plan and prior'!P41,"")</f>
        <v>0</v>
      </c>
      <c r="Q76" s="69">
        <f>IF(ISNUMBER('Step 3 (MTP) - Plan and prior'!Q41),'Step 3 (MTP) - Plan and prior'!Q41,"")</f>
        <v>0</v>
      </c>
      <c r="R76" s="69">
        <f>IF(ISNUMBER('Step 3 (MTP) - Plan and prior'!R41),'Step 3 (MTP) - Plan and prior'!R41,"")</f>
        <v>0</v>
      </c>
      <c r="S76" s="69">
        <f>IF(ISNUMBER('Step 3 (MTP) - Plan and prior'!S41),'Step 3 (MTP) - Plan and prior'!S41,"")</f>
        <v>0</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0</v>
      </c>
      <c r="E77" s="69">
        <f>IF(ISNUMBER('Step 3 (MTP) - Plan and prior'!E42),'Step 3 (MTP) - Plan and prior'!E42,"")</f>
        <v>0</v>
      </c>
      <c r="F77" s="69">
        <f>IF(ISNUMBER('Step 3 (MTP) - Plan and prior'!F42),'Step 3 (MTP) - Plan and prior'!F42,"")</f>
        <v>0</v>
      </c>
      <c r="G77" s="69">
        <f>IF(ISNUMBER('Step 3 (MTP) - Plan and prior'!G42),'Step 3 (MTP) - Plan and prior'!G42,"")</f>
        <v>0</v>
      </c>
      <c r="H77" s="69">
        <f>IF(ISNUMBER('Step 3 (MTP) - Plan and prior'!H42),'Step 3 (MTP) - Plan and prior'!H42,"")</f>
        <v>0</v>
      </c>
      <c r="I77" s="69">
        <f>IF(ISNUMBER('Step 3 (MTP) - Plan and prior'!I42),'Step 3 (MTP) - Plan and prior'!I42,"")</f>
        <v>0</v>
      </c>
      <c r="J77" s="69">
        <f>IF(ISNUMBER('Step 3 (MTP) - Plan and prior'!J42),'Step 3 (MTP) - Plan and prior'!J42,"")</f>
        <v>0</v>
      </c>
      <c r="K77" s="69">
        <f>IF(ISNUMBER('Step 3 (MTP) - Plan and prior'!K42),'Step 3 (MTP) - Plan and prior'!K42,"")</f>
        <v>0</v>
      </c>
      <c r="L77" s="69">
        <f>IF(ISNUMBER('Step 3 (MTP) - Plan and prior'!L42),'Step 3 (MTP) - Plan and prior'!L42,"")</f>
        <v>0</v>
      </c>
      <c r="M77" s="69">
        <f>IF(ISNUMBER('Step 3 (MTP) - Plan and prior'!M42),'Step 3 (MTP) - Plan and prior'!M42,"")</f>
        <v>0</v>
      </c>
      <c r="N77" s="69">
        <f>IF(ISNUMBER('Step 3 (MTP) - Plan and prior'!N42),'Step 3 (MTP) - Plan and prior'!N42,"")</f>
        <v>0</v>
      </c>
      <c r="O77" s="69">
        <f>IF(ISNUMBER('Step 3 (MTP) - Plan and prior'!O42),'Step 3 (MTP) - Plan and prior'!O42,"")</f>
        <v>0</v>
      </c>
      <c r="P77" s="69">
        <f>IF(ISNUMBER('Step 3 (MTP) - Plan and prior'!P42),'Step 3 (MTP) - Plan and prior'!P42,"")</f>
        <v>0</v>
      </c>
      <c r="Q77" s="69">
        <f>IF(ISNUMBER('Step 3 (MTP) - Plan and prior'!Q42),'Step 3 (MTP) - Plan and prior'!Q42,"")</f>
        <v>0</v>
      </c>
      <c r="R77" s="69">
        <f>IF(ISNUMBER('Step 3 (MTP) - Plan and prior'!R42),'Step 3 (MTP) - Plan and prior'!R42,"")</f>
        <v>0</v>
      </c>
      <c r="S77" s="69">
        <f>IF(ISNUMBER('Step 3 (MTP) - Plan and prior'!S42),'Step 3 (MTP) - Plan and prior'!S42,"")</f>
        <v>0</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0</v>
      </c>
      <c r="E78" s="69">
        <f>IF(ISNUMBER('Step 3 (MTP) - Plan and prior'!E43),'Step 3 (MTP) - Plan and prior'!E43,"")</f>
        <v>0</v>
      </c>
      <c r="F78" s="69">
        <f>IF(ISNUMBER('Step 3 (MTP) - Plan and prior'!F43),'Step 3 (MTP) - Plan and prior'!F43,"")</f>
        <v>0</v>
      </c>
      <c r="G78" s="69">
        <f>IF(ISNUMBER('Step 3 (MTP) - Plan and prior'!G43),'Step 3 (MTP) - Plan and prior'!G43,"")</f>
        <v>0</v>
      </c>
      <c r="H78" s="69">
        <f>IF(ISNUMBER('Step 3 (MTP) - Plan and prior'!H43),'Step 3 (MTP) - Plan and prior'!H43,"")</f>
        <v>0</v>
      </c>
      <c r="I78" s="69">
        <f>IF(ISNUMBER('Step 3 (MTP) - Plan and prior'!I43),'Step 3 (MTP) - Plan and prior'!I43,"")</f>
        <v>0</v>
      </c>
      <c r="J78" s="69">
        <f>IF(ISNUMBER('Step 3 (MTP) - Plan and prior'!J43),'Step 3 (MTP) - Plan and prior'!J43,"")</f>
        <v>0</v>
      </c>
      <c r="K78" s="69">
        <f>IF(ISNUMBER('Step 3 (MTP) - Plan and prior'!K43),'Step 3 (MTP) - Plan and prior'!K43,"")</f>
        <v>0</v>
      </c>
      <c r="L78" s="69">
        <f>IF(ISNUMBER('Step 3 (MTP) - Plan and prior'!L43),'Step 3 (MTP) - Plan and prior'!L43,"")</f>
        <v>0</v>
      </c>
      <c r="M78" s="69">
        <f>IF(ISNUMBER('Step 3 (MTP) - Plan and prior'!M43),'Step 3 (MTP) - Plan and prior'!M43,"")</f>
        <v>0</v>
      </c>
      <c r="N78" s="69">
        <f>IF(ISNUMBER('Step 3 (MTP) - Plan and prior'!N43),'Step 3 (MTP) - Plan and prior'!N43,"")</f>
        <v>0</v>
      </c>
      <c r="O78" s="69">
        <f>IF(ISNUMBER('Step 3 (MTP) - Plan and prior'!O43),'Step 3 (MTP) - Plan and prior'!O43,"")</f>
        <v>0</v>
      </c>
      <c r="P78" s="69">
        <f>IF(ISNUMBER('Step 3 (MTP) - Plan and prior'!P43),'Step 3 (MTP) - Plan and prior'!P43,"")</f>
        <v>0</v>
      </c>
      <c r="Q78" s="69">
        <f>IF(ISNUMBER('Step 3 (MTP) - Plan and prior'!Q43),'Step 3 (MTP) - Plan and prior'!Q43,"")</f>
        <v>0</v>
      </c>
      <c r="R78" s="69">
        <f>IF(ISNUMBER('Step 3 (MTP) - Plan and prior'!R43),'Step 3 (MTP) - Plan and prior'!R43,"")</f>
        <v>0</v>
      </c>
      <c r="S78" s="69">
        <f>IF(ISNUMBER('Step 3 (MTP) - Plan and prior'!S43),'Step 3 (MTP) - Plan and prior'!S43,"")</f>
        <v>0</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t="str">
        <f>IF(ISNUMBER('Step 3 (MTP) - Plan and prior'!J65),'Step 3 (MTP) - Plan and prior'!J65,"")</f>
        <v/>
      </c>
      <c r="K80" s="69" t="str">
        <f>IF(ISNUMBER('Step 3 (MTP) - Plan and prior'!K65),'Step 3 (MTP) - Plan and prior'!K65,"")</f>
        <v/>
      </c>
      <c r="L80" s="69" t="str">
        <f>IF(ISNUMBER('Step 3 (MTP) - Plan and prior'!L65),'Step 3 (MTP) - Plan and prior'!L65,"")</f>
        <v/>
      </c>
      <c r="M80" s="69" t="str">
        <f>IF(ISNUMBER('Step 3 (MTP) - Plan and prior'!M65),'Step 3 (MTP) - Plan and prior'!M65,"")</f>
        <v/>
      </c>
      <c r="N80" s="69" t="str">
        <f>IF(ISNUMBER('Step 3 (MTP) - Plan and prior'!N65),'Step 3 (MTP) - Plan and prior'!N65,"")</f>
        <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t="str">
        <f>IF(ISNUMBER('Step 3 (MTP) - Plan and prior'!J66),'Step 3 (MTP) - Plan and prior'!J66,"")</f>
        <v/>
      </c>
      <c r="K81" s="69" t="str">
        <f>IF(ISNUMBER('Step 3 (MTP) - Plan and prior'!K66),'Step 3 (MTP) - Plan and prior'!K66,"")</f>
        <v/>
      </c>
      <c r="L81" s="69" t="str">
        <f>IF(ISNUMBER('Step 3 (MTP) - Plan and prior'!L66),'Step 3 (MTP) - Plan and prior'!L66,"")</f>
        <v/>
      </c>
      <c r="M81" s="69" t="str">
        <f>IF(ISNUMBER('Step 3 (MTP) - Plan and prior'!M66),'Step 3 (MTP) - Plan and prior'!M66,"")</f>
        <v/>
      </c>
      <c r="N81" s="69" t="str">
        <f>IF(ISNUMBER('Step 3 (MTP) - Plan and prior'!N66),'Step 3 (MTP) - Plan and prior'!N66,"")</f>
        <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t="str">
        <f>IF(ISNUMBER('Step 3 (MTP) - Plan and prior'!J67),'Step 3 (MTP) - Plan and prior'!J67,"")</f>
        <v/>
      </c>
      <c r="K82" s="69" t="str">
        <f>IF(ISNUMBER('Step 3 (MTP) - Plan and prior'!K67),'Step 3 (MTP) - Plan and prior'!K67,"")</f>
        <v/>
      </c>
      <c r="L82" s="69" t="str">
        <f>IF(ISNUMBER('Step 3 (MTP) - Plan and prior'!L67),'Step 3 (MTP) - Plan and prior'!L67,"")</f>
        <v/>
      </c>
      <c r="M82" s="69" t="str">
        <f>IF(ISNUMBER('Step 3 (MTP) - Plan and prior'!M67),'Step 3 (MTP) - Plan and prior'!M67,"")</f>
        <v/>
      </c>
      <c r="N82" s="69" t="str">
        <f>IF(ISNUMBER('Step 3 (MTP) - Plan and prior'!N67),'Step 3 (MTP) - Plan and prior'!N67,"")</f>
        <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t="str">
        <f>IF(ISNUMBER('Step 3 (MTP) - Plan and prior'!J68),'Step 3 (MTP) - Plan and prior'!J68,"")</f>
        <v/>
      </c>
      <c r="K83" s="69" t="str">
        <f>IF(ISNUMBER('Step 3 (MTP) - Plan and prior'!K68),'Step 3 (MTP) - Plan and prior'!K68,"")</f>
        <v/>
      </c>
      <c r="L83" s="69" t="str">
        <f>IF(ISNUMBER('Step 3 (MTP) - Plan and prior'!L68),'Step 3 (MTP) - Plan and prior'!L68,"")</f>
        <v/>
      </c>
      <c r="M83" s="69" t="str">
        <f>IF(ISNUMBER('Step 3 (MTP) - Plan and prior'!M68),'Step 3 (MTP) - Plan and prior'!M68,"")</f>
        <v/>
      </c>
      <c r="N83" s="69" t="str">
        <f>IF(ISNUMBER('Step 3 (MTP) - Plan and prior'!N68),'Step 3 (MTP) - Plan and prior'!N68,"")</f>
        <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t="str">
        <f>IF(ISNUMBER('Step 3 (MTP) - Plan and prior'!J69),'Step 3 (MTP) - Plan and prior'!J69,"")</f>
        <v/>
      </c>
      <c r="K84" s="69" t="str">
        <f>IF(ISNUMBER('Step 3 (MTP) - Plan and prior'!K69),'Step 3 (MTP) - Plan and prior'!K69,"")</f>
        <v/>
      </c>
      <c r="L84" s="69" t="str">
        <f>IF(ISNUMBER('Step 3 (MTP) - Plan and prior'!L69),'Step 3 (MTP) - Plan and prior'!L69,"")</f>
        <v/>
      </c>
      <c r="M84" s="69" t="str">
        <f>IF(ISNUMBER('Step 3 (MTP) - Plan and prior'!M69),'Step 3 (MTP) - Plan and prior'!M69,"")</f>
        <v/>
      </c>
      <c r="N84" s="69" t="str">
        <f>IF(ISNUMBER('Step 3 (MTP) - Plan and prior'!N69),'Step 3 (MTP) - Plan and prior'!N69,"")</f>
        <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t="str">
        <f>IF(ISNUMBER('Step 3 (MTP) - Plan and prior'!J70),'Step 3 (MTP) - Plan and prior'!J70,"")</f>
        <v/>
      </c>
      <c r="K85" s="69" t="str">
        <f>IF(ISNUMBER('Step 3 (MTP) - Plan and prior'!K70),'Step 3 (MTP) - Plan and prior'!K70,"")</f>
        <v/>
      </c>
      <c r="L85" s="69" t="str">
        <f>IF(ISNUMBER('Step 3 (MTP) - Plan and prior'!L70),'Step 3 (MTP) - Plan and prior'!L70,"")</f>
        <v/>
      </c>
      <c r="M85" s="69" t="str">
        <f>IF(ISNUMBER('Step 3 (MTP) - Plan and prior'!M70),'Step 3 (MTP) - Plan and prior'!M70,"")</f>
        <v/>
      </c>
      <c r="N85" s="69" t="str">
        <f>IF(ISNUMBER('Step 3 (MTP) - Plan and prior'!N70),'Step 3 (MTP) - Plan and prior'!N70,"")</f>
        <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t="str">
        <f>IF(ISNUMBER('Step 3 (MTP) - Plan and prior'!J71),'Step 3 (MTP) - Plan and prior'!J71,"")</f>
        <v/>
      </c>
      <c r="K86" s="69" t="str">
        <f>IF(ISNUMBER('Step 3 (MTP) - Plan and prior'!K71),'Step 3 (MTP) - Plan and prior'!K71,"")</f>
        <v/>
      </c>
      <c r="L86" s="69" t="str">
        <f>IF(ISNUMBER('Step 3 (MTP) - Plan and prior'!L71),'Step 3 (MTP) - Plan and prior'!L71,"")</f>
        <v/>
      </c>
      <c r="M86" s="69" t="str">
        <f>IF(ISNUMBER('Step 3 (MTP) - Plan and prior'!M71),'Step 3 (MTP) - Plan and prior'!M71,"")</f>
        <v/>
      </c>
      <c r="N86" s="69" t="str">
        <f>IF(ISNUMBER('Step 3 (MTP) - Plan and prior'!N71),'Step 3 (MTP) - Plan and prior'!N71,"")</f>
        <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t="str">
        <f>IF(ISNUMBER('Step 3 (MTP) - Plan and prior'!J72),'Step 3 (MTP) - Plan and prior'!J72,"")</f>
        <v/>
      </c>
      <c r="K87" s="69" t="str">
        <f>IF(ISNUMBER('Step 3 (MTP) - Plan and prior'!K72),'Step 3 (MTP) - Plan and prior'!K72,"")</f>
        <v/>
      </c>
      <c r="L87" s="69" t="str">
        <f>IF(ISNUMBER('Step 3 (MTP) - Plan and prior'!L72),'Step 3 (MTP) - Plan and prior'!L72,"")</f>
        <v/>
      </c>
      <c r="M87" s="69" t="str">
        <f>IF(ISNUMBER('Step 3 (MTP) - Plan and prior'!M72),'Step 3 (MTP) - Plan and prior'!M72,"")</f>
        <v/>
      </c>
      <c r="N87" s="69" t="str">
        <f>IF(ISNUMBER('Step 3 (MTP) - Plan and prior'!N72),'Step 3 (MTP) - Plan and prior'!N72,"")</f>
        <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t="str">
        <f>IF(ISNUMBER('Step 3 (MTP) - Plan and prior'!J73),'Step 3 (MTP) - Plan and prior'!J73,"")</f>
        <v/>
      </c>
      <c r="K88" s="69" t="str">
        <f>IF(ISNUMBER('Step 3 (MTP) - Plan and prior'!K73),'Step 3 (MTP) - Plan and prior'!K73,"")</f>
        <v/>
      </c>
      <c r="L88" s="69" t="str">
        <f>IF(ISNUMBER('Step 3 (MTP) - Plan and prior'!L73),'Step 3 (MTP) - Plan and prior'!L73,"")</f>
        <v/>
      </c>
      <c r="M88" s="69" t="str">
        <f>IF(ISNUMBER('Step 3 (MTP) - Plan and prior'!M73),'Step 3 (MTP) - Plan and prior'!M73,"")</f>
        <v/>
      </c>
      <c r="N88" s="69" t="str">
        <f>IF(ISNUMBER('Step 3 (MTP) - Plan and prior'!N73),'Step 3 (MTP) - Plan and prior'!N73,"")</f>
        <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t="str">
        <f>IF(ISNUMBER('Step 3 (MTP) - Plan and prior'!J74),'Step 3 (MTP) - Plan and prior'!J74,"")</f>
        <v/>
      </c>
      <c r="K89" s="69" t="str">
        <f>IF(ISNUMBER('Step 3 (MTP) - Plan and prior'!K74),'Step 3 (MTP) - Plan and prior'!K74,"")</f>
        <v/>
      </c>
      <c r="L89" s="69" t="str">
        <f>IF(ISNUMBER('Step 3 (MTP) - Plan and prior'!L74),'Step 3 (MTP) - Plan and prior'!L74,"")</f>
        <v/>
      </c>
      <c r="M89" s="69" t="str">
        <f>IF(ISNUMBER('Step 3 (MTP) - Plan and prior'!M74),'Step 3 (MTP) - Plan and prior'!M74,"")</f>
        <v/>
      </c>
      <c r="N89" s="69" t="str">
        <f>IF(ISNUMBER('Step 3 (MTP) - Plan and prior'!N74),'Step 3 (MTP) - Plan and prior'!N74,"")</f>
        <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1</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0</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2025 adheres to the net expenditure path in its latest Council-endorsed MTP, but planned net expenditure to 2026 does not. Deviations occur only in years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3"/>
      <c r="I102" s="3"/>
      <c r="J102" s="3"/>
      <c r="K102" s="3"/>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s="3"/>
      <c r="K103" s="3"/>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c r="I104"/>
      <c r="J104"/>
      <c r="K104"/>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17.182600000000001</v>
      </c>
      <c r="E105" s="145">
        <f t="shared" si="2"/>
        <v>18.413499999999999</v>
      </c>
      <c r="F105" s="145">
        <f t="shared" si="2"/>
        <v>19.8324</v>
      </c>
      <c r="G105" s="145">
        <f t="shared" si="2"/>
        <v>20.588509988199995</v>
      </c>
      <c r="H105" s="145" t="str">
        <f t="shared" si="2"/>
        <v/>
      </c>
      <c r="I105" s="145" t="str">
        <f t="shared" si="2"/>
        <v/>
      </c>
      <c r="J105" s="145" t="str">
        <f t="shared" si="2"/>
        <v/>
      </c>
      <c r="K105" s="145"/>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0.28689999999999999</v>
      </c>
      <c r="E106" s="145">
        <f t="shared" si="3"/>
        <v>0.44330000000000003</v>
      </c>
      <c r="F106" s="145">
        <f t="shared" si="3"/>
        <v>0.4758</v>
      </c>
      <c r="G106" s="145">
        <f t="shared" si="3"/>
        <v>0.59346037659999995</v>
      </c>
      <c r="H106" s="145" t="str">
        <f t="shared" si="3"/>
        <v/>
      </c>
      <c r="I106" s="145" t="str">
        <f t="shared" si="3"/>
        <v/>
      </c>
      <c r="J106" s="145" t="str">
        <f t="shared" si="3"/>
        <v/>
      </c>
      <c r="K106" s="145"/>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-2.3600000000000001E-3</v>
      </c>
      <c r="E107" s="145">
        <f t="shared" si="4"/>
        <v>3.14E-3</v>
      </c>
      <c r="F107" s="145">
        <f t="shared" si="4"/>
        <v>6.7000000000000002E-3</v>
      </c>
      <c r="G107" s="145">
        <f t="shared" si="4"/>
        <v>9.130159639999998E-3</v>
      </c>
      <c r="H107" s="145" t="str">
        <f t="shared" si="4"/>
        <v/>
      </c>
      <c r="I107" s="145" t="str">
        <f t="shared" si="4"/>
        <v/>
      </c>
      <c r="J107" s="145" t="str">
        <f t="shared" si="4"/>
        <v/>
      </c>
      <c r="K107" s="145"/>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0.75171979999999994</v>
      </c>
      <c r="E108" s="145">
        <f t="shared" si="5"/>
        <v>0.77239370000000007</v>
      </c>
      <c r="F108" s="145">
        <f t="shared" si="5"/>
        <v>0.81749779999999994</v>
      </c>
      <c r="G108" s="145">
        <f t="shared" si="5"/>
        <v>0.91301596399999985</v>
      </c>
      <c r="H108" s="145" t="str">
        <f t="shared" si="5"/>
        <v/>
      </c>
      <c r="I108" s="145" t="str">
        <f t="shared" si="5"/>
        <v/>
      </c>
      <c r="J108" s="145" t="str">
        <f t="shared" si="5"/>
        <v/>
      </c>
      <c r="K108" s="145"/>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0.15825</v>
      </c>
      <c r="E109" s="145">
        <f t="shared" si="6"/>
        <v>0.13764999999999999</v>
      </c>
      <c r="F109" s="145">
        <f t="shared" si="6"/>
        <v>0.19919999999999999</v>
      </c>
      <c r="G109" s="145">
        <f t="shared" si="6"/>
        <v>0.22825399099999996</v>
      </c>
      <c r="H109" s="145" t="str">
        <f t="shared" si="6"/>
        <v/>
      </c>
      <c r="I109" s="145" t="str">
        <f t="shared" si="6"/>
        <v/>
      </c>
      <c r="J109" s="145" t="str">
        <f t="shared" si="6"/>
        <v/>
      </c>
      <c r="K109" s="145"/>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v>
      </c>
      <c r="E110" s="145">
        <f t="shared" si="7"/>
        <v>0</v>
      </c>
      <c r="F110" s="145">
        <f t="shared" si="7"/>
        <v>0</v>
      </c>
      <c r="G110" s="145">
        <f t="shared" si="7"/>
        <v>0</v>
      </c>
      <c r="H110" s="145" t="str">
        <f t="shared" si="7"/>
        <v/>
      </c>
      <c r="I110" s="145" t="str">
        <f t="shared" si="7"/>
        <v/>
      </c>
      <c r="J110" s="145" t="str">
        <f t="shared" si="7"/>
        <v/>
      </c>
      <c r="K110" s="145"/>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16.005510000000005</v>
      </c>
      <c r="E111" s="145">
        <f t="shared" si="8"/>
        <v>17.073910000000001</v>
      </c>
      <c r="F111" s="145">
        <f t="shared" si="8"/>
        <v>17.899699999999999</v>
      </c>
      <c r="G111" s="145">
        <f t="shared" si="8"/>
        <v>18.853779656599993</v>
      </c>
      <c r="H111" s="145" t="str">
        <f t="shared" si="8"/>
        <v/>
      </c>
      <c r="I111" s="145" t="str">
        <f t="shared" si="8"/>
        <v/>
      </c>
      <c r="J111" s="145" t="str">
        <f t="shared" si="8"/>
        <v/>
      </c>
      <c r="K111" s="145"/>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1.0683999999999969</v>
      </c>
      <c r="F112" s="92">
        <f t="shared" ref="F112:J112" si="9">IF(ISNUMBER(F102),F111-E111,"")</f>
        <v>0.8257899999999978</v>
      </c>
      <c r="G112" s="92">
        <f t="shared" si="9"/>
        <v>0.95407965659999405</v>
      </c>
      <c r="H112" s="92" t="str">
        <f t="shared" si="9"/>
        <v/>
      </c>
      <c r="I112" s="92" t="str">
        <f t="shared" si="9"/>
        <v/>
      </c>
      <c r="J112" s="92" t="str">
        <f t="shared" si="9"/>
        <v/>
      </c>
      <c r="K112" s="92"/>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0.24391380000000004</v>
      </c>
      <c r="F113" s="145">
        <f t="shared" si="10"/>
        <v>4.3026199999999994E-2</v>
      </c>
      <c r="G113" s="145">
        <f t="shared" si="10"/>
        <v>-9.1301596399999976E-2</v>
      </c>
      <c r="H113" s="145" t="str">
        <f t="shared" si="10"/>
        <v/>
      </c>
      <c r="I113" s="145" t="str">
        <f t="shared" si="10"/>
        <v/>
      </c>
      <c r="J113" s="145" t="str">
        <f t="shared" si="10"/>
        <v/>
      </c>
      <c r="K113" s="145"/>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0.82448619999999684</v>
      </c>
      <c r="F114" s="145">
        <f t="shared" ref="F114:J114" si="11">IF(ISNUMBER(F102),F112-F113,"")</f>
        <v>0.78276379999999779</v>
      </c>
      <c r="G114" s="145">
        <f t="shared" si="11"/>
        <v>1.045381252999994</v>
      </c>
      <c r="H114" s="145" t="str">
        <f t="shared" si="11"/>
        <v/>
      </c>
      <c r="I114" s="145" t="str">
        <f t="shared" si="11"/>
        <v/>
      </c>
      <c r="J114" s="145" t="str">
        <f t="shared" si="11"/>
        <v/>
      </c>
      <c r="K114" s="145"/>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981</v>
      </c>
      <c r="C115"/>
      <c r="D115" s="145"/>
      <c r="E115" s="145"/>
      <c r="F115" s="145"/>
      <c r="G115" s="145"/>
      <c r="H115" s="145"/>
      <c r="I115" s="145"/>
      <c r="J115" s="145"/>
      <c r="K115" s="145"/>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f>IF(ISNUMBER(E102),E114/D111*100,"")</f>
        <v>5.1512647831902676</v>
      </c>
      <c r="F116" s="145">
        <f t="shared" ref="F116:J116" si="12">IF(ISNUMBER(F102),F114/E111*100,"")</f>
        <v>4.5845608885135141</v>
      </c>
      <c r="G116" s="145">
        <f t="shared" si="12"/>
        <v>5.8402166125688924</v>
      </c>
      <c r="H116" s="145" t="str">
        <f t="shared" si="12"/>
        <v/>
      </c>
      <c r="I116" s="145" t="str">
        <f t="shared" si="12"/>
        <v/>
      </c>
      <c r="J116" s="145" t="str">
        <f t="shared" si="12"/>
        <v/>
      </c>
      <c r="K116" s="145"/>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1000</v>
      </c>
      <c r="C117" t="s">
        <v>612</v>
      </c>
      <c r="D117" s="145"/>
      <c r="E117" s="264">
        <f t="shared" ref="E117:J117" si="13">IF(ISNUMBER(E102),E34,"")</f>
        <v>9.1</v>
      </c>
      <c r="F117" s="145">
        <f t="shared" si="13"/>
        <v>5.8999999999999995</v>
      </c>
      <c r="G117" s="145">
        <f t="shared" si="13"/>
        <v>3.5999999999999996</v>
      </c>
      <c r="H117" s="145" t="str">
        <f t="shared" si="13"/>
        <v/>
      </c>
      <c r="I117" s="145" t="str">
        <f t="shared" si="13"/>
        <v/>
      </c>
      <c r="J117" s="145" t="str">
        <f t="shared" si="13"/>
        <v/>
      </c>
      <c r="K117" s="145"/>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982</v>
      </c>
      <c r="C118" t="s">
        <v>6</v>
      </c>
      <c r="D118" s="145"/>
      <c r="E118" s="264">
        <f>IF(ISNUMBER(E102),((E116-E117)/100)*D111,"")</f>
        <v>-0.63201521000000349</v>
      </c>
      <c r="F118" s="145">
        <f t="shared" ref="F118:J118" si="14">IF(ISNUMBER(F102),((F116-F117)/100)*E111,"")</f>
        <v>-0.22459689000000219</v>
      </c>
      <c r="G118" s="145">
        <f t="shared" si="14"/>
        <v>0.40099205299999402</v>
      </c>
      <c r="H118" s="145" t="str">
        <f t="shared" si="14"/>
        <v/>
      </c>
      <c r="I118" s="145" t="str">
        <f t="shared" si="14"/>
        <v/>
      </c>
      <c r="J118" s="145" t="str">
        <f t="shared" si="14"/>
        <v/>
      </c>
      <c r="K118" s="145"/>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983</v>
      </c>
      <c r="C119" s="7" t="s">
        <v>6</v>
      </c>
      <c r="D119" s="145"/>
      <c r="E119" s="264">
        <f>IF(ISNUMBER(E102),E118+IF(ISNUMBER(D102),D119,0),"")</f>
        <v>-0.63201521000000349</v>
      </c>
      <c r="F119" s="145">
        <f t="shared" ref="F119:J119" si="15">IF(ISNUMBER(F102),F118+IF(ISNUMBER(E102),E119,0),"")</f>
        <v>-0.85661210000000565</v>
      </c>
      <c r="G119" s="145">
        <f t="shared" si="15"/>
        <v>-0.45562004700001163</v>
      </c>
      <c r="H119" s="145" t="str">
        <f t="shared" si="15"/>
        <v/>
      </c>
      <c r="I119" s="145" t="str">
        <f t="shared" si="15"/>
        <v/>
      </c>
      <c r="J119" s="145" t="str">
        <f t="shared" si="15"/>
        <v/>
      </c>
      <c r="K119" s="145"/>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145">
        <f t="shared" ref="D120:J120" si="16">IF(ISNUMBER(D102),D27,"")</f>
        <v>39.5642</v>
      </c>
      <c r="E120" s="145">
        <f t="shared" si="16"/>
        <v>40.652300000000004</v>
      </c>
      <c r="F120" s="145">
        <f t="shared" si="16"/>
        <v>43.026199999999996</v>
      </c>
      <c r="G120" s="145">
        <f t="shared" si="16"/>
        <v>45.65079819999999</v>
      </c>
      <c r="H120" s="145" t="str">
        <f t="shared" si="16"/>
        <v/>
      </c>
      <c r="I120" s="145" t="str">
        <f t="shared" si="16"/>
        <v/>
      </c>
      <c r="J120" s="145" t="str">
        <f t="shared" si="16"/>
        <v/>
      </c>
      <c r="K120" s="145"/>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3"/>
      <c r="I121" s="3"/>
      <c r="J121" s="3"/>
      <c r="K121" s="3"/>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263">
        <f>IF(ISNUMBER(E102),E118/E$120*100,"")</f>
        <v>-1.5546849993727376</v>
      </c>
      <c r="F122" s="4">
        <f t="shared" ref="F122:J122" si="17">IF(ISNUMBER(F102),F118/F$120*100,"")</f>
        <v>-0.52200029284482985</v>
      </c>
      <c r="G122" s="4">
        <f t="shared" si="17"/>
        <v>0.87839001465694877</v>
      </c>
      <c r="H122" s="4" t="str">
        <f t="shared" si="17"/>
        <v/>
      </c>
      <c r="I122" s="4" t="str">
        <f t="shared" si="17"/>
        <v/>
      </c>
      <c r="J122" s="4" t="str">
        <f t="shared" si="17"/>
        <v/>
      </c>
      <c r="K122" s="4"/>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999</v>
      </c>
      <c r="C123" t="s">
        <v>614</v>
      </c>
      <c r="D123"/>
      <c r="E123" s="263">
        <f>IF(ISNUMBER(E102),E119/E$120*100,"")</f>
        <v>-1.5546849993727376</v>
      </c>
      <c r="F123" s="4">
        <f t="shared" ref="F123:J123" si="18">IF(ISNUMBER(F102),F119/F$120*100,"")</f>
        <v>-1.9909080978566682</v>
      </c>
      <c r="G123" s="4">
        <f t="shared" si="18"/>
        <v>-0.99805494091012792</v>
      </c>
      <c r="H123" s="4" t="str">
        <f t="shared" si="18"/>
        <v/>
      </c>
      <c r="I123" s="4" t="str">
        <f t="shared" si="18"/>
        <v/>
      </c>
      <c r="J123" s="4" t="str">
        <f t="shared" si="18"/>
        <v/>
      </c>
      <c r="K123" s="4"/>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984</v>
      </c>
      <c r="C124" s="20"/>
      <c r="D124" s="3"/>
      <c r="E124" s="3"/>
      <c r="F124" s="3"/>
      <c r="G124" s="3"/>
      <c r="H124" s="3"/>
      <c r="I124" s="3"/>
      <c r="J124" s="3"/>
      <c r="K124" s="3"/>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f>IF(ISNUMBER(E102),E118/E$120*100,"")</f>
        <v>-1.5546849993727376</v>
      </c>
      <c r="F125" s="4">
        <f t="shared" ref="F125:J125" si="19">IF(ISNUMBER(F102),F118/F$120*100,"")</f>
        <v>-0.52200029284482985</v>
      </c>
      <c r="G125" s="4">
        <f t="shared" si="19"/>
        <v>0.87839001465694877</v>
      </c>
      <c r="H125" s="4" t="str">
        <f t="shared" si="19"/>
        <v/>
      </c>
      <c r="I125" s="4" t="str">
        <f t="shared" si="19"/>
        <v/>
      </c>
      <c r="J125" s="4" t="str">
        <f t="shared" si="19"/>
        <v/>
      </c>
      <c r="K125" s="4"/>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1.0249299999999999</v>
      </c>
      <c r="E126" s="145">
        <f t="shared" si="20"/>
        <v>1.10371</v>
      </c>
      <c r="F126" s="145">
        <f t="shared" si="20"/>
        <v>1.36114</v>
      </c>
      <c r="G126" s="145">
        <f t="shared" si="20"/>
        <v>2.1573508744079999</v>
      </c>
      <c r="H126" s="145" t="str">
        <f t="shared" si="20"/>
        <v/>
      </c>
      <c r="I126" s="145" t="str">
        <f t="shared" si="20"/>
        <v/>
      </c>
      <c r="J126" s="145" t="str">
        <f t="shared" si="20"/>
        <v/>
      </c>
      <c r="K126" s="145"/>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f t="shared" ref="D127:J127" si="21">IF(ISNUMBER(D102),D14/D120*100,"")</f>
        <v>2.5905490317003754</v>
      </c>
      <c r="E127" s="4">
        <f t="shared" si="21"/>
        <v>2.7150001352936979</v>
      </c>
      <c r="F127" s="4">
        <f t="shared" si="21"/>
        <v>3.1635143238305963</v>
      </c>
      <c r="G127" s="4">
        <f t="shared" si="21"/>
        <v>4.7257681343411875</v>
      </c>
      <c r="H127" s="4" t="str">
        <f t="shared" si="21"/>
        <v/>
      </c>
      <c r="I127" s="4" t="str">
        <f t="shared" si="21"/>
        <v/>
      </c>
      <c r="J127" s="4" t="str">
        <f t="shared" si="21"/>
        <v/>
      </c>
      <c r="K127" s="4"/>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7.8780000000000072E-2</v>
      </c>
      <c r="F128" s="4">
        <f t="shared" ref="F128:J128" si="22">IF(ISNUMBER(F102),F126-E126,"")</f>
        <v>0.25743000000000005</v>
      </c>
      <c r="G128" s="4">
        <f t="shared" si="22"/>
        <v>0.79621087440799987</v>
      </c>
      <c r="H128" s="4" t="str">
        <f t="shared" si="22"/>
        <v/>
      </c>
      <c r="I128" s="4" t="str">
        <f t="shared" si="22"/>
        <v/>
      </c>
      <c r="J128" s="4" t="str">
        <f t="shared" si="22"/>
        <v/>
      </c>
      <c r="K128" s="4"/>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f>IF(ISNUMBER(E102),E128/E$27*100,"")</f>
        <v>0.19378977327236113</v>
      </c>
      <c r="F129" s="4">
        <f>IF(ISNUMBER(F102),F128/F$27*100,"")</f>
        <v>0.59830986701126299</v>
      </c>
      <c r="G129" s="4">
        <f t="shared" ref="G129:J129" si="23">IF(ISNUMBER(G102),G128/G$27*100,"")</f>
        <v>1.7441335218712561</v>
      </c>
      <c r="H129" s="4" t="str">
        <f t="shared" si="23"/>
        <v/>
      </c>
      <c r="I129" s="4" t="str">
        <f t="shared" si="23"/>
        <v/>
      </c>
      <c r="J129" s="4" t="str">
        <f t="shared" si="23"/>
        <v/>
      </c>
      <c r="K129" s="4"/>
    </row>
    <row r="130" spans="1:35" x14ac:dyDescent="0.4">
      <c r="B130" s="5" t="str">
        <f>"Growth of defence expenditure since "&amp;'Step 1 - Set global parameters'!B17&amp;""</f>
        <v>Growth of defence expenditure since 2021</v>
      </c>
      <c r="C130" t="s">
        <v>6</v>
      </c>
      <c r="E130" s="4">
        <f>IF(ISNUMBER(E102),E131/100*E$27,"")</f>
        <v>8.7402499999999939E-2</v>
      </c>
      <c r="F130" s="4">
        <f t="shared" ref="F130:G130" si="24">IF(ISNUMBER(F102),F131/100*F$27,"")</f>
        <v>0.28548499999999999</v>
      </c>
      <c r="G130" s="4">
        <f t="shared" si="24"/>
        <v>1.016080919408</v>
      </c>
      <c r="H130" s="4"/>
      <c r="I130" s="4"/>
      <c r="J130" s="4"/>
      <c r="K130" s="4"/>
    </row>
    <row r="131" spans="1:35" x14ac:dyDescent="0.4">
      <c r="B131" s="5" t="str">
        <f>"Growth of defence expenditure since "&amp;'Step 1 - Set global parameters'!B17&amp;""</f>
        <v>Growth of defence expenditure since 2021</v>
      </c>
      <c r="C131" t="s">
        <v>614</v>
      </c>
      <c r="E131" s="4">
        <f>IF(ISNUMBER(E102),E127-'Step 1 - Set global parameters'!$B$18,"")</f>
        <v>0.21500013529369788</v>
      </c>
      <c r="F131" s="4">
        <f>IF(ISNUMBER(F102),F127-'Step 1 - Set global parameters'!$B$18,"")</f>
        <v>0.66351432383059628</v>
      </c>
      <c r="G131" s="4">
        <f>IF(ISNUMBER(G102),G127-'Step 1 - Set global parameters'!$B$18,"")</f>
        <v>2.2257681343411875</v>
      </c>
      <c r="H131" s="4" t="str">
        <f>IF(ISNUMBER(H102),H127-'Step 1 - Set global parameters'!$B$18,"")</f>
        <v/>
      </c>
      <c r="I131" s="4" t="str">
        <f>IF(ISNUMBER(I102),I127-'Step 1 - Set global parameters'!$B$18,"")</f>
        <v/>
      </c>
      <c r="J131" s="4" t="str">
        <f>IF(ISNUMBER(J102),J127-'Step 1 - Set global parameters'!$B$18,"")</f>
        <v/>
      </c>
      <c r="K131" s="4"/>
    </row>
    <row r="132" spans="1:35" x14ac:dyDescent="0.4">
      <c r="B132" s="5" t="s">
        <v>661</v>
      </c>
      <c r="C132" s="15" t="s">
        <v>614</v>
      </c>
      <c r="E132" s="118">
        <f t="shared" ref="E132:J132" si="25">IF(ISNUMBER(E102),IF((E125-E131)&gt;0,E125-E131,0),"")</f>
        <v>0</v>
      </c>
      <c r="F132" s="118">
        <f t="shared" si="25"/>
        <v>0</v>
      </c>
      <c r="G132" s="118">
        <f t="shared" si="25"/>
        <v>0</v>
      </c>
      <c r="H132" s="118" t="str">
        <f t="shared" si="25"/>
        <v/>
      </c>
      <c r="I132" s="118" t="str">
        <f t="shared" si="25"/>
        <v/>
      </c>
      <c r="J132" s="118" t="str">
        <f t="shared" si="25"/>
        <v/>
      </c>
      <c r="K132" s="118"/>
    </row>
    <row r="133" spans="1:35" s="45" customFormat="1" x14ac:dyDescent="0.4">
      <c r="B133" s="83" t="s">
        <v>663</v>
      </c>
      <c r="C133" s="45" t="s">
        <v>662</v>
      </c>
      <c r="E133" s="49">
        <f>IF(ISNUMBER(E102),E118,"")</f>
        <v>-0.63201521000000349</v>
      </c>
      <c r="F133" s="49">
        <f t="shared" ref="F133:J133" si="26">IF(ISNUMBER(F102),F118,"")</f>
        <v>-0.22459689000000219</v>
      </c>
      <c r="G133" s="49">
        <f t="shared" si="26"/>
        <v>0.40099205299999402</v>
      </c>
      <c r="H133" s="49" t="str">
        <f t="shared" si="26"/>
        <v/>
      </c>
      <c r="I133" s="49" t="str">
        <f t="shared" si="26"/>
        <v/>
      </c>
      <c r="J133" s="49" t="str">
        <f t="shared" si="26"/>
        <v/>
      </c>
      <c r="K133" s="49"/>
    </row>
    <row r="134" spans="1:35" s="45" customFormat="1" x14ac:dyDescent="0.4">
      <c r="B134" s="91" t="s">
        <v>249</v>
      </c>
      <c r="C134" s="45" t="s">
        <v>662</v>
      </c>
      <c r="D134" s="49"/>
      <c r="E134" s="49">
        <f>IF(ISNUMBER(E102),IF(OR(E133="",ISNA(E133)),"",MAX(E133,0)),"")</f>
        <v>0</v>
      </c>
      <c r="F134" s="49">
        <f t="shared" ref="F134:J134" si="27">IF(ISNUMBER(F102),IF(OR(F133="",ISNA(F133)),"",MAX(F133,0)),"")</f>
        <v>0</v>
      </c>
      <c r="G134" s="49">
        <f t="shared" si="27"/>
        <v>0.40099205299999402</v>
      </c>
      <c r="H134" s="49" t="str">
        <f t="shared" si="27"/>
        <v/>
      </c>
      <c r="I134" s="49" t="str">
        <f t="shared" si="27"/>
        <v/>
      </c>
      <c r="J134" s="49" t="str">
        <f t="shared" si="27"/>
        <v/>
      </c>
      <c r="K134" s="49"/>
    </row>
    <row r="135" spans="1:35" s="45" customFormat="1" x14ac:dyDescent="0.4">
      <c r="B135" s="91" t="s">
        <v>660</v>
      </c>
      <c r="C135" s="45" t="s">
        <v>662</v>
      </c>
      <c r="E135" s="49">
        <f>IF(ISNUMBER(E102),IF((E134-MAX(E130,0))&gt;0,E134-MAX(E130,0),0),"")</f>
        <v>0</v>
      </c>
      <c r="F135" s="49">
        <f t="shared" ref="F135:G135" si="28">IF(ISNUMBER(F102),IF((F134-MAX(F130,0))&gt;0,F134-MAX(F130,0),0),"")</f>
        <v>0</v>
      </c>
      <c r="G135" s="49">
        <f t="shared" si="28"/>
        <v>0</v>
      </c>
      <c r="H135" s="49" t="str">
        <f t="shared" ref="H135:J135" si="29">IF(ISNUMBER(H102),IF((H134-MAX(H128,0))&gt;0,H134-MAX(H128,0),0),"")</f>
        <v/>
      </c>
      <c r="I135" s="49" t="str">
        <f t="shared" si="29"/>
        <v/>
      </c>
      <c r="J135" s="49" t="str">
        <f t="shared" si="29"/>
        <v/>
      </c>
      <c r="K135" s="49"/>
    </row>
    <row r="136" spans="1:35" s="45" customFormat="1" x14ac:dyDescent="0.4">
      <c r="B136" s="91" t="s">
        <v>250</v>
      </c>
      <c r="C136" s="45" t="s">
        <v>662</v>
      </c>
      <c r="D136" s="49"/>
      <c r="E136" s="49">
        <f>IF(ISNUMBER(E102),IF(OR(E133="",ISNA(E133)),"",ABS(MIN(E133,0))),"")</f>
        <v>0.63201521000000349</v>
      </c>
      <c r="F136" s="49">
        <f t="shared" ref="F136:J136" si="30">IF(ISNUMBER(F102),IF(OR(F133="",ISNA(F133)),"",ABS(MIN(F133,0))),"")</f>
        <v>0.22459689000000219</v>
      </c>
      <c r="G136" s="49">
        <f t="shared" si="30"/>
        <v>0</v>
      </c>
      <c r="H136" s="49" t="str">
        <f t="shared" si="30"/>
        <v/>
      </c>
      <c r="I136" s="49" t="str">
        <f t="shared" si="30"/>
        <v/>
      </c>
      <c r="J136" s="49" t="str">
        <f t="shared" si="30"/>
        <v/>
      </c>
      <c r="K136" s="49"/>
    </row>
    <row r="137" spans="1:35" s="45" customFormat="1" x14ac:dyDescent="0.4">
      <c r="B137" s="56" t="s">
        <v>664</v>
      </c>
      <c r="C137" s="45" t="s">
        <v>662</v>
      </c>
      <c r="E137" s="49">
        <f>IF(ISNUMBER(E102),IF(E142=FALSE,E134-E136,IF(E143=TRUE,E135-E136,E136)),"")</f>
        <v>-0.63201521000000349</v>
      </c>
      <c r="F137" s="49">
        <f t="shared" ref="F137:J137" si="31">IF(ISNUMBER(F102),IF(F142=FALSE,F134-F136,IF(F143=TRUE,F135-F136,F136)),"")</f>
        <v>-0.22459689000000219</v>
      </c>
      <c r="G137" s="49">
        <f t="shared" si="31"/>
        <v>0</v>
      </c>
      <c r="H137" s="49" t="str">
        <f t="shared" si="31"/>
        <v/>
      </c>
      <c r="I137" s="49" t="str">
        <f t="shared" si="31"/>
        <v/>
      </c>
      <c r="J137" s="49" t="str">
        <f t="shared" si="31"/>
        <v/>
      </c>
      <c r="K137" s="49"/>
    </row>
    <row r="138" spans="1:35" s="45" customFormat="1" x14ac:dyDescent="0.4">
      <c r="B138" s="56" t="s">
        <v>708</v>
      </c>
      <c r="C138" s="45" t="s">
        <v>662</v>
      </c>
      <c r="E138" s="49">
        <f>IF(ISNUMBER(E102),E137+IF(ISNUMBER(D102),D138,0),"")</f>
        <v>-0.63201521000000349</v>
      </c>
      <c r="F138" s="49">
        <f>IF(ISNUMBER(F102),F137+IF(ISNUMBER(E102),E138,0),"")</f>
        <v>-0.85661210000000565</v>
      </c>
      <c r="G138" s="49">
        <f>IF(ISNUMBER(G102),G137+IF(ISNUMBER(F102),F138,0),"")</f>
        <v>-0.85661210000000565</v>
      </c>
      <c r="H138" s="49" t="str">
        <f t="shared" ref="H138:J138" si="32">IF(ISNUMBER(H102),H137+IF(ISNUMBER(G102),G138,0),"")</f>
        <v/>
      </c>
      <c r="I138" s="49" t="str">
        <f t="shared" si="32"/>
        <v/>
      </c>
      <c r="J138" s="49" t="str">
        <f t="shared" si="32"/>
        <v/>
      </c>
      <c r="K138" s="49"/>
    </row>
    <row r="139" spans="1:35" x14ac:dyDescent="0.4">
      <c r="A139" s="3"/>
      <c r="B139" s="5" t="s">
        <v>664</v>
      </c>
      <c r="C139" t="s">
        <v>614</v>
      </c>
      <c r="D139"/>
      <c r="E139" s="4">
        <f>IF(ISNUMBER(E102),E137/E120*100,"")</f>
        <v>-1.5546849993727376</v>
      </c>
      <c r="F139" s="4">
        <f t="shared" ref="F139:J139" si="33">IF(ISNUMBER(F102),F137/F120*100,"")</f>
        <v>-0.52200029284482985</v>
      </c>
      <c r="G139" s="4">
        <f t="shared" si="33"/>
        <v>0</v>
      </c>
      <c r="H139" s="4" t="str">
        <f t="shared" si="33"/>
        <v/>
      </c>
      <c r="I139" s="4" t="str">
        <f t="shared" si="33"/>
        <v/>
      </c>
      <c r="J139" s="4" t="str">
        <f t="shared" si="33"/>
        <v/>
      </c>
      <c r="K139" s="4"/>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989</v>
      </c>
      <c r="C140" t="s">
        <v>614</v>
      </c>
      <c r="D140"/>
      <c r="E140" s="4">
        <f>IF(ISNUMBER(E102),E138/E$120*100,"")</f>
        <v>-1.5546849993727376</v>
      </c>
      <c r="F140" s="4">
        <f t="shared" ref="F140:J140" si="34">IF(ISNUMBER(F102),F138/F$120*100,"")</f>
        <v>-1.9909080978566682</v>
      </c>
      <c r="G140" s="4">
        <f t="shared" si="34"/>
        <v>-1.8764449555670766</v>
      </c>
      <c r="H140" s="4" t="str">
        <f t="shared" si="34"/>
        <v/>
      </c>
      <c r="I140" s="4" t="str">
        <f t="shared" si="34"/>
        <v/>
      </c>
      <c r="J140" s="4" t="str">
        <f t="shared" si="34"/>
        <v/>
      </c>
      <c r="K140" s="4"/>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x14ac:dyDescent="0.4">
      <c r="A141" s="3"/>
      <c r="B141" s="5" t="s">
        <v>990</v>
      </c>
      <c r="C141"/>
      <c r="D141"/>
      <c r="E141" s="4">
        <f>IF(ISNUMBER(E102),E123-E131,"")</f>
        <v>-1.7696851346664355</v>
      </c>
      <c r="F141" s="4">
        <f t="shared" ref="F141:J141" si="35">IF(ISNUMBER(F102),F123-F131,"")</f>
        <v>-2.6544224216872645</v>
      </c>
      <c r="G141" s="4">
        <f t="shared" si="35"/>
        <v>-3.2238230752513153</v>
      </c>
      <c r="H141" s="4" t="str">
        <f t="shared" si="35"/>
        <v/>
      </c>
      <c r="I141" s="4" t="str">
        <f t="shared" si="35"/>
        <v/>
      </c>
      <c r="J141" s="4" t="str">
        <f t="shared" si="35"/>
        <v/>
      </c>
      <c r="K141" s="4"/>
      <c r="L141"/>
      <c r="M141"/>
      <c r="N141"/>
      <c r="O141"/>
      <c r="P141"/>
      <c r="Q141"/>
      <c r="R141" s="72"/>
      <c r="S141" s="72"/>
      <c r="T141" s="72"/>
      <c r="U141" s="72"/>
      <c r="V141" s="72"/>
      <c r="W141" s="72"/>
      <c r="X141" s="72"/>
      <c r="Y141" s="72"/>
      <c r="Z141" s="72"/>
      <c r="AA141" s="72"/>
      <c r="AB141" s="72"/>
      <c r="AC141" s="72"/>
      <c r="AD141" s="72"/>
      <c r="AE141" s="72"/>
      <c r="AF141" s="72"/>
      <c r="AG141" s="72"/>
      <c r="AH141" s="72"/>
      <c r="AI141" s="72"/>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1</v>
      </c>
      <c r="G142" s="149" t="b">
        <f>'Step 1 - Set global parameters'!D12</f>
        <v>1</v>
      </c>
      <c r="H142" s="149" t="b">
        <f>'Step 1 - Set global parameters'!E12</f>
        <v>1</v>
      </c>
      <c r="I142" s="149" t="b">
        <f>'Step 1 - Set global parameters'!F12</f>
        <v>1</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b">
        <f>IF('Step 1 - Set global parameters'!C12,IF('Step 1 - Set global parameters'!C14="Defence", TRUE, FALSE),NA())</f>
        <v>1</v>
      </c>
      <c r="G143" s="149" t="b">
        <f>IF('Step 1 - Set global parameters'!D12,IF('Step 1 - Set global parameters'!D14="Defence", TRUE, FALSE),NA())</f>
        <v>1</v>
      </c>
      <c r="H143" s="149" t="b">
        <f>IF('Step 1 - Set global parameters'!E12,IF('Step 1 - Set global parameters'!E14="Defence", TRUE, FALSE),NA())</f>
        <v>1</v>
      </c>
      <c r="I143" s="149" t="b">
        <f>IF('Step 1 - Set global parameters'!F12,IF('Step 1 - Set global parameters'!F14="Defence", TRUE, FALSE),NA())</f>
        <v>1</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987</v>
      </c>
      <c r="C144" s="45" t="s">
        <v>614</v>
      </c>
      <c r="D144" s="96"/>
      <c r="E144" s="149" t="e">
        <f>IF('Step 1 - Set global parameters'!B12,'Step 1 - Set global parameters'!B15,NA())</f>
        <v>#N/A</v>
      </c>
      <c r="F144" s="149">
        <f>IF('Step 1 - Set global parameters'!C12,'Step 1 - Set global parameters'!C15,NA())</f>
        <v>1.5</v>
      </c>
      <c r="G144" s="149">
        <f>IF('Step 1 - Set global parameters'!D12,'Step 1 - Set global parameters'!D15,NA())</f>
        <v>1.5</v>
      </c>
      <c r="H144" s="149">
        <f>IF('Step 1 - Set global parameters'!E12,'Step 1 - Set global parameters'!E15,NA())</f>
        <v>1.5</v>
      </c>
      <c r="I144" s="149">
        <f>IF('Step 1 - Set global parameters'!F12,'Step 1 - Set global parameters'!F15,NA())</f>
        <v>1.5</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b">
        <f>F139 &gt; 0.3</f>
        <v>0</v>
      </c>
      <c r="G145" s="77" t="b">
        <f>G139 &gt; 0.3</f>
        <v>0</v>
      </c>
      <c r="H145" s="77" t="b">
        <f>H139 &gt; 0.3</f>
        <v>1</v>
      </c>
      <c r="I145" s="77" t="b">
        <f>I139 &gt; 0.3</f>
        <v>1</v>
      </c>
      <c r="J145" s="77" t="b">
        <f>J139 &gt; 0.3</f>
        <v>1</v>
      </c>
      <c r="K145" s="77"/>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b">
        <f>IF(F140 &gt; 0.6, TRUE, FALSE)</f>
        <v>0</v>
      </c>
      <c r="G146" s="120" t="b">
        <f>IF(G140 &gt; 0.6, TRUE, FALSE)</f>
        <v>0</v>
      </c>
      <c r="H146" s="120" t="b">
        <f>IF(H140 &gt; 0.6, TRUE, FALSE)</f>
        <v>1</v>
      </c>
      <c r="I146" s="120" t="b">
        <f>IF(I140 &gt; 0.6, TRUE, FALSE)</f>
        <v>1</v>
      </c>
      <c r="J146" s="120" t="b">
        <f>IF(J140 &gt; 0.6, TRUE, FALSE)</f>
        <v>1</v>
      </c>
      <c r="K146" s="120"/>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b">
        <f>MAX(INDEX(139:139,_xlfn.XMATCH(MTP_YearT,102:102,0)):INDEX(139:139,_xlfn.XMATCH(AssessmentEnd,102:102,0)))&gt;0.3</f>
        <v>0</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b">
        <f>MAX(INDEX(140:140,_xlfn.XMATCH(MTP_YearT,102:102,0)):INDEX(140:140,_xlfn.XMATCH(AssessmentEnd,102:102,0)))&gt;0.6</f>
        <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b">
        <f>MAX(INDEX(139:139,_xlfn.XMATCH(MTP_YearT,102:102,0)):INDEX(139:139,_xlfn.XMATCH(OutturnThrough,102:102,0)))&gt;0.3</f>
        <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b">
        <f>MAX(INDEX(140:140,_xlfn.XMATCH(MTP_YearT,102:102,0)):INDEX(140:140,_xlfn.XMATCH(OutturnThrough,102:102,0)))&gt;0.6</f>
        <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b"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0</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b"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0</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b"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0</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b"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0</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str">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1.9 percentage points of GDP. Observed annual and cumulative deviations do not exceed the respective 0.3 and 0.6 percentage points of GDP limits.</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0</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e"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#N/A</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-2.0901399999999999</v>
      </c>
      <c r="E169" s="92">
        <v>-1.3087</v>
      </c>
      <c r="F169" s="92">
        <v>-2.5189499999999998</v>
      </c>
      <c r="G169" s="92">
        <v>-2.6</v>
      </c>
      <c r="H169" s="92"/>
      <c r="I169" s="92"/>
      <c r="J169" s="92"/>
      <c r="K169" s="92"/>
      <c r="L169" s="92"/>
      <c r="M169" s="92"/>
      <c r="N169" s="92"/>
    </row>
    <row r="170" spans="2:35" customFormat="1" x14ac:dyDescent="0.4">
      <c r="B170" t="s">
        <v>214</v>
      </c>
      <c r="C170" s="38"/>
      <c r="D170" s="92" cm="1">
        <f t="array" ref="D170:G170">INDEX(19:19, COLUMN($D$19) + _xlfn.SEQUENCE(1, COLUMNS(_xlfn.ANCHORARRAY(D4))) - 1)</f>
        <v>-1.3650599999999999</v>
      </c>
      <c r="E170" s="92">
        <v>-0.21811</v>
      </c>
      <c r="F170" s="92">
        <v>-1.41309</v>
      </c>
      <c r="G170" s="92">
        <v>-1.3</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1.1469499999999999</v>
      </c>
      <c r="F171" s="92">
        <v>-1.1949799999999999</v>
      </c>
      <c r="G171" s="92">
        <v>0.11308999999999991</v>
      </c>
      <c r="H171" s="92"/>
      <c r="I171" s="92"/>
      <c r="J171" s="92"/>
      <c r="K171" s="92"/>
      <c r="L171" s="92"/>
    </row>
    <row r="172" spans="2:35" customFormat="1" x14ac:dyDescent="0.4">
      <c r="B172" t="s">
        <v>671</v>
      </c>
      <c r="D172" s="3" t="b">
        <f>IF(ISNUMBER(D168),D169&lt;-1.5,"")</f>
        <v>1</v>
      </c>
      <c r="E172" s="3" t="b">
        <f t="shared" ref="E172:K172" si="36">IF(ISNUMBER(E168),E169&lt;-1.5,"")</f>
        <v>0</v>
      </c>
      <c r="F172" s="3" t="b">
        <f t="shared" si="36"/>
        <v>1</v>
      </c>
      <c r="G172" s="3" t="b">
        <f t="shared" si="36"/>
        <v>1</v>
      </c>
      <c r="H172" s="3" t="str">
        <f t="shared" si="36"/>
        <v/>
      </c>
      <c r="I172" s="3" t="str">
        <f t="shared" si="36"/>
        <v/>
      </c>
      <c r="J172" s="3" t="str">
        <f t="shared" si="36"/>
        <v/>
      </c>
      <c r="K172" s="3" t="str">
        <f t="shared" si="36"/>
        <v/>
      </c>
      <c r="L172" s="3"/>
      <c r="M172" s="3"/>
      <c r="N172" s="3"/>
      <c r="O172" s="3"/>
      <c r="P172" s="3"/>
    </row>
    <row r="173" spans="2:35" customFormat="1" x14ac:dyDescent="0.4">
      <c r="B173" t="s">
        <v>385</v>
      </c>
      <c r="C173" s="2" t="e" cm="1">
        <f t="array" ref="C173">IF(
  Receives_reference_trajectory,
  SUMPRODUCT(
    --(
      INDEX(172:172,1,COLUMN($D$168)):
      INDEX(172:172,1,COLUMN($D$168)+COLUMNS(_xlfn.ANCHORARRAY($D$168))-1)
    )
  )&gt;0,
  NA()
)</f>
        <v>#N/A</v>
      </c>
    </row>
    <row r="174" spans="2:35" x14ac:dyDescent="0.4">
      <c r="B174" t="s">
        <v>306</v>
      </c>
      <c r="C174" s="16" t="str">
        <f>IF(Receives_reference_trajectory,IF(AdjustmentPeriod=4,0.4,0.25),"Not applicable")</f>
        <v>Not applicable</v>
      </c>
      <c r="E174" s="18"/>
    </row>
    <row r="175" spans="2:35" x14ac:dyDescent="0.4">
      <c r="B175" t="s">
        <v>473</v>
      </c>
      <c r="C175" s="122" t="e"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#N/A</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0.11308999999999991</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3.7696666666666635E-2</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0.11308999999999991</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-0.54094500000000001</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1</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946</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943</v>
      </c>
      <c r="C194" s="16"/>
      <c r="F194" s="38"/>
    </row>
    <row r="195" spans="1:10" x14ac:dyDescent="0.4">
      <c r="B195" t="s">
        <v>829</v>
      </c>
      <c r="C195" s="16" t="b">
        <f>INDEX(20:20, MATCH(MTP_PlanFirstYear, 4:4, 0)) &lt; TFEU_Debt</f>
        <v>1</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196" s="38"/>
    </row>
    <row r="197" spans="1:10" x14ac:dyDescent="0.4">
      <c r="B197"/>
      <c r="C197" s="103"/>
      <c r="E197" s="19"/>
      <c r="J197" s="17"/>
    </row>
    <row r="198" spans="1:10" ht="18" x14ac:dyDescent="0.55000000000000004">
      <c r="B198" s="51" t="s">
        <v>944</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0" s="38"/>
    </row>
    <row r="201" spans="1:10" x14ac:dyDescent="0.4">
      <c r="C201" s="103"/>
      <c r="F201" s="38"/>
    </row>
    <row r="202" spans="1:10" ht="18" x14ac:dyDescent="0.55000000000000004">
      <c r="B202" s="51" t="s">
        <v>945</v>
      </c>
      <c r="E202" s="19"/>
      <c r="J202" s="17"/>
    </row>
    <row r="203" spans="1:10" x14ac:dyDescent="0.4">
      <c r="B203" t="s">
        <v>451</v>
      </c>
      <c r="C203" s="16" t="b">
        <f>NOT(AND($C$195,$C$199))</f>
        <v>0</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957</v>
      </c>
      <c r="C208" s="14"/>
      <c r="E208" s="18"/>
    </row>
    <row r="209" spans="2:10" x14ac:dyDescent="0.4">
      <c r="B209" t="s">
        <v>948</v>
      </c>
      <c r="C209" s="16" t="b">
        <f>'Step 3 (MTP) - Plan and prior'!C7</f>
        <v>1</v>
      </c>
    </row>
    <row r="210" spans="2:10" x14ac:dyDescent="0.4">
      <c r="B210" t="s">
        <v>951</v>
      </c>
      <c r="C210" s="16" t="b">
        <f>IF(C209,IF('Step 4 (MTP) - IFI scrutiny'!D4="Yes",TRUE,FALSE),NA())</f>
        <v>1</v>
      </c>
    </row>
    <row r="211" spans="2:10" x14ac:dyDescent="0.4">
      <c r="B211" t="s">
        <v>952</v>
      </c>
      <c r="C211" s="2" t="b">
        <f>IF(C210,IF('Step 4 (MTP) - IFI scrutiny'!D5="Yes",TRUE,NA()),NA())</f>
        <v>1</v>
      </c>
    </row>
    <row r="212" spans="2:10" x14ac:dyDescent="0.4">
      <c r="B212" t="s">
        <v>953</v>
      </c>
      <c r="C212" s="2"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4" spans="2:10" customFormat="1" x14ac:dyDescent="0.4"/>
    <row r="215" spans="2:10" ht="23.25" x14ac:dyDescent="0.7">
      <c r="B215" s="51" t="s">
        <v>958</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8" spans="2:10" customFormat="1" x14ac:dyDescent="0.4"/>
    <row r="219" spans="2:10" customFormat="1" ht="18" x14ac:dyDescent="0.55000000000000004">
      <c r="B219" s="51" t="s">
        <v>947</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960</v>
      </c>
    </row>
    <row r="228" spans="2:35" customFormat="1" x14ac:dyDescent="0.4">
      <c r="B228" t="s">
        <v>491</v>
      </c>
      <c r="C228" s="127">
        <f>AVERAGEIFS(
  70:70,
  32:32, "&gt;" &amp; MTP_YearT,
  32:32, "&lt;=" &amp; AdjustmentPeriodEnd
)</f>
        <v>3.0750000000000002</v>
      </c>
    </row>
    <row r="229" spans="2:35" customFormat="1" x14ac:dyDescent="0.4">
      <c r="B229" t="s">
        <v>492</v>
      </c>
      <c r="C229" s="127">
        <f>AVERAGEIFS(
  34:34,
  32:32, "&gt;" &amp; MTP_YearT,
  32:32, "&lt;=" &amp; AdjustmentPeriodEnd
)</f>
        <v>4.05</v>
      </c>
    </row>
    <row r="230" spans="2:35" customFormat="1" x14ac:dyDescent="0.4">
      <c r="B230" t="s">
        <v>493</v>
      </c>
      <c r="C230" s="127" t="b">
        <f>C228-C229&lt;0</f>
        <v>1</v>
      </c>
    </row>
    <row r="231" spans="2:35" x14ac:dyDescent="0.4">
      <c r="B231" s="15" t="s">
        <v>494</v>
      </c>
      <c r="C231" s="16" t="str">
        <f>IF(Receives_reference_trajectory,'Step 4 (MTP) - IFI scrutiny'!D3="Yes","Not applicable")</f>
        <v>Not applicable</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str">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21 June 2024. but remaining below the technical information path is not required.</v>
      </c>
    </row>
    <row r="233" spans="2:35" customFormat="1" x14ac:dyDescent="0.4">
      <c r="C233" s="4"/>
    </row>
    <row r="234" spans="2:35" customFormat="1" ht="26.25" customHeight="1" x14ac:dyDescent="0.55000000000000004">
      <c r="B234" s="51" t="s">
        <v>968</v>
      </c>
    </row>
    <row r="235" spans="2:35" customFormat="1" ht="15.75" x14ac:dyDescent="0.5">
      <c r="B235" s="80" t="s">
        <v>511</v>
      </c>
    </row>
    <row r="236" spans="2:35" x14ac:dyDescent="0.4">
      <c r="B236" s="5" t="s">
        <v>510</v>
      </c>
      <c r="C236" s="16" t="e" cm="1">
        <f t="array" ref="C236">IF(Receives_reference_trajectory,SUMPRODUCT(((46:46&gt;=MTP_YearT)*(46:46&lt;=AdjustmentPeriodEnd)*(65:65&lt;=34:34)))=0,NA())</f>
        <v>#N/A</v>
      </c>
      <c r="E236" s="19"/>
      <c r="J236" s="17"/>
    </row>
    <row r="237" spans="2:35" x14ac:dyDescent="0.4">
      <c r="B237" s="15" t="s">
        <v>519</v>
      </c>
      <c r="C237" s="16" t="e">
        <f>IF(AND(Receives_reference_trajectory,NOT(C236)),'Step 4 (MTP) - IFI scrutiny'!D3="Yes",NA())</f>
        <v>#N/A</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e">
        <f>IF(
  Receives_reference_trajectory,
  OR(C236, IFERROR(C237, TRUE)),
  NA()
)</f>
        <v>#N/A</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f>IF(
  Receives_reference_trajectory,
  NA(),
  INDEX($66:$66, MATCH(AdjustmentPeriodEnd, $63:$63, 0))
)</f>
        <v>-1.3</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f>IF(
  Receives_reference_trajectory,
  NA(),
  INDEX($67:$67, MATCH(AdjustmentPeriodEnd, $63:$63, 0))
)</f>
        <v>-0.1424659999999999</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f>IF(
  Receives_reference_trajectory,
  NA(),
  INDEX(37:37, MATCH(AdjustmentPeriodEnd, 32:32, 0))
)</f>
        <v>-1.3</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b">
        <f>IF(
  Receives_reference_trajectory,
  NA(),
  C244 &gt;= C242
)</f>
        <v>1</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b">
        <f>IF(
  Receives_reference_trajectory,
  NA(),
  OR(
    C246,
    IF(ISNA(C247), TRUE, C247)
  )
)</f>
        <v>1</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961</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str">
        <f>IF(
  NOT(Receives_reference_trajectory),
  "Not applicable",
  MAX(
    _xlfn.CHOOSECOLS(
      53:53,
      _xlfn.SEQUENCE(
        1,
        _xlfn.XMATCH(AdjustmentPeriodEnd+10,46:46,1) - _xlfn.XMATCH(AdjustmentPeriodEnd,46:46,0),
        _xlfn.XMATCH(AdjustmentPeriodEnd,46:46,0) + 1
      )
    )
  ) &lt;= TFEU_Debt
)</f>
        <v>Not applicable</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str"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56" s="19"/>
      <c r="J256" s="17"/>
    </row>
    <row r="257" spans="2:35" x14ac:dyDescent="0.4">
      <c r="B257" s="13" t="s">
        <v>357</v>
      </c>
      <c r="C257" s="16" t="str"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9"/>
      <c r="J257" s="17"/>
    </row>
    <row r="258" spans="2:35" x14ac:dyDescent="0.4">
      <c r="B258" s="13" t="s">
        <v>358</v>
      </c>
      <c r="C258" s="16" t="str"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9"/>
      <c r="J258" s="17"/>
    </row>
    <row r="259" spans="2:35" x14ac:dyDescent="0.4">
      <c r="B259" s="13" t="s">
        <v>359</v>
      </c>
      <c r="C259" s="16" t="str"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9" s="19"/>
      <c r="J259" s="17"/>
    </row>
    <row r="260" spans="2:35" x14ac:dyDescent="0.4">
      <c r="B260" s="13" t="s">
        <v>360</v>
      </c>
      <c r="C260" s="16" t="str" cm="1">
        <f t="array" ref="C260">IF(OR(NOT(Receives_reference_trajectory),C254),"Not applicable",
 IF(_xlfn.XMATCH(AdjustmentPeriodEnd+5,46:46,1)-_xlfn.XMATCH(AdjustmentPeriodEnd,46:46,0)&lt;=0,TRUE,
   INDEX(88:88,_xlfn.XMATCH(AdjustmentPeriodEnd+5,46:46,1)) &lt; INDEX(88:88,_xlfn.XMATCH(AdjustmentPeriodEnd,46:46,0))
 ))</f>
        <v>Not applicable</v>
      </c>
      <c r="E260" s="19"/>
      <c r="J260" s="17"/>
    </row>
    <row r="261" spans="2:35" x14ac:dyDescent="0.4">
      <c r="B261" t="s">
        <v>361</v>
      </c>
      <c r="C261" s="16" t="str"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Not applicable</v>
      </c>
      <c r="E261" s="19"/>
      <c r="J261" s="17"/>
    </row>
    <row r="262" spans="2:35" ht="20.25" customHeight="1" x14ac:dyDescent="0.4">
      <c r="B262" s="15" t="s">
        <v>258</v>
      </c>
      <c r="C262" s="103" t="e">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b" cm="1">
        <f t="array" ref="C265">IF(
  Receives_reference_trajectory,
  NA(),
  MAX(IF((46:46&gt;AdjustmentPeriodEnd)*(46:46&lt;=AdjustmentPeriodEnd+10), 53:53)) &lt;= TFEU_Debt
)</f>
        <v>1</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66" s="19"/>
      <c r="J266" s="17"/>
    </row>
    <row r="267" spans="2:35" ht="19.5" customHeight="1" x14ac:dyDescent="0.4">
      <c r="C267" s="38"/>
      <c r="E267" s="19"/>
      <c r="J267" s="17"/>
    </row>
    <row r="268" spans="2:35" ht="18" x14ac:dyDescent="0.55000000000000004">
      <c r="B268" s="51" t="s">
        <v>962</v>
      </c>
      <c r="C268" s="93"/>
      <c r="E268" s="19"/>
      <c r="J268" s="17"/>
    </row>
    <row r="269" spans="2:35" customFormat="1" ht="15.75" x14ac:dyDescent="0.5">
      <c r="B269" s="80" t="s">
        <v>511</v>
      </c>
    </row>
    <row r="270" spans="2:35" x14ac:dyDescent="0.4">
      <c r="B270" t="s">
        <v>498</v>
      </c>
      <c r="C270" s="16" t="e" cm="1">
        <f t="array" ref="C270">IF(
  Receives_reference_trajectory,
  IFERROR(
    AND(
      _xlfn._xlws.FILTER(
        50:50,
        (46:46&gt;=MTP_YearT)*(46:46&lt;=AdjustmentPeriodEnd)
      ) &gt; -TFEU_Deficit
    ),
    NA()
  ),
  NA()
)</f>
        <v>#N/A</v>
      </c>
      <c r="E270" s="19"/>
      <c r="J270" s="17"/>
    </row>
    <row r="271" spans="2:35" x14ac:dyDescent="0.4">
      <c r="B271" t="s">
        <v>499</v>
      </c>
      <c r="C271" s="16" t="e" cm="1">
        <f t="array" ref="C271">IF(
  Receives_reference_trajectory,
  IFERROR(
    AND(
      _xlfn._xlws.FILTER(
        50:50,
        (46:46&gt;=AdjustmentPeriodEnd)*(46:46&lt;=AdjustmentPeriodEnd+10)
      ) &gt; -TFEU_Deficit
    ),
    NA()
  ),
  NA()
)</f>
        <v>#N/A</v>
      </c>
      <c r="E271" s="19"/>
      <c r="J271" s="17"/>
    </row>
    <row r="272" spans="2:35" ht="20.25" customHeight="1" x14ac:dyDescent="0.4">
      <c r="B272" s="15" t="s">
        <v>258</v>
      </c>
      <c r="C272" s="103" t="e">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b" cm="1">
        <f t="array" ref="C275">IF(
  Receives_reference_trajectory,
  NA(),
  MIN(IF((46:46&gt;=AdjustmentPeriodEnd)*(46:46&lt;=AdjustmentPeriodEnd+10), 50:50)) &gt;= -TFEU_Deficit
)</f>
        <v>1</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b" cm="1">
        <f t="array" ref="C276">IF(
  Receives_reference_trajectory,
  NA(),
  MIN(IF(46:46=AdjustmentPeriodEnd, 50:50)) &gt;= -TFEU_Deficit
)</f>
        <v>1</v>
      </c>
      <c r="E276" s="19"/>
      <c r="J276" s="17"/>
    </row>
    <row r="277" spans="2:35" x14ac:dyDescent="0.4">
      <c r="B277" s="2" t="s">
        <v>525</v>
      </c>
      <c r="C277" s="16" t="b" cm="1">
        <f t="array" ref="C277">IF(
  Receives_reference_trajectory,
  NA(),
  MIN(IF((46:46&gt;AdjustmentPeriodEnd)*(46:46&lt;=AdjustmentPeriodEnd+10), 50:50)) &gt;= -TFEU_Deficit
)</f>
        <v>1</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963</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-1.2</v>
      </c>
      <c r="E283" s="92">
        <v>-0.8</v>
      </c>
      <c r="F283" s="92">
        <v>-1.3</v>
      </c>
      <c r="G283" s="92">
        <v>-1.3</v>
      </c>
      <c r="H283" s="92">
        <v>-1.3</v>
      </c>
      <c r="I283" s="92">
        <v>-1.3</v>
      </c>
    </row>
    <row r="284" spans="2:35" ht="13.5" customHeight="1" x14ac:dyDescent="0.4">
      <c r="B284" s="7" t="s">
        <v>346</v>
      </c>
      <c r="C284" s="94"/>
      <c r="E284" s="101">
        <f>IF(ISNUMBER(E283),E283-D283,"")</f>
        <v>0.39999999999999991</v>
      </c>
      <c r="F284" s="101">
        <f t="shared" ref="F284:M284" si="37">IF(ISNUMBER(F283),F283-E283,"")</f>
        <v>-0.5</v>
      </c>
      <c r="G284" s="101">
        <f t="shared" si="37"/>
        <v>0</v>
      </c>
      <c r="H284" s="101">
        <f t="shared" si="37"/>
        <v>0</v>
      </c>
      <c r="I284" s="101">
        <f t="shared" si="37"/>
        <v>0</v>
      </c>
      <c r="J284" s="101" t="str">
        <f t="shared" si="37"/>
        <v/>
      </c>
      <c r="K284" s="101" t="str">
        <f t="shared" si="37"/>
        <v/>
      </c>
      <c r="L284" s="101" t="str">
        <f t="shared" si="37"/>
        <v/>
      </c>
      <c r="M284" s="101" t="str">
        <f t="shared" si="37"/>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e" cm="1">
        <f t="array" ref="C286">IF(
  Receives_reference_trajectory,
  MAX(ROUND(_xlfn._xlws.FILTER(284:284, ISNUMBER(282:282)*(282:282&gt;=MTP_YearT+1)*(282:282&lt;=AdjustmentPeriodEnd)), 1))
  =
  MIN(ROUND(_xlfn._xlws.FILTER(284:284, ISNUMBER(282:282)*(282:282&gt;=MTP_YearT+1)*(282:282&lt;=AdjustmentPeriodEnd)), 1)),
  NA()
)</f>
        <v>#N/A</v>
      </c>
      <c r="D286" s="52"/>
    </row>
    <row r="287" spans="2:35" x14ac:dyDescent="0.4">
      <c r="B287" t="s">
        <v>353</v>
      </c>
      <c r="C287" s="98" t="e" cm="1">
        <f t="array" ref="C287">IF(
  Receives_reference_trajectory,
  MAX(
    _xlfn.DROP(
      ROUND(
        _xlfn._xlws.FILTER(284:284, ISNUMBER(282:282)*(282:282&gt;=MTP_YearT+1)*(282:282&lt;=AdjustmentPeriodEnd)),
        1
      ),
      ,1
    )
    -
    _xlfn.DROP(
      ROUND(
        _xlfn._xlws.FILTER(284:284, ISNUMBER(282:282)*(282:282&gt;=MTP_YearT+1)*(282:282&lt;=AdjustmentPeriodEnd)),
        1
      ),
      ,-1
    )
  )&lt;=0,
  NA()
)</f>
        <v>#N/A</v>
      </c>
      <c r="D287" s="52"/>
    </row>
    <row r="288" spans="2:35" x14ac:dyDescent="0.4">
      <c r="B288" t="s">
        <v>354</v>
      </c>
      <c r="C288" s="98" t="e" cm="1">
        <f t="array" ref="C288">IF(
  Receives_reference_trajectory,
  AND(
    MAX(ROUND(_xlfn._xlws.FILTER(284:284,ISNUMBER(282:282)*(282:282&gt;=MTP_YearT+1)*(282:282&lt;=AdjustmentPeriodEnd)),1))=ROUND($C$289,1),
    MIN(ROUND(_xlfn._xlws.FILTER(284:284,ISNUMBER(282:282)*(282:282&gt;=MTP_YearT+1)*(282:282&lt;=AdjustmentPeriodEnd)),1))=ROUND($C$289,1)
  ),
  NA()
)</f>
        <v>#N/A</v>
      </c>
      <c r="D288" s="52"/>
    </row>
    <row r="289" spans="2:35" x14ac:dyDescent="0.4">
      <c r="B289" s="3" t="s">
        <v>347</v>
      </c>
      <c r="C289" s="98" t="e" cm="1">
        <f t="array" ref="C289">IF(
  Receives_reference_trajectory,
  AVERAGE(
    _xlfn.DROP(
      _xlfn._xlws.FILTER(283:283, ISNUMBER(282:282)*(282:282&gt;=MTP_YearT+1)*(282:282&lt;=AdjustmentPeriodEnd)),
      ,1
    )
    -
    _xlfn.DROP(
      _xlfn._xlws.FILTER(283:283, ISNUMBER(282:282)*(282:282&gt;=MTP_YearT+1)*(282:282&lt;=AdjustmentPeriodEnd)),
      ,-1
    )
  ),
  NA()
)</f>
        <v>#N/A</v>
      </c>
      <c r="D289" s="52"/>
    </row>
    <row r="290" spans="2:35" x14ac:dyDescent="0.4">
      <c r="B290" s="5" t="s">
        <v>348</v>
      </c>
      <c r="C290" s="98" t="e">
        <f>IF(Receives_reference_trajectory,AND(C286:C288),NA())</f>
        <v>#N/A</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2" s="52"/>
    </row>
    <row r="293" spans="2:35" x14ac:dyDescent="0.4">
      <c r="C293" s="57"/>
      <c r="D293" s="52"/>
    </row>
    <row r="294" spans="2:35" ht="18" x14ac:dyDescent="0.55000000000000004">
      <c r="B294" s="51" t="s">
        <v>964</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965</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0</v>
      </c>
    </row>
    <row r="309" spans="2:35" x14ac:dyDescent="0.4">
      <c r="B309" t="s">
        <v>381</v>
      </c>
      <c r="C309" s="16" t="b">
        <f>MAX(INDEX(53:53,1,COLUMN($D$46)):INDEX(53:53,1,COLUMN($D$46)+COLUMNS(_xlfn.ANCHORARRAY($D$46))-1))&gt;90</f>
        <v>0</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e"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#N/A</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e">
        <f>IF(
  NOT(Receives_reference_trajectory),
  NA(),
  IF(
    OR(C309=TRUE, C310=TRUE),
    IF(
      OR(
        IF(C309=TRUE, C311=FALSE, FALSE),
        IF(C310=TRUE, C312=FALSE, FALSE)
      ),
      FALSE,
      TRUE
    ),
    NA()
  )
)</f>
        <v>#N/A</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5" s="18"/>
    </row>
    <row r="316" spans="2:35" x14ac:dyDescent="0.4">
      <c r="C316" s="57"/>
      <c r="E316" s="18"/>
    </row>
    <row r="317" spans="2:35" ht="23.25" x14ac:dyDescent="0.7">
      <c r="B317" s="51" t="s">
        <v>966</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-1.8</v>
      </c>
      <c r="E319" s="92">
        <v>-1.9</v>
      </c>
      <c r="F319" s="92">
        <v>-2.5</v>
      </c>
      <c r="G319" s="92">
        <v>-2.6</v>
      </c>
      <c r="H319" s="92">
        <v>-2.7</v>
      </c>
      <c r="I319" s="92">
        <v>-2.7</v>
      </c>
      <c r="J319" s="92"/>
      <c r="K319" s="92"/>
      <c r="L319" s="92"/>
      <c r="M319" s="92"/>
      <c r="N319" s="92"/>
    </row>
    <row r="320" spans="2:35" customFormat="1" x14ac:dyDescent="0.4">
      <c r="B320" t="s">
        <v>214</v>
      </c>
      <c r="C320" s="38"/>
      <c r="D320" s="92" cm="1">
        <f t="array" ref="D320:I320">INDEX(37:37, COLUMN($D$37) + _xlfn.SEQUENCE(1, COLUMNS(_xlfn.ANCHORARRAY(D318))) - 1)</f>
        <v>-1.2</v>
      </c>
      <c r="E320" s="92">
        <v>-0.8</v>
      </c>
      <c r="F320" s="92">
        <v>-1.3</v>
      </c>
      <c r="G320" s="92">
        <v>-1.3</v>
      </c>
      <c r="H320" s="92">
        <v>-1.3</v>
      </c>
      <c r="I320" s="92">
        <v>-1.3</v>
      </c>
      <c r="J320" s="92"/>
      <c r="K320" s="92"/>
      <c r="L320" s="92"/>
      <c r="M320" s="92"/>
    </row>
    <row r="321" spans="2:35" customFormat="1" x14ac:dyDescent="0.4">
      <c r="B321" s="7" t="s">
        <v>384</v>
      </c>
      <c r="C321" s="94"/>
      <c r="D321" s="92"/>
      <c r="E321" s="92"/>
      <c r="F321" s="92">
        <f>IF(COUNT(E320,F320)=2, F320-E320, "")</f>
        <v>-0.5</v>
      </c>
      <c r="G321" s="92">
        <f t="shared" ref="G321:L321" si="38">IF(COUNT(F320,G320)=2, G320-F320, "")</f>
        <v>0</v>
      </c>
      <c r="H321" s="92">
        <f t="shared" si="38"/>
        <v>0</v>
      </c>
      <c r="I321" s="92">
        <f t="shared" si="38"/>
        <v>0</v>
      </c>
      <c r="J321" s="92" t="str">
        <f t="shared" si="38"/>
        <v/>
      </c>
      <c r="K321" s="92" t="str">
        <f t="shared" si="38"/>
        <v/>
      </c>
      <c r="L321" s="92" t="str">
        <f t="shared" si="38"/>
        <v/>
      </c>
    </row>
    <row r="322" spans="2:35" customFormat="1" x14ac:dyDescent="0.4">
      <c r="B322" t="s">
        <v>671</v>
      </c>
      <c r="D322" s="3" t="b">
        <f>IF(ISNUMBER(D318),D319&lt;-1.5,"")</f>
        <v>1</v>
      </c>
      <c r="E322" s="3" t="b">
        <f>IF(ISNUMBER(E318),E319&lt;-1.5,"")</f>
        <v>1</v>
      </c>
      <c r="F322" s="3" t="b">
        <f>IF(ISNUMBER(F318),F319&lt;-1.5,"")</f>
        <v>1</v>
      </c>
      <c r="G322" s="3" t="b">
        <f t="shared" ref="G322:M322" si="39">IF(ISNUMBER(G318),G319&lt;-1.5,"")</f>
        <v>1</v>
      </c>
      <c r="H322" s="3" t="b">
        <f t="shared" si="39"/>
        <v>1</v>
      </c>
      <c r="I322" s="3" t="b">
        <f t="shared" si="39"/>
        <v>1</v>
      </c>
      <c r="J322" s="3" t="str">
        <f t="shared" si="39"/>
        <v/>
      </c>
      <c r="K322" s="3" t="str">
        <f t="shared" si="39"/>
        <v/>
      </c>
      <c r="L322" s="3" t="str">
        <f t="shared" si="39"/>
        <v/>
      </c>
      <c r="M322" s="3" t="str">
        <f t="shared" si="39"/>
        <v/>
      </c>
    </row>
    <row r="323" spans="2:35" customFormat="1" x14ac:dyDescent="0.4">
      <c r="D323" s="3"/>
      <c r="E323" s="3"/>
      <c r="F323" s="3"/>
      <c r="G323" s="3"/>
      <c r="H323" s="3"/>
      <c r="I323" s="3"/>
    </row>
    <row r="324" spans="2:35" customFormat="1" x14ac:dyDescent="0.4">
      <c r="B324" t="s">
        <v>385</v>
      </c>
      <c r="C324" s="2" t="e" cm="1">
        <f t="array" ref="C324">IF(
  NOT(Receives_reference_trajectory),
  NA(),
  SUMPRODUCT(
    --(
      INDEX(322:322,1,COLUMN($D$318)):
      INDEX(322:322,1,COLUMN($D$318)+COLUMNS(_xlfn.ANCHORARRAY($D$318))-1)
    )
  )&gt;0
)</f>
        <v>#N/A</v>
      </c>
    </row>
    <row r="325" spans="2:35" x14ac:dyDescent="0.4">
      <c r="B325" t="s">
        <v>306</v>
      </c>
      <c r="C325" s="16" t="e">
        <f>IF(Receives_reference_trajectory,IF(AdjustmentPeriod=4,0.4,0.25),NA())</f>
        <v>#N/A</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8" s="18"/>
    </row>
    <row r="329" spans="2:35" x14ac:dyDescent="0.4">
      <c r="C329" s="123"/>
      <c r="E329" s="18"/>
    </row>
    <row r="330" spans="2:35" ht="18" x14ac:dyDescent="0.55000000000000004">
      <c r="B330" s="129" t="s">
        <v>967</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t="e" cm="1">
        <f t="array" ref="C334">IF(
  Receives_reference_trajectory,
  IFERROR(
    INDEX(72:72, _xlfn.XMATCH(AdjustmentPeriodEnd, 63:63, 0)) -
    INDEX(72:72, _xlfn.XMATCH(MTP_YearT,        63:63, 0)),
    NA()
  ),
  NA()
)</f>
        <v>#N/A</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t="e" cm="1">
        <f t="array" ref="C335">IF(
  Receives_reference_trajectory,
  IFERROR(
    (
      INDEX(72:72, _xlfn.XMATCH(AdjustmentPeriodEnd, 63:63, 0)) -
      INDEX(72:72, _xlfn.XMATCH(MTP_YearT,        63:63, 0))
    ) / (AdjustmentPeriodEnd - MTP_YearT),
    NA()
  ),
  NA()
)</f>
        <v>#N/A</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t="e" cm="1">
        <f t="array" ref="C336">IF(
  Receives_reference_trajectory,
  IFERROR(
    INDEX(37:37, _xlfn.XMATCH(AdjustmentPeriodEnd, 32:32, 0)) -
    INDEX(37:37, _xlfn.XMATCH(MTP_YearT,        32:32, 0)),
    NA()
  ),
  NA()
)</f>
        <v>#N/A</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e">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#N/A</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f>IF(Receives_reference_trajectory,NA(),INDEX(66:66, MATCH(AdjustmentPeriodEnd, 46:46, 0)))</f>
        <v>-1.3</v>
      </c>
    </row>
    <row r="342" spans="2:35" customFormat="1" x14ac:dyDescent="0.4">
      <c r="B342" t="str">
        <f>"Minimum level of structural primary balance in "&amp;AdjustmentPeriodEnd&amp;", with safeguard"</f>
        <v>Minimum level of structural primary balance in 2028, with safeguard</v>
      </c>
      <c r="C342" s="127">
        <f>IF(Receives_reference_trajectory,NA(),INDEX(67:67, MATCH(AdjustmentPeriodEnd, 46:46, 0)))</f>
        <v>-0.1424659999999999</v>
      </c>
    </row>
    <row r="343" spans="2:35" customFormat="1" x14ac:dyDescent="0.4">
      <c r="B343" t="s">
        <v>378</v>
      </c>
      <c r="C343" s="2">
        <f>IF(Receives_reference_trajectory,NA(),INDEX(37:37, MATCH(AdjustmentPeriodEnd, 46:46, 0)))</f>
        <v>-1.3</v>
      </c>
    </row>
    <row r="344" spans="2:35" x14ac:dyDescent="0.4">
      <c r="B344" t="s">
        <v>376</v>
      </c>
      <c r="C344" s="16" t="b">
        <f>IF(Receives_reference_trajectory, NA(), C343 &gt;= C341)</f>
        <v>1</v>
      </c>
      <c r="E344" s="19"/>
      <c r="J344" s="17"/>
    </row>
    <row r="345" spans="2:35" x14ac:dyDescent="0.4">
      <c r="B345" t="s">
        <v>377</v>
      </c>
      <c r="C345" s="16" t="b">
        <f>IF(Receives_reference_trajectory, NA(), C343 &gt;= C342)</f>
        <v>0</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str">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e">
        <f>IF(
  NOT(Receives_reference_trajectory),
  NA(),
  IFERROR(
    AND(
      C216,
      IF(AdjustmentPeriod=7, C221, TRUE),
      C238,
      C261,
      C271,
      C290,
      IF(ISNA(C303), TRUE, C303),
      IF(ISNA(C313), TRUE, C313),
      IF(ISNA(C326), TRUE, C326)
    ),
    NA()
  )
)</f>
        <v>#N/A</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Not applicable.</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b">
        <f>IF(
  Receives_reference_trajectory,
  NA(),
  AND(C248, C265, C275)
)</f>
        <v>1</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978</v>
      </c>
    </row>
    <row r="4" spans="2:24" x14ac:dyDescent="0.4">
      <c r="C4" s="2" t="s">
        <v>390</v>
      </c>
      <c r="F4" s="65">
        <f>IF(MTP_Council_Endorsed,IF(Assessment!E34="",NA(),Assessment!E34),NA())</f>
        <v>9.1</v>
      </c>
      <c r="G4" s="65">
        <f>IF(MTP_Council_Endorsed,IF(Assessment!F34="",NA(),Assessment!F34),NA())</f>
        <v>5.8999999999999995</v>
      </c>
      <c r="H4" s="65">
        <f>IF(MTP_Council_Endorsed,IF(Assessment!G34="",NA(),Assessment!G34),NA())</f>
        <v>3.5999999999999996</v>
      </c>
      <c r="I4" s="65">
        <f>IF(MTP_Council_Endorsed,IF(Assessment!H34="",NA(),Assessment!H34),NA())</f>
        <v>3.4000000000000004</v>
      </c>
      <c r="J4" s="65">
        <f>IF(MTP_Council_Endorsed,IF(Assessment!I34="",NA(),Assessment!I34),NA())</f>
        <v>3.3000000000000003</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5.3</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5.1512647831902569</v>
      </c>
      <c r="G8" s="65"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4.5845608885135114</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9.1</v>
      </c>
    </row>
    <row r="13" spans="2:24" x14ac:dyDescent="0.4">
      <c r="C13" s="111"/>
    </row>
    <row r="14" spans="2:24" ht="16.5" x14ac:dyDescent="0.6">
      <c r="B14" s="111" t="s">
        <v>480</v>
      </c>
      <c r="C14" s="12" t="s">
        <v>998</v>
      </c>
    </row>
    <row r="15" spans="2:24" x14ac:dyDescent="0.4">
      <c r="C15" s="2" t="s">
        <v>484</v>
      </c>
      <c r="F15" s="65"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-1.7696851346664355</v>
      </c>
      <c r="G15" s="65"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-2.6544224216872645</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#N/A</v>
      </c>
      <c r="G16" s="65" t="e">
        <f>IF(COUNTIF('Step 1 - Set global parameters'!$B$12:$G$12,TRUE)&gt;0,
  IF(MTP_Council_Endorsed,IF(ISNUMBER(G15),NA(),IF(Assessment!F141="",NA(),Assessment!F141)),NA()),
  IF(MTP_Council_Endorsed,IF(ISNUMBER(G15),NA(),IF(Assessment!F123="",NA(),Assessment!F123)),NA())
)</f>
        <v>#N/A</v>
      </c>
      <c r="H16" s="65">
        <f>IF(COUNTIF('Step 1 - Set global parameters'!$B$12:$G$12,TRUE)&gt;0,
  IF(MTP_Council_Endorsed,IF(ISNUMBER(H15),NA(),IF(Assessment!G141="",NA(),Assessment!G141)),NA()),
  IF(MTP_Council_Endorsed,IF(ISNUMBER(H15),NA(),IF(Assessment!G123="",NA(),Assessment!G123)),NA())
)</f>
        <v>-3.2238230752513153</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f>IF(COUNTIF('Step 1 - Set global parameters'!$B$12:$G$12,TRUE)&gt;0,
  IF(MTP_Council_Endorsed,IF(NOT(Assessment!E142),IF(Assessment!E139&lt;=0,Assessment!E139,NA()),NA()),NA()),
  IF(MTP_Council_Endorsed,IF(NOT(Assessment!E124),IF(Assessment!E122&lt;=0,Assessment!E122,NA()),NA()),NA())
)</f>
        <v>-1.5546849993727376</v>
      </c>
      <c r="G18" s="65" t="e">
        <f>IF(COUNTIF('Step 1 - Set global parameters'!$B$12:$G$12,TRUE)&gt;0,
  IF(MTP_Council_Endorsed,IF(NOT(Assessment!F142),IF(Assessment!F139&lt;=0,Assessment!F139,NA()),NA()),NA()),
  IF(MTP_Council_Endorsed,IF(NOT(Assessment!F124),IF(Assessment!F122&lt;=0,Assessment!F122,NA()),NA()),NA())
)</f>
        <v>#N/A</v>
      </c>
      <c r="H18" s="65" t="e">
        <f>IF(COUNTIF('Step 1 - Set global parameters'!$B$12:$G$12,TRUE)&gt;0,
  IF(MTP_Council_Endorsed,IF(NOT(Assessment!G142),IF(Assessment!G139&lt;=0,Assessment!G139,NA()),NA()),NA()),
  IF(MTP_Council_Endorsed,IF(NOT(Assessment!G124),IF(Assessment!G122&lt;=0,Assessment!G122,NA()),NA()),NA())
)</f>
        <v>#N/A</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#N/A</v>
      </c>
      <c r="G19" s="65" t="e">
        <f>IF(COUNTIF('Step 1 - Set global parameters'!$B$12:$G$12,TRUE)&gt;0,
  IF(MTP_Council_Endorsed,IF(NOT(Assessment!F142),IF(Assessment!F139&gt;0,Assessment!F139,NA()),NA()),NA()),
  IF(MTP_Council_Endorsed,IF(NOT(Assessment!F124),IF(Assessment!F122&gt;0,Assessment!F122,NA()),NA()),NA())
)</f>
        <v>#N/A</v>
      </c>
      <c r="H19" s="65" t="e">
        <f>IF(COUNTIF('Step 1 - Set global parameters'!$B$12:$G$12,TRUE)&gt;0,
  IF(MTP_Council_Endorsed,IF(NOT(Assessment!G142),IF(Assessment!G139&gt;0,Assessment!G139,NA()),NA()),NA()),
  IF(MTP_Council_Endorsed,IF(NOT(Assessment!G124),IF(Assessment!G122&gt;0,Assessment!G122,NA()),NA()),NA())
)</f>
        <v>#N/A</v>
      </c>
      <c r="I19" s="65" t="e">
        <f>IF(COUNTIF('Step 1 - Set global parameters'!$B$12:$G$12,TRUE)&gt;0,
  IF(MTP_Council_Endorsed,IF(NOT(Assessment!H142),IF(Assessment!H139&gt;0,Assessment!H139,NA()),NA()),NA()),
  IF(MTP_Council_Endorsed,IF(NOT(Assessment!H124),IF(Assessment!H122&gt;0,Assessment!H122,NA()),NA()),NA())
)</f>
        <v>#N/A</v>
      </c>
      <c r="J19" s="65" t="e">
        <f>IF(COUNTIF('Step 1 - Set global parameters'!$B$12:$G$12,TRUE)&gt;0,
  IF(MTP_Council_Endorsed,IF(NOT(Assessment!I142),IF(Assessment!I139&gt;0,Assessment!I139,NA()),NA()),NA()),
  IF(MTP_Council_Endorsed,IF(NOT(Assessment!I124),IF(Assessment!I122&gt;0,Assessment!I122,NA()),NA()),NA())
)</f>
        <v>#N/A</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f>IF(MTP_Council_Endorsed,IF(Assessment!F142,Assessment!F139,NA()),NA())</f>
        <v>-0.52200029284482985</v>
      </c>
      <c r="H21" s="65">
        <f>IF(MTP_Council_Endorsed,IF(Assessment!G142,Assessment!G139,NA()),NA())</f>
        <v>0</v>
      </c>
      <c r="I21" s="65" t="str">
        <f>IF(MTP_Council_Endorsed,IF(Assessment!H142,Assessment!H139,NA()),NA())</f>
        <v/>
      </c>
      <c r="J21" s="65" t="str">
        <f>IF(MTP_Council_Endorsed,IF(Assessment!I142,Assessment!I139,NA()),NA())</f>
        <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-3.2238230752513153</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0.6</v>
      </c>
    </row>
    <row r="27" spans="2:23" x14ac:dyDescent="0.4">
      <c r="C27" s="111"/>
    </row>
    <row r="28" spans="2:23" ht="16.5" x14ac:dyDescent="0.6">
      <c r="B28" s="111" t="s">
        <v>481</v>
      </c>
      <c r="C28" s="12" t="s">
        <v>993</v>
      </c>
    </row>
    <row r="29" spans="2:23" x14ac:dyDescent="0.4">
      <c r="C29" s="2" t="s">
        <v>497</v>
      </c>
      <c r="E29" s="65">
        <f>IF(ISNUMBER(Assessment!D38),Assessment!D38,NA())</f>
        <v>43.6</v>
      </c>
      <c r="F29" s="65">
        <f>IF(ISNUMBER(Assessment!E38),Assessment!E38,NA())</f>
        <v>45.8</v>
      </c>
      <c r="G29" s="65">
        <f>IF(ISNUMBER(Assessment!F38),Assessment!F38,NA())</f>
        <v>47.5</v>
      </c>
      <c r="H29" s="65">
        <f>IF(ISNUMBER(Assessment!G38),Assessment!G38,NA())</f>
        <v>48.5</v>
      </c>
      <c r="I29" s="65">
        <f>IF(ISNUMBER(Assessment!H38),Assessment!H38,NA())</f>
        <v>49.7</v>
      </c>
      <c r="J29" s="65">
        <f>IF(ISNUMBER(Assessment!I38),Assessment!I38,NA())</f>
        <v>50.8</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f>IF(OR(ISNUMBER(E91),ISNUMBER(E92)),NA(),IF(ISNUMBER(Assessment!D20),Assessment!D20,NA()))</f>
        <v>44.430318318075436</v>
      </c>
      <c r="F31" s="65" t="e">
        <f>IF(OR(ISNUMBER(F91),ISNUMBER(F92)),NA(),IF(ISNUMBER(Assessment!E20),Assessment!E20,NA()))</f>
        <v>#N/A</v>
      </c>
      <c r="G31" s="65" t="e">
        <f>IF(OR(ISNUMBER(G91),ISNUMBER(G92)),NA(),IF(ISNUMBER(Assessment!F20),Assessment!F20,NA()))</f>
        <v>#N/A</v>
      </c>
      <c r="H31" s="65">
        <f>IF(OR(ISNUMBER(H91),ISNUMBER(H92)),NA(),IF(ISNUMBER(Assessment!G20),Assessment!G20,NA()))</f>
        <v>47.9</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60.05</v>
      </c>
    </row>
    <row r="37" spans="2:23" x14ac:dyDescent="0.4">
      <c r="C37" s="2"/>
    </row>
    <row r="38" spans="2:23" ht="16.5" x14ac:dyDescent="0.6">
      <c r="B38" s="111" t="s">
        <v>496</v>
      </c>
      <c r="C38" s="12" t="s">
        <v>994</v>
      </c>
      <c r="F38" s="9"/>
      <c r="G38" s="9"/>
      <c r="H38" s="9"/>
      <c r="I38" s="9"/>
      <c r="J38" s="9"/>
      <c r="K38" s="9"/>
      <c r="L38" s="9"/>
      <c r="M38" s="9"/>
      <c r="N38" s="9"/>
      <c r="O38" s="9"/>
      <c r="P38" s="9"/>
      <c r="Q38" s="9"/>
      <c r="R38" s="9"/>
      <c r="S38" s="9"/>
      <c r="T38" s="9"/>
      <c r="U38" s="9"/>
      <c r="V38" s="9"/>
      <c r="W38" s="9"/>
    </row>
    <row r="39" spans="2:23" x14ac:dyDescent="0.4">
      <c r="C39" s="2" t="s">
        <v>497</v>
      </c>
      <c r="F39" s="65">
        <f>Assessment!E50</f>
        <v>-2.6</v>
      </c>
      <c r="G39" s="65">
        <f>Assessment!F50</f>
        <v>-2.9</v>
      </c>
      <c r="H39" s="65">
        <f>Assessment!G50</f>
        <v>-2.9</v>
      </c>
      <c r="I39" s="65">
        <f>Assessment!H50</f>
        <v>-2.9</v>
      </c>
      <c r="J39" s="65">
        <f>Assessment!I50</f>
        <v>-2.9</v>
      </c>
      <c r="K39" s="65">
        <f>Assessment!J50</f>
        <v>-2.9</v>
      </c>
      <c r="L39" s="65">
        <f>Assessment!K50</f>
        <v>-2.9</v>
      </c>
      <c r="M39" s="65">
        <f>Assessment!L50</f>
        <v>-2.9</v>
      </c>
      <c r="N39" s="65">
        <f>Assessment!M50</f>
        <v>-3</v>
      </c>
      <c r="O39" s="65">
        <f>Assessment!N50</f>
        <v>-3</v>
      </c>
      <c r="P39" s="65">
        <f>Assessment!O50</f>
        <v>-3</v>
      </c>
      <c r="Q39" s="65">
        <f>Assessment!P50</f>
        <v>-3</v>
      </c>
      <c r="R39" s="65">
        <f>Assessment!Q50</f>
        <v>-3</v>
      </c>
      <c r="S39" s="65">
        <f>Assessment!R50</f>
        <v>-3</v>
      </c>
      <c r="T39" s="65">
        <f>Assessment!S50</f>
        <v>-2.9</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-3</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5"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2.6</v>
      </c>
      <c r="G44" s="65">
        <f t="shared" si="0"/>
        <v>2.9</v>
      </c>
      <c r="H44" s="65">
        <f t="shared" si="0"/>
        <v>2.9</v>
      </c>
      <c r="I44" s="65">
        <f t="shared" si="0"/>
        <v>2.9</v>
      </c>
      <c r="J44" s="65">
        <f t="shared" si="0"/>
        <v>2.9</v>
      </c>
      <c r="K44" s="65">
        <f t="shared" si="0"/>
        <v>2.9</v>
      </c>
      <c r="L44" s="65">
        <f t="shared" si="0"/>
        <v>2.9</v>
      </c>
      <c r="M44" s="65">
        <f t="shared" si="0"/>
        <v>2.9</v>
      </c>
      <c r="N44" s="65">
        <f t="shared" si="0"/>
        <v>3</v>
      </c>
      <c r="O44" s="65">
        <f t="shared" si="0"/>
        <v>3</v>
      </c>
      <c r="P44" s="65">
        <f t="shared" si="0"/>
        <v>3</v>
      </c>
      <c r="Q44" s="65">
        <f t="shared" si="0"/>
        <v>3</v>
      </c>
      <c r="R44" s="65">
        <f t="shared" si="0"/>
        <v>3</v>
      </c>
      <c r="S44" s="65">
        <f t="shared" si="0"/>
        <v>3</v>
      </c>
      <c r="T44" s="65">
        <f t="shared" si="0"/>
        <v>2.9</v>
      </c>
      <c r="U44" s="65" t="e">
        <f t="shared" ref="U44:W44" si="1">IF(U79&lt;&gt;"",-U79,NA())</f>
        <v>#N/A</v>
      </c>
      <c r="V44" s="65" t="e">
        <f t="shared" si="1"/>
        <v>#N/A</v>
      </c>
      <c r="W44" s="65" t="e">
        <f t="shared" si="1"/>
        <v>#N/A</v>
      </c>
    </row>
    <row r="45" spans="2:23" x14ac:dyDescent="0.4">
      <c r="C45" s="2" t="s">
        <v>301</v>
      </c>
      <c r="F45" s="65">
        <f t="shared" ref="F45:T45" si="2">IF(F81&lt;&gt;"",-F81,NA())</f>
        <v>1.7868607680254289</v>
      </c>
      <c r="G45" s="65">
        <f t="shared" si="2"/>
        <v>2.5407774797681517</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995</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-0.8</v>
      </c>
      <c r="G49" s="65">
        <f>Assessment!F37</f>
        <v>-1.3</v>
      </c>
      <c r="H49" s="65">
        <f>Assessment!G37</f>
        <v>-1.3</v>
      </c>
      <c r="I49" s="65">
        <f>Assessment!H37</f>
        <v>-1.3</v>
      </c>
      <c r="J49" s="65">
        <f>Assessment!I37</f>
        <v>-1.3</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-1.3</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cm="1">
        <f t="array" ref="F53">IF(
  AND(
    INDEX($2:$2, COLUMN()) &gt;= MTP_BaseYear,
    INDEX($2:$2, COLUMN()) &lt;= OutturnThrough
  ),
  IFERROR(
    IF(
      F49 - INDEX(Assessment!$19:$19,
                   _xlfn.XMATCH(INDEX($2:$2, COLUMN()),
                          Assessment!$4:$4, 0)
            ) &lt; 0,
      INDEX(Assessment!$19:$19,
            _xlfn.XMATCH(INDEX($2:$2, COLUMN()),
                   Assessment!$4:$4, 0)
      ),
      NA()
    ),
    NA()
  ),
  NA()
)</f>
        <v>-0.21811</v>
      </c>
      <c r="G53" s="107" t="e" cm="1">
        <f t="array" ref="G53">IF(
  AND(
    INDEX($2:$2, COLUMN()) &gt;= MTP_BaseYear,
    INDEX($2:$2, COLUMN()) &lt;= OutturnThrough
  ),
  IFERROR(
    IF(
      G49 - INDEX(Assessment!$19:$19,
                   _xlfn.XMATCH(INDEX($2:$2, COLUMN()),
                          Assessment!$4:$4, 0)
            ) &lt; 0,
      INDEX(Assessment!$19:$19,
            _xlfn.XMATCH(INDEX($2:$2, COLUMN()),
                   Assessment!$4:$4, 0)
      ),
      NA()
    ),
    NA()
  ),
  NA()
)</f>
        <v>#N/A</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7"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-1.41309</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996</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2.1999999999999957</v>
      </c>
      <c r="G59" s="65">
        <f>IF(
  AND(
    ISNUMBER(Assessment!E38),
    ISNUMBER(Assessment!F38)
  ),
  Assessment!F38-Assessment!E38,
  NA()
)</f>
        <v>1.7000000000000028</v>
      </c>
      <c r="H59" s="65">
        <f>IF(
  AND(
    ISNUMBER(Assessment!F38),
    ISNUMBER(Assessment!G38)
  ),
  Assessment!G38-Assessment!F38,
  NA()
)</f>
        <v>1</v>
      </c>
      <c r="I59" s="65">
        <f>IF(
  AND(
    ISNUMBER(Assessment!G38),
    ISNUMBER(Assessment!H38)
  ),
  Assessment!H38-Assessment!G38,
  NA()
)</f>
        <v>1.2000000000000028</v>
      </c>
      <c r="J59" s="65">
        <f>IF(
  AND(
    ISNUMBER(Assessment!H38),
    ISNUMBER(Assessment!I38)
  ),
  Assessment!I38-Assessment!H38,
  NA()
)</f>
        <v>1.0999999999999943</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t="e" cm="1">
        <f t="array" ref="F62">IF(
  AND(
    INDEX(2:2, COLUMN()) &gt; MTP_BaseYear,
    INDEX(2:2, COLUMN()) &lt;= OutturnThrough
  ),
  IFERROR(
    IF(
      Assessment!E21 &lt;= INDEX($65:$65, COLUMN()),
      Assessment!E21,
      NA()
    ),
    NA()
  ),
  NA()
)</f>
        <v>#N/A</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cm="1">
        <f t="array" ref="F63">IF(
  AND(
    INDEX(2:2, COLUMN()) &gt; MTP_BaseYear,
    INDEX(2:2, COLUMN()) &lt;= OutturnThrough
  ),
  IFERROR(
    IF(
      Assessment!E21 &gt; INDEX($65:$65, COLUMN()),
      Assessment!E21,
      NA()
    ),
    NA()
  ),
  NA()
)</f>
        <v>3.0084398668710008</v>
      </c>
      <c r="G63" s="65" cm="1">
        <f t="array" ref="G63">IF(
  AND(
    INDEX(2:2, COLUMN()) &gt; MTP_BaseYear,
    INDEX(2:2, COLUMN()) &lt;= OutturnThrough
  ),
  IFERROR(
    IF(
      Assessment!F21 &gt; INDEX($65:$65, COLUMN()),
      Assessment!F21,
      NA()
    ),
    NA()
  ),
  NA()
)</f>
        <v>3.1896844248388225</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f>IF(OR(ISNUMBER(E62),ISNUMBER(E63)),NA(),IF(ISNUMBER(Assessment!D21),Assessment!D21,NA()))</f>
        <v>3.8913967677850185</v>
      </c>
      <c r="F64" s="65" t="e">
        <f>IF(OR(ISNUMBER(F62),ISNUMBER(F63)),NA(),IF(ISNUMBER(Assessment!E21),Assessment!E21,NA()))</f>
        <v>#N/A</v>
      </c>
      <c r="G64" s="65" t="e">
        <f>IF(OR(ISNUMBER(G62),ISNUMBER(G63)),NA(),IF(ISNUMBER(Assessment!F21),Assessment!F21,NA()))</f>
        <v>#N/A</v>
      </c>
      <c r="H64" s="65">
        <f>IF(OR(ISNUMBER(H62),ISNUMBER(H63)),NA(),IF(ISNUMBER(Assessment!G21),Assessment!G21,NA()))</f>
        <v>0.9</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f>IF(
  ISNUMBER(Assessment!D20),
  IF(Assessment!D20&gt;90,-1,
     IF(Assessment!D20&gt;60,-0.5,0)
  ),
  NA()
)</f>
        <v>0</v>
      </c>
      <c r="F65" s="65">
        <f>IF(
  ISNUMBER(Assessment!E20),
  IF(Assessment!E20&gt;90,-1,
     IF(Assessment!E20&gt;60,-0.5,0)
  ),
  NA()
)</f>
        <v>0</v>
      </c>
      <c r="G65" s="65">
        <f>IF(
  ISNUMBER(Assessment!F20),
  IF(Assessment!F20&gt;90,-1,
     IF(Assessment!F20&gt;60,-0.5,0)
  ),
  NA()
)</f>
        <v>0</v>
      </c>
      <c r="H65" s="65">
        <f>IF(
  ISNUMBER(Assessment!G20),
  IF(Assessment!G20&gt;90,-1,
     IF(Assessment!G20&gt;60,-0.5,0)
  ),
  NA()
)</f>
        <v>0</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0</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3.1896844248388225</v>
      </c>
    </row>
    <row r="68" spans="2:23" x14ac:dyDescent="0.4">
      <c r="C68" s="111"/>
      <c r="D68" s="4"/>
    </row>
    <row r="69" spans="2:23" ht="14.25" customHeight="1" x14ac:dyDescent="0.6">
      <c r="B69" s="137" t="s">
        <v>581</v>
      </c>
      <c r="C69" s="12" t="s">
        <v>992</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-0.5</v>
      </c>
      <c r="H70" s="65">
        <f>IF(
  AND(
    ISNUMBER(Assessment!G37),
    ISNUMBER(Assessment!F37)
  ),
  Assessment!G37 - Assessment!F37,
  NA()
)</f>
        <v>0</v>
      </c>
      <c r="I70" s="65">
        <f>IF(
  AND(
    ISNUMBER(Assessment!H37),
    ISNUMBER(Assessment!G37)
  ),
  Assessment!H37 - Assessment!G37,
  NA()
)</f>
        <v>0</v>
      </c>
      <c r="J70" s="65">
        <f>IF(
  AND(
    ISNUMBER(Assessment!I37),
    ISNUMBER(Assessment!H37)
  ),
  Assessment!I37 - Assessment!H37,
  NA()
)</f>
        <v>0</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0.11308999999999991</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-1.1949799999999999</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-2.6</v>
      </c>
      <c r="G79" s="65">
        <f>Assessment!F50</f>
        <v>-2.9</v>
      </c>
      <c r="H79" s="65">
        <f>Assessment!G50</f>
        <v>-2.9</v>
      </c>
      <c r="I79" s="65">
        <f>Assessment!H50</f>
        <v>-2.9</v>
      </c>
      <c r="J79" s="65">
        <f>Assessment!I50</f>
        <v>-2.9</v>
      </c>
      <c r="K79" s="65">
        <f>Assessment!J50</f>
        <v>-2.9</v>
      </c>
      <c r="L79" s="65">
        <f>Assessment!K50</f>
        <v>-2.9</v>
      </c>
      <c r="M79" s="65">
        <f>Assessment!L50</f>
        <v>-2.9</v>
      </c>
      <c r="N79" s="65">
        <f>Assessment!M50</f>
        <v>-3</v>
      </c>
      <c r="O79" s="65">
        <f>Assessment!N50</f>
        <v>-3</v>
      </c>
      <c r="P79" s="65">
        <f>Assessment!O50</f>
        <v>-3</v>
      </c>
      <c r="Q79" s="65">
        <f>Assessment!P50</f>
        <v>-3</v>
      </c>
      <c r="R79" s="65">
        <f>Assessment!Q50</f>
        <v>-3</v>
      </c>
      <c r="S79" s="65">
        <f>Assessment!R50</f>
        <v>-3</v>
      </c>
      <c r="T79" s="65">
        <f>Assessment!S50</f>
        <v>-2.9</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-3</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7"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2.6</v>
      </c>
      <c r="G84" s="65">
        <f t="shared" si="6"/>
        <v>2.9</v>
      </c>
      <c r="H84" s="65">
        <f t="shared" si="6"/>
        <v>2.9</v>
      </c>
      <c r="I84" s="65">
        <f t="shared" si="6"/>
        <v>2.9</v>
      </c>
      <c r="J84" s="65">
        <f t="shared" si="6"/>
        <v>2.9</v>
      </c>
      <c r="K84" s="65">
        <f t="shared" si="6"/>
        <v>2.9</v>
      </c>
      <c r="L84" s="65">
        <f t="shared" si="6"/>
        <v>2.9</v>
      </c>
      <c r="M84" s="65">
        <f t="shared" si="6"/>
        <v>2.9</v>
      </c>
      <c r="N84" s="65">
        <f t="shared" si="6"/>
        <v>3</v>
      </c>
      <c r="O84" s="65">
        <f t="shared" si="6"/>
        <v>3</v>
      </c>
      <c r="P84" s="65">
        <f t="shared" si="6"/>
        <v>3</v>
      </c>
      <c r="Q84" s="65">
        <f t="shared" si="6"/>
        <v>3</v>
      </c>
      <c r="R84" s="65">
        <f t="shared" si="6"/>
        <v>3</v>
      </c>
      <c r="S84" s="65">
        <f t="shared" si="6"/>
        <v>3</v>
      </c>
      <c r="T84" s="65">
        <f t="shared" si="6"/>
        <v>2.9</v>
      </c>
      <c r="U84" s="65" t="e">
        <f t="shared" ref="U84:W84" si="7">IF(U79&lt;&gt;"",-U79,NA())</f>
        <v>#N/A</v>
      </c>
      <c r="V84" s="65" t="e">
        <f t="shared" si="7"/>
        <v>#N/A</v>
      </c>
      <c r="W84" s="65" t="e">
        <f t="shared" si="7"/>
        <v>#N/A</v>
      </c>
    </row>
    <row r="85" spans="2:23" x14ac:dyDescent="0.4">
      <c r="C85" s="2" t="s">
        <v>301</v>
      </c>
      <c r="F85" s="65">
        <f t="shared" ref="F85:T85" si="8">IF(F81&lt;&gt;"",-F81,NA())</f>
        <v>1.7868607680254289</v>
      </c>
      <c r="G85" s="65">
        <f t="shared" si="8"/>
        <v>2.5407774797681517</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f>Assessment!D73</f>
        <v>161.9</v>
      </c>
      <c r="F89" s="65">
        <f>Assessment!E73</f>
        <v>153.9</v>
      </c>
      <c r="G89" s="65">
        <f>Assessment!F73</f>
        <v>149.69999999999999</v>
      </c>
      <c r="H89" s="65">
        <f>Assessment!G73</f>
        <v>145.1</v>
      </c>
      <c r="I89" s="65">
        <f>Assessment!H73</f>
        <v>140.80000000000001</v>
      </c>
      <c r="J89" s="65">
        <f>Assessment!I73</f>
        <v>136.6</v>
      </c>
      <c r="K89" s="65">
        <f>Assessment!J73</f>
        <v>132.4</v>
      </c>
      <c r="L89" s="65">
        <f>Assessment!K73</f>
        <v>128.4</v>
      </c>
      <c r="M89" s="65">
        <f>Assessment!L73</f>
        <v>124.7</v>
      </c>
      <c r="N89" s="65">
        <f>Assessment!M73</f>
        <v>121.2</v>
      </c>
      <c r="O89" s="65">
        <f>Assessment!N73</f>
        <v>119.1</v>
      </c>
      <c r="P89" s="65">
        <f>Assessment!O73</f>
        <v>117.4</v>
      </c>
      <c r="Q89" s="65">
        <f>Assessment!P73</f>
        <v>115.9</v>
      </c>
      <c r="R89" s="65">
        <f>Assessment!Q73</f>
        <v>114.3</v>
      </c>
      <c r="S89" s="65">
        <f>Assessment!R73</f>
        <v>112.9</v>
      </c>
      <c r="T89" s="65">
        <f>Assessment!S73</f>
        <v>111.5</v>
      </c>
      <c r="U89" s="65" t="str">
        <f>Assessment!T73</f>
        <v/>
      </c>
      <c r="V89" s="65" t="str">
        <f>Assessment!U73</f>
        <v/>
      </c>
      <c r="W89" s="65" t="str">
        <f>Assessment!V73</f>
        <v/>
      </c>
    </row>
    <row r="90" spans="2:23" x14ac:dyDescent="0.4">
      <c r="C90" s="2" t="s">
        <v>243</v>
      </c>
      <c r="E90" s="65">
        <f>IF(OR(ISNUMBER(E91),ISNUMBER(E92)),NA(),IF(ISNUMBER(Assessment!D20),Assessment!D20,NA()))</f>
        <v>44.430318318075436</v>
      </c>
      <c r="F90" s="65" t="e">
        <f>IF(OR(ISNUMBER(F91),ISNUMBER(F92)),NA(),IF(ISNUMBER(Assessment!E20),Assessment!E20,NA()))</f>
        <v>#N/A</v>
      </c>
      <c r="G90" s="65" t="e">
        <f>IF(OR(ISNUMBER(G91),ISNUMBER(G92)),NA(),IF(ISNUMBER(Assessment!F20),Assessment!F20,NA()))</f>
        <v>#N/A</v>
      </c>
      <c r="H90" s="65">
        <f>IF(OR(ISNUMBER(H91),ISNUMBER(H92)),NA(),IF(ISNUMBER(Assessment!G20),Assessment!G20,NA()))</f>
        <v>47.9</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7"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7"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t="e">
        <f>IF(ISNUMBER(Assessment!J80),Assessment!J80,NA())</f>
        <v>#N/A</v>
      </c>
      <c r="L101" s="89" t="e">
        <f>IF(ISNUMBER(Assessment!K80),Assessment!K80,NA())</f>
        <v>#N/A</v>
      </c>
      <c r="M101" s="89" t="e">
        <f>IF(ISNUMBER(Assessment!L80),Assessment!L80,NA())</f>
        <v>#N/A</v>
      </c>
      <c r="N101" s="89" t="e">
        <f>IF(ISNUMBER(Assessment!M80),Assessment!M80,NA())</f>
        <v>#N/A</v>
      </c>
      <c r="O101" s="89" t="e">
        <f>IF(ISNUMBER(Assessment!N80),Assessment!N80,NA())</f>
        <v>#N/A</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t="e">
        <f>IF(ISNUMBER(Assessment!J81),Assessment!J81,NA())</f>
        <v>#N/A</v>
      </c>
      <c r="L102" s="89" t="e">
        <f>IF(ISNUMBER(Assessment!K81),Assessment!K81,NA())</f>
        <v>#N/A</v>
      </c>
      <c r="M102" s="89" t="e">
        <f>IF(ISNUMBER(Assessment!L81),Assessment!L81,NA())</f>
        <v>#N/A</v>
      </c>
      <c r="N102" s="89" t="e">
        <f>IF(ISNUMBER(Assessment!M81),Assessment!M81,NA())</f>
        <v>#N/A</v>
      </c>
      <c r="O102" s="89" t="e">
        <f>IF(ISNUMBER(Assessment!N81),Assessment!N81,NA())</f>
        <v>#N/A</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t="e">
        <f>IF(ISNUMBER(Assessment!J82),Assessment!J82,NA())</f>
        <v>#N/A</v>
      </c>
      <c r="L103" s="89" t="e">
        <f>IF(ISNUMBER(Assessment!K82),Assessment!K82,NA())</f>
        <v>#N/A</v>
      </c>
      <c r="M103" s="89" t="e">
        <f>IF(ISNUMBER(Assessment!L82),Assessment!L82,NA())</f>
        <v>#N/A</v>
      </c>
      <c r="N103" s="89" t="e">
        <f>IF(ISNUMBER(Assessment!M82),Assessment!M82,NA())</f>
        <v>#N/A</v>
      </c>
      <c r="O103" s="89" t="e">
        <f>IF(ISNUMBER(Assessment!N82),Assessment!N82,NA())</f>
        <v>#N/A</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t="e">
        <f>IF(ISNUMBER(Assessment!J83),Assessment!J83,NA())</f>
        <v>#N/A</v>
      </c>
      <c r="L104" s="89" t="e">
        <f>IF(ISNUMBER(Assessment!K83),Assessment!K83,NA())</f>
        <v>#N/A</v>
      </c>
      <c r="M104" s="89" t="e">
        <f>IF(ISNUMBER(Assessment!L83),Assessment!L83,NA())</f>
        <v>#N/A</v>
      </c>
      <c r="N104" s="89" t="e">
        <f>IF(ISNUMBER(Assessment!M83),Assessment!M83,NA())</f>
        <v>#N/A</v>
      </c>
      <c r="O104" s="89" t="e">
        <f>IF(ISNUMBER(Assessment!N83),Assessment!N83,NA())</f>
        <v>#N/A</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t="e">
        <f>IF(ISNUMBER(Assessment!J84),Assessment!J84,NA())</f>
        <v>#N/A</v>
      </c>
      <c r="L105" s="89" t="e">
        <f>IF(ISNUMBER(Assessment!K84),Assessment!K84,NA())</f>
        <v>#N/A</v>
      </c>
      <c r="M105" s="89" t="e">
        <f>IF(ISNUMBER(Assessment!L84),Assessment!L84,NA())</f>
        <v>#N/A</v>
      </c>
      <c r="N105" s="89" t="e">
        <f>IF(ISNUMBER(Assessment!M84),Assessment!M84,NA())</f>
        <v>#N/A</v>
      </c>
      <c r="O105" s="89" t="e">
        <f>IF(ISNUMBER(Assessment!N84),Assessment!N84,NA())</f>
        <v>#N/A</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t="e">
        <f>IF(ISNUMBER(Assessment!J85),Assessment!J85,NA())</f>
        <v>#N/A</v>
      </c>
      <c r="L106" s="89" t="e">
        <f>IF(ISNUMBER(Assessment!K85),Assessment!K85,NA())</f>
        <v>#N/A</v>
      </c>
      <c r="M106" s="89" t="e">
        <f>IF(ISNUMBER(Assessment!L85),Assessment!L85,NA())</f>
        <v>#N/A</v>
      </c>
      <c r="N106" s="89" t="e">
        <f>IF(ISNUMBER(Assessment!M85),Assessment!M85,NA())</f>
        <v>#N/A</v>
      </c>
      <c r="O106" s="89" t="e">
        <f>IF(ISNUMBER(Assessment!N85),Assessment!N85,NA())</f>
        <v>#N/A</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t="e">
        <f>IF(ISNUMBER(Assessment!J86),Assessment!J86,NA())</f>
        <v>#N/A</v>
      </c>
      <c r="L107" s="89" t="e">
        <f>IF(ISNUMBER(Assessment!K86),Assessment!K86,NA())</f>
        <v>#N/A</v>
      </c>
      <c r="M107" s="89" t="e">
        <f>IF(ISNUMBER(Assessment!L86),Assessment!L86,NA())</f>
        <v>#N/A</v>
      </c>
      <c r="N107" s="89" t="e">
        <f>IF(ISNUMBER(Assessment!M86),Assessment!M86,NA())</f>
        <v>#N/A</v>
      </c>
      <c r="O107" s="89" t="e">
        <f>IF(ISNUMBER(Assessment!N86),Assessment!N86,NA())</f>
        <v>#N/A</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t="e">
        <f>IF(ISNUMBER(Assessment!J87),Assessment!J87,NA())</f>
        <v>#N/A</v>
      </c>
      <c r="L108" s="89" t="e">
        <f>IF(ISNUMBER(Assessment!K87),Assessment!K87,NA())</f>
        <v>#N/A</v>
      </c>
      <c r="M108" s="89" t="e">
        <f>IF(ISNUMBER(Assessment!L87),Assessment!L87,NA())</f>
        <v>#N/A</v>
      </c>
      <c r="N108" s="89" t="e">
        <f>IF(ISNUMBER(Assessment!M87),Assessment!M87,NA())</f>
        <v>#N/A</v>
      </c>
      <c r="O108" s="89" t="e">
        <f>IF(ISNUMBER(Assessment!N87),Assessment!N87,NA())</f>
        <v>#N/A</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89" t="e">
        <f>IF(ISNUMBER(Assessment!G88),Assessment!G88,NA())</f>
        <v>#N/A</v>
      </c>
      <c r="I109" s="89" t="e">
        <f>IF(ISNUMBER(Assessment!H88),Assessment!H88,NA())</f>
        <v>#N/A</v>
      </c>
      <c r="J109" s="89" t="e">
        <f>IF(ISNUMBER(Assessment!I88),Assessment!I88,NA())</f>
        <v>#N/A</v>
      </c>
      <c r="K109" s="89" t="e">
        <f>IF(ISNUMBER(Assessment!J88),Assessment!J88,NA())</f>
        <v>#N/A</v>
      </c>
      <c r="L109" s="89" t="e">
        <f>IF(ISNUMBER(Assessment!K88),Assessment!K88,NA())</f>
        <v>#N/A</v>
      </c>
      <c r="M109" s="89" t="e">
        <f>IF(ISNUMBER(Assessment!L88),Assessment!L88,NA())</f>
        <v>#N/A</v>
      </c>
      <c r="N109" s="89" t="e">
        <f>IF(ISNUMBER(Assessment!M88),Assessment!M88,NA())</f>
        <v>#N/A</v>
      </c>
      <c r="O109" s="89" t="e">
        <f>IF(ISNUMBER(Assessment!N88),Assessment!N88,NA())</f>
        <v>#N/A</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t="e">
        <f>IF(ISNUMBER(Assessment!J89),Assessment!J89,NA())</f>
        <v>#N/A</v>
      </c>
      <c r="L110" s="89" t="e">
        <f>IF(ISNUMBER(Assessment!K89),Assessment!K89,NA())</f>
        <v>#N/A</v>
      </c>
      <c r="M110" s="89" t="e">
        <f>IF(ISNUMBER(Assessment!L89),Assessment!L89,NA())</f>
        <v>#N/A</v>
      </c>
      <c r="N110" s="89" t="e">
        <f>IF(ISNUMBER(Assessment!M89),Assessment!M89,NA())</f>
        <v>#N/A</v>
      </c>
      <c r="O110" s="89" t="e">
        <f>IF(ISNUMBER(Assessment!N89),Assessment!N89,NA())</f>
        <v>#N/A</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f>IF(Assessment!D20="",NA(),Assessment!D20)</f>
        <v>44.430318318075436</v>
      </c>
      <c r="F111" s="89">
        <f>IF(Assessment!E20="",NA(),Assessment!E20)</f>
        <v>46.249535696627248</v>
      </c>
      <c r="G111" s="89">
        <f>IF(Assessment!F20="",NA(),Assessment!F20)</f>
        <v>46.887477862325753</v>
      </c>
      <c r="H111" s="89">
        <f>IF(Assessment!G20="",NA(),Assessment!G20)</f>
        <v>47.9</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5">
        <f>Assessment!E70</f>
        <v>1.8</v>
      </c>
      <c r="G114" s="65">
        <f>Assessment!F70</f>
        <v>3</v>
      </c>
      <c r="H114" s="65">
        <f>Assessment!G70</f>
        <v>3.2</v>
      </c>
      <c r="I114" s="65">
        <f>Assessment!H70</f>
        <v>3.1</v>
      </c>
      <c r="J114" s="65">
        <f>Assessment!I70</f>
        <v>3</v>
      </c>
      <c r="K114" s="65">
        <f>Assessment!J70</f>
        <v>3.3</v>
      </c>
      <c r="L114" s="65">
        <f>Assessment!K70</f>
        <v>3.3</v>
      </c>
      <c r="M114" s="65">
        <f>Assessment!L70</f>
        <v>3.3</v>
      </c>
      <c r="N114" s="65">
        <f>Assessment!M70</f>
        <v>3.2</v>
      </c>
      <c r="O114" s="65">
        <f>Assessment!N70</f>
        <v>3.2</v>
      </c>
      <c r="P114" s="65">
        <f>Assessment!O70</f>
        <v>3.2</v>
      </c>
      <c r="Q114" s="65">
        <f>Assessment!P70</f>
        <v>3.2</v>
      </c>
      <c r="R114" s="65">
        <f>Assessment!Q70</f>
        <v>3.2</v>
      </c>
      <c r="S114" s="65">
        <f>Assessment!R70</f>
        <v>3.3</v>
      </c>
      <c r="T114" s="65">
        <f>Assessment!S70</f>
        <v>3.3</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5.3</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7"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cm="1">
        <f t="array" ref="F119">IF(
  AND(
    INDEX($2:$2, COLUMN()) &gt;= MTP_BaseYear,
    INDEX($2:$2, COLUMN()) &lt;= OutturnThrough
  ),
  IFERROR(
    IF(
      F114 - INDEX(Assessment!$15:$15,
                   _xlfn.XMATCH(INDEX($2:$2, COLUMN()),
                          Assessment!$4:$4, 0)
            ) &lt; 0,
      INDEX(Assessment!$15:$15,
            _xlfn.XMATCH(INDEX($2:$2, COLUMN()),
                   Assessment!$4:$4, 0)
      ),
      NA()
    ),
    NA()
  ),
  NA()
)</f>
        <v>5.1512647831902569</v>
      </c>
      <c r="G119" s="107" cm="1">
        <f t="array" ref="G119">IF(
  AND(
    INDEX($2:$2, COLUMN()) &gt;= MTP_BaseYear,
    INDEX($2:$2, COLUMN()) &lt;= OutturnThrough
  ),
  IFERROR(
    IF(
      G114 - INDEX(Assessment!$15:$15,
                   _xlfn.XMATCH(INDEX($2:$2, COLUMN()),
                          Assessment!$4:$4, 0)
            ) &lt; 0,
      INDEX(Assessment!$15:$15,
            _xlfn.XMATCH(INDEX($2:$2, COLUMN()),
                   Assessment!$4:$4, 0)
      ),
      NA()
    ),
    NA()
  ),
  NA()
)</f>
        <v>4.5845608885135114</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5.3</v>
      </c>
    </row>
    <row r="122" spans="2:23" ht="13.5" customHeight="1" x14ac:dyDescent="0.6">
      <c r="C122" s="12"/>
    </row>
    <row r="123" spans="2:23" ht="16.5" x14ac:dyDescent="0.6">
      <c r="B123" s="111" t="s">
        <v>601</v>
      </c>
      <c r="C123" s="12" t="s">
        <v>389</v>
      </c>
    </row>
    <row r="124" spans="2:23" x14ac:dyDescent="0.4">
      <c r="C124" s="2" t="s">
        <v>388</v>
      </c>
      <c r="F124" s="65">
        <f>Assessment!E72</f>
        <v>1.7</v>
      </c>
      <c r="G124" s="65">
        <f>Assessment!F72</f>
        <v>2.1</v>
      </c>
      <c r="H124" s="65">
        <f>Assessment!G72</f>
        <v>2.2999999999999998</v>
      </c>
      <c r="I124" s="65">
        <f>Assessment!H72</f>
        <v>2.4</v>
      </c>
      <c r="J124" s="65">
        <f>Assessment!I72</f>
        <v>2.6</v>
      </c>
      <c r="K124" s="65">
        <f>Assessment!J72</f>
        <v>2.6</v>
      </c>
      <c r="L124" s="65">
        <f>Assessment!K72</f>
        <v>2.6</v>
      </c>
      <c r="M124" s="65">
        <f>Assessment!L72</f>
        <v>2.6</v>
      </c>
      <c r="N124" s="65">
        <f>Assessment!M72</f>
        <v>2.6</v>
      </c>
      <c r="O124" s="65">
        <f>Assessment!N72</f>
        <v>2.6</v>
      </c>
      <c r="P124" s="65">
        <f>Assessment!O72</f>
        <v>2.6</v>
      </c>
      <c r="Q124" s="65">
        <f>Assessment!P72</f>
        <v>2.6</v>
      </c>
      <c r="R124" s="65">
        <f>Assessment!Q72</f>
        <v>2.6</v>
      </c>
      <c r="S124" s="65">
        <f>Assessment!R72</f>
        <v>2.6</v>
      </c>
      <c r="T124" s="65">
        <f>Assessment!S72</f>
        <v>2.6</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t="e">
        <f>IF(OR(ISNUMBER(F128),ISNUMBER(F129)),NA(),IF(ISNUMBER(Assessment!E19),Assessment!E19,NA()))</f>
        <v>#N/A</v>
      </c>
      <c r="G126" s="65" t="e">
        <f>IF(OR(ISNUMBER(G128),ISNUMBER(G129)),NA(),IF(ISNUMBER(Assessment!F19),Assessment!F19,NA()))</f>
        <v>#N/A</v>
      </c>
      <c r="H126" s="65">
        <f>IF(OR(ISNUMBER(H128),ISNUMBER(H129)),NA(),IF(ISNUMBER(Assessment!G19),Assessment!G19,NA()))</f>
        <v>-1.3</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t="e" cm="1">
        <f t="array" ref="F128">IF(
  AND(
    INDEX($2:$2, COLUMN()) &gt;= MTP_BaseYear,
    INDEX($2:$2, COLUMN()) &lt;= OutturnThrough
  ),
  IFERROR(
    IF(
      F124 - INDEX(Assessment!$19:$19,
                   _xlfn.XMATCH(INDEX($2:$2, COLUMN()),
                          Assessment!$4:$4, 0)
            ) &lt; 0,
      INDEX(Assessment!$19:$19,
            _xlfn.XMATCH(INDEX($2:$2, COLUMN()),
                   Assessment!$4:$4, 0)
      ),
      NA()
    ),
    NA()
  ),
  NA()
)</f>
        <v>#N/A</v>
      </c>
      <c r="G128" s="107" t="e" cm="1">
        <f t="array" ref="G128">IF(
  AND(
    INDEX($2:$2, COLUMN()) &gt;= MTP_BaseYear,
    INDEX($2:$2, COLUMN()) &lt;= OutturnThrough
  ),
  IFERROR(
    IF(
      G124 - INDEX(Assessment!$19:$19,
                   _xlfn.XMATCH(INDEX($2:$2, COLUMN()),
                          Assessment!$4:$4, 0)
            ) &lt; 0,
      INDEX(Assessment!$19:$19,
            _xlfn.XMATCH(INDEX($2:$2, COLUMN()),
                   Assessment!$4:$4, 0)
      ),
      NA()
    ),
    NA()
  ),
  NA()
)</f>
        <v>#N/A</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-0.21811</v>
      </c>
      <c r="G129" s="107"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-1.41309</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2.6</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t="e" cm="1">
        <f t="array" ref="F138">_xlfn.LET(
  _xlpm.y, INDEX('Chart data'!$2:$2, COLUMN()),
  _xlpm.col, _xlfn.XMATCH(_xlpm.y, Assessment!$4:$4, 0),
  _xlpm.v, INDEX(Assessment!$18:$18, _xlpm.col),
  IF(
    _xlpm.y&lt;=OutturnThrough,
    IF(AND(ISNUMBER(_xlpm.v), _xlpm.v&gt;=0), _xlpm.v, NA()),
    NA()
  )
)</f>
        <v>#N/A</v>
      </c>
      <c r="G138" s="124" t="e" cm="1">
        <f t="array" ref="G138">_xlfn.LET(
  _xlpm.y, INDEX('Chart data'!$2:$2, COLUMN()),
  _xlpm.col, _xlfn.XMATCH(_xlpm.y, Assessment!$4:$4, 0),
  _xlpm.v, INDEX(Assessment!$18:$18, _xlpm.col),
  IF(
    _xlpm.y&lt;=OutturnThrough,
    IF(AND(ISNUMBER(_xlpm.v), _xlpm.v&gt;=0), _xlpm.v, NA()),
    NA()
  )
)</f>
        <v>#N/A</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cm="1">
        <f t="array" ref="F139">_xlfn.LET(
  _xlpm.y, INDEX('Chart data'!$2:$2, COLUMN()),
  _xlpm.col, _xlfn.XMATCH(_xlpm.y, Assessment!$4:$4, 0),
  _xlpm.v, INDEX(Assessment!$18:$18, _xlpm.col),
  IF(
    _xlpm.y&lt;=OutturnThrough,
    IF(AND(ISNUMBER(_xlpm.v), _xlpm.v&lt;0), _xlpm.v, NA()),
    NA()
  )
)</f>
        <v>-1.3087</v>
      </c>
      <c r="G139" s="107" cm="1">
        <f t="array" ref="G139">_xlfn.LET(
  _xlpm.y, INDEX('Chart data'!$2:$2, COLUMN()),
  _xlpm.col, _xlfn.XMATCH(_xlpm.y, Assessment!$4:$4, 0),
  _xlpm.v, INDEX(Assessment!$18:$18, _xlpm.col),
  IF(
    _xlpm.y&lt;=OutturnThrough,
    IF(AND(ISNUMBER(_xlpm.v), _xlpm.v&lt;0), _xlpm.v, NA()),
    NA()
  )
)</f>
        <v>-2.5189499999999998</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-2.7</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-1.3087</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f>IF(OR(ISNUMBER(F149),ISNUMBER(F150)),NA(),IF(ISNUMBER(Assessment!E17),Assessment!E17+(Assessment!E7/Assessment!E27*100),NA()))</f>
        <v>-0.69639356198788627</v>
      </c>
      <c r="G146" s="65">
        <f>IF(OR(ISNUMBER(G149),ISNUMBER(G150)),NA(),IF(ISNUMBER(Assessment!F17),Assessment!F17+(Assessment!F7/Assessment!F27*100),NA()))</f>
        <v>-1.4349396414277915</v>
      </c>
      <c r="H146" s="65">
        <f>IF(OR(ISNUMBER(H149),ISNUMBER(H150)),NA(),IF(ISNUMBER(Assessment!G17),Assessment!G17+(Assessment!G7/Assessment!G27*100),NA()))</f>
        <v>-1.7</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7"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cm="1">
        <f t="array" ref="U149">_xlfn.LET(
  _xlpm.y, INDEX('Chart data'!$2:$2, COLUMN()),
  _xlpm.col, _xlfn.XMATCH(_xlpm.y, Assessment!$4:$4, 0),
  _xlpm.v, INDEX(Assessment!$17:$17, _xlpm.col)
     + INDEX(Assessment!$7:$7, _xlpm.col),
  IF(
    _xlpm.y&lt;=OutturnThrough,
    IF(AND(ISNUMBER(_xlpm.v), _xlpm.v&gt;=0), _xlpm.v, NA()),
    NA()
  )
)</f>
        <v>0</v>
      </c>
      <c r="V149" s="107" cm="1">
        <f t="array" ref="V149">_xlfn.LET(
  _xlpm.y, INDEX('Chart data'!$2:$2, COLUMN()),
  _xlpm.col, _xlfn.XMATCH(_xlpm.y, Assessment!$4:$4, 0),
  _xlpm.v, INDEX(Assessment!$17:$17, _xlpm.col)
     + INDEX(Assessment!$7:$7, _xlpm.col),
  IF(
    _xlpm.y&lt;=OutturnThrough,
    IF(AND(ISNUMBER(_xlpm.v), _xlpm.v&gt;=0), _xlpm.v, NA()),
    NA()
  )
)</f>
        <v>0</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-1.7</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19" t="s">
        <v>216</v>
      </c>
      <c r="L3" s="15" t="s">
        <v>720</v>
      </c>
      <c r="M3" s="19" t="s">
        <v>411</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217</v>
      </c>
      <c r="L4" s="15" t="s">
        <v>721</v>
      </c>
      <c r="M4" s="19" t="s">
        <v>434</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218</v>
      </c>
      <c r="L5" s="15" t="s">
        <v>722</v>
      </c>
      <c r="M5" s="19" t="s">
        <v>435</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219</v>
      </c>
      <c r="L6" s="15" t="s">
        <v>723</v>
      </c>
      <c r="M6" s="19" t="s">
        <v>407</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220</v>
      </c>
      <c r="L7" s="15" t="s">
        <v>724</v>
      </c>
      <c r="M7" s="19" t="s">
        <v>409</v>
      </c>
      <c r="P7" t="s">
        <v>874</v>
      </c>
      <c r="Q7" s="163" t="b">
        <f>NOT(AND(Assessment!C195, Assessment!C199))</f>
        <v>0</v>
      </c>
    </row>
    <row r="8" spans="1:22" x14ac:dyDescent="0.4">
      <c r="A8" s="126">
        <v>2027</v>
      </c>
      <c r="B8" s="19"/>
      <c r="C8" s="19"/>
      <c r="D8" s="19"/>
      <c r="E8" s="19"/>
      <c r="F8" s="19"/>
      <c r="G8" s="19"/>
      <c r="H8" s="19"/>
      <c r="I8" s="19"/>
      <c r="J8" s="19"/>
      <c r="K8" s="19" t="s">
        <v>221</v>
      </c>
      <c r="L8" s="15" t="s">
        <v>725</v>
      </c>
      <c r="M8" s="19" t="s">
        <v>438</v>
      </c>
      <c r="P8" t="s">
        <v>717</v>
      </c>
      <c r="Q8" s="163" t="b">
        <f>OR(INDEX('Step 1 - Set global parameters'!12:12, COLUMN('Step 1 - Set global parameters'!$C$12)):INDEX('Step 1 - Set global parameters'!12:12, COLUMN('Step 1 - Set global parameters'!$C$12) + AdjustmentPeriod + 2))</f>
        <v>1</v>
      </c>
    </row>
    <row r="9" spans="1:22" x14ac:dyDescent="0.4">
      <c r="A9" s="126">
        <v>2028</v>
      </c>
      <c r="B9" s="19"/>
      <c r="C9" s="19"/>
      <c r="D9" s="19"/>
      <c r="E9" s="19"/>
      <c r="F9" s="19"/>
      <c r="G9" s="19"/>
      <c r="H9" s="19"/>
      <c r="I9" s="19"/>
      <c r="J9" s="19"/>
      <c r="K9" s="19" t="s">
        <v>222</v>
      </c>
      <c r="L9" s="15" t="s">
        <v>726</v>
      </c>
      <c r="M9" s="19" t="s">
        <v>436</v>
      </c>
      <c r="P9" t="s">
        <v>747</v>
      </c>
      <c r="Q9" s="163" t="str">
        <f>IF(Country="Select country","",INDEX(Validation!L3:L29,MATCH(Country,Validation!K3:K29,0)))</f>
        <v>LV</v>
      </c>
    </row>
    <row r="10" spans="1:22" x14ac:dyDescent="0.4">
      <c r="A10" s="126">
        <v>2029</v>
      </c>
      <c r="B10" s="19"/>
      <c r="C10" s="19"/>
      <c r="D10" s="19"/>
      <c r="E10" s="19"/>
      <c r="F10" s="19"/>
      <c r="G10" s="19"/>
      <c r="H10" s="19"/>
      <c r="I10" s="19"/>
      <c r="J10" s="19"/>
      <c r="K10" s="5" t="s">
        <v>223</v>
      </c>
      <c r="L10" s="15" t="s">
        <v>727</v>
      </c>
      <c r="M10" s="19" t="s">
        <v>440</v>
      </c>
      <c r="P10" t="s">
        <v>711</v>
      </c>
      <c r="Q10" s="167">
        <f>'Step 3 (MTP) - Plan and prior'!C10</f>
        <v>45464</v>
      </c>
    </row>
    <row r="11" spans="1:22" x14ac:dyDescent="0.4">
      <c r="A11" s="126">
        <v>2030</v>
      </c>
      <c r="B11" s="19"/>
      <c r="C11" s="19"/>
      <c r="D11" s="19"/>
      <c r="E11" s="19"/>
      <c r="F11" s="19"/>
      <c r="G11" s="19"/>
      <c r="H11" s="19"/>
      <c r="I11" s="19"/>
      <c r="J11" s="19"/>
      <c r="K11" s="19" t="s">
        <v>224</v>
      </c>
      <c r="L11" s="15" t="s">
        <v>728</v>
      </c>
      <c r="M11" s="19" t="s">
        <v>445</v>
      </c>
      <c r="P11" t="s">
        <v>828</v>
      </c>
      <c r="Q11" s="161">
        <f>IF(MTP_BaseYearIsTminus2, MTP_YearT-2, MTP_YearT-1)</f>
        <v>2023</v>
      </c>
    </row>
    <row r="12" spans="1:22" x14ac:dyDescent="0.4">
      <c r="A12" s="126">
        <v>2031</v>
      </c>
      <c r="B12" s="19"/>
      <c r="C12" s="19"/>
      <c r="D12" s="19"/>
      <c r="E12" s="19"/>
      <c r="F12" s="19"/>
      <c r="G12" s="19"/>
      <c r="H12" s="19"/>
      <c r="I12" s="19"/>
      <c r="J12" s="19"/>
      <c r="K12" s="19" t="s">
        <v>225</v>
      </c>
      <c r="L12" s="15" t="s">
        <v>729</v>
      </c>
      <c r="M12" s="19" t="s">
        <v>414</v>
      </c>
    </row>
    <row r="13" spans="1:22" x14ac:dyDescent="0.4">
      <c r="A13" s="126">
        <v>2032</v>
      </c>
      <c r="B13" s="19"/>
      <c r="C13" s="19"/>
      <c r="D13" s="19"/>
      <c r="E13" s="19"/>
      <c r="F13" s="19"/>
      <c r="G13" s="19"/>
      <c r="H13" s="19"/>
      <c r="I13" s="19"/>
      <c r="J13" s="19"/>
      <c r="K13" s="19" t="s">
        <v>226</v>
      </c>
      <c r="L13" s="15" t="s">
        <v>730</v>
      </c>
      <c r="M13" s="19" t="s">
        <v>416</v>
      </c>
    </row>
    <row r="14" spans="1:22" x14ac:dyDescent="0.4">
      <c r="A14" s="126">
        <v>2033</v>
      </c>
      <c r="B14" s="19"/>
      <c r="C14" s="19"/>
      <c r="D14" s="19"/>
      <c r="E14" s="19"/>
      <c r="F14" s="19"/>
      <c r="G14" s="19"/>
      <c r="H14" s="19"/>
      <c r="I14" s="19"/>
      <c r="J14" s="19"/>
      <c r="K14" s="19" t="s">
        <v>227</v>
      </c>
      <c r="L14" s="15" t="s">
        <v>731</v>
      </c>
      <c r="M14" s="19" t="s">
        <v>417</v>
      </c>
    </row>
    <row r="15" spans="1:22" x14ac:dyDescent="0.4">
      <c r="A15" s="126">
        <v>2034</v>
      </c>
      <c r="B15" s="19"/>
      <c r="C15" s="19"/>
      <c r="D15" s="19"/>
      <c r="E15" s="19"/>
      <c r="F15" s="19"/>
      <c r="G15" s="19"/>
      <c r="H15" s="19"/>
      <c r="I15" s="19"/>
      <c r="J15" s="19"/>
      <c r="K15" s="19" t="s">
        <v>228</v>
      </c>
      <c r="L15" s="15" t="s">
        <v>732</v>
      </c>
      <c r="M15" s="19" t="s">
        <v>410</v>
      </c>
    </row>
    <row r="16" spans="1:22" x14ac:dyDescent="0.4">
      <c r="A16" s="126">
        <v>2035</v>
      </c>
      <c r="B16" s="19"/>
      <c r="C16" s="19"/>
      <c r="D16" s="19"/>
      <c r="E16" s="19"/>
      <c r="F16" s="19"/>
      <c r="G16" s="19"/>
      <c r="H16" s="19"/>
      <c r="I16" s="19"/>
      <c r="J16" s="19"/>
      <c r="K16" s="19" t="s">
        <v>229</v>
      </c>
      <c r="L16" s="15" t="s">
        <v>733</v>
      </c>
      <c r="M16" s="19" t="s">
        <v>406</v>
      </c>
    </row>
    <row r="17" spans="1:13" x14ac:dyDescent="0.4">
      <c r="A17" s="126">
        <v>2036</v>
      </c>
      <c r="B17" s="19"/>
      <c r="C17" s="19"/>
      <c r="D17" s="19"/>
      <c r="E17" s="19"/>
      <c r="F17" s="19"/>
      <c r="G17" s="19"/>
      <c r="H17" s="19"/>
      <c r="I17" s="19"/>
      <c r="J17" s="19"/>
      <c r="K17" s="19" t="s">
        <v>230</v>
      </c>
      <c r="L17" s="15" t="s">
        <v>734</v>
      </c>
      <c r="M17" s="19" t="s">
        <v>418</v>
      </c>
    </row>
    <row r="18" spans="1:13" x14ac:dyDescent="0.4">
      <c r="A18" s="126">
        <v>2037</v>
      </c>
      <c r="B18" s="19"/>
      <c r="C18" s="19"/>
      <c r="D18" s="19"/>
      <c r="E18" s="19"/>
      <c r="F18" s="19"/>
      <c r="G18" s="19"/>
      <c r="H18" s="19"/>
      <c r="I18" s="19"/>
      <c r="J18" s="19"/>
      <c r="K18" s="19" t="s">
        <v>19</v>
      </c>
      <c r="L18" s="15" t="s">
        <v>735</v>
      </c>
      <c r="M18" s="19" t="s">
        <v>427</v>
      </c>
    </row>
    <row r="19" spans="1:13" x14ac:dyDescent="0.4">
      <c r="A19" s="126">
        <v>2038</v>
      </c>
      <c r="B19" s="19"/>
      <c r="C19" s="19"/>
      <c r="D19" s="19"/>
      <c r="E19" s="19"/>
      <c r="F19" s="19"/>
      <c r="G19" s="19"/>
      <c r="H19" s="19"/>
      <c r="I19" s="19"/>
      <c r="J19" s="19"/>
      <c r="K19" s="19" t="s">
        <v>231</v>
      </c>
      <c r="L19" s="15" t="s">
        <v>736</v>
      </c>
      <c r="M19" s="19" t="s">
        <v>433</v>
      </c>
    </row>
    <row r="20" spans="1:13" x14ac:dyDescent="0.4">
      <c r="A20" s="126">
        <v>2039</v>
      </c>
      <c r="B20" s="19"/>
      <c r="C20" s="19"/>
      <c r="D20" s="19"/>
      <c r="E20" s="19"/>
      <c r="F20" s="19"/>
      <c r="G20" s="19"/>
      <c r="H20" s="19"/>
      <c r="I20" s="19"/>
      <c r="J20" s="19"/>
      <c r="K20" s="19" t="s">
        <v>232</v>
      </c>
      <c r="L20" s="15" t="s">
        <v>737</v>
      </c>
      <c r="M20" s="19" t="s">
        <v>432</v>
      </c>
    </row>
    <row r="21" spans="1:13" x14ac:dyDescent="0.4">
      <c r="A21" s="126">
        <v>2040</v>
      </c>
      <c r="B21" s="19"/>
      <c r="C21" s="19"/>
      <c r="D21" s="19"/>
      <c r="E21" s="19"/>
      <c r="F21" s="19"/>
      <c r="G21" s="19"/>
      <c r="H21" s="19"/>
      <c r="I21" s="19"/>
      <c r="J21" s="19"/>
      <c r="K21" s="19" t="s">
        <v>233</v>
      </c>
      <c r="L21" s="15" t="s">
        <v>738</v>
      </c>
      <c r="M21" s="19" t="s">
        <v>446</v>
      </c>
    </row>
    <row r="22" spans="1:13" x14ac:dyDescent="0.4">
      <c r="A22" s="126">
        <v>2041</v>
      </c>
      <c r="B22" s="19"/>
      <c r="C22" s="19"/>
      <c r="D22" s="19"/>
      <c r="E22" s="19"/>
      <c r="F22" s="19"/>
      <c r="G22" s="19"/>
      <c r="H22" s="19"/>
      <c r="I22" s="19"/>
      <c r="J22" s="19"/>
      <c r="K22" s="19" t="s">
        <v>234</v>
      </c>
      <c r="L22" s="15" t="s">
        <v>739</v>
      </c>
      <c r="M22" s="19" t="s">
        <v>405</v>
      </c>
    </row>
    <row r="23" spans="1:13" x14ac:dyDescent="0.4">
      <c r="A23" s="126">
        <v>2042</v>
      </c>
      <c r="B23" s="19"/>
      <c r="C23" s="19"/>
      <c r="D23" s="19"/>
      <c r="E23" s="19"/>
      <c r="F23" s="19"/>
      <c r="G23" s="19"/>
      <c r="H23" s="19"/>
      <c r="I23" s="19"/>
      <c r="J23" s="19"/>
      <c r="K23" s="19" t="s">
        <v>235</v>
      </c>
      <c r="L23" s="15" t="s">
        <v>740</v>
      </c>
      <c r="M23" s="19" t="s">
        <v>330</v>
      </c>
    </row>
    <row r="24" spans="1:13" x14ac:dyDescent="0.4">
      <c r="A24" s="126">
        <v>2043</v>
      </c>
      <c r="B24" s="19"/>
      <c r="C24" s="19"/>
      <c r="D24" s="19"/>
      <c r="E24" s="19"/>
      <c r="F24" s="19"/>
      <c r="G24" s="19"/>
      <c r="H24" s="19"/>
      <c r="I24" s="19"/>
      <c r="J24" s="19"/>
      <c r="K24" s="19" t="s">
        <v>236</v>
      </c>
      <c r="L24" s="15" t="s">
        <v>741</v>
      </c>
      <c r="M24" s="19" t="s">
        <v>420</v>
      </c>
    </row>
    <row r="25" spans="1:13" x14ac:dyDescent="0.4">
      <c r="A25" s="126">
        <v>2044</v>
      </c>
      <c r="B25" s="19"/>
      <c r="C25" s="19"/>
      <c r="D25" s="19"/>
      <c r="E25" s="19"/>
      <c r="F25" s="19"/>
      <c r="G25" s="19"/>
      <c r="H25" s="19"/>
      <c r="I25" s="19"/>
      <c r="J25" s="19"/>
      <c r="K25" s="19" t="s">
        <v>237</v>
      </c>
      <c r="L25" s="15" t="s">
        <v>742</v>
      </c>
      <c r="M25" s="19" t="s">
        <v>422</v>
      </c>
    </row>
    <row r="26" spans="1:13" x14ac:dyDescent="0.4">
      <c r="A26" s="126">
        <v>2045</v>
      </c>
      <c r="B26" s="19"/>
      <c r="C26" s="19"/>
      <c r="D26" s="19"/>
      <c r="E26" s="19"/>
      <c r="F26" s="19"/>
      <c r="G26" s="19"/>
      <c r="H26" s="19"/>
      <c r="I26" s="19"/>
      <c r="J26" s="19"/>
      <c r="K26" s="19" t="s">
        <v>238</v>
      </c>
      <c r="L26" s="15" t="s">
        <v>743</v>
      </c>
      <c r="M26" s="19" t="s">
        <v>449</v>
      </c>
    </row>
    <row r="27" spans="1:13" x14ac:dyDescent="0.4">
      <c r="A27" s="126">
        <v>2046</v>
      </c>
      <c r="B27" s="19"/>
      <c r="C27" s="19"/>
      <c r="D27" s="19"/>
      <c r="E27" s="19"/>
      <c r="F27" s="19"/>
      <c r="G27" s="19"/>
      <c r="H27" s="19"/>
      <c r="I27" s="19"/>
      <c r="J27" s="19"/>
      <c r="K27" s="19" t="s">
        <v>239</v>
      </c>
      <c r="L27" s="15" t="s">
        <v>744</v>
      </c>
      <c r="M27" s="19" t="s">
        <v>429</v>
      </c>
    </row>
    <row r="28" spans="1:13" x14ac:dyDescent="0.4">
      <c r="A28" s="126">
        <v>2047</v>
      </c>
      <c r="B28" s="19"/>
      <c r="C28" s="19"/>
      <c r="D28" s="19"/>
      <c r="E28" s="19"/>
      <c r="F28" s="19"/>
      <c r="G28" s="19"/>
      <c r="H28" s="19"/>
      <c r="I28" s="19"/>
      <c r="J28" s="19"/>
      <c r="K28" s="19" t="s">
        <v>240</v>
      </c>
      <c r="L28" s="15" t="s">
        <v>745</v>
      </c>
      <c r="M28" s="19" t="s">
        <v>428</v>
      </c>
    </row>
    <row r="29" spans="1:13" x14ac:dyDescent="0.4">
      <c r="A29" s="126">
        <v>2048</v>
      </c>
      <c r="B29" s="19"/>
      <c r="C29" s="19"/>
      <c r="D29" s="19"/>
      <c r="E29" s="19"/>
      <c r="F29" s="19"/>
      <c r="G29" s="19"/>
      <c r="H29" s="19"/>
      <c r="I29" s="19"/>
      <c r="J29" s="19"/>
      <c r="K29" s="19" t="s">
        <v>241</v>
      </c>
      <c r="L29" s="15" t="s">
        <v>746</v>
      </c>
      <c r="M29" s="19" t="s">
        <v>426</v>
      </c>
    </row>
    <row r="30" spans="1:13" x14ac:dyDescent="0.4">
      <c r="A30" s="126">
        <v>2049</v>
      </c>
      <c r="B30" s="19"/>
      <c r="C30" s="19"/>
      <c r="D30" s="19"/>
      <c r="E30" s="19"/>
      <c r="F30" s="19"/>
      <c r="G30" s="19"/>
      <c r="H30" s="19"/>
      <c r="I30" s="19"/>
      <c r="J30" s="19"/>
      <c r="K30" s="5"/>
      <c r="L30" s="19"/>
      <c r="M30" s="19" t="s">
        <v>448</v>
      </c>
    </row>
    <row r="31" spans="1:13" x14ac:dyDescent="0.4">
      <c r="A31" s="126">
        <v>2050</v>
      </c>
      <c r="B31" s="19"/>
      <c r="C31" s="19"/>
      <c r="D31" s="19"/>
      <c r="E31" s="19"/>
      <c r="F31" s="19"/>
      <c r="G31" s="19"/>
      <c r="H31" s="19"/>
      <c r="I31" s="19"/>
      <c r="J31" s="19"/>
      <c r="K31" s="19"/>
      <c r="L31" s="19"/>
      <c r="M31" s="19" t="s">
        <v>419</v>
      </c>
    </row>
    <row r="32" spans="1:13" x14ac:dyDescent="0.4">
      <c r="A32" s="126" t="e">
        <f>NA()</f>
        <v>#N/A</v>
      </c>
      <c r="B32" s="19"/>
      <c r="C32" s="19"/>
      <c r="D32" s="19"/>
      <c r="E32" s="19"/>
      <c r="F32" s="19"/>
      <c r="G32" s="19"/>
      <c r="H32" s="19"/>
      <c r="I32" s="19"/>
      <c r="J32" s="19"/>
      <c r="K32" s="19"/>
      <c r="L32" s="19"/>
      <c r="M32" s="19" t="s">
        <v>413</v>
      </c>
    </row>
    <row r="33" spans="1:13" x14ac:dyDescent="0.4">
      <c r="A33" s="19"/>
      <c r="B33" s="19"/>
      <c r="C33" s="19"/>
      <c r="D33" s="19"/>
      <c r="E33" s="19"/>
      <c r="F33" s="19"/>
      <c r="G33" s="19"/>
      <c r="H33" s="19"/>
      <c r="I33" s="19"/>
      <c r="J33" s="19"/>
      <c r="K33" s="19"/>
      <c r="L33" s="19"/>
      <c r="M33" s="19" t="s">
        <v>437</v>
      </c>
    </row>
    <row r="34" spans="1:13" x14ac:dyDescent="0.4">
      <c r="A34" s="19"/>
      <c r="B34" s="19"/>
      <c r="C34" s="19"/>
      <c r="D34" s="19"/>
      <c r="E34" s="19"/>
      <c r="F34" s="19"/>
      <c r="G34" s="19"/>
      <c r="H34" s="19"/>
      <c r="I34" s="19"/>
      <c r="J34" s="19"/>
      <c r="K34" s="19"/>
      <c r="L34" s="19"/>
      <c r="M34" s="19" t="s">
        <v>439</v>
      </c>
    </row>
    <row r="35" spans="1:13" x14ac:dyDescent="0.4">
      <c r="A35" s="19"/>
      <c r="B35" s="19"/>
      <c r="C35" s="19"/>
      <c r="D35" s="19"/>
      <c r="E35" s="19"/>
      <c r="F35" s="19"/>
      <c r="G35" s="19"/>
      <c r="H35" s="19"/>
      <c r="I35" s="19"/>
      <c r="J35" s="19"/>
      <c r="K35" s="19"/>
      <c r="L35" s="19"/>
      <c r="M35" s="19" t="s">
        <v>415</v>
      </c>
    </row>
    <row r="36" spans="1:13" x14ac:dyDescent="0.4">
      <c r="A36" s="19"/>
      <c r="B36" s="19"/>
      <c r="C36" s="19"/>
      <c r="D36" s="19"/>
      <c r="E36" s="19"/>
      <c r="F36" s="19"/>
      <c r="G36" s="19"/>
      <c r="H36" s="19"/>
      <c r="I36" s="19"/>
      <c r="J36" s="19"/>
      <c r="K36" s="19"/>
      <c r="L36" s="19"/>
      <c r="M36" s="19" t="s">
        <v>424</v>
      </c>
    </row>
    <row r="37" spans="1:13" x14ac:dyDescent="0.4">
      <c r="A37" s="19"/>
      <c r="B37" s="19"/>
      <c r="C37" s="19"/>
      <c r="D37" s="19"/>
      <c r="E37" s="19"/>
      <c r="F37" s="19"/>
      <c r="G37" s="19"/>
      <c r="H37" s="19"/>
      <c r="I37" s="19"/>
      <c r="J37" s="19"/>
      <c r="K37" s="19"/>
      <c r="L37" s="19"/>
      <c r="M37" s="19" t="s">
        <v>408</v>
      </c>
    </row>
    <row r="38" spans="1:13" x14ac:dyDescent="0.4">
      <c r="A38" s="19"/>
      <c r="B38" s="19"/>
      <c r="C38" s="19"/>
      <c r="D38" s="19"/>
      <c r="E38" s="19"/>
      <c r="F38" s="19"/>
      <c r="G38" s="19"/>
      <c r="H38" s="19"/>
      <c r="I38" s="19"/>
      <c r="J38" s="19"/>
      <c r="K38" s="19"/>
      <c r="L38" s="19"/>
      <c r="M38" s="19" t="s">
        <v>430</v>
      </c>
    </row>
    <row r="39" spans="1:13" x14ac:dyDescent="0.4">
      <c r="A39" s="19"/>
      <c r="B39" s="19"/>
      <c r="C39" s="19"/>
      <c r="D39" s="19"/>
      <c r="E39" s="19"/>
      <c r="F39" s="19"/>
      <c r="G39" s="19"/>
      <c r="H39" s="19"/>
      <c r="I39" s="19"/>
      <c r="J39" s="19"/>
      <c r="K39" s="19"/>
      <c r="L39" s="19"/>
      <c r="M39" s="19" t="s">
        <v>443</v>
      </c>
    </row>
    <row r="40" spans="1:13" x14ac:dyDescent="0.4">
      <c r="A40" s="19"/>
      <c r="B40" s="19"/>
      <c r="C40" s="19"/>
      <c r="D40" s="19"/>
      <c r="E40" s="19"/>
      <c r="F40" s="19"/>
      <c r="G40" s="19"/>
      <c r="H40" s="19"/>
      <c r="I40" s="19"/>
      <c r="J40" s="19"/>
      <c r="K40" s="19"/>
      <c r="L40" s="19"/>
      <c r="M40" s="19" t="s">
        <v>441</v>
      </c>
    </row>
    <row r="41" spans="1:13" x14ac:dyDescent="0.4">
      <c r="A41" s="19"/>
      <c r="B41" s="19"/>
      <c r="C41" s="19"/>
      <c r="D41" s="19"/>
      <c r="E41" s="19"/>
      <c r="F41" s="19"/>
      <c r="G41" s="19"/>
      <c r="H41" s="19"/>
      <c r="I41" s="19"/>
      <c r="J41" s="19"/>
      <c r="K41" s="19"/>
      <c r="L41" s="19"/>
      <c r="M41" s="19" t="s">
        <v>412</v>
      </c>
    </row>
    <row r="42" spans="1:13" x14ac:dyDescent="0.4">
      <c r="A42" s="19"/>
      <c r="B42" s="19"/>
      <c r="C42" s="19"/>
      <c r="D42" s="19"/>
      <c r="E42" s="19"/>
      <c r="F42" s="19"/>
      <c r="G42" s="19"/>
      <c r="H42" s="19"/>
      <c r="I42" s="19"/>
      <c r="J42" s="19"/>
      <c r="K42" s="5"/>
      <c r="L42" s="5"/>
      <c r="M42" s="19" t="s">
        <v>444</v>
      </c>
    </row>
    <row r="43" spans="1:13" x14ac:dyDescent="0.4">
      <c r="A43" s="19"/>
      <c r="B43" s="19"/>
      <c r="C43" s="19"/>
      <c r="D43" s="19"/>
      <c r="E43" s="19"/>
      <c r="F43" s="19"/>
      <c r="G43" s="19"/>
      <c r="H43" s="19"/>
      <c r="I43" s="19"/>
      <c r="J43" s="19"/>
      <c r="K43" s="19"/>
      <c r="L43" s="19"/>
      <c r="M43" s="19" t="s">
        <v>447</v>
      </c>
    </row>
    <row r="44" spans="1:13" x14ac:dyDescent="0.4">
      <c r="A44" s="19"/>
      <c r="B44" s="19"/>
      <c r="C44" s="19"/>
      <c r="D44" s="19"/>
      <c r="E44" s="19"/>
      <c r="F44" s="19"/>
      <c r="G44" s="19"/>
      <c r="H44" s="19"/>
      <c r="I44" s="19"/>
      <c r="J44" s="19"/>
      <c r="K44" s="19"/>
      <c r="L44" s="19"/>
      <c r="M44" s="19" t="s">
        <v>431</v>
      </c>
    </row>
    <row r="45" spans="1:13" x14ac:dyDescent="0.4">
      <c r="A45" s="19"/>
      <c r="B45" s="19"/>
      <c r="C45" s="19"/>
      <c r="D45" s="19"/>
      <c r="E45" s="19"/>
      <c r="F45" s="19"/>
      <c r="G45" s="19"/>
      <c r="H45" s="19"/>
      <c r="I45" s="19"/>
      <c r="J45" s="19"/>
      <c r="K45" s="19"/>
      <c r="L45" s="19"/>
      <c r="M45" s="19" t="s">
        <v>421</v>
      </c>
    </row>
    <row r="46" spans="1:13" x14ac:dyDescent="0.4">
      <c r="A46" s="19"/>
      <c r="B46" s="19"/>
      <c r="C46" s="19"/>
      <c r="D46" s="19"/>
      <c r="E46" s="19"/>
      <c r="F46" s="19"/>
      <c r="G46" s="19"/>
      <c r="H46" s="19"/>
      <c r="I46" s="19"/>
      <c r="J46" s="19"/>
      <c r="K46" s="19"/>
      <c r="L46" s="19"/>
      <c r="M46" s="19" t="s">
        <v>442</v>
      </c>
    </row>
    <row r="47" spans="1:13" x14ac:dyDescent="0.4">
      <c r="A47" s="19"/>
      <c r="B47" s="19"/>
      <c r="C47" s="19"/>
      <c r="D47" s="19"/>
      <c r="E47" s="19"/>
      <c r="F47" s="19"/>
      <c r="G47" s="19"/>
      <c r="H47" s="19"/>
      <c r="I47" s="19"/>
      <c r="J47" s="19"/>
      <c r="K47" s="19"/>
      <c r="L47" s="19"/>
      <c r="M47" s="5" t="s">
        <v>423</v>
      </c>
    </row>
    <row r="48" spans="1:13" x14ac:dyDescent="0.4">
      <c r="A48" s="19"/>
      <c r="B48" s="19"/>
      <c r="C48" s="19"/>
      <c r="D48" s="19"/>
      <c r="E48" s="19"/>
      <c r="F48" s="19"/>
      <c r="G48" s="19"/>
      <c r="H48" s="19"/>
      <c r="I48" s="19"/>
      <c r="J48" s="19"/>
      <c r="K48" s="19"/>
      <c r="L48" s="19"/>
      <c r="M48" s="19" t="s">
        <v>425</v>
      </c>
    </row>
    <row r="49" spans="1:13" x14ac:dyDescent="0.4">
      <c r="A49" s="19"/>
      <c r="B49" s="19"/>
      <c r="C49" s="19"/>
      <c r="D49" s="19"/>
      <c r="E49" s="19"/>
      <c r="F49" s="19"/>
      <c r="G49" s="19"/>
      <c r="H49" s="19"/>
      <c r="I49" s="19"/>
      <c r="J49" s="19"/>
      <c r="K49" s="19"/>
      <c r="L49" s="19"/>
      <c r="M49" s="5"/>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570</v>
      </c>
      <c r="C9" s="4" t="s">
        <v>875</v>
      </c>
    </row>
    <row r="10" spans="2:3" x14ac:dyDescent="0.4">
      <c r="B10" t="s">
        <v>569</v>
      </c>
    </row>
    <row r="11" spans="2:3" x14ac:dyDescent="0.4">
      <c r="B11" t="s">
        <v>556</v>
      </c>
    </row>
    <row r="12" spans="2:3" x14ac:dyDescent="0.4">
      <c r="B12" t="s">
        <v>845</v>
      </c>
    </row>
    <row r="13" spans="2:3" x14ac:dyDescent="0.4">
      <c r="B13" t="s">
        <v>846</v>
      </c>
    </row>
    <row r="14" spans="2:3" x14ac:dyDescent="0.4">
      <c r="B14" t="s">
        <v>556</v>
      </c>
    </row>
    <row r="15" spans="2:3" x14ac:dyDescent="0.4">
      <c r="B15" t="s">
        <v>842</v>
      </c>
    </row>
    <row r="16" spans="2:3" x14ac:dyDescent="0.4">
      <c r="B16" t="s">
        <v>843</v>
      </c>
    </row>
    <row r="17" spans="2:9" x14ac:dyDescent="0.4">
      <c r="B17" t="s">
        <v>851</v>
      </c>
    </row>
    <row r="19" spans="2:9" x14ac:dyDescent="0.4">
      <c r="B19" t="s">
        <v>844</v>
      </c>
    </row>
    <row r="20" spans="2:9" x14ac:dyDescent="0.4">
      <c r="B20" t="s">
        <v>853</v>
      </c>
    </row>
    <row r="21" spans="2:9" x14ac:dyDescent="0.4">
      <c r="B21" t="s">
        <v>856</v>
      </c>
    </row>
    <row r="22" spans="2:9" x14ac:dyDescent="0.4">
      <c r="B22" t="s">
        <v>854</v>
      </c>
    </row>
    <row r="24" spans="2:9" x14ac:dyDescent="0.4">
      <c r="B24" t="s">
        <v>876</v>
      </c>
    </row>
    <row r="25" spans="2:9" x14ac:dyDescent="0.4">
      <c r="B25" t="s">
        <v>847</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865</v>
      </c>
    </row>
    <row r="31" spans="2:9" x14ac:dyDescent="0.4">
      <c r="B31" t="s">
        <v>848</v>
      </c>
    </row>
    <row r="33" spans="2:2" x14ac:dyDescent="0.4">
      <c r="B33" t="s">
        <v>877</v>
      </c>
    </row>
    <row r="34" spans="2:2" x14ac:dyDescent="0.4">
      <c r="B34" t="s">
        <v>864</v>
      </c>
    </row>
    <row r="35" spans="2:2" x14ac:dyDescent="0.4">
      <c r="B35" t="s">
        <v>863</v>
      </c>
    </row>
    <row r="36" spans="2:2" x14ac:dyDescent="0.4">
      <c r="B36" t="s">
        <v>862</v>
      </c>
    </row>
    <row r="38" spans="2:2" x14ac:dyDescent="0.4">
      <c r="B38" t="s">
        <v>878</v>
      </c>
    </row>
    <row r="39" spans="2:2" x14ac:dyDescent="0.4">
      <c r="B39" t="s">
        <v>849</v>
      </c>
    </row>
    <row r="40" spans="2:2" x14ac:dyDescent="0.4">
      <c r="B40" s="2" t="s">
        <v>561</v>
      </c>
    </row>
    <row r="41" spans="2:2" x14ac:dyDescent="0.4">
      <c r="B41" s="2" t="s">
        <v>591</v>
      </c>
    </row>
    <row r="42" spans="2:2" x14ac:dyDescent="0.4">
      <c r="B42" s="2" t="s">
        <v>562</v>
      </c>
    </row>
    <row r="43" spans="2:2" x14ac:dyDescent="0.4">
      <c r="B43" t="s">
        <v>857</v>
      </c>
    </row>
    <row r="44" spans="2:2" x14ac:dyDescent="0.4">
      <c r="B44" t="s">
        <v>858</v>
      </c>
    </row>
    <row r="45" spans="2:2" x14ac:dyDescent="0.4">
      <c r="B45" t="s">
        <v>859</v>
      </c>
    </row>
    <row r="46" spans="2:2" x14ac:dyDescent="0.4">
      <c r="B46" t="s">
        <v>860</v>
      </c>
    </row>
    <row r="47" spans="2:2" x14ac:dyDescent="0.4">
      <c r="B47" t="s">
        <v>861</v>
      </c>
    </row>
    <row r="49" spans="2:2" x14ac:dyDescent="0.4">
      <c r="B49" t="s">
        <v>556</v>
      </c>
    </row>
    <row r="50" spans="2:2" x14ac:dyDescent="0.4">
      <c r="B50" t="s">
        <v>841</v>
      </c>
    </row>
    <row r="51" spans="2:2" x14ac:dyDescent="0.4">
      <c r="B51" t="s">
        <v>850</v>
      </c>
    </row>
    <row r="52" spans="2:2" x14ac:dyDescent="0.4">
      <c r="B52" t="s">
        <v>556</v>
      </c>
    </row>
    <row r="53" spans="2:2" x14ac:dyDescent="0.4">
      <c r="B53" t="s">
        <v>842</v>
      </c>
    </row>
    <row r="54" spans="2:2" x14ac:dyDescent="0.4">
      <c r="B54" t="s">
        <v>843</v>
      </c>
    </row>
    <row r="55" spans="2:2" x14ac:dyDescent="0.4">
      <c r="B55" t="s">
        <v>851</v>
      </c>
    </row>
    <row r="57" spans="2:2" x14ac:dyDescent="0.4">
      <c r="B57" t="s">
        <v>844</v>
      </c>
    </row>
    <row r="58" spans="2:2" x14ac:dyDescent="0.4">
      <c r="B58" t="s">
        <v>853</v>
      </c>
    </row>
    <row r="59" spans="2:2" x14ac:dyDescent="0.4">
      <c r="B59" t="s">
        <v>856</v>
      </c>
    </row>
    <row r="60" spans="2:2" x14ac:dyDescent="0.4">
      <c r="B60" t="s">
        <v>854</v>
      </c>
    </row>
    <row r="62" spans="2:2" x14ac:dyDescent="0.4">
      <c r="B62" t="s">
        <v>879</v>
      </c>
    </row>
    <row r="63" spans="2:2" x14ac:dyDescent="0.4">
      <c r="B63" t="s">
        <v>852</v>
      </c>
    </row>
    <row r="64" spans="2:2" x14ac:dyDescent="0.4">
      <c r="B64" t="s">
        <v>855</v>
      </c>
    </row>
    <row r="66" spans="2:2" x14ac:dyDescent="0.4">
      <c r="B66" t="s">
        <v>880</v>
      </c>
    </row>
    <row r="67" spans="2:2" x14ac:dyDescent="0.4">
      <c r="B67" t="s">
        <v>866</v>
      </c>
    </row>
    <row r="68" spans="2:2" x14ac:dyDescent="0.4">
      <c r="B68" s="2" t="s">
        <v>561</v>
      </c>
    </row>
    <row r="69" spans="2:2" x14ac:dyDescent="0.4">
      <c r="B69" s="2" t="s">
        <v>591</v>
      </c>
    </row>
    <row r="70" spans="2:2" x14ac:dyDescent="0.4">
      <c r="B70" s="2" t="s">
        <v>562</v>
      </c>
    </row>
    <row r="71" spans="2:2" x14ac:dyDescent="0.4">
      <c r="B71" t="s">
        <v>857</v>
      </c>
    </row>
    <row r="72" spans="2:2" x14ac:dyDescent="0.4">
      <c r="B72" t="s">
        <v>867</v>
      </c>
    </row>
    <row r="73" spans="2:2" x14ac:dyDescent="0.4">
      <c r="B73" t="s">
        <v>859</v>
      </c>
    </row>
    <row r="74" spans="2:2" x14ac:dyDescent="0.4">
      <c r="B74" t="s">
        <v>860</v>
      </c>
    </row>
    <row r="75" spans="2:2" x14ac:dyDescent="0.4">
      <c r="B75" t="s">
        <v>868</v>
      </c>
    </row>
    <row r="77" spans="2:2" x14ac:dyDescent="0.4">
      <c r="B77" t="s">
        <v>563</v>
      </c>
    </row>
    <row r="78" spans="2:2" x14ac:dyDescent="0.4">
      <c r="B78" t="s">
        <v>564</v>
      </c>
    </row>
    <row r="79" spans="2:2" x14ac:dyDescent="0.4">
      <c r="B79" t="s">
        <v>592</v>
      </c>
    </row>
    <row r="80" spans="2:2" x14ac:dyDescent="0.4">
      <c r="B80" t="s">
        <v>869</v>
      </c>
    </row>
    <row r="81" spans="2:2" x14ac:dyDescent="0.4">
      <c r="B81" t="s">
        <v>870</v>
      </c>
    </row>
    <row r="82" spans="2:2" x14ac:dyDescent="0.4">
      <c r="B82" t="s">
        <v>565</v>
      </c>
    </row>
    <row r="84" spans="2:2" x14ac:dyDescent="0.4">
      <c r="B84" t="s">
        <v>566</v>
      </c>
    </row>
    <row r="85" spans="2:2" x14ac:dyDescent="0.4">
      <c r="B85" t="s">
        <v>567</v>
      </c>
    </row>
    <row r="86" spans="2:2" x14ac:dyDescent="0.4">
      <c r="B86" t="s">
        <v>568</v>
      </c>
    </row>
    <row r="88" spans="2:2" x14ac:dyDescent="0.4">
      <c r="B88" t="s">
        <v>881</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2026-06-08T05:46:00Z</dcterms:modified>
</cp:coreProperties>
</file>