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laude/Projects/FISCO/fisco-site/src/assets/downloads/"/>
    </mc:Choice>
  </mc:AlternateContent>
  <xr:revisionPtr revIDLastSave="1" documentId="8_{46AA4527-67B2-4F9F-91DF-DF6FBED13EFE}" xr6:coauthVersionLast="47" xr6:coauthVersionMax="47" xr10:uidLastSave="{212094F2-68E2-4D55-AFB6-F825CCEA0FA0}"/>
  <bookViews>
    <workbookView xWindow="-98" yWindow="-98" windowWidth="21795" windowHeight="12975"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Custom scenario tool" sheetId="77" r:id="rId8"/>
    <sheet name="Assessment" sheetId="64" r:id="rId9"/>
    <sheet name="Chart data" sheetId="65" r:id="rId10"/>
    <sheet name="Validation" sheetId="47" r:id="rId11"/>
    <sheet name="About FISCO" sheetId="4" r:id="rId12"/>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EscapeText" hidden="1" xlm="1">#NAME?</definedName>
    <definedName name="_xlpm.outturnSentence" hidden="1" xlm="1">#NAME?</definedName>
    <definedName name="_xlpm.outturnStatus" hidden="1" xlm="1">#NAME?</definedName>
    <definedName name="_xlpm.pGDP" hidden="1" xlm="1">#NAME?</definedName>
    <definedName name="_xlpm.plannedEscapeText" hidden="1" xlm="1">#NAME?</definedName>
    <definedName name="_xlpm.plannedSentence" hidden="1" xlm="1">#NAME?</definedName>
    <definedName name="_xlpm.plannedStatus"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1 - Set global parameters'!$B$13</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parameters'!$B$33</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1 - Set global parameters'!$B$10</definedName>
    <definedName name="MTP_BaseYearIsTminus2">Validation!$Q$12</definedName>
    <definedName name="MTP_Council_Endorsed">'Step 1 - Set global parameters'!$B$15</definedName>
    <definedName name="MTP_EndYear">Validation!$Q$2</definedName>
    <definedName name="MTP_PlanFirstYear">Validation!$Q$11</definedName>
    <definedName name="MTP_PlanningHorizon">'Step 1 - Set global parameters'!$B$12</definedName>
    <definedName name="MTP_Requirement">Assessment!$C$208</definedName>
    <definedName name="MTP_YearT">'Step 1 - Set global parameters'!$B$11</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1" i="64" l="1" a="1"/>
  <c r="C101" i="64" s="1"/>
  <c r="E63" i="77" a="1"/>
  <c r="E63" i="77" s="1"/>
  <c r="E5" i="77" a="1"/>
  <c r="E5" i="77" s="1"/>
  <c r="E34" i="74" a="1"/>
  <c r="E34" i="74" s="1"/>
  <c r="K51" i="77"/>
  <c r="L51" i="77"/>
  <c r="M51" i="77"/>
  <c r="K33" i="77"/>
  <c r="L33" i="77"/>
  <c r="M33" i="77"/>
  <c r="K30" i="77"/>
  <c r="K32" i="77" s="1"/>
  <c r="L30" i="77"/>
  <c r="L32" i="77" s="1"/>
  <c r="M30" i="77"/>
  <c r="M32" i="77" s="1"/>
  <c r="K13" i="77"/>
  <c r="L13" i="77"/>
  <c r="M13" i="77"/>
  <c r="E51" i="77"/>
  <c r="F51" i="77"/>
  <c r="G51" i="77"/>
  <c r="H51" i="77"/>
  <c r="I51" i="77"/>
  <c r="J51" i="77"/>
  <c r="D51" i="77"/>
  <c r="E33" i="77"/>
  <c r="F33" i="77"/>
  <c r="G33" i="77"/>
  <c r="H33" i="77"/>
  <c r="I33" i="77"/>
  <c r="J33" i="77"/>
  <c r="D33" i="77"/>
  <c r="E30" i="77"/>
  <c r="F30" i="77"/>
  <c r="F32" i="77" s="1"/>
  <c r="G30" i="77"/>
  <c r="G32" i="77" s="1"/>
  <c r="H30" i="77"/>
  <c r="H32" i="77" s="1"/>
  <c r="I30" i="77"/>
  <c r="I32" i="77" s="1"/>
  <c r="J30" i="77"/>
  <c r="J32" i="77" s="1"/>
  <c r="D30" i="77"/>
  <c r="E13" i="77"/>
  <c r="E15" i="77" s="1"/>
  <c r="F13" i="77"/>
  <c r="F15" i="77" s="1"/>
  <c r="G13" i="77"/>
  <c r="G15" i="77" s="1"/>
  <c r="H13" i="77"/>
  <c r="H15" i="77" s="1"/>
  <c r="I13" i="77"/>
  <c r="I15" i="77" s="1"/>
  <c r="J13" i="77"/>
  <c r="D63" i="77"/>
  <c r="D5" i="77"/>
  <c r="D13" i="77"/>
  <c r="D15" i="77" s="1"/>
  <c r="E12" i="21"/>
  <c r="Q12" i="47"/>
  <c r="D33" i="17" a="1"/>
  <c r="D33" i="17" s="1"/>
  <c r="M40" i="77" l="1"/>
  <c r="M41" i="77" s="1"/>
  <c r="M49" i="77" s="1"/>
  <c r="M54" i="77" s="1"/>
  <c r="L40" i="77"/>
  <c r="L41" i="77" s="1"/>
  <c r="L49" i="77" s="1"/>
  <c r="L54" i="77" s="1"/>
  <c r="K40" i="77"/>
  <c r="K41" i="77" s="1"/>
  <c r="K49" i="77" s="1"/>
  <c r="K54" i="77" s="1"/>
  <c r="M36" i="77"/>
  <c r="E35" i="74" a="1"/>
  <c r="E35" i="74" s="1"/>
  <c r="E40" i="77"/>
  <c r="E41" i="77" s="1"/>
  <c r="E49" i="77" s="1"/>
  <c r="E54" i="77" s="1"/>
  <c r="J40" i="77"/>
  <c r="J41" i="77" s="1"/>
  <c r="J49" i="77" s="1"/>
  <c r="J54" i="77" s="1"/>
  <c r="L36" i="77"/>
  <c r="K36" i="77"/>
  <c r="J15" i="77"/>
  <c r="M15" i="77"/>
  <c r="L15" i="77"/>
  <c r="K15" i="77"/>
  <c r="D40" i="77"/>
  <c r="D41" i="77" s="1"/>
  <c r="D49" i="77" s="1"/>
  <c r="D54" i="77" s="1"/>
  <c r="E32" i="77"/>
  <c r="E36" i="77" s="1"/>
  <c r="I40" i="77"/>
  <c r="I41" i="77" s="1"/>
  <c r="I49" i="77" s="1"/>
  <c r="I54" i="77" s="1"/>
  <c r="F40" i="77"/>
  <c r="F41" i="77" s="1"/>
  <c r="F49" i="77" s="1"/>
  <c r="F54" i="77" s="1"/>
  <c r="H40" i="77"/>
  <c r="H41" i="77" s="1"/>
  <c r="H49" i="77" s="1"/>
  <c r="H54" i="77" s="1"/>
  <c r="G40" i="77"/>
  <c r="G41" i="77" s="1"/>
  <c r="G49" i="77" s="1"/>
  <c r="G54" i="77" s="1"/>
  <c r="F36" i="77"/>
  <c r="J36" i="77"/>
  <c r="I36" i="77"/>
  <c r="H36" i="77"/>
  <c r="G36" i="77"/>
  <c r="D32" i="77"/>
  <c r="D36" i="77" s="1"/>
  <c r="B70" i="76" l="1"/>
  <c r="B72" i="76"/>
  <c r="B74" i="76"/>
  <c r="B75" i="76"/>
  <c r="B76" i="76"/>
  <c r="B77" i="76"/>
  <c r="C88" i="65" l="1"/>
  <c r="B133" i="64"/>
  <c r="B134" i="64"/>
  <c r="B43" i="76" s="1"/>
  <c r="H145" i="64"/>
  <c r="I145" i="64"/>
  <c r="J145" i="64"/>
  <c r="H146" i="64"/>
  <c r="I146" i="64"/>
  <c r="J146" i="64"/>
  <c r="H147" i="64"/>
  <c r="I147" i="64"/>
  <c r="J147" i="64"/>
  <c r="E147" i="64"/>
  <c r="D21" i="76" a="1"/>
  <c r="D21" i="76" s="1"/>
  <c r="D105" i="64" a="1"/>
  <c r="K6" i="64"/>
  <c r="K7" i="64"/>
  <c r="K8" i="64"/>
  <c r="K9" i="64"/>
  <c r="K10" i="64"/>
  <c r="K11" i="64"/>
  <c r="K12" i="64"/>
  <c r="K13" i="64"/>
  <c r="K14" i="64"/>
  <c r="K15" i="64"/>
  <c r="K16" i="64"/>
  <c r="K17" i="64"/>
  <c r="K18" i="64"/>
  <c r="K19" i="64"/>
  <c r="K20" i="64"/>
  <c r="K21" i="64"/>
  <c r="K22" i="64"/>
  <c r="K23" i="64"/>
  <c r="K24" i="64"/>
  <c r="K25" i="64"/>
  <c r="K26" i="64"/>
  <c r="K27" i="64"/>
  <c r="V4" i="17" a="1"/>
  <c r="E189" i="17"/>
  <c r="F189" i="17"/>
  <c r="G189" i="17"/>
  <c r="H189" i="17"/>
  <c r="I189" i="17"/>
  <c r="J189" i="17"/>
  <c r="K189" i="17"/>
  <c r="L189" i="17"/>
  <c r="M189" i="17"/>
  <c r="N189" i="17"/>
  <c r="O189" i="17"/>
  <c r="D189" i="17"/>
  <c r="B8" i="21"/>
  <c r="B7" i="21" a="1"/>
  <c r="B7" i="21" s="1"/>
  <c r="Q8" i="47"/>
  <c r="H120" i="64" l="1"/>
  <c r="H35" i="76" s="1"/>
  <c r="I120" i="64"/>
  <c r="I35" i="76" s="1"/>
  <c r="J120" i="64"/>
  <c r="J35" i="76" s="1"/>
  <c r="D105" i="64"/>
  <c r="D106" i="64" a="1"/>
  <c r="D106" i="64" s="1"/>
  <c r="V4" i="17"/>
  <c r="D33" i="75"/>
  <c r="C220" i="64"/>
  <c r="B1" i="21"/>
  <c r="B3" i="76"/>
  <c r="B4" i="21"/>
  <c r="E5" i="69"/>
  <c r="C213" i="64"/>
  <c r="C214" i="64" s="1"/>
  <c r="B196" i="64"/>
  <c r="C215" i="64" l="1"/>
  <c r="C217" i="64" s="1"/>
  <c r="F10" i="21" s="1"/>
  <c r="Q9" i="47"/>
  <c r="D29" i="75"/>
  <c r="B44" i="75"/>
  <c r="C216" i="64" l="1"/>
  <c r="E10" i="21" s="1"/>
  <c r="D10" i="21" s="1"/>
  <c r="E27" i="75"/>
  <c r="F27" i="75"/>
  <c r="G27" i="75"/>
  <c r="H27" i="75"/>
  <c r="I27" i="75"/>
  <c r="J27" i="75"/>
  <c r="K27" i="75"/>
  <c r="L27" i="75"/>
  <c r="M27" i="75"/>
  <c r="N27" i="75"/>
  <c r="O27" i="75"/>
  <c r="P27" i="75"/>
  <c r="Q27" i="75"/>
  <c r="R27" i="75"/>
  <c r="S27" i="75"/>
  <c r="D27" i="75"/>
  <c r="E25" i="75"/>
  <c r="F25" i="75"/>
  <c r="G25" i="75"/>
  <c r="H25" i="75"/>
  <c r="I25" i="75"/>
  <c r="J25" i="75"/>
  <c r="K25" i="75"/>
  <c r="L25" i="75"/>
  <c r="M25" i="75"/>
  <c r="N25" i="75"/>
  <c r="O25" i="75"/>
  <c r="P25" i="75"/>
  <c r="Q25" i="75"/>
  <c r="R25" i="75"/>
  <c r="S25" i="75"/>
  <c r="D25" i="75"/>
  <c r="E32" i="75" l="1"/>
  <c r="F32" i="75"/>
  <c r="G32" i="75"/>
  <c r="H32" i="75"/>
  <c r="I32" i="75"/>
  <c r="J32" i="75"/>
  <c r="K32" i="75"/>
  <c r="L32" i="75"/>
  <c r="M32" i="75"/>
  <c r="N32" i="75"/>
  <c r="O32" i="75"/>
  <c r="P32" i="75"/>
  <c r="Q32" i="75"/>
  <c r="R32" i="75"/>
  <c r="S32" i="75"/>
  <c r="D32" i="75"/>
  <c r="E31" i="75"/>
  <c r="F31" i="75"/>
  <c r="G31" i="75"/>
  <c r="H31" i="75"/>
  <c r="I31" i="75"/>
  <c r="J31" i="75"/>
  <c r="K31" i="75"/>
  <c r="L31" i="75"/>
  <c r="M31" i="75"/>
  <c r="N31" i="75"/>
  <c r="O31" i="75"/>
  <c r="P31" i="75"/>
  <c r="Q31" i="75"/>
  <c r="R31" i="75"/>
  <c r="S31" i="75"/>
  <c r="D31" i="75"/>
  <c r="E30" i="75"/>
  <c r="F30" i="75"/>
  <c r="G30" i="75"/>
  <c r="H30" i="75"/>
  <c r="I30" i="75"/>
  <c r="J30" i="75"/>
  <c r="K30" i="75"/>
  <c r="L30" i="75"/>
  <c r="M30" i="75"/>
  <c r="N30" i="75"/>
  <c r="O30" i="75"/>
  <c r="P30" i="75"/>
  <c r="Q30" i="75"/>
  <c r="R30" i="75"/>
  <c r="S30" i="75"/>
  <c r="D30" i="75"/>
  <c r="E29" i="75"/>
  <c r="F29" i="75"/>
  <c r="G29" i="75"/>
  <c r="H29" i="75"/>
  <c r="I29" i="75"/>
  <c r="J29" i="75"/>
  <c r="K29" i="75"/>
  <c r="L29" i="75"/>
  <c r="M29" i="75"/>
  <c r="N29" i="75"/>
  <c r="O29" i="75"/>
  <c r="P29" i="75"/>
  <c r="Q29" i="75"/>
  <c r="R29" i="75"/>
  <c r="S29" i="75"/>
  <c r="E16" i="75"/>
  <c r="F16" i="75"/>
  <c r="G16" i="75"/>
  <c r="H16" i="75"/>
  <c r="I16" i="75"/>
  <c r="D16" i="75"/>
  <c r="I15" i="75"/>
  <c r="H15" i="75"/>
  <c r="G15" i="75"/>
  <c r="F15" i="75"/>
  <c r="E15" i="75"/>
  <c r="D15" i="75"/>
  <c r="E14" i="75"/>
  <c r="F14" i="75"/>
  <c r="G14" i="75"/>
  <c r="H14" i="75"/>
  <c r="I14" i="75"/>
  <c r="D14" i="75"/>
  <c r="E13" i="75"/>
  <c r="F13" i="75"/>
  <c r="G13" i="75"/>
  <c r="H13" i="75"/>
  <c r="I13" i="75"/>
  <c r="D13" i="75"/>
  <c r="E12" i="75"/>
  <c r="F12" i="75"/>
  <c r="G12" i="75"/>
  <c r="H12" i="75"/>
  <c r="I12" i="75"/>
  <c r="D12" i="75"/>
  <c r="E11" i="75"/>
  <c r="F11" i="75"/>
  <c r="G11" i="75"/>
  <c r="H11" i="75"/>
  <c r="I11" i="75"/>
  <c r="D11" i="75"/>
  <c r="E10" i="75"/>
  <c r="F10" i="75"/>
  <c r="G10" i="75"/>
  <c r="H10" i="75"/>
  <c r="I10" i="75"/>
  <c r="D10" i="75"/>
  <c r="E9" i="75"/>
  <c r="F9" i="75"/>
  <c r="G9" i="75"/>
  <c r="H9" i="75"/>
  <c r="I9" i="75"/>
  <c r="D9" i="75"/>
  <c r="E8" i="75"/>
  <c r="F8" i="75"/>
  <c r="G8" i="75"/>
  <c r="H8" i="75"/>
  <c r="I8" i="75"/>
  <c r="D8" i="75"/>
  <c r="E7" i="75"/>
  <c r="F7" i="75"/>
  <c r="G7" i="75"/>
  <c r="H7" i="75"/>
  <c r="I7" i="75"/>
  <c r="D7" i="75"/>
  <c r="F6" i="75"/>
  <c r="G6" i="75"/>
  <c r="H6" i="75"/>
  <c r="I6" i="75"/>
  <c r="E6" i="75"/>
  <c r="D128" i="75" l="1"/>
  <c r="D70" i="75"/>
  <c r="S18" i="75"/>
  <c r="B2" i="64" l="1"/>
  <c r="B29" i="64"/>
  <c r="B30" i="17" l="1"/>
  <c r="L115" i="17" l="1"/>
  <c r="M115" i="17"/>
  <c r="N115" i="17"/>
  <c r="O115" i="17"/>
  <c r="P115" i="17"/>
  <c r="Q115" i="17"/>
  <c r="R116" i="17"/>
  <c r="S116" i="17"/>
  <c r="T116" i="17"/>
  <c r="U116" i="17"/>
  <c r="V116" i="17"/>
  <c r="W116" i="17"/>
  <c r="X116" i="17"/>
  <c r="Y116" i="17"/>
  <c r="Z116" i="17"/>
  <c r="L116" i="17"/>
  <c r="M116" i="17"/>
  <c r="N116" i="17"/>
  <c r="O116" i="17"/>
  <c r="P116" i="17"/>
  <c r="Q116" i="17"/>
  <c r="R117" i="17"/>
  <c r="S117" i="17"/>
  <c r="T117" i="17"/>
  <c r="U117" i="17"/>
  <c r="V117" i="17"/>
  <c r="W117" i="17"/>
  <c r="X117" i="17"/>
  <c r="Y117" i="17"/>
  <c r="Z117" i="17"/>
  <c r="L126" i="17"/>
  <c r="M126" i="17"/>
  <c r="N126" i="17"/>
  <c r="O126" i="17"/>
  <c r="P126" i="17"/>
  <c r="Q126" i="17"/>
  <c r="R127" i="17"/>
  <c r="S127" i="17"/>
  <c r="T127" i="17"/>
  <c r="U127" i="17"/>
  <c r="V127" i="17"/>
  <c r="W127" i="17"/>
  <c r="X127" i="17"/>
  <c r="Y127" i="17"/>
  <c r="Z127" i="17"/>
  <c r="L132" i="17"/>
  <c r="M132" i="17"/>
  <c r="N132" i="17"/>
  <c r="O132" i="17"/>
  <c r="P132" i="17"/>
  <c r="Q132" i="17"/>
  <c r="R133" i="17"/>
  <c r="S133" i="17"/>
  <c r="T133" i="17"/>
  <c r="U133" i="17"/>
  <c r="V133" i="17"/>
  <c r="W133" i="17"/>
  <c r="X133" i="17"/>
  <c r="Y133" i="17"/>
  <c r="Z133" i="17"/>
  <c r="L133" i="17"/>
  <c r="M133" i="17"/>
  <c r="N133" i="17"/>
  <c r="O133" i="17"/>
  <c r="P133" i="17"/>
  <c r="Q133" i="17"/>
  <c r="R134" i="17"/>
  <c r="S134" i="17"/>
  <c r="T134" i="17"/>
  <c r="U134" i="17"/>
  <c r="V134" i="17"/>
  <c r="W134" i="17"/>
  <c r="X134" i="17"/>
  <c r="Y134" i="17"/>
  <c r="Z134" i="17"/>
  <c r="L142" i="17"/>
  <c r="M142" i="17"/>
  <c r="N142" i="17"/>
  <c r="O142" i="17"/>
  <c r="P142" i="17"/>
  <c r="Q142" i="17"/>
  <c r="R143" i="17"/>
  <c r="S143" i="17"/>
  <c r="T143" i="17"/>
  <c r="U143" i="17"/>
  <c r="V143" i="17"/>
  <c r="W143" i="17"/>
  <c r="X143" i="17"/>
  <c r="Y143" i="17"/>
  <c r="Z143" i="17"/>
  <c r="L143" i="17"/>
  <c r="M143" i="17"/>
  <c r="N143" i="17"/>
  <c r="O143" i="17"/>
  <c r="P143" i="17"/>
  <c r="Q143" i="17"/>
  <c r="R144" i="17"/>
  <c r="S144" i="17"/>
  <c r="T144" i="17"/>
  <c r="U144" i="17"/>
  <c r="V144" i="17"/>
  <c r="W144" i="17"/>
  <c r="X144" i="17"/>
  <c r="Y144" i="17"/>
  <c r="Z144" i="17"/>
  <c r="L149" i="17"/>
  <c r="M149" i="17"/>
  <c r="N149" i="17"/>
  <c r="O149" i="17"/>
  <c r="P149" i="17"/>
  <c r="Q149" i="17"/>
  <c r="R150" i="17"/>
  <c r="S150" i="17"/>
  <c r="T150" i="17"/>
  <c r="U150" i="17"/>
  <c r="V150" i="17"/>
  <c r="W150" i="17"/>
  <c r="X150" i="17"/>
  <c r="Y150" i="17"/>
  <c r="Z150" i="17"/>
  <c r="L151" i="17"/>
  <c r="M151" i="17"/>
  <c r="N151" i="17"/>
  <c r="O151" i="17"/>
  <c r="P151" i="17"/>
  <c r="Q151" i="17"/>
  <c r="R152" i="17"/>
  <c r="S152" i="17"/>
  <c r="T152" i="17"/>
  <c r="U152" i="17"/>
  <c r="V152" i="17"/>
  <c r="W152" i="17"/>
  <c r="X152" i="17"/>
  <c r="Y152" i="17"/>
  <c r="Z152" i="17"/>
  <c r="L152" i="17"/>
  <c r="M152" i="17"/>
  <c r="N152" i="17"/>
  <c r="O152" i="17"/>
  <c r="P152" i="17"/>
  <c r="Q152" i="17"/>
  <c r="R153" i="17"/>
  <c r="S153" i="17"/>
  <c r="T153" i="17"/>
  <c r="U153" i="17"/>
  <c r="V153" i="17"/>
  <c r="W153" i="17"/>
  <c r="X153" i="17"/>
  <c r="Y153" i="17"/>
  <c r="Z153" i="17"/>
  <c r="L160" i="17"/>
  <c r="M160" i="17"/>
  <c r="N160" i="17"/>
  <c r="O160" i="17"/>
  <c r="P160" i="17"/>
  <c r="P106" i="17" s="1"/>
  <c r="Q160" i="17"/>
  <c r="Q106" i="17" s="1"/>
  <c r="R161" i="17"/>
  <c r="R107" i="17" s="1"/>
  <c r="S161" i="17"/>
  <c r="S107" i="17" s="1"/>
  <c r="T161" i="17"/>
  <c r="T107" i="17" s="1"/>
  <c r="U161" i="17"/>
  <c r="U107" i="17" s="1"/>
  <c r="V161" i="17"/>
  <c r="W161" i="17"/>
  <c r="W107" i="17" s="1"/>
  <c r="X161" i="17"/>
  <c r="X107" i="17" s="1"/>
  <c r="Y161" i="17"/>
  <c r="Y107" i="17" s="1"/>
  <c r="Z161" i="17"/>
  <c r="L161" i="17"/>
  <c r="L107" i="17" s="1"/>
  <c r="M161" i="17"/>
  <c r="M107" i="17" s="1"/>
  <c r="N161" i="17"/>
  <c r="N107" i="17" s="1"/>
  <c r="O161" i="17"/>
  <c r="O107" i="17" s="1"/>
  <c r="P161" i="17"/>
  <c r="P107" i="17" s="1"/>
  <c r="Q161" i="17"/>
  <c r="Q107" i="17" s="1"/>
  <c r="R162" i="17"/>
  <c r="R108" i="17" s="1"/>
  <c r="S162" i="17"/>
  <c r="S108" i="17" s="1"/>
  <c r="T162" i="17"/>
  <c r="T108" i="17" s="1"/>
  <c r="U162" i="17"/>
  <c r="U108" i="17" s="1"/>
  <c r="V162" i="17"/>
  <c r="V108" i="17" s="1"/>
  <c r="W162" i="17"/>
  <c r="X162" i="17"/>
  <c r="X108" i="17" s="1"/>
  <c r="Y162" i="17"/>
  <c r="Y108" i="17" s="1"/>
  <c r="Z162" i="17"/>
  <c r="Z108" i="17" s="1"/>
  <c r="L162" i="17"/>
  <c r="L108" i="17" s="1"/>
  <c r="M162" i="17"/>
  <c r="M108" i="17" s="1"/>
  <c r="N162" i="17"/>
  <c r="N108" i="17" s="1"/>
  <c r="O162" i="17"/>
  <c r="O108" i="17" s="1"/>
  <c r="P162" i="17"/>
  <c r="P108" i="17" s="1"/>
  <c r="Q162" i="17"/>
  <c r="Q108" i="17" s="1"/>
  <c r="R163" i="17"/>
  <c r="R109" i="17" s="1"/>
  <c r="S163" i="17"/>
  <c r="S109" i="17" s="1"/>
  <c r="T163" i="17"/>
  <c r="T109" i="17" s="1"/>
  <c r="U163" i="17"/>
  <c r="U109" i="17" s="1"/>
  <c r="V163" i="17"/>
  <c r="V109" i="17" s="1"/>
  <c r="W163" i="17"/>
  <c r="W109" i="17" s="1"/>
  <c r="X163" i="17"/>
  <c r="Y163" i="17"/>
  <c r="Y109" i="17" s="1"/>
  <c r="Z163" i="17"/>
  <c r="Z109" i="17" s="1"/>
  <c r="L163" i="17"/>
  <c r="L109" i="17" s="1"/>
  <c r="M163" i="17"/>
  <c r="M109" i="17" s="1"/>
  <c r="N163" i="17"/>
  <c r="N109" i="17" s="1"/>
  <c r="O163" i="17"/>
  <c r="O109" i="17" s="1"/>
  <c r="P163" i="17"/>
  <c r="P109" i="17" s="1"/>
  <c r="Q163" i="17"/>
  <c r="Q109" i="17" s="1"/>
  <c r="R164" i="17"/>
  <c r="R110" i="17" s="1"/>
  <c r="S164" i="17"/>
  <c r="S110" i="17" s="1"/>
  <c r="T164" i="17"/>
  <c r="T110" i="17" s="1"/>
  <c r="U164" i="17"/>
  <c r="U110" i="17" s="1"/>
  <c r="V164" i="17"/>
  <c r="V110" i="17" s="1"/>
  <c r="W164" i="17"/>
  <c r="W110" i="17" s="1"/>
  <c r="X164" i="17"/>
  <c r="X110" i="17" s="1"/>
  <c r="Y164" i="17"/>
  <c r="Z164" i="17"/>
  <c r="Z110" i="17" s="1"/>
  <c r="L164" i="17"/>
  <c r="L110" i="17" s="1"/>
  <c r="M164" i="17"/>
  <c r="M110" i="17" s="1"/>
  <c r="N164" i="17"/>
  <c r="N110" i="17" s="1"/>
  <c r="O164" i="17"/>
  <c r="O110" i="17" s="1"/>
  <c r="P164" i="17"/>
  <c r="P110" i="17" s="1"/>
  <c r="Q164" i="17"/>
  <c r="Q110" i="17" s="1"/>
  <c r="R165" i="17"/>
  <c r="R111" i="17" s="1"/>
  <c r="S165" i="17"/>
  <c r="S111" i="17" s="1"/>
  <c r="T165" i="17"/>
  <c r="T111" i="17" s="1"/>
  <c r="U165" i="17"/>
  <c r="U111" i="17" s="1"/>
  <c r="V165" i="17"/>
  <c r="V111" i="17" s="1"/>
  <c r="W165" i="17"/>
  <c r="W111" i="17" s="1"/>
  <c r="X165" i="17"/>
  <c r="X111" i="17" s="1"/>
  <c r="Y165" i="17"/>
  <c r="Y111" i="17" s="1"/>
  <c r="Z165" i="17"/>
  <c r="Z111" i="17" s="1"/>
  <c r="L165" i="17"/>
  <c r="L111" i="17" s="1"/>
  <c r="M165" i="17"/>
  <c r="M111" i="17" s="1"/>
  <c r="N165" i="17"/>
  <c r="N111" i="17" s="1"/>
  <c r="O165" i="17"/>
  <c r="O111" i="17" s="1"/>
  <c r="P165" i="17"/>
  <c r="P111" i="17" s="1"/>
  <c r="Q165" i="17"/>
  <c r="Q111" i="17" s="1"/>
  <c r="R166" i="17"/>
  <c r="R112" i="17" s="1"/>
  <c r="S166" i="17"/>
  <c r="S112" i="17" s="1"/>
  <c r="T166" i="17"/>
  <c r="T112" i="17" s="1"/>
  <c r="U166" i="17"/>
  <c r="U112" i="17" s="1"/>
  <c r="V166" i="17"/>
  <c r="V112" i="17" s="1"/>
  <c r="W166" i="17"/>
  <c r="W112" i="17" s="1"/>
  <c r="X166" i="17"/>
  <c r="X112" i="17" s="1"/>
  <c r="Y166" i="17"/>
  <c r="Y112" i="17" s="1"/>
  <c r="Z166" i="17"/>
  <c r="Z112" i="17" s="1"/>
  <c r="L167" i="17"/>
  <c r="L113" i="17" s="1"/>
  <c r="M167" i="17"/>
  <c r="M113" i="17" s="1"/>
  <c r="N167" i="17"/>
  <c r="N113" i="17" s="1"/>
  <c r="O167" i="17"/>
  <c r="O113" i="17" s="1"/>
  <c r="P167" i="17"/>
  <c r="P113" i="17" s="1"/>
  <c r="Q167" i="17"/>
  <c r="Q113" i="17" s="1"/>
  <c r="R168" i="17"/>
  <c r="R114" i="17" s="1"/>
  <c r="S168" i="17"/>
  <c r="S114" i="17" s="1"/>
  <c r="T168" i="17"/>
  <c r="T114" i="17" s="1"/>
  <c r="U168" i="17"/>
  <c r="U114" i="17" s="1"/>
  <c r="V168" i="17"/>
  <c r="V114" i="17" s="1"/>
  <c r="W168" i="17"/>
  <c r="W114" i="17" s="1"/>
  <c r="X168" i="17"/>
  <c r="X114" i="17" s="1"/>
  <c r="Y168" i="17"/>
  <c r="Y114" i="17" s="1"/>
  <c r="Z168" i="17"/>
  <c r="Z114" i="17" s="1"/>
  <c r="L173" i="17"/>
  <c r="M173" i="17"/>
  <c r="M118" i="17" s="1"/>
  <c r="N173" i="17"/>
  <c r="N118" i="17" s="1"/>
  <c r="O173" i="17"/>
  <c r="O118" i="17" s="1"/>
  <c r="P173" i="17"/>
  <c r="Q173" i="17"/>
  <c r="Q118" i="17" s="1"/>
  <c r="R174" i="17"/>
  <c r="R119" i="17" s="1"/>
  <c r="S174" i="17"/>
  <c r="S119" i="17" s="1"/>
  <c r="T174" i="17"/>
  <c r="T119" i="17" s="1"/>
  <c r="U174" i="17"/>
  <c r="U119" i="17" s="1"/>
  <c r="V174" i="17"/>
  <c r="V119" i="17" s="1"/>
  <c r="W174" i="17"/>
  <c r="X174" i="17"/>
  <c r="Y174" i="17"/>
  <c r="Z174" i="17"/>
  <c r="Z119" i="17" s="1"/>
  <c r="L174" i="17"/>
  <c r="L119" i="17" s="1"/>
  <c r="M174" i="17"/>
  <c r="M119" i="17" s="1"/>
  <c r="N174" i="17"/>
  <c r="N119" i="17" s="1"/>
  <c r="O174" i="17"/>
  <c r="O119" i="17" s="1"/>
  <c r="P174" i="17"/>
  <c r="P119" i="17" s="1"/>
  <c r="Q174" i="17"/>
  <c r="Q119" i="17" s="1"/>
  <c r="R175" i="17"/>
  <c r="R120" i="17" s="1"/>
  <c r="S175" i="17"/>
  <c r="S120" i="17" s="1"/>
  <c r="T175" i="17"/>
  <c r="T120" i="17" s="1"/>
  <c r="U175" i="17"/>
  <c r="V175" i="17"/>
  <c r="V120" i="17" s="1"/>
  <c r="W175" i="17"/>
  <c r="W120" i="17" s="1"/>
  <c r="X175" i="17"/>
  <c r="X120" i="17" s="1"/>
  <c r="Y175" i="17"/>
  <c r="Y120" i="17" s="1"/>
  <c r="Z175" i="17"/>
  <c r="Z120" i="17" s="1"/>
  <c r="L175" i="17"/>
  <c r="L120" i="17" s="1"/>
  <c r="M175" i="17"/>
  <c r="M120" i="17" s="1"/>
  <c r="N175" i="17"/>
  <c r="O175" i="17"/>
  <c r="O205" i="17" s="1"/>
  <c r="O150" i="17" s="1"/>
  <c r="P175" i="17"/>
  <c r="P205" i="17" s="1"/>
  <c r="P150" i="17" s="1"/>
  <c r="Q175" i="17"/>
  <c r="Q205" i="17" s="1"/>
  <c r="Q150" i="17" s="1"/>
  <c r="R176" i="17"/>
  <c r="R206" i="17" s="1"/>
  <c r="R151" i="17" s="1"/>
  <c r="S176" i="17"/>
  <c r="S206" i="17" s="1"/>
  <c r="S151" i="17" s="1"/>
  <c r="T176" i="17"/>
  <c r="T121" i="17" s="1"/>
  <c r="U176" i="17"/>
  <c r="U121" i="17" s="1"/>
  <c r="V176" i="17"/>
  <c r="V121" i="17" s="1"/>
  <c r="W176" i="17"/>
  <c r="W121" i="17" s="1"/>
  <c r="X176" i="17"/>
  <c r="X121" i="17" s="1"/>
  <c r="Y176" i="17"/>
  <c r="Y121" i="17" s="1"/>
  <c r="Z176" i="17"/>
  <c r="L176" i="17"/>
  <c r="L121" i="17" s="1"/>
  <c r="M176" i="17"/>
  <c r="M121" i="17" s="1"/>
  <c r="N176" i="17"/>
  <c r="N121" i="17" s="1"/>
  <c r="O176" i="17"/>
  <c r="P176" i="17"/>
  <c r="P121" i="17" s="1"/>
  <c r="Q176" i="17"/>
  <c r="Q121" i="17" s="1"/>
  <c r="R177" i="17"/>
  <c r="R122" i="17" s="1"/>
  <c r="S177" i="17"/>
  <c r="S122" i="17" s="1"/>
  <c r="T177" i="17"/>
  <c r="T122" i="17" s="1"/>
  <c r="U177" i="17"/>
  <c r="U122" i="17" s="1"/>
  <c r="V177" i="17"/>
  <c r="V122" i="17" s="1"/>
  <c r="W177" i="17"/>
  <c r="W122" i="17" s="1"/>
  <c r="X177" i="17"/>
  <c r="X122" i="17" s="1"/>
  <c r="Y177" i="17"/>
  <c r="Y122" i="17" s="1"/>
  <c r="Z177" i="17"/>
  <c r="Z122" i="17" s="1"/>
  <c r="L177" i="17"/>
  <c r="L122" i="17" s="1"/>
  <c r="M177" i="17"/>
  <c r="M122" i="17" s="1"/>
  <c r="N177" i="17"/>
  <c r="N122" i="17" s="1"/>
  <c r="O177" i="17"/>
  <c r="O122" i="17" s="1"/>
  <c r="P177" i="17"/>
  <c r="P122" i="17" s="1"/>
  <c r="Q177" i="17"/>
  <c r="Q122" i="17" s="1"/>
  <c r="R178" i="17"/>
  <c r="R123" i="17" s="1"/>
  <c r="S178" i="17"/>
  <c r="S123" i="17" s="1"/>
  <c r="T178" i="17"/>
  <c r="T123" i="17" s="1"/>
  <c r="U178" i="17"/>
  <c r="U123" i="17" s="1"/>
  <c r="V178" i="17"/>
  <c r="V123" i="17" s="1"/>
  <c r="W178" i="17"/>
  <c r="W123" i="17" s="1"/>
  <c r="X178" i="17"/>
  <c r="X123" i="17" s="1"/>
  <c r="Y178" i="17"/>
  <c r="Y123" i="17" s="1"/>
  <c r="Z178" i="17"/>
  <c r="Z123" i="17" s="1"/>
  <c r="L178" i="17"/>
  <c r="L123" i="17" s="1"/>
  <c r="M178" i="17"/>
  <c r="M123" i="17" s="1"/>
  <c r="N178" i="17"/>
  <c r="N123" i="17" s="1"/>
  <c r="O178" i="17"/>
  <c r="O123" i="17" s="1"/>
  <c r="P178" i="17"/>
  <c r="P123" i="17" s="1"/>
  <c r="Q178" i="17"/>
  <c r="Q123" i="17" s="1"/>
  <c r="R179" i="17"/>
  <c r="R124" i="17" s="1"/>
  <c r="S179" i="17"/>
  <c r="S124" i="17" s="1"/>
  <c r="T179" i="17"/>
  <c r="T124" i="17" s="1"/>
  <c r="U179" i="17"/>
  <c r="U124" i="17" s="1"/>
  <c r="V179" i="17"/>
  <c r="V124" i="17" s="1"/>
  <c r="W179" i="17"/>
  <c r="W124" i="17" s="1"/>
  <c r="X179" i="17"/>
  <c r="X124" i="17" s="1"/>
  <c r="Y179" i="17"/>
  <c r="Y124" i="17" s="1"/>
  <c r="Z179" i="17"/>
  <c r="Z124" i="17" s="1"/>
  <c r="L179" i="17"/>
  <c r="L124" i="17" s="1"/>
  <c r="M179" i="17"/>
  <c r="M124" i="17" s="1"/>
  <c r="N179" i="17"/>
  <c r="N124" i="17" s="1"/>
  <c r="O179" i="17"/>
  <c r="O124" i="17" s="1"/>
  <c r="P179" i="17"/>
  <c r="P124" i="17" s="1"/>
  <c r="Q179" i="17"/>
  <c r="Q124" i="17" s="1"/>
  <c r="R180" i="17"/>
  <c r="R125" i="17" s="1"/>
  <c r="S180" i="17"/>
  <c r="S125" i="17" s="1"/>
  <c r="T180" i="17"/>
  <c r="T125" i="17" s="1"/>
  <c r="U180" i="17"/>
  <c r="U125" i="17" s="1"/>
  <c r="V180" i="17"/>
  <c r="V125" i="17" s="1"/>
  <c r="W180" i="17"/>
  <c r="W125" i="17" s="1"/>
  <c r="X180" i="17"/>
  <c r="X125" i="17" s="1"/>
  <c r="Y180" i="17"/>
  <c r="Y125" i="17" s="1"/>
  <c r="Z180" i="17"/>
  <c r="Z125" i="17" s="1"/>
  <c r="L180" i="17"/>
  <c r="L125" i="17" s="1"/>
  <c r="M180" i="17"/>
  <c r="M125" i="17" s="1"/>
  <c r="N180" i="17"/>
  <c r="N125" i="17" s="1"/>
  <c r="O180" i="17"/>
  <c r="O125" i="17" s="1"/>
  <c r="P180" i="17"/>
  <c r="P125" i="17" s="1"/>
  <c r="Q180" i="17"/>
  <c r="Q125" i="17" s="1"/>
  <c r="R181" i="17"/>
  <c r="R126" i="17" s="1"/>
  <c r="S181" i="17"/>
  <c r="S126" i="17" s="1"/>
  <c r="T181" i="17"/>
  <c r="T126" i="17" s="1"/>
  <c r="U181" i="17"/>
  <c r="U126" i="17" s="1"/>
  <c r="V181" i="17"/>
  <c r="V126" i="17" s="1"/>
  <c r="W181" i="17"/>
  <c r="W126" i="17" s="1"/>
  <c r="X181" i="17"/>
  <c r="X126" i="17" s="1"/>
  <c r="Y181" i="17"/>
  <c r="Y126" i="17" s="1"/>
  <c r="Z181" i="17"/>
  <c r="Z126" i="17" s="1"/>
  <c r="L182" i="17"/>
  <c r="L127" i="17" s="1"/>
  <c r="M182" i="17"/>
  <c r="M127" i="17" s="1"/>
  <c r="N182" i="17"/>
  <c r="N127" i="17" s="1"/>
  <c r="O182" i="17"/>
  <c r="O127" i="17" s="1"/>
  <c r="P182" i="17"/>
  <c r="P127" i="17" s="1"/>
  <c r="Q182" i="17"/>
  <c r="Q127" i="17" s="1"/>
  <c r="R183" i="17"/>
  <c r="R128" i="17" s="1"/>
  <c r="S183" i="17"/>
  <c r="S128" i="17" s="1"/>
  <c r="T183" i="17"/>
  <c r="T128" i="17" s="1"/>
  <c r="U183" i="17"/>
  <c r="U128" i="17" s="1"/>
  <c r="V183" i="17"/>
  <c r="V128" i="17" s="1"/>
  <c r="W183" i="17"/>
  <c r="W128" i="17" s="1"/>
  <c r="X183" i="17"/>
  <c r="X128" i="17" s="1"/>
  <c r="Y183" i="17"/>
  <c r="Y128" i="17" s="1"/>
  <c r="Z183" i="17"/>
  <c r="Z128" i="17" s="1"/>
  <c r="L183" i="17"/>
  <c r="L128" i="17" s="1"/>
  <c r="M183" i="17"/>
  <c r="M128" i="17" s="1"/>
  <c r="N183" i="17"/>
  <c r="N128" i="17" s="1"/>
  <c r="O183" i="17"/>
  <c r="O128" i="17" s="1"/>
  <c r="P183" i="17"/>
  <c r="P128" i="17" s="1"/>
  <c r="Q183" i="17"/>
  <c r="Q128" i="17" s="1"/>
  <c r="R184" i="17"/>
  <c r="R129" i="17" s="1"/>
  <c r="S184" i="17"/>
  <c r="S129" i="17" s="1"/>
  <c r="T184" i="17"/>
  <c r="T129" i="17" s="1"/>
  <c r="U184" i="17"/>
  <c r="U129" i="17" s="1"/>
  <c r="V184" i="17"/>
  <c r="V129" i="17" s="1"/>
  <c r="W184" i="17"/>
  <c r="W129" i="17" s="1"/>
  <c r="X184" i="17"/>
  <c r="X129" i="17" s="1"/>
  <c r="Y184" i="17"/>
  <c r="Y129" i="17" s="1"/>
  <c r="Z184" i="17"/>
  <c r="Z129" i="17" s="1"/>
  <c r="L134" i="17"/>
  <c r="M134" i="17"/>
  <c r="N134" i="17"/>
  <c r="O134" i="17"/>
  <c r="P189" i="17"/>
  <c r="P134" i="17" s="1"/>
  <c r="Q189" i="17"/>
  <c r="Q134" i="17" s="1"/>
  <c r="R190" i="17"/>
  <c r="R135" i="17" s="1"/>
  <c r="S190" i="17"/>
  <c r="S135" i="17" s="1"/>
  <c r="T190" i="17"/>
  <c r="T135" i="17" s="1"/>
  <c r="U190" i="17"/>
  <c r="U135" i="17" s="1"/>
  <c r="V190" i="17"/>
  <c r="V135" i="17" s="1"/>
  <c r="W190" i="17"/>
  <c r="W135" i="17" s="1"/>
  <c r="X190" i="17"/>
  <c r="X135" i="17" s="1"/>
  <c r="Y190" i="17"/>
  <c r="Y135" i="17" s="1"/>
  <c r="Z190" i="17"/>
  <c r="Z135" i="17" s="1"/>
  <c r="L200" i="17"/>
  <c r="L145" i="17" s="1"/>
  <c r="M200" i="17"/>
  <c r="M145" i="17" s="1"/>
  <c r="N200" i="17"/>
  <c r="O200" i="17"/>
  <c r="P200" i="17"/>
  <c r="Q200" i="17"/>
  <c r="Q145" i="17" s="1"/>
  <c r="R201" i="17"/>
  <c r="S201" i="17"/>
  <c r="T201" i="17"/>
  <c r="U201" i="17"/>
  <c r="V201" i="17"/>
  <c r="W201" i="17"/>
  <c r="X201" i="17"/>
  <c r="Y201" i="17"/>
  <c r="Y146" i="17" s="1"/>
  <c r="Z201" i="17"/>
  <c r="Z146"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2" i="17"/>
  <c r="W147" i="17" s="1"/>
  <c r="X202" i="17"/>
  <c r="X147" i="17" s="1"/>
  <c r="V167" i="17"/>
  <c r="V169" i="17" s="1"/>
  <c r="V115" i="17" s="1"/>
  <c r="U202" i="17"/>
  <c r="U147" i="17" s="1"/>
  <c r="U167" i="17"/>
  <c r="U113" i="17" s="1"/>
  <c r="U185" i="17"/>
  <c r="U130" i="17" s="1"/>
  <c r="U132" i="17" s="1"/>
  <c r="U136" i="17" s="1"/>
  <c r="T185" i="17"/>
  <c r="T130" i="17" s="1"/>
  <c r="T132" i="17" s="1"/>
  <c r="T136" i="17" s="1"/>
  <c r="S185" i="17"/>
  <c r="S187" i="17" s="1"/>
  <c r="S191" i="17" s="1"/>
  <c r="Q201" i="17"/>
  <c r="Q146" i="17" s="1"/>
  <c r="R185" i="17"/>
  <c r="R130" i="17" s="1"/>
  <c r="R132" i="17" s="1"/>
  <c r="V202" i="17"/>
  <c r="V147" i="17" s="1"/>
  <c r="R202" i="17"/>
  <c r="R147" i="17" s="1"/>
  <c r="W167" i="17"/>
  <c r="W169" i="17" s="1"/>
  <c r="W115" i="17" s="1"/>
  <c r="U120" i="17"/>
  <c r="Y167" i="17"/>
  <c r="Y169" i="17" s="1"/>
  <c r="Y115" i="17" s="1"/>
  <c r="X167" i="17"/>
  <c r="X169" i="17" s="1"/>
  <c r="X115" i="17" s="1"/>
  <c r="N201" i="17"/>
  <c r="N146" i="17" s="1"/>
  <c r="M205" i="17"/>
  <c r="M150" i="17" s="1"/>
  <c r="L205" i="17"/>
  <c r="L150" i="17" s="1"/>
  <c r="N145" i="17"/>
  <c r="M201" i="17"/>
  <c r="M146" i="17" s="1"/>
  <c r="W108" i="17"/>
  <c r="Q184" i="17"/>
  <c r="Q186" i="17" s="1"/>
  <c r="Q190" i="17" s="1"/>
  <c r="Y110" i="17"/>
  <c r="Y206" i="17"/>
  <c r="Y151" i="17" s="1"/>
  <c r="S121" i="17"/>
  <c r="X206" i="17"/>
  <c r="X151" i="17" s="1"/>
  <c r="R121" i="17"/>
  <c r="W206" i="17"/>
  <c r="W151" i="17" s="1"/>
  <c r="Q120" i="17"/>
  <c r="V206" i="17"/>
  <c r="V151" i="17" s="1"/>
  <c r="X146" i="17"/>
  <c r="P120" i="17"/>
  <c r="U206" i="17"/>
  <c r="U151" i="17" s="1"/>
  <c r="O184" i="17"/>
  <c r="O186" i="17" s="1"/>
  <c r="O190" i="17" s="1"/>
  <c r="N184" i="17"/>
  <c r="N129" i="17" s="1"/>
  <c r="N131" i="17" s="1"/>
  <c r="M184" i="17"/>
  <c r="M186" i="17" s="1"/>
  <c r="M190" i="17" s="1"/>
  <c r="Z167" i="17"/>
  <c r="Z113" i="17" s="1"/>
  <c r="W146" i="17"/>
  <c r="O120" i="17"/>
  <c r="X109" i="17"/>
  <c r="V107" i="17"/>
  <c r="T206" i="17"/>
  <c r="T151" i="17" s="1"/>
  <c r="V146" i="17"/>
  <c r="N120" i="17"/>
  <c r="U146" i="17"/>
  <c r="O201" i="17"/>
  <c r="O146" i="17" s="1"/>
  <c r="O145" i="17"/>
  <c r="O106" i="17"/>
  <c r="O166" i="17"/>
  <c r="M106" i="17"/>
  <c r="M166" i="17"/>
  <c r="S202" i="17"/>
  <c r="S146" i="17"/>
  <c r="R167" i="17"/>
  <c r="Q166" i="17"/>
  <c r="Z107" i="17"/>
  <c r="Z202" i="17"/>
  <c r="P166" i="17"/>
  <c r="Y202" i="17"/>
  <c r="Y119" i="17"/>
  <c r="Y185" i="17"/>
  <c r="Z185" i="17"/>
  <c r="X119" i="17"/>
  <c r="X185" i="17"/>
  <c r="N106" i="17"/>
  <c r="N166" i="17"/>
  <c r="L106" i="17"/>
  <c r="L166" i="17"/>
  <c r="T167" i="17"/>
  <c r="T202" i="17"/>
  <c r="T146" i="17"/>
  <c r="P184" i="17"/>
  <c r="P118" i="17"/>
  <c r="S167" i="17"/>
  <c r="L118" i="17"/>
  <c r="L184" i="17"/>
  <c r="O121" i="17"/>
  <c r="Z121" i="17"/>
  <c r="Z206" i="17"/>
  <c r="Z151" i="17" s="1"/>
  <c r="N205" i="17"/>
  <c r="N150" i="17" s="1"/>
  <c r="V185" i="17"/>
  <c r="W119" i="17"/>
  <c r="W185" i="17"/>
  <c r="P145" i="17"/>
  <c r="R146" i="17"/>
  <c r="E167" i="17"/>
  <c r="F167" i="17"/>
  <c r="E169" i="17"/>
  <c r="E115" i="17" s="1"/>
  <c r="F169" i="17"/>
  <c r="D169" i="17"/>
  <c r="D115" i="17" s="1"/>
  <c r="E188" i="17"/>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V195" i="17" l="1"/>
  <c r="F115" i="17"/>
  <c r="E133" i="17"/>
  <c r="U195" i="17"/>
  <c r="U196" i="17" s="1"/>
  <c r="U204" i="17" s="1"/>
  <c r="U169" i="17"/>
  <c r="U115" i="17" s="1"/>
  <c r="S130" i="17"/>
  <c r="S132" i="17" s="1"/>
  <c r="S136" i="17" s="1"/>
  <c r="R187" i="17"/>
  <c r="R191" i="17" s="1"/>
  <c r="V113" i="17"/>
  <c r="T187" i="17"/>
  <c r="T191" i="17" s="1"/>
  <c r="U187" i="17"/>
  <c r="U191" i="17" s="1"/>
  <c r="Y113" i="17"/>
  <c r="Q129" i="17"/>
  <c r="Q131" i="17" s="1"/>
  <c r="Q135" i="17" s="1"/>
  <c r="X113" i="17"/>
  <c r="W113" i="17"/>
  <c r="Y195" i="17"/>
  <c r="Y140" i="17" s="1"/>
  <c r="Z169" i="17"/>
  <c r="Z115" i="17" s="1"/>
  <c r="N186" i="17"/>
  <c r="N190" i="17" s="1"/>
  <c r="O129" i="17"/>
  <c r="O131" i="17" s="1"/>
  <c r="O135" i="17" s="1"/>
  <c r="F185" i="17"/>
  <c r="F113" i="17"/>
  <c r="E185" i="17"/>
  <c r="E113" i="17"/>
  <c r="N135" i="17"/>
  <c r="R136" i="17"/>
  <c r="M129" i="17"/>
  <c r="M131" i="17" s="1"/>
  <c r="M135" i="17" s="1"/>
  <c r="S147" i="17"/>
  <c r="L168" i="17"/>
  <c r="L114" i="17" s="1"/>
  <c r="L194" i="17"/>
  <c r="L112" i="17"/>
  <c r="Y147" i="17"/>
  <c r="L129" i="17"/>
  <c r="L131" i="17" s="1"/>
  <c r="L135" i="17" s="1"/>
  <c r="L186" i="17"/>
  <c r="L190" i="17" s="1"/>
  <c r="M168" i="17"/>
  <c r="M114" i="17" s="1"/>
  <c r="M194" i="17"/>
  <c r="M112" i="17"/>
  <c r="N168" i="17"/>
  <c r="N114" i="17" s="1"/>
  <c r="N112" i="17"/>
  <c r="N194" i="17"/>
  <c r="P168" i="17"/>
  <c r="P114" i="17" s="1"/>
  <c r="P194" i="17"/>
  <c r="P112" i="17"/>
  <c r="V140" i="17"/>
  <c r="V196" i="17"/>
  <c r="S113" i="17"/>
  <c r="S169" i="17"/>
  <c r="S115" i="17" s="1"/>
  <c r="S195" i="17"/>
  <c r="Z147" i="17"/>
  <c r="W130" i="17"/>
  <c r="W132" i="17" s="1"/>
  <c r="W136" i="17" s="1"/>
  <c r="W187" i="17"/>
  <c r="W191" i="17" s="1"/>
  <c r="O112" i="17"/>
  <c r="O168" i="17"/>
  <c r="O114" i="17" s="1"/>
  <c r="O194" i="17"/>
  <c r="P186" i="17"/>
  <c r="P190" i="17" s="1"/>
  <c r="P129" i="17"/>
  <c r="P131" i="17" s="1"/>
  <c r="P135" i="17" s="1"/>
  <c r="X187" i="17"/>
  <c r="X191" i="17" s="1"/>
  <c r="X130" i="17"/>
  <c r="X132" i="17" s="1"/>
  <c r="X136" i="17" s="1"/>
  <c r="V130" i="17"/>
  <c r="V132" i="17" s="1"/>
  <c r="V136" i="17" s="1"/>
  <c r="V187" i="17"/>
  <c r="V191" i="17" s="1"/>
  <c r="Q168" i="17"/>
  <c r="Q114" i="17" s="1"/>
  <c r="Q112" i="17"/>
  <c r="Q194" i="17"/>
  <c r="Z187" i="17"/>
  <c r="Z191" i="17" s="1"/>
  <c r="Z130" i="17"/>
  <c r="Z132" i="17" s="1"/>
  <c r="Z136" i="17" s="1"/>
  <c r="W195" i="17"/>
  <c r="T147" i="17"/>
  <c r="Y187" i="17"/>
  <c r="Y191" i="17" s="1"/>
  <c r="Y130" i="17"/>
  <c r="Y132" i="17" s="1"/>
  <c r="Y136" i="17" s="1"/>
  <c r="Z195" i="17"/>
  <c r="R113" i="17"/>
  <c r="R169" i="17"/>
  <c r="R115" i="17" s="1"/>
  <c r="R195" i="17"/>
  <c r="T113" i="17"/>
  <c r="T169" i="17"/>
  <c r="T115" i="17" s="1"/>
  <c r="T195" i="17"/>
  <c r="X195" i="17"/>
  <c r="F146" i="64"/>
  <c r="G146" i="64"/>
  <c r="E146" i="64"/>
  <c r="B6" i="75"/>
  <c r="U140" i="17" l="1"/>
  <c r="U141" i="17"/>
  <c r="Y196" i="17"/>
  <c r="Y141" i="17" s="1"/>
  <c r="O195" i="17"/>
  <c r="O139" i="17"/>
  <c r="N195" i="17"/>
  <c r="N139" i="17"/>
  <c r="W140" i="17"/>
  <c r="W196" i="17"/>
  <c r="U209" i="17"/>
  <c r="U154" i="17" s="1"/>
  <c r="U149" i="17"/>
  <c r="M195" i="17"/>
  <c r="M139" i="17"/>
  <c r="X140" i="17"/>
  <c r="X196" i="17"/>
  <c r="T140" i="17"/>
  <c r="T196" i="17"/>
  <c r="Q195" i="17"/>
  <c r="Q139" i="17"/>
  <c r="S140" i="17"/>
  <c r="S196" i="17"/>
  <c r="R196" i="17"/>
  <c r="R140" i="17"/>
  <c r="V204" i="17"/>
  <c r="V141" i="17"/>
  <c r="L195" i="17"/>
  <c r="L139" i="17"/>
  <c r="Z140" i="17"/>
  <c r="Z196" i="17"/>
  <c r="P195" i="17"/>
  <c r="P139" i="17"/>
  <c r="Q11" i="47"/>
  <c r="J129" i="64" l="1"/>
  <c r="J131" i="64" s="1"/>
  <c r="J132" i="64" s="1"/>
  <c r="J130" i="64"/>
  <c r="J134" i="64" s="1"/>
  <c r="J43" i="76" s="1"/>
  <c r="J115" i="64"/>
  <c r="Y204" i="17"/>
  <c r="Y209" i="17" s="1"/>
  <c r="Y154" i="17" s="1"/>
  <c r="Q203" i="17"/>
  <c r="Q140" i="17"/>
  <c r="T141" i="17"/>
  <c r="T204" i="17"/>
  <c r="P203" i="17"/>
  <c r="P140" i="17"/>
  <c r="Z141" i="17"/>
  <c r="Z204" i="17"/>
  <c r="X141" i="17"/>
  <c r="X204" i="17"/>
  <c r="L140" i="17"/>
  <c r="L203" i="17"/>
  <c r="M140" i="17"/>
  <c r="M203" i="17"/>
  <c r="V209" i="17"/>
  <c r="V154" i="17" s="1"/>
  <c r="V149" i="17"/>
  <c r="W204" i="17"/>
  <c r="W141" i="17"/>
  <c r="R204" i="17"/>
  <c r="R141" i="17"/>
  <c r="S141" i="17"/>
  <c r="S204" i="17"/>
  <c r="N140" i="17"/>
  <c r="N203" i="17"/>
  <c r="O203" i="17"/>
  <c r="O140" i="17"/>
  <c r="D92" i="74"/>
  <c r="D34" i="74"/>
  <c r="D6" i="74" a="1"/>
  <c r="P145" i="65"/>
  <c r="Q145" i="65"/>
  <c r="R145" i="65"/>
  <c r="S145" i="65"/>
  <c r="T145" i="65"/>
  <c r="U145" i="65"/>
  <c r="V145" i="65"/>
  <c r="W145" i="65"/>
  <c r="I25" i="74" l="1"/>
  <c r="J28" i="74"/>
  <c r="J11" i="74"/>
  <c r="J27" i="74"/>
  <c r="J10" i="74"/>
  <c r="J26" i="74"/>
  <c r="J9" i="74"/>
  <c r="J25" i="74"/>
  <c r="J8" i="74"/>
  <c r="J24" i="74"/>
  <c r="J23" i="74"/>
  <c r="J22" i="74"/>
  <c r="J21" i="74"/>
  <c r="J19" i="74"/>
  <c r="J17" i="74"/>
  <c r="J16" i="74"/>
  <c r="J15" i="74"/>
  <c r="J14" i="74"/>
  <c r="J13" i="74"/>
  <c r="J12" i="74"/>
  <c r="J20" i="74"/>
  <c r="J30" i="76"/>
  <c r="J117" i="64"/>
  <c r="Y149" i="17"/>
  <c r="M148" i="17"/>
  <c r="M208" i="17"/>
  <c r="M153" i="17" s="1"/>
  <c r="L148" i="17"/>
  <c r="O148" i="17"/>
  <c r="O208" i="17"/>
  <c r="O153" i="17" s="1"/>
  <c r="X149" i="17"/>
  <c r="X209" i="17"/>
  <c r="X154" i="17" s="1"/>
  <c r="N148" i="17"/>
  <c r="N208" i="17"/>
  <c r="N153" i="17" s="1"/>
  <c r="Z149" i="17"/>
  <c r="Z209" i="17"/>
  <c r="Z154" i="17" s="1"/>
  <c r="S149" i="17"/>
  <c r="S209" i="17"/>
  <c r="S154" i="17" s="1"/>
  <c r="P148" i="17"/>
  <c r="P208" i="17"/>
  <c r="P153" i="17" s="1"/>
  <c r="T149" i="17"/>
  <c r="T209" i="17"/>
  <c r="T154" i="17" s="1"/>
  <c r="R149" i="17"/>
  <c r="R209" i="17"/>
  <c r="R154" i="17" s="1"/>
  <c r="W149" i="17"/>
  <c r="W209" i="17"/>
  <c r="W154" i="17" s="1"/>
  <c r="Q148" i="17"/>
  <c r="Q208" i="17"/>
  <c r="Q153" i="17" s="1"/>
  <c r="D6" i="74"/>
  <c r="C302" i="64"/>
  <c r="C300" i="64"/>
  <c r="C301" i="64"/>
  <c r="C299" i="64"/>
  <c r="B23" i="75"/>
  <c r="B48" i="75"/>
  <c r="B73" i="64" s="1"/>
  <c r="B43" i="75"/>
  <c r="J32" i="76" l="1"/>
  <c r="J119" i="64"/>
  <c r="B68" i="64"/>
  <c r="B48" i="64"/>
  <c r="D18" i="74"/>
  <c r="B7" i="76" a="1"/>
  <c r="B7" i="76" s="1"/>
  <c r="K176" i="64"/>
  <c r="B6" i="76"/>
  <c r="B4" i="76"/>
  <c r="B1" i="76"/>
  <c r="Q10" i="47"/>
  <c r="Q6" i="47"/>
  <c r="Q5" i="47"/>
  <c r="Q3" i="47"/>
  <c r="Q2" i="47"/>
  <c r="B68" i="76"/>
  <c r="B66" i="76"/>
  <c r="B63" i="76"/>
  <c r="B61" i="76"/>
  <c r="B59" i="76"/>
  <c r="B57" i="76"/>
  <c r="B55" i="76"/>
  <c r="B53" i="76"/>
  <c r="C49" i="76" a="1"/>
  <c r="C49" i="76" s="1"/>
  <c r="E64" i="64"/>
  <c r="F64" i="64"/>
  <c r="G64" i="64"/>
  <c r="H64" i="64"/>
  <c r="I64" i="64"/>
  <c r="J64" i="64"/>
  <c r="K64" i="64"/>
  <c r="L64" i="64"/>
  <c r="M64" i="64"/>
  <c r="N64" i="64"/>
  <c r="O64" i="64"/>
  <c r="P64" i="64"/>
  <c r="Q64" i="64"/>
  <c r="R64" i="64"/>
  <c r="S64" i="64"/>
  <c r="T64" i="64"/>
  <c r="U64" i="64"/>
  <c r="V64" i="64"/>
  <c r="W64" i="64"/>
  <c r="X64" i="64"/>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102" i="65" s="1"/>
  <c r="F80" i="64"/>
  <c r="G102" i="65" s="1"/>
  <c r="G80" i="64"/>
  <c r="H102" i="65" s="1"/>
  <c r="H80" i="64"/>
  <c r="I102" i="65" s="1"/>
  <c r="I80" i="64"/>
  <c r="J102" i="65" s="1"/>
  <c r="J80" i="64"/>
  <c r="K102" i="65" s="1"/>
  <c r="K80" i="64"/>
  <c r="L102" i="65" s="1"/>
  <c r="L80" i="64"/>
  <c r="M102" i="65" s="1"/>
  <c r="M80" i="64"/>
  <c r="N102" i="65" s="1"/>
  <c r="N80" i="64"/>
  <c r="O102" i="65" s="1"/>
  <c r="O80" i="64"/>
  <c r="P102" i="65" s="1"/>
  <c r="P80" i="64"/>
  <c r="Q102" i="65" s="1"/>
  <c r="Q80" i="64"/>
  <c r="R102" i="65" s="1"/>
  <c r="R80" i="64"/>
  <c r="S102" i="65" s="1"/>
  <c r="S80" i="64"/>
  <c r="T102" i="65" s="1"/>
  <c r="T80" i="64"/>
  <c r="U102" i="65" s="1"/>
  <c r="U80" i="64"/>
  <c r="V102" i="65" s="1"/>
  <c r="V80" i="64"/>
  <c r="W102" i="65" s="1"/>
  <c r="W80" i="64"/>
  <c r="X80" i="64"/>
  <c r="E81" i="64"/>
  <c r="F103" i="65" s="1"/>
  <c r="F81" i="64"/>
  <c r="G103" i="65" s="1"/>
  <c r="G81" i="64"/>
  <c r="H103" i="65" s="1"/>
  <c r="H81" i="64"/>
  <c r="I103" i="65" s="1"/>
  <c r="I81" i="64"/>
  <c r="J103" i="65" s="1"/>
  <c r="J81" i="64"/>
  <c r="K103" i="65" s="1"/>
  <c r="K81" i="64"/>
  <c r="L103" i="65" s="1"/>
  <c r="L81" i="64"/>
  <c r="M103" i="65" s="1"/>
  <c r="M81" i="64"/>
  <c r="N103" i="65" s="1"/>
  <c r="N81" i="64"/>
  <c r="O103" i="65" s="1"/>
  <c r="O81" i="64"/>
  <c r="P103" i="65" s="1"/>
  <c r="P81" i="64"/>
  <c r="Q103" i="65" s="1"/>
  <c r="Q81" i="64"/>
  <c r="R103" i="65" s="1"/>
  <c r="R81" i="64"/>
  <c r="S103" i="65" s="1"/>
  <c r="S81" i="64"/>
  <c r="T103" i="65" s="1"/>
  <c r="T81" i="64"/>
  <c r="U103" i="65" s="1"/>
  <c r="U81" i="64"/>
  <c r="V103" i="65" s="1"/>
  <c r="V81" i="64"/>
  <c r="W103" i="65" s="1"/>
  <c r="W81" i="64"/>
  <c r="X81" i="64"/>
  <c r="E82" i="64"/>
  <c r="F104" i="65" s="1"/>
  <c r="F82" i="64"/>
  <c r="G104" i="65" s="1"/>
  <c r="G82" i="64"/>
  <c r="H104" i="65" s="1"/>
  <c r="H82" i="64"/>
  <c r="I104" i="65" s="1"/>
  <c r="I82" i="64"/>
  <c r="J104" i="65" s="1"/>
  <c r="J82" i="64"/>
  <c r="K104" i="65" s="1"/>
  <c r="K82" i="64"/>
  <c r="L104" i="65" s="1"/>
  <c r="L82" i="64"/>
  <c r="M104" i="65" s="1"/>
  <c r="M82" i="64"/>
  <c r="N104" i="65" s="1"/>
  <c r="N82" i="64"/>
  <c r="O104" i="65" s="1"/>
  <c r="O82" i="64"/>
  <c r="P104" i="65" s="1"/>
  <c r="P82" i="64"/>
  <c r="Q104" i="65" s="1"/>
  <c r="Q82" i="64"/>
  <c r="R104" i="65" s="1"/>
  <c r="R82" i="64"/>
  <c r="S104" i="65" s="1"/>
  <c r="S82" i="64"/>
  <c r="T104" i="65" s="1"/>
  <c r="T82" i="64"/>
  <c r="U104" i="65" s="1"/>
  <c r="U82" i="64"/>
  <c r="V104" i="65" s="1"/>
  <c r="V82" i="64"/>
  <c r="W104" i="65" s="1"/>
  <c r="W82" i="64"/>
  <c r="X82" i="64"/>
  <c r="E83" i="64"/>
  <c r="F105" i="65" s="1"/>
  <c r="F83" i="64"/>
  <c r="G105" i="65" s="1"/>
  <c r="G83" i="64"/>
  <c r="H105" i="65" s="1"/>
  <c r="H83" i="64"/>
  <c r="I105" i="65" s="1"/>
  <c r="I83" i="64"/>
  <c r="J105" i="65" s="1"/>
  <c r="J83" i="64"/>
  <c r="K105" i="65" s="1"/>
  <c r="K83" i="64"/>
  <c r="L105" i="65" s="1"/>
  <c r="L83" i="64"/>
  <c r="M105" i="65" s="1"/>
  <c r="M83" i="64"/>
  <c r="N105" i="65" s="1"/>
  <c r="N83" i="64"/>
  <c r="O105" i="65" s="1"/>
  <c r="O83" i="64"/>
  <c r="P105" i="65" s="1"/>
  <c r="P83" i="64"/>
  <c r="Q105" i="65" s="1"/>
  <c r="Q83" i="64"/>
  <c r="R105" i="65" s="1"/>
  <c r="R83" i="64"/>
  <c r="S105" i="65" s="1"/>
  <c r="S83" i="64"/>
  <c r="T105" i="65" s="1"/>
  <c r="T83" i="64"/>
  <c r="U105" i="65" s="1"/>
  <c r="U83" i="64"/>
  <c r="V105" i="65" s="1"/>
  <c r="V83" i="64"/>
  <c r="W105" i="65" s="1"/>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109" i="65" s="1"/>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D65" i="64"/>
  <c r="D66" i="64"/>
  <c r="D67" i="64"/>
  <c r="D68" i="64"/>
  <c r="D69" i="64"/>
  <c r="D70" i="64"/>
  <c r="D71" i="64"/>
  <c r="D72" i="64"/>
  <c r="D73" i="64"/>
  <c r="D74" i="64"/>
  <c r="D75" i="64"/>
  <c r="D76" i="64"/>
  <c r="D77" i="64"/>
  <c r="D78" i="64"/>
  <c r="D79" i="64"/>
  <c r="D80" i="64"/>
  <c r="E102" i="65" s="1"/>
  <c r="D81" i="64"/>
  <c r="E103" i="65" s="1"/>
  <c r="D82" i="64"/>
  <c r="E104" i="65" s="1"/>
  <c r="D83" i="64"/>
  <c r="E105" i="65" s="1"/>
  <c r="D84" i="64"/>
  <c r="D85" i="64"/>
  <c r="D86" i="64"/>
  <c r="D87" i="64"/>
  <c r="D88" i="64"/>
  <c r="D64"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4" i="64"/>
  <c r="F54" i="64"/>
  <c r="G54" i="64"/>
  <c r="H54" i="64"/>
  <c r="I54" i="64"/>
  <c r="J54" i="64"/>
  <c r="K54" i="64"/>
  <c r="L54" i="64"/>
  <c r="M54" i="64"/>
  <c r="N54" i="64"/>
  <c r="O54" i="64"/>
  <c r="P54" i="64"/>
  <c r="Q54" i="64"/>
  <c r="R54" i="64"/>
  <c r="S54" i="64"/>
  <c r="T54" i="64"/>
  <c r="U54" i="64"/>
  <c r="V54" i="64"/>
  <c r="W54"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D49" i="64"/>
  <c r="D50" i="64"/>
  <c r="D51" i="64"/>
  <c r="D52" i="64"/>
  <c r="D54" i="64"/>
  <c r="D55" i="64"/>
  <c r="D56" i="64"/>
  <c r="D57" i="64"/>
  <c r="D58"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J27" i="64" l="1"/>
  <c r="J123" i="64" s="1"/>
  <c r="J38" i="76" s="1"/>
  <c r="J16" i="64"/>
  <c r="I23" i="64"/>
  <c r="J20" i="64"/>
  <c r="J15" i="64"/>
  <c r="J18" i="64"/>
  <c r="J24" i="64"/>
  <c r="J10" i="64"/>
  <c r="J112" i="64" s="1"/>
  <c r="J27" i="76" s="1"/>
  <c r="J23" i="64"/>
  <c r="J11" i="64"/>
  <c r="J113" i="64" s="1"/>
  <c r="J28" i="76" s="1"/>
  <c r="J9" i="64"/>
  <c r="J111" i="64" s="1"/>
  <c r="J26" i="76" s="1"/>
  <c r="J6" i="64"/>
  <c r="J108" i="64" s="1"/>
  <c r="J23" i="76" s="1"/>
  <c r="J26" i="64"/>
  <c r="J17" i="64"/>
  <c r="J8" i="64"/>
  <c r="J110" i="64" s="1"/>
  <c r="J25" i="76" s="1"/>
  <c r="J22" i="64"/>
  <c r="J13" i="64"/>
  <c r="J116" i="64" s="1"/>
  <c r="J31" i="76" s="1"/>
  <c r="J7" i="64"/>
  <c r="J109" i="64" s="1"/>
  <c r="J24" i="76" s="1"/>
  <c r="J25" i="64"/>
  <c r="J21" i="64"/>
  <c r="J14" i="64"/>
  <c r="J19" i="64"/>
  <c r="J12" i="64"/>
  <c r="J114" i="64" s="1"/>
  <c r="J29" i="76" s="1"/>
  <c r="J34" i="76"/>
  <c r="J121" i="64"/>
  <c r="E205" i="75" a="1"/>
  <c r="E205" i="75" s="1"/>
  <c r="E195" i="75" a="1"/>
  <c r="E195" i="75" s="1"/>
  <c r="E188" i="75" a="1"/>
  <c r="E188" i="75" s="1"/>
  <c r="D21" i="75" a="1"/>
  <c r="D21" i="75" s="1"/>
  <c r="D37" i="75" a="1"/>
  <c r="D37" i="75" s="1"/>
  <c r="E221" i="75" a="1"/>
  <c r="E221" i="75" s="1"/>
  <c r="E171" i="75" a="1"/>
  <c r="E171" i="75" s="1"/>
  <c r="E192" i="75" a="1"/>
  <c r="E192" i="75" s="1"/>
  <c r="V5" i="17" a="1"/>
  <c r="V5" i="17" s="1"/>
  <c r="B6" i="21"/>
  <c r="D20" i="76" a="1"/>
  <c r="D20" i="76" s="1"/>
  <c r="D18" i="76" a="1"/>
  <c r="D18" i="76" s="1"/>
  <c r="B247" i="64"/>
  <c r="B248" i="64"/>
  <c r="E11" i="21"/>
  <c r="D11" i="21" s="1"/>
  <c r="E70" i="75" a="1"/>
  <c r="E128" i="75" a="1"/>
  <c r="E128" i="75" s="1"/>
  <c r="D7" i="74" a="1"/>
  <c r="D7" i="74" s="1"/>
  <c r="Q4" i="47"/>
  <c r="E92" i="74" a="1"/>
  <c r="E92" i="74" s="1"/>
  <c r="D4" i="75" a="1"/>
  <c r="D4" i="75" s="1"/>
  <c r="D38" i="75" a="1"/>
  <c r="D38" i="75" s="1"/>
  <c r="D5" i="75" a="1"/>
  <c r="D5" i="75" s="1"/>
  <c r="D22" i="75" a="1"/>
  <c r="D22" i="75" s="1"/>
  <c r="B19" i="15" a="1"/>
  <c r="D4" i="64"/>
  <c r="F59" i="65"/>
  <c r="U111" i="65"/>
  <c r="V111" i="65"/>
  <c r="W111" i="65"/>
  <c r="J36" i="76" l="1"/>
  <c r="J128" i="64"/>
  <c r="J135" i="64" s="1"/>
  <c r="J136" i="64"/>
  <c r="J125" i="64"/>
  <c r="J40" i="76" s="1"/>
  <c r="E6" i="77" a="1"/>
  <c r="E6" i="77" s="1"/>
  <c r="E18" i="77" a="1"/>
  <c r="E18" i="77" s="1"/>
  <c r="E37" i="77" a="1"/>
  <c r="E37" i="77" s="1"/>
  <c r="E201" i="75"/>
  <c r="B53" i="75"/>
  <c r="B78" i="64" s="1"/>
  <c r="E70" i="75"/>
  <c r="E166" i="75" s="1" a="1"/>
  <c r="E166" i="75" s="1"/>
  <c r="H25" i="74"/>
  <c r="H23" i="64" s="1"/>
  <c r="I24" i="74"/>
  <c r="I22" i="64" s="1"/>
  <c r="I27" i="74"/>
  <c r="I25" i="64" s="1"/>
  <c r="I28" i="74"/>
  <c r="I26" i="64" s="1"/>
  <c r="H24" i="74"/>
  <c r="H22" i="64" s="1"/>
  <c r="H27" i="74"/>
  <c r="H25" i="64" s="1"/>
  <c r="I26" i="74"/>
  <c r="I24" i="64" s="1"/>
  <c r="H28" i="74"/>
  <c r="H26" i="64" s="1"/>
  <c r="H26" i="74"/>
  <c r="H24" i="64" s="1"/>
  <c r="B19" i="15"/>
  <c r="B20" i="15" s="1" a="1"/>
  <c r="B20" i="15" s="1"/>
  <c r="E4" i="17" a="1"/>
  <c r="D157" i="17" a="1"/>
  <c r="D157" i="17" s="1"/>
  <c r="D103" i="17" a="1"/>
  <c r="J137" i="64" l="1"/>
  <c r="J139" i="64"/>
  <c r="E133" i="75" a="1"/>
  <c r="E133" i="75" s="1"/>
  <c r="E158" i="75" a="1"/>
  <c r="E158" i="75" s="1"/>
  <c r="E71" i="75" a="1"/>
  <c r="E71" i="75" s="1"/>
  <c r="E144" i="75" a="1"/>
  <c r="E144" i="75" s="1"/>
  <c r="E83" i="75" a="1"/>
  <c r="E83" i="75" s="1"/>
  <c r="E102" i="75" a="1"/>
  <c r="E102" i="75" s="1"/>
  <c r="E107" i="75" a="1"/>
  <c r="E107" i="75" s="1"/>
  <c r="E160" i="75" a="1"/>
  <c r="E160" i="75" s="1"/>
  <c r="E104" i="75" a="1"/>
  <c r="E104" i="75" s="1"/>
  <c r="E151" i="75" a="1"/>
  <c r="E151" i="75" s="1"/>
  <c r="E120" i="75" a="1"/>
  <c r="E120" i="75" s="1"/>
  <c r="E129" i="75" a="1"/>
  <c r="E129" i="75" s="1"/>
  <c r="E130" i="74" a="1"/>
  <c r="E130" i="74" s="1"/>
  <c r="G17" i="74"/>
  <c r="E115" i="74" a="1"/>
  <c r="E115" i="74" s="1"/>
  <c r="E108" i="74" a="1"/>
  <c r="E108" i="74" s="1"/>
  <c r="E124" i="74" a="1"/>
  <c r="E124" i="74" s="1"/>
  <c r="E84" i="74" a="1"/>
  <c r="E84" i="74" s="1"/>
  <c r="E66" i="74" a="1"/>
  <c r="E66" i="74" s="1"/>
  <c r="D103" i="17"/>
  <c r="D158" i="17" s="1" a="1"/>
  <c r="D158" i="17" s="1"/>
  <c r="H19" i="74"/>
  <c r="H17" i="64" s="1"/>
  <c r="I22" i="74"/>
  <c r="I20" i="64" s="1"/>
  <c r="I23" i="74"/>
  <c r="I21" i="64" s="1"/>
  <c r="I20" i="74"/>
  <c r="I18" i="64" s="1"/>
  <c r="H21" i="74"/>
  <c r="H19" i="64" s="1"/>
  <c r="I19" i="74"/>
  <c r="I17" i="64" s="1"/>
  <c r="H20" i="74"/>
  <c r="H18" i="64" s="1"/>
  <c r="H22" i="74"/>
  <c r="H20" i="64" s="1"/>
  <c r="H23" i="74"/>
  <c r="H21" i="64" s="1"/>
  <c r="H17" i="74"/>
  <c r="H15" i="64" s="1"/>
  <c r="I17" i="74"/>
  <c r="I15" i="64" s="1"/>
  <c r="I21" i="74"/>
  <c r="I19" i="64" s="1"/>
  <c r="E122" i="74" a="1"/>
  <c r="E122" i="74" s="1"/>
  <c r="G23" i="74"/>
  <c r="E93" i="74" a="1"/>
  <c r="E93" i="74" s="1"/>
  <c r="E97" i="74" a="1"/>
  <c r="E97"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34" i="17"/>
  <c r="G134" i="17"/>
  <c r="H134" i="17"/>
  <c r="I134" i="17"/>
  <c r="J134" i="17"/>
  <c r="K134" i="17"/>
  <c r="F200" i="17"/>
  <c r="F145" i="17" s="1"/>
  <c r="G200" i="17"/>
  <c r="G145" i="17" s="1"/>
  <c r="H200" i="17"/>
  <c r="H145" i="17" s="1"/>
  <c r="I200" i="17"/>
  <c r="I145" i="17" s="1"/>
  <c r="J200" i="17"/>
  <c r="J145" i="17" s="1"/>
  <c r="K200" i="17"/>
  <c r="J138" i="64" l="1"/>
  <c r="J140" i="64"/>
  <c r="J142" i="64" s="1"/>
  <c r="J148" i="64" s="1"/>
  <c r="E13" i="17" a="1"/>
  <c r="E13" i="17" s="1"/>
  <c r="E8" i="17" a="1"/>
  <c r="E8" i="17" s="1"/>
  <c r="E11" i="17" a="1"/>
  <c r="E11" i="17" s="1"/>
  <c r="E14" i="17" a="1"/>
  <c r="E14" i="17" s="1"/>
  <c r="D104" i="17" a="1"/>
  <c r="D104" i="17" s="1"/>
  <c r="K145" i="17"/>
  <c r="L201" i="17"/>
  <c r="J205" i="17"/>
  <c r="J150" i="17" s="1"/>
  <c r="J120" i="17"/>
  <c r="E25" i="17" a="1"/>
  <c r="E22" i="17" a="1"/>
  <c r="E24" i="17" a="1"/>
  <c r="E23" i="17" a="1"/>
  <c r="E26" i="17" a="1"/>
  <c r="J185" i="17"/>
  <c r="H185" i="17"/>
  <c r="I185" i="17"/>
  <c r="G185" i="17"/>
  <c r="E9" i="17" s="1" a="1"/>
  <c r="E9" i="17" s="1"/>
  <c r="K201" i="17"/>
  <c r="K146" i="17" s="1"/>
  <c r="K205" i="17"/>
  <c r="K150" i="17" s="1"/>
  <c r="I205" i="17"/>
  <c r="I150" i="17" s="1"/>
  <c r="H205" i="17"/>
  <c r="H150" i="17" s="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J135" i="17" l="1"/>
  <c r="L146" i="17"/>
  <c r="L208" i="17"/>
  <c r="L153" i="17" s="1"/>
  <c r="I168" i="17"/>
  <c r="I114" i="17" s="1"/>
  <c r="I112" i="17"/>
  <c r="E24" i="17"/>
  <c r="D26" i="74" s="1"/>
  <c r="G26" i="74"/>
  <c r="G24" i="64" s="1"/>
  <c r="D11" i="74"/>
  <c r="G20" i="74"/>
  <c r="G18" i="64" s="1"/>
  <c r="G21" i="74"/>
  <c r="G19" i="64" s="1"/>
  <c r="F28" i="74"/>
  <c r="F26" i="64" s="1"/>
  <c r="G28" i="74"/>
  <c r="G26" i="64" s="1"/>
  <c r="E23" i="17"/>
  <c r="D25" i="74" s="1"/>
  <c r="G25" i="74"/>
  <c r="G23" i="64" s="1"/>
  <c r="E22" i="17"/>
  <c r="D24" i="74" s="1"/>
  <c r="G24" i="74"/>
  <c r="G22" i="64" s="1"/>
  <c r="E25" i="17"/>
  <c r="D27" i="74" s="1"/>
  <c r="G27" i="74"/>
  <c r="G25" i="64" s="1"/>
  <c r="E27" i="74"/>
  <c r="E25" i="64" s="1"/>
  <c r="F27" i="74"/>
  <c r="F25" i="64" s="1"/>
  <c r="E26" i="17"/>
  <c r="E28" i="74"/>
  <c r="E26" i="64"/>
  <c r="E25" i="74"/>
  <c r="E23" i="64" s="1"/>
  <c r="F25" i="74"/>
  <c r="F23" i="64" s="1"/>
  <c r="E21" i="74"/>
  <c r="F21" i="74"/>
  <c r="F19" i="64" s="1"/>
  <c r="E24" i="74"/>
  <c r="F24" i="74"/>
  <c r="F22" i="64" s="1"/>
  <c r="E26" i="74"/>
  <c r="E24" i="64" s="1"/>
  <c r="F26" i="74"/>
  <c r="F24" i="64" s="1"/>
  <c r="E20" i="74"/>
  <c r="F20" i="74"/>
  <c r="F18" i="64" s="1"/>
  <c r="E27" i="17"/>
  <c r="D16" i="74"/>
  <c r="E10" i="17"/>
  <c r="D12" i="74" s="1"/>
  <c r="E19" i="17"/>
  <c r="D21" i="74" s="1"/>
  <c r="D10" i="74"/>
  <c r="D15" i="74"/>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F147" i="64"/>
  <c r="G147" i="64"/>
  <c r="D29" i="74" l="1"/>
  <c r="E29" i="74" s="1"/>
  <c r="D25" i="64"/>
  <c r="D28" i="74"/>
  <c r="D26" i="64"/>
  <c r="F29" i="74"/>
  <c r="G29" i="74" s="1"/>
  <c r="E12" i="74"/>
  <c r="E11" i="74"/>
  <c r="E15" i="74"/>
  <c r="E16" i="74"/>
  <c r="E10" i="74"/>
  <c r="D23" i="64"/>
  <c r="D22" i="64"/>
  <c r="D24" i="64"/>
  <c r="J195" i="17"/>
  <c r="H195" i="17"/>
  <c r="K195" i="17"/>
  <c r="K140" i="17" s="1"/>
  <c r="F195" i="17"/>
  <c r="F140" i="17" s="1"/>
  <c r="I195" i="17"/>
  <c r="I140" i="17" s="1"/>
  <c r="G195" i="17"/>
  <c r="G140" i="17" s="1"/>
  <c r="G145" i="64"/>
  <c r="F145" i="64"/>
  <c r="E145" i="64"/>
  <c r="H29" i="74" l="1"/>
  <c r="H15" i="74" s="1"/>
  <c r="H13" i="64" s="1"/>
  <c r="H116" i="64" s="1"/>
  <c r="H31" i="76" s="1"/>
  <c r="G16" i="74"/>
  <c r="G14" i="64" s="1"/>
  <c r="G129" i="64" s="1"/>
  <c r="J46" i="76"/>
  <c r="J203" i="17"/>
  <c r="J148" i="17" s="1"/>
  <c r="J140" i="17"/>
  <c r="H203" i="17"/>
  <c r="H148" i="17" s="1"/>
  <c r="H140" i="17"/>
  <c r="F15" i="74"/>
  <c r="F13" i="64" s="1"/>
  <c r="F12" i="74"/>
  <c r="F10" i="64" s="1"/>
  <c r="F16" i="74"/>
  <c r="F14" i="64" s="1"/>
  <c r="F10" i="74"/>
  <c r="F8" i="64" s="1"/>
  <c r="F11" i="74"/>
  <c r="F9" i="64" s="1"/>
  <c r="G11" i="74"/>
  <c r="G9" i="64" s="1"/>
  <c r="G15" i="74"/>
  <c r="G13" i="64" s="1"/>
  <c r="G12" i="74"/>
  <c r="G10" i="64" s="1"/>
  <c r="G10" i="74"/>
  <c r="G8" i="64" s="1"/>
  <c r="I203" i="17"/>
  <c r="I148" i="17" s="1"/>
  <c r="F203" i="17"/>
  <c r="F148" i="17" s="1"/>
  <c r="K203" i="17"/>
  <c r="K148" i="17" s="1"/>
  <c r="G203" i="17"/>
  <c r="G148" i="17" s="1"/>
  <c r="H14" i="74" l="1"/>
  <c r="H12" i="64" s="1"/>
  <c r="H114" i="64" s="1"/>
  <c r="H29" i="76" s="1"/>
  <c r="H10" i="74"/>
  <c r="H8" i="64" s="1"/>
  <c r="H110" i="64" s="1"/>
  <c r="H25" i="76" s="1"/>
  <c r="H11" i="74"/>
  <c r="H9" i="64" s="1"/>
  <c r="H111" i="64" s="1"/>
  <c r="H26" i="76" s="1"/>
  <c r="H12" i="74"/>
  <c r="H10" i="64" s="1"/>
  <c r="H112" i="64" s="1"/>
  <c r="H27" i="76" s="1"/>
  <c r="H9" i="74"/>
  <c r="H7" i="64" s="1"/>
  <c r="H109" i="64" s="1"/>
  <c r="H24" i="76" s="1"/>
  <c r="I29" i="74"/>
  <c r="H27" i="64"/>
  <c r="H123" i="64" s="1"/>
  <c r="H38" i="76" s="1"/>
  <c r="H16" i="74"/>
  <c r="H14" i="64" s="1"/>
  <c r="H13" i="74"/>
  <c r="H11" i="64" s="1"/>
  <c r="H113" i="64" s="1"/>
  <c r="H28" i="76" s="1"/>
  <c r="H8" i="74"/>
  <c r="H6" i="64" s="1"/>
  <c r="H108" i="64" s="1"/>
  <c r="H23" i="76" s="1"/>
  <c r="J47" i="76"/>
  <c r="H208" i="17"/>
  <c r="H153" i="17" s="1"/>
  <c r="J208" i="17"/>
  <c r="J153" i="17" s="1"/>
  <c r="G208" i="17"/>
  <c r="G153" i="17" s="1"/>
  <c r="K208" i="17"/>
  <c r="K153" i="17" s="1"/>
  <c r="I208" i="17"/>
  <c r="I153" i="17" s="1"/>
  <c r="H129" i="64" l="1"/>
  <c r="H130" i="64"/>
  <c r="H134" i="64" s="1"/>
  <c r="H43" i="76" s="1"/>
  <c r="I12" i="74"/>
  <c r="I10" i="64" s="1"/>
  <c r="I112" i="64" s="1"/>
  <c r="I27" i="76" s="1"/>
  <c r="I27" i="64"/>
  <c r="I123" i="64" s="1"/>
  <c r="I38" i="76" s="1"/>
  <c r="I8" i="74"/>
  <c r="I6" i="64" s="1"/>
  <c r="I108" i="64" s="1"/>
  <c r="I23" i="76" s="1"/>
  <c r="I14" i="74"/>
  <c r="I12" i="64" s="1"/>
  <c r="I114" i="64" s="1"/>
  <c r="I10" i="74"/>
  <c r="I8" i="64" s="1"/>
  <c r="I110" i="64" s="1"/>
  <c r="I25" i="76" s="1"/>
  <c r="I9" i="74"/>
  <c r="I7" i="64" s="1"/>
  <c r="I109" i="64" s="1"/>
  <c r="I24" i="76" s="1"/>
  <c r="I15" i="74"/>
  <c r="I13" i="64" s="1"/>
  <c r="I116" i="64" s="1"/>
  <c r="I31" i="76" s="1"/>
  <c r="I11" i="74"/>
  <c r="I9" i="64" s="1"/>
  <c r="I111" i="64" s="1"/>
  <c r="I26" i="76" s="1"/>
  <c r="I16" i="74"/>
  <c r="I14" i="64" s="1"/>
  <c r="I13" i="74"/>
  <c r="I11" i="64" s="1"/>
  <c r="I113" i="64" s="1"/>
  <c r="I28" i="76" s="1"/>
  <c r="E165" i="17"/>
  <c r="E111" i="17" s="1"/>
  <c r="D165" i="17"/>
  <c r="D111" i="17" s="1"/>
  <c r="D167" i="17"/>
  <c r="I129" i="64" l="1"/>
  <c r="I131" i="64" s="1"/>
  <c r="I132" i="64" s="1"/>
  <c r="I130" i="64"/>
  <c r="I134" i="64" s="1"/>
  <c r="I43" i="76" s="1"/>
  <c r="I29" i="76"/>
  <c r="I115" i="64"/>
  <c r="D185" i="17"/>
  <c r="D113" i="17"/>
  <c r="D33" i="64" a="1"/>
  <c r="D33" i="64" s="1"/>
  <c r="I47" i="76" l="1"/>
  <c r="I30" i="76"/>
  <c r="I117" i="64"/>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D19" i="76" a="1"/>
  <c r="D19" i="76" s="1"/>
  <c r="B145" i="64"/>
  <c r="I32" i="76" l="1"/>
  <c r="I119" i="64"/>
  <c r="J19" i="65"/>
  <c r="J18" i="65"/>
  <c r="K21" i="65"/>
  <c r="I34" i="76" l="1"/>
  <c r="I121" i="64"/>
  <c r="D163" i="17"/>
  <c r="D109" i="17" s="1"/>
  <c r="E200" i="17"/>
  <c r="E145" i="17" s="1"/>
  <c r="E20" i="17" s="1" a="1"/>
  <c r="E20"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34" i="17"/>
  <c r="E134" i="17"/>
  <c r="I36" i="76" l="1"/>
  <c r="I125" i="64"/>
  <c r="I40" i="76" s="1"/>
  <c r="I128" i="64"/>
  <c r="I135" i="64" s="1"/>
  <c r="I136" i="64"/>
  <c r="E118" i="17"/>
  <c r="E184" i="17"/>
  <c r="E129" i="17" s="1"/>
  <c r="E131" i="17" s="1"/>
  <c r="E135" i="17" s="1"/>
  <c r="E201" i="17"/>
  <c r="E146" i="17" s="1"/>
  <c r="E205" i="17"/>
  <c r="E150" i="17" s="1"/>
  <c r="E7" i="17" a="1"/>
  <c r="F201" i="17"/>
  <c r="F146" i="17" s="1"/>
  <c r="D184" i="17"/>
  <c r="D129" i="17" s="1"/>
  <c r="D131" i="17" s="1"/>
  <c r="D135" i="17" s="1"/>
  <c r="D166" i="17"/>
  <c r="D112" i="17" s="1"/>
  <c r="E166" i="17"/>
  <c r="E112" i="17" s="1"/>
  <c r="D205" i="17"/>
  <c r="D150" i="17" s="1"/>
  <c r="I137" i="64" l="1"/>
  <c r="I138" i="64" s="1"/>
  <c r="I139" i="64"/>
  <c r="E21" i="17" a="1"/>
  <c r="E6" i="17" a="1"/>
  <c r="E6" i="17" s="1"/>
  <c r="D8" i="74" s="1"/>
  <c r="G8" i="74"/>
  <c r="K111" i="65"/>
  <c r="L111" i="65"/>
  <c r="G22" i="74"/>
  <c r="G9" i="74"/>
  <c r="G7" i="64" s="1"/>
  <c r="G13" i="74"/>
  <c r="G11" i="64" s="1"/>
  <c r="F13" i="74"/>
  <c r="F11" i="64" s="1"/>
  <c r="E13" i="74"/>
  <c r="E11" i="64" s="1"/>
  <c r="D13" i="74"/>
  <c r="E22" i="74"/>
  <c r="F22" i="74"/>
  <c r="E9" i="74"/>
  <c r="E7" i="64" s="1"/>
  <c r="F9" i="74"/>
  <c r="F7" i="64" s="1"/>
  <c r="D22" i="74"/>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I140" i="64" l="1"/>
  <c r="I142" i="64" s="1"/>
  <c r="I148" i="64" s="1"/>
  <c r="E21" i="17"/>
  <c r="D23" i="74" s="1"/>
  <c r="G21" i="64"/>
  <c r="E23" i="74"/>
  <c r="E21" i="64"/>
  <c r="F23" i="74"/>
  <c r="F21" i="64" s="1"/>
  <c r="F8" i="74"/>
  <c r="F6" i="64" s="1"/>
  <c r="E8" i="74"/>
  <c r="E139" i="17"/>
  <c r="E17" i="17" s="1" a="1"/>
  <c r="E19" i="74" s="1"/>
  <c r="G14" i="74"/>
  <c r="E14" i="74"/>
  <c r="F14" i="74"/>
  <c r="E12" i="17"/>
  <c r="D14" i="74" s="1"/>
  <c r="D6" i="64"/>
  <c r="E27" i="64"/>
  <c r="F27" i="64"/>
  <c r="G27" i="64"/>
  <c r="E6" i="64"/>
  <c r="G6" i="64"/>
  <c r="E20" i="64"/>
  <c r="G20" i="64"/>
  <c r="H111" i="65" s="1"/>
  <c r="I111" i="65"/>
  <c r="J111" i="65"/>
  <c r="F20" i="64"/>
  <c r="G111" i="65" s="1"/>
  <c r="D13" i="64"/>
  <c r="D14" i="64"/>
  <c r="D9" i="64"/>
  <c r="D18" i="64"/>
  <c r="D7" i="64"/>
  <c r="D19" i="64"/>
  <c r="D27" i="64"/>
  <c r="D20" i="64"/>
  <c r="C199" i="64" s="1"/>
  <c r="D8" i="64"/>
  <c r="D11" i="64"/>
  <c r="D10" i="64"/>
  <c r="D195" i="17"/>
  <c r="D140" i="17" s="1"/>
  <c r="E195" i="17"/>
  <c r="E140" i="17" s="1"/>
  <c r="D21" i="64" l="1"/>
  <c r="C200" i="64"/>
  <c r="G19" i="74"/>
  <c r="E17" i="17"/>
  <c r="D19" i="74" s="1"/>
  <c r="F19" i="74"/>
  <c r="E15" i="17" a="1"/>
  <c r="C164" i="64"/>
  <c r="F111" i="65"/>
  <c r="F65" i="65"/>
  <c r="E111" i="65"/>
  <c r="E65" i="65"/>
  <c r="D203" i="17"/>
  <c r="D148" i="17" s="1"/>
  <c r="E203" i="17"/>
  <c r="E148" i="17" s="1"/>
  <c r="I46" i="76" l="1"/>
  <c r="E17" i="74"/>
  <c r="E18" i="74" s="1"/>
  <c r="F17" i="74"/>
  <c r="F15" i="64" s="1"/>
  <c r="G15" i="64"/>
  <c r="E15" i="17"/>
  <c r="D17" i="74" s="1"/>
  <c r="E17" i="64"/>
  <c r="G17" i="64"/>
  <c r="F17" i="64"/>
  <c r="E12" i="64"/>
  <c r="G12" i="64"/>
  <c r="F12" i="64"/>
  <c r="D12" i="64"/>
  <c r="D17" i="64"/>
  <c r="E208" i="17"/>
  <c r="E153" i="17" s="1"/>
  <c r="D208" i="17"/>
  <c r="D153" i="17" s="1"/>
  <c r="E15" i="64" l="1"/>
  <c r="F18" i="74"/>
  <c r="G18" i="74" s="1"/>
  <c r="H18" i="74" s="1"/>
  <c r="C204" i="64"/>
  <c r="C203" i="64"/>
  <c r="Q7" i="47" s="1"/>
  <c r="E16" i="17" a="1"/>
  <c r="F16" i="64" s="1"/>
  <c r="C224" i="64"/>
  <c r="C225" i="64" s="1" a="1"/>
  <c r="C225" i="64" s="1"/>
  <c r="C226" i="64"/>
  <c r="I18" i="74" l="1"/>
  <c r="I16" i="64" s="1"/>
  <c r="H16" i="64"/>
  <c r="B3" i="21"/>
  <c r="E16" i="17"/>
  <c r="D15" i="64"/>
  <c r="C78" i="65"/>
  <c r="V39" i="65"/>
  <c r="W39" i="65"/>
  <c r="U43" i="65"/>
  <c r="V43" i="65"/>
  <c r="W43" i="65"/>
  <c r="U49" i="65"/>
  <c r="V49" i="65"/>
  <c r="W49" i="65"/>
  <c r="U83" i="65"/>
  <c r="V83" i="65"/>
  <c r="W83" i="65"/>
  <c r="U93" i="65"/>
  <c r="V93" i="65"/>
  <c r="W93" i="65"/>
  <c r="C96" i="64" l="1" a="1"/>
  <c r="C96" i="64" s="1"/>
  <c r="C97" i="64" a="1"/>
  <c r="C97" i="64" s="1"/>
  <c r="C95" i="64" a="1"/>
  <c r="C95" i="64" s="1"/>
  <c r="C98" i="64" a="1"/>
  <c r="C98" i="64" s="1"/>
  <c r="C94" i="64" a="1"/>
  <c r="C94" i="64" s="1"/>
  <c r="B40" i="75"/>
  <c r="W79" i="65"/>
  <c r="W84" i="65" s="1"/>
  <c r="V79" i="65"/>
  <c r="V84" i="65" s="1"/>
  <c r="K18" i="65" l="1"/>
  <c r="K19" i="65"/>
  <c r="E16" i="64"/>
  <c r="G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E43" i="69"/>
  <c r="E42" i="69"/>
  <c r="E41" i="69"/>
  <c r="E40" i="69"/>
  <c r="E39" i="69"/>
  <c r="E38" i="69"/>
  <c r="E37" i="69"/>
  <c r="E36" i="69"/>
  <c r="E35" i="69"/>
  <c r="E34" i="69"/>
  <c r="E33" i="69"/>
  <c r="E32" i="69"/>
  <c r="E31" i="69"/>
  <c r="E18" i="69"/>
  <c r="F12" i="21"/>
  <c r="D12" i="21"/>
  <c r="C312" i="64"/>
  <c r="C50" i="76" l="1" a="1"/>
  <c r="D32" i="64" a="1"/>
  <c r="D32" i="64" s="1"/>
  <c r="C232" i="64" s="1"/>
  <c r="P70" i="65"/>
  <c r="Q70" i="65"/>
  <c r="R70" i="65"/>
  <c r="S70" i="65"/>
  <c r="T70" i="65"/>
  <c r="U70" i="65"/>
  <c r="V70" i="65"/>
  <c r="W70" i="65"/>
  <c r="T49" i="65"/>
  <c r="S49" i="65"/>
  <c r="R49" i="65"/>
  <c r="Q49" i="65"/>
  <c r="P49" i="65"/>
  <c r="O49" i="65"/>
  <c r="K134" i="65"/>
  <c r="L134" i="65"/>
  <c r="M134" i="65"/>
  <c r="N134" i="65"/>
  <c r="L49" i="65"/>
  <c r="M49" i="65"/>
  <c r="N49" i="65"/>
  <c r="O59" i="65"/>
  <c r="F43" i="65"/>
  <c r="E46"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I51" i="76" l="1"/>
  <c r="C69" i="76" a="1"/>
  <c r="C69" i="76" s="1"/>
  <c r="C70" i="76" a="1"/>
  <c r="C70" i="76" s="1"/>
  <c r="C71" i="76" a="1"/>
  <c r="C71" i="76" s="1"/>
  <c r="C73" i="76" a="1"/>
  <c r="C73" i="76" s="1"/>
  <c r="C74" i="76" a="1"/>
  <c r="C74" i="76" s="1"/>
  <c r="C72" i="76" a="1"/>
  <c r="C72" i="76" s="1"/>
  <c r="C67" i="76" a="1"/>
  <c r="C67" i="76" s="1"/>
  <c r="C56" i="76" a="1"/>
  <c r="C56" i="76" s="1"/>
  <c r="C62" i="76" a="1"/>
  <c r="C62" i="76" s="1"/>
  <c r="C52" i="76" a="1"/>
  <c r="C52" i="76" s="1"/>
  <c r="C58" i="76" a="1"/>
  <c r="C58" i="76" s="1"/>
  <c r="C65" i="76" a="1"/>
  <c r="C65" i="76" s="1"/>
  <c r="C54" i="76" a="1"/>
  <c r="C54" i="76" s="1"/>
  <c r="C60" i="76" a="1"/>
  <c r="C60" i="76" s="1"/>
  <c r="E51" i="76"/>
  <c r="D51" i="76"/>
  <c r="C50" i="76"/>
  <c r="C51" i="76" s="1"/>
  <c r="H51" i="76"/>
  <c r="G51" i="76"/>
  <c r="F51" i="76"/>
  <c r="C55" i="76" a="1"/>
  <c r="C55" i="76" s="1"/>
  <c r="C61" i="76" a="1"/>
  <c r="C61" i="76" s="1"/>
  <c r="C63" i="76" a="1"/>
  <c r="C63" i="76" s="1"/>
  <c r="C66" i="76" a="1"/>
  <c r="C66" i="76" s="1"/>
  <c r="C57" i="76" a="1"/>
  <c r="C57" i="76" s="1"/>
  <c r="C59" i="76" a="1"/>
  <c r="C59" i="76" s="1"/>
  <c r="C53" i="76" a="1"/>
  <c r="C53" i="76" s="1"/>
  <c r="C68" i="76" a="1"/>
  <c r="C68" i="76" s="1"/>
  <c r="N59" i="65"/>
  <c r="M59" i="65"/>
  <c r="L59" i="65"/>
  <c r="L70" i="65"/>
  <c r="O70" i="65"/>
  <c r="N70" i="65"/>
  <c r="M70" i="65"/>
  <c r="K49" i="65"/>
  <c r="D172" i="64" a="1"/>
  <c r="D172" i="64" s="1"/>
  <c r="M326" i="64" l="1"/>
  <c r="I65" i="65" l="1"/>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6" i="65"/>
  <c r="V106" i="65"/>
  <c r="W106" i="65"/>
  <c r="U107" i="65"/>
  <c r="V107" i="65"/>
  <c r="W107" i="65"/>
  <c r="U108" i="65"/>
  <c r="V108" i="65"/>
  <c r="W108" i="65"/>
  <c r="U109" i="65"/>
  <c r="V109" i="65"/>
  <c r="W109" i="65"/>
  <c r="U110" i="65"/>
  <c r="V110" i="65"/>
  <c r="W110" i="65"/>
  <c r="G109" i="64" l="1"/>
  <c r="G24" i="76" s="1"/>
  <c r="F109" i="64"/>
  <c r="F24" i="76" s="1"/>
  <c r="G116" i="64"/>
  <c r="G31" i="76" s="1"/>
  <c r="G108" i="64"/>
  <c r="G23" i="76" s="1"/>
  <c r="F108" i="64"/>
  <c r="F23" i="76" s="1"/>
  <c r="G114" i="64"/>
  <c r="H115" i="64" s="1"/>
  <c r="F114" i="64"/>
  <c r="F29" i="76" s="1"/>
  <c r="G113" i="64"/>
  <c r="G28" i="76" s="1"/>
  <c r="G110" i="64"/>
  <c r="G25" i="76" s="1"/>
  <c r="F116" i="64"/>
  <c r="F31" i="76" s="1"/>
  <c r="F113" i="64"/>
  <c r="F28" i="76" s="1"/>
  <c r="H65" i="65"/>
  <c r="F112" i="64"/>
  <c r="F27" i="76" s="1"/>
  <c r="G123" i="64"/>
  <c r="G38" i="76" s="1"/>
  <c r="G111" i="64"/>
  <c r="G26" i="76" s="1"/>
  <c r="F123" i="64"/>
  <c r="F38" i="76" s="1"/>
  <c r="E113" i="64"/>
  <c r="E28" i="76" s="1"/>
  <c r="E111" i="64"/>
  <c r="E26" i="76" s="1"/>
  <c r="E108" i="64"/>
  <c r="E23" i="76" s="1"/>
  <c r="E110" i="64"/>
  <c r="E25" i="76" s="1"/>
  <c r="E112" i="64"/>
  <c r="E27" i="76" s="1"/>
  <c r="E116" i="64"/>
  <c r="E31" i="76" s="1"/>
  <c r="E109" i="64"/>
  <c r="E24" i="76" s="1"/>
  <c r="E123" i="64"/>
  <c r="E38" i="76" s="1"/>
  <c r="E114" i="64"/>
  <c r="E29" i="76" s="1"/>
  <c r="F110" i="64"/>
  <c r="F25" i="76" s="1"/>
  <c r="G65" i="65"/>
  <c r="F111" i="64"/>
  <c r="F26" i="76" s="1"/>
  <c r="G112" i="64"/>
  <c r="G27" i="76" s="1"/>
  <c r="U65" i="65"/>
  <c r="W65" i="65"/>
  <c r="V65" i="65"/>
  <c r="C221" i="64"/>
  <c r="M4" i="65"/>
  <c r="L4" i="65"/>
  <c r="K4" i="65"/>
  <c r="C306" i="64"/>
  <c r="A32" i="47"/>
  <c r="F39" i="65"/>
  <c r="G79" i="65"/>
  <c r="H39" i="65"/>
  <c r="I79" i="65"/>
  <c r="J39" i="65"/>
  <c r="K39" i="65"/>
  <c r="L79" i="65"/>
  <c r="M39" i="65"/>
  <c r="N39" i="65"/>
  <c r="O79" i="65"/>
  <c r="P39" i="65"/>
  <c r="Q79" i="65"/>
  <c r="R39" i="65"/>
  <c r="S39" i="65"/>
  <c r="T39" i="65"/>
  <c r="H30" i="76" l="1"/>
  <c r="H117" i="64"/>
  <c r="G29" i="76"/>
  <c r="C308" i="64"/>
  <c r="C303" i="64" a="1"/>
  <c r="C303" i="64" s="1"/>
  <c r="C304" i="64" s="1" a="1"/>
  <c r="C304" i="64" s="1"/>
  <c r="F11" i="21"/>
  <c r="D123" i="64"/>
  <c r="D38" i="76" s="1"/>
  <c r="D108" i="64"/>
  <c r="D23" i="76" s="1"/>
  <c r="D109" i="64"/>
  <c r="D24" i="76" s="1"/>
  <c r="D112" i="64"/>
  <c r="D27" i="76" s="1"/>
  <c r="D113" i="64"/>
  <c r="D28" i="76" s="1"/>
  <c r="D110" i="64"/>
  <c r="D25" i="76" s="1"/>
  <c r="D111" i="64"/>
  <c r="D26" i="76" s="1"/>
  <c r="D114" i="64"/>
  <c r="G115" i="64"/>
  <c r="E130" i="64"/>
  <c r="E134" i="64" s="1"/>
  <c r="E133" i="64" s="1"/>
  <c r="E129" i="64"/>
  <c r="G130" i="64"/>
  <c r="G134" i="64" s="1"/>
  <c r="H131" i="64"/>
  <c r="H132" i="64" s="1"/>
  <c r="F130" i="64"/>
  <c r="F134" i="64" s="1"/>
  <c r="F129" i="64"/>
  <c r="F115" i="64"/>
  <c r="D5" i="64" a="1"/>
  <c r="D5" i="64" s="1"/>
  <c r="C189" i="64" a="1"/>
  <c r="C189" i="64" s="1"/>
  <c r="C188" i="64" a="1"/>
  <c r="C188" i="64" s="1"/>
  <c r="U39" i="65"/>
  <c r="U79" i="65"/>
  <c r="J79" i="65"/>
  <c r="J44" i="65" s="1"/>
  <c r="H79" i="65"/>
  <c r="H44" i="65" s="1"/>
  <c r="F79" i="65"/>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305" i="64"/>
  <c r="H32" i="76" l="1"/>
  <c r="H119" i="64"/>
  <c r="F44" i="65"/>
  <c r="G43" i="76"/>
  <c r="G133" i="64"/>
  <c r="F43" i="76"/>
  <c r="F133" i="64"/>
  <c r="F131" i="64"/>
  <c r="F132" i="64" s="1"/>
  <c r="G131" i="64"/>
  <c r="G117" i="64"/>
  <c r="G30" i="76"/>
  <c r="E115" i="64"/>
  <c r="D29" i="76"/>
  <c r="F117" i="64"/>
  <c r="F30" i="76"/>
  <c r="F19" i="21"/>
  <c r="D130" i="64"/>
  <c r="D129" i="64"/>
  <c r="E131" i="64" s="1"/>
  <c r="E132" i="64" s="1"/>
  <c r="U44" i="65"/>
  <c r="U84" i="65"/>
  <c r="F84" i="65"/>
  <c r="P84" i="65"/>
  <c r="H84" i="65"/>
  <c r="J84" i="65"/>
  <c r="N44" i="65"/>
  <c r="M44" i="65"/>
  <c r="R44" i="65"/>
  <c r="T44" i="65"/>
  <c r="K44" i="65"/>
  <c r="S44" i="65"/>
  <c r="C307" i="64"/>
  <c r="E120" i="64"/>
  <c r="M288" i="64"/>
  <c r="F120" i="64"/>
  <c r="G120" i="64"/>
  <c r="H34" i="76" l="1"/>
  <c r="H121" i="64"/>
  <c r="E117" i="64"/>
  <c r="E30" i="76"/>
  <c r="G132" i="64"/>
  <c r="G35" i="76"/>
  <c r="G119" i="64"/>
  <c r="G34" i="76" s="1"/>
  <c r="G32" i="76"/>
  <c r="E35" i="76"/>
  <c r="F119" i="64"/>
  <c r="F34" i="76" s="1"/>
  <c r="F32" i="76"/>
  <c r="F35" i="76"/>
  <c r="B35" i="75"/>
  <c r="B42" i="75"/>
  <c r="B39" i="75"/>
  <c r="B64" i="64" s="1"/>
  <c r="B41" i="75"/>
  <c r="B66" i="64" s="1"/>
  <c r="B65" i="64"/>
  <c r="E19" i="21"/>
  <c r="D19" i="21" s="1"/>
  <c r="G49" i="65"/>
  <c r="H70" i="65"/>
  <c r="J134" i="65"/>
  <c r="I134" i="65"/>
  <c r="H134" i="65"/>
  <c r="G134" i="65"/>
  <c r="F134" i="65"/>
  <c r="I4" i="65"/>
  <c r="F4" i="65"/>
  <c r="H4" i="65"/>
  <c r="J4" i="65"/>
  <c r="G4" i="65"/>
  <c r="H36" i="76" l="1"/>
  <c r="H125" i="64"/>
  <c r="H40" i="76" s="1"/>
  <c r="H128" i="64"/>
  <c r="H135" i="64" s="1"/>
  <c r="H136" i="64"/>
  <c r="F121" i="64"/>
  <c r="F136" i="64" s="1"/>
  <c r="F137" i="64" s="1"/>
  <c r="F138" i="64" s="1"/>
  <c r="G121" i="64"/>
  <c r="E119" i="64"/>
  <c r="E32" i="76"/>
  <c r="C93" i="64" a="1"/>
  <c r="C93" i="64" s="1"/>
  <c r="I19" i="65"/>
  <c r="I18" i="65"/>
  <c r="H29" i="65"/>
  <c r="I59" i="65"/>
  <c r="I29" i="65"/>
  <c r="J59" i="65"/>
  <c r="F29" i="65"/>
  <c r="G59" i="65"/>
  <c r="J29" i="65"/>
  <c r="K59" i="65"/>
  <c r="G29" i="65"/>
  <c r="H59" i="65"/>
  <c r="E29" i="65"/>
  <c r="I70" i="65"/>
  <c r="J70" i="65"/>
  <c r="K70" i="65"/>
  <c r="G70" i="65"/>
  <c r="J49" i="65"/>
  <c r="F49" i="65"/>
  <c r="I49" i="65"/>
  <c r="H49" i="65"/>
  <c r="H137" i="64" l="1"/>
  <c r="H138" i="64" s="1"/>
  <c r="H139" i="64"/>
  <c r="F36" i="76"/>
  <c r="F125" i="64"/>
  <c r="F40" i="76" s="1"/>
  <c r="F128" i="64"/>
  <c r="F135" i="64" s="1"/>
  <c r="E34" i="76"/>
  <c r="E121" i="64"/>
  <c r="F139" i="64"/>
  <c r="G125" i="64"/>
  <c r="G40" i="76" s="1"/>
  <c r="G36" i="76"/>
  <c r="G128" i="64"/>
  <c r="G135" i="64" s="1"/>
  <c r="G136" i="64"/>
  <c r="F101" i="65"/>
  <c r="G101" i="65"/>
  <c r="H101" i="65"/>
  <c r="I101" i="65"/>
  <c r="J101" i="65"/>
  <c r="K101" i="65"/>
  <c r="L101" i="65"/>
  <c r="M101" i="65"/>
  <c r="N101" i="65"/>
  <c r="O101" i="65"/>
  <c r="P101" i="65"/>
  <c r="Q101" i="65"/>
  <c r="R101" i="65"/>
  <c r="S101" i="65"/>
  <c r="T101"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40" i="64" l="1"/>
  <c r="H142" i="64" s="1"/>
  <c r="H148" i="64" s="1"/>
  <c r="J122" i="64"/>
  <c r="F140" i="64"/>
  <c r="G137" i="64"/>
  <c r="G138" i="64" s="1"/>
  <c r="G139" i="64"/>
  <c r="E36" i="76"/>
  <c r="E136" i="64"/>
  <c r="E122" i="64"/>
  <c r="E125" i="64"/>
  <c r="E128" i="64"/>
  <c r="E135" i="64" s="1"/>
  <c r="D174" i="64" a="1"/>
  <c r="D173" i="64" a="1"/>
  <c r="J176" i="64" s="1"/>
  <c r="R109" i="65"/>
  <c r="P109" i="65"/>
  <c r="G109" i="65"/>
  <c r="Q109" i="65"/>
  <c r="O109" i="65"/>
  <c r="E109" i="65"/>
  <c r="T109" i="65"/>
  <c r="N109" i="65"/>
  <c r="I109" i="65"/>
  <c r="M109" i="65"/>
  <c r="J109" i="65"/>
  <c r="F109" i="65"/>
  <c r="S109" i="65"/>
  <c r="L109" i="65"/>
  <c r="K109" i="65"/>
  <c r="J37" i="76" l="1"/>
  <c r="J126" i="64"/>
  <c r="F142" i="64"/>
  <c r="E40" i="76"/>
  <c r="C156" i="64" a="1"/>
  <c r="C156" i="64" s="1"/>
  <c r="E126" i="64"/>
  <c r="E37" i="76"/>
  <c r="F122" i="64"/>
  <c r="E139" i="64"/>
  <c r="E137" i="64"/>
  <c r="E138" i="64" s="1"/>
  <c r="F21" i="65"/>
  <c r="I21" i="65"/>
  <c r="J21" i="65"/>
  <c r="H176" i="64"/>
  <c r="I176" i="64"/>
  <c r="D173" i="64"/>
  <c r="D176" i="64" s="1"/>
  <c r="G176" i="64"/>
  <c r="E176" i="64"/>
  <c r="F176" i="64"/>
  <c r="D174" i="64"/>
  <c r="E175" i="64" s="1" a="1"/>
  <c r="E175" i="64" s="1"/>
  <c r="J41" i="76" l="1"/>
  <c r="J144" i="64"/>
  <c r="J45" i="76" s="1"/>
  <c r="J141" i="64"/>
  <c r="J143" i="64" s="1"/>
  <c r="J149" i="64" s="1"/>
  <c r="F44" i="76"/>
  <c r="G18" i="65"/>
  <c r="G19" i="65"/>
  <c r="F148" i="64"/>
  <c r="E41" i="76"/>
  <c r="E144" i="64"/>
  <c r="E140" i="64"/>
  <c r="G140" i="64"/>
  <c r="G122" i="64"/>
  <c r="H122" i="64" s="1"/>
  <c r="F37" i="76"/>
  <c r="F126" i="64"/>
  <c r="F114" i="65"/>
  <c r="G114" i="65"/>
  <c r="H114" i="65"/>
  <c r="I114" i="65"/>
  <c r="J114" i="65"/>
  <c r="K114" i="65"/>
  <c r="L114" i="65"/>
  <c r="M114" i="65"/>
  <c r="N114" i="65"/>
  <c r="O114" i="65"/>
  <c r="P114" i="65"/>
  <c r="Q114" i="65"/>
  <c r="R114" i="65"/>
  <c r="S114" i="65"/>
  <c r="T114" i="65"/>
  <c r="H37" i="76" l="1"/>
  <c r="H126" i="64"/>
  <c r="I122" i="64"/>
  <c r="F41" i="76"/>
  <c r="F144" i="64"/>
  <c r="G142" i="64"/>
  <c r="G44" i="76" s="1"/>
  <c r="E142" i="64"/>
  <c r="E44" i="76" s="1"/>
  <c r="E141" i="64"/>
  <c r="E143" i="64" s="1"/>
  <c r="G37" i="76"/>
  <c r="G126" i="64"/>
  <c r="I37" i="76" l="1"/>
  <c r="I126" i="64"/>
  <c r="H41" i="76"/>
  <c r="H144" i="64"/>
  <c r="H45" i="76" s="1"/>
  <c r="H19" i="65"/>
  <c r="H18" i="65"/>
  <c r="F45" i="76"/>
  <c r="G41" i="76"/>
  <c r="G144" i="64"/>
  <c r="F141" i="64"/>
  <c r="C153" i="64"/>
  <c r="C151" i="64"/>
  <c r="G148" i="64"/>
  <c r="E4" i="69"/>
  <c r="I41" i="76" l="1"/>
  <c r="I144" i="64"/>
  <c r="I45" i="76" s="1"/>
  <c r="G45" i="76"/>
  <c r="F143" i="64"/>
  <c r="G141" i="64"/>
  <c r="H141" i="64" s="1"/>
  <c r="E3" i="69"/>
  <c r="E28" i="69"/>
  <c r="E27" i="69"/>
  <c r="E26" i="69"/>
  <c r="E25" i="69"/>
  <c r="E24" i="69"/>
  <c r="E23" i="69"/>
  <c r="E22" i="69"/>
  <c r="E21" i="69"/>
  <c r="E20" i="69"/>
  <c r="E19" i="69"/>
  <c r="E17" i="69"/>
  <c r="E16" i="69"/>
  <c r="E15" i="69"/>
  <c r="E14" i="69"/>
  <c r="E13" i="69"/>
  <c r="E12" i="69"/>
  <c r="E11" i="69"/>
  <c r="E10" i="69"/>
  <c r="E9" i="69"/>
  <c r="H143" i="64" l="1"/>
  <c r="H149" i="64" s="1"/>
  <c r="I141" i="64"/>
  <c r="I143" i="64" s="1"/>
  <c r="I149" i="64" s="1"/>
  <c r="G143" i="64"/>
  <c r="C154" i="64" s="1"/>
  <c r="F149" i="64"/>
  <c r="C186" i="64" a="1"/>
  <c r="C186" i="64" s="1"/>
  <c r="C187" i="64" a="1"/>
  <c r="C187" i="64" s="1"/>
  <c r="C190" i="64" s="1"/>
  <c r="D14" i="76" s="1"/>
  <c r="W47" i="64"/>
  <c r="W63" i="64"/>
  <c r="D62" i="64" a="1"/>
  <c r="B246" i="64"/>
  <c r="C233" i="64"/>
  <c r="C234" i="64" s="1"/>
  <c r="D322" i="64" a="1"/>
  <c r="D46" i="64" a="1"/>
  <c r="B346" i="64"/>
  <c r="B345" i="64"/>
  <c r="D286" i="64" a="1"/>
  <c r="D287" i="64" s="1" a="1"/>
  <c r="E2" i="65" a="1"/>
  <c r="T47" i="64" l="1"/>
  <c r="V47" i="64"/>
  <c r="U47" i="64"/>
  <c r="W54" i="65" a="1"/>
  <c r="W54" i="65" s="1"/>
  <c r="U54" i="65" a="1"/>
  <c r="U54" i="65" s="1"/>
  <c r="V54" i="65" a="1"/>
  <c r="V54" i="65" s="1"/>
  <c r="W62" i="65" a="1"/>
  <c r="W62" i="65" s="1"/>
  <c r="W64" i="65" s="1"/>
  <c r="V63" i="65" a="1"/>
  <c r="V63" i="65" s="1"/>
  <c r="W15" i="65" a="1"/>
  <c r="W15" i="65" s="1"/>
  <c r="W16" i="65" s="1"/>
  <c r="U62" i="65" a="1"/>
  <c r="U62" i="65" s="1"/>
  <c r="U64" i="65" s="1"/>
  <c r="V62" i="65" a="1"/>
  <c r="V62" i="65" s="1"/>
  <c r="V64" i="65" s="1"/>
  <c r="U63" i="65" a="1"/>
  <c r="U63" i="65" s="1"/>
  <c r="W63" i="65" a="1"/>
  <c r="W63" i="65" s="1"/>
  <c r="V15" i="65" a="1"/>
  <c r="V15" i="65" s="1"/>
  <c r="V16" i="65" s="1"/>
  <c r="U15" i="65" a="1"/>
  <c r="U15" i="65" s="1"/>
  <c r="U16" i="65" s="1"/>
  <c r="H54" i="65" a="1"/>
  <c r="H54" i="65" s="1"/>
  <c r="N54" i="65" a="1"/>
  <c r="N54" i="65" s="1"/>
  <c r="Q54" i="65" a="1"/>
  <c r="Q54" i="65" s="1"/>
  <c r="T54" i="65" a="1"/>
  <c r="T54" i="65" s="1"/>
  <c r="I54" i="65" a="1"/>
  <c r="I54" i="65" s="1"/>
  <c r="P54" i="65" a="1"/>
  <c r="P54" i="65" s="1"/>
  <c r="J54" i="65" a="1"/>
  <c r="J54" i="65" s="1"/>
  <c r="K54" i="65" a="1"/>
  <c r="K54" i="65" s="1"/>
  <c r="L54" i="65" a="1"/>
  <c r="L54" i="65" s="1"/>
  <c r="O54" i="65" a="1"/>
  <c r="O54" i="65" s="1"/>
  <c r="R54" i="65" a="1"/>
  <c r="R54" i="65" s="1"/>
  <c r="S54" i="65" a="1"/>
  <c r="S54" i="65" s="1"/>
  <c r="M54" i="65" a="1"/>
  <c r="M54" i="65" s="1"/>
  <c r="G54" i="65" a="1"/>
  <c r="G54" i="65" s="1"/>
  <c r="F54" i="65" a="1"/>
  <c r="F54" i="65" s="1"/>
  <c r="C14" i="76"/>
  <c r="H62" i="65" a="1"/>
  <c r="H62" i="65" s="1"/>
  <c r="S63" i="65" a="1"/>
  <c r="S63" i="65" s="1"/>
  <c r="P15" i="65" a="1"/>
  <c r="P15" i="65" s="1"/>
  <c r="P16" i="65" s="1"/>
  <c r="I62" i="65" a="1"/>
  <c r="I62" i="65" s="1"/>
  <c r="T63" i="65" a="1"/>
  <c r="T63" i="65" s="1"/>
  <c r="Q15" i="65" a="1"/>
  <c r="Q15" i="65" s="1"/>
  <c r="Q16" i="65" s="1"/>
  <c r="M62" i="65" a="1"/>
  <c r="M62" i="65" s="1"/>
  <c r="J15" i="65" a="1"/>
  <c r="J15" i="65" s="1"/>
  <c r="J16" i="65" s="1"/>
  <c r="O63" i="65" a="1"/>
  <c r="O63" i="65" s="1"/>
  <c r="R63" i="65" a="1"/>
  <c r="R63" i="65" s="1"/>
  <c r="O15" i="65" a="1"/>
  <c r="O15" i="65" s="1"/>
  <c r="O16" i="65" s="1"/>
  <c r="K63" i="65" a="1"/>
  <c r="K63" i="65" s="1"/>
  <c r="N62" i="65" a="1"/>
  <c r="N62" i="65" s="1"/>
  <c r="M63" i="65" a="1"/>
  <c r="M63" i="65" s="1"/>
  <c r="N63" i="65" a="1"/>
  <c r="N63" i="65" s="1"/>
  <c r="Q62" i="65" a="1"/>
  <c r="Q62" i="65" s="1"/>
  <c r="P63" i="65" a="1"/>
  <c r="P63" i="65" s="1"/>
  <c r="S62" i="65" a="1"/>
  <c r="S62" i="65" s="1"/>
  <c r="T62" i="65" a="1"/>
  <c r="T62" i="65" s="1"/>
  <c r="J62" i="65" a="1"/>
  <c r="J62" i="65" s="1"/>
  <c r="H63" i="65" a="1"/>
  <c r="H63" i="65" s="1"/>
  <c r="R15" i="65" a="1"/>
  <c r="R15" i="65" s="1"/>
  <c r="R16" i="65" s="1"/>
  <c r="T15" i="65" a="1"/>
  <c r="T15" i="65" s="1"/>
  <c r="T16" i="65" s="1"/>
  <c r="L63" i="65" a="1"/>
  <c r="L63" i="65" s="1"/>
  <c r="O62" i="65" a="1"/>
  <c r="O62" i="65" s="1"/>
  <c r="P62" i="65" a="1"/>
  <c r="P62" i="65" s="1"/>
  <c r="K15" i="65" a="1"/>
  <c r="K15" i="65" s="1"/>
  <c r="K16" i="65" s="1"/>
  <c r="R62" i="65" a="1"/>
  <c r="R62" i="65" s="1"/>
  <c r="M15" i="65" a="1"/>
  <c r="M15" i="65" s="1"/>
  <c r="M16" i="65" s="1"/>
  <c r="K62" i="65" a="1"/>
  <c r="K62" i="65" s="1"/>
  <c r="I63" i="65" a="1"/>
  <c r="I63" i="65" s="1"/>
  <c r="S15" i="65" a="1"/>
  <c r="S15" i="65" s="1"/>
  <c r="S16" i="65" s="1"/>
  <c r="L62" i="65" a="1"/>
  <c r="L62" i="65" s="1"/>
  <c r="J63" i="65" a="1"/>
  <c r="J63" i="65" s="1"/>
  <c r="H15" i="65" a="1"/>
  <c r="H15" i="65" s="1"/>
  <c r="H16" i="65" s="1"/>
  <c r="I15" i="65" a="1"/>
  <c r="I15" i="65" s="1"/>
  <c r="I16" i="65" s="1"/>
  <c r="L15" i="65" a="1"/>
  <c r="L15" i="65" s="1"/>
  <c r="L16" i="65" s="1"/>
  <c r="Q63" i="65" a="1"/>
  <c r="Q63" i="65" s="1"/>
  <c r="N15" i="65" a="1"/>
  <c r="N15" i="65" s="1"/>
  <c r="N16" i="65" s="1"/>
  <c r="F62" i="65" a="1"/>
  <c r="F62" i="65" s="1"/>
  <c r="F63" i="65" a="1"/>
  <c r="F63" i="65" s="1"/>
  <c r="G42" i="65" a="1"/>
  <c r="G42" i="65" s="1"/>
  <c r="G62" i="65" a="1"/>
  <c r="G62" i="65" s="1"/>
  <c r="F41" i="65" a="1"/>
  <c r="F41" i="65" s="1"/>
  <c r="G63" i="65" a="1"/>
  <c r="G63" i="65" s="1"/>
  <c r="F42" i="65" a="1"/>
  <c r="F42" i="65" s="1"/>
  <c r="F15" i="65" a="1"/>
  <c r="F15" i="65" s="1"/>
  <c r="F16" i="65" s="1"/>
  <c r="G15" i="65" a="1"/>
  <c r="G15" i="65" s="1"/>
  <c r="G16" i="65" s="1"/>
  <c r="C155" i="64" a="1"/>
  <c r="C155" i="64" s="1"/>
  <c r="G149" i="64"/>
  <c r="C152" i="64"/>
  <c r="C158" i="64" a="1"/>
  <c r="C158" i="64" s="1"/>
  <c r="C157" i="64" a="1"/>
  <c r="C157" i="64"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D287" i="64"/>
  <c r="E288" i="64" s="1"/>
  <c r="J288" i="64"/>
  <c r="L288" i="64"/>
  <c r="K288" i="64"/>
  <c r="F138" i="65" a="1"/>
  <c r="F138" i="65" s="1"/>
  <c r="V129" i="65" a="1"/>
  <c r="V129" i="65" s="1"/>
  <c r="V82" i="65" a="1"/>
  <c r="V82" i="65" s="1"/>
  <c r="W129" i="65" a="1"/>
  <c r="W129" i="65" s="1"/>
  <c r="W82" i="65" a="1"/>
  <c r="W82" i="65" s="1"/>
  <c r="U91" i="65" a="1"/>
  <c r="U91" i="65" s="1"/>
  <c r="W118" i="65" a="1"/>
  <c r="W118"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W149" i="65" a="1"/>
  <c r="W149" i="65" s="1"/>
  <c r="W150" i="65" a="1"/>
  <c r="W150" i="65" s="1"/>
  <c r="U149" i="65" a="1"/>
  <c r="U149"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K326" i="64"/>
  <c r="L326" i="64"/>
  <c r="D62" i="64"/>
  <c r="D63" i="64" s="1"/>
  <c r="T63" i="64"/>
  <c r="U63" i="64"/>
  <c r="V63"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24" i="64" a="1"/>
  <c r="D323" i="64" a="1"/>
  <c r="E63" i="64"/>
  <c r="S63" i="64"/>
  <c r="R63" i="64"/>
  <c r="N63" i="64"/>
  <c r="Q63" i="64"/>
  <c r="P63" i="64"/>
  <c r="O63" i="64"/>
  <c r="M63" i="64"/>
  <c r="J63" i="64"/>
  <c r="L63" i="64"/>
  <c r="K63" i="64"/>
  <c r="I63" i="64"/>
  <c r="H63" i="64"/>
  <c r="G63" i="64"/>
  <c r="F63" i="64"/>
  <c r="Q53" i="65" a="1"/>
  <c r="Q53" i="65" s="1"/>
  <c r="I53" i="65" a="1"/>
  <c r="I53" i="65" s="1"/>
  <c r="L53" i="65" a="1"/>
  <c r="L53" i="65" s="1"/>
  <c r="K53" i="65" a="1"/>
  <c r="K53" i="65" s="1"/>
  <c r="P53" i="65" a="1"/>
  <c r="P53" i="65" s="1"/>
  <c r="H53" i="65" a="1"/>
  <c r="H53" i="65" s="1"/>
  <c r="M53" i="65" a="1"/>
  <c r="M53" i="65" s="1"/>
  <c r="R53" i="65" a="1"/>
  <c r="R53" i="65" s="1"/>
  <c r="O53" i="65" a="1"/>
  <c r="O53" i="65" s="1"/>
  <c r="G53" i="65" a="1"/>
  <c r="G53" i="65" s="1"/>
  <c r="N53" i="65" a="1"/>
  <c r="N53" i="65" s="1"/>
  <c r="T53" i="65" a="1"/>
  <c r="T53" i="65" s="1"/>
  <c r="S53" i="65" a="1"/>
  <c r="S53" i="65" s="1"/>
  <c r="J53" i="65" a="1"/>
  <c r="J53"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13" i="64"/>
  <c r="C314" i="64" a="1"/>
  <c r="C314" i="64" s="1"/>
  <c r="C316" i="64" s="1" a="1"/>
  <c r="C316" i="64" s="1"/>
  <c r="D322"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86"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88" i="64"/>
  <c r="G288" i="64"/>
  <c r="I288" i="64"/>
  <c r="F288" i="64"/>
  <c r="E2" i="65"/>
  <c r="D323" i="64" l="1"/>
  <c r="J326" i="64"/>
  <c r="C159" i="64"/>
  <c r="E62" i="65" a="1"/>
  <c r="E62" i="65" s="1"/>
  <c r="E63" i="65" a="1"/>
  <c r="E63" i="65" s="1"/>
  <c r="C161" i="64"/>
  <c r="E11" i="76" s="1"/>
  <c r="C291" i="64" a="1"/>
  <c r="C291" i="64" s="1"/>
  <c r="C290" i="64" a="1"/>
  <c r="C290" i="64" s="1"/>
  <c r="F64" i="65"/>
  <c r="I64" i="65"/>
  <c r="M64" i="65"/>
  <c r="N64" i="65"/>
  <c r="S64" i="65"/>
  <c r="L64" i="65"/>
  <c r="J64" i="65"/>
  <c r="R64" i="65"/>
  <c r="Q64" i="65"/>
  <c r="K64" i="65"/>
  <c r="O64" i="65"/>
  <c r="G64" i="65"/>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25" i="64"/>
  <c r="K325"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26" i="64"/>
  <c r="I326" i="64"/>
  <c r="G326" i="64"/>
  <c r="H326" i="64"/>
  <c r="F51" i="65"/>
  <c r="E326" i="64"/>
  <c r="C315" i="64" a="1"/>
  <c r="C315" i="64" s="1"/>
  <c r="D324" i="64"/>
  <c r="G325" i="64"/>
  <c r="H325" i="64"/>
  <c r="F325" i="64"/>
  <c r="I325" i="64"/>
  <c r="J325" i="64"/>
  <c r="F326"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R40" i="65"/>
  <c r="Q40" i="65"/>
  <c r="T40" i="65"/>
  <c r="G40" i="65"/>
  <c r="E31" i="65"/>
  <c r="E90" i="65"/>
  <c r="C165" i="64" a="1"/>
  <c r="C165"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11" i="76" l="1"/>
  <c r="C11" i="76" s="1"/>
  <c r="E10" i="76"/>
  <c r="C99" i="64"/>
  <c r="D10" i="76" s="1"/>
  <c r="E64" i="65"/>
  <c r="C167" i="64" a="1"/>
  <c r="C167" i="64" s="1"/>
  <c r="D66" i="65"/>
  <c r="D141" i="65"/>
  <c r="D55" i="65"/>
  <c r="D56" i="65"/>
  <c r="C166" i="64" a="1"/>
  <c r="C166" i="64" s="1"/>
  <c r="D67" i="65"/>
  <c r="D142" i="65"/>
  <c r="D12" i="65"/>
  <c r="D11" i="65"/>
  <c r="C207" i="64"/>
  <c r="C208" i="64" s="1"/>
  <c r="B5" i="21" s="1"/>
  <c r="F31" i="65"/>
  <c r="F90" i="65"/>
  <c r="F126" i="65"/>
  <c r="D130" i="65" s="1"/>
  <c r="C10" i="76" l="1"/>
  <c r="D15" i="76"/>
  <c r="D12" i="76"/>
  <c r="C12" i="76" s="1"/>
  <c r="D131" i="65"/>
  <c r="D35" i="65"/>
  <c r="D36" i="65"/>
  <c r="F81" i="65" a="1"/>
  <c r="F81" i="65" s="1"/>
  <c r="F82" i="65" a="1"/>
  <c r="F82" i="65" s="1"/>
  <c r="E15" i="76" l="1"/>
  <c r="C15" i="76"/>
  <c r="B5" i="76"/>
  <c r="D151" i="65"/>
  <c r="F40" i="65"/>
  <c r="F86" i="65"/>
  <c r="F46" i="65"/>
  <c r="F45" i="65"/>
  <c r="F80" i="65"/>
  <c r="F85" i="65"/>
  <c r="F116" i="65"/>
  <c r="D121" i="65" l="1"/>
  <c r="D120" i="65"/>
  <c r="D152" i="65"/>
  <c r="E8" i="69" l="1"/>
  <c r="C169" i="64" l="1"/>
  <c r="E12" i="76" s="1"/>
  <c r="C240" i="64" a="1"/>
  <c r="C240" i="64" s="1"/>
  <c r="C235" i="64"/>
  <c r="C281" i="64" a="1"/>
  <c r="C281" i="64" s="1"/>
  <c r="C279" i="64" a="1"/>
  <c r="C279" i="64" s="1"/>
  <c r="C275" i="64" a="1"/>
  <c r="C275" i="64" s="1"/>
  <c r="C280" i="64" a="1"/>
  <c r="C280" i="64" s="1"/>
  <c r="C274" i="64" a="1"/>
  <c r="C274" i="64" s="1"/>
  <c r="C177" i="64" a="1"/>
  <c r="C177" i="64" s="1"/>
  <c r="C329" i="64"/>
  <c r="C319" i="64"/>
  <c r="C338" i="64" a="1"/>
  <c r="C338" i="64" s="1"/>
  <c r="C328" i="64" a="1"/>
  <c r="C328" i="64" s="1"/>
  <c r="C339" i="64" a="1"/>
  <c r="C339" i="64" s="1"/>
  <c r="E21" i="21"/>
  <c r="D21" i="21" s="1"/>
  <c r="C248" i="64"/>
  <c r="C317" i="64"/>
  <c r="C293" i="64" a="1"/>
  <c r="C293" i="64" s="1"/>
  <c r="C292" i="64" s="1" a="1"/>
  <c r="C292" i="64" s="1"/>
  <c r="C258" i="64"/>
  <c r="C269" i="64" a="1"/>
  <c r="C269" i="64" s="1"/>
  <c r="C270" i="64" s="1"/>
  <c r="C340" i="64" a="1"/>
  <c r="C340" i="64" s="1"/>
  <c r="C178" i="64"/>
  <c r="C347" i="64"/>
  <c r="B60" i="64"/>
  <c r="C113" i="65"/>
  <c r="C236" i="64" l="1"/>
  <c r="E14" i="21"/>
  <c r="D14" i="21" s="1"/>
  <c r="C260" i="64" a="1"/>
  <c r="C260" i="64" s="1"/>
  <c r="C262" i="64" a="1"/>
  <c r="C262" i="64" s="1"/>
  <c r="F21" i="21"/>
  <c r="C342" i="64"/>
  <c r="C179" i="64" a="1"/>
  <c r="C179" i="64" s="1"/>
  <c r="C276" i="64"/>
  <c r="C296" i="64"/>
  <c r="C330" i="64" a="1"/>
  <c r="C330" i="64" s="1"/>
  <c r="E22" i="21" s="1"/>
  <c r="D22" i="21" s="1"/>
  <c r="E17" i="21"/>
  <c r="D17" i="21" s="1"/>
  <c r="C345" i="64"/>
  <c r="C348" i="64" s="1"/>
  <c r="E23" i="21" s="1"/>
  <c r="C346" i="64"/>
  <c r="C349" i="64" s="1"/>
  <c r="C247" i="64"/>
  <c r="C246" i="64"/>
  <c r="C250" i="64" s="1"/>
  <c r="C294" i="64"/>
  <c r="E18" i="21" s="1"/>
  <c r="D18" i="21" s="1"/>
  <c r="C283" i="64"/>
  <c r="C261" i="64" a="1"/>
  <c r="C261" i="64" s="1"/>
  <c r="C265" i="64" a="1"/>
  <c r="C265" i="64" s="1"/>
  <c r="E16" i="21" s="1"/>
  <c r="D16" i="21" s="1"/>
  <c r="C264" i="64" a="1"/>
  <c r="C264" i="64" s="1"/>
  <c r="C263" i="64" a="1"/>
  <c r="C263" i="64" s="1"/>
  <c r="D13" i="76" l="1"/>
  <c r="C13" i="76" s="1"/>
  <c r="D25" i="21"/>
  <c r="D23" i="21"/>
  <c r="F18" i="21"/>
  <c r="C181" i="64"/>
  <c r="E13" i="76" s="1"/>
  <c r="C241" i="64"/>
  <c r="C242" i="64" s="1"/>
  <c r="F17" i="21"/>
  <c r="C266" i="64"/>
  <c r="F16" i="21" s="1"/>
  <c r="C332" i="64"/>
  <c r="C351" i="64"/>
  <c r="F23" i="21" s="1"/>
  <c r="C251" i="64"/>
  <c r="C252" i="64" s="1"/>
  <c r="C360" i="64"/>
  <c r="C253" i="64" l="1"/>
  <c r="C359" i="64"/>
  <c r="C243" i="64"/>
  <c r="C355" i="64"/>
  <c r="C356" i="64" s="1"/>
  <c r="F25" i="21" s="1"/>
  <c r="E15" i="21"/>
  <c r="F14" i="21"/>
  <c r="F22" i="21"/>
  <c r="E25" i="21" l="1"/>
  <c r="D15" i="21"/>
  <c r="F15" i="21"/>
  <c r="H21" i="65" l="1"/>
  <c r="F19" i="65"/>
  <c r="F18" i="65"/>
  <c r="G21" i="65"/>
  <c r="D26" i="65" l="1"/>
  <c r="D25" i="65" l="1"/>
  <c r="C192" i="64"/>
  <c r="E14" i="76" s="1"/>
  <c r="E86" i="77" a="1"/>
  <c r="E86" i="77" s="1"/>
  <c r="E68" i="77" a="1"/>
  <c r="E68" i="77" s="1"/>
  <c r="E79" i="77" a="1"/>
  <c r="E79" i="77" s="1"/>
  <c r="E64" i="77" a="1"/>
  <c r="E64" i="77" s="1"/>
  <c r="E95" i="77" a="1"/>
  <c r="E95" i="77" s="1"/>
  <c r="E93" i="77" a="1"/>
  <c r="E93" i="77" s="1"/>
  <c r="E55" i="77" a="1"/>
  <c r="E55" i="77" s="1"/>
  <c r="E101" i="77" a="1"/>
  <c r="E101" i="7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 ref="A10"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A12"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A13" authorId="0" shapeId="0" xr:uid="{CF2431DD-5D76-4973-9FF2-D46307EE1684}">
      <text>
        <r>
          <rPr>
            <sz val="9"/>
            <color indexed="81"/>
            <rFont val="Tahoma"/>
            <family val="2"/>
          </rPr>
          <t xml:space="preserve">Either a 4- or 7-year adjustment period, as requested.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53" authorId="0" shapeId="0" xr:uid="{DBE7AB18-4456-4907-B326-F8F494F6C276}">
      <text>
        <r>
          <rPr>
            <b/>
            <sz val="9"/>
            <color indexed="81"/>
            <rFont val="Tahoma"/>
            <family val="2"/>
          </rPr>
          <t xml:space="preserve">Only requires p70 for MTP assessment; however, the others are used for fan-chart figures.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3"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4"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7"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7"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8"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9"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5" authorId="0" shapeId="0" xr:uid="{A1B968C2-FBCE-42D0-B13A-C7293EBA0437}">
      <text>
        <r>
          <rPr>
            <sz val="9"/>
            <color indexed="81"/>
            <rFont val="Tahoma"/>
            <family val="2"/>
          </rPr>
          <t>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
Article 9(3)
Technical information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8.</t>
        </r>
      </text>
    </comment>
    <comment ref="B198" authorId="0" shapeId="0" xr:uid="{6F19269D-7702-42AF-88FB-803A9B72DCB8}">
      <text>
        <r>
          <rPr>
            <sz val="9"/>
            <color indexed="81"/>
            <rFont val="Tahoma"/>
            <family val="2"/>
          </rPr>
          <t xml:space="preserve">Art. 2 , Art. 6 &amp; 16 of the Regulation building on Art. 126(2) TFEU and Protocol 12
Article 2 gross debt and deficit reference values are checked "when drawing up their national medium-term fiscal-structural plans" meaning the last year for which there is outturn data published by the national statistics institutes and Eurostat, which will usually be year T-1 but can be T-2 if submitted between January and March of year T before outturn data for year T-1 have been published. </t>
        </r>
      </text>
    </comment>
    <comment ref="B199" authorId="0" shapeId="0" xr:uid="{5B2DF90B-D63D-4702-862E-184EC652A743}">
      <text>
        <r>
          <rPr>
            <sz val="9"/>
            <color indexed="81"/>
            <rFont val="Tahoma"/>
            <family val="2"/>
          </rPr>
          <t xml:space="preserve">TFEU Article 126(2) and Protocol No 12 Article 1. </t>
        </r>
      </text>
    </comment>
    <comment ref="B200"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TRUE:
</t>
        </r>
        <r>
          <rPr>
            <sz val="9"/>
            <color indexed="81"/>
            <rFont val="Tahoma"/>
            <family val="2"/>
          </rPr>
          <t xml:space="preserve">Country’s gross general government debt in [MTP base year] was [X.X]% of GDP, which does not exceed the 60% TFEU reference value.
</t>
        </r>
        <r>
          <rPr>
            <b/>
            <sz val="9"/>
            <color indexed="81"/>
            <rFont val="Tahoma"/>
            <family val="2"/>
          </rPr>
          <t xml:space="preserve">
FALSE:</t>
        </r>
        <r>
          <rPr>
            <sz val="9"/>
            <color indexed="81"/>
            <rFont val="Tahoma"/>
            <family val="2"/>
          </rPr>
          <t xml:space="preserve">
Country’s gross general government debt in [MTP base year] was [X.X]% of GDP, higher than the 60% TFEU reference level.</t>
        </r>
      </text>
    </comment>
    <comment ref="B202"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203"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204" authorId="0" shapeId="0" xr:uid="{8C7D12BB-A0D4-4546-97AB-A5721972F6C4}">
      <text>
        <r>
          <rPr>
            <b/>
            <sz val="9"/>
            <color indexed="81"/>
            <rFont val="Tahoma"/>
            <family val="2"/>
          </rPr>
          <t>Possible outcomes:
FALSE:</t>
        </r>
        <r>
          <rPr>
            <sz val="9"/>
            <color indexed="81"/>
            <rFont val="Tahoma"/>
            <family val="2"/>
          </rPr>
          <t xml:space="preserve">
Country’s net lending in [MTP base year] was [X.X]% of GDP, exceeding the 3% TFEU reference value.
</t>
        </r>
        <r>
          <rPr>
            <b/>
            <sz val="9"/>
            <color indexed="81"/>
            <rFont val="Tahoma"/>
            <family val="2"/>
          </rPr>
          <t>TRUE:</t>
        </r>
        <r>
          <rPr>
            <sz val="9"/>
            <color indexed="81"/>
            <rFont val="Tahoma"/>
            <family val="2"/>
          </rPr>
          <t xml:space="preserve">
Country’s net lending in [MTP base year] was [X.X]% of GDP, which does not exceed the 3% TFEU reference level.</t>
        </r>
      </text>
    </comment>
    <comment ref="B208"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10"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12" authorId="0" shapeId="0" xr:uid="{00501D52-8E39-4A32-B67C-E748FE246C23}">
      <text>
        <r>
          <rPr>
            <sz val="9"/>
            <color indexed="81"/>
            <rFont val="Tahoma"/>
            <charset val="1"/>
          </rPr>
          <t>Commission Guidance (C/2024/3975, Section 2.5) and the Regulation (Article 13(a))</t>
        </r>
      </text>
    </comment>
    <comment ref="B213" authorId="0" shapeId="0" xr:uid="{FAEFFE42-5A6E-439C-907A-96E809874462}">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14" authorId="0" shapeId="0" xr:uid="{4F0D3E50-3547-41F2-A3AB-23A1DE5B9FBB}">
      <text>
        <r>
          <rPr>
            <sz val="9"/>
            <color indexed="81"/>
            <rFont val="Tahoma"/>
            <family val="2"/>
          </rPr>
          <t xml:space="preserve">Section 2.5 of C/2024/3975
If the plan presents higher net expenditure growth rates than in the reference trajectory, or the technical information, or if the underlying assumptions are more favourable than the common assumptions (19), Member States should provide a more detailed description of the underlying macroeconomic assumptions. This additional reporting is necessary for the Commission to verify whether sound and data-driven economic arguments can explain the difference with the reference trajectory (Article 13) or from the medium-term government debt projection framework more in general (Recital 25), and for the Commission to be able to properly examine whether the requirements are fulfilled (Article 16).
</t>
        </r>
      </text>
    </comment>
    <comment ref="B229" authorId="0" shapeId="0" xr:uid="{CF5C31BB-E89A-4F18-B28A-056111251D5D}">
      <text>
        <r>
          <rPr>
            <sz val="9"/>
            <color indexed="81"/>
            <rFont val="Tahoma"/>
            <family val="2"/>
          </rPr>
          <t xml:space="preserve">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of GDP, and it brings and maintains the government deficit below 3% of GDP over the medium term.
16(3) whether their net expenditure paths comply with the requirements set out in Articles 6, 7 and 8.
Article 6: Risk-based requirements ((a) DSA plausibility assessments, (b) 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31" authorId="0" shapeId="0" xr:uid="{0733AC9A-FBA7-4DD7-B7F4-C2C114AE0532}">
      <text>
        <r>
          <rPr>
            <sz val="9"/>
            <color indexed="81"/>
            <rFont val="Tahoma"/>
            <family val="2"/>
          </rPr>
          <t xml:space="preserve">Art. 6(1), although not explicit. However, all of the Commission assessments (Recommendation for a Council Recommendation endorsing the national medium-term fsical-structural plan of County) assess how the average net expenditure growth over the adjustment period compares to the prior guidance as their measure of whether the net expenditure path in the MTP exceeds the reference trajectory. </t>
        </r>
      </text>
    </comment>
    <comment ref="B238" authorId="0" shapeId="0" xr:uid="{4585096F-2206-4D14-99A5-316EE86AFC63}">
      <text>
        <r>
          <rPr>
            <sz val="9"/>
            <color indexed="81"/>
            <rFont val="Tahoma"/>
            <family val="2"/>
          </rPr>
          <t xml:space="preserve">Art. 6: prior guidance net expenditure trajectory is the benchmark; and Art. 16(3): 
For countries that received a reference trajectory, the path must be checked against Arts. 6–8.
Article 6 = risk-based debt (M6), deficit (M7), no back-loading (M8), and consistency with corrective path of EDP (M9). </t>
        </r>
      </text>
    </comment>
    <comment ref="C240" authorId="0" shapeId="0" xr:uid="{FED4CB80-1CC0-492B-9AF6-A3328341F2DC}">
      <text>
        <r>
          <rPr>
            <sz val="9"/>
            <color indexed="81"/>
            <rFont val="Tahoma"/>
            <family val="2"/>
          </rPr>
          <t xml:space="preserve">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43"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45" authorId="0" shapeId="0" xr:uid="{19FC617B-DF3C-4523-AE45-4E00AE68E93D}">
      <text>
        <r>
          <rPr>
            <sz val="9"/>
            <color indexed="81"/>
            <rFont val="Tahoma"/>
            <family val="2"/>
          </rPr>
          <t xml:space="preserve">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6"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65"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68"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69"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69"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72"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75"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78"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85"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90"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91"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92" authorId="0" shapeId="0" xr:uid="{1C38568D-661F-40E5-9152-D4020F4DD7CD}">
      <text>
        <r>
          <rPr>
            <sz val="9"/>
            <color indexed="81"/>
            <rFont val="Tahoma"/>
            <family val="2"/>
          </rPr>
          <t>Is any one value greater than the average?</t>
        </r>
      </text>
    </comment>
    <comment ref="C292"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93"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98"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304"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305"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11" authorId="0" shapeId="0" xr:uid="{322B17D1-8B4B-40A5-A771-441C6119157E}">
      <text>
        <r>
          <rPr>
            <sz val="9"/>
            <color indexed="81"/>
            <rFont val="Tahoma"/>
            <family val="2"/>
          </rPr>
          <t>Art. 7 safeguard – minimum average annual reduction of debt and risk-based conditions.</t>
        </r>
      </text>
    </comment>
    <comment ref="B312"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21"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29"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30"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34"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35"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51" authorId="0" shapeId="0" xr:uid="{E15769AE-C427-4D98-A636-D1B3DD0A4F12}">
      <text>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54"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56"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58"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 ref="P12"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<sst xmlns="http://schemas.openxmlformats.org/spreadsheetml/2006/main" count="2099" uniqueCount="965">
  <si>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</si>
  <si>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</si>
  <si>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</si>
  <si>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</si>
  <si>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</si>
  <si>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</si>
  <si>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</si>
  <si>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</si>
  <si>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</si>
  <si>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</si>
  <si>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</si>
  <si>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</si>
  <si>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</si>
  <si>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</si>
  <si>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</si>
  <si>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</si>
  <si>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</si>
  <si>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</si>
  <si>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</si>
  <si>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</si>
  <si>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</si>
  <si>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</si>
  <si>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</si>
  <si>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</si>
  <si>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</si>
  <si>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Interest expenditure</t>
  </si>
  <si>
    <t>ESA code</t>
  </si>
  <si>
    <t>B.9</t>
  </si>
  <si>
    <t>D.41</t>
  </si>
  <si>
    <t>Expenditure</t>
  </si>
  <si>
    <t>Revenue</t>
  </si>
  <si>
    <t>ESA Code</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</si>
  <si>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</si>
  <si>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</si>
  <si>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</si>
  <si>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</si>
  <si>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</si>
  <si>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</si>
  <si>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</si>
  <si>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</si>
  <si>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</si>
  <si>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</si>
  <si>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</si>
  <si>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</si>
  <si>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</si>
  <si>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</si>
  <si>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</si>
  <si>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</si>
  <si>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</si>
  <si>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</si>
  <si>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</si>
  <si>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</si>
  <si>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</si>
  <si>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</si>
  <si>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</si>
  <si>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</si>
  <si>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</si>
  <si>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</si>
  <si>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</si>
  <si>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</si>
  <si>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</si>
  <si>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</si>
  <si>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</si>
  <si>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</si>
  <si>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</si>
  <si>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</si>
  <si>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</si>
  <si>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</si>
  <si>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</si>
  <si>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</si>
  <si>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</si>
  <si>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</si>
  <si>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</si>
  <si>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</si>
  <si>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</si>
  <si>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</si>
  <si>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</si>
  <si>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</si>
  <si>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</si>
  <si>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</si>
  <si>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</si>
  <si>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</si>
  <si>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</si>
  <si>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</si>
  <si>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</si>
  <si>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</si>
  <si>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</si>
  <si>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</si>
  <si>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</si>
  <si>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</si>
  <si>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</si>
  <si>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</si>
  <si>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</si>
  <si>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</si>
  <si>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</si>
  <si>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</si>
  <si>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</si>
  <si>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</si>
  <si>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</si>
  <si>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</si>
  <si>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</si>
  <si>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</si>
  <si>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</si>
  <si>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</si>
  <si>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</si>
  <si>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</si>
  <si>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</si>
  <si>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</si>
  <si>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</si>
  <si>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</si>
  <si>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</si>
  <si>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</si>
  <si>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</si>
  <si>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</si>
  <si>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</si>
  <si>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</si>
  <si>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</si>
  <si>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</si>
  <si>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</si>
  <si>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</si>
  <si>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</si>
  <si>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</si>
  <si>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</si>
  <si>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</si>
  <si>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</si>
  <si>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</si>
  <si>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</si>
  <si>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</si>
  <si>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</si>
  <si>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</si>
  <si>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</si>
  <si>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</si>
  <si>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</si>
  <si>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</si>
  <si>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</si>
  <si>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</si>
  <si>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</si>
  <si>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</si>
  <si>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</si>
  <si>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</si>
  <si>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</si>
  <si>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</si>
  <si>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</si>
  <si>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</si>
  <si>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</si>
  <si>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</si>
  <si>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</si>
  <si>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</si>
  <si>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</si>
  <si>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</si>
  <si>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</si>
  <si>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</si>
  <si>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</si>
  <si>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</si>
  <si>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</si>
  <si>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</si>
  <si>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</si>
  <si>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</si>
  <si>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</si>
  <si>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</si>
  <si>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</si>
  <si>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</si>
  <si>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</si>
  <si>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</si>
  <si>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</si>
  <si>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</si>
  <si>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</si>
  <si>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</si>
  <si>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</si>
  <si>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</si>
  <si>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</si>
  <si>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</si>
  <si>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</si>
  <si>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</si>
  <si>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</si>
  <si>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</si>
  <si>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</si>
  <si>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</si>
  <si>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</si>
  <si>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</si>
  <si>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</si>
  <si>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</si>
  <si>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</si>
  <si>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</si>
  <si>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</si>
  <si>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</si>
  <si>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</si>
  <si>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</si>
  <si>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</si>
  <si>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</si>
  <si>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</si>
  <si>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</si>
  <si>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</si>
  <si>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</si>
  <si>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</si>
  <si>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</si>
  <si>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</si>
  <si>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</si>
  <si>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</si>
  <si>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</si>
  <si>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</si>
  <si>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</si>
  <si>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</si>
  <si>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</si>
  <si>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</si>
  <si>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</si>
  <si>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</si>
  <si>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</si>
  <si>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</si>
  <si>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</si>
  <si>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</si>
  <si>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</si>
  <si>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</si>
  <si>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</si>
  <si>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Structural primary balance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</si>
  <si>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</si>
  <si>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</si>
  <si>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</si>
  <si>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</si>
  <si>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</si>
  <si>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</si>
  <si>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</si>
  <si>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</si>
  <si>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</si>
  <si>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</si>
  <si>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</si>
  <si>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</si>
  <si>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</si>
  <si>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</si>
  <si>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</si>
  <si>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</si>
  <si>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</si>
  <si>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</si>
  <si>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</si>
  <si>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</si>
  <si>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</si>
  <si>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</si>
  <si>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</si>
  <si>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</si>
  <si>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</si>
  <si>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</si>
  <si>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</si>
  <si>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</si>
  <si>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Planned</t>
  </si>
  <si>
    <t>General government balance (% of GDP)</t>
  </si>
  <si>
    <t>General government gross debt (% of GDP)</t>
  </si>
  <si>
    <t>3% reference value</t>
  </si>
  <si>
    <t>60% reference value</t>
  </si>
  <si>
    <t>Last year of stochastic projections</t>
  </si>
  <si>
    <t>Debit</t>
  </si>
  <si>
    <t>Credit</t>
  </si>
  <si>
    <t>Calendar year</t>
  </si>
  <si>
    <t>MTP end year</t>
  </si>
  <si>
    <t>Assessment round</t>
  </si>
  <si>
    <t>MTP adjustment period (Years)</t>
  </si>
  <si>
    <t>MTP year</t>
  </si>
  <si>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</si>
  <si>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</si>
  <si>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</si>
  <si>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</si>
  <si>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</si>
  <si>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</si>
  <si>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</si>
  <si>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</si>
  <si>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</si>
  <si>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</si>
  <si>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</si>
  <si>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</si>
  <si>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</si>
  <si>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</si>
  <si>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</si>
  <si>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</si>
  <si>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</si>
  <si>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</si>
  <si>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</si>
  <si>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</si>
  <si>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</si>
  <si>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</si>
  <si>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</si>
  <si>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</si>
  <si>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</si>
  <si>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</si>
  <si>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</si>
  <si>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</si>
  <si>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Outturn data</t>
  </si>
  <si>
    <t>Gross debt, no policy change scenario</t>
  </si>
  <si>
    <t>Gross debt, financial stress scenario</t>
  </si>
  <si>
    <t>Gross debt, lower structural primary balance scenario</t>
  </si>
  <si>
    <t>Gross debt, adverse r-g scenario</t>
  </si>
  <si>
    <t>Nominal GDP (level)</t>
  </si>
  <si>
    <t>Consistency with EDP corrective path</t>
  </si>
  <si>
    <t>YearRange</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</si>
  <si>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</si>
  <si>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</si>
  <si>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</si>
  <si>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</si>
  <si>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</si>
  <si>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</si>
  <si>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</si>
  <si>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</si>
  <si>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</si>
  <si>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</si>
  <si>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</si>
  <si>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</si>
  <si>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</si>
  <si>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</si>
  <si>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</si>
  <si>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</si>
  <si>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</si>
  <si>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</si>
  <si>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</si>
  <si>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</si>
  <si>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</si>
  <si>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</si>
  <si>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</si>
  <si>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</si>
  <si>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</si>
  <si>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</si>
  <si>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</si>
  <si>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</si>
  <si>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</si>
  <si>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</si>
  <si>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</si>
  <si>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</si>
  <si>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</si>
  <si>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</si>
  <si>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</si>
  <si>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</si>
  <si>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</si>
  <si>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</si>
  <si>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</si>
  <si>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</si>
  <si>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</si>
  <si>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</si>
  <si>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</si>
  <si>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</si>
  <si>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</si>
  <si>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</si>
  <si>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</si>
  <si>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</si>
  <si>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</si>
  <si>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</si>
  <si>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</si>
  <si>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</si>
  <si>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</si>
  <si>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</si>
  <si>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</si>
  <si>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</si>
  <si>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</si>
  <si>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</si>
  <si>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</si>
  <si>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</si>
  <si>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</si>
  <si>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</si>
  <si>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</si>
  <si>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</si>
  <si>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</si>
  <si>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</si>
  <si>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</si>
  <si>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</si>
  <si>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</si>
  <si>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</si>
  <si>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</si>
  <si>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</si>
  <si>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</si>
  <si>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</si>
  <si>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</si>
  <si>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</si>
  <si>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</si>
  <si>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</si>
  <si>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</si>
  <si>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</si>
  <si>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</si>
  <si>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</si>
  <si>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</si>
  <si>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</si>
  <si>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</si>
  <si>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</si>
  <si>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</si>
  <si>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</si>
  <si>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</si>
  <si>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</si>
  <si>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</si>
  <si>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</si>
  <si>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</si>
  <si>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</si>
  <si>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</si>
  <si>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</si>
  <si>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EC's scenario</t>
  </si>
  <si>
    <t>Performance of structural primary balance compared to the European Commission's scenario meeting all requirements</t>
  </si>
  <si>
    <t>Council-endorsed path</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</si>
  <si>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</si>
  <si>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</si>
  <si>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</si>
  <si>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</si>
  <si>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</si>
  <si>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</si>
  <si>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</si>
  <si>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</si>
  <si>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</si>
  <si>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</si>
  <si>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</si>
  <si>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</si>
  <si>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</si>
  <si>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</si>
  <si>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</si>
  <si>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</si>
  <si>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</si>
  <si>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</si>
  <si>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</si>
  <si>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</si>
  <si>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</si>
  <si>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</si>
  <si>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</si>
  <si>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</si>
  <si>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</si>
  <si>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</si>
  <si>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</si>
  <si>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</si>
  <si>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</si>
  <si>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</si>
  <si>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</si>
  <si>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</si>
  <si>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</si>
  <si>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</si>
  <si>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</si>
  <si>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</si>
  <si>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</si>
  <si>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</si>
  <si>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</si>
  <si>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</si>
  <si>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</si>
  <si>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</si>
  <si>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</si>
  <si>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</si>
  <si>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</si>
  <si>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</si>
  <si>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</si>
  <si>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</si>
  <si>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</si>
  <si>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</si>
  <si>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</si>
  <si>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</si>
  <si>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</si>
  <si>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</si>
  <si>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</si>
  <si>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</si>
  <si>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</si>
  <si>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</si>
  <si>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</si>
  <si>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</si>
  <si>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Is the country required to submit an MTP that adheres to a reference trajectory (or alternative path meeting all criteria)</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</si>
  <si>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</si>
  <si>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</si>
  <si>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</si>
  <si>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</si>
  <si>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</si>
  <si>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</si>
  <si>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</si>
  <si>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</si>
  <si>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</si>
  <si>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</si>
  <si>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</si>
  <si>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</si>
  <si>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</si>
  <si>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</si>
  <si>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</si>
  <si>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</si>
  <si>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</si>
  <si>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</si>
  <si>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</si>
  <si>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</si>
  <si>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</si>
  <si>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</si>
  <si>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</si>
  <si>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</si>
  <si>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</si>
  <si>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</si>
  <si>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</si>
  <si>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</si>
  <si>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</si>
  <si>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</si>
  <si>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</si>
  <si>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</si>
  <si>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</si>
  <si>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</si>
  <si>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</si>
  <si>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</si>
  <si>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</si>
  <si>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</si>
  <si>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</si>
  <si>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</si>
  <si>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</si>
  <si>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</si>
  <si>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</si>
  <si>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</si>
  <si>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</si>
  <si>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</si>
  <si>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</si>
  <si>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</si>
  <si>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</si>
  <si>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</si>
  <si>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</si>
  <si>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</si>
  <si>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</si>
  <si>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</si>
  <si>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</si>
  <si>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</si>
  <si>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</si>
  <si>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</si>
  <si>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</si>
  <si>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</si>
  <si>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</si>
  <si>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</si>
  <si>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</si>
  <si>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</si>
  <si>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</si>
  <si>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</si>
  <si>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</si>
  <si>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</si>
  <si>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</si>
  <si>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</si>
  <si>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</si>
  <si>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</si>
  <si>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</si>
  <si>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</si>
  <si>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</si>
  <si>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</si>
  <si>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</si>
  <si>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Assessing whether the submitted MTP meets information requirements and criteria for an extension of the adjustment period, if requesting one (Articles 13 and 14)</t>
  </si>
  <si>
    <t>Fulfilment of criteria for an extension of the adjustment period</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</si>
  <si>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</si>
  <si>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</si>
  <si>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</si>
  <si>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</si>
  <si>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</si>
  <si>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</si>
  <si>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</si>
  <si>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</si>
  <si>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</si>
  <si>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</si>
  <si>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</si>
  <si>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</si>
  <si>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</si>
  <si>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</si>
  <si>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</si>
  <si>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</si>
  <si>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</si>
  <si>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</si>
  <si>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</si>
  <si>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</si>
  <si>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</si>
  <si>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</si>
  <si>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</si>
  <si>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</si>
  <si>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</si>
  <si>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TROUBLESHOOTING</t>
  </si>
  <si>
    <t>===============</t>
  </si>
  <si>
    <t xml:space="preserve">                         → File &gt; Options &gt; Trust Center &gt; Trust Center Settings</t>
  </si>
  <si>
    <t>SUPPORT</t>
  </si>
  <si>
    <t>=======</t>
  </si>
  <si>
    <t>Technical questions: cameronscottd@gmail.com</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</si>
  <si>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</si>
  <si>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</si>
  <si>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</si>
  <si>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</si>
  <si>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</si>
  <si>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</si>
  <si>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</si>
  <si>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</si>
  <si>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</si>
  <si>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</si>
  <si>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</si>
  <si>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</si>
  <si>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</si>
  <si>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</si>
  <si>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</si>
  <si>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</si>
  <si>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</si>
  <si>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</si>
  <si>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Funded by EU Technical Support Instrument, REFORM/2023/OP/0010EC</t>
  </si>
  <si>
    <t>Macros disabled</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</si>
  <si>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</si>
  <si>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</si>
  <si>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</si>
  <si>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 xml:space="preserve">Is the country Greece (that is, does Greece's 2033 exclusion rule apply)? </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</si>
  <si>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</si>
  <si>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</si>
  <si>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</si>
  <si>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</si>
  <si>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</si>
  <si>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</si>
  <si>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</si>
  <si>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</si>
  <si>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</si>
  <si>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</si>
  <si>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</si>
  <si>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</si>
  <si>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</si>
  <si>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</si>
  <si>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</si>
  <si>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</si>
  <si>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</si>
  <si>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</si>
  <si>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</si>
  <si>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</si>
  <si>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</si>
  <si>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</si>
  <si>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</si>
  <si>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</si>
  <si>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</si>
  <si>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</si>
  <si>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</si>
  <si>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</si>
  <si>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</si>
  <si>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</si>
  <si>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</si>
  <si>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</si>
  <si>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</si>
  <si>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</si>
  <si>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</si>
  <si>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</si>
  <si>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</si>
  <si>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</si>
  <si>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</si>
  <si>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</si>
  <si>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</si>
  <si>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</si>
  <si>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</si>
  <si>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</si>
  <si>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</si>
  <si>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</si>
  <si>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</si>
  <si>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</si>
  <si>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</si>
  <si>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</si>
  <si>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</si>
  <si>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</si>
  <si>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</si>
  <si>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</si>
  <si>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</si>
  <si>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</si>
  <si>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</si>
  <si>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</si>
  <si>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</si>
  <si>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</si>
  <si>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</si>
  <si>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</si>
  <si>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</si>
  <si>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</si>
  <si>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</si>
  <si>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</si>
  <si>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</si>
  <si>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</si>
  <si>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Do deviations exceed 0.3 percentage points of GDP annually over the assessment period? </t>
  </si>
  <si>
    <t xml:space="preserve">Do deviations exceed 0.3 percentage points of GDP annually over the outturn period? </t>
  </si>
  <si>
    <t>Unrecorded or defence-adjusted annual deviation</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</si>
  <si>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</si>
  <si>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</si>
  <si>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</si>
  <si>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</si>
  <si>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</si>
  <si>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</si>
  <si>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</si>
  <si>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</si>
  <si>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</si>
  <si>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</si>
  <si>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</si>
  <si>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</si>
  <si>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</si>
  <si>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</si>
  <si>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</si>
  <si>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</si>
  <si>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</si>
  <si>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</si>
  <si>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</si>
  <si>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</si>
  <si>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</si>
  <si>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</si>
  <si>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</si>
  <si>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</si>
  <si>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</si>
  <si>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</si>
  <si>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</si>
  <si>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</si>
  <si>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</si>
  <si>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</si>
  <si>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</si>
  <si>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</si>
  <si>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</si>
  <si>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</si>
  <si>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</si>
  <si>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</si>
  <si>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</si>
  <si>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</si>
  <si>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</si>
  <si>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</si>
  <si>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</si>
  <si>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
  </si>
  <si>
    <t>EC technical information - Path to meet all requirements and safeguard.</t>
  </si>
  <si>
    <t>Prior guidance transmittion date</t>
  </si>
  <si>
    <t>General or country-specific?</t>
  </si>
  <si>
    <t>Escape clause type</t>
  </si>
  <si>
    <t>General</t>
  </si>
  <si>
    <t>Primary structural balance adjustment over adjustment period (supportive)</t>
  </si>
  <si>
    <t>Escape clause activated in at least one year of horizon</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</si>
  <si>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</si>
  <si>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</si>
  <si>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</si>
  <si>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</si>
  <si>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</si>
  <si>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</si>
  <si>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</si>
  <si>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</si>
  <si>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</si>
  <si>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</si>
  <si>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</si>
  <si>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</si>
  <si>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</si>
  <si>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</si>
  <si>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</si>
  <si>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</si>
  <si>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</si>
  <si>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</si>
  <si>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</si>
  <si>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</si>
  <si>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</si>
  <si>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</si>
  <si>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</si>
  <si>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</si>
  <si>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</si>
  <si>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</si>
  <si>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</si>
  <si>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</si>
  <si>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</si>
  <si>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</si>
  <si>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</si>
  <si>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</si>
  <si>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</si>
  <si>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</si>
  <si>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</si>
  <si>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</si>
  <si>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</si>
  <si>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</si>
  <si>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</si>
  <si>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</si>
  <si>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</si>
  <si>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</si>
  <si>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</si>
  <si>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</si>
  <si>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</si>
  <si>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</si>
  <si>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</si>
  <si>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</si>
  <si>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</si>
  <si>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</si>
  <si>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</si>
  <si>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</si>
  <si>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</si>
  <si>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</si>
  <si>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</si>
  <si>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</si>
  <si>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</si>
  <si>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</si>
  <si>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</si>
  <si>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</si>
  <si>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</si>
  <si>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</si>
  <si>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</si>
  <si>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</si>
  <si>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</si>
  <si>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</si>
  <si>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</si>
  <si>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</si>
  <si>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</si>
  <si>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</si>
  <si>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</si>
  <si>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</si>
  <si>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</si>
  <si>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</si>
  <si>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</si>
  <si>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</si>
  <si>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</si>
  <si>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</si>
  <si>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</si>
  <si>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</si>
  <si>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</si>
  <si>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</si>
  <si>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</si>
  <si>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</si>
  <si>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</si>
  <si>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</si>
  <si>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</si>
  <si>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</si>
  <si>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</si>
  <si>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</si>
  <si>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</si>
  <si>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</si>
  <si>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</si>
  <si>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</si>
  <si>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</si>
  <si>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</si>
  <si>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</si>
  <si>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</si>
  <si>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</si>
  <si>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</si>
  <si>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</si>
  <si>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</si>
  <si>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</si>
  <si>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</si>
  <si>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</si>
  <si>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</si>
  <si>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</si>
  <si>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</si>
  <si>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</si>
  <si>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</si>
  <si>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</si>
  <si>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</si>
  <si>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</si>
  <si>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</si>
  <si>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</si>
  <si>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</si>
  <si>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</si>
  <si>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</si>
  <si>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</si>
  <si>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</si>
  <si>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</si>
  <si>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</si>
  <si>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 xml:space="preserve">                         → Click "Enable Content" when opening the workbook</t>
  </si>
  <si>
    <t xml:space="preserve">                         → Add the folder to Trusted Locations</t>
  </si>
  <si>
    <t xml:space="preserve">Last updated (Eurostat): </t>
  </si>
  <si>
    <t>Assessment outlook</t>
  </si>
  <si>
    <t>Receives reference trajectory</t>
  </si>
  <si>
    <t>MTP Table 7a: Debt and headline balance projections and key underlying assumptions (under the planned fiscal path)</t>
  </si>
  <si>
    <t>line</t>
  </si>
  <si>
    <t>MTP Table 4, line 35</t>
  </si>
  <si>
    <t>General government balance</t>
  </si>
  <si>
    <t>MTP Table 4, line 31</t>
  </si>
  <si>
    <t>MTP Table 4, line 34</t>
  </si>
  <si>
    <t>Cyclical component</t>
  </si>
  <si>
    <t>One-off measures</t>
  </si>
  <si>
    <t>MTP Table 4, line 14</t>
  </si>
  <si>
    <t>Long-term interest rate</t>
  </si>
  <si>
    <t xml:space="preserve">MTP Table 3, line 1 </t>
  </si>
  <si>
    <t>Short-term interest rate</t>
  </si>
  <si>
    <t>MTP Table 3, line 2</t>
  </si>
  <si>
    <t>Implicit average interest rate</t>
  </si>
  <si>
    <t>MTP Table 4, line 44</t>
  </si>
  <si>
    <t>Stock-flow adjustment</t>
  </si>
  <si>
    <t>MTP Table 4, line 43</t>
  </si>
  <si>
    <t>Potential GDP</t>
  </si>
  <si>
    <t>MTP Table 2, line 26</t>
  </si>
  <si>
    <t>MTP Table 2, line 1</t>
  </si>
  <si>
    <t>MTP Table 2, line 2</t>
  </si>
  <si>
    <t>MTP Table 2, line 3</t>
  </si>
  <si>
    <t>Table 7b: Debt projections and key stressed variables, deterministic scenarios and stochastic simulations</t>
  </si>
  <si>
    <t>Probability of debt being below its value in T+4/7</t>
  </si>
  <si>
    <t>Table 7c: Debt and headline balance projections and underlying assumptions (under 'no-fiscal-policy-change' baseline)</t>
  </si>
  <si>
    <t>Fiscal multiplier</t>
  </si>
  <si>
    <t>Table 7d: Debt projections and additional assumptions (under the planned fiscal path)</t>
  </si>
  <si>
    <t>Rolled over long-term debt</t>
  </si>
  <si>
    <t>Tolled over short-term debt</t>
  </si>
  <si>
    <t>New long-term debt</t>
  </si>
  <si>
    <t>New short-term debt</t>
  </si>
  <si>
    <t>Worksheet name containing Table 7 a,b,c,d</t>
  </si>
  <si>
    <t>Row containing years label of Table 7a</t>
  </si>
  <si>
    <t>Row containing years label of Table 7d</t>
  </si>
  <si>
    <t>Row containing years label of Table 7c</t>
  </si>
  <si>
    <t>Column with MTP base year (bn NAC)</t>
  </si>
  <si>
    <t>MTP import tool:</t>
  </si>
  <si>
    <t xml:space="preserve">Prior guidance import tool: </t>
  </si>
  <si>
    <t>Adjustment scenario</t>
  </si>
  <si>
    <t>Worksheet name containing FASTOP Table 7s</t>
  </si>
  <si>
    <t>FASTOP reporting</t>
  </si>
  <si>
    <t>Column containing line numbers</t>
  </si>
  <si>
    <t>B</t>
  </si>
  <si>
    <t>Row containing Table 7a years</t>
  </si>
  <si>
    <t>Row containing Table 7c years</t>
  </si>
  <si>
    <t>Worksheet name containing full net expenditure growth path (adjustment path)</t>
  </si>
  <si>
    <t>Row containing full net expenditure growth path years</t>
  </si>
  <si>
    <t>Worksheet name containing full stochastic debt projections</t>
  </si>
  <si>
    <t>Stochastic</t>
  </si>
  <si>
    <t>Row containing stochastic debt projection years</t>
  </si>
  <si>
    <t xml:space="preserve">Row containing full net expenditure growth rates </t>
  </si>
  <si>
    <t>Sheet2</t>
  </si>
  <si>
    <t>Row containing Table 7b years (first sub-table header)</t>
  </si>
  <si>
    <t>Row containing years label of Table 7b (first sub-table header)</t>
  </si>
  <si>
    <t>Macroeconomic assumption plausibility (IFI assessment)</t>
  </si>
  <si>
    <t>Debt and deficit sustainability  (Articles 6(a), 6(b), 6(c), 6(d), 7, 8)</t>
  </si>
  <si>
    <t xml:space="preserve">If using different assumptions to the EU's prior guidance, is the explanation satisfactory and based on sound and data-driven economic arguments? </t>
  </si>
  <si>
    <t xml:space="preserve">R1: Checking whether the general government debt exceeds 60% of GDP </t>
  </si>
  <si>
    <t>R2: Checking whether the general government deficit exceeds 3% of GDP</t>
  </si>
  <si>
    <t>R3: Checking whether the country is required to submit an MTP that adheres to a reference trajectory (or an alternative path meeting all criteria)</t>
  </si>
  <si>
    <t>Assessing whether a reference trajectory applies (Article 5 and 9), a prerequisite for the remaining indicators (routing criteria to determine assessment track, or "R" indicators)</t>
  </si>
  <si>
    <t>M3: Determining whether reform and investment commitments fulfil the criteria for an extension of the adjustment period (Article 14)</t>
  </si>
  <si>
    <t>Was the MTP prepared using different assumptions than the EC's DSA framework in prior guidance?</t>
  </si>
  <si>
    <t xml:space="preserve">If the IFI has been asked to issue an opinion on the macroeconomic forecast and the macroeconomic assumptions underpinning the net expenditure path, does it deem the forecast and assumptions to be plausible? </t>
  </si>
  <si>
    <t xml:space="preserve">Overall MTP compliance </t>
  </si>
  <si>
    <t xml:space="preserve">If so, is the explanation for using different assumptions satisfactory and based on sound and data-driven economic arguments? </t>
  </si>
  <si>
    <t xml:space="preserve">Are the alternative macroeconomic forecasts and assumptions plausible? </t>
  </si>
  <si>
    <t xml:space="preserve">Are the MTP's macroeconomic assumptions either taken from the DSA framework or otherwise plausible? </t>
  </si>
  <si>
    <t>Article 13</t>
  </si>
  <si>
    <t>Article 14</t>
  </si>
  <si>
    <t>Article 11(2)</t>
  </si>
  <si>
    <t>M1: Determining whether the MTP's macroeconomic assumption are plausible</t>
  </si>
  <si>
    <t xml:space="preserve">M2: Determining whether the MTP contains  all information required by Article 13 of Regulation (EU) 2024/1263 </t>
  </si>
  <si>
    <t>Plan plausibility and completeness (Articles 11, 13 and 14)</t>
  </si>
  <si>
    <t xml:space="preserve">M4: Checking whether the average net expenditure growth of the MTP over the adjustment period is higher than the prior guidance transmitted by the Commission </t>
  </si>
  <si>
    <t>M6: Checking whether gross government debt is at prudent levels below 60% over the medium-term or is put or remains on a plausibly downward path according to a DSA assessment [Article 16(2) and Article 6(a)]</t>
  </si>
  <si>
    <t>M7: Checking whether the projected general government deficit is brought below 3% of GDP over the adjustment period and is maintained below that reference value over the medium-term [Article 16(2) and Article 6(b)]</t>
  </si>
  <si>
    <t>M8: Checking whether the adjustment is linear and at least proportional to total effort over the entire adjustment period (the "no backloading" safegard) [Article 6(c)]</t>
  </si>
  <si>
    <t>M9: Checking consistency with the EDP corrective path in Article 3(4) of Regulation (EC) No 1467/97 [Article 6(d)]</t>
  </si>
  <si>
    <t>M10: Determining whether the debt sustainability safeguard applies and, if so, verifying compliance of the planned fiscal path  [Article 7]</t>
  </si>
  <si>
    <t>M11: Determining whether the deficit resilience safeguard applies and, if so, verifying compliance [Article 8]</t>
  </si>
  <si>
    <t>M12. Checking planned structural primary balance adjustment against the target that satisfies all criteria (supportive)</t>
  </si>
  <si>
    <t xml:space="preserve">M5: Checking whether the MTP's annual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</si>
  <si>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Compliance of MTP annual net expenditure growth path with prior guidance</t>
  </si>
  <si>
    <t>Article 16(2)</t>
  </si>
  <si>
    <t xml:space="preserve">Article 6(d) </t>
  </si>
  <si>
    <t>Article 7</t>
  </si>
  <si>
    <t>Article 8</t>
  </si>
  <si>
    <t>Net expenditure path (Articles 6, 16)</t>
  </si>
  <si>
    <t>Articles 6,  16(3)</t>
  </si>
  <si>
    <t>Article 6(c), 15(5)</t>
  </si>
  <si>
    <t>EC practice</t>
  </si>
  <si>
    <t>P1: Compliance with agreed net expenditure path (single operational anchor)</t>
  </si>
  <si>
    <t>Control account</t>
  </si>
  <si>
    <t>Flag</t>
  </si>
  <si>
    <t>Annual and cumulated deviations</t>
  </si>
  <si>
    <t>Annual deviation ((11-12) x 7(t-1))</t>
  </si>
  <si>
    <t>Cumulated deviation (cumulative from 13)</t>
  </si>
  <si>
    <t>"Augmented" control account (while escape clauses are active)</t>
  </si>
  <si>
    <t>Augmented cumulated balance</t>
  </si>
  <si>
    <t>Base year for max increase in defence expenditures, if applicable</t>
  </si>
  <si>
    <t>Absolute deviation cap</t>
  </si>
  <si>
    <t>General government defence expenditure in base year (% GDP)</t>
  </si>
  <si>
    <t>Recorded cumulated balance</t>
  </si>
  <si>
    <t>Cumulated balance (2026 APR majority presentation)</t>
  </si>
  <si>
    <t>Augmented annual balance</t>
  </si>
  <si>
    <t>P5b: Time profile of the fiscal adjustment (change in the structural primary balance) compared to the endorsed plan</t>
  </si>
  <si>
    <t>P3b: Performance of general government debt compared to the endorsed plan</t>
  </si>
  <si>
    <t xml:space="preserve">P4: Deficit resilience safeguard respected </t>
  </si>
  <si>
    <t xml:space="preserve">P5a: Structural primary balance progress and timing </t>
  </si>
  <si>
    <t>P3a: Change in general government gross debt compared to endorsed plan and safeguard</t>
  </si>
  <si>
    <t>P2: Control account deviations and balance</t>
  </si>
  <si>
    <t>Cumulated balance (14/15)</t>
  </si>
  <si>
    <t>Recommended net expenditure growth</t>
  </si>
  <si>
    <t>Enter alternative scenario to override outturn net expenditure growth components</t>
  </si>
  <si>
    <t>Select country</t>
  </si>
  <si>
    <t>Select IFI</t>
  </si>
  <si>
    <t>Enter date</t>
  </si>
  <si>
    <t>Cap on deviation from max growth rates of net expenditure, if applicable (% GDP)</t>
  </si>
  <si>
    <t>Intermediary MTP tables that are populated by macro</t>
  </si>
  <si>
    <t>Enter implementation report or outlook (APR, DBP, alternative scenario, etc.) to be assessed</t>
  </si>
  <si>
    <t>Scenario base year</t>
  </si>
  <si>
    <t>Was/is an escape clause in place for all outturn years where net expenditure does not adhere to the planned path for net expenditure growth endorsed by the Council?</t>
  </si>
  <si>
    <t>Was/is an escape clause in place for all planned years where net expenditure does not adhere to the planned path for net expenditure growth endorsed by the Council?</t>
  </si>
  <si>
    <t>Were/are those outturn escape clauses country-specific escape clauses related to defence spending?</t>
  </si>
  <si>
    <t>Were/are those planned escape clauses country-specific escape clauses related to defence spending?</t>
  </si>
  <si>
    <t>Compliance status</t>
  </si>
  <si>
    <t>Do the annual improvements in the structural primary balance exceed the minimum?</t>
  </si>
  <si>
    <t xml:space="preserve">Is the control account within limits? </t>
  </si>
  <si>
    <t>FISCO Version 1.1.4 - 21 June 2026</t>
  </si>
  <si>
    <t>FISCO v1.1.4 | 21 June 2026</t>
  </si>
  <si>
    <t>Annual Progress Report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</si>
</sst>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3" x14ac:knownFonts="1">
    <font>
      <sz val="10"/>
      <color theme="1"/>
      <name val="Aptos Narrow"/>
      <family val="2"/>
    </font>
    <font>
      <sz val="11"/>
      <color theme="1"/>
      <name val="Calibri"/>
      <family val="2"/>
      <scheme val="minor"/>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u/>
      <sz val="11"/>
      <color theme="1"/>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
      <sz val="11"/>
      <name val="Segoe UI"/>
      <family val="2"/>
    </font>
    <font>
      <sz val="10"/>
      <color theme="4" tint="-0.249977111117893"/>
      <name val="Aptos Narrow"/>
      <family val="2"/>
    </font>
    <font>
      <sz val="10"/>
      <color theme="4" tint="-0.249977111117893"/>
      <name val="Arial"/>
      <family val="2"/>
    </font>
    <font>
      <sz val="10"/>
      <name val="Arial"/>
      <family val="2"/>
    </font>
    <font>
      <sz val="9"/>
      <color indexed="81"/>
      <name val="Tahoma"/>
      <charset val="1"/>
    </font>
    <font>
      <sz val="10"/>
      <color theme="0" tint="-0.14999847407452621"/>
      <name val="Aptos Narrow"/>
      <family val="2"/>
    </font>
    <font>
      <b/>
      <u/>
      <sz val="10"/>
      <color theme="1"/>
      <name val="Aptos Narrow"/>
      <family val="2"/>
    </font>
  </fonts>
  <fills count="9">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9" tint="0.79998168889431442"/>
        <bgColor indexed="64"/>
      </patternFill>
    </fill>
  </fills>
  <borders count="16">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0" tint="-0.14996795556505021"/>
      </left>
      <right/>
      <top style="thin">
        <color theme="0" tint="-0.14996795556505021"/>
      </top>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6" tint="0.59996337778862885"/>
      </left>
      <right style="thin">
        <color theme="6" tint="0.59996337778862885"/>
      </right>
      <top style="thin">
        <color theme="6" tint="0.59996337778862885"/>
      </top>
      <bottom/>
      <diagonal/>
    </border>
    <border>
      <left/>
      <right/>
      <top/>
      <bottom style="thin">
        <color theme="1" tint="0.34998626667073579"/>
      </bottom>
      <diagonal/>
    </border>
  </borders>
  <cellStyleXfs count="19">
    <xf numFmtId="0" fontId="0" fillId="0" borderId="0"/>
    <xf numFmtId="0" fontId="12" fillId="5" borderId="0" applyNumberFormat="0" applyBorder="0" applyAlignment="0" applyProtection="0"/>
    <xf numFmtId="9" fontId="4" fillId="0" borderId="0" applyFont="0" applyFill="0" applyBorder="0" applyAlignment="0" applyProtection="0"/>
    <xf numFmtId="0" fontId="3" fillId="2" borderId="0" applyNumberFormat="0" applyBorder="0" applyAlignment="0" applyProtection="0"/>
    <xf numFmtId="43" fontId="4" fillId="0" borderId="0" applyFont="0" applyFill="0" applyBorder="0" applyAlignment="0" applyProtection="0"/>
    <xf numFmtId="0" fontId="6" fillId="0" borderId="0" applyNumberFormat="0" applyFill="0" applyBorder="0" applyAlignment="0" applyProtection="0"/>
    <xf numFmtId="0" fontId="35" fillId="0" borderId="0" applyNumberFormat="0" applyAlignment="0" applyProtection="0"/>
    <xf numFmtId="0" fontId="10" fillId="6" borderId="0" applyNumberFormat="0" applyBorder="0" applyAlignment="0" applyProtection="0"/>
    <xf numFmtId="0" fontId="38" fillId="0" borderId="0" applyNumberFormat="0" applyFill="0" applyAlignment="0" applyProtection="0"/>
    <xf numFmtId="0" fontId="30" fillId="0" borderId="0" applyNumberFormat="0" applyFill="0" applyBorder="0" applyAlignment="0" applyProtection="0"/>
    <xf numFmtId="0" fontId="34" fillId="0" borderId="0" applyNumberFormat="0" applyFill="0" applyBorder="0" applyAlignment="0" applyProtection="0"/>
    <xf numFmtId="0" fontId="36" fillId="0" borderId="0" applyNumberFormat="0" applyFill="0" applyAlignment="0" applyProtection="0"/>
    <xf numFmtId="0" fontId="28" fillId="0" borderId="0" applyNumberFormat="0" applyFill="0" applyBorder="0" applyAlignment="0" applyProtection="0"/>
    <xf numFmtId="0" fontId="37" fillId="0" borderId="0" applyNumberFormat="0" applyFill="0" applyBorder="0" applyAlignment="0" applyProtection="0"/>
    <xf numFmtId="0" fontId="41" fillId="0" borderId="0"/>
    <xf numFmtId="0" fontId="2" fillId="7"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7" borderId="0" applyNumberFormat="0" applyBorder="0" applyAlignment="0" applyProtection="0"/>
  </cellStyleXfs>
  <cellXfs count="287">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7" fillId="4" borderId="2" xfId="5" applyFont="1" applyFill="1" applyBorder="1" applyAlignment="1">
      <alignment horizontal="center" vertical="center"/>
    </xf>
    <xf numFmtId="0" fontId="8" fillId="0" borderId="0" xfId="0" applyFont="1"/>
    <xf numFmtId="0" fontId="0" fillId="0" borderId="0" xfId="0" applyAlignment="1">
      <alignment horizontal="left" indent="2"/>
    </xf>
    <xf numFmtId="0" fontId="35"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9" fillId="3" borderId="0" xfId="0" applyFont="1" applyFill="1"/>
    <xf numFmtId="0" fontId="15" fillId="0" borderId="0" xfId="0" applyFont="1"/>
    <xf numFmtId="0" fontId="19" fillId="0" borderId="0" xfId="0" applyFont="1"/>
    <xf numFmtId="0" fontId="19" fillId="0" borderId="0" xfId="3" applyFont="1" applyFill="1" applyBorder="1" applyAlignment="1"/>
    <xf numFmtId="0" fontId="19" fillId="0" borderId="0" xfId="3" applyFont="1" applyFill="1" applyBorder="1" applyAlignment="1">
      <alignment horizontal="right"/>
    </xf>
    <xf numFmtId="0" fontId="16" fillId="0" borderId="0" xfId="0" applyFont="1" applyAlignment="1">
      <alignment horizontal="left" indent="1"/>
    </xf>
    <xf numFmtId="0" fontId="20"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6" fillId="0" borderId="0" xfId="5"/>
    <xf numFmtId="0" fontId="11" fillId="0" borderId="0" xfId="0" applyFont="1"/>
    <xf numFmtId="0" fontId="23" fillId="0" borderId="0" xfId="0" applyFont="1"/>
    <xf numFmtId="0" fontId="24" fillId="0" borderId="4" xfId="3" applyFont="1" applyFill="1" applyBorder="1"/>
    <xf numFmtId="0" fontId="24" fillId="0" borderId="4" xfId="0" applyFont="1" applyBorder="1"/>
    <xf numFmtId="0" fontId="24" fillId="0" borderId="1" xfId="3" applyFont="1" applyFill="1" applyBorder="1" applyAlignment="1">
      <alignment horizontal="left"/>
    </xf>
    <xf numFmtId="0" fontId="24" fillId="0" borderId="1" xfId="0" applyFont="1" applyBorder="1"/>
    <xf numFmtId="0" fontId="24" fillId="0" borderId="1" xfId="0" applyFont="1" applyBorder="1" applyAlignment="1">
      <alignment horizontal="right"/>
    </xf>
    <xf numFmtId="0" fontId="24" fillId="0" borderId="0" xfId="0" applyFont="1"/>
    <xf numFmtId="164" fontId="24" fillId="0" borderId="0" xfId="0" applyNumberFormat="1" applyFont="1" applyAlignment="1">
      <alignment horizontal="right"/>
    </xf>
    <xf numFmtId="0" fontId="24" fillId="0" borderId="0" xfId="0" applyFont="1" applyAlignment="1">
      <alignment horizontal="left" indent="1"/>
    </xf>
    <xf numFmtId="0" fontId="24" fillId="0" borderId="0" xfId="0" applyFont="1" applyAlignment="1">
      <alignment horizontal="right"/>
    </xf>
    <xf numFmtId="164" fontId="24" fillId="0" borderId="0" xfId="0" applyNumberFormat="1" applyFont="1"/>
    <xf numFmtId="3" fontId="24" fillId="0" borderId="0" xfId="0" applyNumberFormat="1" applyFont="1"/>
    <xf numFmtId="0" fontId="38"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0" fillId="0" borderId="0" xfId="9"/>
    <xf numFmtId="0" fontId="24" fillId="0" borderId="0" xfId="0" applyFont="1" applyAlignment="1">
      <alignment horizontal="left"/>
    </xf>
    <xf numFmtId="0" fontId="25" fillId="0" borderId="0" xfId="0" applyFont="1"/>
    <xf numFmtId="0" fontId="35" fillId="0" borderId="0" xfId="6" applyAlignment="1">
      <alignment vertical="center"/>
    </xf>
    <xf numFmtId="165" fontId="24" fillId="0" borderId="0" xfId="0" applyNumberFormat="1" applyFont="1"/>
    <xf numFmtId="0" fontId="24" fillId="0" borderId="0" xfId="3" applyFont="1" applyFill="1" applyBorder="1" applyAlignment="1">
      <alignment horizontal="left"/>
    </xf>
    <xf numFmtId="0" fontId="24" fillId="0" borderId="0" xfId="3" applyFont="1" applyFill="1" applyBorder="1" applyAlignment="1">
      <alignment horizontal="right"/>
    </xf>
    <xf numFmtId="0" fontId="24" fillId="0" borderId="1" xfId="0" applyFont="1" applyBorder="1" applyAlignment="1">
      <alignment horizontal="left"/>
    </xf>
    <xf numFmtId="164" fontId="24"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24" fillId="0" borderId="0" xfId="0" applyNumberFormat="1" applyFont="1" applyAlignment="1">
      <alignment horizontal="right"/>
    </xf>
    <xf numFmtId="165" fontId="24" fillId="0" borderId="0" xfId="3" applyNumberFormat="1" applyFont="1" applyFill="1" applyBorder="1" applyAlignment="1">
      <alignment horizontal="right"/>
    </xf>
    <xf numFmtId="0" fontId="26"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27" fillId="0" borderId="5" xfId="0" applyFont="1" applyBorder="1" applyAlignment="1">
      <alignment horizontal="center"/>
    </xf>
    <xf numFmtId="0" fontId="27" fillId="0" borderId="0" xfId="0" applyFont="1" applyAlignment="1">
      <alignment horizontal="center"/>
    </xf>
    <xf numFmtId="0" fontId="11" fillId="0" borderId="0" xfId="0" applyFont="1" applyAlignment="1">
      <alignment horizontal="right"/>
    </xf>
    <xf numFmtId="0" fontId="34" fillId="0" borderId="0" xfId="10"/>
    <xf numFmtId="0" fontId="15" fillId="0" borderId="0" xfId="0" applyFont="1" applyAlignment="1">
      <alignment horizontal="left"/>
    </xf>
    <xf numFmtId="0" fontId="36" fillId="0" borderId="0" xfId="11"/>
    <xf numFmtId="0" fontId="24" fillId="0" borderId="0" xfId="3" applyFont="1" applyFill="1" applyBorder="1" applyAlignment="1" applyProtection="1">
      <alignment horizontal="left"/>
    </xf>
    <xf numFmtId="0" fontId="29" fillId="0" borderId="0" xfId="0" applyFont="1"/>
    <xf numFmtId="0" fontId="24" fillId="0" borderId="0" xfId="0" applyFont="1" applyAlignment="1">
      <alignment horizontal="left" indent="2"/>
    </xf>
    <xf numFmtId="0" fontId="24" fillId="0" borderId="1" xfId="0" applyFont="1" applyBorder="1" applyAlignment="1">
      <alignment horizontal="left" indent="2"/>
    </xf>
    <xf numFmtId="165" fontId="24"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0" fontId="24"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24" fillId="0" borderId="0" xfId="2" applyNumberFormat="1" applyFont="1" applyAlignment="1">
      <alignment horizontal="right"/>
    </xf>
    <xf numFmtId="0" fontId="15" fillId="0" borderId="0" xfId="3" applyFont="1" applyFill="1" applyBorder="1" applyAlignment="1">
      <alignment horizontal="right"/>
    </xf>
    <xf numFmtId="0" fontId="11" fillId="0" borderId="0" xfId="0" applyFont="1" applyAlignment="1">
      <alignment horizontal="left" indent="1"/>
    </xf>
    <xf numFmtId="0" fontId="34" fillId="0" borderId="0" xfId="10" applyAlignment="1">
      <alignment vertical="center"/>
    </xf>
    <xf numFmtId="3" fontId="24"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25" fillId="0" borderId="0" xfId="0" applyFont="1" applyAlignment="1">
      <alignment horizontal="left" indent="1"/>
    </xf>
    <xf numFmtId="0" fontId="35" fillId="0" borderId="3" xfId="6" applyBorder="1"/>
    <xf numFmtId="0" fontId="11" fillId="0" borderId="3" xfId="0" applyFont="1" applyBorder="1"/>
    <xf numFmtId="0" fontId="37" fillId="0" borderId="0" xfId="13"/>
    <xf numFmtId="164" fontId="0" fillId="0" borderId="0" xfId="0" applyNumberFormat="1" applyAlignment="1">
      <alignment horizontal="right" wrapText="1"/>
    </xf>
    <xf numFmtId="165" fontId="24"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31" fillId="3" borderId="0" xfId="0" applyFont="1" applyFill="1"/>
    <xf numFmtId="0" fontId="31" fillId="3" borderId="0" xfId="0" applyFont="1" applyFill="1" applyAlignment="1">
      <alignment horizontal="right"/>
    </xf>
    <xf numFmtId="0" fontId="17" fillId="3" borderId="0" xfId="0" applyFont="1" applyFill="1" applyAlignment="1">
      <alignment horizontal="centerContinuous" vertical="center"/>
    </xf>
    <xf numFmtId="0" fontId="32" fillId="0" borderId="3" xfId="0" applyFont="1" applyBorder="1"/>
    <xf numFmtId="0" fontId="32" fillId="0" borderId="3" xfId="0" applyFont="1" applyBorder="1" applyAlignment="1">
      <alignment horizontal="left"/>
    </xf>
    <xf numFmtId="0" fontId="10" fillId="0" borderId="3" xfId="0" applyFont="1" applyBorder="1"/>
    <xf numFmtId="164" fontId="10" fillId="0" borderId="0" xfId="0" applyNumberFormat="1" applyFont="1"/>
    <xf numFmtId="0" fontId="35"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25" fillId="0" borderId="0" xfId="0" applyFont="1" applyAlignment="1">
      <alignment horizontal="left"/>
    </xf>
    <xf numFmtId="0" fontId="0" fillId="0" borderId="0" xfId="0" applyAlignment="1">
      <alignment horizontal="right" wrapText="1"/>
    </xf>
    <xf numFmtId="0" fontId="39" fillId="0" borderId="0" xfId="0" applyFont="1"/>
    <xf numFmtId="0" fontId="10" fillId="0" borderId="0" xfId="0" applyFont="1" applyAlignment="1">
      <alignment horizontal="center"/>
    </xf>
    <xf numFmtId="164" fontId="0" fillId="0" borderId="0" xfId="0" applyNumberFormat="1" applyAlignment="1">
      <alignment horizontal="left" indent="1"/>
    </xf>
    <xf numFmtId="164" fontId="25" fillId="0" borderId="0" xfId="0" applyNumberFormat="1" applyFont="1" applyAlignment="1">
      <alignment horizontal="left" indent="1"/>
    </xf>
    <xf numFmtId="0" fontId="38" fillId="0" borderId="0" xfId="8" applyFill="1"/>
    <xf numFmtId="0" fontId="37" fillId="0" borderId="0" xfId="13" applyFill="1"/>
    <xf numFmtId="164" fontId="10" fillId="0" borderId="0" xfId="0" applyNumberFormat="1" applyFont="1" applyAlignment="1">
      <alignment horizontal="left" wrapText="1" indent="1"/>
    </xf>
    <xf numFmtId="0" fontId="0" fillId="0" borderId="0" xfId="0" applyAlignment="1">
      <alignment horizontal="left" wrapText="1" indent="1"/>
    </xf>
    <xf numFmtId="0" fontId="36" fillId="0" borderId="0" xfId="11" applyFill="1"/>
    <xf numFmtId="0" fontId="0" fillId="0" borderId="0" xfId="0" applyAlignment="1">
      <alignment vertical="center"/>
    </xf>
    <xf numFmtId="0" fontId="37" fillId="0" borderId="0" xfId="13" applyAlignment="1">
      <alignment horizontal="left" indent="1"/>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24" fillId="0" borderId="0" xfId="4" applyNumberFormat="1" applyFont="1" applyFill="1" applyBorder="1" applyAlignment="1"/>
    <xf numFmtId="165" fontId="24" fillId="0" borderId="0" xfId="4" applyNumberFormat="1" applyFont="1" applyFill="1" applyBorder="1" applyAlignment="1" applyProtection="1"/>
    <xf numFmtId="165" fontId="24"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3" fontId="40" fillId="0" borderId="0" xfId="14" applyNumberFormat="1" applyFont="1" applyAlignment="1">
      <alignment horizontal="right" vertical="center" shrinkToFit="1"/>
    </xf>
    <xf numFmtId="3" fontId="24" fillId="0" borderId="1" xfId="6" applyNumberFormat="1" applyFont="1" applyBorder="1"/>
    <xf numFmtId="165" fontId="24" fillId="0" borderId="0" xfId="2" applyNumberFormat="1" applyFont="1" applyBorder="1" applyAlignment="1">
      <alignment horizontal="right"/>
    </xf>
    <xf numFmtId="166" fontId="36" fillId="0" borderId="0" xfId="11" applyNumberFormat="1" applyAlignment="1">
      <alignment horizontal="left"/>
    </xf>
    <xf numFmtId="0" fontId="42" fillId="0" borderId="0" xfId="0" applyFont="1"/>
    <xf numFmtId="0" fontId="42" fillId="0" borderId="0" xfId="0" applyFont="1" applyAlignment="1">
      <alignment horizontal="left"/>
    </xf>
    <xf numFmtId="0" fontId="23" fillId="0" borderId="0" xfId="0" applyFont="1" applyAlignment="1">
      <alignment horizontal="left" vertical="center" indent="2"/>
    </xf>
    <xf numFmtId="0" fontId="44" fillId="0" borderId="0" xfId="0" applyFont="1" applyAlignment="1">
      <alignment horizontal="left" vertical="center" indent="2"/>
    </xf>
    <xf numFmtId="0" fontId="33"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45" fillId="0" borderId="0" xfId="0" applyFont="1"/>
    <xf numFmtId="0" fontId="45" fillId="0" borderId="0" xfId="0" applyFont="1" applyAlignment="1">
      <alignment vertical="top"/>
    </xf>
    <xf numFmtId="0" fontId="4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6" fontId="45" fillId="0" borderId="0" xfId="0" applyNumberFormat="1" applyFont="1" applyAlignment="1">
      <alignment horizontal="right" vertical="top"/>
    </xf>
    <xf numFmtId="165" fontId="11" fillId="0" borderId="0" xfId="3" applyNumberFormat="1" applyFont="1" applyFill="1" applyBorder="1" applyAlignment="1">
      <alignment horizontal="right"/>
    </xf>
    <xf numFmtId="0" fontId="0" fillId="0" borderId="8" xfId="0" applyBorder="1" applyAlignment="1">
      <alignment vertical="top"/>
    </xf>
    <xf numFmtId="0" fontId="23" fillId="0" borderId="0" xfId="0" applyFont="1" applyAlignment="1">
      <alignment vertical="top"/>
    </xf>
    <xf numFmtId="0" fontId="24"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37" fillId="0" borderId="0" xfId="13" applyAlignment="1">
      <alignment horizontal="left" vertical="top" indent="1"/>
    </xf>
    <xf numFmtId="0" fontId="37" fillId="0" borderId="0" xfId="13" applyAlignment="1">
      <alignment horizontal="left" wrapText="1" indent="1"/>
    </xf>
    <xf numFmtId="0" fontId="11" fillId="0" borderId="0" xfId="3" applyFont="1" applyFill="1" applyBorder="1" applyAlignment="1">
      <alignment horizontal="right"/>
    </xf>
    <xf numFmtId="0" fontId="24" fillId="0" borderId="0" xfId="3" applyFont="1" applyFill="1" applyBorder="1" applyAlignment="1">
      <alignment horizontal="left" indent="1"/>
    </xf>
    <xf numFmtId="0" fontId="24" fillId="0" borderId="1" xfId="0" applyFont="1" applyBorder="1" applyAlignment="1">
      <alignment horizontal="left" indent="1"/>
    </xf>
    <xf numFmtId="0" fontId="0" fillId="0" borderId="8" xfId="0" applyBorder="1" applyAlignment="1">
      <alignment horizontal="right"/>
    </xf>
    <xf numFmtId="165" fontId="24" fillId="0" borderId="0" xfId="4" applyNumberFormat="1" applyFont="1" applyFill="1" applyBorder="1" applyAlignment="1">
      <alignment horizontal="right"/>
    </xf>
    <xf numFmtId="165" fontId="24" fillId="0" borderId="0" xfId="4" applyNumberFormat="1" applyFont="1" applyFill="1" applyBorder="1" applyAlignment="1" applyProtection="1">
      <alignment horizontal="right"/>
    </xf>
    <xf numFmtId="165" fontId="24"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0" fontId="11" fillId="0" borderId="2" xfId="0" applyFont="1" applyBorder="1" applyAlignment="1">
      <alignment vertical="top"/>
    </xf>
    <xf numFmtId="0" fontId="11" fillId="0" borderId="2" xfId="0" applyFont="1" applyBorder="1" applyAlignment="1">
      <alignment horizontal="right" vertical="top"/>
    </xf>
    <xf numFmtId="0" fontId="35" fillId="0" borderId="0" xfId="6" applyAlignment="1">
      <alignment horizontal="left" vertical="center"/>
    </xf>
    <xf numFmtId="0" fontId="46" fillId="0" borderId="0" xfId="0" applyFont="1" applyAlignment="1">
      <alignment vertical="top"/>
    </xf>
    <xf numFmtId="0" fontId="46" fillId="0" borderId="0" xfId="0" applyFont="1"/>
    <xf numFmtId="0" fontId="12" fillId="5" borderId="11" xfId="1" applyBorder="1" applyAlignment="1">
      <alignment horizontal="center" vertical="top"/>
    </xf>
    <xf numFmtId="0" fontId="12" fillId="5" borderId="9" xfId="1" applyBorder="1" applyAlignment="1">
      <alignment horizontal="left" vertical="center"/>
    </xf>
    <xf numFmtId="0" fontId="12" fillId="5" borderId="9" xfId="1" applyBorder="1" applyAlignment="1">
      <alignment horizontal="center"/>
    </xf>
    <xf numFmtId="0" fontId="12" fillId="5" borderId="9" xfId="1" applyBorder="1" applyAlignment="1">
      <alignment horizontal="center" vertical="center" wrapText="1"/>
    </xf>
    <xf numFmtId="0" fontId="12" fillId="5" borderId="12" xfId="1" applyBorder="1" applyAlignment="1">
      <alignment horizontal="center" vertical="top"/>
    </xf>
    <xf numFmtId="0" fontId="10" fillId="6" borderId="0" xfId="7" applyBorder="1" applyAlignment="1">
      <alignment horizontal="left" vertical="top" wrapText="1"/>
    </xf>
    <xf numFmtId="0" fontId="10" fillId="6" borderId="0" xfId="7" applyBorder="1" applyAlignment="1">
      <alignment horizontal="left"/>
    </xf>
    <xf numFmtId="164" fontId="47" fillId="3" borderId="0" xfId="0" applyNumberFormat="1" applyFont="1" applyFill="1" applyAlignment="1">
      <alignment horizontal="center" vertical="center"/>
    </xf>
    <xf numFmtId="164" fontId="0" fillId="3" borderId="0" xfId="0" applyNumberFormat="1" applyFill="1" applyAlignment="1">
      <alignment horizontal="center" vertical="center"/>
    </xf>
    <xf numFmtId="0" fontId="10" fillId="6" borderId="0" xfId="7" applyBorder="1" applyAlignment="1">
      <alignment horizontal="left" vertical="top" wrapText="1" indent="1"/>
    </xf>
    <xf numFmtId="0" fontId="10" fillId="6" borderId="0" xfId="7" applyBorder="1" applyAlignment="1">
      <alignment vertical="top"/>
    </xf>
    <xf numFmtId="0" fontId="10" fillId="6" borderId="0" xfId="7" applyBorder="1" applyAlignment="1">
      <alignment horizontal="left" wrapText="1"/>
    </xf>
    <xf numFmtId="0" fontId="12" fillId="5" borderId="13" xfId="1" applyBorder="1" applyAlignment="1">
      <alignment horizontal="center" vertical="top"/>
    </xf>
    <xf numFmtId="0" fontId="10" fillId="6" borderId="10" xfId="7" applyBorder="1" applyAlignment="1">
      <alignment vertical="top"/>
    </xf>
    <xf numFmtId="0" fontId="10" fillId="6" borderId="10" xfId="7" applyBorder="1" applyAlignment="1">
      <alignment horizontal="left"/>
    </xf>
    <xf numFmtId="164" fontId="47" fillId="3" borderId="10" xfId="0" applyNumberFormat="1" applyFont="1" applyFill="1" applyBorder="1" applyAlignment="1">
      <alignment horizontal="center" vertical="center"/>
    </xf>
    <xf numFmtId="0" fontId="0" fillId="3" borderId="0" xfId="0" applyFill="1" applyAlignment="1">
      <alignment vertical="top"/>
    </xf>
    <xf numFmtId="0" fontId="0" fillId="3" borderId="0" xfId="0" applyFill="1"/>
    <xf numFmtId="164" fontId="48" fillId="3" borderId="0" xfId="0" applyNumberFormat="1" applyFont="1" applyFill="1" applyAlignment="1">
      <alignment horizontal="center" vertical="center"/>
    </xf>
    <xf numFmtId="0" fontId="12" fillId="5" borderId="0" xfId="1" applyBorder="1" applyAlignment="1">
      <alignment horizontal="left" vertical="center"/>
    </xf>
    <xf numFmtId="0" fontId="12" fillId="5" borderId="0" xfId="1" applyBorder="1" applyAlignment="1">
      <alignment horizontal="center" vertical="center" wrapText="1"/>
    </xf>
    <xf numFmtId="1" fontId="12" fillId="5" borderId="0" xfId="1" applyNumberFormat="1" applyBorder="1" applyAlignment="1">
      <alignment horizontal="center" vertical="center" wrapText="1"/>
    </xf>
    <xf numFmtId="0" fontId="12" fillId="5" borderId="0" xfId="1" applyBorder="1"/>
    <xf numFmtId="0" fontId="10" fillId="6" borderId="10" xfId="7" applyBorder="1" applyAlignment="1">
      <alignment horizontal="left" vertical="top" wrapText="1"/>
    </xf>
    <xf numFmtId="164" fontId="48" fillId="3" borderId="10" xfId="0" applyNumberFormat="1" applyFont="1" applyFill="1" applyBorder="1" applyAlignment="1">
      <alignment horizontal="center" vertical="center"/>
    </xf>
    <xf numFmtId="0" fontId="48" fillId="3" borderId="10" xfId="0" applyFont="1" applyFill="1" applyBorder="1"/>
    <xf numFmtId="0" fontId="48" fillId="3" borderId="10" xfId="0" applyFont="1" applyFill="1" applyBorder="1" applyAlignment="1">
      <alignment horizontal="center" vertical="center"/>
    </xf>
    <xf numFmtId="164" fontId="48" fillId="0" borderId="10" xfId="0" applyNumberFormat="1" applyFont="1" applyBorder="1" applyAlignment="1">
      <alignment horizontal="center" vertical="center"/>
    </xf>
    <xf numFmtId="0" fontId="48" fillId="3" borderId="10" xfId="0" applyFont="1" applyFill="1" applyBorder="1" applyAlignment="1">
      <alignment horizontal="center"/>
    </xf>
    <xf numFmtId="164" fontId="48" fillId="3" borderId="10" xfId="0" applyNumberFormat="1" applyFont="1" applyFill="1" applyBorder="1" applyAlignment="1">
      <alignment horizontal="center"/>
    </xf>
    <xf numFmtId="0" fontId="0" fillId="3" borderId="0" xfId="0" applyFill="1" applyAlignment="1">
      <alignment horizontal="center" vertical="top"/>
    </xf>
    <xf numFmtId="0" fontId="49" fillId="3" borderId="0" xfId="0" applyFont="1" applyFill="1"/>
    <xf numFmtId="0" fontId="12" fillId="5" borderId="11" xfId="1" applyBorder="1"/>
    <xf numFmtId="0" fontId="12" fillId="5" borderId="9" xfId="1" applyBorder="1"/>
    <xf numFmtId="0" fontId="12" fillId="5" borderId="12" xfId="1" applyBorder="1"/>
    <xf numFmtId="0" fontId="10" fillId="6" borderId="0" xfId="7" applyBorder="1"/>
    <xf numFmtId="0" fontId="12" fillId="5" borderId="13" xfId="1" applyBorder="1"/>
    <xf numFmtId="0" fontId="10" fillId="6" borderId="10" xfId="7" applyBorder="1"/>
    <xf numFmtId="0" fontId="0" fillId="0" borderId="10" xfId="0" applyBorder="1"/>
    <xf numFmtId="0" fontId="10" fillId="6" borderId="0" xfId="7" applyBorder="1" applyAlignment="1">
      <alignment horizontal="left" vertical="top" wrapText="1" indent="2"/>
    </xf>
    <xf numFmtId="0" fontId="10" fillId="6" borderId="0" xfId="7" applyBorder="1" applyAlignment="1">
      <alignment horizontal="center"/>
    </xf>
    <xf numFmtId="0" fontId="10" fillId="6" borderId="10" xfId="7" applyBorder="1" applyAlignment="1">
      <alignment horizontal="left" vertical="top" wrapText="1" indent="2"/>
    </xf>
    <xf numFmtId="0" fontId="10" fillId="6" borderId="10" xfId="7" applyBorder="1" applyAlignment="1">
      <alignment horizontal="center"/>
    </xf>
    <xf numFmtId="164" fontId="0" fillId="3" borderId="10" xfId="0" applyNumberFormat="1" applyFill="1" applyBorder="1" applyAlignment="1">
      <alignment horizontal="center" vertical="center"/>
    </xf>
    <xf numFmtId="0" fontId="12" fillId="5" borderId="9" xfId="1" applyBorder="1" applyAlignment="1">
      <alignment horizontal="right"/>
    </xf>
    <xf numFmtId="0" fontId="12" fillId="5" borderId="0" xfId="1" applyBorder="1" applyAlignment="1">
      <alignment horizontal="right"/>
    </xf>
    <xf numFmtId="164" fontId="12" fillId="5" borderId="0" xfId="1" applyNumberFormat="1" applyBorder="1" applyAlignment="1">
      <alignment horizontal="right"/>
    </xf>
    <xf numFmtId="164" fontId="12" fillId="5" borderId="0" xfId="1" applyNumberFormat="1" applyBorder="1"/>
    <xf numFmtId="164" fontId="10" fillId="6" borderId="0" xfId="7" applyNumberFormat="1"/>
    <xf numFmtId="0" fontId="10" fillId="6" borderId="0" xfId="7"/>
    <xf numFmtId="0" fontId="10" fillId="6" borderId="0" xfId="7" applyBorder="1" applyAlignment="1">
      <alignment horizontal="left" indent="2"/>
    </xf>
    <xf numFmtId="0" fontId="10" fillId="6" borderId="0" xfId="7" applyBorder="1" applyAlignment="1">
      <alignment horizontal="left" indent="4"/>
    </xf>
    <xf numFmtId="164" fontId="10" fillId="6" borderId="0" xfId="7" applyNumberFormat="1" applyBorder="1"/>
    <xf numFmtId="0" fontId="10" fillId="6" borderId="0" xfId="7" applyBorder="1" applyAlignment="1">
      <alignment horizontal="left" indent="1"/>
    </xf>
    <xf numFmtId="164" fontId="2" fillId="7" borderId="0" xfId="15" applyNumberFormat="1" applyBorder="1"/>
    <xf numFmtId="164" fontId="2" fillId="7" borderId="10" xfId="15" applyNumberFormat="1" applyBorder="1"/>
    <xf numFmtId="0" fontId="2" fillId="7" borderId="0" xfId="15" applyBorder="1"/>
    <xf numFmtId="0" fontId="2" fillId="7" borderId="0" xfId="15"/>
    <xf numFmtId="164" fontId="2" fillId="7" borderId="0" xfId="15" applyNumberFormat="1"/>
    <xf numFmtId="0" fontId="0" fillId="8" borderId="14" xfId="0" applyFill="1" applyBorder="1"/>
    <xf numFmtId="0" fontId="38" fillId="0" borderId="0" xfId="8" applyAlignment="1">
      <alignment horizontal="left"/>
    </xf>
    <xf numFmtId="0" fontId="32" fillId="0" borderId="3" xfId="0" applyFont="1" applyBorder="1" applyAlignment="1">
      <alignment horizontal="center"/>
    </xf>
    <xf numFmtId="165" fontId="11" fillId="0" borderId="0" xfId="0" applyNumberFormat="1" applyFont="1" applyAlignment="1">
      <alignment wrapText="1"/>
    </xf>
    <xf numFmtId="165" fontId="11" fillId="0" borderId="0" xfId="0" applyNumberFormat="1" applyFont="1" applyAlignment="1">
      <alignment horizontal="right"/>
    </xf>
    <xf numFmtId="167" fontId="42" fillId="0" borderId="0" xfId="0" applyNumberFormat="1" applyFont="1" applyAlignment="1">
      <alignment horizontal="left"/>
    </xf>
    <xf numFmtId="165" fontId="24" fillId="0" borderId="0" xfId="4" applyNumberFormat="1" applyFont="1" applyFill="1" applyBorder="1" applyAlignment="1">
      <alignment horizontal="left"/>
    </xf>
    <xf numFmtId="165" fontId="24" fillId="0" borderId="0" xfId="4" applyNumberFormat="1" applyFont="1" applyFill="1" applyBorder="1" applyAlignment="1" applyProtection="1">
      <alignment horizontal="left"/>
    </xf>
    <xf numFmtId="165" fontId="11" fillId="0" borderId="0" xfId="4" applyNumberFormat="1" applyFont="1" applyFill="1" applyBorder="1" applyAlignment="1">
      <alignment horizontal="left"/>
    </xf>
    <xf numFmtId="164" fontId="51" fillId="0" borderId="0" xfId="0" applyNumberFormat="1" applyFont="1"/>
    <xf numFmtId="165" fontId="51" fillId="0" borderId="0" xfId="0" applyNumberFormat="1" applyFont="1"/>
    <xf numFmtId="0" fontId="52" fillId="0" borderId="0" xfId="0" applyFont="1"/>
    <xf numFmtId="0" fontId="0" fillId="0" borderId="15" xfId="0" applyBorder="1"/>
    <xf numFmtId="165" fontId="11" fillId="0" borderId="1" xfId="4" applyNumberFormat="1" applyFont="1" applyFill="1" applyBorder="1" applyAlignment="1">
      <alignment horizontal="left"/>
    </xf>
    <xf numFmtId="165" fontId="24" fillId="0" borderId="1" xfId="4" applyNumberFormat="1" applyFont="1" applyFill="1" applyBorder="1" applyAlignment="1" applyProtection="1">
      <alignment horizontal="left"/>
    </xf>
    <xf numFmtId="165" fontId="24" fillId="0" borderId="1" xfId="4" applyNumberFormat="1" applyFont="1" applyFill="1" applyBorder="1" applyAlignment="1" applyProtection="1">
      <alignment horizontal="right"/>
    </xf>
    <xf numFmtId="166" fontId="0" fillId="0" borderId="2" xfId="0" applyNumberFormat="1" applyBorder="1" applyAlignment="1">
      <alignment horizontal="right"/>
    </xf>
    <xf numFmtId="0" fontId="11" fillId="0" borderId="2" xfId="0" applyFont="1" applyBorder="1" applyAlignment="1">
      <alignment horizontal="center"/>
    </xf>
    <xf numFmtId="0" fontId="45" fillId="0" borderId="0" xfId="0" applyFont="1" applyAlignment="1">
      <alignment horizontal="right"/>
    </xf>
    <xf numFmtId="164" fontId="2" fillId="7" borderId="0" xfId="15" applyNumberFormat="1" applyBorder="1" applyProtection="1">
      <protection locked="0"/>
    </xf>
    <xf numFmtId="164" fontId="2" fillId="7" borderId="10" xfId="15" applyNumberFormat="1" applyBorder="1" applyProtection="1">
      <protection locked="0"/>
    </xf>
    <xf numFmtId="0" fontId="2" fillId="7" borderId="0" xfId="15" applyBorder="1" applyProtection="1">
      <protection locked="0"/>
    </xf>
    <xf numFmtId="164" fontId="44" fillId="0" borderId="0" xfId="0" applyNumberFormat="1" applyFont="1" applyProtection="1">
      <protection locked="0"/>
    </xf>
    <xf numFmtId="0" fontId="12" fillId="0" borderId="0" xfId="1" applyFill="1" applyBorder="1" applyAlignment="1">
      <alignment horizontal="right"/>
    </xf>
    <xf numFmtId="0" fontId="10" fillId="0" borderId="0" xfId="7" applyFill="1" applyBorder="1" applyProtection="1">
      <protection locked="0"/>
    </xf>
    <xf numFmtId="164" fontId="10" fillId="0" borderId="0" xfId="7" applyNumberFormat="1" applyFill="1" applyBorder="1" applyProtection="1">
      <protection locked="0"/>
    </xf>
    <xf numFmtId="164" fontId="10" fillId="0" borderId="0" xfId="7" applyNumberFormat="1" applyFill="1"/>
    <xf numFmtId="0" fontId="2" fillId="0" borderId="0" xfId="15" applyFill="1" applyProtection="1">
      <protection locked="0"/>
    </xf>
    <xf numFmtId="164" fontId="2" fillId="0" borderId="0" xfId="15" applyNumberFormat="1" applyFill="1" applyProtection="1">
      <protection locked="0"/>
    </xf>
    <xf numFmtId="165" fontId="11" fillId="0" borderId="0" xfId="4" applyNumberFormat="1" applyFont="1" applyFill="1" applyBorder="1" applyAlignment="1">
      <alignment horizontal="right"/>
    </xf>
    <xf numFmtId="3" fontId="44" fillId="0" borderId="0" xfId="4" applyNumberFormat="1" applyFont="1" applyBorder="1" applyProtection="1">
      <protection locked="0"/>
    </xf>
    <xf numFmtId="2" fontId="0" fillId="0" borderId="0" xfId="0" applyNumberFormat="1"/>
    <xf numFmtId="164" fontId="10" fillId="0" borderId="0" xfId="7" applyNumberFormat="1" applyFill="1" applyBorder="1"/>
    <xf numFmtId="0" fontId="2" fillId="0" borderId="0" xfId="15" applyFill="1" applyBorder="1"/>
    <xf numFmtId="164" fontId="2" fillId="0" borderId="0" xfId="15" applyNumberFormat="1" applyFill="1" applyBorder="1"/>
    <xf numFmtId="0" fontId="0" fillId="0" borderId="2" xfId="0" applyBorder="1" applyAlignment="1">
      <alignment horizontal="right"/>
    </xf>
    <xf numFmtId="0" fontId="11" fillId="0" borderId="2" xfId="0" applyFont="1" applyBorder="1" applyAlignment="1">
      <alignment horizontal="right"/>
    </xf>
    <xf numFmtId="17" fontId="0" fillId="0" borderId="2" xfId="0" applyNumberFormat="1" applyBorder="1" applyAlignment="1">
      <alignment horizontal="right"/>
    </xf>
  </cellXfs>
  <cellStyles count="19">
    <cellStyle name="20% - Accent1" xfId="7" builtinId="30" customBuiltin="1"/>
    <cellStyle name="20% - Accent3" xfId="15" builtinId="38"/>
    <cellStyle name="20% - Accent3 2" xfId="18" xr:uid="{E61EEE68-7558-43CC-A154-9FFDE52FDDA5}"/>
    <cellStyle name="Accent1" xfId="1" builtinId="29" customBuiltin="1"/>
    <cellStyle name="Accent5" xfId="3" builtinId="45"/>
    <cellStyle name="Comma" xfId="4" builtinId="3"/>
    <cellStyle name="Comma 2" xfId="17" xr:uid="{9FC5B58F-AAED-4640-84BE-5F1C3919C838}"/>
    <cellStyle name="Explanatory Text" xfId="13"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4" xr:uid="{B1C55207-B713-483F-A199-D6B53B263BF0}"/>
    <cellStyle name="Per cent" xfId="2" builtinId="5"/>
    <cellStyle name="Per cent 2" xfId="16" xr:uid="{356D689F-ADAB-465D-9BE5-4799A332BB79}"/>
    <cellStyle name="Title" xfId="10" builtinId="15" customBuiltin="1"/>
    <cellStyle name="Warning Text" xfId="12" builtinId="11" hidden="1"/>
  </cellStyles>
  <dxfs count="216">
    <dxf>
      <font>
        <color theme="0"/>
      </font>
    </dxf>
    <dxf>
      <font>
        <color theme="0"/>
      </font>
    </dxf>
    <dxf>
      <font>
        <color theme="0"/>
      </font>
    </dxf>
    <dxf>
      <border>
        <top style="thin">
          <color auto="1"/>
        </top>
        <bottom style="thin">
          <color auto="1"/>
        </bottom>
        <vertical/>
        <horizontal/>
      </border>
    </dxf>
    <dxf>
      <font>
        <color theme="0"/>
      </font>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0"/>
      </font>
    </dxf>
    <dxf>
      <font>
        <color theme="0"/>
      </font>
    </dxf>
    <dxf>
      <font>
        <color theme="0"/>
      </font>
    </dxf>
    <dxf>
      <font>
        <color theme="0"/>
      </font>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DDEBF7"/>
        </patternFill>
      </fill>
    </dxf>
    <dxf>
      <font>
        <color theme="0"/>
      </font>
    </dxf>
    <dxf>
      <fill>
        <patternFill>
          <bgColor rgb="FFEDEDED"/>
        </patternFill>
      </fill>
    </dxf>
    <dxf>
      <font>
        <color theme="0"/>
      </font>
      <fill>
        <patternFill>
          <bgColor theme="8" tint="-0.499984740745262"/>
        </patternFill>
      </fill>
    </dxf>
    <dxf>
      <font>
        <color theme="0"/>
      </font>
      <fill>
        <patternFill>
          <bgColor theme="8" tint="-0.499984740745262"/>
        </patternFill>
      </fill>
    </dxf>
    <dxf>
      <fill>
        <patternFill>
          <bgColor rgb="FFDDEBF7"/>
        </patternFill>
      </fill>
    </dxf>
    <dxf>
      <font>
        <color theme="0"/>
      </font>
    </dxf>
    <dxf>
      <fill>
        <patternFill>
          <bgColor rgb="FFDDEBF7"/>
        </patternFill>
      </fill>
    </dxf>
    <dxf>
      <fill>
        <patternFill>
          <bgColor rgb="FFDDEBF7"/>
        </patternFill>
      </fill>
    </dxf>
    <dxf>
      <fill>
        <patternFill>
          <bgColor rgb="FFDDEBF7"/>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border>
        <left style="thin">
          <color theme="2" tint="-0.24994659260841701"/>
        </left>
        <right style="thin">
          <color theme="2" tint="-0.24994659260841701"/>
        </right>
        <top style="thin">
          <color theme="2" tint="-0.24994659260841701"/>
        </top>
        <bottom style="thin">
          <color theme="2" tint="-0.24994659260841701"/>
        </bottom>
        <vertical/>
        <horizontal/>
      </border>
    </dxf>
    <dxf>
      <font>
        <color theme="7" tint="-0.24994659260841701"/>
      </font>
    </dxf>
    <dxf>
      <font>
        <color rgb="FF007635"/>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font>
    </dxf>
    <dxf>
      <border>
        <bottom style="thin">
          <color auto="1"/>
        </bottom>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border>
        <bottom style="thin">
          <color auto="1"/>
        </bottom>
        <vertical/>
        <horizontal/>
      </border>
    </dxf>
    <dxf>
      <border>
        <left/>
        <right/>
        <top/>
        <bottom style="thin">
          <color theme="1" tint="0.34998626667073579"/>
        </bottom>
        <vertical/>
        <horizontal/>
      </border>
    </dxf>
    <dxf>
      <font>
        <color theme="0"/>
      </font>
      <fill>
        <patternFill>
          <bgColor theme="8" tint="-0.499984740745262"/>
        </patternFill>
      </fill>
    </dxf>
    <dxf>
      <font>
        <color rgb="FFC00000"/>
      </font>
    </dxf>
    <dxf>
      <font>
        <color rgb="FF00B050"/>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7635"/>
      </font>
    </dxf>
    <dxf>
      <font>
        <strike val="0"/>
        <color rgb="FF007635"/>
      </font>
    </dxf>
    <dxf>
      <font>
        <strike val="0"/>
        <color rgb="FF007635"/>
      </font>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rgb="FF00B050"/>
      </font>
    </dxf>
    <dxf>
      <font>
        <color rgb="FFC00000"/>
      </font>
    </dxf>
    <dxf>
      <font>
        <color theme="0"/>
      </font>
      <fill>
        <patternFill>
          <bgColor theme="8" tint="-0.499984740745262"/>
        </patternFill>
      </fill>
    </dxf>
    <dxf>
      <font>
        <color rgb="FF007635"/>
      </font>
    </dxf>
    <dxf>
      <font>
        <color rgb="FFC00000"/>
      </font>
    </dxf>
    <dxf>
      <font>
        <color theme="0"/>
      </font>
    </dxf>
    <dxf>
      <fill>
        <patternFill>
          <bgColor rgb="FFEDEDED"/>
        </patternFill>
      </fill>
    </dxf>
    <dxf>
      <font>
        <color theme="0"/>
      </font>
    </dxf>
    <dxf>
      <font>
        <color theme="0"/>
      </font>
    </dxf>
    <dxf>
      <font>
        <color theme="0"/>
      </font>
    </dxf>
    <dxf>
      <font>
        <color theme="0"/>
      </font>
    </dxf>
    <dxf>
      <font>
        <color theme="0"/>
      </font>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ill>
        <patternFill>
          <bgColor rgb="FFDDEBF7"/>
        </patternFill>
      </fill>
    </dxf>
    <dxf>
      <font>
        <color theme="0"/>
      </font>
      <fill>
        <patternFill patternType="none">
          <bgColor auto="1"/>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font>
        <color theme="0"/>
      </font>
      <fill>
        <patternFill>
          <bgColor theme="8" tint="-0.499984740745262"/>
        </patternFill>
      </fill>
    </dxf>
    <dxf>
      <border>
        <bottom style="thin">
          <color auto="1"/>
        </bottom>
        <vertical/>
        <horizontal/>
      </border>
    </dxf>
    <dxf>
      <border>
        <top style="thin">
          <color auto="1"/>
        </top>
        <bottom/>
        <vertical/>
        <horizontal/>
      </border>
    </dxf>
    <dxf>
      <border>
        <bottom style="thin">
          <color auto="1"/>
        </bottom>
        <vertical/>
        <horizontal/>
      </border>
    </dxf>
    <dxf>
      <border>
        <left style="thin">
          <color theme="0" tint="-0.24994659260841701"/>
        </left>
        <right style="thin">
          <color theme="0" tint="-0.24994659260841701"/>
        </right>
        <top style="thin">
          <color theme="0" tint="-0.24994659260841701"/>
        </top>
        <bottom style="thin">
          <color auto="1"/>
        </bottom>
        <vertical/>
        <horizontal/>
      </border>
    </dxf>
    <dxf>
      <font>
        <color theme="0" tint="-0.499984740745262"/>
      </font>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bgColor theme="0"/>
        </patternFill>
      </fill>
      <border>
        <top style="thin">
          <color theme="0"/>
        </top>
        <bottom style="thin">
          <color theme="0"/>
        </bottom>
        <vertical/>
        <horizontal/>
      </border>
    </dxf>
    <dxf>
      <border>
        <bottom style="thin">
          <color auto="1"/>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EDEDED"/>
      <color rgb="FFDDEBF7"/>
      <color rgb="FF007635"/>
      <color rgb="FF800000"/>
      <color rgb="FF0033CC"/>
      <color rgb="FFFFCCCC"/>
      <color rgb="FF008000"/>
      <color rgb="FFD4EFC9"/>
      <color rgb="FFFF9999"/>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P3b: Performance of general government debt compared to the endorsed plan</c:v>
            </c:pt>
          </c:strCache>
        </c:strRef>
      </c:tx>
      <c:layout>
        <c:manualLayout>
          <c:xMode val="edge"/>
          <c:yMode val="edge"/>
          <c:x val="0.12927974099292328"/>
          <c:y val="6.8534740159422131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0"/>
          <c:order val="0"/>
          <c:tx>
            <c:strRef>
              <c:f>'Chart data'!$C$29</c:f>
              <c:strCache>
                <c:ptCount val="1"/>
                <c:pt idx="0">
                  <c:v>Council-endorsed path (% of GDP)</c:v>
                </c:pt>
              </c:strCache>
            </c:strRef>
          </c:tx>
          <c:spPr>
            <a:solidFill>
              <a:schemeClr val="accent5">
                <a:lumMod val="40000"/>
                <a:lumOff val="6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45.8</c:v>
                </c:pt>
                <c:pt idx="1">
                  <c:v>47.5</c:v>
                </c:pt>
                <c:pt idx="2">
                  <c:v>48.5</c:v>
                </c:pt>
                <c:pt idx="3">
                  <c:v>49.7</c:v>
                </c:pt>
                <c:pt idx="4">
                  <c:v>50.8</c:v>
                </c:pt>
              </c:numCache>
            </c:numRef>
          </c:val>
          <c:extLst>
            <c:ext xmlns:c16="http://schemas.microsoft.com/office/drawing/2014/chart" uri="{C3380CC4-5D6E-409C-BE32-E72D297353CC}">
              <c16:uniqueId val="{00000004-6FAA-43F6-8712-278F319E83B4}"/>
            </c:ext>
          </c:extLst>
        </c:ser>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overlap val="6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46.887477862325753</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46.249535696627248</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solidFill>
              <a:schemeClr val="bg1">
                <a:lumMod val="75000"/>
                <a:alpha val="70000"/>
              </a:schemeClr>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#N/A</c:v>
                </c:pt>
                <c:pt idx="2">
                  <c:v>47.9</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4"/>
        <c:overlap val="100"/>
        <c:axId val="494849055"/>
        <c:axId val="494850495"/>
      </c:barChart>
      <c:lineChart>
        <c:grouping val="standard"/>
        <c:varyColors val="0"/>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47334821202208693"/>
          <c:y val="0.14896081093311611"/>
          <c:w val="0.48742599799907288"/>
          <c:h val="0.1701239931215494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c:f>
          <c:strCache>
            <c:ptCount val="1"/>
            <c:pt idx="0">
              <c:v>P2: Control account deviations and balance</c:v>
            </c:pt>
          </c:strCache>
        </c:strRef>
      </c:tx>
      <c:layout>
        <c:manualLayout>
          <c:xMode val="edge"/>
          <c:yMode val="edge"/>
          <c:x val="0.17224946172508579"/>
          <c:y val="8.6324077911313721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4214048901782018"/>
          <c:w val="0.85331519737394768"/>
          <c:h val="0.48298314684348664"/>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Pt>
            <c:idx val="1"/>
            <c:invertIfNegative val="0"/>
            <c:bubble3D val="0"/>
            <c:spPr>
              <a:solidFill>
                <a:schemeClr val="accent5">
                  <a:lumMod val="50000"/>
                  <a:alpha val="75000"/>
                </a:schemeClr>
              </a:solidFill>
              <a:ln>
                <a:solidFill>
                  <a:schemeClr val="bg1"/>
                </a:solidFill>
              </a:ln>
              <a:effectLst/>
            </c:spPr>
            <c:extLst>
              <c:ext xmlns:c16="http://schemas.microsoft.com/office/drawing/2014/chart" uri="{C3380CC4-5D6E-409C-BE32-E72D297353CC}">
                <c16:uniqueId val="{00000002-52A0-4D5F-8AE2-5B8389769567}"/>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-1.8341001862133344</c:v>
                </c:pt>
                <c:pt idx="1">
                  <c:v>-2.4818066666356913</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#N/A</c:v>
                </c:pt>
                <c:pt idx="2">
                  <c:v>-2.5692931218013437</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-0.42200029284483015</c:v>
                </c:pt>
                <c:pt idx="2">
                  <c:v>0</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alpha val="75000"/>
              </a:srgbClr>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-1.6282262258224094</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-2.5692931218013437</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-2.5692931218013437</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1"/>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1"/>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39401103230890466"/>
          <c:y val="9.3239397706865595E-2"/>
          <c:w val="0.59022852639873913"/>
          <c:h val="0.23167253764332091"/>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P4: Deficit resilience safeguard respected </c:v>
            </c:pt>
          </c:strCache>
        </c:strRef>
      </c:tx>
      <c:layout>
        <c:manualLayout>
          <c:xMode val="edge"/>
          <c:yMode val="edge"/>
          <c:x val="0.19968458280325471"/>
          <c:y val="4.1051102157445519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0"/>
          <c:order val="0"/>
          <c:tx>
            <c:strRef>
              <c:f>'Chart data'!$C$79</c:f>
              <c:strCache>
                <c:ptCount val="1"/>
                <c:pt idx="0">
                  <c:v>General government balance (% of GDP)</c:v>
                </c:pt>
              </c:strCache>
            </c:strRef>
          </c:tx>
          <c:spPr>
            <a:solidFill>
              <a:schemeClr val="accent5">
                <a:lumMod val="40000"/>
                <a:lumOff val="60000"/>
              </a:schemeClr>
            </a:solidFill>
            <a:ln w="28575" cap="rnd">
              <a:no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-2.6</c:v>
                </c:pt>
                <c:pt idx="1">
                  <c:v>-2.9</c:v>
                </c:pt>
                <c:pt idx="2">
                  <c:v>-2.9</c:v>
                </c:pt>
                <c:pt idx="3">
                  <c:v>-2.9</c:v>
                </c:pt>
                <c:pt idx="4">
                  <c:v>-2.9</c:v>
                </c:pt>
              </c:numCache>
            </c:numRef>
          </c:val>
          <c:extLst>
            <c:ext xmlns:c16="http://schemas.microsoft.com/office/drawing/2014/chart" uri="{C3380CC4-5D6E-409C-BE32-E72D297353CC}">
              <c16:uniqueId val="{00000003-379D-4B76-BB17-AAA97E18E3C3}"/>
            </c:ext>
          </c:extLst>
        </c:ser>
        <c:ser>
          <c:idx val="3"/>
          <c:order val="2"/>
          <c:tx>
            <c:strRef>
              <c:f>'Chart data'!$C$81</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-1.7868607680254289</c:v>
                </c:pt>
                <c:pt idx="1">
                  <c:v>-2.5407774797681517</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#N/A</c:v>
                </c:pt>
                <c:pt idx="2">
                  <c:v>-3</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20"/>
        <c:overlap val="88"/>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0"/>
        <c:delete val="1"/>
      </c:legendEntry>
      <c:legendEntry>
        <c:idx val="4"/>
        <c:delete val="1"/>
      </c:legendEntry>
      <c:layout>
        <c:manualLayout>
          <c:xMode val="edge"/>
          <c:yMode val="edge"/>
          <c:x val="0.62907077261690458"/>
          <c:y val="0.17070843737238839"/>
          <c:w val="0.28510208488676497"/>
          <c:h val="0.144101595757394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P5b: 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0"/>
          <c:order val="0"/>
          <c:tx>
            <c:strRef>
              <c:f>'Chart data'!$C$70</c:f>
              <c:strCache>
                <c:ptCount val="1"/>
                <c:pt idx="0">
                  <c:v>Endorsed linear annual change in SPB </c:v>
                </c:pt>
              </c:strCache>
            </c:strRef>
          </c:tx>
          <c:spPr>
            <a:solidFill>
              <a:schemeClr val="accent5">
                <a:lumMod val="40000"/>
                <a:lumOff val="60000"/>
              </a:schemeClr>
            </a:solidFill>
            <a:ln>
              <a:noFill/>
              <a:prstDash val="sysDash"/>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-0.5</c:v>
                </c:pt>
                <c:pt idx="2">
                  <c:v>0</c:v>
                </c:pt>
                <c:pt idx="3">
                  <c:v>0</c:v>
                </c:pt>
                <c:pt idx="4">
                  <c:v>0</c:v>
                </c:pt>
              </c:numCache>
            </c:numRef>
          </c:val>
          <c:extLst>
            <c:ext xmlns:c16="http://schemas.microsoft.com/office/drawing/2014/chart" uri="{C3380CC4-5D6E-409C-BE32-E72D297353CC}">
              <c16:uniqueId val="{00000005-F8E0-4AA4-9D9C-157F12853097}"/>
            </c:ext>
          </c:extLst>
        </c:ser>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9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1.1469499999999999</c:v>
                </c:pt>
                <c:pt idx="1">
                  <c:v>-1.1949799999999999</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solidFill>
              <a:schemeClr val="bg1">
                <a:lumMod val="75000"/>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#N/A</c:v>
                </c:pt>
                <c:pt idx="2">
                  <c:v>0.11308999999999991</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1"/>
        <c:overlap val="47"/>
        <c:axId val="1227260992"/>
        <c:axId val="1227264352"/>
      </c:barChart>
      <c:lineChart>
        <c:grouping val="standard"/>
        <c:varyColors val="0"/>
        <c:ser>
          <c:idx val="5"/>
          <c:order val="5"/>
          <c:tx>
            <c:v>LeftAxisMin</c:v>
          </c:tx>
          <c:spPr>
            <a:ln w="28575" cap="rnd">
              <a:solidFill>
                <a:schemeClr val="accent6"/>
              </a:solidFill>
              <a:round/>
            </a:ln>
            <a:effectLst/>
          </c:spPr>
          <c:marker>
            <c:symbol val="none"/>
          </c:marker>
          <c:val>
            <c:numRef>
              <c:f>'Chart data'!$D$75</c:f>
              <c:numCache>
                <c:formatCode>0.0</c:formatCode>
                <c:ptCount val="1"/>
                <c:pt idx="0">
                  <c:v>-1.1949799999999999</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1.1469499999999999</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-1.1949799999999999</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1.1469499999999999</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41289223342325715"/>
          <c:y val="0.23805284789562073"/>
          <c:w val="0.47245849540914997"/>
          <c:h val="0.145304913808850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P3a: Change in general government gross debt compared to endorsed plan and safeguard</c:v>
            </c:pt>
          </c:strCache>
        </c:strRef>
      </c:tx>
      <c:layout>
        <c:manualLayout>
          <c:xMode val="edge"/>
          <c:yMode val="edge"/>
          <c:x val="0.11130832451794592"/>
          <c:y val="4.3713641744199628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4417826630770364"/>
          <c:w val="0.87858630691591355"/>
          <c:h val="0.47866976250479282"/>
        </c:manualLayout>
      </c:layout>
      <c:barChart>
        <c:barDir val="col"/>
        <c:grouping val="clustered"/>
        <c:varyColors val="0"/>
        <c:ser>
          <c:idx val="0"/>
          <c:order val="0"/>
          <c:tx>
            <c:strRef>
              <c:f>'Chart data'!$C$59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2.1999999999999957</c:v>
                </c:pt>
                <c:pt idx="1">
                  <c:v>1.7000000000000028</c:v>
                </c:pt>
                <c:pt idx="2">
                  <c:v>1</c:v>
                </c:pt>
                <c:pt idx="3">
                  <c:v>1.2000000000000028</c:v>
                </c:pt>
                <c:pt idx="4">
                  <c:v>1.0999999999999943</c:v>
                </c:pt>
              </c:numCache>
            </c:numRef>
          </c:val>
          <c:extLst>
            <c:ext xmlns:c16="http://schemas.microsoft.com/office/drawing/2014/chart" uri="{C3380CC4-5D6E-409C-BE32-E72D297353CC}">
              <c16:uniqueId val="{00000005-45DD-4978-98CC-F65C5B7D9263}"/>
            </c:ext>
          </c:extLst>
        </c:ser>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0"/>
        <c:overlap val="6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alpha val="75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3.0084398668710008</c:v>
                </c:pt>
                <c:pt idx="1">
                  <c:v>3.1896844248388225</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solidFill>
              <a:schemeClr val="bg1">
                <a:lumMod val="75000"/>
                <a:alpha val="70000"/>
              </a:schemeClr>
            </a:solidFill>
            <a:ln>
              <a:solidFill>
                <a:schemeClr val="tx1">
                  <a:lumMod val="15000"/>
                  <a:lumOff val="85000"/>
                  <a:alpha val="7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#N/A</c:v>
                </c:pt>
                <c:pt idx="2">
                  <c:v>0.9</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100"/>
        <c:overlap val="100"/>
        <c:axId val="968280543"/>
        <c:axId val="968283423"/>
      </c:barChart>
      <c:lineChart>
        <c:grouping val="standard"/>
        <c:varyColors val="0"/>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0</c:v>
                </c:pt>
                <c:pt idx="1">
                  <c:v>0</c:v>
                </c:pt>
                <c:pt idx="2">
                  <c:v>0</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3.1896844248388225</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3.1896844248388225</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7109981024116772E-2"/>
          <c:y val="0.16683154930589991"/>
          <c:w val="0.89983472283203059"/>
          <c:h val="0.1854582498368192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P5a: Structural primary balance progress and timing </c:v>
            </c:pt>
          </c:strCache>
        </c:strRef>
      </c:tx>
      <c:layout>
        <c:manualLayout>
          <c:xMode val="edge"/>
          <c:yMode val="edge"/>
          <c:x val="0.14590824194795557"/>
          <c:y val="8.4975741668655066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5.6842954510925657E-2"/>
          <c:y val="0.26825215269143987"/>
          <c:w val="0.88389129483814521"/>
          <c:h val="0.64698402173412539"/>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-0.8</c:v>
                </c:pt>
                <c:pt idx="1">
                  <c:v>-1.3</c:v>
                </c:pt>
                <c:pt idx="2">
                  <c:v>-1.3</c:v>
                </c:pt>
                <c:pt idx="3">
                  <c:v>-1.3</c:v>
                </c:pt>
                <c:pt idx="4">
                  <c:v>-1.3</c:v>
                </c:pt>
              </c:numCache>
            </c:numRef>
          </c:val>
          <c:extLst>
            <c:ext xmlns:c16="http://schemas.microsoft.com/office/drawing/2014/chart" uri="{C3380CC4-5D6E-409C-BE32-E72D297353CC}">
              <c16:uniqueId val="{00000000-F021-4FF8-9069-EA28DC5B52FD}"/>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021-4FF8-9069-EA28DC5B52F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F021-4FF8-9069-EA28DC5B52F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-0.21811</c:v>
                </c:pt>
                <c:pt idx="1">
                  <c:v>#N/A</c:v>
                </c:pt>
                <c:pt idx="2">
                  <c:v>#N/A</c:v>
                </c:pt>
                <c:pt idx="3">
                  <c:v>#N/A</c:v>
                </c:pt>
                <c:pt idx="4">
                  <c:v>#N/A</c:v>
                </c:pt>
              </c:numCache>
            </c:numRef>
          </c:val>
          <c:extLst>
            <c:ext xmlns:c16="http://schemas.microsoft.com/office/drawing/2014/chart" uri="{C3380CC4-5D6E-409C-BE32-E72D297353CC}">
              <c16:uniqueId val="{00000003-F021-4FF8-9069-EA28DC5B52FD}"/>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-1.41309</c:v>
                </c:pt>
                <c:pt idx="2">
                  <c:v>#N/A</c:v>
                </c:pt>
                <c:pt idx="3">
                  <c:v>#N/A</c:v>
                </c:pt>
                <c:pt idx="4">
                  <c:v>#N/A</c:v>
                </c:pt>
              </c:numCache>
            </c:numRef>
          </c:val>
          <c:extLst>
            <c:ext xmlns:c16="http://schemas.microsoft.com/office/drawing/2014/chart" uri="{C3380CC4-5D6E-409C-BE32-E72D297353CC}">
              <c16:uniqueId val="{00000004-F021-4FF8-9069-EA28DC5B52FD}"/>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#N/A</c:v>
                </c:pt>
                <c:pt idx="2">
                  <c:v>-1.3</c:v>
                </c:pt>
                <c:pt idx="3">
                  <c:v>#N/A</c:v>
                </c:pt>
                <c:pt idx="4">
                  <c:v>#N/A</c:v>
                </c:pt>
              </c:numCache>
            </c:numRef>
          </c:val>
          <c:extLst>
            <c:ext xmlns:c16="http://schemas.microsoft.com/office/drawing/2014/chart" uri="{C3380CC4-5D6E-409C-BE32-E72D297353CC}">
              <c16:uniqueId val="{00000005-F021-4FF8-9069-EA28DC5B52FD}"/>
            </c:ext>
          </c:extLst>
        </c:ser>
        <c:dLbls>
          <c:showLegendKey val="0"/>
          <c:showVal val="0"/>
          <c:showCatName val="0"/>
          <c:showSerName val="0"/>
          <c:showPercent val="0"/>
          <c:showBubbleSize val="0"/>
        </c:dLbls>
        <c:gapWidth val="105"/>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6-F021-4FF8-9069-EA28DC5B52FD}"/>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F021-4FF8-9069-EA28DC5B52F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-1.41309</c:v>
                </c:pt>
              </c:numCache>
            </c:numRef>
          </c:val>
          <c:smooth val="0"/>
          <c:extLst>
            <c:ext xmlns:c16="http://schemas.microsoft.com/office/drawing/2014/chart" uri="{C3380CC4-5D6E-409C-BE32-E72D297353CC}">
              <c16:uniqueId val="{00000008-F021-4FF8-9069-EA28DC5B52FD}"/>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F021-4FF8-9069-EA28DC5B52F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3289546890471027"/>
          <c:y val="0.10842823594419121"/>
          <c:w val="0.62854280939433471"/>
          <c:h val="0.1119292719988948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P1: Compliance with agreed net expenditure path (single operational anchor)</c:v>
            </c:pt>
          </c:strCache>
        </c:strRef>
      </c:tx>
      <c:layout>
        <c:manualLayout>
          <c:xMode val="edge"/>
          <c:yMode val="edge"/>
          <c:x val="9.7555051381289212E-2"/>
          <c:y val="1.7191866582879693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2338388569595999"/>
          <c:w val="0.88389129483814521"/>
          <c:h val="0.58444236271109196"/>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62C-4E3C-B520-B45D23A5C4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9.1</c:v>
                </c:pt>
                <c:pt idx="1">
                  <c:v>5.8999999999999995</c:v>
                </c:pt>
                <c:pt idx="2">
                  <c:v>3.5999999999999996</c:v>
                </c:pt>
                <c:pt idx="3">
                  <c:v>3.4000000000000004</c:v>
                </c:pt>
                <c:pt idx="4">
                  <c:v>3.3000000000000003</c:v>
                </c:pt>
              </c:numCache>
            </c:numRef>
          </c:val>
          <c:extLst>
            <c:ext xmlns:c16="http://schemas.microsoft.com/office/drawing/2014/chart" uri="{C3380CC4-5D6E-409C-BE32-E72D297353CC}">
              <c16:uniqueId val="{00000001-162C-4E3C-B520-B45D23A5C43C}"/>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162C-4E3C-B520-B45D23A5C43C}"/>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162C-4E3C-B520-B45D23A5C43C}"/>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alpha val="70000"/>
              </a:schemeClr>
            </a:solidFill>
            <a:ln>
              <a:noFill/>
            </a:ln>
            <a:effectLst/>
          </c:spPr>
          <c:invertIfNegative val="0"/>
          <c:dPt>
            <c:idx val="1"/>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5-162C-4E3C-B520-B45D23A5C43C}"/>
              </c:ext>
            </c:extLst>
          </c:dPt>
          <c:dPt>
            <c:idx val="2"/>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7-162C-4E3C-B520-B45D23A5C43C}"/>
              </c:ext>
            </c:extLst>
          </c:dPt>
          <c:dPt>
            <c:idx val="3"/>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9-162C-4E3C-B520-B45D23A5C43C}"/>
              </c:ext>
            </c:extLst>
          </c:dPt>
          <c:dPt>
            <c:idx val="4"/>
            <c:invertIfNegative val="0"/>
            <c:bubble3D val="0"/>
            <c:spPr>
              <a:solidFill>
                <a:schemeClr val="bg1">
                  <a:lumMod val="75000"/>
                  <a:alpha val="70000"/>
                </a:schemeClr>
              </a:solidFill>
              <a:ln>
                <a:noFill/>
              </a:ln>
              <a:effectLst/>
            </c:spPr>
            <c:extLst>
              <c:ext xmlns:c16="http://schemas.microsoft.com/office/drawing/2014/chart" uri="{C3380CC4-5D6E-409C-BE32-E72D297353CC}">
                <c16:uniqueId val="{0000000B-162C-4E3C-B520-B45D23A5C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#N/A</c:v>
                </c:pt>
                <c:pt idx="2">
                  <c:v>5.3</c:v>
                </c:pt>
                <c:pt idx="3">
                  <c:v>#N/A</c:v>
                </c:pt>
                <c:pt idx="4">
                  <c:v>#N/A</c:v>
                </c:pt>
              </c:numCache>
            </c:numRef>
          </c:val>
          <c:extLst>
            <c:ext xmlns:c16="http://schemas.microsoft.com/office/drawing/2014/chart" uri="{C3380CC4-5D6E-409C-BE32-E72D297353CC}">
              <c16:uniqueId val="{0000000C-162C-4E3C-B520-B45D23A5C43C}"/>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4.9644778579376547</c:v>
                </c:pt>
                <c:pt idx="1">
                  <c:v>4.836560576927007</c:v>
                </c:pt>
                <c:pt idx="2">
                  <c:v>#N/A</c:v>
                </c:pt>
                <c:pt idx="3">
                  <c:v>#N/A</c:v>
                </c:pt>
                <c:pt idx="4">
                  <c:v>#N/A</c:v>
                </c:pt>
              </c:numCache>
            </c:numRef>
          </c:val>
          <c:extLst>
            <c:ext xmlns:c16="http://schemas.microsoft.com/office/drawing/2014/chart" uri="{C3380CC4-5D6E-409C-BE32-E72D297353CC}">
              <c16:uniqueId val="{0000000E-162C-4E3C-B520-B45D23A5C43C}"/>
            </c:ext>
          </c:extLst>
        </c:ser>
        <c:ser>
          <c:idx val="5"/>
          <c:order val="5"/>
          <c:tx>
            <c:v>Observed (Breach)</c:v>
          </c:tx>
          <c:spPr>
            <a:solidFill>
              <a:srgbClr val="C00000">
                <a:alpha val="7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162C-4E3C-B520-B45D23A5C43C}"/>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162C-4E3C-B520-B45D23A5C43C}"/>
            </c:ext>
          </c:extLst>
        </c:ser>
        <c:ser>
          <c:idx val="7"/>
          <c:order val="7"/>
          <c:tx>
            <c:v>LeftAxisMax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1-162C-4E3C-B520-B45D23A5C43C}"/>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162C-4E3C-B520-B45D23A5C43C}"/>
            </c:ext>
          </c:extLst>
        </c:ser>
        <c:ser>
          <c:idx val="9"/>
          <c:order val="9"/>
          <c:tx>
            <c:v>RightAxisMax</c:v>
          </c:tx>
          <c:spPr>
            <a:ln w="25400" cap="rnd">
              <a:noFill/>
              <a:round/>
            </a:ln>
            <a:effectLst/>
          </c:spPr>
          <c:marker>
            <c:symbol val="none"/>
          </c:marker>
          <c:val>
            <c:numRef>
              <c:f>'Chart data'!$D$12</c:f>
              <c:numCache>
                <c:formatCode>General</c:formatCode>
                <c:ptCount val="1"/>
                <c:pt idx="0">
                  <c:v>9.1</c:v>
                </c:pt>
              </c:numCache>
            </c:numRef>
          </c:val>
          <c:smooth val="0"/>
          <c:extLst>
            <c:ext xmlns:c16="http://schemas.microsoft.com/office/drawing/2014/chart" uri="{C3380CC4-5D6E-409C-BE32-E72D297353CC}">
              <c16:uniqueId val="{00000013-162C-4E3C-B520-B45D23A5C43C}"/>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21657366599666844"/>
          <c:y val="0.176931243723152"/>
          <c:w val="0.62992125984251968"/>
          <c:h val="0.121907650432584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20</xdr:col>
      <xdr:colOff>323850</xdr:colOff>
      <xdr:row>31</xdr:row>
      <xdr:rowOff>85725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9058274" y="238124"/>
          <a:ext cx="7229476" cy="5476876"/>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you'll</a:t>
          </a:r>
          <a:r>
            <a:rPr lang="en-GB" baseline="0"/>
            <a:t> </a:t>
          </a:r>
          <a:r>
            <a:rPr lang="en-GB"/>
            <a:t>set the parameters (Excel's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sz="1100" i="1">
              <a:solidFill>
                <a:schemeClr val="accent2">
                  <a:lumMod val="75000"/>
                </a:schemeClr>
              </a:solidFill>
              <a:latin typeface="Aptos" panose="020B0004020202020204" pitchFamily="34" charset="0"/>
              <a:ea typeface="+mn-ea"/>
              <a:cs typeface="+mn-cs"/>
            </a:rPr>
            <a:t>MTP parameters</a:t>
          </a:r>
          <a:r>
            <a:rPr lang="en-GB">
              <a:latin typeface="Aptos" panose="020B0004020202020204" pitchFamily="34" charset="0"/>
            </a:rPr>
            <a:t>, select the variables as</a:t>
          </a:r>
          <a:r>
            <a:rPr lang="en-GB" baseline="0">
              <a:latin typeface="Aptos" panose="020B0004020202020204" pitchFamily="34" charset="0"/>
            </a:rPr>
            <a:t> prescribed and notated by </a:t>
          </a:r>
          <a:r>
            <a:rPr lang="en-GB">
              <a:latin typeface="Aptos" panose="020B0004020202020204" pitchFamily="34" charset="0"/>
            </a:rPr>
            <a:t>Commission Notice C/2024/3975;</a:t>
          </a:r>
          <a:r>
            <a:rPr lang="en-GB" baseline="0">
              <a:latin typeface="Aptos" panose="020B0004020202020204" pitchFamily="34" charset="0"/>
            </a:rPr>
            <a:t> that is, the b</a:t>
          </a:r>
          <a:r>
            <a:rPr lang="en-GB">
              <a:latin typeface="Aptos" panose="020B0004020202020204" pitchFamily="34" charset="0"/>
            </a:rPr>
            <a:t>ase year T-X (most recent year of outturn data before plan), submission year T , the MTP planning horizon (4 or 5 years), the requested adjustment period (4 or 7 years), whether the plan uses</a:t>
          </a:r>
          <a:r>
            <a:rPr lang="en-GB" baseline="0">
              <a:latin typeface="Aptos" panose="020B0004020202020204" pitchFamily="34" charset="0"/>
            </a:rPr>
            <a:t> different assumptions than the EC's DSA framework, whether the MTP has already been endorsed by the Council, </a:t>
          </a:r>
          <a:r>
            <a:rPr lang="en-GB">
              <a:latin typeface="Aptos" panose="020B0004020202020204" pitchFamily="34" charset="0"/>
            </a:rPr>
            <a:t>and the date of transmission of the Commission's prior guidance. </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that base year from which the maximum increases in defence expenditures have been granted, and the base year amound ot defence expenditure as a % of GDP (as this</a:t>
          </a:r>
          <a:r>
            <a:rPr lang="en-GB" baseline="0">
              <a:latin typeface="Aptos" panose="020B0004020202020204" pitchFamily="34" charset="0"/>
            </a:rPr>
            <a:t> can be outside the assessment window for some countries)</a:t>
          </a:r>
          <a:r>
            <a:rPr lang="en-GB">
              <a:latin typeface="Aptos" panose="020B0004020202020204" pitchFamily="34" charset="0"/>
            </a:rPr>
            <a:t>.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(e)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twoCellAnchor>
    <xdr:from>
      <xdr:col>0</xdr:col>
      <xdr:colOff>323850</xdr:colOff>
      <xdr:row>40</xdr:row>
      <xdr:rowOff>38100</xdr:rowOff>
    </xdr:from>
    <xdr:to>
      <xdr:col>1</xdr:col>
      <xdr:colOff>123825</xdr:colOff>
      <xdr:row>44</xdr:row>
      <xdr:rowOff>104775</xdr:rowOff>
    </xdr:to>
    <xdr:sp macro="[0]!ResetGlobalParameters" textlink="">
      <xdr:nvSpPr>
        <xdr:cNvPr id="3" name="Rectangle: Rounded Corners 2">
          <a:extLst>
            <a:ext uri="{FF2B5EF4-FFF2-40B4-BE49-F238E27FC236}">
              <a16:creationId xmlns:a16="http://schemas.microsoft.com/office/drawing/2014/main" id="{FDFF818F-524D-44CC-910F-23CEFD418BE8}"/>
            </a:ext>
          </a:extLst>
        </xdr:cNvPr>
        <xdr:cNvSpPr/>
      </xdr:nvSpPr>
      <xdr:spPr>
        <a:xfrm>
          <a:off x="323850" y="743902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Reset user, scenario,</a:t>
          </a:r>
          <a:r>
            <a:rPr lang="en-GB" sz="1100" baseline="0">
              <a:solidFill>
                <a:schemeClr val="tx1">
                  <a:lumMod val="65000"/>
                  <a:lumOff val="35000"/>
                </a:schemeClr>
              </a:solidFill>
              <a:latin typeface="Aptos" panose="020B0004020202020204" pitchFamily="34" charset="0"/>
              <a:cs typeface="Segoe UI" panose="020B0502040204020203" pitchFamily="34" charset="0"/>
            </a:rPr>
            <a:t>  parameters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0</xdr:col>
      <xdr:colOff>304800</xdr:colOff>
      <xdr:row>35</xdr:row>
      <xdr:rowOff>57150</xdr:rowOff>
    </xdr:from>
    <xdr:to>
      <xdr:col>1</xdr:col>
      <xdr:colOff>104775</xdr:colOff>
      <xdr:row>39</xdr:row>
      <xdr:rowOff>66675</xdr:rowOff>
    </xdr:to>
    <xdr:sp macro="[0]!ClearAllData" textlink="">
      <xdr:nvSpPr>
        <xdr:cNvPr id="4" name="Rectangle: Rounded Corners 3">
          <a:extLst>
            <a:ext uri="{FF2B5EF4-FFF2-40B4-BE49-F238E27FC236}">
              <a16:creationId xmlns:a16="http://schemas.microsoft.com/office/drawing/2014/main" id="{34BD585D-270D-49D5-8F8D-64CDF25D89F2}"/>
            </a:ext>
          </a:extLst>
        </xdr:cNvPr>
        <xdr:cNvSpPr/>
      </xdr:nvSpPr>
      <xdr:spPr>
        <a:xfrm>
          <a:off x="304800" y="6543675"/>
          <a:ext cx="3019425" cy="752475"/>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all input data (outturn,</a:t>
          </a:r>
          <a:r>
            <a:rPr lang="en-GB" sz="1100" baseline="0">
              <a:solidFill>
                <a:schemeClr val="tx1">
                  <a:lumMod val="65000"/>
                  <a:lumOff val="35000"/>
                </a:schemeClr>
              </a:solidFill>
              <a:latin typeface="Aptos" panose="020B0004020202020204" pitchFamily="34" charset="0"/>
              <a:cs typeface="Segoe UI" panose="020B0502040204020203" pitchFamily="34" charset="0"/>
            </a:rPr>
            <a:t> outlook, and MTP/prior guidance, custom scenario tool)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133350</xdr:colOff>
      <xdr:row>11</xdr:row>
      <xdr:rowOff>142873</xdr:rowOff>
    </xdr:from>
    <xdr:to>
      <xdr:col>26</xdr:col>
      <xdr:colOff>28575</xdr:colOff>
      <xdr:row>53</xdr:row>
      <xdr:rowOff>28575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049125" y="2333623"/>
          <a:ext cx="5895975" cy="769620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future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The AMECO components of net expenditure often do not align with Annual</a:t>
          </a:r>
          <a:r>
            <a:rPr lang="en-GB" sz="1100" baseline="0">
              <a:solidFill>
                <a:schemeClr val="dk1"/>
              </a:solidFill>
              <a:effectLst/>
              <a:latin typeface="+mn-lt"/>
              <a:ea typeface="+mn-ea"/>
              <a:cs typeface="+mn-cs"/>
            </a:rPr>
            <a:t> Progress Reports and Draft Budgetary Plans, owing to both the timing of vintages, minor rounding discrepencies and more major differences of analysis on areas such as cycle unemployment expenditure and discretionary revenue measures. If you wish to overwrite AMECO variables do so in the table beginning in R3, setting the flag of such variables to "TRUE".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22</xdr:row>
      <xdr:rowOff>0</xdr:rowOff>
    </xdr:from>
    <xdr:to>
      <xdr:col>15</xdr:col>
      <xdr:colOff>219173</xdr:colOff>
      <xdr:row>23</xdr:row>
      <xdr:rowOff>132939</xdr:rowOff>
    </xdr:to>
    <xdr:sp macro="[0]!ClearOutturnData" textlink="">
      <xdr:nvSpPr>
        <xdr:cNvPr id="2" name="Rectangle: Rounded Corners 1">
          <a:extLst>
            <a:ext uri="{FF2B5EF4-FFF2-40B4-BE49-F238E27FC236}">
              <a16:creationId xmlns:a16="http://schemas.microsoft.com/office/drawing/2014/main" id="{ADD6CD5B-919B-406E-B4BA-6EB42BED9E16}"/>
            </a:ext>
          </a:extLst>
        </xdr:cNvPr>
        <xdr:cNvSpPr/>
      </xdr:nvSpPr>
      <xdr:spPr>
        <a:xfrm>
          <a:off x="8315325" y="448627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outturn 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23</xdr:row>
      <xdr:rowOff>123824</xdr:rowOff>
    </xdr:from>
    <xdr:to>
      <xdr:col>19</xdr:col>
      <xdr:colOff>409575</xdr:colOff>
      <xdr:row>58</xdr:row>
      <xdr:rowOff>19050</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4391024"/>
          <a:ext cx="6696076" cy="6019801"/>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 can </a:t>
          </a:r>
          <a:r>
            <a:rPr lang="en-GB" sz="1100">
              <a:latin typeface="Aptos" panose="020B0004020202020204" pitchFamily="34" charset="0"/>
            </a:rPr>
            <a:t>enter any</a:t>
          </a:r>
          <a:r>
            <a:rPr lang="en-GB" sz="1100" baseline="0">
              <a:latin typeface="Aptos" panose="020B0004020202020204" pitchFamily="34" charset="0"/>
            </a:rPr>
            <a:t> planned years</a:t>
          </a:r>
          <a:r>
            <a:rPr lang="en-GB" sz="1100">
              <a:latin typeface="Aptos" panose="020B0004020202020204" pitchFamily="34" charset="0"/>
            </a:rPr>
            <a:t> you'd like to assess against the MTP. These may be from</a:t>
          </a:r>
          <a:r>
            <a:rPr lang="en-GB" sz="1100" baseline="0">
              <a:latin typeface="Aptos" panose="020B0004020202020204" pitchFamily="34" charset="0"/>
            </a:rPr>
            <a:t> </a:t>
          </a:r>
          <a:r>
            <a:rPr lang="en-GB" sz="1100">
              <a:latin typeface="Aptos" panose="020B0004020202020204" pitchFamily="34" charset="0"/>
            </a:rPr>
            <a:t>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assessed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r>
            <a:rPr lang="en-GB" sz="1100" baseline="0">
              <a:latin typeface="Aptos" panose="020B0004020202020204" pitchFamily="34" charset="0"/>
            </a:rPr>
            <a:t> </a:t>
          </a:r>
          <a:r>
            <a:rPr lang="en-GB" sz="1100">
              <a:latin typeface="Aptos" panose="020B0004020202020204" pitchFamily="34" charset="0"/>
            </a:rPr>
            <a:t>If you'd</a:t>
          </a:r>
          <a:r>
            <a:rPr lang="en-GB" sz="1100" baseline="0">
              <a:latin typeface="Aptos" panose="020B0004020202020204" pitchFamily="34" charset="0"/>
            </a:rPr>
            <a:t> instead like to use an outlook from the custom scenario tool, click "Import plan from custom scenario tool". </a:t>
          </a:r>
          <a:endParaRPr lang="en-GB" sz="1100">
            <a:latin typeface="Aptos" panose="020B0004020202020204" pitchFamily="34" charset="0"/>
          </a:endParaRP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twoCellAnchor>
    <xdr:from>
      <xdr:col>14</xdr:col>
      <xdr:colOff>9525</xdr:colOff>
      <xdr:row>2</xdr:row>
      <xdr:rowOff>38100</xdr:rowOff>
    </xdr:from>
    <xdr:to>
      <xdr:col>14</xdr:col>
      <xdr:colOff>3229073</xdr:colOff>
      <xdr:row>4</xdr:row>
      <xdr:rowOff>18639</xdr:rowOff>
    </xdr:to>
    <xdr:sp macro="[0]!ClearEnterOutlook" textlink="">
      <xdr:nvSpPr>
        <xdr:cNvPr id="4" name="Rectangle: Rounded Corners 3">
          <a:extLst>
            <a:ext uri="{FF2B5EF4-FFF2-40B4-BE49-F238E27FC236}">
              <a16:creationId xmlns:a16="http://schemas.microsoft.com/office/drawing/2014/main" id="{D74FE610-DAE2-4013-A79C-4EC489BD2ABC}"/>
            </a:ext>
          </a:extLst>
        </xdr:cNvPr>
        <xdr:cNvSpPr/>
      </xdr:nvSpPr>
      <xdr:spPr>
        <a:xfrm>
          <a:off x="12677775" y="6191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outlook</a:t>
          </a:r>
        </a:p>
      </xdr:txBody>
    </xdr:sp>
    <xdr:clientData/>
  </xdr:twoCellAnchor>
  <xdr:twoCellAnchor>
    <xdr:from>
      <xdr:col>14</xdr:col>
      <xdr:colOff>47625</xdr:colOff>
      <xdr:row>18</xdr:row>
      <xdr:rowOff>76200</xdr:rowOff>
    </xdr:from>
    <xdr:to>
      <xdr:col>14</xdr:col>
      <xdr:colOff>3543299</xdr:colOff>
      <xdr:row>20</xdr:row>
      <xdr:rowOff>66674</xdr:rowOff>
    </xdr:to>
    <xdr:sp macro="[0]!ImportFromCustomScenarioTool" textlink="">
      <xdr:nvSpPr>
        <xdr:cNvPr id="5" name="Rectangle: Rounded Corners 4">
          <a:extLst>
            <a:ext uri="{FF2B5EF4-FFF2-40B4-BE49-F238E27FC236}">
              <a16:creationId xmlns:a16="http://schemas.microsoft.com/office/drawing/2014/main" id="{4DB5D6D3-62BB-4A25-8919-6FF234E9FB99}"/>
            </a:ext>
          </a:extLst>
        </xdr:cNvPr>
        <xdr:cNvSpPr/>
      </xdr:nvSpPr>
      <xdr:spPr>
        <a:xfrm>
          <a:off x="12715875" y="3486150"/>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custom scenario tool</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428625</xdr:colOff>
      <xdr:row>34</xdr:row>
      <xdr:rowOff>0</xdr:rowOff>
    </xdr:from>
    <xdr:to>
      <xdr:col>21</xdr:col>
      <xdr:colOff>647700</xdr:colOff>
      <xdr:row>47</xdr:row>
      <xdr:rowOff>190500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333375</xdr:colOff>
      <xdr:row>17</xdr:row>
      <xdr:rowOff>0</xdr:rowOff>
    </xdr:from>
    <xdr:to>
      <xdr:col>22</xdr:col>
      <xdr:colOff>0</xdr:colOff>
      <xdr:row>32</xdr:row>
      <xdr:rowOff>0</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552450</xdr:colOff>
      <xdr:row>50</xdr:row>
      <xdr:rowOff>0</xdr:rowOff>
    </xdr:from>
    <xdr:to>
      <xdr:col>15</xdr:col>
      <xdr:colOff>0</xdr:colOff>
      <xdr:row>65</xdr:row>
      <xdr:rowOff>0</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552450</xdr:colOff>
      <xdr:row>67</xdr:row>
      <xdr:rowOff>9525</xdr:rowOff>
    </xdr:from>
    <xdr:to>
      <xdr:col>15</xdr:col>
      <xdr:colOff>0</xdr:colOff>
      <xdr:row>82</xdr:row>
      <xdr:rowOff>0</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0</xdr:colOff>
      <xdr:row>33</xdr:row>
      <xdr:rowOff>123545</xdr:rowOff>
    </xdr:from>
    <xdr:to>
      <xdr:col>14</xdr:col>
      <xdr:colOff>522197</xdr:colOff>
      <xdr:row>47</xdr:row>
      <xdr:rowOff>0</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228600</xdr:colOff>
      <xdr:row>50</xdr:row>
      <xdr:rowOff>0</xdr:rowOff>
    </xdr:from>
    <xdr:to>
      <xdr:col>22</xdr:col>
      <xdr:colOff>0</xdr:colOff>
      <xdr:row>65</xdr:row>
      <xdr:rowOff>0</xdr:rowOff>
    </xdr:to>
    <xdr:graphicFrame macro="">
      <xdr:nvGraphicFramePr>
        <xdr:cNvPr id="24" name="Chart 23">
          <a:extLst>
            <a:ext uri="{FF2B5EF4-FFF2-40B4-BE49-F238E27FC236}">
              <a16:creationId xmlns:a16="http://schemas.microsoft.com/office/drawing/2014/main" id="{B8DECA7E-8561-4926-8C0A-C414E67AD3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16</xdr:row>
      <xdr:rowOff>228600</xdr:rowOff>
    </xdr:from>
    <xdr:to>
      <xdr:col>14</xdr:col>
      <xdr:colOff>514350</xdr:colOff>
      <xdr:row>32</xdr:row>
      <xdr:rowOff>0</xdr:rowOff>
    </xdr:to>
    <xdr:graphicFrame macro="">
      <xdr:nvGraphicFramePr>
        <xdr:cNvPr id="25" name="Chart 24">
          <a:extLst>
            <a:ext uri="{FF2B5EF4-FFF2-40B4-BE49-F238E27FC236}">
              <a16:creationId xmlns:a16="http://schemas.microsoft.com/office/drawing/2014/main" id="{30B76DA6-7736-4763-B8F1-D6961BABA1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0</xdr:row>
      <xdr:rowOff>448086</xdr:rowOff>
    </xdr:from>
    <xdr:to>
      <xdr:col>14</xdr:col>
      <xdr:colOff>0</xdr:colOff>
      <xdr:row>1</xdr:row>
      <xdr:rowOff>152400</xdr:rowOff>
    </xdr:to>
    <xdr:sp macro="[0]!ExportImplementationSummary" textlink="">
      <xdr:nvSpPr>
        <xdr:cNvPr id="2" name="Rectangle: Rounded Corners 1">
          <a:extLst>
            <a:ext uri="{FF2B5EF4-FFF2-40B4-BE49-F238E27FC236}">
              <a16:creationId xmlns:a16="http://schemas.microsoft.com/office/drawing/2014/main" id="{E1C4C071-A597-4292-BC6C-6C63D3BC801D}"/>
            </a:ext>
          </a:extLst>
        </xdr:cNvPr>
        <xdr:cNvSpPr/>
      </xdr:nvSpPr>
      <xdr:spPr>
        <a:xfrm>
          <a:off x="11201400" y="448086"/>
          <a:ext cx="2143125"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5.xml><?xml version="1.0" encoding="utf-8"?>
<c:userShapes xmlns:c="http://schemas.openxmlformats.org/drawingml/2006/chart">
  <cdr:relSizeAnchor xmlns:cdr="http://schemas.openxmlformats.org/drawingml/2006/chartDrawing">
    <cdr:from>
      <cdr:x>0.58464</cdr:x>
      <cdr:y>0.66452</cdr:y>
    </cdr:from>
    <cdr:to>
      <cdr:x>0.97217</cdr:x>
      <cdr:y>0.76846</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633971" y="1835563"/>
          <a:ext cx="1745993" cy="28710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050" b="0" i="0" u="none" strike="noStrike" kern="1200">
              <a:solidFill>
                <a:srgbClr val="C00000"/>
              </a:solidFill>
              <a:latin typeface="Aptos Narrow"/>
            </a:rPr>
            <a:pPr/>
            <a:t>60% reference value</a:t>
          </a:fld>
          <a:endParaRPr lang="en-GB" sz="1200" kern="1200">
            <a:solidFill>
              <a:srgbClr val="C00000"/>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0.60838</cdr:x>
      <cdr:y>0.49277</cdr:y>
    </cdr:from>
    <cdr:to>
      <cdr:x>0.86995</cdr:x>
      <cdr:y>0.57284</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2839464" y="1426872"/>
          <a:ext cx="1220813" cy="2318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0.58466</cdr:x>
      <cdr:y>0.42986</cdr:y>
    </cdr:from>
    <cdr:to>
      <cdr:x>0.91246</cdr:x>
      <cdr:y>0.51047</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2728769" y="1244713"/>
          <a:ext cx="1529924" cy="23341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0.00946</cdr:x>
      <cdr:y>0.92105</cdr:y>
    </cdr:from>
    <cdr:to>
      <cdr:x>0.92435</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38100" y="2666999"/>
          <a:ext cx="3686175" cy="22860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r>
            <a:rPr lang="en-GB" sz="1000" kern="1200">
              <a:solidFill>
                <a:schemeClr val="bg1">
                  <a:lumMod val="75000"/>
                </a:schemeClr>
              </a:solidFill>
            </a:rPr>
            <a:t>Note: Negative</a:t>
          </a:r>
          <a:r>
            <a:rPr lang="en-GB" sz="1000" kern="1200" baseline="0">
              <a:solidFill>
                <a:schemeClr val="bg1">
                  <a:lumMod val="75000"/>
                </a:schemeClr>
              </a:solidFill>
            </a:rPr>
            <a:t> amounts indicate outperformance</a:t>
          </a:r>
          <a:endParaRPr lang="en-GB" sz="1100" kern="1200">
            <a:solidFill>
              <a:schemeClr val="bg1">
                <a:lumMod val="75000"/>
              </a:schemeClr>
            </a:solidFill>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0.62416</cdr:x>
      <cdr:y>0.80724</cdr:y>
    </cdr:from>
    <cdr:to>
      <cdr:x>1</cdr:x>
      <cdr:y>0.88508</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00454" y="2497371"/>
          <a:ext cx="1686302" cy="240814"/>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0.65487</cdr:x>
      <cdr:y>0.11072</cdr:y>
    </cdr:from>
    <cdr:to>
      <cdr:x>0.86032</cdr:x>
      <cdr:y>0.15594</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2932488" y="328893"/>
          <a:ext cx="920003" cy="1343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8.xml><?xml version="1.0" encoding="utf-8"?>
<c:userShapes xmlns:c="http://schemas.openxmlformats.org/drawingml/2006/chart">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bg1">
                  <a:lumMod val="75000"/>
                </a:schemeClr>
              </a:solidFill>
            </a:rPr>
            <a:t>Note: Should be linear or at least front-loaded</a:t>
          </a:r>
          <a:endParaRPr lang="en-GB" sz="1100" kern="1200">
            <a:solidFill>
              <a:schemeClr val="bg1">
                <a:lumMod val="75000"/>
              </a:schemeClr>
            </a:solidFill>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19</xdr:col>
      <xdr:colOff>447676</xdr:colOff>
      <xdr:row>1</xdr:row>
      <xdr:rowOff>123826</xdr:rowOff>
    </xdr:from>
    <xdr:to>
      <xdr:col>25</xdr:col>
      <xdr:colOff>285750</xdr:colOff>
      <xdr:row>2</xdr:row>
      <xdr:rowOff>123825</xdr:rowOff>
    </xdr:to>
    <xdr:sp macro="[0]!ImportMediumTermPlan" textlink="">
      <xdr:nvSpPr>
        <xdr:cNvPr id="2" name="Rectangle: Rounded Corners 1">
          <a:extLst>
            <a:ext uri="{FF2B5EF4-FFF2-40B4-BE49-F238E27FC236}">
              <a16:creationId xmlns:a16="http://schemas.microsoft.com/office/drawing/2014/main" id="{7666E042-B1BC-4718-9C80-C5ECB88F5E63}"/>
            </a:ext>
          </a:extLst>
        </xdr:cNvPr>
        <xdr:cNvSpPr/>
      </xdr:nvSpPr>
      <xdr:spPr>
        <a:xfrm>
          <a:off x="15878176" y="419101"/>
          <a:ext cx="3495674" cy="361949"/>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MTP from file</a:t>
          </a:r>
        </a:p>
      </xdr:txBody>
    </xdr:sp>
    <xdr:clientData/>
  </xdr:twoCellAnchor>
  <xdr:twoCellAnchor>
    <xdr:from>
      <xdr:col>19</xdr:col>
      <xdr:colOff>447676</xdr:colOff>
      <xdr:row>3</xdr:row>
      <xdr:rowOff>66676</xdr:rowOff>
    </xdr:from>
    <xdr:to>
      <xdr:col>25</xdr:col>
      <xdr:colOff>285750</xdr:colOff>
      <xdr:row>5</xdr:row>
      <xdr:rowOff>57150</xdr:rowOff>
    </xdr:to>
    <xdr:sp macro="[0]!ImportPriorGuidance" textlink="">
      <xdr:nvSpPr>
        <xdr:cNvPr id="3" name="Rectangle: Rounded Corners 2">
          <a:extLst>
            <a:ext uri="{FF2B5EF4-FFF2-40B4-BE49-F238E27FC236}">
              <a16:creationId xmlns:a16="http://schemas.microsoft.com/office/drawing/2014/main" id="{A9D5A147-7582-4AEF-A95E-61E03E04A114}"/>
            </a:ext>
          </a:extLst>
        </xdr:cNvPr>
        <xdr:cNvSpPr/>
      </xdr:nvSpPr>
      <xdr:spPr>
        <a:xfrm>
          <a:off x="15878176" y="895351"/>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prior guidance from file</a:t>
          </a:r>
        </a:p>
      </xdr:txBody>
    </xdr:sp>
    <xdr:clientData/>
  </xdr:twoCellAnchor>
  <xdr:twoCellAnchor>
    <xdr:from>
      <xdr:col>19</xdr:col>
      <xdr:colOff>438248</xdr:colOff>
      <xdr:row>6</xdr:row>
      <xdr:rowOff>9525</xdr:rowOff>
    </xdr:from>
    <xdr:to>
      <xdr:col>25</xdr:col>
      <xdr:colOff>276248</xdr:colOff>
      <xdr:row>8</xdr:row>
      <xdr:rowOff>1425</xdr:rowOff>
    </xdr:to>
    <xdr:sp macro="[0]!ClearPlanAndPrior" textlink="">
      <xdr:nvSpPr>
        <xdr:cNvPr id="4" name="Rectangle: Rounded Corners 3">
          <a:extLst>
            <a:ext uri="{FF2B5EF4-FFF2-40B4-BE49-F238E27FC236}">
              <a16:creationId xmlns:a16="http://schemas.microsoft.com/office/drawing/2014/main" id="{64F813E3-7C3E-45C1-B2FC-3B262C9DBC73}"/>
            </a:ext>
          </a:extLst>
        </xdr:cNvPr>
        <xdr:cNvSpPr/>
      </xdr:nvSpPr>
      <xdr:spPr>
        <a:xfrm>
          <a:off x="15868748" y="1352550"/>
          <a:ext cx="3495600" cy="334800"/>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MTP and prior guidance</a:t>
          </a:r>
        </a:p>
      </xdr:txBody>
    </xdr:sp>
    <xdr:clientData/>
  </xdr:twoCellAnchor>
  <xdr:twoCellAnchor>
    <xdr:from>
      <xdr:col>26</xdr:col>
      <xdr:colOff>0</xdr:colOff>
      <xdr:row>20</xdr:row>
      <xdr:rowOff>1</xdr:rowOff>
    </xdr:from>
    <xdr:to>
      <xdr:col>29</xdr:col>
      <xdr:colOff>1408173</xdr:colOff>
      <xdr:row>36</xdr:row>
      <xdr:rowOff>125803</xdr:rowOff>
    </xdr:to>
    <xdr:sp macro="" textlink="">
      <xdr:nvSpPr>
        <xdr:cNvPr id="5" name="TextBox 4">
          <a:extLst>
            <a:ext uri="{FF2B5EF4-FFF2-40B4-BE49-F238E27FC236}">
              <a16:creationId xmlns:a16="http://schemas.microsoft.com/office/drawing/2014/main" id="{62D0ED43-E44C-449B-8DFF-62F0FF64A295}"/>
            </a:ext>
          </a:extLst>
        </xdr:cNvPr>
        <xdr:cNvSpPr txBox="1"/>
      </xdr:nvSpPr>
      <xdr:spPr>
        <a:xfrm>
          <a:off x="19723939" y="3899859"/>
          <a:ext cx="6700838" cy="3028232"/>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enter or import a proposed (or already endorsed) Medium-Term Fiscal Structural Plan (</a:t>
          </a:r>
          <a:r>
            <a:rPr lang="en-GB" sz="1100">
              <a:latin typeface="Aptos" panose="020B0004020202020204" pitchFamily="34" charset="0"/>
            </a:rPr>
            <a:t>MTP) to evaluate against Regulation</a:t>
          </a:r>
          <a:r>
            <a:rPr lang="en-GB" sz="1100" baseline="0">
              <a:latin typeface="Aptos" panose="020B0004020202020204" pitchFamily="34" charset="0"/>
            </a:rPr>
            <a:t> (EU) 2024/1263 and the Commission's prior guidance</a:t>
          </a:r>
          <a:r>
            <a:rPr lang="en-GB" sz="110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After importing outturn</a:t>
          </a:r>
          <a:r>
            <a:rPr lang="en-GB" sz="1100" baseline="0">
              <a:latin typeface="Aptos" panose="020B0004020202020204" pitchFamily="34" charset="0"/>
            </a:rPr>
            <a:t> data in Step 2, the tool has determined whether your country received a reference trajectory or technical information and has adjusted the required data accordingly (highlighted required cells in </a:t>
          </a:r>
          <a:r>
            <a:rPr lang="en-GB" sz="1100" baseline="0">
              <a:solidFill>
                <a:schemeClr val="accent6">
                  <a:lumMod val="75000"/>
                </a:schemeClr>
              </a:solidFill>
              <a:latin typeface="Aptos" panose="020B0004020202020204" pitchFamily="34" charset="0"/>
            </a:rPr>
            <a:t>light green</a:t>
          </a:r>
          <a:r>
            <a:rPr lang="en-GB" sz="1100" baseline="0">
              <a:latin typeface="Aptos" panose="020B0004020202020204" pitchFamily="34" charset="0"/>
            </a:rPr>
            <a:t>). </a:t>
          </a:r>
        </a:p>
        <a:p>
          <a:pPr marL="0" marR="0" lvl="0" indent="0" defTabSz="914400" eaLnBrk="1" fontAlgn="auto" latinLnBrk="0" hangingPunct="1">
            <a:lnSpc>
              <a:spcPct val="100000"/>
            </a:lnSpc>
            <a:spcBef>
              <a:spcPts val="0"/>
            </a:spcBef>
            <a:spcAft>
              <a:spcPts val="600"/>
            </a:spcAft>
            <a:buClrTx/>
            <a:buSzTx/>
            <a:buFontTx/>
            <a:buNone/>
            <a:tabLst/>
            <a:defRPr/>
          </a:pPr>
          <a:r>
            <a:rPr lang="en-GB" sz="1100" baseline="0">
              <a:latin typeface="Aptos" panose="020B0004020202020204" pitchFamily="34" charset="0"/>
            </a:rPr>
            <a:t>You can fill these cells out manually or use the "Import MTP from file" and "Import prior guidance from file" tools.  </a:t>
          </a:r>
          <a:endParaRPr lang="en-GB" sz="1100">
            <a:latin typeface="Aptos" panose="020B0004020202020204" pitchFamily="34" charset="0"/>
          </a:endParaRP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To use the import tools, y</a:t>
          </a:r>
          <a:r>
            <a:rPr lang="en-GB" sz="1100" baseline="0">
              <a:latin typeface="Aptos" panose="020B0004020202020204" pitchFamily="34" charset="0"/>
            </a:rPr>
            <a:t>ou must first confirm the location of the required tables in the external workbook in </a:t>
          </a:r>
          <a:r>
            <a:rPr lang="en-GB" sz="1100" baseline="0">
              <a:solidFill>
                <a:schemeClr val="accent2">
                  <a:lumMod val="75000"/>
                </a:schemeClr>
              </a:solidFill>
              <a:latin typeface="Aptos" panose="020B0004020202020204" pitchFamily="34" charset="0"/>
            </a:rPr>
            <a:t>AB3 to AB13</a:t>
          </a:r>
          <a:r>
            <a:rPr lang="en-GB" sz="1100" baseline="0">
              <a:solidFill>
                <a:sysClr val="windowText" lastClr="000000"/>
              </a:solidFill>
              <a:latin typeface="Aptos" panose="020B0004020202020204" pitchFamily="34" charset="0"/>
            </a:rPr>
            <a:t> and </a:t>
          </a:r>
          <a:r>
            <a:rPr lang="en-GB" sz="1100" baseline="0">
              <a:solidFill>
                <a:schemeClr val="accent2">
                  <a:lumMod val="75000"/>
                </a:schemeClr>
              </a:solidFill>
              <a:latin typeface="Aptos" panose="020B0004020202020204" pitchFamily="34" charset="0"/>
            </a:rPr>
            <a:t>AE3 to AE12</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sit in the MTP and Tables 7a, 7b, 7c, and 7d and other long-term projections under the planned fiscal path of the Commission's prior guidance. Then click the buttons and check that all the required information has been imported correctly. </a:t>
          </a:r>
        </a:p>
        <a:p>
          <a:pPr marL="0" marR="0" lvl="0" indent="0" defTabSz="914400" eaLnBrk="1" fontAlgn="auto" latinLnBrk="0" hangingPunct="1">
            <a:lnSpc>
              <a:spcPct val="100000"/>
            </a:lnSpc>
            <a:spcBef>
              <a:spcPts val="0"/>
            </a:spcBef>
            <a:spcAft>
              <a:spcPts val="600"/>
            </a:spcAft>
            <a:buClrTx/>
            <a:buSzTx/>
            <a:buFontTx/>
            <a:buNone/>
            <a:tabLst/>
            <a:defRPr/>
          </a:pPr>
          <a:endParaRPr lang="en-GB"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600"/>
            </a:spcAft>
            <a:buClrTx/>
            <a:buSzTx/>
            <a:buFontTx/>
            <a:buNone/>
            <a:tabLst/>
            <a:defRPr/>
          </a:pPr>
          <a:endParaRPr lang="en-GB">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3</xdr:row>
      <xdr:rowOff>1</xdr:rowOff>
    </xdr:from>
    <xdr:to>
      <xdr:col>16</xdr:col>
      <xdr:colOff>19050</xdr:colOff>
      <xdr:row>11</xdr:row>
      <xdr:rowOff>85725</xdr:rowOff>
    </xdr:to>
    <xdr:sp macro="" textlink="">
      <xdr:nvSpPr>
        <xdr:cNvPr id="2" name="TextBox 1">
          <a:extLst>
            <a:ext uri="{FF2B5EF4-FFF2-40B4-BE49-F238E27FC236}">
              <a16:creationId xmlns:a16="http://schemas.microsoft.com/office/drawing/2014/main" id="{2F221D81-5D37-4C3E-903F-A0DC7EF7F73A}"/>
            </a:ext>
          </a:extLst>
        </xdr:cNvPr>
        <xdr:cNvSpPr txBox="1"/>
      </xdr:nvSpPr>
      <xdr:spPr>
        <a:xfrm>
          <a:off x="19812000" y="590551"/>
          <a:ext cx="4895850" cy="1533524"/>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fill out the questionnarie of required IFI scrutiny and confirm whether the assumptions and necessary information in the MTP are satisfactory</a:t>
          </a:r>
          <a:br>
            <a:rPr lang="en-GB" sz="1100" baseline="0">
              <a:latin typeface="Aptos" panose="020B0004020202020204" pitchFamily="34" charset="0"/>
            </a:rPr>
          </a:br>
          <a:br>
            <a:rPr lang="en-GB" sz="1100" baseline="0">
              <a:latin typeface="Aptos" panose="020B0004020202020204" pitchFamily="34" charset="0"/>
            </a:rPr>
          </a:br>
          <a:r>
            <a:rPr lang="en-GB" sz="1100" baseline="0">
              <a:latin typeface="Aptos" panose="020B0004020202020204" pitchFamily="34" charset="0"/>
            </a:rPr>
            <a:t>The information required by Article 13(g)(iii) is only necessary if the country has requested a 7-year adjustment period. </a:t>
          </a:r>
        </a:p>
        <a:p>
          <a:pPr>
            <a:spcAft>
              <a:spcPts val="600"/>
            </a:spcAft>
          </a:pPr>
          <a:endParaRPr lang="en-GB" sz="1100">
            <a:solidFill>
              <a:srgbClr val="0033CC"/>
            </a:solidFill>
            <a:latin typeface="Aptos" panose="020B0004020202020204" pitchFamily="34" charset="0"/>
            <a:ea typeface="+mn-ea"/>
            <a:cs typeface="+mn-cs"/>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85627</xdr:colOff>
      <xdr:row>0</xdr:row>
      <xdr:rowOff>524286</xdr:rowOff>
    </xdr:from>
    <xdr:to>
      <xdr:col>14</xdr:col>
      <xdr:colOff>0</xdr:colOff>
      <xdr:row>2</xdr:row>
      <xdr:rowOff>0</xdr:rowOff>
    </xdr:to>
    <xdr:sp macro="[0]!ExportMTPSummary" textlink="">
      <xdr:nvSpPr>
        <xdr:cNvPr id="2" name="Rectangle: Rounded Corners 1">
          <a:extLst>
            <a:ext uri="{FF2B5EF4-FFF2-40B4-BE49-F238E27FC236}">
              <a16:creationId xmlns:a16="http://schemas.microsoft.com/office/drawing/2014/main" id="{ACC66CCC-B9F4-48AB-8E8B-DE1DBA51736B}"/>
            </a:ext>
          </a:extLst>
        </xdr:cNvPr>
        <xdr:cNvSpPr/>
      </xdr:nvSpPr>
      <xdr:spPr>
        <a:xfrm>
          <a:off x="11829952" y="524286"/>
          <a:ext cx="1857473"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Export</a:t>
          </a:r>
          <a:r>
            <a:rPr lang="en-GB" sz="1100" baseline="0">
              <a:solidFill>
                <a:schemeClr val="tx1">
                  <a:lumMod val="65000"/>
                  <a:lumOff val="35000"/>
                </a:schemeClr>
              </a:solidFill>
              <a:latin typeface="Aptos" panose="020B0004020202020204" pitchFamily="34" charset="0"/>
              <a:cs typeface="Segoe UI" panose="020B0502040204020203" pitchFamily="34" charset="0"/>
            </a:rPr>
            <a:t> results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419100</xdr:colOff>
      <xdr:row>0</xdr:row>
      <xdr:rowOff>352425</xdr:rowOff>
    </xdr:from>
    <xdr:to>
      <xdr:col>9</xdr:col>
      <xdr:colOff>590648</xdr:colOff>
      <xdr:row>2</xdr:row>
      <xdr:rowOff>94839</xdr:rowOff>
    </xdr:to>
    <xdr:sp macro="[0]!ClearCustomScenarioTool" textlink="">
      <xdr:nvSpPr>
        <xdr:cNvPr id="2" name="Rectangle: Rounded Corners 1">
          <a:extLst>
            <a:ext uri="{FF2B5EF4-FFF2-40B4-BE49-F238E27FC236}">
              <a16:creationId xmlns:a16="http://schemas.microsoft.com/office/drawing/2014/main" id="{3D67C32B-D0B0-4F71-ADF8-1414641A7ED2}"/>
            </a:ext>
          </a:extLst>
        </xdr:cNvPr>
        <xdr:cNvSpPr/>
      </xdr:nvSpPr>
      <xdr:spPr>
        <a:xfrm>
          <a:off x="6467475" y="352425"/>
          <a:ext cx="3219548" cy="323439"/>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Clear custom scenario</a:t>
          </a:r>
        </a:p>
      </xdr:txBody>
    </xdr:sp>
    <xdr:clientData/>
  </xdr:twoCellAnchor>
  <xdr:twoCellAnchor>
    <xdr:from>
      <xdr:col>10</xdr:col>
      <xdr:colOff>212481</xdr:colOff>
      <xdr:row>0</xdr:row>
      <xdr:rowOff>344365</xdr:rowOff>
    </xdr:from>
    <xdr:to>
      <xdr:col>15</xdr:col>
      <xdr:colOff>384029</xdr:colOff>
      <xdr:row>2</xdr:row>
      <xdr:rowOff>86046</xdr:rowOff>
    </xdr:to>
    <xdr:sp macro="[0]!ImportOutlookToCustomScenarioTool" textlink="">
      <xdr:nvSpPr>
        <xdr:cNvPr id="3" name="Rectangle: Rounded Corners 2">
          <a:extLst>
            <a:ext uri="{FF2B5EF4-FFF2-40B4-BE49-F238E27FC236}">
              <a16:creationId xmlns:a16="http://schemas.microsoft.com/office/drawing/2014/main" id="{B0647DA5-6937-480C-A8DB-75514C25C123}"/>
            </a:ext>
          </a:extLst>
        </xdr:cNvPr>
        <xdr:cNvSpPr/>
      </xdr:nvSpPr>
      <xdr:spPr>
        <a:xfrm>
          <a:off x="9906000" y="344365"/>
          <a:ext cx="3212221" cy="320508"/>
        </a:xfrm>
        <a:prstGeom prst="roundRect">
          <a:avLst/>
        </a:prstGeom>
        <a:no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Import plan from Step 3 (IMPL)</a:t>
          </a:r>
        </a:p>
      </xdr:txBody>
    </xdr:sp>
    <xdr:clientData/>
  </xdr:twoCellAnchor>
  <xdr:twoCellAnchor>
    <xdr:from>
      <xdr:col>9</xdr:col>
      <xdr:colOff>200024</xdr:colOff>
      <xdr:row>4</xdr:row>
      <xdr:rowOff>68138</xdr:rowOff>
    </xdr:from>
    <xdr:to>
      <xdr:col>16</xdr:col>
      <xdr:colOff>305166</xdr:colOff>
      <xdr:row>24</xdr:row>
      <xdr:rowOff>139211</xdr:rowOff>
    </xdr:to>
    <xdr:sp macro="" textlink="">
      <xdr:nvSpPr>
        <xdr:cNvPr id="4" name="TextBox 3">
          <a:extLst>
            <a:ext uri="{FF2B5EF4-FFF2-40B4-BE49-F238E27FC236}">
              <a16:creationId xmlns:a16="http://schemas.microsoft.com/office/drawing/2014/main" id="{AD816909-C2CF-4790-A096-45149247D6B9}"/>
            </a:ext>
          </a:extLst>
        </xdr:cNvPr>
        <xdr:cNvSpPr txBox="1"/>
      </xdr:nvSpPr>
      <xdr:spPr>
        <a:xfrm>
          <a:off x="9285409" y="1108561"/>
          <a:ext cx="4362084" cy="3441458"/>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T</a:t>
          </a:r>
          <a:r>
            <a:rPr lang="en-GB" baseline="0"/>
            <a:t>his worksheet can be used to experiment with c</a:t>
          </a:r>
          <a:r>
            <a:rPr lang="en-GB"/>
            <a:t>ustom</a:t>
          </a:r>
          <a:r>
            <a:rPr lang="en-GB" baseline="0"/>
            <a:t> scenarios. The scenarios are then imported to 'Step 3 (IMPL) - Enter outlook' using "Import plan from custom scenario" tool.  </a:t>
          </a:r>
        </a:p>
        <a:p>
          <a:pPr>
            <a:spcAft>
              <a:spcPts val="600"/>
            </a:spcAft>
          </a:pPr>
          <a:r>
            <a:rPr lang="en-GB" baseline="0"/>
            <a:t>As a base to start, you can click on "Import plan from Step 3 (IMPL)" button to bring in data from Step 3 after importing a plan from file. </a:t>
          </a:r>
          <a:endParaRPr lang="en-GB"/>
        </a:p>
        <a:p>
          <a:pPr>
            <a:spcAft>
              <a:spcPts val="600"/>
            </a:spcAft>
          </a:pPr>
          <a:r>
            <a:rPr lang="en-GB"/>
            <a:t>Numbers in </a:t>
          </a:r>
          <a:r>
            <a:rPr lang="en-GB">
              <a:solidFill>
                <a:srgbClr val="007635"/>
              </a:solidFill>
            </a:rPr>
            <a:t>green</a:t>
          </a:r>
          <a:r>
            <a:rPr lang="en-GB" baseline="0">
              <a:solidFill>
                <a:sysClr val="windowText" lastClr="000000"/>
              </a:solidFill>
            </a:rPr>
            <a:t> may be changed</a:t>
          </a:r>
          <a:r>
            <a:rPr lang="en-GB"/>
            <a:t>. </a:t>
          </a:r>
        </a:p>
        <a:p>
          <a:pPr>
            <a:spcAft>
              <a:spcPts val="600"/>
            </a:spcAft>
          </a:pPr>
          <a:r>
            <a:rPr lang="en-GB">
              <a:solidFill>
                <a:sysClr val="windowText" lastClr="000000"/>
              </a:solidFill>
              <a:latin typeface="Aptos" panose="020B0004020202020204" pitchFamily="34" charset="0"/>
            </a:rPr>
            <a:t>The assessment horizon</a:t>
          </a:r>
          <a:r>
            <a:rPr lang="en-GB" baseline="0">
              <a:solidFill>
                <a:sysClr val="windowText" lastClr="000000"/>
              </a:solidFill>
              <a:latin typeface="Aptos" panose="020B0004020202020204" pitchFamily="34" charset="0"/>
            </a:rPr>
            <a:t> is set in 'Step 3 (IMPL) - Enter outlook'.</a:t>
          </a:r>
        </a:p>
        <a:p>
          <a:pPr>
            <a:spcAft>
              <a:spcPts val="600"/>
            </a:spcAft>
          </a:pPr>
          <a:r>
            <a:rPr lang="en-GB" sz="1050" baseline="0">
              <a:solidFill>
                <a:schemeClr val="accent2">
                  <a:lumMod val="75000"/>
                </a:schemeClr>
              </a:solidFill>
              <a:latin typeface="Aptos" panose="020B0004020202020204" pitchFamily="34" charset="0"/>
            </a:rPr>
            <a:t>Note: </a:t>
          </a:r>
          <a:r>
            <a:rPr lang="en-GB" sz="1050" baseline="0">
              <a:solidFill>
                <a:sysClr val="windowText" lastClr="000000"/>
              </a:solidFill>
              <a:latin typeface="Aptos" panose="020B0004020202020204" pitchFamily="34" charset="0"/>
            </a:rPr>
            <a:t>Changes to budgetary developments (particularly expenditure) are not reflected in the macroeconomic developments table. For macro-fiscal consistent outlooks that preserve accounting identities, users should prepare separate alternative scenarios externally and import into outlook using "Import plan from file" in Step 3 (IMPLT) - Enter outlook.  </a:t>
          </a:r>
          <a:endParaRPr lang="en-GB" sz="1050">
            <a:solidFill>
              <a:sysClr val="windowText" lastClr="000000"/>
            </a:solidFill>
            <a:latin typeface="Aptos" panose="020B00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25</xdr:row>
      <xdr:rowOff>0</xdr:rowOff>
    </xdr:from>
    <xdr:to>
      <xdr:col>16</xdr:col>
      <xdr:colOff>345177</xdr:colOff>
      <xdr:row>63</xdr:row>
      <xdr:rowOff>149087</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356152" y="4348370"/>
          <a:ext cx="9265547" cy="67586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latest year for which final or validated outturn data are available from national statistical institutes and Eurostat. For</a:t>
          </a:r>
          <a:r>
            <a:rPr lang="en-GB" sz="1100" baseline="0"/>
            <a:t> purposes of the MTP, the </a:t>
          </a:r>
          <a:r>
            <a:rPr lang="en-GB" sz="1100">
              <a:solidFill>
                <a:schemeClr val="dk1"/>
              </a:solidFill>
              <a:effectLst/>
              <a:latin typeface="+mn-lt"/>
              <a:ea typeface="+mn-ea"/>
              <a:cs typeface="+mn-cs"/>
            </a:rPr>
            <a:t>base year (T-X). </a:t>
          </a:r>
          <a:endParaRPr lang="en-GB" sz="1100"/>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36"/>
  <sheetViews>
    <sheetView showGridLines="0" tabSelected="1" zoomScaleNormal="100" workbookViewId="0"/>
  </sheetViews>
  <sheetFormatPr defaultRowHeight="13.15" x14ac:dyDescent="0.4"/>
  <cols>
    <col min="1" max="1" width="48.285156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50" t="s">
        <v>24</v>
      </c>
    </row>
    <row r="2" spans="1:11" ht="13.5" customHeight="1" x14ac:dyDescent="0.4">
      <c r="A2" s="157" t="s">
        <v>215</v>
      </c>
      <c r="B2" s="284" t="s">
        <v>19</v>
      </c>
    </row>
    <row r="3" spans="1:11" ht="13.5" customHeight="1" x14ac:dyDescent="0.4">
      <c r="A3" s="157" t="s">
        <v>305</v>
      </c>
      <c r="B3" s="284" t="s">
        <v>433</v>
      </c>
    </row>
    <row r="5" spans="1:11" ht="18" x14ac:dyDescent="0.55000000000000004">
      <c r="A5" s="50" t="s">
        <v>744</v>
      </c>
      <c r="K5" s="38"/>
    </row>
    <row r="6" spans="1:11" ht="13.5" customHeight="1" x14ac:dyDescent="0.4">
      <c r="A6" s="157" t="s">
        <v>743</v>
      </c>
      <c r="B6" s="285" t="s">
        <v>742</v>
      </c>
      <c r="K6" s="38"/>
    </row>
    <row r="7" spans="1:11" ht="13.5" customHeight="1" x14ac:dyDescent="0.4">
      <c r="A7" s="159" t="s">
        <v>745</v>
      </c>
      <c r="B7" s="286" t="s">
        <v>964</v>
      </c>
      <c r="K7" s="38"/>
    </row>
    <row r="8" spans="1:11" ht="13.5" customHeight="1" x14ac:dyDescent="0.4">
      <c r="A8" s="159"/>
      <c r="B8" s="5"/>
      <c r="K8" s="38"/>
    </row>
    <row r="9" spans="1:11" ht="13.5" customHeight="1" x14ac:dyDescent="0.55000000000000004">
      <c r="A9" s="50" t="s">
        <v>737</v>
      </c>
      <c r="K9" s="38"/>
    </row>
    <row r="10" spans="1:11" ht="13.5" customHeight="1" x14ac:dyDescent="0.4">
      <c r="A10" s="159" t="s">
        <v>261</v>
      </c>
      <c r="B10" s="185">
        <v>2023</v>
      </c>
      <c r="K10" s="38"/>
    </row>
    <row r="11" spans="1:11" ht="13.5" customHeight="1" x14ac:dyDescent="0.4">
      <c r="A11" s="159" t="s">
        <v>260</v>
      </c>
      <c r="B11" s="185">
        <v>2024</v>
      </c>
      <c r="K11" s="38"/>
    </row>
    <row r="12" spans="1:11" ht="13.5" customHeight="1" x14ac:dyDescent="0.4">
      <c r="A12" s="159" t="s">
        <v>262</v>
      </c>
      <c r="B12" s="185">
        <v>4</v>
      </c>
      <c r="K12" s="38"/>
    </row>
    <row r="13" spans="1:11" ht="13.5" customHeight="1" x14ac:dyDescent="0.4">
      <c r="A13" t="s">
        <v>254</v>
      </c>
      <c r="B13" s="185">
        <v>4</v>
      </c>
      <c r="K13" s="38"/>
    </row>
    <row r="14" spans="1:11" ht="13.5" customHeight="1" x14ac:dyDescent="0.4">
      <c r="A14" s="159" t="s">
        <v>304</v>
      </c>
      <c r="B14" s="186" t="b">
        <v>1</v>
      </c>
      <c r="K14" s="38"/>
    </row>
    <row r="15" spans="1:11" ht="13.5" customHeight="1" x14ac:dyDescent="0.4">
      <c r="A15" s="159" t="s">
        <v>327</v>
      </c>
      <c r="B15" s="186" t="b">
        <v>1</v>
      </c>
      <c r="K15" s="38"/>
    </row>
    <row r="16" spans="1:11" ht="13.5" customHeight="1" x14ac:dyDescent="0.4">
      <c r="A16" t="s">
        <v>736</v>
      </c>
      <c r="B16" s="265" t="s">
        <v>950</v>
      </c>
      <c r="K16" s="38"/>
    </row>
    <row r="17" spans="1:11" x14ac:dyDescent="0.4">
      <c r="K17" s="38"/>
    </row>
    <row r="18" spans="1:11" ht="18" x14ac:dyDescent="0.55000000000000004">
      <c r="A18" s="50" t="s">
        <v>740</v>
      </c>
      <c r="K18" s="38"/>
    </row>
    <row r="19" spans="1:11" ht="13.5" customHeight="1" x14ac:dyDescent="0.4">
      <c r="A19" s="85"/>
      <c r="B19" s="44" cm="1">
        <f t="array" ref="B19:F19">_xlfn.SEQUENCE(1, MTP_EndYear-MTP_BaseYear, MTP_BaseYear+1)</f>
        <v>2024</v>
      </c>
      <c r="C19" s="44">
        <v>2025</v>
      </c>
      <c r="D19" s="44">
        <v>2026</v>
      </c>
      <c r="E19" s="44">
        <v>2027</v>
      </c>
      <c r="F19" s="44">
        <v>2028</v>
      </c>
    </row>
    <row r="20" spans="1:11" ht="13.5" customHeight="1" x14ac:dyDescent="0.4">
      <c r="A20" s="86"/>
      <c r="B20" s="43" t="str" cm="1">
        <f t="array" ref="B20:F20">CHOOSE(SIGN(_xlfn.ANCHORARRAY(B19) - MTP_YearT) + 2, "T-1", "T", "T+" &amp; (_xlfn.ANCHORARRAY(B19) - MTP_YearT))</f>
        <v>T</v>
      </c>
      <c r="C20" s="43" t="str">
        <v>T+1</v>
      </c>
      <c r="D20" s="43" t="str">
        <v>T+2</v>
      </c>
      <c r="E20" s="43" t="str">
        <v>T+3</v>
      </c>
      <c r="F20" s="43" t="str">
        <v>T+4</v>
      </c>
      <c r="G20" s="47"/>
      <c r="H20" s="47"/>
      <c r="J20" s="47"/>
    </row>
    <row r="21" spans="1:11" ht="13.5" customHeight="1" x14ac:dyDescent="0.4">
      <c r="A21" s="85" t="s">
        <v>823</v>
      </c>
      <c r="B21" s="87" t="b">
        <v>0</v>
      </c>
      <c r="C21" s="87" t="b">
        <v>1</v>
      </c>
      <c r="D21" s="87" t="b">
        <v>1</v>
      </c>
      <c r="E21" s="87" t="b">
        <v>1</v>
      </c>
      <c r="F21" s="87" t="b">
        <v>1</v>
      </c>
      <c r="G21" s="87" t="b">
        <v>0</v>
      </c>
      <c r="H21" s="87" t="b">
        <v>0</v>
      </c>
      <c r="I21" s="71" t="b">
        <v>0</v>
      </c>
      <c r="J21" s="71" t="b">
        <v>0</v>
      </c>
    </row>
    <row r="22" spans="1:11" ht="13.5" customHeight="1" x14ac:dyDescent="0.4">
      <c r="A22" t="s">
        <v>701</v>
      </c>
      <c r="B22" s="87" t="e">
        <v>#N/A</v>
      </c>
      <c r="C22" s="87" t="s">
        <v>739</v>
      </c>
      <c r="D22" s="87" t="s">
        <v>739</v>
      </c>
      <c r="E22" s="87" t="s">
        <v>739</v>
      </c>
      <c r="F22" s="87" t="s">
        <v>739</v>
      </c>
      <c r="G22" s="87" t="e">
        <v>#N/A</v>
      </c>
      <c r="H22" s="87" t="e">
        <v>#N/A</v>
      </c>
      <c r="I22" s="71" t="e">
        <v>#N/A</v>
      </c>
      <c r="J22" s="71" t="e">
        <v>#N/A</v>
      </c>
    </row>
    <row r="23" spans="1:11" ht="13.5" customHeight="1" x14ac:dyDescent="0.4">
      <c r="A23" t="s">
        <v>642</v>
      </c>
      <c r="B23" s="87" t="e">
        <v>#N/A</v>
      </c>
      <c r="C23" s="87" t="s">
        <v>607</v>
      </c>
      <c r="D23" s="87" t="s">
        <v>607</v>
      </c>
      <c r="E23" s="87" t="s">
        <v>607</v>
      </c>
      <c r="F23" s="87" t="s">
        <v>607</v>
      </c>
      <c r="G23" s="87" t="e">
        <v>#N/A</v>
      </c>
      <c r="H23" s="87" t="e">
        <v>#N/A</v>
      </c>
      <c r="I23" s="71" t="e">
        <v>#N/A</v>
      </c>
      <c r="J23" s="71" t="e">
        <v>#N/A</v>
      </c>
    </row>
    <row r="24" spans="1:11" ht="13.5" customHeight="1" x14ac:dyDescent="0.4">
      <c r="A24" s="86" t="s">
        <v>951</v>
      </c>
      <c r="B24" s="87"/>
      <c r="C24" s="87">
        <v>1.5</v>
      </c>
      <c r="D24" s="87">
        <v>1.5</v>
      </c>
      <c r="E24" s="87">
        <v>1.5</v>
      </c>
      <c r="F24" s="87">
        <v>1.5</v>
      </c>
      <c r="G24" s="87" t="e">
        <v>#N/A</v>
      </c>
      <c r="H24" s="87" t="e">
        <v>#N/A</v>
      </c>
      <c r="I24" s="71" t="e">
        <v>#N/A</v>
      </c>
      <c r="J24" s="71" t="e">
        <v>#N/A</v>
      </c>
    </row>
    <row r="25" spans="1:11" ht="13.5" customHeight="1" x14ac:dyDescent="0.4">
      <c r="B25" s="87"/>
      <c r="G25" s="87"/>
      <c r="H25" s="87"/>
      <c r="I25" s="71"/>
      <c r="J25" s="71"/>
    </row>
    <row r="26" spans="1:11" ht="13.5" customHeight="1" x14ac:dyDescent="0.4">
      <c r="A26" t="s">
        <v>933</v>
      </c>
      <c r="B26" s="266">
        <v>2021</v>
      </c>
      <c r="J26" s="71"/>
    </row>
    <row r="27" spans="1:11" ht="13.5" customHeight="1" x14ac:dyDescent="0.4">
      <c r="A27" t="s">
        <v>935</v>
      </c>
      <c r="B27" s="266">
        <v>2.5</v>
      </c>
      <c r="J27" s="71"/>
    </row>
    <row r="28" spans="1:11" ht="13.5" customHeight="1" x14ac:dyDescent="0.4"/>
    <row r="29" spans="1:11" ht="13.5" customHeight="1" x14ac:dyDescent="0.55000000000000004">
      <c r="A29" s="50" t="s">
        <v>738</v>
      </c>
    </row>
    <row r="30" spans="1:11" ht="13.5" customHeight="1" x14ac:dyDescent="0.4">
      <c r="A30" s="157" t="s">
        <v>367</v>
      </c>
      <c r="B30" s="52" t="b">
        <v>0</v>
      </c>
    </row>
    <row r="31" spans="1:11" ht="13.5" customHeight="1" x14ac:dyDescent="0.4">
      <c r="A31" s="157" t="s">
        <v>370</v>
      </c>
      <c r="B31" s="52" t="e">
        <v>#N/A</v>
      </c>
    </row>
    <row r="32" spans="1:11" ht="13.5" customHeight="1" x14ac:dyDescent="0.4">
      <c r="A32" s="157" t="s">
        <v>366</v>
      </c>
      <c r="B32" s="52" t="b">
        <v>0</v>
      </c>
    </row>
    <row r="33" spans="1:8" ht="13.5" customHeight="1" x14ac:dyDescent="0.4">
      <c r="A33" s="157" t="s">
        <v>369</v>
      </c>
      <c r="B33" s="52" t="e">
        <v>#N/A</v>
      </c>
    </row>
    <row r="34" spans="1:8" ht="13.5" customHeight="1" x14ac:dyDescent="0.4"/>
    <row r="35" spans="1:8" ht="13.5" customHeight="1" x14ac:dyDescent="0.4"/>
    <row r="36" spans="1:8" ht="18" x14ac:dyDescent="0.55000000000000004">
      <c r="H36" s="50"/>
    </row>
  </sheetData>
  <dataConsolidate/>
  <phoneticPr fontId="43" type="noConversion"/>
  <conditionalFormatting sqref="B19:H19">
    <cfRule type="expression" dxfId="215" priority="9">
      <formula>B19&lt;&gt;""</formula>
    </cfRule>
  </conditionalFormatting>
  <conditionalFormatting sqref="B20:H20">
    <cfRule type="expression" dxfId="214" priority="8">
      <formula>B19&lt;&gt;""</formula>
    </cfRule>
  </conditionalFormatting>
  <conditionalFormatting sqref="B21:H23">
    <cfRule type="expression" dxfId="213" priority="7">
      <formula>B$19&lt;&gt;""</formula>
    </cfRule>
  </conditionalFormatting>
  <conditionalFormatting sqref="B24:H24 B25">
    <cfRule type="expression" dxfId="212" priority="6">
      <formula>B19&lt;&gt;""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11">
        <x14:dataValidation type="list" allowBlank="1" showInputMessage="1" showErrorMessage="1" xr:uid="{4063DD47-253F-4570-96F7-A406EF578100}">
          <x14:formula1>
            <xm:f>Validation!$F$3:$F$4</xm:f>
          </x14:formula1>
          <xm:sqref>B30 B32 B21:H21 B14:B15</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B31 B33</xm:sqref>
        </x14:dataValidation>
        <x14:dataValidation type="list" allowBlank="1" showInputMessage="1" showErrorMessage="1" xr:uid="{6B3991E8-9E7F-4EEC-B66C-A1A9D743878C}">
          <x14:formula1>
            <xm:f>Validation!$M$3:$M$49</xm:f>
          </x14:formula1>
          <xm:sqref>B3</xm:sqref>
        </x14:dataValidation>
        <x14:dataValidation type="list" allowBlank="1" showInputMessage="1" showErrorMessage="1" xr:uid="{B6259728-4AA8-4330-B1EE-7B65D39C721C}">
          <x14:formula1>
            <xm:f>Validation!$K$3:$K$30</xm:f>
          </x14:formula1>
          <xm:sqref>B2</xm:sqref>
        </x14:dataValidation>
        <x14:dataValidation type="list" allowBlank="1" showInputMessage="1" showErrorMessage="1" xr:uid="{713B6A27-143F-4DB2-9B70-D9AD4D994E5C}">
          <x14:formula1>
            <xm:f>Validation!$A$4:$A$31</xm:f>
          </x14:formula1>
          <xm:sqref>B31 B11</xm:sqref>
        </x14:dataValidation>
        <x14:dataValidation type="list" allowBlank="1" showInputMessage="1" showErrorMessage="1" xr:uid="{08C01445-8373-41C5-B39B-3524AEAE41C8}">
          <x14:formula1>
            <xm:f>Validation!$J$3:$J$5</xm:f>
          </x14:formula1>
          <xm:sqref>B23:H23</xm:sqref>
        </x14:dataValidation>
        <x14:dataValidation type="list" allowBlank="1" showInputMessage="1" showErrorMessage="1" xr:uid="{8697FFC1-76F7-4B45-BD20-8465F301EDFE}">
          <x14:formula1>
            <xm:f>Validation!$I$3:$I$6</xm:f>
          </x14:formula1>
          <xm:sqref>B22:H22</xm:sqref>
        </x14:dataValidation>
        <x14:dataValidation type="list" allowBlank="1" showInputMessage="1" showErrorMessage="1" xr:uid="{414610F3-EEFC-4688-A2D4-63E1DEE92F35}">
          <x14:formula1>
            <xm:f>Validation!$A$3:$A$32</xm:f>
          </x14:formula1>
          <xm:sqref>B10</xm:sqref>
        </x14:dataValidation>
        <x14:dataValidation type="list" allowBlank="1" showInputMessage="1" showErrorMessage="1" xr:uid="{6BF57C4E-3C0A-49E7-85E5-5AAA5EB6A32E}">
          <x14:formula1>
            <xm:f>Validation!$C$3:$C$4</xm:f>
          </x14:formula1>
          <xm:sqref>B13</xm:sqref>
        </x14:dataValidation>
        <x14:dataValidation type="list" allowBlank="1" showInputMessage="1" showErrorMessage="1" xr:uid="{928CA9E6-032F-418D-890F-0AA1ED5A018B}">
          <x14:formula1>
            <xm:f>Validation!$B$3:$B$5</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1"/>
  <sheetViews>
    <sheetView showGridLines="0" zoomScaleNormal="100" workbookViewId="0"/>
  </sheetViews>
  <sheetFormatPr defaultRowHeight="13.15" outlineLevelRow="1" x14ac:dyDescent="0.4"/>
  <cols>
    <col min="1" max="1" width="8" customWidth="1"/>
    <col min="2" max="2" width="43.140625" customWidth="1"/>
    <col min="3" max="3" width="15.42578125" customWidth="1"/>
    <col min="4" max="20" width="9" customWidth="1"/>
    <col min="21" max="21" width="40.140625" customWidth="1"/>
    <col min="22" max="33" width="9" customWidth="1"/>
  </cols>
  <sheetData>
    <row r="1" spans="1:34" ht="23.25" x14ac:dyDescent="0.7">
      <c r="B1" s="13" t="s">
        <v>284</v>
      </c>
    </row>
    <row r="2" spans="1:34" x14ac:dyDescent="0.4">
      <c r="D2" s="76" t="s">
        <v>814</v>
      </c>
      <c r="E2" s="183">
        <v>2025</v>
      </c>
    </row>
    <row r="3" spans="1:34" ht="15.75" x14ac:dyDescent="0.5">
      <c r="B3" s="149"/>
      <c r="R3" s="79" t="s">
        <v>947</v>
      </c>
    </row>
    <row r="4" spans="1:34" ht="14.65" customHeight="1" x14ac:dyDescent="0.7">
      <c r="A4" s="13"/>
      <c r="B4" s="39" t="s">
        <v>251</v>
      </c>
      <c r="C4" s="40"/>
      <c r="D4" s="40"/>
      <c r="E4" s="44" cm="1">
        <f t="array" ref="E4:G4">_xlfn.SEQUENCE(1, OutturnThrough-MTP_BaseYear+1, MTP_BaseYear)</f>
        <v>2023</v>
      </c>
      <c r="F4" s="44">
        <v>2024</v>
      </c>
      <c r="G4" s="44">
        <v>2025</v>
      </c>
      <c r="H4" s="44"/>
      <c r="I4" s="44"/>
      <c r="J4" s="44"/>
      <c r="K4" s="44"/>
      <c r="L4" s="44"/>
      <c r="M4" s="44"/>
      <c r="N4" s="44"/>
      <c r="O4" s="44"/>
      <c r="P4" s="44"/>
      <c r="Q4" s="44"/>
      <c r="R4" s="39"/>
      <c r="S4" s="39" t="s">
        <v>251</v>
      </c>
      <c r="T4" s="40"/>
      <c r="U4" s="40"/>
      <c r="V4" s="44" cm="1">
        <f t="array" ref="V4:X4">_xlfn.SEQUENCE(1, OutturnThrough-MTP_BaseYear+1, MTP_BaseYear)</f>
        <v>2023</v>
      </c>
      <c r="W4" s="44">
        <v>2024</v>
      </c>
      <c r="X4" s="44">
        <v>2025</v>
      </c>
      <c r="Y4" s="44"/>
      <c r="Z4" s="44"/>
    </row>
    <row r="5" spans="1:34" ht="14.65" customHeight="1" x14ac:dyDescent="0.7">
      <c r="A5" s="13"/>
      <c r="B5" s="41" t="s">
        <v>274</v>
      </c>
      <c r="C5" s="42"/>
      <c r="D5" s="42"/>
      <c r="E5" s="47" t="str" cm="1">
        <f t="array" ref="E5:G5">IF(
  AND(_xlfn.ANCHORARRAY(E4) &gt;= MTP_YearT-1,_xlfn.ANCHORARRAY( E4) &lt;= MTP_EndYear),
  "T" &amp; TEXT(_xlfn.ANCHORARRAY(E4) - MTP_YearT, "+0;-0;"),
  ""
)</f>
        <v>T-1</v>
      </c>
      <c r="F5" s="47" t="str">
        <v>T</v>
      </c>
      <c r="G5" s="47" t="str">
        <v>T+1</v>
      </c>
      <c r="H5" s="47"/>
      <c r="I5" s="47"/>
      <c r="J5" s="47"/>
      <c r="K5" s="47"/>
      <c r="L5" s="47"/>
      <c r="M5" s="47"/>
      <c r="N5" s="47"/>
      <c r="O5" s="47"/>
      <c r="P5" s="47"/>
      <c r="Q5" s="47"/>
      <c r="R5" s="41" t="s">
        <v>927</v>
      </c>
      <c r="S5" s="41" t="s">
        <v>274</v>
      </c>
      <c r="T5" s="42"/>
      <c r="U5" s="42"/>
      <c r="V5" s="47" t="str" cm="1">
        <f t="array" ref="V5:X5">IF(
  AND(_xlfn.ANCHORARRAY(V4) &gt;= MTP_YearT-1,_xlfn.ANCHORARRAY( V4) &lt;= MTP_EndYear),
  "T" &amp; TEXT(_xlfn.ANCHORARRAY(V4) - MTP_YearT, "+0;-0;"),
  ""
)</f>
        <v>T-1</v>
      </c>
      <c r="W5" s="47" t="str">
        <v>T</v>
      </c>
      <c r="X5" s="47" t="str">
        <v>T+1</v>
      </c>
      <c r="Y5" s="47"/>
      <c r="Z5" s="47"/>
    </row>
    <row r="6" spans="1:34" ht="14.65" customHeight="1" x14ac:dyDescent="0.7">
      <c r="A6" s="13"/>
      <c r="B6" s="59" t="s">
        <v>257</v>
      </c>
      <c r="C6" s="44" t="s">
        <v>6</v>
      </c>
      <c r="D6" s="44"/>
      <c r="E6" s="140" cm="1">
        <f t="array" ref="E6:G6">INDEX(184:184, _xlfn.XMATCH(INDEX(_xlfn.ANCHORARRAY(E4),1,1), 33:33, 0) + _xlfn.SEQUENCE(1, COLUMNS(_xlfn.ANCHORARRAY(E4))) - 1)/1000</f>
        <v>17.182600000000001</v>
      </c>
      <c r="F6" s="140">
        <v>18.413499999999999</v>
      </c>
      <c r="G6" s="180">
        <v>19.8324</v>
      </c>
      <c r="H6" s="180"/>
      <c r="I6" s="180"/>
      <c r="J6" s="180"/>
      <c r="K6" s="180"/>
      <c r="L6" s="180"/>
      <c r="M6" s="180"/>
      <c r="N6" s="180"/>
      <c r="O6" s="180"/>
      <c r="P6" s="180"/>
      <c r="Q6" s="180"/>
      <c r="R6" s="257" t="b">
        <v>0</v>
      </c>
      <c r="S6" s="255" t="s">
        <v>276</v>
      </c>
      <c r="T6" s="180"/>
      <c r="U6" s="180"/>
      <c r="V6" s="180"/>
      <c r="W6" s="180"/>
      <c r="X6" s="180"/>
      <c r="Y6" s="180"/>
      <c r="Z6" s="180"/>
    </row>
    <row r="7" spans="1:34" ht="14.65" customHeight="1" x14ac:dyDescent="0.7">
      <c r="A7" s="13"/>
      <c r="B7" s="80" t="s">
        <v>25</v>
      </c>
      <c r="C7" s="44" t="s">
        <v>6</v>
      </c>
      <c r="D7" s="44"/>
      <c r="E7" s="141" cm="1">
        <f t="array" ref="E7:G7">INDEX(175:175, _xlfn.XMATCH(INDEX(_xlfn.ANCHORARRAY(E4),1,1), 33:33, 0) + _xlfn.SEQUENCE(1, COLUMNS(_xlfn.ANCHORARRAY(E4))) - 1)/1000</f>
        <v>0.28689999999999999</v>
      </c>
      <c r="F7" s="141">
        <v>0.44330000000000003</v>
      </c>
      <c r="G7" s="181">
        <v>0.4758</v>
      </c>
      <c r="H7" s="181"/>
      <c r="I7" s="181"/>
      <c r="J7" s="181"/>
      <c r="K7" s="181"/>
      <c r="L7" s="181"/>
      <c r="M7" s="181"/>
      <c r="N7" s="181"/>
      <c r="O7" s="181"/>
      <c r="P7" s="181"/>
      <c r="Q7" s="181"/>
      <c r="R7" s="257" t="b">
        <v>1</v>
      </c>
      <c r="S7" s="255" t="s">
        <v>277</v>
      </c>
      <c r="T7" s="180"/>
      <c r="U7" s="180"/>
      <c r="V7" s="180">
        <v>0.8</v>
      </c>
      <c r="W7" s="180">
        <v>0.8</v>
      </c>
      <c r="X7" s="180">
        <v>0.8</v>
      </c>
      <c r="Y7" s="180"/>
      <c r="Z7" s="180"/>
    </row>
    <row r="8" spans="1:34" ht="14.65" customHeight="1" x14ac:dyDescent="0.7">
      <c r="A8" s="13"/>
      <c r="B8" s="80" t="s">
        <v>276</v>
      </c>
      <c r="C8" s="44" t="s">
        <v>6</v>
      </c>
      <c r="D8" s="44"/>
      <c r="E8" s="141" cm="1">
        <f t="array" ref="E8:G8">IF(R6,
    INDEX(6:6, COLUMN(V1) + _xlfn.SEQUENCE(1, COLUMNS(_xlfn.ANCHORARRAY(E4))) - 1),
    INDEX(188:188, _xlfn.XMATCH(INDEX(_xlfn.ANCHORARRAY(E4),1,1), 33:33, 0) + _xlfn.SEQUENCE(1, COLUMNS(_xlfn.ANCHORARRAY(E4))) - 1) / 1000
)</f>
        <v>-2.3600000000000001E-3</v>
      </c>
      <c r="F8" s="141">
        <v>3.14E-3</v>
      </c>
      <c r="G8" s="181">
        <v>6.7000000000000002E-3</v>
      </c>
      <c r="H8" s="181"/>
      <c r="I8" s="181"/>
      <c r="J8" s="181"/>
      <c r="K8" s="181"/>
      <c r="L8" s="181"/>
      <c r="M8" s="181"/>
      <c r="N8" s="181"/>
      <c r="O8" s="181"/>
      <c r="P8" s="181"/>
      <c r="Q8" s="181"/>
      <c r="R8" s="257" t="b">
        <v>0</v>
      </c>
      <c r="S8" s="256" t="s">
        <v>279</v>
      </c>
      <c r="T8" s="181"/>
      <c r="U8" s="181"/>
      <c r="V8" s="181"/>
      <c r="W8" s="181"/>
      <c r="X8" s="181"/>
      <c r="Y8" s="181"/>
      <c r="Z8" s="181"/>
    </row>
    <row r="9" spans="1:34" ht="14.65" customHeight="1" x14ac:dyDescent="0.7">
      <c r="A9" s="13"/>
      <c r="B9" s="80" t="s">
        <v>277</v>
      </c>
      <c r="C9" s="44" t="s">
        <v>6</v>
      </c>
      <c r="D9" s="44"/>
      <c r="E9" s="141" cm="1">
        <f t="array" ref="E9:G9">IF(R7,
    INDEX(7:7, COLUMN(V1) + _xlfn.SEQUENCE(1, COLUMNS(_xlfn.ANCHORARRAY(E4))) - 1),INDEX(185:185, _xlfn.XMATCH(INDEX(_xlfn.ANCHORARRAY(E4),1,1), 33:33, 0) + _xlfn.SEQUENCE(1, COLUMNS(_xlfn.ANCHORARRAY(E4))) - 1)/1000)</f>
        <v>0.8</v>
      </c>
      <c r="F9" s="141">
        <v>0.8</v>
      </c>
      <c r="G9" s="181">
        <v>0.8</v>
      </c>
      <c r="H9" s="181"/>
      <c r="I9" s="181"/>
      <c r="J9" s="181"/>
      <c r="K9" s="181"/>
      <c r="L9" s="181"/>
      <c r="M9" s="181"/>
      <c r="N9" s="181"/>
      <c r="O9" s="181"/>
      <c r="P9" s="181"/>
      <c r="Q9" s="181"/>
      <c r="R9" s="257" t="b">
        <v>0</v>
      </c>
      <c r="S9" s="256" t="s">
        <v>596</v>
      </c>
      <c r="T9" s="181"/>
      <c r="U9" s="181"/>
      <c r="V9" s="181"/>
      <c r="W9" s="181"/>
      <c r="X9" s="181"/>
      <c r="Y9" s="181"/>
      <c r="Z9" s="181"/>
    </row>
    <row r="10" spans="1:34" ht="14.65" customHeight="1" x14ac:dyDescent="0.7">
      <c r="A10" s="13"/>
      <c r="B10" s="80" t="s">
        <v>278</v>
      </c>
      <c r="C10" s="44" t="s">
        <v>6</v>
      </c>
      <c r="D10" s="44"/>
      <c r="E10" s="141" cm="1">
        <f t="array" ref="E10:G10">INDEX(187:187, _xlfn.XMATCH(INDEX(_xlfn.ANCHORARRAY(E4),1,1), 33:33, 0) + _xlfn.SEQUENCE(1, COLUMNS(_xlfn.ANCHORARRAY(E4))) - 1)/1000</f>
        <v>0.15825</v>
      </c>
      <c r="F10" s="141">
        <v>0.13764999999999999</v>
      </c>
      <c r="G10" s="181">
        <v>0.19919999999999999</v>
      </c>
      <c r="H10" s="181"/>
      <c r="I10" s="181"/>
      <c r="J10" s="181"/>
      <c r="K10" s="181"/>
      <c r="L10" s="181"/>
      <c r="M10" s="181"/>
      <c r="N10" s="181"/>
      <c r="O10" s="181"/>
      <c r="P10" s="181"/>
      <c r="Q10" s="181"/>
      <c r="R10" s="262" t="b">
        <v>1</v>
      </c>
      <c r="S10" s="263" t="s">
        <v>598</v>
      </c>
      <c r="T10" s="264"/>
      <c r="U10" s="264"/>
      <c r="V10" s="181">
        <v>1</v>
      </c>
      <c r="W10" s="181">
        <v>1.1000000000000001</v>
      </c>
      <c r="X10" s="181">
        <v>1.3</v>
      </c>
      <c r="Y10" s="181"/>
      <c r="Z10" s="181"/>
    </row>
    <row r="11" spans="1:34" ht="14.65" customHeight="1" x14ac:dyDescent="0.7">
      <c r="A11" s="13"/>
      <c r="B11" s="80" t="s">
        <v>279</v>
      </c>
      <c r="C11" s="44" t="s">
        <v>6</v>
      </c>
      <c r="D11" s="44"/>
      <c r="E11" s="141" cm="1">
        <f t="array" ref="E11:G11">IF(R8,
    INDEX(8:8, COLUMN(V1) + _xlfn.SEQUENCE(1, COLUMNS(_xlfn.ANCHORARRAY(E4))) - 1),INDEX(189:189, _xlfn.XMATCH(INDEX(_xlfn.ANCHORARRAY(E4),1,1), 33:33, 0) + _xlfn.SEQUENCE(1, COLUMNS(_xlfn.ANCHORARRAY(E4))) - 1)/1000)</f>
        <v>0</v>
      </c>
      <c r="F11" s="141">
        <v>0</v>
      </c>
      <c r="G11" s="181">
        <v>0</v>
      </c>
      <c r="H11" s="181"/>
      <c r="I11" s="181"/>
      <c r="J11" s="181"/>
      <c r="K11" s="181"/>
      <c r="L11" s="181"/>
      <c r="M11" s="181"/>
      <c r="N11" s="181"/>
      <c r="O11" s="181"/>
      <c r="P11" s="181"/>
      <c r="Q11" s="181"/>
      <c r="R11" s="181"/>
      <c r="S11" s="181"/>
      <c r="T11" s="181"/>
      <c r="U11" s="181"/>
      <c r="V11" s="181"/>
      <c r="W11" s="181"/>
      <c r="X11" s="181"/>
      <c r="Y11" s="181"/>
      <c r="Z11" s="181"/>
    </row>
    <row r="12" spans="1:34" ht="14.65" customHeight="1" x14ac:dyDescent="0.7">
      <c r="A12" s="13"/>
      <c r="B12" s="80" t="s">
        <v>307</v>
      </c>
      <c r="C12" s="44" t="s">
        <v>6</v>
      </c>
      <c r="D12" s="44"/>
      <c r="E12" s="141" cm="1">
        <f t="array" ref="E12:G12">INDEX(190:190, _xlfn.XMATCH(INDEX(_xlfn.ANCHORARRAY(E4),1,1), 33:33, 0) + _xlfn.SEQUENCE(1, COLUMNS(_xlfn.ANCHORARRAY(E4))) - 1)/1000</f>
        <v>16.005510000000005</v>
      </c>
      <c r="F12" s="141">
        <v>17.073910000000001</v>
      </c>
      <c r="G12" s="181">
        <v>17.899699999999999</v>
      </c>
      <c r="H12" s="181"/>
      <c r="I12" s="181"/>
      <c r="J12" s="181"/>
      <c r="K12" s="181"/>
      <c r="L12" s="181"/>
      <c r="M12" s="181"/>
      <c r="N12" s="181"/>
      <c r="O12" s="181"/>
      <c r="P12" s="181"/>
      <c r="Q12" s="181"/>
      <c r="R12" s="181"/>
      <c r="S12" s="181"/>
      <c r="T12" s="181"/>
      <c r="U12" s="181"/>
      <c r="V12" s="181"/>
      <c r="W12" s="181"/>
      <c r="X12" s="181"/>
      <c r="Y12" s="181"/>
      <c r="Z12" s="181"/>
    </row>
    <row r="13" spans="1:34" ht="14.65" customHeight="1" x14ac:dyDescent="0.7">
      <c r="A13" s="13"/>
      <c r="B13" s="80" t="s">
        <v>596</v>
      </c>
      <c r="C13" s="44" t="s">
        <v>6</v>
      </c>
      <c r="D13" s="44"/>
      <c r="E13" s="141" cm="1">
        <f t="array" ref="E13:G13">IF(R9,
    INDEX(9:9, COLUMN(V1) + _xlfn.SEQUENCE(1, COLUMNS(_xlfn.ANCHORARRAY(E4))) - 1),(INDEX(169:169, _xlfn.XMATCH(INDEX(_xlfn.ANCHORARRAY(E4),1,1)+0, 33:33+0, 0) + _xlfn.SEQUENCE(1, COLUMNS(_xlfn.ANCHORARRAY(E4))) - 1))/1000)</f>
        <v>0</v>
      </c>
      <c r="F13" s="141">
        <v>0.27381</v>
      </c>
      <c r="G13" s="181">
        <v>0</v>
      </c>
      <c r="H13" s="181"/>
      <c r="I13" s="181"/>
      <c r="J13" s="181"/>
      <c r="K13" s="181"/>
      <c r="L13" s="181"/>
      <c r="M13" s="181"/>
      <c r="N13" s="181"/>
      <c r="O13" s="181"/>
      <c r="P13" s="181"/>
      <c r="Q13" s="181"/>
      <c r="R13" s="181"/>
      <c r="S13" s="181"/>
      <c r="T13" s="181"/>
      <c r="U13" s="181"/>
      <c r="V13" s="181"/>
      <c r="W13" s="181"/>
      <c r="X13" s="181"/>
      <c r="Y13" s="181"/>
      <c r="Z13" s="181"/>
      <c r="AF13" s="4"/>
      <c r="AG13" s="4"/>
      <c r="AH13" s="4"/>
    </row>
    <row r="14" spans="1:34" ht="14.65" customHeight="1" x14ac:dyDescent="0.7">
      <c r="A14" s="13"/>
      <c r="B14" s="80" t="s">
        <v>598</v>
      </c>
      <c r="C14" s="44" t="s">
        <v>6</v>
      </c>
      <c r="D14" s="44"/>
      <c r="E14" s="141" cm="1">
        <f t="array" ref="E14:G14">IF(R10,
INDEX(10:10,COLUMN(V1)+_xlfn.SEQUENCE(1,COLUMNS(_xlfn.ANCHORARRAY(E4)))-1),INDEX(92:92,_xlfn.XMATCH(INDEX(_xlfn.ANCHORARRAY(E4),1,1),33:33,0)+_xlfn.SEQUENCE(1,COLUMNS(_xlfn.ANCHORARRAY(E4)))-1)/1000)</f>
        <v>1</v>
      </c>
      <c r="F14" s="141">
        <v>1.1000000000000001</v>
      </c>
      <c r="G14" s="181">
        <v>1.3</v>
      </c>
      <c r="H14" s="181"/>
      <c r="I14" s="181"/>
      <c r="J14" s="181"/>
      <c r="K14" s="181"/>
      <c r="L14" s="181"/>
      <c r="M14" s="181"/>
      <c r="N14" s="181"/>
      <c r="O14" s="181"/>
      <c r="P14" s="181"/>
      <c r="Q14" s="181"/>
      <c r="R14" s="181"/>
      <c r="S14" s="181"/>
      <c r="T14" s="181"/>
      <c r="U14" s="181"/>
      <c r="V14" s="181"/>
      <c r="W14" s="181"/>
      <c r="X14" s="181"/>
      <c r="Y14" s="181"/>
      <c r="Z14" s="181"/>
      <c r="AF14" s="4"/>
      <c r="AG14" s="4"/>
      <c r="AH14" s="4"/>
    </row>
    <row r="15" spans="1:34" ht="20.25" customHeight="1" x14ac:dyDescent="0.7">
      <c r="A15" s="13"/>
      <c r="B15" s="59" t="s">
        <v>309</v>
      </c>
      <c r="C15" s="44" t="s">
        <v>634</v>
      </c>
      <c r="D15" s="44"/>
      <c r="E15" s="140" t="str" cm="1">
        <f t="array" ref="E15:G15">_xlfn.LET(
  _xlpm.n, COLUMNS(_xlfn.ANCHORARRAY(E4)),
  _xlpm.seq, _xlfn.SEQUENCE(1,_xlpm.n),
  _xlpm.col, COLUMN()+_xlpm.seq-1,
  _xlpm.curr13, INDEX(12:12, _xlpm.col),
  _xlpm.curr14, INDEX(13:13, _xlpm.col),
  _xlpm.prev13, INDEX(12:12, _xlpm.col-1),
  IF(_xlpm.seq=1, "", IFERROR((((_xlpm.curr13-_xlpm.curr14)/_xlpm.prev13)-1)*100, ""))
)</f>
        <v/>
      </c>
      <c r="F15" s="140">
        <v>4.9644778579376547</v>
      </c>
      <c r="G15" s="180">
        <v>4.836560576927007</v>
      </c>
      <c r="H15" s="180"/>
      <c r="I15" s="180"/>
      <c r="J15" s="180"/>
      <c r="K15" s="180"/>
      <c r="L15" s="180"/>
      <c r="M15" s="180"/>
      <c r="N15" s="180"/>
      <c r="O15" s="180"/>
      <c r="P15" s="180"/>
      <c r="Q15" s="180"/>
      <c r="R15" s="181"/>
      <c r="S15" s="181"/>
      <c r="T15" s="181"/>
      <c r="U15" s="181"/>
      <c r="V15" s="181"/>
      <c r="W15" s="181"/>
      <c r="X15" s="181"/>
      <c r="Y15" s="181"/>
      <c r="Z15" s="181"/>
      <c r="AF15" s="4"/>
      <c r="AG15" s="4"/>
      <c r="AH15" s="4"/>
    </row>
    <row r="16" spans="1:34" ht="14.65" customHeight="1" x14ac:dyDescent="0.7">
      <c r="A16" s="13"/>
      <c r="B16" s="59" t="s">
        <v>308</v>
      </c>
      <c r="C16" s="44" t="s">
        <v>634</v>
      </c>
      <c r="D16" s="44"/>
      <c r="E16" s="140" t="str" cm="1">
        <f t="array" ref="E16:G16">_xlfn.LET(
  _xlpm.n, COLUMNS(_xlfn.ANCHORARRAY(E4)),
  _xlpm.seq, _xlfn.SEQUENCE(1,_xlpm.n),
  _xlpm.vals, INDEX(15:15, COLUMN()-1+_xlpm.seq),
  _xlpm.clean, IF(_xlpm.vals="",0,_xlpm.vals/100),
  _xlpm.cum, _xlfn.SCAN(1, _xlpm.clean, _xlfn.LAMBDA(_xlpm.a,_xlpm.b,_xlpm.a*(1+_xlpm.b))),
  IF(_xlpm.seq=1,"",(_xlpm.cum-1)*100)
)</f>
        <v/>
      </c>
      <c r="F16" s="140">
        <v>4.9644778579376547</v>
      </c>
      <c r="G16" s="182">
        <v>10.041148413791934</v>
      </c>
      <c r="H16" s="182"/>
      <c r="I16" s="182"/>
      <c r="J16" s="182"/>
      <c r="K16" s="182"/>
      <c r="L16" s="182"/>
      <c r="M16" s="182"/>
      <c r="N16" s="182"/>
      <c r="O16" s="182"/>
      <c r="P16" s="182"/>
      <c r="Q16" s="182"/>
      <c r="R16" s="180"/>
      <c r="S16" s="180"/>
      <c r="T16" s="180"/>
      <c r="U16" s="180"/>
      <c r="V16" s="180"/>
      <c r="W16" s="180"/>
      <c r="X16" s="180"/>
      <c r="Y16" s="180"/>
      <c r="Z16" s="180"/>
      <c r="AF16" s="4"/>
      <c r="AG16" s="4"/>
      <c r="AH16" s="4"/>
    </row>
    <row r="17" spans="1:34" ht="20.25" customHeight="1" x14ac:dyDescent="0.7">
      <c r="A17" s="13"/>
      <c r="B17" s="55" t="s">
        <v>206</v>
      </c>
      <c r="C17" s="49" t="s">
        <v>603</v>
      </c>
      <c r="D17" s="49"/>
      <c r="E17" s="142" cm="1">
        <f t="array" ref="E17:G17">INDEX(139:139, _xlfn.XMATCH(INDEX(_xlfn.ANCHORARRAY(E4),1,1), 33:33, 0) + _xlfn.SEQUENCE(1, COLUMNS(_xlfn.ANCHORARRAY(E4))) - 1)</f>
        <v>-2.342774528487884</v>
      </c>
      <c r="F17" s="142">
        <v>-1.7868607680254289</v>
      </c>
      <c r="G17" s="182">
        <v>-2.5407774797681517</v>
      </c>
      <c r="H17" s="182"/>
      <c r="I17" s="182"/>
      <c r="J17" s="182"/>
      <c r="K17" s="182"/>
      <c r="L17" s="182"/>
      <c r="M17" s="182"/>
      <c r="N17" s="182"/>
      <c r="O17" s="182"/>
      <c r="P17" s="182"/>
      <c r="Q17" s="182"/>
      <c r="R17" s="182"/>
      <c r="S17" s="182"/>
      <c r="T17" s="182"/>
      <c r="U17" s="182"/>
      <c r="V17" s="182"/>
      <c r="W17" s="182"/>
      <c r="X17" s="182"/>
      <c r="Y17" s="182"/>
      <c r="Z17" s="182"/>
      <c r="AF17" s="4"/>
      <c r="AG17" s="4"/>
      <c r="AH17" s="4"/>
    </row>
    <row r="18" spans="1:34" ht="14.65" customHeight="1" x14ac:dyDescent="0.7">
      <c r="A18" s="13"/>
      <c r="B18" s="55" t="s">
        <v>0</v>
      </c>
      <c r="C18" s="49" t="s">
        <v>603</v>
      </c>
      <c r="D18" s="49"/>
      <c r="E18" s="142" cm="1">
        <f t="array" ref="E18:G18">INDEX(142:142, _xlfn.XMATCH(INDEX(_xlfn.ANCHORARRAY(E4),1,1), 33:33, 0) + _xlfn.SEQUENCE(1, COLUMNS(_xlfn.ANCHORARRAY(E4))) - 1)</f>
        <v>-2.0901399999999999</v>
      </c>
      <c r="F18" s="142">
        <v>-1.3087</v>
      </c>
      <c r="G18" s="182">
        <v>-2.5189499999999998</v>
      </c>
      <c r="H18" s="182"/>
      <c r="I18" s="182"/>
      <c r="J18" s="182"/>
      <c r="K18" s="182"/>
      <c r="L18" s="182"/>
      <c r="M18" s="182"/>
      <c r="N18" s="182"/>
      <c r="O18" s="182"/>
      <c r="P18" s="182"/>
      <c r="Q18" s="182"/>
      <c r="R18" s="182"/>
      <c r="S18" s="182"/>
      <c r="T18" s="182"/>
      <c r="U18" s="182"/>
      <c r="V18" s="182"/>
      <c r="W18" s="182"/>
      <c r="X18" s="182"/>
      <c r="Y18" s="182"/>
      <c r="Z18" s="182"/>
    </row>
    <row r="19" spans="1:34" ht="14.65" customHeight="1" x14ac:dyDescent="0.7">
      <c r="A19" s="13"/>
      <c r="B19" s="55" t="s">
        <v>3</v>
      </c>
      <c r="C19" s="49" t="s">
        <v>603</v>
      </c>
      <c r="D19" s="49"/>
      <c r="E19" s="142" cm="1">
        <f t="array" ref="E19:G19">INDEX(143:143, _xlfn.XMATCH(INDEX(_xlfn.ANCHORARRAY(E4),1,1), 33:33, 0) + _xlfn.SEQUENCE(1, COLUMNS(_xlfn.ANCHORARRAY(E4))) - 1)</f>
        <v>-1.3650599999999999</v>
      </c>
      <c r="F19" s="142">
        <v>-0.21811</v>
      </c>
      <c r="G19" s="182">
        <v>-1.41309</v>
      </c>
      <c r="H19" s="182"/>
      <c r="I19" s="182"/>
      <c r="J19" s="182"/>
      <c r="K19" s="182"/>
      <c r="L19" s="182"/>
      <c r="M19" s="182"/>
      <c r="N19" s="182"/>
      <c r="O19" s="182"/>
      <c r="P19" s="182"/>
      <c r="Q19" s="182"/>
      <c r="R19" s="182"/>
      <c r="S19" s="182"/>
      <c r="T19" s="182"/>
      <c r="U19" s="182"/>
      <c r="V19" s="182"/>
      <c r="W19" s="182"/>
      <c r="X19" s="182"/>
      <c r="Y19" s="182"/>
      <c r="Z19" s="182"/>
    </row>
    <row r="20" spans="1:34" ht="14.65" customHeight="1" x14ac:dyDescent="0.7">
      <c r="A20" s="13"/>
      <c r="B20" s="55" t="s">
        <v>1</v>
      </c>
      <c r="C20" s="49" t="s">
        <v>603</v>
      </c>
      <c r="D20" s="49"/>
      <c r="E20" s="142" cm="1">
        <f t="array" ref="E20:G20">INDEX(145:145, _xlfn.XMATCH(INDEX(_xlfn.ANCHORARRAY(E4),1,1), 33:33, 0) + _xlfn.SEQUENCE(1, COLUMNS(_xlfn.ANCHORARRAY(E4))) - 1)</f>
        <v>44.430318318075436</v>
      </c>
      <c r="F20" s="142">
        <v>46.249535696627248</v>
      </c>
      <c r="G20" s="182">
        <v>46.887477862325753</v>
      </c>
      <c r="H20" s="182"/>
      <c r="I20" s="182"/>
      <c r="J20" s="182"/>
      <c r="K20" s="182"/>
      <c r="L20" s="182"/>
      <c r="M20" s="182"/>
      <c r="N20" s="182"/>
      <c r="O20" s="182"/>
      <c r="P20" s="182"/>
      <c r="Q20" s="182"/>
      <c r="R20" s="182"/>
      <c r="S20" s="182"/>
      <c r="T20" s="182"/>
      <c r="U20" s="182"/>
      <c r="V20" s="182"/>
      <c r="W20" s="182"/>
      <c r="X20" s="182"/>
      <c r="Y20" s="182"/>
      <c r="Z20" s="182"/>
    </row>
    <row r="21" spans="1:34" ht="14.65" customHeight="1" x14ac:dyDescent="0.7">
      <c r="A21" s="13"/>
      <c r="B21" s="55" t="s">
        <v>2</v>
      </c>
      <c r="C21" s="49" t="s">
        <v>603</v>
      </c>
      <c r="D21" s="49"/>
      <c r="E21" s="182" cm="1">
        <f t="array" ref="E21:G21">INDEX(146:146, _xlfn.XMATCH(INDEX(_xlfn.ANCHORARRAY(E4),1,1), 33:33, 0) + _xlfn.SEQUENCE(1, COLUMNS(_xlfn.ANCHORARRAY(E4))) - 1)</f>
        <v>3.8913967677850185</v>
      </c>
      <c r="F21" s="182">
        <v>3.0084398668710008</v>
      </c>
      <c r="G21" s="182">
        <v>3.1896844248388225</v>
      </c>
      <c r="H21" s="182"/>
      <c r="I21" s="182"/>
      <c r="J21" s="182"/>
      <c r="K21" s="182"/>
      <c r="L21" s="182"/>
      <c r="M21" s="182"/>
      <c r="N21" s="182"/>
      <c r="O21" s="182"/>
      <c r="P21" s="182"/>
      <c r="Q21" s="182"/>
      <c r="R21" s="182"/>
      <c r="S21" s="182"/>
      <c r="T21" s="182"/>
      <c r="U21" s="182"/>
      <c r="V21" s="182"/>
      <c r="W21" s="182"/>
      <c r="X21" s="182"/>
      <c r="Y21" s="182"/>
      <c r="Z21" s="182"/>
    </row>
    <row r="22" spans="1:34" ht="20.25" customHeight="1" x14ac:dyDescent="0.7">
      <c r="A22" s="13"/>
      <c r="B22" s="55" t="s">
        <v>280</v>
      </c>
      <c r="C22" s="49" t="s">
        <v>633</v>
      </c>
      <c r="D22" s="49"/>
      <c r="E22" s="140" cm="1">
        <f t="array" ref="E22:G22">_xlfn.LET(
  _xlpm.pos,  _xlfn.XMATCH(INDEX(_xlfn.ANCHORARRAY(E4),1,1)+0, 33:33+0, 0) + _xlfn.SEQUENCE(1, COLUMNS(_xlfn.ANCHORARRAY(E4))),
  _xlpm.num,  INDEX(35:35, _xlpm.pos - 1),
  _xlpm.den,  INDEX(35:35, _xlpm.pos - 2),
  IF((_xlpm.num=0) + (_xlpm.den=0), "", 100*(_xlpm.num/_xlpm.den - 1))
)</f>
        <v>-0.9414574313402313</v>
      </c>
      <c r="F22" s="140">
        <v>-3.7310985009997299E-2</v>
      </c>
      <c r="G22" s="180">
        <v>2.1381842045897326</v>
      </c>
      <c r="H22" s="180"/>
      <c r="I22" s="180"/>
      <c r="J22" s="180"/>
      <c r="K22" s="180"/>
      <c r="L22" s="180"/>
      <c r="M22" s="180"/>
      <c r="N22" s="180"/>
      <c r="O22" s="180"/>
      <c r="P22" s="180"/>
      <c r="Q22" s="180"/>
      <c r="R22" s="182"/>
      <c r="S22" s="182"/>
      <c r="T22" s="182"/>
      <c r="U22" s="182"/>
      <c r="V22" s="182"/>
      <c r="W22" s="182"/>
      <c r="X22" s="182"/>
      <c r="Y22" s="182"/>
      <c r="Z22" s="182"/>
    </row>
    <row r="23" spans="1:34" ht="14.65" customHeight="1" x14ac:dyDescent="0.7">
      <c r="A23" s="13"/>
      <c r="B23" s="55" t="s">
        <v>281</v>
      </c>
      <c r="C23" s="49" t="s">
        <v>633</v>
      </c>
      <c r="D23" s="49"/>
      <c r="E23" s="140" cm="1">
        <f t="array" ref="E23:G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10.672371603556009</v>
      </c>
      <c r="F23" s="140">
        <v>2.7885650030008202</v>
      </c>
      <c r="G23" s="180">
        <v>3.623853135142574</v>
      </c>
      <c r="H23" s="180"/>
      <c r="I23" s="180"/>
      <c r="J23" s="180"/>
      <c r="K23" s="180"/>
      <c r="L23" s="180"/>
      <c r="M23" s="180"/>
      <c r="N23" s="180"/>
      <c r="O23" s="180"/>
      <c r="P23" s="180"/>
      <c r="Q23" s="180"/>
      <c r="R23" s="180"/>
      <c r="S23" s="180"/>
      <c r="T23" s="180"/>
      <c r="U23" s="180"/>
      <c r="V23" s="180"/>
      <c r="W23" s="180"/>
      <c r="X23" s="180"/>
      <c r="Y23" s="180"/>
      <c r="Z23" s="180"/>
    </row>
    <row r="24" spans="1:34" ht="14.65" customHeight="1" x14ac:dyDescent="0.7">
      <c r="A24" s="13"/>
      <c r="B24" s="55" t="s">
        <v>282</v>
      </c>
      <c r="C24" s="49" t="s">
        <v>633</v>
      </c>
      <c r="D24" s="49"/>
      <c r="E24" s="140" cm="1">
        <f t="array" ref="E24:G24">_xlfn.LET(
  _xlpm.pos,  _xlfn.XMATCH(INDEX(_xlfn.ANCHORARRAY(E4),1,1)+0, 33:33+0, 0) + _xlfn.SEQUENCE(1, COLUMNS(_xlfn.ANCHORARRAY(E4))),
  _xlpm.num,  INDEX(34:34, _xlpm.pos - 1),
  _xlpm.den,  INDEX(34:34, _xlpm.pos - 2),
  IF((_xlpm.num=0) + (_xlpm.den=0), "", 100*(_xlpm.num/_xlpm.den - 1))
)</f>
        <v>9.630438336653846</v>
      </c>
      <c r="F24" s="140">
        <v>2.7502135769205571</v>
      </c>
      <c r="G24" s="180">
        <v>5.8395219950654553</v>
      </c>
      <c r="H24" s="180"/>
      <c r="I24" s="180"/>
      <c r="J24" s="180"/>
      <c r="K24" s="180"/>
      <c r="L24" s="180"/>
      <c r="M24" s="180"/>
      <c r="N24" s="180"/>
      <c r="O24" s="180"/>
      <c r="P24" s="180"/>
      <c r="Q24" s="180"/>
      <c r="R24" s="180"/>
      <c r="S24" s="180"/>
      <c r="T24" s="180"/>
      <c r="U24" s="180"/>
      <c r="V24" s="180"/>
      <c r="W24" s="180"/>
      <c r="X24" s="180"/>
      <c r="Y24" s="180"/>
      <c r="Z24" s="180"/>
    </row>
    <row r="25" spans="1:34" ht="14.65" customHeight="1" x14ac:dyDescent="0.7">
      <c r="A25" s="13"/>
      <c r="B25" s="55" t="s">
        <v>283</v>
      </c>
      <c r="C25" s="44" t="s">
        <v>633</v>
      </c>
      <c r="D25" s="44"/>
      <c r="E25" s="140" cm="1">
        <f t="array" ref="E25:G25">_xlfn.LET(
  _xlpm.pos,  _xlfn.XMATCH(INDEX(_xlfn.ANCHORARRAY(E4),1,1)+0, 33:33+0, 0) + _xlfn.SEQUENCE(1, COLUMNS(_xlfn.ANCHORARRAY(E4))),
  _xlpm.num,  INDEX(90:90, _xlpm.pos - 1),
  _xlpm.den,  INDEX(90:90, _xlpm.pos - 2),
  IF((_xlpm.num=0) + (_xlpm.den=0), "", 100*(_xlpm.num/_xlpm.den - 1))
)</f>
        <v>1.0494115850457675</v>
      </c>
      <c r="F25" s="142">
        <v>0.56895479625649337</v>
      </c>
      <c r="G25" s="182">
        <v>0.90465793805487582</v>
      </c>
      <c r="H25" s="182"/>
      <c r="I25" s="182"/>
      <c r="J25" s="182"/>
      <c r="K25" s="182"/>
      <c r="L25" s="182"/>
      <c r="M25" s="182"/>
      <c r="N25" s="182"/>
      <c r="O25" s="182"/>
      <c r="P25" s="182"/>
      <c r="Q25" s="182"/>
      <c r="R25" s="180"/>
      <c r="S25" s="180"/>
      <c r="T25" s="180"/>
      <c r="U25" s="180"/>
      <c r="V25" s="180"/>
      <c r="W25" s="180"/>
      <c r="X25" s="180"/>
      <c r="Y25" s="180"/>
      <c r="Z25" s="180"/>
    </row>
    <row r="26" spans="1:34" ht="14.65" customHeight="1" x14ac:dyDescent="0.7">
      <c r="A26" s="13"/>
      <c r="B26" s="55" t="s">
        <v>272</v>
      </c>
      <c r="C26" s="44" t="s">
        <v>599</v>
      </c>
      <c r="D26" s="44"/>
      <c r="E26" s="142" cm="1">
        <f t="array" ref="E26:G26">_xlfn.LET(
  _xlpm.pos,   _xlfn.XMATCH(INDEX(_xlfn.ANCHORARRAY(E4),1,1)+0, 33:33+0, 0) + _xlfn.SEQUENCE(1, COLUMNS(_xlfn.ANCHORARRAY(E4))),
  _xlpm.rGDP,  INDEX(89:89, _xlpm.pos - 1),
  _xlpm.pGDP,  INDEX(90:90, _xlpm.pos - 1),
  IF((_xlpm.rGDP=0) + (_xlpm.pGDP=0), "", 100*(_xlpm.rGDP/_xlpm.pGDP - 1))
)</f>
        <v>-0.6672176438640709</v>
      </c>
      <c r="F26" s="142">
        <v>-1.2657760235122772</v>
      </c>
      <c r="G26" s="182">
        <v>-5.9072774617829893E-2</v>
      </c>
      <c r="H26" s="182"/>
      <c r="I26" s="182"/>
      <c r="J26" s="182"/>
      <c r="K26" s="182"/>
      <c r="L26" s="182"/>
      <c r="M26" s="182"/>
      <c r="N26" s="182"/>
      <c r="O26" s="182"/>
      <c r="P26" s="182"/>
      <c r="Q26" s="182"/>
      <c r="R26" s="182"/>
      <c r="S26" s="182"/>
      <c r="T26" s="182"/>
      <c r="U26" s="182"/>
      <c r="V26" s="182"/>
      <c r="W26" s="182"/>
      <c r="X26" s="182"/>
      <c r="Y26" s="182"/>
      <c r="Z26" s="182"/>
    </row>
    <row r="27" spans="1:34" x14ac:dyDescent="0.4">
      <c r="B27" s="42" t="s">
        <v>595</v>
      </c>
      <c r="C27" s="147" t="s">
        <v>635</v>
      </c>
      <c r="D27" s="147"/>
      <c r="E27" s="142" cm="1">
        <f t="array" ref="E27:G27">INDEX(34:34, _xlfn.XMATCH(INDEX(_xlfn.ANCHORARRAY(E4),1,1), 33:33, 0) + _xlfn.SEQUENCE(1, COLUMNS(_xlfn.ANCHORARRAY(E4))) - 1)/1000</f>
        <v>39.5642</v>
      </c>
      <c r="F27" s="142">
        <v>40.652300000000004</v>
      </c>
      <c r="G27" s="182">
        <v>43.026199999999996</v>
      </c>
      <c r="H27" s="182"/>
      <c r="I27" s="182"/>
      <c r="J27" s="182"/>
      <c r="K27" s="182"/>
      <c r="L27" s="182"/>
      <c r="M27" s="182"/>
      <c r="N27" s="182"/>
      <c r="O27" s="182"/>
      <c r="P27" s="182"/>
      <c r="Q27" s="182"/>
      <c r="R27" s="182"/>
      <c r="S27" s="182"/>
      <c r="T27" s="182"/>
      <c r="U27" s="182"/>
      <c r="V27" s="182"/>
      <c r="W27" s="182"/>
      <c r="X27" s="182"/>
      <c r="Y27" s="182"/>
      <c r="Z27" s="182"/>
    </row>
    <row r="28" spans="1:34" x14ac:dyDescent="0.4">
      <c r="C28" s="8"/>
      <c r="D28" s="8"/>
      <c r="F28" s="144"/>
      <c r="G28" s="144"/>
      <c r="R28" s="182"/>
      <c r="S28" s="182"/>
      <c r="T28" s="182"/>
      <c r="U28" s="182"/>
      <c r="V28" s="182"/>
      <c r="W28" s="182"/>
      <c r="X28" s="182"/>
      <c r="Y28" s="182"/>
      <c r="Z28" s="182"/>
    </row>
    <row r="29" spans="1:34" ht="23.25" x14ac:dyDescent="0.7">
      <c r="A29" s="13" t="s">
        <v>827</v>
      </c>
      <c r="B29" s="8"/>
      <c r="C29" s="8"/>
    </row>
    <row r="30" spans="1:34" outlineLevel="1" x14ac:dyDescent="0.4">
      <c r="A30" s="150" t="s">
        <v>15</v>
      </c>
      <c r="B30" s="151" t="str">
        <f>Country</f>
        <v>Latvia</v>
      </c>
      <c r="C30" s="8"/>
    </row>
    <row r="31" spans="1:34" outlineLevel="1" x14ac:dyDescent="0.4">
      <c r="A31" s="150" t="s">
        <v>830</v>
      </c>
      <c r="B31" s="254">
        <v>46196.321273148147</v>
      </c>
      <c r="C31" s="8"/>
    </row>
    <row r="32" spans="1:34" outlineLevel="1" x14ac:dyDescent="0.4">
      <c r="A32" s="150" t="s">
        <v>692</v>
      </c>
      <c r="B32" s="150" t="s">
        <v>693</v>
      </c>
    </row>
    <row r="33" spans="1:169" outlineLevel="1" x14ac:dyDescent="0.4">
      <c r="A33" s="150" t="s">
        <v>26</v>
      </c>
      <c r="B33" s="150" t="s">
        <v>16</v>
      </c>
      <c r="C33" t="s">
        <v>673</v>
      </c>
      <c r="D33" cm="1">
        <f t="array" ref="D33:G33">_xlfn.SEQUENCE(1, OutturnThrough-MTP_BaseYear+2, MTP_BaseYear-1)</f>
        <v>2022</v>
      </c>
      <c r="E33">
        <v>2023</v>
      </c>
      <c r="F33">
        <v>2024</v>
      </c>
      <c r="G33">
        <v>2025</v>
      </c>
    </row>
    <row r="34" spans="1:169" outlineLevel="1" x14ac:dyDescent="0.4">
      <c r="A34" t="s">
        <v>176</v>
      </c>
      <c r="B34" t="s">
        <v>90</v>
      </c>
      <c r="C34" t="s">
        <v>669</v>
      </c>
      <c r="D34" s="9">
        <v>36088.699999999997</v>
      </c>
      <c r="E34" s="9">
        <v>39564.199999999997</v>
      </c>
      <c r="F34">
        <v>40652.300000000003</v>
      </c>
      <c r="G34">
        <v>43026.2</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177</v>
      </c>
      <c r="B35" t="s">
        <v>90</v>
      </c>
      <c r="C35" t="s">
        <v>669</v>
      </c>
      <c r="D35" s="9">
        <v>24621.4</v>
      </c>
      <c r="E35" s="9">
        <v>24389.599999999999</v>
      </c>
      <c r="F35">
        <v>24380.5</v>
      </c>
      <c r="G35">
        <v>24901.8</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137</v>
      </c>
      <c r="B36" t="s">
        <v>136</v>
      </c>
      <c r="C36" t="s">
        <v>669</v>
      </c>
      <c r="D36" s="9">
        <v>28950.2</v>
      </c>
      <c r="E36" s="9">
        <v>31244.7</v>
      </c>
      <c r="F36">
        <v>32570.1</v>
      </c>
      <c r="G36">
        <v>34645.800000000003</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140</v>
      </c>
      <c r="B37" t="s">
        <v>139</v>
      </c>
      <c r="C37" t="s">
        <v>669</v>
      </c>
      <c r="D37" s="9">
        <v>27969.3</v>
      </c>
      <c r="E37" s="9">
        <v>26108.3</v>
      </c>
      <c r="F37">
        <v>26368.5</v>
      </c>
      <c r="G37">
        <v>26922.799999999999</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142</v>
      </c>
      <c r="B38" t="s">
        <v>141</v>
      </c>
      <c r="C38" t="s">
        <v>669</v>
      </c>
      <c r="D38" s="9">
        <v>29734</v>
      </c>
      <c r="E38" s="9">
        <v>27557.8</v>
      </c>
      <c r="F38">
        <v>27011.9</v>
      </c>
      <c r="G38">
        <v>28892.7</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332</v>
      </c>
      <c r="B39" t="s">
        <v>333</v>
      </c>
      <c r="C39" t="s">
        <v>669</v>
      </c>
      <c r="D39" s="9">
        <v>-1764.7</v>
      </c>
      <c r="E39" s="9">
        <v>-1449.5</v>
      </c>
      <c r="F39">
        <v>-643.4</v>
      </c>
      <c r="G39">
        <v>-1969.9</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174</v>
      </c>
      <c r="B40" t="s">
        <v>175</v>
      </c>
      <c r="C40" t="s">
        <v>669</v>
      </c>
      <c r="D40" s="9">
        <v>25073.8</v>
      </c>
      <c r="E40" s="9">
        <v>27066.9</v>
      </c>
      <c r="F40">
        <v>28282.799999999999</v>
      </c>
      <c r="G40">
        <v>29844.1</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150</v>
      </c>
      <c r="B41" t="s">
        <v>149</v>
      </c>
      <c r="C41" t="s">
        <v>669</v>
      </c>
      <c r="D41" s="9">
        <v>8404.4</v>
      </c>
      <c r="E41" s="9">
        <v>9504.4</v>
      </c>
      <c r="F41">
        <v>9043</v>
      </c>
      <c r="G41">
        <v>10097.700000000001</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152</v>
      </c>
      <c r="B42" t="s">
        <v>151</v>
      </c>
      <c r="C42" t="s">
        <v>669</v>
      </c>
      <c r="D42" s="9">
        <v>460.5</v>
      </c>
      <c r="E42" s="9">
        <v>236.5</v>
      </c>
      <c r="F42">
        <v>-345.5</v>
      </c>
      <c r="G42">
        <v>224.5</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154</v>
      </c>
      <c r="B43" t="s">
        <v>153</v>
      </c>
      <c r="C43" t="s">
        <v>669</v>
      </c>
      <c r="D43" s="9">
        <v>38.299999999999997</v>
      </c>
      <c r="E43" s="9">
        <v>28.1</v>
      </c>
      <c r="F43">
        <v>28.1</v>
      </c>
      <c r="G43">
        <v>28.1</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616</v>
      </c>
      <c r="B44" t="s">
        <v>155</v>
      </c>
      <c r="C44" t="s">
        <v>669</v>
      </c>
      <c r="D44" s="9">
        <v>498.8</v>
      </c>
      <c r="E44" s="9">
        <v>264.60000000000002</v>
      </c>
      <c r="F44">
        <v>-317.39999999999998</v>
      </c>
      <c r="G44">
        <v>252.6</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166</v>
      </c>
      <c r="B45" t="s">
        <v>171</v>
      </c>
      <c r="C45" t="s">
        <v>669</v>
      </c>
      <c r="D45" s="9">
        <v>21475</v>
      </c>
      <c r="E45" s="9">
        <v>22935.3</v>
      </c>
      <c r="F45">
        <v>23745.9</v>
      </c>
      <c r="G45">
        <v>24791.1</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167</v>
      </c>
      <c r="B46" t="s">
        <v>172</v>
      </c>
      <c r="C46" t="s">
        <v>669</v>
      </c>
      <c r="D46" s="9">
        <v>21039.7</v>
      </c>
      <c r="E46" s="9">
        <v>22528.2</v>
      </c>
      <c r="F46">
        <v>23346</v>
      </c>
      <c r="G46">
        <v>24376.7</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168</v>
      </c>
      <c r="B47" t="s">
        <v>173</v>
      </c>
      <c r="C47" t="s">
        <v>669</v>
      </c>
      <c r="D47" s="9">
        <v>435.2</v>
      </c>
      <c r="E47" s="9">
        <v>407</v>
      </c>
      <c r="F47">
        <v>399.9</v>
      </c>
      <c r="G47">
        <v>414.4</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92</v>
      </c>
      <c r="B48" t="s">
        <v>91</v>
      </c>
      <c r="C48" t="s">
        <v>674</v>
      </c>
      <c r="D48" s="9">
        <v>-1753.6</v>
      </c>
      <c r="E48" s="9">
        <v>-926.7</v>
      </c>
      <c r="F48">
        <v>-726.5</v>
      </c>
      <c r="G48">
        <v>-1093.4000000000001</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94</v>
      </c>
      <c r="B49" t="s">
        <v>93</v>
      </c>
      <c r="C49" t="s">
        <v>674</v>
      </c>
      <c r="D49" s="9">
        <v>4205.8999999999996</v>
      </c>
      <c r="E49" s="9">
        <v>4793.3999999999996</v>
      </c>
      <c r="F49">
        <v>5333.3</v>
      </c>
      <c r="G49">
        <v>5635.6</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351</v>
      </c>
      <c r="B50" t="s">
        <v>352</v>
      </c>
      <c r="C50" t="s">
        <v>674</v>
      </c>
      <c r="D50" s="9">
        <v>5362.5</v>
      </c>
      <c r="E50" s="9">
        <v>5576.8</v>
      </c>
      <c r="F50">
        <v>5850.4</v>
      </c>
      <c r="G50">
        <v>6106.4</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349</v>
      </c>
      <c r="B51" t="s">
        <v>350</v>
      </c>
      <c r="C51" t="s">
        <v>674</v>
      </c>
      <c r="D51" s="9">
        <v>663</v>
      </c>
      <c r="E51" s="9">
        <v>637.29999999999995</v>
      </c>
      <c r="F51">
        <v>359.2</v>
      </c>
      <c r="G51">
        <v>313.10000000000002</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96</v>
      </c>
      <c r="B52" t="s">
        <v>95</v>
      </c>
      <c r="C52" t="s">
        <v>674</v>
      </c>
      <c r="D52" s="9">
        <v>184.8</v>
      </c>
      <c r="E52" s="9">
        <v>288.3</v>
      </c>
      <c r="F52">
        <v>444.8</v>
      </c>
      <c r="G52">
        <v>477.4</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98</v>
      </c>
      <c r="B53" t="s">
        <v>97</v>
      </c>
      <c r="C53" t="s">
        <v>674</v>
      </c>
      <c r="D53" s="9">
        <v>211.4</v>
      </c>
      <c r="E53" s="9">
        <v>509.8</v>
      </c>
      <c r="F53">
        <v>616.70000000000005</v>
      </c>
      <c r="G53">
        <v>504.9</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100</v>
      </c>
      <c r="B54" t="s">
        <v>99</v>
      </c>
      <c r="C54" t="s">
        <v>674</v>
      </c>
      <c r="D54" s="9">
        <v>1.6</v>
      </c>
      <c r="E54" s="9">
        <v>3.8</v>
      </c>
      <c r="F54">
        <v>1.5</v>
      </c>
      <c r="G54">
        <v>0</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101</v>
      </c>
      <c r="B55" t="s">
        <v>163</v>
      </c>
      <c r="C55" t="s">
        <v>674</v>
      </c>
      <c r="D55" s="9">
        <v>2752.9</v>
      </c>
      <c r="E55" s="9">
        <v>3138.2</v>
      </c>
      <c r="F55">
        <v>3733.2</v>
      </c>
      <c r="G55">
        <v>3656.1</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103</v>
      </c>
      <c r="B56" t="s">
        <v>102</v>
      </c>
      <c r="C56" t="s">
        <v>674</v>
      </c>
      <c r="D56" s="9">
        <v>937</v>
      </c>
      <c r="E56" s="9">
        <v>1041.5</v>
      </c>
      <c r="F56">
        <v>974.1</v>
      </c>
      <c r="G56">
        <v>1134.4000000000001</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105</v>
      </c>
      <c r="B57" t="s">
        <v>104</v>
      </c>
      <c r="C57" t="s">
        <v>674</v>
      </c>
      <c r="D57" s="9">
        <v>524.6</v>
      </c>
      <c r="E57" s="9">
        <v>1039.9000000000001</v>
      </c>
      <c r="F57">
        <v>977.8</v>
      </c>
      <c r="G57">
        <v>1024.5999999999999</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620</v>
      </c>
      <c r="B58" t="s">
        <v>622</v>
      </c>
      <c r="C58" t="s">
        <v>674</v>
      </c>
      <c r="D58" s="9">
        <v>219.8</v>
      </c>
      <c r="E58" s="9">
        <v>394.5</v>
      </c>
      <c r="F58">
        <v>445</v>
      </c>
      <c r="G58">
        <v>444.6</v>
      </c>
    </row>
    <row r="59" spans="1:169" outlineLevel="1" x14ac:dyDescent="0.4">
      <c r="A59" t="s">
        <v>107</v>
      </c>
      <c r="B59" t="s">
        <v>106</v>
      </c>
      <c r="C59" t="s">
        <v>674</v>
      </c>
      <c r="D59" s="9"/>
      <c r="E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160</v>
      </c>
      <c r="B60" t="s">
        <v>108</v>
      </c>
      <c r="C60" t="s">
        <v>674</v>
      </c>
      <c r="D60" s="9">
        <v>267.7</v>
      </c>
      <c r="E60" s="9">
        <v>87.9</v>
      </c>
      <c r="F60">
        <v>128.30000000000001</v>
      </c>
      <c r="G60">
        <v>47.1</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161</v>
      </c>
      <c r="B61" t="s">
        <v>162</v>
      </c>
      <c r="C61" t="s">
        <v>674</v>
      </c>
      <c r="D61" s="9">
        <v>263.7</v>
      </c>
      <c r="E61" s="9">
        <v>363.9</v>
      </c>
      <c r="F61">
        <v>361.7</v>
      </c>
      <c r="G61">
        <v>847.4</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621</v>
      </c>
      <c r="B62" t="s">
        <v>623</v>
      </c>
      <c r="C62" t="s">
        <v>674</v>
      </c>
      <c r="D62" s="9">
        <v>208.7</v>
      </c>
      <c r="E62" s="9">
        <v>339.8</v>
      </c>
      <c r="F62">
        <v>310.5</v>
      </c>
      <c r="G62">
        <v>806.4</v>
      </c>
    </row>
    <row r="63" spans="1:169" outlineLevel="1" x14ac:dyDescent="0.4">
      <c r="A63" t="s">
        <v>668</v>
      </c>
      <c r="B63" t="s">
        <v>109</v>
      </c>
      <c r="C63" t="s">
        <v>674</v>
      </c>
      <c r="D63" s="9">
        <v>3243.8</v>
      </c>
      <c r="E63" s="9">
        <v>3709.3</v>
      </c>
      <c r="F63">
        <v>4073.8</v>
      </c>
      <c r="G63">
        <v>4325.8999999999996</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111</v>
      </c>
      <c r="B64" t="s">
        <v>110</v>
      </c>
      <c r="C64" t="s">
        <v>674</v>
      </c>
      <c r="D64" s="9">
        <v>6.3</v>
      </c>
      <c r="E64" s="9">
        <v>5.8</v>
      </c>
      <c r="F64">
        <v>5.7</v>
      </c>
      <c r="G64">
        <v>5.9</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113</v>
      </c>
      <c r="B65" t="s">
        <v>112</v>
      </c>
      <c r="C65" t="s">
        <v>674</v>
      </c>
      <c r="D65" s="9">
        <v>438.9</v>
      </c>
      <c r="E65" s="9">
        <v>479</v>
      </c>
      <c r="F65">
        <v>591.20000000000005</v>
      </c>
      <c r="G65">
        <v>474.7</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115</v>
      </c>
      <c r="B66" t="s">
        <v>114</v>
      </c>
      <c r="C66" t="s">
        <v>674</v>
      </c>
      <c r="D66" s="9">
        <v>219.5</v>
      </c>
      <c r="E66" s="9">
        <v>258.5</v>
      </c>
      <c r="F66">
        <v>231.8</v>
      </c>
      <c r="G66">
        <v>225.4</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156</v>
      </c>
      <c r="B67" t="s">
        <v>157</v>
      </c>
      <c r="C67" t="s">
        <v>674</v>
      </c>
      <c r="D67" s="9">
        <v>0.6</v>
      </c>
      <c r="E67" s="9">
        <v>0</v>
      </c>
      <c r="F67">
        <v>0</v>
      </c>
      <c r="G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117</v>
      </c>
      <c r="B68" t="s">
        <v>116</v>
      </c>
      <c r="C68" t="s">
        <v>674</v>
      </c>
      <c r="D68" s="9">
        <v>183.2</v>
      </c>
      <c r="E68" s="9">
        <v>286.89999999999998</v>
      </c>
      <c r="F68">
        <v>443.3</v>
      </c>
      <c r="G68">
        <v>475.8</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119</v>
      </c>
      <c r="B69" t="s">
        <v>118</v>
      </c>
      <c r="C69" t="s">
        <v>674</v>
      </c>
      <c r="D69" s="9">
        <v>35</v>
      </c>
      <c r="E69" s="9">
        <v>136.69999999999999</v>
      </c>
      <c r="F69">
        <v>199.8</v>
      </c>
      <c r="G69">
        <v>131.30000000000001</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121</v>
      </c>
      <c r="B70" t="s">
        <v>120</v>
      </c>
      <c r="C70" t="s">
        <v>674</v>
      </c>
      <c r="D70" s="9">
        <v>3777.6</v>
      </c>
      <c r="E70" s="9">
        <v>4261.8999999999996</v>
      </c>
      <c r="F70">
        <v>4668.8999999999996</v>
      </c>
      <c r="G70">
        <v>5111.7</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123</v>
      </c>
      <c r="B71" t="s">
        <v>122</v>
      </c>
      <c r="C71" t="s">
        <v>674</v>
      </c>
      <c r="D71" s="9">
        <v>4578</v>
      </c>
      <c r="E71" s="9">
        <v>4718.8</v>
      </c>
      <c r="F71">
        <v>5101.3999999999996</v>
      </c>
      <c r="G71">
        <v>5421.2</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125</v>
      </c>
      <c r="B72" t="s">
        <v>124</v>
      </c>
      <c r="C72" t="s">
        <v>674</v>
      </c>
      <c r="D72" s="9">
        <v>670.4</v>
      </c>
      <c r="E72" s="9">
        <v>816.2</v>
      </c>
      <c r="F72">
        <v>870.1</v>
      </c>
      <c r="G72">
        <v>946.9</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127</v>
      </c>
      <c r="B73" t="s">
        <v>126</v>
      </c>
      <c r="C73" t="s">
        <v>674</v>
      </c>
      <c r="D73" s="9">
        <v>17.3</v>
      </c>
      <c r="E73" s="9">
        <v>14.4</v>
      </c>
      <c r="F73">
        <v>15.3</v>
      </c>
      <c r="G73">
        <v>14.6</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159</v>
      </c>
      <c r="B74" t="s">
        <v>158</v>
      </c>
      <c r="C74" t="s">
        <v>674</v>
      </c>
      <c r="D74" s="9">
        <v>246.4</v>
      </c>
      <c r="E74" s="9">
        <v>349.5</v>
      </c>
      <c r="F74">
        <v>341.8</v>
      </c>
      <c r="G74">
        <v>832.8</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129</v>
      </c>
      <c r="B75" t="s">
        <v>128</v>
      </c>
      <c r="C75" t="s">
        <v>674</v>
      </c>
      <c r="D75" s="9">
        <v>246.4</v>
      </c>
      <c r="E75" s="9">
        <v>349.5</v>
      </c>
      <c r="F75">
        <v>346.4</v>
      </c>
      <c r="G75">
        <v>832.8</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131</v>
      </c>
      <c r="B76" t="s">
        <v>130</v>
      </c>
      <c r="C76" t="s">
        <v>674</v>
      </c>
      <c r="D76" s="9">
        <v>114.9</v>
      </c>
      <c r="E76" s="9">
        <v>5.2</v>
      </c>
      <c r="F76">
        <v>22.3</v>
      </c>
      <c r="G76">
        <v>10.1</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133</v>
      </c>
      <c r="B77" t="s">
        <v>132</v>
      </c>
      <c r="C77" t="s">
        <v>674</v>
      </c>
      <c r="D77" s="9">
        <v>0</v>
      </c>
      <c r="E77" s="9">
        <v>0</v>
      </c>
      <c r="F77">
        <v>4.5999999999999996</v>
      </c>
      <c r="G77">
        <v>0</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135</v>
      </c>
      <c r="B78" t="s">
        <v>134</v>
      </c>
      <c r="C78" t="s">
        <v>674</v>
      </c>
      <c r="D78" s="9">
        <v>-20</v>
      </c>
      <c r="E78" s="9">
        <v>17.2</v>
      </c>
      <c r="F78">
        <v>14.6</v>
      </c>
      <c r="G78">
        <v>22.3</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393</v>
      </c>
      <c r="B79" t="s">
        <v>615</v>
      </c>
      <c r="C79" t="s">
        <v>674</v>
      </c>
      <c r="D79" s="9">
        <v>2426.8000000000002</v>
      </c>
      <c r="E79" s="9">
        <v>2507.3000000000002</v>
      </c>
      <c r="F79">
        <v>2481.4</v>
      </c>
      <c r="G79">
        <v>3142.2</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137</v>
      </c>
      <c r="B80" t="s">
        <v>138</v>
      </c>
      <c r="C80" t="s">
        <v>674</v>
      </c>
      <c r="D80" s="9">
        <v>7475.3</v>
      </c>
      <c r="E80" s="9">
        <v>8309.4</v>
      </c>
      <c r="F80">
        <v>8824.2000000000007</v>
      </c>
      <c r="G80">
        <v>9854.7000000000007</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676</v>
      </c>
      <c r="B81" t="s">
        <v>169</v>
      </c>
      <c r="C81" t="s">
        <v>674</v>
      </c>
      <c r="D81" s="9">
        <v>3598.9</v>
      </c>
      <c r="E81" s="9">
        <v>4131.7</v>
      </c>
      <c r="F81">
        <v>4536.8999999999996</v>
      </c>
      <c r="G81">
        <v>5053</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677</v>
      </c>
      <c r="B82" t="s">
        <v>170</v>
      </c>
      <c r="C82" t="s">
        <v>674</v>
      </c>
      <c r="D82" s="9">
        <v>3876.4</v>
      </c>
      <c r="E82" s="9">
        <v>4177.7</v>
      </c>
      <c r="F82">
        <v>4287.2</v>
      </c>
      <c r="G82">
        <v>4801.7</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678</v>
      </c>
      <c r="B83" t="s">
        <v>149</v>
      </c>
      <c r="C83" t="s">
        <v>674</v>
      </c>
      <c r="D83" s="9">
        <v>1717.6</v>
      </c>
      <c r="E83" s="9">
        <v>2231.3000000000002</v>
      </c>
      <c r="F83">
        <v>2560.6999999999998</v>
      </c>
      <c r="G83">
        <v>2711.9</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616</v>
      </c>
      <c r="B84" t="s">
        <v>617</v>
      </c>
      <c r="C84" t="s">
        <v>674</v>
      </c>
      <c r="D84" s="9">
        <v>325.39999999999998</v>
      </c>
      <c r="E84" s="9">
        <v>33.799999999999997</v>
      </c>
      <c r="F84">
        <v>138.4</v>
      </c>
      <c r="G84">
        <v>-25.6</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144</v>
      </c>
      <c r="B85" t="s">
        <v>143</v>
      </c>
      <c r="C85" t="s">
        <v>674</v>
      </c>
      <c r="D85" s="9">
        <v>910.8</v>
      </c>
      <c r="E85" s="9">
        <v>970.2</v>
      </c>
      <c r="F85">
        <v>1041</v>
      </c>
      <c r="G85">
        <v>1024.8</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146</v>
      </c>
      <c r="B86" t="s">
        <v>145</v>
      </c>
      <c r="C86" t="s">
        <v>674</v>
      </c>
      <c r="D86" s="9">
        <v>212.6</v>
      </c>
      <c r="E86" s="9">
        <v>220.6</v>
      </c>
      <c r="F86">
        <v>237</v>
      </c>
      <c r="G86">
        <v>237</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148</v>
      </c>
      <c r="B87" t="s">
        <v>147</v>
      </c>
      <c r="C87" t="s">
        <v>674</v>
      </c>
      <c r="D87" s="146">
        <v>194.3</v>
      </c>
      <c r="E87" s="146">
        <v>174.4</v>
      </c>
      <c r="F87">
        <v>200.4</v>
      </c>
      <c r="G87">
        <v>226.3</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164</v>
      </c>
      <c r="B88" t="s">
        <v>165</v>
      </c>
      <c r="C88" t="s">
        <v>675</v>
      </c>
      <c r="D88" s="9">
        <v>16038.9</v>
      </c>
      <c r="E88" s="9">
        <v>17578.5</v>
      </c>
      <c r="F88">
        <v>18801.5</v>
      </c>
      <c r="G88">
        <v>20173.900000000001</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680</v>
      </c>
      <c r="B89" t="s">
        <v>295</v>
      </c>
      <c r="C89" t="s">
        <v>672</v>
      </c>
      <c r="D89" s="9">
        <v>31849.74</v>
      </c>
      <c r="E89" s="9">
        <v>31549.83</v>
      </c>
      <c r="F89" s="9">
        <v>31538.14</v>
      </c>
      <c r="G89" s="9">
        <v>32212.39</v>
      </c>
      <c r="H89" s="9"/>
      <c r="I89" s="9"/>
      <c r="J89" s="9"/>
      <c r="K89" s="9"/>
      <c r="L89" s="9"/>
      <c r="M89" s="9"/>
      <c r="N89" s="9"/>
      <c r="O89" s="9"/>
      <c r="P89" s="9"/>
      <c r="Q89" s="9"/>
    </row>
    <row r="90" spans="1:169" outlineLevel="1" x14ac:dyDescent="0.4">
      <c r="A90" t="s">
        <v>681</v>
      </c>
      <c r="B90" t="s">
        <v>294</v>
      </c>
      <c r="C90" t="s">
        <v>672</v>
      </c>
      <c r="D90" s="9">
        <v>31431.899999999998</v>
      </c>
      <c r="E90" s="9">
        <v>31761.75</v>
      </c>
      <c r="F90" s="9">
        <v>31942.46</v>
      </c>
      <c r="G90" s="9">
        <v>32231.430000000004</v>
      </c>
      <c r="H90" s="9"/>
      <c r="I90" s="9"/>
      <c r="J90" s="9"/>
      <c r="K90" s="9"/>
      <c r="L90" s="9"/>
      <c r="M90" s="9"/>
      <c r="N90" s="9"/>
      <c r="O90" s="9"/>
      <c r="P90" s="9"/>
      <c r="Q90" s="9"/>
      <c r="R90" s="9"/>
      <c r="S90" s="9"/>
      <c r="T90" s="9"/>
      <c r="U90" s="9"/>
      <c r="V90" s="9"/>
      <c r="W90" s="9"/>
      <c r="X90" s="9"/>
      <c r="Y90" s="9"/>
      <c r="Z90" s="9"/>
    </row>
    <row r="91" spans="1:169" outlineLevel="1" x14ac:dyDescent="0.4">
      <c r="A91" t="s">
        <v>682</v>
      </c>
      <c r="B91" t="s">
        <v>604</v>
      </c>
      <c r="C91" t="s">
        <v>670</v>
      </c>
      <c r="D91" s="9">
        <v>145.81</v>
      </c>
      <c r="E91" s="9">
        <v>278.77999999999997</v>
      </c>
      <c r="F91" s="9">
        <v>380.01</v>
      </c>
      <c r="G91" s="9">
        <v>469.78999999999996</v>
      </c>
      <c r="H91" s="9"/>
      <c r="I91" s="9"/>
      <c r="J91" s="9"/>
      <c r="K91" s="9"/>
      <c r="L91" s="9"/>
      <c r="M91" s="9"/>
      <c r="N91" s="9"/>
      <c r="O91" s="9"/>
      <c r="P91" s="9"/>
      <c r="Q91" s="9"/>
      <c r="R91" s="9"/>
      <c r="S91" s="9"/>
      <c r="T91" s="9"/>
      <c r="U91" s="9"/>
      <c r="V91" s="9"/>
      <c r="W91" s="9"/>
      <c r="X91" s="9"/>
      <c r="Y91" s="9"/>
      <c r="Z91" s="9"/>
    </row>
    <row r="92" spans="1:169" outlineLevel="1" x14ac:dyDescent="0.4">
      <c r="A92" t="s">
        <v>683</v>
      </c>
      <c r="B92" t="s">
        <v>605</v>
      </c>
      <c r="C92" t="s">
        <v>670</v>
      </c>
      <c r="D92" s="9">
        <v>864.28000000000009</v>
      </c>
      <c r="E92" s="9">
        <v>1024.9299999999998</v>
      </c>
      <c r="F92" s="9">
        <v>1103.71</v>
      </c>
      <c r="G92" s="9">
        <v>1361.14</v>
      </c>
      <c r="H92" s="9"/>
      <c r="I92" s="9"/>
      <c r="J92" s="9"/>
      <c r="K92" s="9"/>
      <c r="L92" s="9"/>
      <c r="M92" s="9"/>
      <c r="N92" s="9"/>
      <c r="O92" s="9"/>
      <c r="P92" s="9"/>
      <c r="Q92" s="9"/>
      <c r="R92" s="9"/>
      <c r="S92" s="9"/>
      <c r="T92" s="9"/>
      <c r="U92" s="9"/>
      <c r="V92" s="9"/>
      <c r="W92" s="9"/>
      <c r="X92" s="9"/>
      <c r="Y92" s="9"/>
      <c r="Z92" s="9"/>
    </row>
    <row r="93" spans="1:169" outlineLevel="1" x14ac:dyDescent="0.4">
      <c r="A93" t="s">
        <v>684</v>
      </c>
      <c r="B93" t="s">
        <v>606</v>
      </c>
      <c r="C93" t="s">
        <v>670</v>
      </c>
      <c r="D93" s="9"/>
      <c r="E93" s="9">
        <v>158.25</v>
      </c>
      <c r="F93" s="9">
        <v>137.65</v>
      </c>
      <c r="G93" s="9">
        <v>199.2</v>
      </c>
      <c r="H93" s="9"/>
      <c r="I93" s="9"/>
      <c r="J93" s="9"/>
      <c r="K93" s="9"/>
      <c r="L93" s="9"/>
      <c r="M93" s="9"/>
      <c r="N93" s="9"/>
      <c r="O93" s="9"/>
      <c r="P93" s="9"/>
      <c r="Q93" s="9"/>
      <c r="R93" s="9"/>
      <c r="S93" s="9"/>
      <c r="T93" s="9"/>
      <c r="U93" s="9"/>
      <c r="V93" s="9"/>
      <c r="W93" s="9"/>
      <c r="X93" s="9"/>
      <c r="Y93" s="9"/>
      <c r="Z93" s="9"/>
    </row>
    <row r="94" spans="1:169" outlineLevel="1" x14ac:dyDescent="0.4">
      <c r="A94" t="s">
        <v>685</v>
      </c>
      <c r="B94" t="s">
        <v>639</v>
      </c>
      <c r="C94" t="s">
        <v>670</v>
      </c>
      <c r="D94" s="9"/>
      <c r="E94" s="9"/>
      <c r="F94" s="9">
        <v>273.81</v>
      </c>
      <c r="G94" s="9">
        <v>-19.36</v>
      </c>
      <c r="H94" s="9"/>
      <c r="I94" s="9"/>
      <c r="J94" s="9"/>
      <c r="K94" s="9"/>
      <c r="L94" s="9"/>
      <c r="M94" s="9"/>
      <c r="N94" s="9"/>
      <c r="O94" s="9"/>
      <c r="P94" s="9"/>
      <c r="Q94" s="9"/>
      <c r="R94" s="9"/>
      <c r="S94" s="9"/>
      <c r="T94" s="9"/>
      <c r="U94" s="9"/>
      <c r="V94" s="9"/>
      <c r="W94" s="9"/>
      <c r="X94" s="9"/>
      <c r="Y94" s="9"/>
      <c r="Z94" s="9"/>
    </row>
    <row r="95" spans="1:169" outlineLevel="1" x14ac:dyDescent="0.4">
      <c r="A95" t="s">
        <v>686</v>
      </c>
      <c r="B95" t="s">
        <v>608</v>
      </c>
      <c r="C95" t="s">
        <v>670</v>
      </c>
      <c r="D95" s="9"/>
      <c r="E95" s="9">
        <v>734.29</v>
      </c>
      <c r="F95" s="9">
        <v>755.56999999999994</v>
      </c>
      <c r="G95" s="9">
        <v>1251.02</v>
      </c>
      <c r="H95" s="9"/>
      <c r="I95" s="9"/>
      <c r="J95" s="9"/>
      <c r="K95" s="9"/>
      <c r="L95" s="9"/>
      <c r="M95" s="9"/>
      <c r="N95" s="9"/>
      <c r="O95" s="9"/>
      <c r="P95" s="9"/>
      <c r="Q95" s="9"/>
      <c r="R95" s="9"/>
      <c r="S95" s="9"/>
      <c r="T95" s="9"/>
      <c r="U95" s="9"/>
      <c r="V95" s="9"/>
      <c r="W95" s="9"/>
      <c r="X95" s="9"/>
      <c r="Y95" s="9"/>
      <c r="Z95" s="9"/>
    </row>
    <row r="96" spans="1:169" outlineLevel="1" x14ac:dyDescent="0.4">
      <c r="A96" t="s">
        <v>687</v>
      </c>
      <c r="B96" t="s">
        <v>610</v>
      </c>
      <c r="C96" t="s">
        <v>670</v>
      </c>
      <c r="D96" s="9"/>
      <c r="E96" s="9">
        <v>-2.3600000000000003</v>
      </c>
      <c r="F96" s="9">
        <v>3.14</v>
      </c>
      <c r="G96" s="9">
        <v>6.7</v>
      </c>
      <c r="H96" s="9"/>
      <c r="I96" s="9"/>
      <c r="J96" s="9"/>
      <c r="K96" s="9"/>
      <c r="L96" s="9"/>
      <c r="M96" s="9"/>
      <c r="N96" s="9"/>
      <c r="O96" s="9"/>
      <c r="P96" s="9"/>
      <c r="Q96" s="9"/>
      <c r="R96" s="9"/>
      <c r="S96" s="9"/>
      <c r="T96" s="9"/>
      <c r="U96" s="9"/>
      <c r="V96" s="9"/>
      <c r="W96" s="9"/>
      <c r="X96" s="9"/>
      <c r="Y96" s="9"/>
      <c r="Z96" s="9"/>
    </row>
    <row r="97" spans="1:26" outlineLevel="1" x14ac:dyDescent="0.4">
      <c r="A97" t="s">
        <v>688</v>
      </c>
      <c r="B97" t="s">
        <v>609</v>
      </c>
      <c r="C97" t="s">
        <v>670</v>
      </c>
      <c r="D97" s="9">
        <v>0</v>
      </c>
      <c r="E97" s="9">
        <v>0</v>
      </c>
      <c r="F97" s="9">
        <v>0</v>
      </c>
      <c r="G97" s="9">
        <v>0</v>
      </c>
      <c r="H97" s="9"/>
      <c r="I97" s="9"/>
      <c r="J97" s="9"/>
      <c r="K97" s="9"/>
      <c r="L97" s="9"/>
      <c r="M97" s="9"/>
      <c r="N97" s="9"/>
      <c r="O97" s="9"/>
      <c r="P97" s="9"/>
      <c r="Q97" s="9"/>
      <c r="R97" s="9"/>
      <c r="S97" s="9"/>
      <c r="T97" s="9"/>
      <c r="U97" s="9"/>
      <c r="V97" s="9"/>
      <c r="W97" s="9"/>
      <c r="X97" s="9"/>
      <c r="Y97" s="9"/>
      <c r="Z97" s="9"/>
    </row>
    <row r="98" spans="1:26" outlineLevel="1" x14ac:dyDescent="0.4">
      <c r="A98" t="s">
        <v>679</v>
      </c>
      <c r="B98" t="s">
        <v>690</v>
      </c>
      <c r="C98" t="s">
        <v>671</v>
      </c>
      <c r="D98" s="9">
        <v>-5.3616799999999998</v>
      </c>
      <c r="E98" s="9">
        <v>-2.0901399999999999</v>
      </c>
      <c r="F98" s="9">
        <v>-1.3087</v>
      </c>
      <c r="G98" s="9">
        <v>-2.5189499999999998</v>
      </c>
      <c r="H98" s="9"/>
      <c r="I98" s="9"/>
      <c r="J98" s="9"/>
      <c r="K98" s="9"/>
      <c r="L98" s="9"/>
      <c r="M98" s="9"/>
      <c r="N98" s="9"/>
      <c r="O98" s="9"/>
      <c r="P98" s="9"/>
      <c r="Q98" s="9"/>
      <c r="R98" s="9"/>
      <c r="S98" s="9"/>
      <c r="T98" s="9"/>
      <c r="U98" s="9"/>
      <c r="V98" s="9"/>
      <c r="W98" s="9"/>
      <c r="X98" s="9"/>
      <c r="Y98" s="9"/>
      <c r="Z98" s="9"/>
    </row>
    <row r="99" spans="1:26" outlineLevel="1" x14ac:dyDescent="0.4">
      <c r="A99" t="s">
        <v>689</v>
      </c>
      <c r="B99" t="s">
        <v>691</v>
      </c>
      <c r="C99" t="s">
        <v>671</v>
      </c>
      <c r="D99" s="9">
        <v>-4.8540700000000001</v>
      </c>
      <c r="E99" s="9">
        <v>-1.3650599999999999</v>
      </c>
      <c r="F99" s="9">
        <v>-0.21811</v>
      </c>
      <c r="G99" s="9">
        <v>-1.41309</v>
      </c>
      <c r="H99" s="9"/>
      <c r="I99" s="9"/>
      <c r="J99" s="9"/>
      <c r="K99" s="9"/>
      <c r="L99" s="9"/>
      <c r="M99" s="9"/>
      <c r="N99" s="9"/>
      <c r="O99" s="9"/>
      <c r="P99" s="9"/>
      <c r="Q99" s="9"/>
      <c r="R99" s="9"/>
      <c r="S99" s="9"/>
      <c r="T99" s="9"/>
      <c r="U99" s="9"/>
      <c r="V99" s="9"/>
      <c r="W99" s="9"/>
      <c r="X99" s="9"/>
      <c r="Y99" s="9"/>
      <c r="Z99" s="9"/>
    </row>
    <row r="100" spans="1:26" x14ac:dyDescent="0.4">
      <c r="R100" s="9"/>
      <c r="S100" s="9"/>
      <c r="T100" s="9"/>
      <c r="U100" s="9"/>
      <c r="V100" s="9"/>
      <c r="W100" s="9"/>
      <c r="X100" s="9"/>
      <c r="Y100" s="9"/>
      <c r="Z100" s="9"/>
    </row>
    <row r="101" spans="1:26" ht="23.25" x14ac:dyDescent="0.7">
      <c r="A101" s="13" t="s">
        <v>618</v>
      </c>
    </row>
    <row r="102" spans="1:26" ht="15.75" outlineLevel="1" x14ac:dyDescent="0.5">
      <c r="A102" s="79" t="s">
        <v>331</v>
      </c>
      <c r="B102" s="36"/>
    </row>
    <row r="103" spans="1:26" outlineLevel="1" x14ac:dyDescent="0.4">
      <c r="A103" s="1" t="s">
        <v>212</v>
      </c>
      <c r="B103" s="1"/>
      <c r="C103" s="1" t="s">
        <v>31</v>
      </c>
      <c r="D103" s="63" cm="1">
        <f t="array" ref="D103:G103">_xlfn.SEQUENCE(1, OutturnThrough-MTP_BaseYear+2, MTP_BaseYear-1)</f>
        <v>2022</v>
      </c>
      <c r="E103" s="63">
        <v>2023</v>
      </c>
      <c r="F103" s="63">
        <v>2024</v>
      </c>
      <c r="G103" s="63">
        <v>2025</v>
      </c>
      <c r="H103" s="63"/>
      <c r="I103" s="63"/>
      <c r="J103" s="63"/>
      <c r="K103" s="63"/>
      <c r="L103" s="63"/>
      <c r="M103" s="63"/>
      <c r="N103" s="63"/>
      <c r="O103" s="63"/>
      <c r="P103" s="63"/>
      <c r="Q103" s="63"/>
    </row>
    <row r="104" spans="1:26" outlineLevel="1" x14ac:dyDescent="0.4">
      <c r="A104" s="1"/>
      <c r="B104" s="1" t="s">
        <v>255</v>
      </c>
      <c r="C104" s="1"/>
      <c r="D104" s="63" t="str" cm="1">
        <f t="array" ref="D104:G104">IF(_xlfn.ANCHORARRAY(D103) = MTP_YearT, "T", "T" &amp; IF(_xlfn.ANCHORARRAY(D103) &gt; MTP_YearT, "+", "") &amp; (_xlfn.ANCHORARRAY(D103) - MTP_YearT))</f>
        <v>T-2</v>
      </c>
      <c r="E104" s="63" t="str">
        <v>T-1</v>
      </c>
      <c r="F104" s="63" t="str">
        <v>T</v>
      </c>
      <c r="G104" s="63" t="str">
        <v>T+1</v>
      </c>
      <c r="H104" s="63"/>
      <c r="I104" s="63"/>
      <c r="J104" s="63"/>
      <c r="K104" s="63"/>
      <c r="L104" s="63"/>
      <c r="M104" s="63"/>
      <c r="N104" s="63"/>
      <c r="O104" s="63"/>
      <c r="P104" s="63"/>
      <c r="Q104" s="63"/>
      <c r="R104" s="63"/>
      <c r="S104" s="63"/>
      <c r="T104" s="63"/>
      <c r="U104" s="63"/>
      <c r="V104" s="63"/>
      <c r="W104" s="63"/>
      <c r="X104" s="63"/>
      <c r="Y104" s="63"/>
      <c r="Z104" s="63"/>
    </row>
    <row r="105" spans="1:26" outlineLevel="1" x14ac:dyDescent="0.4">
      <c r="A105" s="1"/>
      <c r="B105" s="1" t="s">
        <v>30</v>
      </c>
      <c r="C105" s="1"/>
      <c r="D105" s="1"/>
      <c r="E105" s="1"/>
      <c r="F105" s="1"/>
      <c r="G105" s="1"/>
      <c r="H105" s="1"/>
      <c r="I105" s="1"/>
      <c r="J105" s="1"/>
      <c r="K105" s="1"/>
      <c r="L105" s="1"/>
      <c r="M105" s="1"/>
      <c r="N105" s="1"/>
      <c r="O105" s="1"/>
      <c r="P105" s="1"/>
      <c r="Q105" s="1"/>
      <c r="R105" s="63"/>
      <c r="S105" s="63"/>
      <c r="T105" s="63"/>
      <c r="U105" s="63"/>
      <c r="V105" s="63"/>
      <c r="W105" s="63"/>
      <c r="X105" s="63"/>
      <c r="Y105" s="63"/>
      <c r="Z105" s="63"/>
    </row>
    <row r="106" spans="1:26" outlineLevel="1" x14ac:dyDescent="0.4">
      <c r="A106" s="1">
        <v>1</v>
      </c>
      <c r="B106" t="s">
        <v>32</v>
      </c>
      <c r="C106" t="s">
        <v>72</v>
      </c>
      <c r="D106" s="4">
        <f t="shared" ref="D106:D115" si="0">IFERROR(D160/D$34*100,"")</f>
        <v>14.859221861690781</v>
      </c>
      <c r="E106" s="4">
        <f t="shared" ref="E106:K106" si="1">IFERROR(E160/E$34*100,"")</f>
        <v>14.09557124875519</v>
      </c>
      <c r="F106" s="4">
        <f t="shared" si="1"/>
        <v>14.39131365261006</v>
      </c>
      <c r="G106" s="4">
        <f t="shared" si="1"/>
        <v>14.192282841617434</v>
      </c>
      <c r="H106" s="4" t="str">
        <f t="shared" si="1"/>
        <v/>
      </c>
      <c r="I106" s="4" t="str">
        <f t="shared" si="1"/>
        <v/>
      </c>
      <c r="J106" s="4" t="str">
        <f t="shared" si="1"/>
        <v/>
      </c>
      <c r="K106" s="4" t="str">
        <f t="shared" si="1"/>
        <v/>
      </c>
      <c r="L106" s="4" t="str">
        <f t="shared" ref="L106:Q106" si="2">IFERROR(L160/L$34*100,"")</f>
        <v/>
      </c>
      <c r="M106" s="4" t="str">
        <f t="shared" si="2"/>
        <v/>
      </c>
      <c r="N106" s="4" t="str">
        <f t="shared" si="2"/>
        <v/>
      </c>
      <c r="O106" s="4" t="str">
        <f t="shared" si="2"/>
        <v/>
      </c>
      <c r="P106" s="4" t="str">
        <f t="shared" si="2"/>
        <v/>
      </c>
      <c r="Q106" s="4" t="str">
        <f t="shared" si="2"/>
        <v/>
      </c>
      <c r="R106" s="1"/>
      <c r="S106" s="1"/>
      <c r="T106" s="1"/>
      <c r="U106" s="1"/>
      <c r="V106" s="1"/>
      <c r="W106" s="1"/>
      <c r="X106" s="1"/>
      <c r="Y106" s="1"/>
      <c r="Z106" s="1"/>
    </row>
    <row r="107" spans="1:26" outlineLevel="1" x14ac:dyDescent="0.4">
      <c r="A107" s="1">
        <v>2</v>
      </c>
      <c r="B107" t="s">
        <v>33</v>
      </c>
      <c r="C107" t="s">
        <v>73</v>
      </c>
      <c r="D107" s="4">
        <f t="shared" si="0"/>
        <v>7.6281495315708252</v>
      </c>
      <c r="E107" s="4">
        <f t="shared" ref="E107:K107" si="3">IFERROR(E161/E$34*100,"")</f>
        <v>7.9319182493264115</v>
      </c>
      <c r="F107" s="4">
        <f t="shared" si="3"/>
        <v>9.1832442444830917</v>
      </c>
      <c r="G107" s="4">
        <f t="shared" si="3"/>
        <v>8.4973806657339015</v>
      </c>
      <c r="H107" s="4" t="str">
        <f t="shared" si="3"/>
        <v/>
      </c>
      <c r="I107" s="4" t="str">
        <f t="shared" si="3"/>
        <v/>
      </c>
      <c r="J107" s="4" t="str">
        <f t="shared" si="3"/>
        <v/>
      </c>
      <c r="K107" s="4" t="str">
        <f t="shared" si="3"/>
        <v/>
      </c>
      <c r="L107" s="4" t="str">
        <f t="shared" ref="L107:Q107" si="4">IFERROR(L161/L$34*100,"")</f>
        <v/>
      </c>
      <c r="M107" s="4" t="str">
        <f t="shared" si="4"/>
        <v/>
      </c>
      <c r="N107" s="4" t="str">
        <f t="shared" si="4"/>
        <v/>
      </c>
      <c r="O107" s="4" t="str">
        <f t="shared" si="4"/>
        <v/>
      </c>
      <c r="P107" s="4" t="str">
        <f t="shared" si="4"/>
        <v/>
      </c>
      <c r="Q107" s="4" t="str">
        <f t="shared" si="4"/>
        <v/>
      </c>
      <c r="R107" s="4" t="str">
        <f t="shared" ref="R107:Z107" si="5">IFERROR(R161/R$35*100,"")</f>
        <v/>
      </c>
      <c r="S107" s="4" t="str">
        <f t="shared" si="5"/>
        <v/>
      </c>
      <c r="T107" s="4" t="str">
        <f t="shared" si="5"/>
        <v/>
      </c>
      <c r="U107" s="4" t="str">
        <f t="shared" si="5"/>
        <v/>
      </c>
      <c r="V107" s="4" t="str">
        <f t="shared" si="5"/>
        <v/>
      </c>
      <c r="W107" s="4" t="str">
        <f t="shared" si="5"/>
        <v/>
      </c>
      <c r="X107" s="4" t="str">
        <f t="shared" si="5"/>
        <v/>
      </c>
      <c r="Y107" s="4" t="str">
        <f t="shared" si="5"/>
        <v/>
      </c>
      <c r="Z107" s="4" t="str">
        <f t="shared" si="5"/>
        <v/>
      </c>
    </row>
    <row r="108" spans="1:26" outlineLevel="1" x14ac:dyDescent="0.4">
      <c r="A108" s="1">
        <v>3</v>
      </c>
      <c r="B108" t="s">
        <v>34</v>
      </c>
      <c r="C108" t="s">
        <v>74</v>
      </c>
      <c r="D108" s="4">
        <f t="shared" si="0"/>
        <v>10.467542471743235</v>
      </c>
      <c r="E108" s="4">
        <f t="shared" ref="E108:K108" si="6">IFERROR(E162/E$34*100,"")</f>
        <v>10.772112162005044</v>
      </c>
      <c r="F108" s="4">
        <f t="shared" si="6"/>
        <v>11.484959030608351</v>
      </c>
      <c r="G108" s="4">
        <f t="shared" si="6"/>
        <v>11.880435641539341</v>
      </c>
      <c r="H108" s="4" t="str">
        <f t="shared" si="6"/>
        <v/>
      </c>
      <c r="I108" s="4" t="str">
        <f t="shared" si="6"/>
        <v/>
      </c>
      <c r="J108" s="4" t="str">
        <f t="shared" si="6"/>
        <v/>
      </c>
      <c r="K108" s="4" t="str">
        <f t="shared" si="6"/>
        <v/>
      </c>
      <c r="L108" s="4" t="str">
        <f t="shared" ref="L108:Q108" si="7">IFERROR(L162/L$34*100,"")</f>
        <v/>
      </c>
      <c r="M108" s="4" t="str">
        <f t="shared" si="7"/>
        <v/>
      </c>
      <c r="N108" s="4" t="str">
        <f t="shared" si="7"/>
        <v/>
      </c>
      <c r="O108" s="4" t="str">
        <f t="shared" si="7"/>
        <v/>
      </c>
      <c r="P108" s="4" t="str">
        <f t="shared" si="7"/>
        <v/>
      </c>
      <c r="Q108" s="4" t="str">
        <f t="shared" si="7"/>
        <v/>
      </c>
      <c r="R108" s="4" t="str">
        <f t="shared" ref="R108:Z108" si="8">IFERROR(R162/R$35*100,"")</f>
        <v/>
      </c>
      <c r="S108" s="4" t="str">
        <f t="shared" si="8"/>
        <v/>
      </c>
      <c r="T108" s="4" t="str">
        <f t="shared" si="8"/>
        <v/>
      </c>
      <c r="U108" s="4" t="str">
        <f t="shared" si="8"/>
        <v/>
      </c>
      <c r="V108" s="4" t="str">
        <f t="shared" si="8"/>
        <v/>
      </c>
      <c r="W108" s="4" t="str">
        <f t="shared" si="8"/>
        <v/>
      </c>
      <c r="X108" s="4" t="str">
        <f t="shared" si="8"/>
        <v/>
      </c>
      <c r="Y108" s="4" t="str">
        <f t="shared" si="8"/>
        <v/>
      </c>
      <c r="Z108" s="4" t="str">
        <f t="shared" si="8"/>
        <v/>
      </c>
    </row>
    <row r="109" spans="1:26" outlineLevel="1" x14ac:dyDescent="0.4">
      <c r="A109" s="1">
        <v>4</v>
      </c>
      <c r="B109" t="s">
        <v>36</v>
      </c>
      <c r="C109" t="s">
        <v>75</v>
      </c>
      <c r="D109" s="4">
        <f t="shared" si="0"/>
        <v>5.6923635376170383</v>
      </c>
      <c r="E109" s="4">
        <f t="shared" ref="E109:K109" si="9">IFERROR(E163/E$34*100,"")</f>
        <v>7.3675191208213491</v>
      </c>
      <c r="F109" s="4">
        <f t="shared" si="9"/>
        <v>7.5589819026229774</v>
      </c>
      <c r="G109" s="4">
        <f t="shared" si="9"/>
        <v>7.0134011369816536</v>
      </c>
      <c r="H109" s="4" t="str">
        <f t="shared" si="9"/>
        <v/>
      </c>
      <c r="I109" s="4" t="str">
        <f t="shared" si="9"/>
        <v/>
      </c>
      <c r="J109" s="4" t="str">
        <f t="shared" si="9"/>
        <v/>
      </c>
      <c r="K109" s="4" t="str">
        <f t="shared" si="9"/>
        <v/>
      </c>
      <c r="L109" s="4" t="str">
        <f t="shared" ref="L109:Q109" si="10">IFERROR(L163/L$34*100,"")</f>
        <v/>
      </c>
      <c r="M109" s="4" t="str">
        <f t="shared" si="10"/>
        <v/>
      </c>
      <c r="N109" s="4" t="str">
        <f t="shared" si="10"/>
        <v/>
      </c>
      <c r="O109" s="4" t="str">
        <f t="shared" si="10"/>
        <v/>
      </c>
      <c r="P109" s="4" t="str">
        <f t="shared" si="10"/>
        <v/>
      </c>
      <c r="Q109" s="4" t="str">
        <f t="shared" si="10"/>
        <v/>
      </c>
      <c r="R109" s="4" t="str">
        <f t="shared" ref="R109:Z109" si="11">IFERROR(R163/R$35*100,"")</f>
        <v/>
      </c>
      <c r="S109" s="4" t="str">
        <f t="shared" si="11"/>
        <v/>
      </c>
      <c r="T109" s="4" t="str">
        <f t="shared" si="11"/>
        <v/>
      </c>
      <c r="U109" s="4" t="str">
        <f t="shared" si="11"/>
        <v/>
      </c>
      <c r="V109" s="4" t="str">
        <f t="shared" si="11"/>
        <v/>
      </c>
      <c r="W109" s="4" t="str">
        <f t="shared" si="11"/>
        <v/>
      </c>
      <c r="X109" s="4" t="str">
        <f t="shared" si="11"/>
        <v/>
      </c>
      <c r="Y109" s="4" t="str">
        <f t="shared" si="11"/>
        <v/>
      </c>
      <c r="Z109" s="4" t="str">
        <f t="shared" si="11"/>
        <v/>
      </c>
    </row>
    <row r="110" spans="1:26" outlineLevel="1" x14ac:dyDescent="0.4">
      <c r="A110" s="1">
        <v>5</v>
      </c>
      <c r="B110" t="s">
        <v>37</v>
      </c>
      <c r="C110" t="s">
        <v>76</v>
      </c>
      <c r="D110" s="4">
        <f t="shared" si="0"/>
        <v>4.7937443022331092E-2</v>
      </c>
      <c r="E110" s="4">
        <f t="shared" ref="E110:K110" si="12">IFERROR(E164/E$34*100,"")</f>
        <v>3.6396540306640857E-2</v>
      </c>
      <c r="F110" s="4">
        <f t="shared" si="12"/>
        <v>3.7636246903619233E-2</v>
      </c>
      <c r="G110" s="4">
        <f t="shared" si="12"/>
        <v>3.3932813030200203E-2</v>
      </c>
      <c r="H110" s="4" t="str">
        <f t="shared" si="12"/>
        <v/>
      </c>
      <c r="I110" s="4" t="str">
        <f t="shared" si="12"/>
        <v/>
      </c>
      <c r="J110" s="4" t="str">
        <f t="shared" si="12"/>
        <v/>
      </c>
      <c r="K110" s="4" t="str">
        <f t="shared" si="12"/>
        <v/>
      </c>
      <c r="L110" s="4" t="str">
        <f t="shared" ref="L110:Q110" si="13">IFERROR(L164/L$34*100,"")</f>
        <v/>
      </c>
      <c r="M110" s="4" t="str">
        <f t="shared" si="13"/>
        <v/>
      </c>
      <c r="N110" s="4" t="str">
        <f t="shared" si="13"/>
        <v/>
      </c>
      <c r="O110" s="4" t="str">
        <f t="shared" si="13"/>
        <v/>
      </c>
      <c r="P110" s="4" t="str">
        <f t="shared" si="13"/>
        <v/>
      </c>
      <c r="Q110" s="4" t="str">
        <f t="shared" si="13"/>
        <v/>
      </c>
      <c r="R110" s="4" t="str">
        <f t="shared" ref="R110:Z110" si="14">IFERROR(R164/R$35*100,"")</f>
        <v/>
      </c>
      <c r="S110" s="4" t="str">
        <f t="shared" si="14"/>
        <v/>
      </c>
      <c r="T110" s="4" t="str">
        <f t="shared" si="14"/>
        <v/>
      </c>
      <c r="U110" s="4" t="str">
        <f t="shared" si="14"/>
        <v/>
      </c>
      <c r="V110" s="4" t="str">
        <f t="shared" si="14"/>
        <v/>
      </c>
      <c r="W110" s="4" t="str">
        <f t="shared" si="14"/>
        <v/>
      </c>
      <c r="X110" s="4" t="str">
        <f t="shared" si="14"/>
        <v/>
      </c>
      <c r="Y110" s="4" t="str">
        <f t="shared" si="14"/>
        <v/>
      </c>
      <c r="Z110" s="4" t="str">
        <f t="shared" si="14"/>
        <v/>
      </c>
    </row>
    <row r="111" spans="1:26" outlineLevel="1" x14ac:dyDescent="0.4">
      <c r="A111" s="1">
        <v>6</v>
      </c>
      <c r="B111" t="s">
        <v>38</v>
      </c>
      <c r="C111" t="s">
        <v>77</v>
      </c>
      <c r="D111" s="4">
        <f t="shared" si="0"/>
        <v>0.68276219426025331</v>
      </c>
      <c r="E111" s="4">
        <f t="shared" ref="E111:K111" si="15">IFERROR(E165/E$34*100,"")</f>
        <v>0.88337436369242905</v>
      </c>
      <c r="F111" s="4">
        <f t="shared" si="15"/>
        <v>0.85210430898128764</v>
      </c>
      <c r="G111" s="4">
        <f t="shared" si="15"/>
        <v>1.9355648418870361</v>
      </c>
      <c r="H111" s="4" t="str">
        <f t="shared" si="15"/>
        <v/>
      </c>
      <c r="I111" s="4" t="str">
        <f t="shared" si="15"/>
        <v/>
      </c>
      <c r="J111" s="4" t="str">
        <f t="shared" si="15"/>
        <v/>
      </c>
      <c r="K111" s="4" t="str">
        <f t="shared" si="15"/>
        <v/>
      </c>
      <c r="L111" s="4" t="str">
        <f t="shared" ref="L111:Q111" si="16">IFERROR(L165/L$34*100,"")</f>
        <v/>
      </c>
      <c r="M111" s="4" t="str">
        <f t="shared" si="16"/>
        <v/>
      </c>
      <c r="N111" s="4" t="str">
        <f t="shared" si="16"/>
        <v/>
      </c>
      <c r="O111" s="4" t="str">
        <f t="shared" si="16"/>
        <v/>
      </c>
      <c r="P111" s="4" t="str">
        <f t="shared" si="16"/>
        <v/>
      </c>
      <c r="Q111" s="4" t="str">
        <f t="shared" si="16"/>
        <v/>
      </c>
      <c r="R111" s="4" t="str">
        <f t="shared" ref="R111:Z111" si="17">IFERROR(R165/R$35*100,"")</f>
        <v/>
      </c>
      <c r="S111" s="4" t="str">
        <f t="shared" si="17"/>
        <v/>
      </c>
      <c r="T111" s="4" t="str">
        <f t="shared" si="17"/>
        <v/>
      </c>
      <c r="U111" s="4" t="str">
        <f t="shared" si="17"/>
        <v/>
      </c>
      <c r="V111" s="4" t="str">
        <f t="shared" si="17"/>
        <v/>
      </c>
      <c r="W111" s="4" t="str">
        <f t="shared" si="17"/>
        <v/>
      </c>
      <c r="X111" s="4" t="str">
        <f t="shared" si="17"/>
        <v/>
      </c>
      <c r="Y111" s="4" t="str">
        <f t="shared" si="17"/>
        <v/>
      </c>
      <c r="Z111" s="4" t="str">
        <f t="shared" si="17"/>
        <v/>
      </c>
    </row>
    <row r="112" spans="1:26" outlineLevel="1" x14ac:dyDescent="0.4">
      <c r="A112" s="1">
        <v>7</v>
      </c>
      <c r="B112" t="s">
        <v>39</v>
      </c>
      <c r="C112" t="s">
        <v>78</v>
      </c>
      <c r="D112" s="4">
        <f t="shared" si="0"/>
        <v>39.377977039904458</v>
      </c>
      <c r="E112" s="4">
        <f t="shared" ref="E112:K112" si="18">IFERROR(E166/E$34*100,"")</f>
        <v>41.086891684907059</v>
      </c>
      <c r="F112" s="4">
        <f t="shared" si="18"/>
        <v>43.508239386209382</v>
      </c>
      <c r="G112" s="4">
        <f t="shared" si="18"/>
        <v>43.55299794078956</v>
      </c>
      <c r="H112" s="4" t="str">
        <f t="shared" si="18"/>
        <v/>
      </c>
      <c r="I112" s="4" t="str">
        <f t="shared" si="18"/>
        <v/>
      </c>
      <c r="J112" s="4" t="str">
        <f t="shared" si="18"/>
        <v/>
      </c>
      <c r="K112" s="4" t="str">
        <f t="shared" si="18"/>
        <v/>
      </c>
      <c r="L112" s="4" t="str">
        <f t="shared" ref="L112:Q112" si="19">IFERROR(L166/L$34*100,"")</f>
        <v/>
      </c>
      <c r="M112" s="4" t="str">
        <f t="shared" si="19"/>
        <v/>
      </c>
      <c r="N112" s="4" t="str">
        <f t="shared" si="19"/>
        <v/>
      </c>
      <c r="O112" s="4" t="str">
        <f t="shared" si="19"/>
        <v/>
      </c>
      <c r="P112" s="4" t="str">
        <f t="shared" si="19"/>
        <v/>
      </c>
      <c r="Q112" s="4" t="str">
        <f t="shared" si="19"/>
        <v/>
      </c>
      <c r="R112" s="4" t="str">
        <f t="shared" ref="R112:Z112" si="20">IFERROR(R166/R$35*100,"")</f>
        <v/>
      </c>
      <c r="S112" s="4" t="str">
        <f t="shared" si="20"/>
        <v/>
      </c>
      <c r="T112" s="4" t="str">
        <f t="shared" si="20"/>
        <v/>
      </c>
      <c r="U112" s="4" t="str">
        <f t="shared" si="20"/>
        <v/>
      </c>
      <c r="V112" s="4" t="str">
        <f t="shared" si="20"/>
        <v/>
      </c>
      <c r="W112" s="4" t="str">
        <f t="shared" si="20"/>
        <v/>
      </c>
      <c r="X112" s="4" t="str">
        <f t="shared" si="20"/>
        <v/>
      </c>
      <c r="Y112" s="4" t="str">
        <f t="shared" si="20"/>
        <v/>
      </c>
      <c r="Z112" s="4" t="str">
        <f t="shared" si="20"/>
        <v/>
      </c>
    </row>
    <row r="113" spans="1:26" outlineLevel="1" x14ac:dyDescent="0.4">
      <c r="A113" s="1">
        <v>8</v>
      </c>
      <c r="B113" s="2" t="s">
        <v>40</v>
      </c>
      <c r="C113" t="s">
        <v>79</v>
      </c>
      <c r="D113" s="4">
        <f t="shared" si="0"/>
        <v>1.187352273703403</v>
      </c>
      <c r="E113" s="4">
        <f t="shared" ref="E113:K113" si="21">IFERROR(E167/E$34*100,"")</f>
        <v>1.8559708018865539</v>
      </c>
      <c r="F113" s="4">
        <f t="shared" si="21"/>
        <v>1.8584434337048581</v>
      </c>
      <c r="G113" s="4">
        <f t="shared" si="21"/>
        <v>2.9075307603274285</v>
      </c>
      <c r="H113" s="4" t="str">
        <f t="shared" si="21"/>
        <v/>
      </c>
      <c r="I113" s="4" t="str">
        <f t="shared" si="21"/>
        <v/>
      </c>
      <c r="J113" s="4" t="str">
        <f t="shared" si="21"/>
        <v/>
      </c>
      <c r="K113" s="4" t="str">
        <f t="shared" si="21"/>
        <v/>
      </c>
      <c r="L113" s="4" t="str">
        <f t="shared" ref="L113:Q113" si="22">IFERROR(L167/L$34*100,"")</f>
        <v/>
      </c>
      <c r="M113" s="4" t="str">
        <f t="shared" si="22"/>
        <v/>
      </c>
      <c r="N113" s="4" t="str">
        <f t="shared" si="22"/>
        <v/>
      </c>
      <c r="O113" s="4" t="str">
        <f t="shared" si="22"/>
        <v/>
      </c>
      <c r="P113" s="4" t="str">
        <f t="shared" si="22"/>
        <v/>
      </c>
      <c r="Q113" s="4" t="str">
        <f t="shared" si="22"/>
        <v/>
      </c>
      <c r="R113" s="4" t="str">
        <f t="shared" ref="R113:Z113" si="23">IFERROR(R167/R$35*100,"")</f>
        <v/>
      </c>
      <c r="S113" s="4" t="str">
        <f t="shared" si="23"/>
        <v/>
      </c>
      <c r="T113" s="4" t="str">
        <f t="shared" si="23"/>
        <v/>
      </c>
      <c r="U113" s="4" t="str">
        <f t="shared" si="23"/>
        <v/>
      </c>
      <c r="V113" s="4" t="str">
        <f t="shared" si="23"/>
        <v/>
      </c>
      <c r="W113" s="4" t="str">
        <f t="shared" si="23"/>
        <v/>
      </c>
      <c r="X113" s="4" t="str">
        <f t="shared" si="23"/>
        <v/>
      </c>
      <c r="Y113" s="4" t="str">
        <f t="shared" si="23"/>
        <v/>
      </c>
      <c r="Z113" s="4" t="str">
        <f t="shared" si="23"/>
        <v/>
      </c>
    </row>
    <row r="114" spans="1:26" outlineLevel="1" x14ac:dyDescent="0.4">
      <c r="A114" s="1">
        <v>9</v>
      </c>
      <c r="B114" t="s">
        <v>41</v>
      </c>
      <c r="D114" s="4">
        <f t="shared" si="0"/>
        <v>38.190624766201054</v>
      </c>
      <c r="E114" s="4">
        <f t="shared" ref="E114:K114" si="24">IFERROR(E168/E$34*100,"")</f>
        <v>39.230920883020509</v>
      </c>
      <c r="F114" s="4">
        <f t="shared" si="24"/>
        <v>41.649795952504526</v>
      </c>
      <c r="G114" s="4">
        <f t="shared" si="24"/>
        <v>40.645467180462127</v>
      </c>
      <c r="H114" s="4" t="str">
        <f t="shared" si="24"/>
        <v/>
      </c>
      <c r="I114" s="4" t="str">
        <f t="shared" si="24"/>
        <v/>
      </c>
      <c r="J114" s="4" t="str">
        <f t="shared" si="24"/>
        <v/>
      </c>
      <c r="K114" s="4" t="str">
        <f t="shared" si="24"/>
        <v/>
      </c>
      <c r="L114" s="4" t="str">
        <f t="shared" ref="L114:Q114" si="25">IFERROR(L168/L$34*100,"")</f>
        <v/>
      </c>
      <c r="M114" s="4" t="str">
        <f t="shared" si="25"/>
        <v/>
      </c>
      <c r="N114" s="4" t="str">
        <f t="shared" si="25"/>
        <v/>
      </c>
      <c r="O114" s="4" t="str">
        <f t="shared" si="25"/>
        <v/>
      </c>
      <c r="P114" s="4" t="str">
        <f t="shared" si="25"/>
        <v/>
      </c>
      <c r="Q114" s="4" t="str">
        <f t="shared" si="25"/>
        <v/>
      </c>
      <c r="R114" s="4" t="str">
        <f t="shared" ref="R114:Z114" si="26">IFERROR(R168/R$35*100,"")</f>
        <v/>
      </c>
      <c r="S114" s="4" t="str">
        <f t="shared" si="26"/>
        <v/>
      </c>
      <c r="T114" s="4" t="str">
        <f t="shared" si="26"/>
        <v/>
      </c>
      <c r="U114" s="4" t="str">
        <f t="shared" si="26"/>
        <v/>
      </c>
      <c r="V114" s="4" t="str">
        <f t="shared" si="26"/>
        <v/>
      </c>
      <c r="W114" s="4" t="str">
        <f t="shared" si="26"/>
        <v/>
      </c>
      <c r="X114" s="4" t="str">
        <f t="shared" si="26"/>
        <v/>
      </c>
      <c r="Y114" s="4" t="str">
        <f t="shared" si="26"/>
        <v/>
      </c>
      <c r="Z114" s="4" t="str">
        <f t="shared" si="26"/>
        <v/>
      </c>
    </row>
    <row r="115" spans="1:26" outlineLevel="1" x14ac:dyDescent="0.4">
      <c r="A115" s="1">
        <v>10</v>
      </c>
      <c r="B115" t="s">
        <v>42</v>
      </c>
      <c r="D115" s="4">
        <f t="shared" si="0"/>
        <v>0</v>
      </c>
      <c r="E115" s="4">
        <f t="shared" ref="E115:K115" si="27">IFERROR(E169/E$34*100,"")</f>
        <v>0</v>
      </c>
      <c r="F115" s="4">
        <f t="shared" si="27"/>
        <v>0.67354122644967196</v>
      </c>
      <c r="G115" s="4">
        <f t="shared" si="27"/>
        <v>0</v>
      </c>
      <c r="H115" s="4" t="str">
        <f t="shared" si="27"/>
        <v/>
      </c>
      <c r="I115" s="4" t="str">
        <f t="shared" si="27"/>
        <v/>
      </c>
      <c r="J115" s="4" t="str">
        <f t="shared" si="27"/>
        <v/>
      </c>
      <c r="K115" s="4" t="str">
        <f t="shared" si="27"/>
        <v/>
      </c>
      <c r="L115" s="4" t="str">
        <f t="shared" ref="L115:Q115" si="28">IFERROR(L169/L$34*100,"")</f>
        <v/>
      </c>
      <c r="M115" s="4" t="str">
        <f t="shared" si="28"/>
        <v/>
      </c>
      <c r="N115" s="4" t="str">
        <f t="shared" si="28"/>
        <v/>
      </c>
      <c r="O115" s="4" t="str">
        <f t="shared" si="28"/>
        <v/>
      </c>
      <c r="P115" s="4" t="str">
        <f t="shared" si="28"/>
        <v/>
      </c>
      <c r="Q115" s="4" t="str">
        <f t="shared" si="28"/>
        <v/>
      </c>
      <c r="R115" s="4" t="str">
        <f t="shared" ref="R115:Z115" si="29">IFERROR(R169/R$35*100,"")</f>
        <v/>
      </c>
      <c r="S115" s="4" t="str">
        <f t="shared" si="29"/>
        <v/>
      </c>
      <c r="T115" s="4" t="str">
        <f t="shared" si="29"/>
        <v/>
      </c>
      <c r="U115" s="4" t="str">
        <f t="shared" si="29"/>
        <v/>
      </c>
      <c r="V115" s="4" t="str">
        <f t="shared" si="29"/>
        <v/>
      </c>
      <c r="W115" s="4" t="str">
        <f t="shared" si="29"/>
        <v/>
      </c>
      <c r="X115" s="4" t="str">
        <f t="shared" si="29"/>
        <v/>
      </c>
      <c r="Y115" s="4" t="str">
        <f t="shared" si="29"/>
        <v/>
      </c>
      <c r="Z115" s="4" t="str">
        <f t="shared" si="29"/>
        <v/>
      </c>
    </row>
    <row r="116" spans="1:26" outlineLevel="1" x14ac:dyDescent="0.4">
      <c r="A116" s="1">
        <v>11</v>
      </c>
      <c r="B116" t="s">
        <v>43</v>
      </c>
      <c r="D116" s="4">
        <f>IFERROR(D171/D$34*100,"")</f>
        <v>0</v>
      </c>
      <c r="E116" s="4">
        <f t="shared" ref="E116:K116" si="30">IFERROR(E171/E$34*100,"")</f>
        <v>0</v>
      </c>
      <c r="F116" s="4">
        <f t="shared" si="30"/>
        <v>2.4598854185372042E-3</v>
      </c>
      <c r="G116" s="4">
        <f t="shared" si="30"/>
        <v>4.6483305520822202E-3</v>
      </c>
      <c r="H116" s="4" t="str">
        <f t="shared" si="30"/>
        <v/>
      </c>
      <c r="I116" s="4" t="str">
        <f t="shared" si="30"/>
        <v/>
      </c>
      <c r="J116" s="4" t="str">
        <f t="shared" si="30"/>
        <v/>
      </c>
      <c r="K116" s="4" t="str">
        <f t="shared" si="30"/>
        <v/>
      </c>
      <c r="L116" s="4" t="str">
        <f t="shared" ref="L116:Q116" si="31">IFERROR(L171/L$34*100,"")</f>
        <v/>
      </c>
      <c r="M116" s="4" t="str">
        <f t="shared" si="31"/>
        <v/>
      </c>
      <c r="N116" s="4" t="str">
        <f t="shared" si="31"/>
        <v/>
      </c>
      <c r="O116" s="4" t="str">
        <f t="shared" si="31"/>
        <v/>
      </c>
      <c r="P116" s="4" t="str">
        <f t="shared" si="31"/>
        <v/>
      </c>
      <c r="Q116" s="4" t="str">
        <f t="shared" si="31"/>
        <v/>
      </c>
      <c r="R116" s="4" t="str">
        <f t="shared" ref="R116:Z116" si="32">IFERROR(R170/R$35*100,"")</f>
        <v/>
      </c>
      <c r="S116" s="4" t="str">
        <f t="shared" si="32"/>
        <v/>
      </c>
      <c r="T116" s="4" t="str">
        <f t="shared" si="32"/>
        <v/>
      </c>
      <c r="U116" s="4" t="str">
        <f t="shared" si="32"/>
        <v/>
      </c>
      <c r="V116" s="4" t="str">
        <f t="shared" si="32"/>
        <v/>
      </c>
      <c r="W116" s="4" t="str">
        <f t="shared" si="32"/>
        <v/>
      </c>
      <c r="X116" s="4" t="str">
        <f t="shared" si="32"/>
        <v/>
      </c>
      <c r="Y116" s="4" t="str">
        <f t="shared" si="32"/>
        <v/>
      </c>
      <c r="Z116" s="4" t="str">
        <f t="shared" si="32"/>
        <v/>
      </c>
    </row>
    <row r="117" spans="1:26" outlineLevel="1" x14ac:dyDescent="0.4">
      <c r="A117" s="1"/>
      <c r="B117" s="1" t="s">
        <v>29</v>
      </c>
      <c r="C117" s="1"/>
      <c r="D117" s="1"/>
      <c r="E117" s="1"/>
      <c r="F117" s="1"/>
      <c r="G117" s="1"/>
      <c r="H117" s="1"/>
      <c r="I117" s="1"/>
      <c r="J117" s="1"/>
      <c r="K117" s="1"/>
      <c r="L117" s="1"/>
      <c r="M117" s="1"/>
      <c r="N117" s="1"/>
      <c r="O117" s="1"/>
      <c r="P117" s="1"/>
      <c r="Q117" s="1"/>
      <c r="R117" s="4" t="str">
        <f t="shared" ref="R117:Z117" si="33">IFERROR(R172/R$35*100,"")</f>
        <v/>
      </c>
      <c r="S117" s="4" t="str">
        <f t="shared" si="33"/>
        <v/>
      </c>
      <c r="T117" s="4" t="str">
        <f t="shared" si="33"/>
        <v/>
      </c>
      <c r="U117" s="4" t="str">
        <f t="shared" si="33"/>
        <v/>
      </c>
      <c r="V117" s="4" t="str">
        <f t="shared" si="33"/>
        <v/>
      </c>
      <c r="W117" s="4" t="str">
        <f t="shared" si="33"/>
        <v/>
      </c>
      <c r="X117" s="4" t="str">
        <f t="shared" si="33"/>
        <v/>
      </c>
      <c r="Y117" s="4" t="str">
        <f t="shared" si="33"/>
        <v/>
      </c>
      <c r="Z117" s="4" t="str">
        <f t="shared" si="33"/>
        <v/>
      </c>
    </row>
    <row r="118" spans="1:26" outlineLevel="1" x14ac:dyDescent="0.4">
      <c r="A118" s="1">
        <v>12</v>
      </c>
      <c r="B118" t="s">
        <v>44</v>
      </c>
      <c r="C118" t="s">
        <v>5</v>
      </c>
      <c r="D118" s="4">
        <f t="shared" ref="D118:D129" si="34">IFERROR(D173/D$34*100,"")</f>
        <v>11.65434055535389</v>
      </c>
      <c r="E118" s="4">
        <f t="shared" ref="E118:K118" si="35">IFERROR(E173/E$34*100,"")</f>
        <v>12.115498354573074</v>
      </c>
      <c r="F118" s="4">
        <f t="shared" si="35"/>
        <v>13.119306902684471</v>
      </c>
      <c r="G118" s="4">
        <f t="shared" si="35"/>
        <v>13.09806582965728</v>
      </c>
      <c r="H118" s="4" t="str">
        <f t="shared" si="35"/>
        <v/>
      </c>
      <c r="I118" s="4" t="str">
        <f t="shared" si="35"/>
        <v/>
      </c>
      <c r="J118" s="4" t="str">
        <f t="shared" si="35"/>
        <v/>
      </c>
      <c r="K118" s="4" t="str">
        <f t="shared" si="35"/>
        <v/>
      </c>
      <c r="L118" s="4" t="str">
        <f t="shared" ref="L118:Q118" si="36">IFERROR(L173/L$34*100,"")</f>
        <v/>
      </c>
      <c r="M118" s="4" t="str">
        <f t="shared" si="36"/>
        <v/>
      </c>
      <c r="N118" s="4" t="str">
        <f t="shared" si="36"/>
        <v/>
      </c>
      <c r="O118" s="4" t="str">
        <f t="shared" si="36"/>
        <v/>
      </c>
      <c r="P118" s="4" t="str">
        <f t="shared" si="36"/>
        <v/>
      </c>
      <c r="Q118" s="4" t="str">
        <f t="shared" si="36"/>
        <v/>
      </c>
      <c r="R118" s="1"/>
      <c r="S118" s="1"/>
      <c r="T118" s="1"/>
      <c r="U118" s="1"/>
      <c r="V118" s="1"/>
      <c r="W118" s="1"/>
      <c r="X118" s="1"/>
      <c r="Y118" s="1"/>
      <c r="Z118" s="1"/>
    </row>
    <row r="119" spans="1:26" outlineLevel="1" x14ac:dyDescent="0.4">
      <c r="A119" s="1">
        <v>13</v>
      </c>
      <c r="B119" t="s">
        <v>45</v>
      </c>
      <c r="C119" t="s">
        <v>80</v>
      </c>
      <c r="D119" s="4">
        <f t="shared" si="34"/>
        <v>6.7245425853522027</v>
      </c>
      <c r="E119" s="4">
        <f t="shared" ref="E119:K119" si="37">IFERROR(E174/E$34*100,"")</f>
        <v>6.3372948271417098</v>
      </c>
      <c r="F119" s="4">
        <f t="shared" si="37"/>
        <v>6.103959677558219</v>
      </c>
      <c r="G119" s="4">
        <f t="shared" si="37"/>
        <v>7.3029921303763752</v>
      </c>
      <c r="H119" s="4" t="str">
        <f t="shared" si="37"/>
        <v/>
      </c>
      <c r="I119" s="4" t="str">
        <f t="shared" si="37"/>
        <v/>
      </c>
      <c r="J119" s="4" t="str">
        <f t="shared" si="37"/>
        <v/>
      </c>
      <c r="K119" s="4" t="str">
        <f t="shared" si="37"/>
        <v/>
      </c>
      <c r="L119" s="4" t="str">
        <f t="shared" ref="L119:Q119" si="38">IFERROR(L174/L$34*100,"")</f>
        <v/>
      </c>
      <c r="M119" s="4" t="str">
        <f t="shared" si="38"/>
        <v/>
      </c>
      <c r="N119" s="4" t="str">
        <f t="shared" si="38"/>
        <v/>
      </c>
      <c r="O119" s="4" t="str">
        <f t="shared" si="38"/>
        <v/>
      </c>
      <c r="P119" s="4" t="str">
        <f t="shared" si="38"/>
        <v/>
      </c>
      <c r="Q119" s="4" t="str">
        <f t="shared" si="38"/>
        <v/>
      </c>
      <c r="R119" s="4" t="str">
        <f t="shared" ref="R119:Z119" si="39">IFERROR(R174/R$35*100,"")</f>
        <v/>
      </c>
      <c r="S119" s="4" t="str">
        <f t="shared" si="39"/>
        <v/>
      </c>
      <c r="T119" s="4" t="str">
        <f t="shared" si="39"/>
        <v/>
      </c>
      <c r="U119" s="4" t="str">
        <f t="shared" si="39"/>
        <v/>
      </c>
      <c r="V119" s="4" t="str">
        <f t="shared" si="39"/>
        <v/>
      </c>
      <c r="W119" s="4" t="str">
        <f t="shared" si="39"/>
        <v/>
      </c>
      <c r="X119" s="4" t="str">
        <f t="shared" si="39"/>
        <v/>
      </c>
      <c r="Y119" s="4" t="str">
        <f t="shared" si="39"/>
        <v/>
      </c>
      <c r="Z119" s="4" t="str">
        <f t="shared" si="39"/>
        <v/>
      </c>
    </row>
    <row r="120" spans="1:26" outlineLevel="1" x14ac:dyDescent="0.4">
      <c r="A120" s="1">
        <v>14</v>
      </c>
      <c r="B120" t="s">
        <v>46</v>
      </c>
      <c r="C120" t="s">
        <v>28</v>
      </c>
      <c r="D120" s="4">
        <f t="shared" si="34"/>
        <v>0.50763812495324023</v>
      </c>
      <c r="E120" s="4">
        <f t="shared" ref="E120:K120" si="40">IFERROR(E175/E$34*100,"")</f>
        <v>0.72515051485939308</v>
      </c>
      <c r="F120" s="4">
        <f t="shared" si="40"/>
        <v>1.0904672060375427</v>
      </c>
      <c r="G120" s="4">
        <f t="shared" si="40"/>
        <v>1.1058378383403602</v>
      </c>
      <c r="H120" s="4" t="str">
        <f t="shared" si="40"/>
        <v/>
      </c>
      <c r="I120" s="4" t="str">
        <f t="shared" si="40"/>
        <v/>
      </c>
      <c r="J120" s="4" t="str">
        <f t="shared" si="40"/>
        <v/>
      </c>
      <c r="K120" s="4" t="str">
        <f t="shared" si="40"/>
        <v/>
      </c>
      <c r="L120" s="4" t="str">
        <f t="shared" ref="L120:Q120" si="41">IFERROR(L175/L$34*100,"")</f>
        <v/>
      </c>
      <c r="M120" s="4" t="str">
        <f t="shared" si="41"/>
        <v/>
      </c>
      <c r="N120" s="4" t="str">
        <f t="shared" si="41"/>
        <v/>
      </c>
      <c r="O120" s="4" t="str">
        <f t="shared" si="41"/>
        <v/>
      </c>
      <c r="P120" s="4" t="str">
        <f t="shared" si="41"/>
        <v/>
      </c>
      <c r="Q120" s="4" t="str">
        <f t="shared" si="41"/>
        <v/>
      </c>
      <c r="R120" s="4" t="str">
        <f t="shared" ref="R120:Z120" si="42">IFERROR(R175/R$35*100,"")</f>
        <v/>
      </c>
      <c r="S120" s="4" t="str">
        <f t="shared" si="42"/>
        <v/>
      </c>
      <c r="T120" s="4" t="str">
        <f t="shared" si="42"/>
        <v/>
      </c>
      <c r="U120" s="4" t="str">
        <f t="shared" si="42"/>
        <v/>
      </c>
      <c r="V120" s="4" t="str">
        <f t="shared" si="42"/>
        <v/>
      </c>
      <c r="W120" s="4" t="str">
        <f t="shared" si="42"/>
        <v/>
      </c>
      <c r="X120" s="4" t="str">
        <f t="shared" si="42"/>
        <v/>
      </c>
      <c r="Y120" s="4" t="str">
        <f t="shared" si="42"/>
        <v/>
      </c>
      <c r="Z120" s="4" t="str">
        <f t="shared" si="42"/>
        <v/>
      </c>
    </row>
    <row r="121" spans="1:26" outlineLevel="1" x14ac:dyDescent="0.4">
      <c r="A121" s="1">
        <v>15</v>
      </c>
      <c r="B121" t="s">
        <v>47</v>
      </c>
      <c r="C121" t="s">
        <v>81</v>
      </c>
      <c r="D121" s="4">
        <f t="shared" si="34"/>
        <v>12.68541122290357</v>
      </c>
      <c r="E121" s="4">
        <f t="shared" ref="E121:K121" si="43">IFERROR(E176/E$34*100,"")</f>
        <v>11.926944055484505</v>
      </c>
      <c r="F121" s="4">
        <f t="shared" si="43"/>
        <v>12.548859474125692</v>
      </c>
      <c r="G121" s="4">
        <f t="shared" si="43"/>
        <v>12.599764794474064</v>
      </c>
      <c r="H121" s="4" t="str">
        <f t="shared" si="43"/>
        <v/>
      </c>
      <c r="I121" s="4" t="str">
        <f t="shared" si="43"/>
        <v/>
      </c>
      <c r="J121" s="4" t="str">
        <f t="shared" si="43"/>
        <v/>
      </c>
      <c r="K121" s="4" t="str">
        <f t="shared" si="43"/>
        <v/>
      </c>
      <c r="L121" s="4" t="str">
        <f t="shared" ref="L121:Q121" si="44">IFERROR(L176/L$34*100,"")</f>
        <v/>
      </c>
      <c r="M121" s="4" t="str">
        <f t="shared" si="44"/>
        <v/>
      </c>
      <c r="N121" s="4" t="str">
        <f t="shared" si="44"/>
        <v/>
      </c>
      <c r="O121" s="4" t="str">
        <f t="shared" si="44"/>
        <v/>
      </c>
      <c r="P121" s="4" t="str">
        <f t="shared" si="44"/>
        <v/>
      </c>
      <c r="Q121" s="4" t="str">
        <f t="shared" si="44"/>
        <v/>
      </c>
      <c r="R121" s="4" t="str">
        <f t="shared" ref="R121:Z121" si="45">IFERROR(R176/R$35*100,"")</f>
        <v/>
      </c>
      <c r="S121" s="4" t="str">
        <f t="shared" si="45"/>
        <v/>
      </c>
      <c r="T121" s="4" t="str">
        <f t="shared" si="45"/>
        <v/>
      </c>
      <c r="U121" s="4" t="str">
        <f t="shared" si="45"/>
        <v/>
      </c>
      <c r="V121" s="4" t="str">
        <f t="shared" si="45"/>
        <v/>
      </c>
      <c r="W121" s="4" t="str">
        <f t="shared" si="45"/>
        <v/>
      </c>
      <c r="X121" s="4" t="str">
        <f t="shared" si="45"/>
        <v/>
      </c>
      <c r="Y121" s="4" t="str">
        <f t="shared" si="45"/>
        <v/>
      </c>
      <c r="Z121" s="4" t="str">
        <f t="shared" si="45"/>
        <v/>
      </c>
    </row>
    <row r="122" spans="1:26" outlineLevel="1" x14ac:dyDescent="0.4">
      <c r="A122" s="1">
        <v>16</v>
      </c>
      <c r="B122" t="s">
        <v>48</v>
      </c>
      <c r="C122" t="s">
        <v>82</v>
      </c>
      <c r="D122" s="4">
        <f t="shared" si="34"/>
        <v>1.8576451908769227</v>
      </c>
      <c r="E122" s="4">
        <f t="shared" ref="E122:K122" si="46">IFERROR(E177/E$34*100,"")</f>
        <v>2.0629761248805738</v>
      </c>
      <c r="F122" s="4">
        <f t="shared" si="46"/>
        <v>2.1403463026692213</v>
      </c>
      <c r="G122" s="4">
        <f t="shared" si="46"/>
        <v>2.200752099883327</v>
      </c>
      <c r="H122" s="4" t="str">
        <f t="shared" si="46"/>
        <v/>
      </c>
      <c r="I122" s="4" t="str">
        <f t="shared" si="46"/>
        <v/>
      </c>
      <c r="J122" s="4" t="str">
        <f t="shared" si="46"/>
        <v/>
      </c>
      <c r="K122" s="4" t="str">
        <f t="shared" si="46"/>
        <v/>
      </c>
      <c r="L122" s="4" t="str">
        <f t="shared" ref="L122:Q122" si="47">IFERROR(L177/L$34*100,"")</f>
        <v/>
      </c>
      <c r="M122" s="4" t="str">
        <f t="shared" si="47"/>
        <v/>
      </c>
      <c r="N122" s="4" t="str">
        <f t="shared" si="47"/>
        <v/>
      </c>
      <c r="O122" s="4" t="str">
        <f t="shared" si="47"/>
        <v/>
      </c>
      <c r="P122" s="4" t="str">
        <f t="shared" si="47"/>
        <v/>
      </c>
      <c r="Q122" s="4" t="str">
        <f t="shared" si="47"/>
        <v/>
      </c>
      <c r="R122" s="4" t="str">
        <f t="shared" ref="R122:Z122" si="48">IFERROR(R177/R$35*100,"")</f>
        <v/>
      </c>
      <c r="S122" s="4" t="str">
        <f t="shared" si="48"/>
        <v/>
      </c>
      <c r="T122" s="4" t="str">
        <f t="shared" si="48"/>
        <v/>
      </c>
      <c r="U122" s="4" t="str">
        <f t="shared" si="48"/>
        <v/>
      </c>
      <c r="V122" s="4" t="str">
        <f t="shared" si="48"/>
        <v/>
      </c>
      <c r="W122" s="4" t="str">
        <f t="shared" si="48"/>
        <v/>
      </c>
      <c r="X122" s="4" t="str">
        <f t="shared" si="48"/>
        <v/>
      </c>
      <c r="Y122" s="4" t="str">
        <f t="shared" si="48"/>
        <v/>
      </c>
      <c r="Z122" s="4" t="str">
        <f t="shared" si="48"/>
        <v/>
      </c>
    </row>
    <row r="123" spans="1:26" outlineLevel="1" x14ac:dyDescent="0.4">
      <c r="A123" s="1">
        <v>17</v>
      </c>
      <c r="B123" t="s">
        <v>49</v>
      </c>
      <c r="C123" t="s">
        <v>83</v>
      </c>
      <c r="D123" s="4">
        <f t="shared" si="34"/>
        <v>1.8371401574454056</v>
      </c>
      <c r="E123" s="4">
        <f t="shared" ref="E123:K123" si="49">IFERROR(E178/E$34*100,"")</f>
        <v>1.6107996623209873</v>
      </c>
      <c r="F123" s="4">
        <f t="shared" si="49"/>
        <v>0.88359084233856378</v>
      </c>
      <c r="G123" s="4">
        <f t="shared" si="49"/>
        <v>0.72769614792847159</v>
      </c>
      <c r="H123" s="4" t="str">
        <f t="shared" si="49"/>
        <v/>
      </c>
      <c r="I123" s="4" t="str">
        <f t="shared" si="49"/>
        <v/>
      </c>
      <c r="J123" s="4" t="str">
        <f t="shared" si="49"/>
        <v/>
      </c>
      <c r="K123" s="4" t="str">
        <f t="shared" si="49"/>
        <v/>
      </c>
      <c r="L123" s="4" t="str">
        <f t="shared" ref="L123:Q123" si="50">IFERROR(L178/L$34*100,"")</f>
        <v/>
      </c>
      <c r="M123" s="4" t="str">
        <f t="shared" si="50"/>
        <v/>
      </c>
      <c r="N123" s="4" t="str">
        <f t="shared" si="50"/>
        <v/>
      </c>
      <c r="O123" s="4" t="str">
        <f t="shared" si="50"/>
        <v/>
      </c>
      <c r="P123" s="4" t="str">
        <f t="shared" si="50"/>
        <v/>
      </c>
      <c r="Q123" s="4" t="str">
        <f t="shared" si="50"/>
        <v/>
      </c>
      <c r="R123" s="4" t="str">
        <f t="shared" ref="R123:Z123" si="51">IFERROR(R178/R$35*100,"")</f>
        <v/>
      </c>
      <c r="S123" s="4" t="str">
        <f t="shared" si="51"/>
        <v/>
      </c>
      <c r="T123" s="4" t="str">
        <f t="shared" si="51"/>
        <v/>
      </c>
      <c r="U123" s="4" t="str">
        <f t="shared" si="51"/>
        <v/>
      </c>
      <c r="V123" s="4" t="str">
        <f t="shared" si="51"/>
        <v/>
      </c>
      <c r="W123" s="4" t="str">
        <f t="shared" si="51"/>
        <v/>
      </c>
      <c r="X123" s="4" t="str">
        <f t="shared" si="51"/>
        <v/>
      </c>
      <c r="Y123" s="4" t="str">
        <f t="shared" si="51"/>
        <v/>
      </c>
      <c r="Z123" s="4" t="str">
        <f t="shared" si="51"/>
        <v/>
      </c>
    </row>
    <row r="124" spans="1:26" outlineLevel="1" x14ac:dyDescent="0.4">
      <c r="A124" s="1">
        <v>18</v>
      </c>
      <c r="B124" t="s">
        <v>50</v>
      </c>
      <c r="C124" t="s">
        <v>84</v>
      </c>
      <c r="D124" s="4">
        <f t="shared" si="34"/>
        <v>2.6227046139096171</v>
      </c>
      <c r="E124" s="4">
        <f t="shared" ref="E124:K124" si="52">IFERROR(E179/E$34*100,"")</f>
        <v>2.6602332411624654</v>
      </c>
      <c r="F124" s="4">
        <f t="shared" si="52"/>
        <v>2.4175753893383645</v>
      </c>
      <c r="G124" s="4">
        <f t="shared" si="52"/>
        <v>2.6539643287113437</v>
      </c>
      <c r="H124" s="4" t="str">
        <f t="shared" si="52"/>
        <v/>
      </c>
      <c r="I124" s="4" t="str">
        <f t="shared" si="52"/>
        <v/>
      </c>
      <c r="J124" s="4" t="str">
        <f t="shared" si="52"/>
        <v/>
      </c>
      <c r="K124" s="4" t="str">
        <f t="shared" si="52"/>
        <v/>
      </c>
      <c r="L124" s="4" t="str">
        <f t="shared" ref="L124:Q124" si="53">IFERROR(L179/L$34*100,"")</f>
        <v/>
      </c>
      <c r="M124" s="4" t="str">
        <f t="shared" si="53"/>
        <v/>
      </c>
      <c r="N124" s="4" t="str">
        <f t="shared" si="53"/>
        <v/>
      </c>
      <c r="O124" s="4" t="str">
        <f t="shared" si="53"/>
        <v/>
      </c>
      <c r="P124" s="4" t="str">
        <f t="shared" si="53"/>
        <v/>
      </c>
      <c r="Q124" s="4" t="str">
        <f t="shared" si="53"/>
        <v/>
      </c>
      <c r="R124" s="4" t="str">
        <f t="shared" ref="R124:Z124" si="54">IFERROR(R179/R$35*100,"")</f>
        <v/>
      </c>
      <c r="S124" s="4" t="str">
        <f t="shared" si="54"/>
        <v/>
      </c>
      <c r="T124" s="4" t="str">
        <f t="shared" si="54"/>
        <v/>
      </c>
      <c r="U124" s="4" t="str">
        <f t="shared" si="54"/>
        <v/>
      </c>
      <c r="V124" s="4" t="str">
        <f t="shared" si="54"/>
        <v/>
      </c>
      <c r="W124" s="4" t="str">
        <f t="shared" si="54"/>
        <v/>
      </c>
      <c r="X124" s="4" t="str">
        <f t="shared" si="54"/>
        <v/>
      </c>
      <c r="Y124" s="4" t="str">
        <f t="shared" si="54"/>
        <v/>
      </c>
      <c r="Z124" s="4" t="str">
        <f t="shared" si="54"/>
        <v/>
      </c>
    </row>
    <row r="125" spans="1:26" outlineLevel="1" x14ac:dyDescent="0.4">
      <c r="A125" s="1">
        <v>19</v>
      </c>
      <c r="B125" t="s">
        <v>10</v>
      </c>
      <c r="C125" t="s">
        <v>4</v>
      </c>
      <c r="D125" s="4">
        <f t="shared" si="34"/>
        <v>4.7593845164829993</v>
      </c>
      <c r="E125" s="4">
        <f t="shared" ref="E125:K125" si="55">IFERROR(E180/E$34*100,"")</f>
        <v>5.639694471264427</v>
      </c>
      <c r="F125" s="4">
        <f t="shared" si="55"/>
        <v>6.2990285912482191</v>
      </c>
      <c r="G125" s="4">
        <f t="shared" si="55"/>
        <v>6.3029038120958862</v>
      </c>
      <c r="H125" s="4" t="str">
        <f t="shared" si="55"/>
        <v/>
      </c>
      <c r="I125" s="4" t="str">
        <f t="shared" si="55"/>
        <v/>
      </c>
      <c r="J125" s="4" t="str">
        <f t="shared" si="55"/>
        <v/>
      </c>
      <c r="K125" s="4" t="str">
        <f t="shared" si="55"/>
        <v/>
      </c>
      <c r="L125" s="4" t="str">
        <f t="shared" ref="L125:Q125" si="56">IFERROR(L180/L$34*100,"")</f>
        <v/>
      </c>
      <c r="M125" s="4" t="str">
        <f t="shared" si="56"/>
        <v/>
      </c>
      <c r="N125" s="4" t="str">
        <f t="shared" si="56"/>
        <v/>
      </c>
      <c r="O125" s="4" t="str">
        <f t="shared" si="56"/>
        <v/>
      </c>
      <c r="P125" s="4" t="str">
        <f t="shared" si="56"/>
        <v/>
      </c>
      <c r="Q125" s="4" t="str">
        <f t="shared" si="56"/>
        <v/>
      </c>
      <c r="R125" s="4" t="str">
        <f t="shared" ref="R125:Z125" si="57">IFERROR(R180/R$35*100,"")</f>
        <v/>
      </c>
      <c r="S125" s="4" t="str">
        <f t="shared" si="57"/>
        <v/>
      </c>
      <c r="T125" s="4" t="str">
        <f t="shared" si="57"/>
        <v/>
      </c>
      <c r="U125" s="4" t="str">
        <f t="shared" si="57"/>
        <v/>
      </c>
      <c r="V125" s="4" t="str">
        <f t="shared" si="57"/>
        <v/>
      </c>
      <c r="W125" s="4" t="str">
        <f t="shared" si="57"/>
        <v/>
      </c>
      <c r="X125" s="4" t="str">
        <f t="shared" si="57"/>
        <v/>
      </c>
      <c r="Y125" s="4" t="str">
        <f t="shared" si="57"/>
        <v/>
      </c>
      <c r="Z125" s="4" t="str">
        <f t="shared" si="57"/>
        <v/>
      </c>
    </row>
    <row r="126" spans="1:26" outlineLevel="1" x14ac:dyDescent="0.4">
      <c r="A126" s="1">
        <v>20</v>
      </c>
      <c r="B126" t="s">
        <v>51</v>
      </c>
      <c r="D126" s="4">
        <f t="shared" si="34"/>
        <v>0</v>
      </c>
      <c r="E126" s="4">
        <f t="shared" ref="E126:K126" si="58">IFERROR(E181/E$34*100,"")</f>
        <v>0</v>
      </c>
      <c r="F126" s="4">
        <f t="shared" si="58"/>
        <v>0</v>
      </c>
      <c r="G126" s="4">
        <f t="shared" si="58"/>
        <v>0</v>
      </c>
      <c r="H126" s="4" t="str">
        <f t="shared" si="58"/>
        <v/>
      </c>
      <c r="I126" s="4" t="str">
        <f t="shared" si="58"/>
        <v/>
      </c>
      <c r="J126" s="4" t="str">
        <f t="shared" si="58"/>
        <v/>
      </c>
      <c r="K126" s="4" t="str">
        <f t="shared" si="58"/>
        <v/>
      </c>
      <c r="L126" s="4" t="str">
        <f t="shared" ref="L126:Q126" si="59">IFERROR(L181/L$34*100,"")</f>
        <v/>
      </c>
      <c r="M126" s="4" t="str">
        <f t="shared" si="59"/>
        <v/>
      </c>
      <c r="N126" s="4" t="str">
        <f t="shared" si="59"/>
        <v/>
      </c>
      <c r="O126" s="4" t="str">
        <f t="shared" si="59"/>
        <v/>
      </c>
      <c r="P126" s="4" t="str">
        <f t="shared" si="59"/>
        <v/>
      </c>
      <c r="Q126" s="4" t="str">
        <f t="shared" si="59"/>
        <v/>
      </c>
      <c r="R126" s="4" t="str">
        <f t="shared" ref="R126:Z126" si="60">IFERROR(R181/R$35*100,"")</f>
        <v/>
      </c>
      <c r="S126" s="4" t="str">
        <f t="shared" si="60"/>
        <v/>
      </c>
      <c r="T126" s="4" t="str">
        <f t="shared" si="60"/>
        <v/>
      </c>
      <c r="U126" s="4" t="str">
        <f t="shared" si="60"/>
        <v/>
      </c>
      <c r="V126" s="4" t="str">
        <f t="shared" si="60"/>
        <v/>
      </c>
      <c r="W126" s="4" t="str">
        <f t="shared" si="60"/>
        <v/>
      </c>
      <c r="X126" s="4" t="str">
        <f t="shared" si="60"/>
        <v/>
      </c>
      <c r="Y126" s="4" t="str">
        <f t="shared" si="60"/>
        <v/>
      </c>
      <c r="Z126" s="4" t="str">
        <f t="shared" si="60"/>
        <v/>
      </c>
    </row>
    <row r="127" spans="1:26" outlineLevel="1" x14ac:dyDescent="0.4">
      <c r="A127" s="1">
        <v>21</v>
      </c>
      <c r="B127" t="s">
        <v>52</v>
      </c>
      <c r="C127" t="s">
        <v>85</v>
      </c>
      <c r="D127" s="4">
        <f t="shared" si="34"/>
        <v>0.74178343913745859</v>
      </c>
      <c r="E127" s="4">
        <f t="shared" ref="E127:K127" si="61">IFERROR(E182/E$34*100,"")</f>
        <v>0.22217054812178691</v>
      </c>
      <c r="F127" s="4">
        <f t="shared" si="61"/>
        <v>0.31560329919832336</v>
      </c>
      <c r="G127" s="4">
        <f t="shared" si="61"/>
        <v>0.10946818450153629</v>
      </c>
      <c r="H127" s="4" t="str">
        <f t="shared" si="61"/>
        <v/>
      </c>
      <c r="I127" s="4" t="str">
        <f t="shared" si="61"/>
        <v/>
      </c>
      <c r="J127" s="4" t="str">
        <f t="shared" si="61"/>
        <v/>
      </c>
      <c r="K127" s="4" t="str">
        <f t="shared" si="61"/>
        <v/>
      </c>
      <c r="L127" s="4" t="str">
        <f t="shared" ref="L127:Q127" si="62">IFERROR(L182/L$34*100,"")</f>
        <v/>
      </c>
      <c r="M127" s="4" t="str">
        <f t="shared" si="62"/>
        <v/>
      </c>
      <c r="N127" s="4" t="str">
        <f t="shared" si="62"/>
        <v/>
      </c>
      <c r="O127" s="4" t="str">
        <f t="shared" si="62"/>
        <v/>
      </c>
      <c r="P127" s="4" t="str">
        <f t="shared" si="62"/>
        <v/>
      </c>
      <c r="Q127" s="4" t="str">
        <f t="shared" si="62"/>
        <v/>
      </c>
      <c r="R127" s="4" t="str">
        <f t="shared" ref="R127:Z127" si="63">IFERROR(R182/R$35*100,"")</f>
        <v/>
      </c>
      <c r="S127" s="4" t="str">
        <f t="shared" si="63"/>
        <v/>
      </c>
      <c r="T127" s="4" t="str">
        <f t="shared" si="63"/>
        <v/>
      </c>
      <c r="U127" s="4" t="str">
        <f t="shared" si="63"/>
        <v/>
      </c>
      <c r="V127" s="4" t="str">
        <f t="shared" si="63"/>
        <v/>
      </c>
      <c r="W127" s="4" t="str">
        <f t="shared" si="63"/>
        <v/>
      </c>
      <c r="X127" s="4" t="str">
        <f t="shared" si="63"/>
        <v/>
      </c>
      <c r="Y127" s="4" t="str">
        <f t="shared" si="63"/>
        <v/>
      </c>
      <c r="Z127" s="4" t="str">
        <f t="shared" si="63"/>
        <v/>
      </c>
    </row>
    <row r="128" spans="1:26" outlineLevel="1" x14ac:dyDescent="0.4">
      <c r="A128" s="1">
        <v>22</v>
      </c>
      <c r="B128" t="s">
        <v>53</v>
      </c>
      <c r="C128" t="s">
        <v>86</v>
      </c>
      <c r="D128" s="4">
        <f t="shared" si="34"/>
        <v>0.84624827161964822</v>
      </c>
      <c r="E128" s="4">
        <f t="shared" ref="E128:K128" si="64">IFERROR(E183/E$34*100,"")</f>
        <v>0.12890441358601967</v>
      </c>
      <c r="F128" s="4">
        <f t="shared" si="64"/>
        <v>0.37636246903619225</v>
      </c>
      <c r="G128" s="4">
        <f t="shared" si="64"/>
        <v>-7.6697454109356644E-3</v>
      </c>
      <c r="H128" s="4" t="str">
        <f t="shared" si="64"/>
        <v/>
      </c>
      <c r="I128" s="4" t="str">
        <f t="shared" si="64"/>
        <v/>
      </c>
      <c r="J128" s="4" t="str">
        <f t="shared" si="64"/>
        <v/>
      </c>
      <c r="K128" s="4" t="str">
        <f t="shared" si="64"/>
        <v/>
      </c>
      <c r="L128" s="4" t="str">
        <f t="shared" ref="L128:Q128" si="65">IFERROR(L183/L$34*100,"")</f>
        <v/>
      </c>
      <c r="M128" s="4" t="str">
        <f t="shared" si="65"/>
        <v/>
      </c>
      <c r="N128" s="4" t="str">
        <f t="shared" si="65"/>
        <v/>
      </c>
      <c r="O128" s="4" t="str">
        <f t="shared" si="65"/>
        <v/>
      </c>
      <c r="P128" s="4" t="str">
        <f t="shared" si="65"/>
        <v/>
      </c>
      <c r="Q128" s="4" t="str">
        <f t="shared" si="65"/>
        <v/>
      </c>
      <c r="R128" s="4" t="str">
        <f t="shared" ref="R128:Z128" si="66">IFERROR(R183/R$35*100,"")</f>
        <v/>
      </c>
      <c r="S128" s="4" t="str">
        <f t="shared" si="66"/>
        <v/>
      </c>
      <c r="T128" s="4" t="str">
        <f t="shared" si="66"/>
        <v/>
      </c>
      <c r="U128" s="4" t="str">
        <f t="shared" si="66"/>
        <v/>
      </c>
      <c r="V128" s="4" t="str">
        <f t="shared" si="66"/>
        <v/>
      </c>
      <c r="W128" s="4" t="str">
        <f t="shared" si="66"/>
        <v/>
      </c>
      <c r="X128" s="4" t="str">
        <f t="shared" si="66"/>
        <v/>
      </c>
      <c r="Y128" s="4" t="str">
        <f t="shared" si="66"/>
        <v/>
      </c>
      <c r="Z128" s="4" t="str">
        <f t="shared" si="66"/>
        <v/>
      </c>
    </row>
    <row r="129" spans="1:26" outlineLevel="1" x14ac:dyDescent="0.4">
      <c r="A129" s="1">
        <v>23</v>
      </c>
      <c r="B129" t="s">
        <v>54</v>
      </c>
      <c r="C129" t="s">
        <v>87</v>
      </c>
      <c r="D129" s="4">
        <f t="shared" si="34"/>
        <v>44.236838678034957</v>
      </c>
      <c r="E129" s="4">
        <f t="shared" ref="E129:K129" si="67">IFERROR(E184/E$34*100,"")</f>
        <v>43.429666213394945</v>
      </c>
      <c r="F129" s="4">
        <f t="shared" si="67"/>
        <v>45.295100154234817</v>
      </c>
      <c r="G129" s="4">
        <f t="shared" si="67"/>
        <v>46.093775420557712</v>
      </c>
      <c r="H129" s="4" t="str">
        <f t="shared" si="67"/>
        <v/>
      </c>
      <c r="I129" s="4" t="str">
        <f t="shared" si="67"/>
        <v/>
      </c>
      <c r="J129" s="4" t="str">
        <f t="shared" si="67"/>
        <v/>
      </c>
      <c r="K129" s="4" t="str">
        <f t="shared" si="67"/>
        <v/>
      </c>
      <c r="L129" s="4" t="str">
        <f t="shared" ref="L129:Q129" si="68">IFERROR(L184/L$34*100,"")</f>
        <v/>
      </c>
      <c r="M129" s="4" t="str">
        <f t="shared" si="68"/>
        <v/>
      </c>
      <c r="N129" s="4" t="str">
        <f t="shared" si="68"/>
        <v/>
      </c>
      <c r="O129" s="4" t="str">
        <f t="shared" si="68"/>
        <v/>
      </c>
      <c r="P129" s="4" t="str">
        <f t="shared" si="68"/>
        <v/>
      </c>
      <c r="Q129" s="4" t="str">
        <f t="shared" si="68"/>
        <v/>
      </c>
      <c r="R129" s="4" t="str">
        <f t="shared" ref="R129:Z129" si="69">IFERROR(R184/R$35*100,"")</f>
        <v/>
      </c>
      <c r="S129" s="4" t="str">
        <f t="shared" si="69"/>
        <v/>
      </c>
      <c r="T129" s="4" t="str">
        <f t="shared" si="69"/>
        <v/>
      </c>
      <c r="U129" s="4" t="str">
        <f t="shared" si="69"/>
        <v/>
      </c>
      <c r="V129" s="4" t="str">
        <f t="shared" si="69"/>
        <v/>
      </c>
      <c r="W129" s="4" t="str">
        <f t="shared" si="69"/>
        <v/>
      </c>
      <c r="X129" s="4" t="str">
        <f t="shared" si="69"/>
        <v/>
      </c>
      <c r="Y129" s="4" t="str">
        <f t="shared" si="69"/>
        <v/>
      </c>
      <c r="Z129" s="4" t="str">
        <f t="shared" si="69"/>
        <v/>
      </c>
    </row>
    <row r="130" spans="1:26" outlineLevel="1" x14ac:dyDescent="0.4">
      <c r="A130" s="1">
        <v>24</v>
      </c>
      <c r="B130" s="2" t="s">
        <v>55</v>
      </c>
      <c r="C130" t="s">
        <v>79</v>
      </c>
      <c r="D130" s="4"/>
      <c r="E130" s="4"/>
      <c r="F130" s="4"/>
      <c r="G130" s="4"/>
      <c r="H130" s="4"/>
      <c r="I130" s="4"/>
      <c r="J130" s="4"/>
      <c r="K130" s="4"/>
      <c r="L130" s="4"/>
      <c r="M130" s="4"/>
      <c r="N130" s="4"/>
      <c r="O130" s="4"/>
      <c r="P130" s="4"/>
      <c r="Q130" s="4"/>
      <c r="R130" s="4" t="str">
        <f t="shared" ref="R130:Z130" si="70">IFERROR(R185/R$35*100,"")</f>
        <v/>
      </c>
      <c r="S130" s="4" t="str">
        <f t="shared" si="70"/>
        <v/>
      </c>
      <c r="T130" s="4" t="str">
        <f t="shared" si="70"/>
        <v/>
      </c>
      <c r="U130" s="4" t="str">
        <f t="shared" si="70"/>
        <v/>
      </c>
      <c r="V130" s="4" t="str">
        <f t="shared" si="70"/>
        <v/>
      </c>
      <c r="W130" s="4" t="str">
        <f t="shared" si="70"/>
        <v/>
      </c>
      <c r="X130" s="4" t="str">
        <f t="shared" si="70"/>
        <v/>
      </c>
      <c r="Y130" s="4" t="str">
        <f t="shared" si="70"/>
        <v/>
      </c>
      <c r="Z130" s="4" t="str">
        <f t="shared" si="70"/>
        <v/>
      </c>
    </row>
    <row r="131" spans="1:26" outlineLevel="1" x14ac:dyDescent="0.4">
      <c r="A131" s="1">
        <v>25</v>
      </c>
      <c r="B131" t="s">
        <v>56</v>
      </c>
      <c r="D131" s="4">
        <f>IFERROR(D129-D130,"")</f>
        <v>44.236838678034957</v>
      </c>
      <c r="E131" s="4">
        <f t="shared" ref="E131:K131" si="71">IFERROR(E129-E130,"")</f>
        <v>43.429666213394945</v>
      </c>
      <c r="F131" s="4">
        <f t="shared" si="71"/>
        <v>45.295100154234817</v>
      </c>
      <c r="G131" s="4">
        <f t="shared" si="71"/>
        <v>46.093775420557712</v>
      </c>
      <c r="H131" s="4" t="str">
        <f t="shared" si="71"/>
        <v/>
      </c>
      <c r="I131" s="4" t="str">
        <f t="shared" si="71"/>
        <v/>
      </c>
      <c r="J131" s="4" t="str">
        <f t="shared" si="71"/>
        <v/>
      </c>
      <c r="K131" s="4" t="str">
        <f t="shared" si="71"/>
        <v/>
      </c>
      <c r="L131" s="4" t="str">
        <f t="shared" ref="L131" si="72">IFERROR(L129-L130,"")</f>
        <v/>
      </c>
      <c r="M131" s="4" t="str">
        <f t="shared" ref="M131" si="73">IFERROR(M129-M130,"")</f>
        <v/>
      </c>
      <c r="N131" s="4" t="str">
        <f t="shared" ref="N131" si="74">IFERROR(N129-N130,"")</f>
        <v/>
      </c>
      <c r="O131" s="4" t="str">
        <f t="shared" ref="O131" si="75">IFERROR(O129-O130,"")</f>
        <v/>
      </c>
      <c r="P131" s="4" t="str">
        <f t="shared" ref="P131" si="76">IFERROR(P129-P130,"")</f>
        <v/>
      </c>
      <c r="Q131" s="4" t="str">
        <f t="shared" ref="Q131" si="77">IFERROR(Q129-Q130,"")</f>
        <v/>
      </c>
      <c r="R131" s="4"/>
      <c r="S131" s="4"/>
      <c r="T131" s="4"/>
      <c r="U131" s="4"/>
      <c r="V131" s="4"/>
      <c r="W131" s="4"/>
      <c r="X131" s="4"/>
      <c r="Y131" s="4"/>
      <c r="Z131" s="4"/>
    </row>
    <row r="132" spans="1:26" outlineLevel="1" x14ac:dyDescent="0.4">
      <c r="A132" s="1">
        <v>26</v>
      </c>
      <c r="B132" t="s">
        <v>612</v>
      </c>
      <c r="C132" t="s">
        <v>820</v>
      </c>
      <c r="D132" s="4">
        <f>IFERROR(D187/D$34*100,"")</f>
        <v>0</v>
      </c>
      <c r="E132" s="4">
        <f t="shared" ref="E132:K132" si="78">IFERROR(E187/E$34*100,"")</f>
        <v>0.3999828127448552</v>
      </c>
      <c r="F132" s="4">
        <f t="shared" si="78"/>
        <v>0.33860322786164621</v>
      </c>
      <c r="G132" s="4">
        <f t="shared" si="78"/>
        <v>0.46297372298738909</v>
      </c>
      <c r="H132" s="4" t="str">
        <f t="shared" si="78"/>
        <v/>
      </c>
      <c r="I132" s="4" t="str">
        <f t="shared" si="78"/>
        <v/>
      </c>
      <c r="J132" s="4" t="str">
        <f t="shared" si="78"/>
        <v/>
      </c>
      <c r="K132" s="4" t="str">
        <f t="shared" si="78"/>
        <v/>
      </c>
      <c r="L132" s="4" t="str">
        <f t="shared" ref="L132:Q132" si="79">IFERROR(L187/L$34*100,"")</f>
        <v/>
      </c>
      <c r="M132" s="4" t="str">
        <f t="shared" si="79"/>
        <v/>
      </c>
      <c r="N132" s="4" t="str">
        <f t="shared" si="79"/>
        <v/>
      </c>
      <c r="O132" s="4" t="str">
        <f t="shared" si="79"/>
        <v/>
      </c>
      <c r="P132" s="4" t="str">
        <f t="shared" si="79"/>
        <v/>
      </c>
      <c r="Q132" s="4" t="str">
        <f t="shared" si="79"/>
        <v/>
      </c>
      <c r="R132" s="4" t="str">
        <f t="shared" ref="R132" si="80">IFERROR(R130-R131,"")</f>
        <v/>
      </c>
      <c r="S132" s="4" t="str">
        <f t="shared" ref="S132" si="81">IFERROR(S130-S131,"")</f>
        <v/>
      </c>
      <c r="T132" s="4" t="str">
        <f t="shared" ref="T132" si="82">IFERROR(T130-T131,"")</f>
        <v/>
      </c>
      <c r="U132" s="4" t="str">
        <f t="shared" ref="U132" si="83">IFERROR(U130-U131,"")</f>
        <v/>
      </c>
      <c r="V132" s="4" t="str">
        <f t="shared" ref="V132" si="84">IFERROR(V130-V131,"")</f>
        <v/>
      </c>
      <c r="W132" s="4" t="str">
        <f t="shared" ref="W132" si="85">IFERROR(W130-W131,"")</f>
        <v/>
      </c>
      <c r="X132" s="4" t="str">
        <f t="shared" ref="X132" si="86">IFERROR(X130-X131,"")</f>
        <v/>
      </c>
      <c r="Y132" s="4" t="str">
        <f t="shared" ref="Y132" si="87">IFERROR(Y130-Y131,"")</f>
        <v/>
      </c>
      <c r="Z132" s="4" t="str">
        <f t="shared" ref="Z132" si="88">IFERROR(Z130-Z131,"")</f>
        <v/>
      </c>
    </row>
    <row r="133" spans="1:26" outlineLevel="1" x14ac:dyDescent="0.4">
      <c r="A133" s="1">
        <v>27</v>
      </c>
      <c r="B133" t="s">
        <v>57</v>
      </c>
      <c r="C133" t="s">
        <v>819</v>
      </c>
      <c r="D133" s="4">
        <f>IFERROR(D188/D$34*100,"")</f>
        <v>0</v>
      </c>
      <c r="E133" s="4">
        <f t="shared" ref="E133:K133" si="89">IFERROR(E188/E$34*100,"")</f>
        <v>-5.96498855025503E-3</v>
      </c>
      <c r="F133" s="4">
        <f t="shared" si="89"/>
        <v>7.7240402142068221E-3</v>
      </c>
      <c r="G133" s="4">
        <f t="shared" si="89"/>
        <v>1.5571907349475438E-2</v>
      </c>
      <c r="H133" s="4" t="str">
        <f t="shared" si="89"/>
        <v/>
      </c>
      <c r="I133" s="4" t="str">
        <f t="shared" si="89"/>
        <v/>
      </c>
      <c r="J133" s="4" t="str">
        <f t="shared" si="89"/>
        <v/>
      </c>
      <c r="K133" s="4" t="str">
        <f t="shared" si="89"/>
        <v/>
      </c>
      <c r="L133" s="4" t="str">
        <f t="shared" ref="L133:Q133" si="90">IFERROR(L188/L$34*100,"")</f>
        <v/>
      </c>
      <c r="M133" s="4" t="str">
        <f t="shared" si="90"/>
        <v/>
      </c>
      <c r="N133" s="4" t="str">
        <f t="shared" si="90"/>
        <v/>
      </c>
      <c r="O133" s="4" t="str">
        <f t="shared" si="90"/>
        <v/>
      </c>
      <c r="P133" s="4" t="str">
        <f t="shared" si="90"/>
        <v/>
      </c>
      <c r="Q133" s="4" t="str">
        <f t="shared" si="90"/>
        <v/>
      </c>
      <c r="R133" s="4" t="str">
        <f t="shared" ref="R133:Z133" si="91">IFERROR(R188/R$35*100,"")</f>
        <v/>
      </c>
      <c r="S133" s="4" t="str">
        <f t="shared" si="91"/>
        <v/>
      </c>
      <c r="T133" s="4" t="str">
        <f t="shared" si="91"/>
        <v/>
      </c>
      <c r="U133" s="4" t="str">
        <f t="shared" si="91"/>
        <v/>
      </c>
      <c r="V133" s="4" t="str">
        <f t="shared" si="91"/>
        <v/>
      </c>
      <c r="W133" s="4" t="str">
        <f t="shared" si="91"/>
        <v/>
      </c>
      <c r="X133" s="4" t="str">
        <f t="shared" si="91"/>
        <v/>
      </c>
      <c r="Y133" s="4" t="str">
        <f t="shared" si="91"/>
        <v/>
      </c>
      <c r="Z133" s="4" t="str">
        <f t="shared" si="91"/>
        <v/>
      </c>
    </row>
    <row r="134" spans="1:26" outlineLevel="1" x14ac:dyDescent="0.4">
      <c r="A134" s="1">
        <v>28</v>
      </c>
      <c r="B134" t="s">
        <v>58</v>
      </c>
      <c r="C134" t="s">
        <v>821</v>
      </c>
      <c r="D134" s="4">
        <f>IFERROR(D189/D$34*100,"")</f>
        <v>0</v>
      </c>
      <c r="E134" s="4">
        <f t="shared" ref="E134:K134" si="92">IFERROR(E189/E$34*100,"")</f>
        <v>0</v>
      </c>
      <c r="F134" s="4">
        <f t="shared" si="92"/>
        <v>0</v>
      </c>
      <c r="G134" s="4">
        <f t="shared" si="92"/>
        <v>0</v>
      </c>
      <c r="H134" s="4" t="str">
        <f t="shared" si="92"/>
        <v/>
      </c>
      <c r="I134" s="4" t="str">
        <f t="shared" si="92"/>
        <v/>
      </c>
      <c r="J134" s="4" t="str">
        <f t="shared" si="92"/>
        <v/>
      </c>
      <c r="K134" s="4" t="str">
        <f t="shared" si="92"/>
        <v/>
      </c>
      <c r="L134" s="4" t="str">
        <f t="shared" ref="L134:Q134" si="93">IFERROR(L189/L$34*100,"")</f>
        <v/>
      </c>
      <c r="M134" s="4" t="str">
        <f t="shared" si="93"/>
        <v/>
      </c>
      <c r="N134" s="4" t="str">
        <f t="shared" si="93"/>
        <v/>
      </c>
      <c r="O134" s="4" t="str">
        <f t="shared" si="93"/>
        <v/>
      </c>
      <c r="P134" s="4" t="str">
        <f t="shared" si="93"/>
        <v/>
      </c>
      <c r="Q134" s="4" t="str">
        <f t="shared" si="93"/>
        <v/>
      </c>
      <c r="R134" s="4" t="str">
        <f t="shared" ref="R134:Z134" si="94">IFERROR(R189/R$35*100,"")</f>
        <v/>
      </c>
      <c r="S134" s="4" t="str">
        <f t="shared" si="94"/>
        <v/>
      </c>
      <c r="T134" s="4" t="str">
        <f t="shared" si="94"/>
        <v/>
      </c>
      <c r="U134" s="4" t="str">
        <f t="shared" si="94"/>
        <v/>
      </c>
      <c r="V134" s="4" t="str">
        <f t="shared" si="94"/>
        <v/>
      </c>
      <c r="W134" s="4" t="str">
        <f t="shared" si="94"/>
        <v/>
      </c>
      <c r="X134" s="4" t="str">
        <f t="shared" si="94"/>
        <v/>
      </c>
      <c r="Y134" s="4" t="str">
        <f t="shared" si="94"/>
        <v/>
      </c>
      <c r="Z134" s="4" t="str">
        <f t="shared" si="94"/>
        <v/>
      </c>
    </row>
    <row r="135" spans="1:26" outlineLevel="1" x14ac:dyDescent="0.4">
      <c r="A135" s="1">
        <v>29</v>
      </c>
      <c r="B135" t="s">
        <v>59</v>
      </c>
      <c r="C135" s="4"/>
      <c r="D135" s="4">
        <f>IFERROR(D131-D132-D133-D134-D120,"")</f>
        <v>43.729200553081718</v>
      </c>
      <c r="E135" s="4">
        <f t="shared" ref="E135:K135" si="95">IFERROR(E131-E132-E133-E134-E120,"")</f>
        <v>42.310497874340953</v>
      </c>
      <c r="F135" s="4">
        <f t="shared" si="95"/>
        <v>43.858305680121418</v>
      </c>
      <c r="G135" s="4">
        <f t="shared" si="95"/>
        <v>44.509391951880481</v>
      </c>
      <c r="H135" s="4" t="str">
        <f t="shared" si="95"/>
        <v/>
      </c>
      <c r="I135" s="4" t="str">
        <f t="shared" si="95"/>
        <v/>
      </c>
      <c r="J135" s="4" t="str">
        <f t="shared" si="95"/>
        <v/>
      </c>
      <c r="K135" s="4" t="str">
        <f t="shared" si="95"/>
        <v/>
      </c>
      <c r="L135" s="4" t="str">
        <f t="shared" ref="L135" si="96">IFERROR(L131-L132-L133-L134-L120,"")</f>
        <v/>
      </c>
      <c r="M135" s="4" t="str">
        <f t="shared" ref="M135" si="97">IFERROR(M131-M132-M133-M134-M120,"")</f>
        <v/>
      </c>
      <c r="N135" s="4" t="str">
        <f t="shared" ref="N135" si="98">IFERROR(N131-N132-N133-N134-N120,"")</f>
        <v/>
      </c>
      <c r="O135" s="4" t="str">
        <f t="shared" ref="O135" si="99">IFERROR(O131-O132-O133-O134-O120,"")</f>
        <v/>
      </c>
      <c r="P135" s="4" t="str">
        <f t="shared" ref="P135" si="100">IFERROR(P131-P132-P133-P134-P120,"")</f>
        <v/>
      </c>
      <c r="Q135" s="4" t="str">
        <f t="shared" ref="Q135" si="101">IFERROR(Q131-Q132-Q133-Q134-Q120,"")</f>
        <v/>
      </c>
      <c r="R135" s="4" t="str">
        <f t="shared" ref="R135:Z135" si="102">IFERROR(R190/R$35*100,"")</f>
        <v/>
      </c>
      <c r="S135" s="4" t="str">
        <f t="shared" si="102"/>
        <v/>
      </c>
      <c r="T135" s="4" t="str">
        <f t="shared" si="102"/>
        <v/>
      </c>
      <c r="U135" s="4" t="str">
        <f t="shared" si="102"/>
        <v/>
      </c>
      <c r="V135" s="4" t="str">
        <f t="shared" si="102"/>
        <v/>
      </c>
      <c r="W135" s="4" t="str">
        <f t="shared" si="102"/>
        <v/>
      </c>
      <c r="X135" s="4" t="str">
        <f t="shared" si="102"/>
        <v/>
      </c>
      <c r="Y135" s="4" t="str">
        <f t="shared" si="102"/>
        <v/>
      </c>
      <c r="Z135" s="4" t="str">
        <f t="shared" si="102"/>
        <v/>
      </c>
    </row>
    <row r="136" spans="1:26" outlineLevel="1" x14ac:dyDescent="0.4">
      <c r="A136" s="1"/>
      <c r="B136" s="1" t="s">
        <v>35</v>
      </c>
      <c r="C136" s="1"/>
      <c r="D136" s="1"/>
      <c r="E136" s="1"/>
      <c r="F136" s="1"/>
      <c r="G136" s="1"/>
      <c r="H136" s="1"/>
      <c r="I136" s="1"/>
      <c r="J136" s="1"/>
      <c r="K136" s="1"/>
      <c r="L136" s="1"/>
      <c r="M136" s="1"/>
      <c r="N136" s="1"/>
      <c r="O136" s="1"/>
      <c r="P136" s="1"/>
      <c r="Q136" s="1"/>
      <c r="R136" s="4" t="str">
        <f t="shared" ref="R136" si="103">IFERROR(R132-R133-R134-R135-R121,"")</f>
        <v/>
      </c>
      <c r="S136" s="4" t="str">
        <f t="shared" ref="S136" si="104">IFERROR(S132-S133-S134-S135-S121,"")</f>
        <v/>
      </c>
      <c r="T136" s="4" t="str">
        <f t="shared" ref="T136" si="105">IFERROR(T132-T133-T134-T135-T121,"")</f>
        <v/>
      </c>
      <c r="U136" s="4" t="str">
        <f t="shared" ref="U136" si="106">IFERROR(U132-U133-U134-U135-U121,"")</f>
        <v/>
      </c>
      <c r="V136" s="4" t="str">
        <f t="shared" ref="V136" si="107">IFERROR(V132-V133-V134-V135-V121,"")</f>
        <v/>
      </c>
      <c r="W136" s="4" t="str">
        <f t="shared" ref="W136" si="108">IFERROR(W132-W133-W134-W135-W121,"")</f>
        <v/>
      </c>
      <c r="X136" s="4" t="str">
        <f t="shared" ref="X136" si="109">IFERROR(X132-X133-X134-X135-X121,"")</f>
        <v/>
      </c>
      <c r="Y136" s="4" t="str">
        <f t="shared" ref="Y136" si="110">IFERROR(Y132-Y133-Y134-Y135-Y121,"")</f>
        <v/>
      </c>
      <c r="Z136" s="4" t="str">
        <f t="shared" ref="Z136" si="111">IFERROR(Z132-Z133-Z134-Z135-Z121,"")</f>
        <v/>
      </c>
    </row>
    <row r="137" spans="1:26" outlineLevel="1" x14ac:dyDescent="0.4">
      <c r="A137" s="1"/>
      <c r="D137" s="4"/>
      <c r="E137" s="4"/>
      <c r="F137" s="4"/>
      <c r="G137" s="4"/>
      <c r="H137" s="4"/>
      <c r="I137" s="4"/>
      <c r="J137" s="4"/>
      <c r="K137" s="4"/>
      <c r="L137" s="4"/>
      <c r="M137" s="4"/>
      <c r="N137" s="4"/>
      <c r="O137" s="4"/>
      <c r="P137" s="4"/>
      <c r="Q137" s="4"/>
      <c r="R137" s="1"/>
      <c r="S137" s="1"/>
      <c r="T137" s="1"/>
      <c r="U137" s="1"/>
      <c r="V137" s="1"/>
      <c r="W137" s="1"/>
      <c r="X137" s="1"/>
      <c r="Y137" s="1"/>
      <c r="Z137" s="1"/>
    </row>
    <row r="138" spans="1:26" outlineLevel="1" x14ac:dyDescent="0.4">
      <c r="A138" s="1"/>
      <c r="B138" s="1" t="s">
        <v>60</v>
      </c>
      <c r="C138" s="1"/>
      <c r="D138" s="1"/>
      <c r="E138" s="1"/>
      <c r="F138" s="1"/>
      <c r="G138" s="1"/>
      <c r="H138" s="1"/>
      <c r="I138" s="1"/>
      <c r="J138" s="1"/>
      <c r="K138" s="1"/>
      <c r="L138" s="1"/>
      <c r="M138" s="1"/>
      <c r="N138" s="1"/>
      <c r="O138" s="1"/>
      <c r="P138" s="1"/>
      <c r="Q138" s="1"/>
      <c r="R138" s="4"/>
      <c r="S138" s="4"/>
      <c r="T138" s="4"/>
      <c r="U138" s="4"/>
      <c r="V138" s="4"/>
      <c r="W138" s="4"/>
      <c r="X138" s="4"/>
      <c r="Y138" s="4"/>
      <c r="Z138" s="4"/>
    </row>
    <row r="139" spans="1:26" outlineLevel="1" x14ac:dyDescent="0.4">
      <c r="A139" s="1"/>
      <c r="B139" t="s">
        <v>61</v>
      </c>
      <c r="C139" t="s">
        <v>27</v>
      </c>
      <c r="D139" s="4">
        <f>IFERROR(D194/D$34*100,"")</f>
        <v>-4.8588616381305005</v>
      </c>
      <c r="E139" s="4">
        <f t="shared" ref="E139:K139" si="112">IFERROR(E194/E$34*100,"")</f>
        <v>-2.342774528487884</v>
      </c>
      <c r="F139" s="4">
        <f t="shared" si="112"/>
        <v>-1.7868607680254289</v>
      </c>
      <c r="G139" s="4">
        <f t="shared" si="112"/>
        <v>-2.5407774797681517</v>
      </c>
      <c r="H139" s="4" t="str">
        <f t="shared" si="112"/>
        <v/>
      </c>
      <c r="I139" s="4" t="str">
        <f t="shared" si="112"/>
        <v/>
      </c>
      <c r="J139" s="4" t="str">
        <f t="shared" si="112"/>
        <v/>
      </c>
      <c r="K139" s="4" t="str">
        <f t="shared" si="112"/>
        <v/>
      </c>
      <c r="L139" s="4" t="str">
        <f t="shared" ref="L139:Q139" si="113">IFERROR(L194/L$34*100,"")</f>
        <v/>
      </c>
      <c r="M139" s="4" t="str">
        <f t="shared" si="113"/>
        <v/>
      </c>
      <c r="N139" s="4" t="str">
        <f t="shared" si="113"/>
        <v/>
      </c>
      <c r="O139" s="4" t="str">
        <f t="shared" si="113"/>
        <v/>
      </c>
      <c r="P139" s="4" t="str">
        <f t="shared" si="113"/>
        <v/>
      </c>
      <c r="Q139" s="4" t="str">
        <f t="shared" si="113"/>
        <v/>
      </c>
      <c r="R139" s="1"/>
      <c r="S139" s="1"/>
      <c r="T139" s="1"/>
      <c r="U139" s="1"/>
      <c r="V139" s="1"/>
      <c r="W139" s="1"/>
      <c r="X139" s="1"/>
      <c r="Y139" s="1"/>
      <c r="Z139" s="1"/>
    </row>
    <row r="140" spans="1:26" outlineLevel="1" x14ac:dyDescent="0.4">
      <c r="A140" s="1"/>
      <c r="B140" t="s">
        <v>62</v>
      </c>
      <c r="C140" t="s">
        <v>88</v>
      </c>
      <c r="D140" s="4">
        <f>IFERROR(D195/D$34*100,"")</f>
        <v>-5.3664997630837412</v>
      </c>
      <c r="E140" s="4">
        <f t="shared" ref="E140:K140" si="114">IFERROR(E195/E$34*100,"")</f>
        <v>-3.0679250433472771</v>
      </c>
      <c r="F140" s="4">
        <f t="shared" si="114"/>
        <v>-2.8773279740629714</v>
      </c>
      <c r="G140" s="4">
        <f t="shared" si="114"/>
        <v>-3.6466153181085113</v>
      </c>
      <c r="H140" s="4" t="str">
        <f t="shared" si="114"/>
        <v/>
      </c>
      <c r="I140" s="4" t="str">
        <f t="shared" si="114"/>
        <v/>
      </c>
      <c r="J140" s="4" t="str">
        <f t="shared" si="114"/>
        <v/>
      </c>
      <c r="K140" s="4" t="str">
        <f t="shared" si="114"/>
        <v/>
      </c>
      <c r="L140" s="4" t="str">
        <f t="shared" ref="L140:Q140" si="115">IFERROR(L195/L$34*100,"")</f>
        <v/>
      </c>
      <c r="M140" s="4" t="str">
        <f t="shared" si="115"/>
        <v/>
      </c>
      <c r="N140" s="4" t="str">
        <f t="shared" si="115"/>
        <v/>
      </c>
      <c r="O140" s="4" t="str">
        <f t="shared" si="115"/>
        <v/>
      </c>
      <c r="P140" s="4" t="str">
        <f t="shared" si="115"/>
        <v/>
      </c>
      <c r="Q140" s="4" t="str">
        <f t="shared" si="115"/>
        <v/>
      </c>
      <c r="R140" s="4" t="str">
        <f t="shared" ref="R140:Z140" si="116">IFERROR(R195/R$35*100,"")</f>
        <v/>
      </c>
      <c r="S140" s="4" t="str">
        <f t="shared" si="116"/>
        <v/>
      </c>
      <c r="T140" s="4" t="str">
        <f t="shared" si="116"/>
        <v/>
      </c>
      <c r="U140" s="4" t="str">
        <f t="shared" si="116"/>
        <v/>
      </c>
      <c r="V140" s="4" t="str">
        <f t="shared" si="116"/>
        <v/>
      </c>
      <c r="W140" s="4" t="str">
        <f t="shared" si="116"/>
        <v/>
      </c>
      <c r="X140" s="4" t="str">
        <f t="shared" si="116"/>
        <v/>
      </c>
      <c r="Y140" s="4" t="str">
        <f t="shared" si="116"/>
        <v/>
      </c>
      <c r="Z140" s="4" t="str">
        <f t="shared" si="116"/>
        <v/>
      </c>
    </row>
    <row r="141" spans="1:26" outlineLevel="1" x14ac:dyDescent="0.4">
      <c r="A141" s="1"/>
      <c r="B141" s="1" t="s">
        <v>63</v>
      </c>
      <c r="C141" s="1"/>
      <c r="D141" s="1"/>
      <c r="E141" s="1"/>
      <c r="F141" s="1"/>
      <c r="G141" s="1"/>
      <c r="H141" s="1"/>
      <c r="I141" s="1"/>
      <c r="J141" s="1"/>
      <c r="K141" s="1"/>
      <c r="L141" s="1"/>
      <c r="M141" s="1"/>
      <c r="N141" s="1"/>
      <c r="O141" s="1"/>
      <c r="P141" s="1"/>
      <c r="Q141" s="1"/>
      <c r="R141" s="4" t="str">
        <f t="shared" ref="R141:Z141" si="117">IFERROR(R196/R$35*100,"")</f>
        <v/>
      </c>
      <c r="S141" s="4" t="str">
        <f t="shared" si="117"/>
        <v/>
      </c>
      <c r="T141" s="4" t="str">
        <f t="shared" si="117"/>
        <v/>
      </c>
      <c r="U141" s="4" t="str">
        <f t="shared" si="117"/>
        <v/>
      </c>
      <c r="V141" s="4" t="str">
        <f t="shared" si="117"/>
        <v/>
      </c>
      <c r="W141" s="4" t="str">
        <f t="shared" si="117"/>
        <v/>
      </c>
      <c r="X141" s="4" t="str">
        <f t="shared" si="117"/>
        <v/>
      </c>
      <c r="Y141" s="4" t="str">
        <f t="shared" si="117"/>
        <v/>
      </c>
      <c r="Z141" s="4" t="str">
        <f t="shared" si="117"/>
        <v/>
      </c>
    </row>
    <row r="142" spans="1:26" outlineLevel="1" x14ac:dyDescent="0.4">
      <c r="A142" s="1"/>
      <c r="B142" t="s">
        <v>0</v>
      </c>
      <c r="C142" t="s">
        <v>613</v>
      </c>
      <c r="D142" s="4">
        <f>IFERROR(D98,"")</f>
        <v>-5.3616799999999998</v>
      </c>
      <c r="E142" s="4">
        <f t="shared" ref="E142:K142" si="118">IFERROR(E98,"")</f>
        <v>-2.0901399999999999</v>
      </c>
      <c r="F142" s="4">
        <f t="shared" si="118"/>
        <v>-1.3087</v>
      </c>
      <c r="G142" s="4">
        <f t="shared" si="118"/>
        <v>-2.5189499999999998</v>
      </c>
      <c r="H142" s="4">
        <f t="shared" si="118"/>
        <v>0</v>
      </c>
      <c r="I142" s="4">
        <f t="shared" si="118"/>
        <v>0</v>
      </c>
      <c r="J142" s="4">
        <f t="shared" si="118"/>
        <v>0</v>
      </c>
      <c r="K142" s="4">
        <f t="shared" si="118"/>
        <v>0</v>
      </c>
      <c r="L142" s="4">
        <f t="shared" ref="L142:Z143" si="119">IFERROR(L98,"")</f>
        <v>0</v>
      </c>
      <c r="M142" s="4">
        <f t="shared" si="119"/>
        <v>0</v>
      </c>
      <c r="N142" s="4">
        <f t="shared" si="119"/>
        <v>0</v>
      </c>
      <c r="O142" s="4">
        <f t="shared" si="119"/>
        <v>0</v>
      </c>
      <c r="P142" s="4">
        <f t="shared" si="119"/>
        <v>0</v>
      </c>
      <c r="Q142" s="4">
        <f t="shared" si="119"/>
        <v>0</v>
      </c>
      <c r="R142" s="1"/>
      <c r="S142" s="1"/>
      <c r="T142" s="1"/>
      <c r="U142" s="1"/>
      <c r="V142" s="1"/>
      <c r="W142" s="1"/>
      <c r="X142" s="1"/>
      <c r="Y142" s="1"/>
      <c r="Z142" s="1"/>
    </row>
    <row r="143" spans="1:26" outlineLevel="1" x14ac:dyDescent="0.4">
      <c r="A143" s="1"/>
      <c r="B143" t="s">
        <v>3</v>
      </c>
      <c r="C143" t="s">
        <v>614</v>
      </c>
      <c r="D143" s="4">
        <f>IFERROR(D99,"")</f>
        <v>-4.8540700000000001</v>
      </c>
      <c r="E143" s="4">
        <f t="shared" ref="E143:K143" si="120">IFERROR(E99,"")</f>
        <v>-1.3650599999999999</v>
      </c>
      <c r="F143" s="4">
        <f t="shared" si="120"/>
        <v>-0.21811</v>
      </c>
      <c r="G143" s="4">
        <f t="shared" si="120"/>
        <v>-1.41309</v>
      </c>
      <c r="H143" s="4">
        <f t="shared" si="120"/>
        <v>0</v>
      </c>
      <c r="I143" s="4">
        <f t="shared" si="120"/>
        <v>0</v>
      </c>
      <c r="J143" s="4">
        <f t="shared" si="120"/>
        <v>0</v>
      </c>
      <c r="K143" s="4">
        <f t="shared" si="120"/>
        <v>0</v>
      </c>
      <c r="L143" s="4">
        <f t="shared" ref="L143:Z144" si="121">IFERROR(L99,"")</f>
        <v>0</v>
      </c>
      <c r="M143" s="4">
        <f t="shared" si="121"/>
        <v>0</v>
      </c>
      <c r="N143" s="4">
        <f t="shared" si="121"/>
        <v>0</v>
      </c>
      <c r="O143" s="4">
        <f t="shared" si="121"/>
        <v>0</v>
      </c>
      <c r="P143" s="4">
        <f t="shared" si="121"/>
        <v>0</v>
      </c>
      <c r="Q143" s="4">
        <f t="shared" si="121"/>
        <v>0</v>
      </c>
      <c r="R143" s="4">
        <f t="shared" si="119"/>
        <v>0</v>
      </c>
      <c r="S143" s="4">
        <f t="shared" si="119"/>
        <v>0</v>
      </c>
      <c r="T143" s="4">
        <f t="shared" si="119"/>
        <v>0</v>
      </c>
      <c r="U143" s="4">
        <f t="shared" si="119"/>
        <v>0</v>
      </c>
      <c r="V143" s="4">
        <f t="shared" si="119"/>
        <v>0</v>
      </c>
      <c r="W143" s="4">
        <f t="shared" si="119"/>
        <v>0</v>
      </c>
      <c r="X143" s="4">
        <f t="shared" si="119"/>
        <v>0</v>
      </c>
      <c r="Y143" s="4">
        <f t="shared" si="119"/>
        <v>0</v>
      </c>
      <c r="Z143" s="4">
        <f t="shared" si="119"/>
        <v>0</v>
      </c>
    </row>
    <row r="144" spans="1:26" outlineLevel="1" x14ac:dyDescent="0.4">
      <c r="A144" s="1"/>
      <c r="B144" s="1" t="s">
        <v>20</v>
      </c>
      <c r="C144" s="1"/>
      <c r="D144" s="1"/>
      <c r="E144" s="1"/>
      <c r="F144" s="1"/>
      <c r="G144" s="1"/>
      <c r="H144" s="1"/>
      <c r="I144" s="1"/>
      <c r="J144" s="1"/>
      <c r="K144" s="1"/>
      <c r="L144" s="1"/>
      <c r="M144" s="1"/>
      <c r="N144" s="1"/>
      <c r="O144" s="1"/>
      <c r="P144" s="1"/>
      <c r="Q144" s="1"/>
      <c r="R144" s="4">
        <f t="shared" si="121"/>
        <v>0</v>
      </c>
      <c r="S144" s="4">
        <f t="shared" si="121"/>
        <v>0</v>
      </c>
      <c r="T144" s="4">
        <f t="shared" si="121"/>
        <v>0</v>
      </c>
      <c r="U144" s="4">
        <f t="shared" si="121"/>
        <v>0</v>
      </c>
      <c r="V144" s="4">
        <f t="shared" si="121"/>
        <v>0</v>
      </c>
      <c r="W144" s="4">
        <f t="shared" si="121"/>
        <v>0</v>
      </c>
      <c r="X144" s="4">
        <f t="shared" si="121"/>
        <v>0</v>
      </c>
      <c r="Y144" s="4">
        <f t="shared" si="121"/>
        <v>0</v>
      </c>
      <c r="Z144" s="4">
        <f t="shared" si="121"/>
        <v>0</v>
      </c>
    </row>
    <row r="145" spans="1:26" outlineLevel="1" x14ac:dyDescent="0.4">
      <c r="A145" s="1"/>
      <c r="B145" t="s">
        <v>1</v>
      </c>
      <c r="D145" s="4">
        <f>IFERROR(D200/D$34*100,"")</f>
        <v>44.442997392535617</v>
      </c>
      <c r="E145" s="4">
        <f t="shared" ref="E145:K145" si="122">IFERROR(E200/E$34*100,"")</f>
        <v>44.430318318075436</v>
      </c>
      <c r="F145" s="4">
        <f t="shared" si="122"/>
        <v>46.249535696627248</v>
      </c>
      <c r="G145" s="4">
        <f t="shared" si="122"/>
        <v>46.887477862325753</v>
      </c>
      <c r="H145" s="4" t="str">
        <f t="shared" si="122"/>
        <v/>
      </c>
      <c r="I145" s="4" t="str">
        <f t="shared" si="122"/>
        <v/>
      </c>
      <c r="J145" s="4" t="str">
        <f t="shared" si="122"/>
        <v/>
      </c>
      <c r="K145" s="4" t="str">
        <f t="shared" si="122"/>
        <v/>
      </c>
      <c r="L145" s="4" t="str">
        <f t="shared" ref="L145:Q145" si="123">IFERROR(L200/L$34*100,"")</f>
        <v/>
      </c>
      <c r="M145" s="4" t="str">
        <f t="shared" si="123"/>
        <v/>
      </c>
      <c r="N145" s="4" t="str">
        <f t="shared" si="123"/>
        <v/>
      </c>
      <c r="O145" s="4" t="str">
        <f t="shared" si="123"/>
        <v/>
      </c>
      <c r="P145" s="4" t="str">
        <f t="shared" si="123"/>
        <v/>
      </c>
      <c r="Q145" s="4" t="str">
        <f t="shared" si="123"/>
        <v/>
      </c>
      <c r="R145" s="1"/>
      <c r="S145" s="1"/>
      <c r="T145" s="1"/>
      <c r="U145" s="1"/>
      <c r="V145" s="1"/>
      <c r="W145" s="1"/>
      <c r="X145" s="1"/>
      <c r="Y145" s="1"/>
      <c r="Z145" s="1"/>
    </row>
    <row r="146" spans="1:26" outlineLevel="1" x14ac:dyDescent="0.4">
      <c r="A146" s="1"/>
      <c r="B146" t="s">
        <v>2</v>
      </c>
      <c r="D146" s="4">
        <f>IFERROR(D201/D$34*100,"")</f>
        <v>0</v>
      </c>
      <c r="E146" s="4">
        <f t="shared" ref="E146:K146" si="124">IFERROR(E201/E$34*100,"")</f>
        <v>3.8913967677850185</v>
      </c>
      <c r="F146" s="4">
        <f t="shared" si="124"/>
        <v>3.0084398668710008</v>
      </c>
      <c r="G146" s="4">
        <f t="shared" si="124"/>
        <v>3.1896844248388225</v>
      </c>
      <c r="H146" s="4" t="str">
        <f t="shared" si="124"/>
        <v/>
      </c>
      <c r="I146" s="4" t="str">
        <f t="shared" si="124"/>
        <v/>
      </c>
      <c r="J146" s="4" t="str">
        <f t="shared" si="124"/>
        <v/>
      </c>
      <c r="K146" s="4" t="str">
        <f t="shared" si="124"/>
        <v/>
      </c>
      <c r="L146" s="4" t="str">
        <f t="shared" ref="L146:Q146" si="125">IFERROR(L201/L$34*100,"")</f>
        <v/>
      </c>
      <c r="M146" s="4" t="str">
        <f t="shared" si="125"/>
        <v/>
      </c>
      <c r="N146" s="4" t="str">
        <f t="shared" si="125"/>
        <v/>
      </c>
      <c r="O146" s="4" t="str">
        <f t="shared" si="125"/>
        <v/>
      </c>
      <c r="P146" s="4" t="str">
        <f t="shared" si="125"/>
        <v/>
      </c>
      <c r="Q146" s="4" t="str">
        <f t="shared" si="125"/>
        <v/>
      </c>
      <c r="R146" s="4" t="str">
        <f t="shared" ref="R146:Z146" si="126">IFERROR(R201/R$35*100,"")</f>
        <v/>
      </c>
      <c r="S146" s="4" t="str">
        <f t="shared" si="126"/>
        <v/>
      </c>
      <c r="T146" s="4" t="str">
        <f t="shared" si="126"/>
        <v/>
      </c>
      <c r="U146" s="4" t="str">
        <f t="shared" si="126"/>
        <v/>
      </c>
      <c r="V146" s="4" t="str">
        <f t="shared" si="126"/>
        <v/>
      </c>
      <c r="W146" s="4" t="str">
        <f t="shared" si="126"/>
        <v/>
      </c>
      <c r="X146" s="4" t="str">
        <f t="shared" si="126"/>
        <v/>
      </c>
      <c r="Y146" s="4" t="str">
        <f t="shared" si="126"/>
        <v/>
      </c>
      <c r="Z146" s="4" t="str">
        <f t="shared" si="126"/>
        <v/>
      </c>
    </row>
    <row r="147" spans="1:26" outlineLevel="1" x14ac:dyDescent="0.4">
      <c r="A147" s="1"/>
      <c r="B147" t="s">
        <v>64</v>
      </c>
      <c r="D147" s="4"/>
      <c r="E147" s="4"/>
      <c r="F147" s="4"/>
      <c r="G147" s="4"/>
      <c r="H147" s="4"/>
      <c r="I147" s="4"/>
      <c r="J147" s="4"/>
      <c r="K147" s="4"/>
      <c r="L147" s="4"/>
      <c r="M147" s="4"/>
      <c r="N147" s="4"/>
      <c r="O147" s="4"/>
      <c r="P147" s="4"/>
      <c r="Q147" s="4"/>
      <c r="R147" s="4" t="str">
        <f t="shared" ref="R147:Z147" si="127">IFERROR(R202/R$35*100,"")</f>
        <v/>
      </c>
      <c r="S147" s="4" t="str">
        <f t="shared" si="127"/>
        <v/>
      </c>
      <c r="T147" s="4" t="str">
        <f t="shared" si="127"/>
        <v/>
      </c>
      <c r="U147" s="4" t="str">
        <f t="shared" si="127"/>
        <v/>
      </c>
      <c r="V147" s="4" t="str">
        <f t="shared" si="127"/>
        <v/>
      </c>
      <c r="W147" s="4" t="str">
        <f t="shared" si="127"/>
        <v/>
      </c>
      <c r="X147" s="4" t="str">
        <f t="shared" si="127"/>
        <v/>
      </c>
      <c r="Y147" s="4" t="str">
        <f t="shared" si="127"/>
        <v/>
      </c>
      <c r="Z147" s="4" t="str">
        <f t="shared" si="127"/>
        <v/>
      </c>
    </row>
    <row r="148" spans="1:26" outlineLevel="1" x14ac:dyDescent="0.4">
      <c r="A148" s="1"/>
      <c r="B148" t="s">
        <v>65</v>
      </c>
      <c r="D148" s="4">
        <f t="shared" ref="D148:D153" si="128">IFERROR(D203/D$34*100,"")</f>
        <v>5.3664997630837412</v>
      </c>
      <c r="E148" s="4">
        <f t="shared" ref="E148:K148" si="129">IFERROR(E203/E$34*100,"")</f>
        <v>3.0679250433472771</v>
      </c>
      <c r="F148" s="4">
        <f t="shared" si="129"/>
        <v>2.8773279740629714</v>
      </c>
      <c r="G148" s="4">
        <f t="shared" si="129"/>
        <v>3.6466153181085113</v>
      </c>
      <c r="H148" s="4" t="str">
        <f t="shared" si="129"/>
        <v/>
      </c>
      <c r="I148" s="4" t="str">
        <f t="shared" si="129"/>
        <v/>
      </c>
      <c r="J148" s="4" t="str">
        <f t="shared" si="129"/>
        <v/>
      </c>
      <c r="K148" s="4" t="str">
        <f t="shared" si="129"/>
        <v/>
      </c>
      <c r="L148" s="4" t="str">
        <f t="shared" ref="L148:Q148" si="130">IFERROR(L203/L$34*100,"")</f>
        <v/>
      </c>
      <c r="M148" s="4" t="str">
        <f t="shared" si="130"/>
        <v/>
      </c>
      <c r="N148" s="4" t="str">
        <f t="shared" si="130"/>
        <v/>
      </c>
      <c r="O148" s="4" t="str">
        <f t="shared" si="130"/>
        <v/>
      </c>
      <c r="P148" s="4" t="str">
        <f t="shared" si="130"/>
        <v/>
      </c>
      <c r="Q148" s="4" t="str">
        <f t="shared" si="130"/>
        <v/>
      </c>
      <c r="R148" s="4"/>
      <c r="S148" s="4"/>
      <c r="T148" s="4"/>
      <c r="U148" s="4"/>
      <c r="V148" s="4"/>
      <c r="W148" s="4"/>
      <c r="X148" s="4"/>
      <c r="Y148" s="4"/>
      <c r="Z148" s="4"/>
    </row>
    <row r="149" spans="1:26" outlineLevel="1" x14ac:dyDescent="0.4">
      <c r="A149" s="1"/>
      <c r="B149" t="s">
        <v>66</v>
      </c>
      <c r="D149" s="4">
        <f t="shared" si="128"/>
        <v>0</v>
      </c>
      <c r="E149" s="4">
        <f t="shared" ref="E149:K149" si="131">IFERROR(E204/E$34*100,"")</f>
        <v>0</v>
      </c>
      <c r="F149" s="4">
        <f t="shared" si="131"/>
        <v>0</v>
      </c>
      <c r="G149" s="4">
        <f t="shared" si="131"/>
        <v>0</v>
      </c>
      <c r="H149" s="4" t="str">
        <f t="shared" si="131"/>
        <v/>
      </c>
      <c r="I149" s="4" t="str">
        <f t="shared" si="131"/>
        <v/>
      </c>
      <c r="J149" s="4" t="str">
        <f t="shared" si="131"/>
        <v/>
      </c>
      <c r="K149" s="4" t="str">
        <f t="shared" si="131"/>
        <v/>
      </c>
      <c r="L149" s="4" t="str">
        <f t="shared" ref="L149:Q149" si="132">IFERROR(L204/L$34*100,"")</f>
        <v/>
      </c>
      <c r="M149" s="4" t="str">
        <f t="shared" si="132"/>
        <v/>
      </c>
      <c r="N149" s="4" t="str">
        <f t="shared" si="132"/>
        <v/>
      </c>
      <c r="O149" s="4" t="str">
        <f t="shared" si="132"/>
        <v/>
      </c>
      <c r="P149" s="4" t="str">
        <f t="shared" si="132"/>
        <v/>
      </c>
      <c r="Q149" s="4" t="str">
        <f t="shared" si="132"/>
        <v/>
      </c>
      <c r="R149" s="4" t="str">
        <f t="shared" ref="R149:Z149" si="133">IFERROR(R204/R$35*100,"")</f>
        <v/>
      </c>
      <c r="S149" s="4" t="str">
        <f t="shared" si="133"/>
        <v/>
      </c>
      <c r="T149" s="4" t="str">
        <f t="shared" si="133"/>
        <v/>
      </c>
      <c r="U149" s="4" t="str">
        <f t="shared" si="133"/>
        <v/>
      </c>
      <c r="V149" s="4" t="str">
        <f t="shared" si="133"/>
        <v/>
      </c>
      <c r="W149" s="4" t="str">
        <f t="shared" si="133"/>
        <v/>
      </c>
      <c r="X149" s="4" t="str">
        <f t="shared" si="133"/>
        <v/>
      </c>
      <c r="Y149" s="4" t="str">
        <f t="shared" si="133"/>
        <v/>
      </c>
      <c r="Z149" s="4" t="str">
        <f t="shared" si="133"/>
        <v/>
      </c>
    </row>
    <row r="150" spans="1:26" outlineLevel="1" x14ac:dyDescent="0.4">
      <c r="A150" s="1"/>
      <c r="B150" t="s">
        <v>67</v>
      </c>
      <c r="D150" s="4">
        <f t="shared" si="128"/>
        <v>0.50763812495324023</v>
      </c>
      <c r="E150" s="4">
        <f t="shared" ref="E150:K150" si="134">IFERROR(E205/E$34*100,"")</f>
        <v>0.72515051485939308</v>
      </c>
      <c r="F150" s="4">
        <f t="shared" si="134"/>
        <v>1.0904672060375427</v>
      </c>
      <c r="G150" s="4">
        <f t="shared" si="134"/>
        <v>1.1058378383403602</v>
      </c>
      <c r="H150" s="4" t="str">
        <f t="shared" si="134"/>
        <v/>
      </c>
      <c r="I150" s="4" t="str">
        <f t="shared" si="134"/>
        <v/>
      </c>
      <c r="J150" s="4" t="str">
        <f t="shared" si="134"/>
        <v/>
      </c>
      <c r="K150" s="4" t="str">
        <f t="shared" si="134"/>
        <v/>
      </c>
      <c r="L150" s="4" t="str">
        <f t="shared" ref="L150:Q150" si="135">IFERROR(L205/L$34*100,"")</f>
        <v/>
      </c>
      <c r="M150" s="4" t="str">
        <f t="shared" si="135"/>
        <v/>
      </c>
      <c r="N150" s="4" t="str">
        <f t="shared" si="135"/>
        <v/>
      </c>
      <c r="O150" s="4" t="str">
        <f t="shared" si="135"/>
        <v/>
      </c>
      <c r="P150" s="4" t="str">
        <f t="shared" si="135"/>
        <v/>
      </c>
      <c r="Q150" s="4" t="str">
        <f t="shared" si="135"/>
        <v/>
      </c>
      <c r="R150" s="4" t="str">
        <f t="shared" ref="R150:Z150" si="136">IFERROR(R205/R$35*100,"")</f>
        <v/>
      </c>
      <c r="S150" s="4" t="str">
        <f t="shared" si="136"/>
        <v/>
      </c>
      <c r="T150" s="4" t="str">
        <f t="shared" si="136"/>
        <v/>
      </c>
      <c r="U150" s="4" t="str">
        <f t="shared" si="136"/>
        <v/>
      </c>
      <c r="V150" s="4" t="str">
        <f t="shared" si="136"/>
        <v/>
      </c>
      <c r="W150" s="4" t="str">
        <f t="shared" si="136"/>
        <v/>
      </c>
      <c r="X150" s="4" t="str">
        <f t="shared" si="136"/>
        <v/>
      </c>
      <c r="Y150" s="4" t="str">
        <f t="shared" si="136"/>
        <v/>
      </c>
      <c r="Z150" s="4" t="str">
        <f t="shared" si="136"/>
        <v/>
      </c>
    </row>
    <row r="151" spans="1:26" outlineLevel="1" x14ac:dyDescent="0.4">
      <c r="A151" s="1"/>
      <c r="B151" t="s">
        <v>68</v>
      </c>
      <c r="D151" s="4">
        <f t="shared" si="128"/>
        <v>0</v>
      </c>
      <c r="E151" s="4">
        <f t="shared" ref="E151:K151" si="137">IFERROR(E206/E$34*100,"")</f>
        <v>0</v>
      </c>
      <c r="F151" s="4">
        <f t="shared" si="137"/>
        <v>0</v>
      </c>
      <c r="G151" s="4">
        <f t="shared" si="137"/>
        <v>0</v>
      </c>
      <c r="H151" s="4" t="str">
        <f t="shared" si="137"/>
        <v/>
      </c>
      <c r="I151" s="4" t="str">
        <f t="shared" si="137"/>
        <v/>
      </c>
      <c r="J151" s="4" t="str">
        <f t="shared" si="137"/>
        <v/>
      </c>
      <c r="K151" s="4" t="str">
        <f t="shared" si="137"/>
        <v/>
      </c>
      <c r="L151" s="4" t="str">
        <f t="shared" ref="L151:Q151" si="138">IFERROR(L206/L$34*100,"")</f>
        <v/>
      </c>
      <c r="M151" s="4" t="str">
        <f t="shared" si="138"/>
        <v/>
      </c>
      <c r="N151" s="4" t="str">
        <f t="shared" si="138"/>
        <v/>
      </c>
      <c r="O151" s="4" t="str">
        <f t="shared" si="138"/>
        <v/>
      </c>
      <c r="P151" s="4" t="str">
        <f t="shared" si="138"/>
        <v/>
      </c>
      <c r="Q151" s="4" t="str">
        <f t="shared" si="138"/>
        <v/>
      </c>
      <c r="R151" s="4" t="str">
        <f t="shared" ref="R151:Z151" si="139">IFERROR(R206/R$35*100,"")</f>
        <v/>
      </c>
      <c r="S151" s="4" t="str">
        <f t="shared" si="139"/>
        <v/>
      </c>
      <c r="T151" s="4" t="str">
        <f t="shared" si="139"/>
        <v/>
      </c>
      <c r="U151" s="4" t="str">
        <f t="shared" si="139"/>
        <v/>
      </c>
      <c r="V151" s="4" t="str">
        <f t="shared" si="139"/>
        <v/>
      </c>
      <c r="W151" s="4" t="str">
        <f t="shared" si="139"/>
        <v/>
      </c>
      <c r="X151" s="4" t="str">
        <f t="shared" si="139"/>
        <v/>
      </c>
      <c r="Y151" s="4" t="str">
        <f t="shared" si="139"/>
        <v/>
      </c>
      <c r="Z151" s="4" t="str">
        <f t="shared" si="139"/>
        <v/>
      </c>
    </row>
    <row r="152" spans="1:26" outlineLevel="1" x14ac:dyDescent="0.4">
      <c r="A152" s="1"/>
      <c r="B152" t="s">
        <v>69</v>
      </c>
      <c r="D152" s="4">
        <f t="shared" si="128"/>
        <v>0</v>
      </c>
      <c r="E152" s="4">
        <f t="shared" ref="E152:K152" si="140">IFERROR(E207/E$34*100,"")</f>
        <v>0</v>
      </c>
      <c r="F152" s="4">
        <f t="shared" si="140"/>
        <v>0</v>
      </c>
      <c r="G152" s="4">
        <f t="shared" si="140"/>
        <v>0</v>
      </c>
      <c r="H152" s="4" t="str">
        <f t="shared" si="140"/>
        <v/>
      </c>
      <c r="I152" s="4" t="str">
        <f t="shared" si="140"/>
        <v/>
      </c>
      <c r="J152" s="4" t="str">
        <f t="shared" si="140"/>
        <v/>
      </c>
      <c r="K152" s="4" t="str">
        <f t="shared" si="140"/>
        <v/>
      </c>
      <c r="L152" s="4" t="str">
        <f t="shared" ref="L152:Q152" si="141">IFERROR(L207/L$34*100,"")</f>
        <v/>
      </c>
      <c r="M152" s="4" t="str">
        <f t="shared" si="141"/>
        <v/>
      </c>
      <c r="N152" s="4" t="str">
        <f t="shared" si="141"/>
        <v/>
      </c>
      <c r="O152" s="4" t="str">
        <f t="shared" si="141"/>
        <v/>
      </c>
      <c r="P152" s="4" t="str">
        <f t="shared" si="141"/>
        <v/>
      </c>
      <c r="Q152" s="4" t="str">
        <f t="shared" si="141"/>
        <v/>
      </c>
      <c r="R152" s="4" t="str">
        <f t="shared" ref="R152:Z152" si="142">IFERROR(R207/R$35*100,"")</f>
        <v/>
      </c>
      <c r="S152" s="4" t="str">
        <f t="shared" si="142"/>
        <v/>
      </c>
      <c r="T152" s="4" t="str">
        <f t="shared" si="142"/>
        <v/>
      </c>
      <c r="U152" s="4" t="str">
        <f t="shared" si="142"/>
        <v/>
      </c>
      <c r="V152" s="4" t="str">
        <f t="shared" si="142"/>
        <v/>
      </c>
      <c r="W152" s="4" t="str">
        <f t="shared" si="142"/>
        <v/>
      </c>
      <c r="X152" s="4" t="str">
        <f t="shared" si="142"/>
        <v/>
      </c>
      <c r="Y152" s="4" t="str">
        <f t="shared" si="142"/>
        <v/>
      </c>
      <c r="Z152" s="4" t="str">
        <f t="shared" si="142"/>
        <v/>
      </c>
    </row>
    <row r="153" spans="1:26" outlineLevel="1" x14ac:dyDescent="0.4">
      <c r="A153" s="1"/>
      <c r="B153" t="s">
        <v>70</v>
      </c>
      <c r="D153" s="4">
        <f t="shared" si="128"/>
        <v>-5.3664997630837412</v>
      </c>
      <c r="E153" s="4">
        <f t="shared" ref="E153:K153" si="143">IFERROR(E208/E$34*100,"")</f>
        <v>0.82347172443774186</v>
      </c>
      <c r="F153" s="4">
        <f t="shared" si="143"/>
        <v>0.13111189280802954</v>
      </c>
      <c r="G153" s="4">
        <f t="shared" si="143"/>
        <v>-0.45693089326968889</v>
      </c>
      <c r="H153" s="4" t="str">
        <f t="shared" si="143"/>
        <v/>
      </c>
      <c r="I153" s="4" t="str">
        <f t="shared" si="143"/>
        <v/>
      </c>
      <c r="J153" s="4" t="str">
        <f t="shared" si="143"/>
        <v/>
      </c>
      <c r="K153" s="4" t="str">
        <f t="shared" si="143"/>
        <v/>
      </c>
      <c r="L153" s="4" t="str">
        <f t="shared" ref="L153:Q153" si="144">IFERROR(L208/L$34*100,"")</f>
        <v/>
      </c>
      <c r="M153" s="4" t="str">
        <f t="shared" si="144"/>
        <v/>
      </c>
      <c r="N153" s="4" t="str">
        <f t="shared" si="144"/>
        <v/>
      </c>
      <c r="O153" s="4" t="str">
        <f t="shared" si="144"/>
        <v/>
      </c>
      <c r="P153" s="4" t="str">
        <f t="shared" si="144"/>
        <v/>
      </c>
      <c r="Q153" s="4" t="str">
        <f t="shared" si="144"/>
        <v/>
      </c>
      <c r="R153" s="4" t="str">
        <f t="shared" ref="R153:Z153" si="145">IFERROR(R208/R$35*100,"")</f>
        <v/>
      </c>
      <c r="S153" s="4" t="str">
        <f t="shared" si="145"/>
        <v/>
      </c>
      <c r="T153" s="4" t="str">
        <f t="shared" si="145"/>
        <v/>
      </c>
      <c r="U153" s="4" t="str">
        <f t="shared" si="145"/>
        <v/>
      </c>
      <c r="V153" s="4" t="str">
        <f t="shared" si="145"/>
        <v/>
      </c>
      <c r="W153" s="4" t="str">
        <f t="shared" si="145"/>
        <v/>
      </c>
      <c r="X153" s="4" t="str">
        <f t="shared" si="145"/>
        <v/>
      </c>
      <c r="Y153" s="4" t="str">
        <f t="shared" si="145"/>
        <v/>
      </c>
      <c r="Z153" s="4" t="str">
        <f t="shared" si="145"/>
        <v/>
      </c>
    </row>
    <row r="154" spans="1:26" outlineLevel="1" x14ac:dyDescent="0.4">
      <c r="A154" s="1"/>
      <c r="B154" s="1"/>
      <c r="C154" s="1"/>
      <c r="D154" s="1"/>
      <c r="E154" s="1"/>
      <c r="F154" s="1"/>
      <c r="G154" s="1"/>
      <c r="H154" s="1"/>
      <c r="I154" s="1"/>
      <c r="J154" s="1"/>
      <c r="K154" s="1"/>
      <c r="L154" s="1"/>
      <c r="M154" s="1"/>
      <c r="N154" s="1"/>
      <c r="O154" s="1"/>
      <c r="P154" s="1"/>
      <c r="Q154" s="1"/>
      <c r="R154" s="4" t="str">
        <f t="shared" ref="R154:Z154" si="146">IFERROR(R209/R$35*100,"")</f>
        <v/>
      </c>
      <c r="S154" s="4" t="str">
        <f t="shared" si="146"/>
        <v/>
      </c>
      <c r="T154" s="4" t="str">
        <f t="shared" si="146"/>
        <v/>
      </c>
      <c r="U154" s="4" t="str">
        <f t="shared" si="146"/>
        <v/>
      </c>
      <c r="V154" s="4" t="str">
        <f t="shared" si="146"/>
        <v/>
      </c>
      <c r="W154" s="4" t="str">
        <f t="shared" si="146"/>
        <v/>
      </c>
      <c r="X154" s="4" t="str">
        <f t="shared" si="146"/>
        <v/>
      </c>
      <c r="Y154" s="4" t="str">
        <f t="shared" si="146"/>
        <v/>
      </c>
      <c r="Z154" s="4" t="str">
        <f t="shared" si="146"/>
        <v/>
      </c>
    </row>
    <row r="155" spans="1:26" outlineLevel="1" x14ac:dyDescent="0.4">
      <c r="A155" s="1"/>
      <c r="B155" s="7" t="s">
        <v>71</v>
      </c>
      <c r="C155" s="7"/>
      <c r="D155" s="7"/>
      <c r="E155" s="7"/>
      <c r="F155" s="7"/>
      <c r="G155" s="7"/>
      <c r="H155" s="7"/>
      <c r="I155" s="7"/>
      <c r="J155" s="7"/>
      <c r="K155" s="7"/>
      <c r="L155" s="7"/>
      <c r="M155" s="7"/>
      <c r="N155" s="7"/>
      <c r="O155" s="7"/>
      <c r="P155" s="7"/>
      <c r="Q155" s="7"/>
      <c r="R155" s="1"/>
      <c r="S155" s="1"/>
      <c r="T155" s="1"/>
      <c r="U155" s="1"/>
      <c r="V155" s="1"/>
      <c r="W155" s="1"/>
      <c r="X155" s="1"/>
      <c r="Y155" s="1"/>
      <c r="Z155" s="1"/>
    </row>
    <row r="156" spans="1:26" ht="14.65" customHeight="1" outlineLevel="1" x14ac:dyDescent="0.7">
      <c r="A156" s="13"/>
      <c r="B156" s="57"/>
      <c r="R156" s="7"/>
      <c r="S156" s="7"/>
      <c r="T156" s="7"/>
      <c r="U156" s="7"/>
      <c r="V156" s="7"/>
      <c r="W156" s="7"/>
      <c r="X156" s="7"/>
      <c r="Y156" s="7"/>
      <c r="Z156" s="7"/>
    </row>
    <row r="157" spans="1:26" outlineLevel="1" x14ac:dyDescent="0.4">
      <c r="A157" s="1" t="s">
        <v>619</v>
      </c>
      <c r="B157" s="1"/>
      <c r="C157" s="1" t="s">
        <v>31</v>
      </c>
      <c r="D157" s="63" cm="1">
        <f t="array" ref="D157:G157">_xlfn.SEQUENCE(1, OutturnThrough-MTP_BaseYear+2, MTP_BaseYear-1)</f>
        <v>2022</v>
      </c>
      <c r="E157" s="63">
        <v>2023</v>
      </c>
      <c r="F157" s="63">
        <v>2024</v>
      </c>
      <c r="G157" s="63">
        <v>2025</v>
      </c>
      <c r="H157" s="63"/>
      <c r="I157" s="63"/>
      <c r="J157" s="63"/>
      <c r="K157" s="63"/>
      <c r="L157" s="63"/>
      <c r="M157" s="63"/>
      <c r="N157" s="63"/>
      <c r="O157" s="63"/>
      <c r="P157" s="63"/>
      <c r="Q157" s="63"/>
    </row>
    <row r="158" spans="1:26" outlineLevel="1" x14ac:dyDescent="0.4">
      <c r="A158" s="1"/>
      <c r="B158" s="1" t="s">
        <v>255</v>
      </c>
      <c r="C158" s="1"/>
      <c r="D158" s="63" t="str" cm="1">
        <f t="array" ref="D158:G158">IF(_xlfn.ANCHORARRAY(D103) = MTP_YearT, "T", "T" &amp; IF(_xlfn.ANCHORARRAY(D103) &gt; MTP_YearT, "+", "") &amp; (_xlfn.ANCHORARRAY(D103) - MTP_YearT))</f>
        <v>T-2</v>
      </c>
      <c r="E158" s="63" t="str">
        <v>T-1</v>
      </c>
      <c r="F158" s="63" t="str">
        <v>T</v>
      </c>
      <c r="G158" s="63" t="str">
        <v>T+1</v>
      </c>
      <c r="H158" s="63"/>
      <c r="I158" s="63"/>
      <c r="J158" s="63"/>
      <c r="K158" s="63"/>
      <c r="L158" s="63"/>
      <c r="M158" s="63"/>
      <c r="N158" s="63"/>
      <c r="O158" s="63"/>
      <c r="P158" s="63"/>
      <c r="Q158" s="63"/>
      <c r="R158" s="63"/>
      <c r="S158" s="63"/>
      <c r="T158" s="63"/>
      <c r="U158" s="63"/>
      <c r="V158" s="63"/>
      <c r="W158" s="63"/>
      <c r="X158" s="63"/>
      <c r="Y158" s="63"/>
      <c r="Z158" s="63"/>
    </row>
    <row r="159" spans="1:26" outlineLevel="1" x14ac:dyDescent="0.4">
      <c r="A159" s="1"/>
      <c r="B159" s="1" t="s">
        <v>30</v>
      </c>
      <c r="C159" s="1"/>
      <c r="D159" s="1"/>
      <c r="E159" s="1"/>
      <c r="F159" s="1"/>
      <c r="G159" s="1"/>
      <c r="H159" s="1"/>
      <c r="I159" s="1"/>
      <c r="J159" s="1"/>
      <c r="K159" s="1"/>
      <c r="L159" s="1"/>
      <c r="M159" s="1"/>
      <c r="N159" s="1"/>
      <c r="O159" s="1"/>
      <c r="P159" s="1"/>
      <c r="Q159" s="1"/>
      <c r="R159" s="63"/>
      <c r="S159" s="63"/>
      <c r="T159" s="63"/>
      <c r="U159" s="63"/>
      <c r="V159" s="63"/>
      <c r="W159" s="63"/>
      <c r="X159" s="63"/>
      <c r="Y159" s="63"/>
      <c r="Z159" s="63"/>
    </row>
    <row r="160" spans="1:26" outlineLevel="1" x14ac:dyDescent="0.4">
      <c r="A160" s="1">
        <v>1</v>
      </c>
      <c r="B160" t="s">
        <v>32</v>
      </c>
      <c r="C160" t="s">
        <v>72</v>
      </c>
      <c r="D160" s="9">
        <f t="shared" ref="D160:E160" si="147">D50</f>
        <v>5362.5</v>
      </c>
      <c r="E160" s="9">
        <f t="shared" si="147"/>
        <v>5576.8</v>
      </c>
      <c r="F160" s="9">
        <f t="shared" ref="F160:K160" si="148">F50</f>
        <v>5850.4</v>
      </c>
      <c r="G160" s="9">
        <f t="shared" si="148"/>
        <v>6106.4</v>
      </c>
      <c r="H160" s="9">
        <f t="shared" si="148"/>
        <v>0</v>
      </c>
      <c r="I160" s="9">
        <f t="shared" si="148"/>
        <v>0</v>
      </c>
      <c r="J160" s="9">
        <f t="shared" si="148"/>
        <v>0</v>
      </c>
      <c r="K160" s="9">
        <f t="shared" si="148"/>
        <v>0</v>
      </c>
      <c r="L160" s="9">
        <f t="shared" ref="L160:Z161" si="149">L50</f>
        <v>0</v>
      </c>
      <c r="M160" s="9">
        <f t="shared" si="149"/>
        <v>0</v>
      </c>
      <c r="N160" s="9">
        <f t="shared" si="149"/>
        <v>0</v>
      </c>
      <c r="O160" s="9">
        <f t="shared" si="149"/>
        <v>0</v>
      </c>
      <c r="P160" s="9">
        <f t="shared" si="149"/>
        <v>0</v>
      </c>
      <c r="Q160" s="9">
        <f t="shared" si="149"/>
        <v>0</v>
      </c>
      <c r="R160" s="1"/>
      <c r="S160" s="1"/>
      <c r="T160" s="1"/>
      <c r="U160" s="1"/>
      <c r="V160" s="1"/>
      <c r="W160" s="1"/>
      <c r="X160" s="1"/>
      <c r="Y160" s="1"/>
      <c r="Z160" s="1"/>
    </row>
    <row r="161" spans="1:26" outlineLevel="1" x14ac:dyDescent="0.4">
      <c r="A161" s="1">
        <v>2</v>
      </c>
      <c r="B161" t="s">
        <v>33</v>
      </c>
      <c r="C161" t="s">
        <v>73</v>
      </c>
      <c r="D161" s="9">
        <f t="shared" ref="D161:E161" si="150">D55</f>
        <v>2752.9</v>
      </c>
      <c r="E161" s="9">
        <f t="shared" si="150"/>
        <v>3138.2</v>
      </c>
      <c r="F161" s="9">
        <f t="shared" ref="F161:K161" si="151">F55</f>
        <v>3733.2</v>
      </c>
      <c r="G161" s="9">
        <f t="shared" si="151"/>
        <v>3656.1</v>
      </c>
      <c r="H161" s="9">
        <f t="shared" si="151"/>
        <v>0</v>
      </c>
      <c r="I161" s="9">
        <f t="shared" si="151"/>
        <v>0</v>
      </c>
      <c r="J161" s="9">
        <f t="shared" si="151"/>
        <v>0</v>
      </c>
      <c r="K161" s="9">
        <f t="shared" si="151"/>
        <v>0</v>
      </c>
      <c r="L161" s="9">
        <f t="shared" ref="L161:Z162" si="152">L55</f>
        <v>0</v>
      </c>
      <c r="M161" s="9">
        <f t="shared" si="152"/>
        <v>0</v>
      </c>
      <c r="N161" s="9">
        <f t="shared" si="152"/>
        <v>0</v>
      </c>
      <c r="O161" s="9">
        <f t="shared" si="152"/>
        <v>0</v>
      </c>
      <c r="P161" s="9">
        <f t="shared" si="152"/>
        <v>0</v>
      </c>
      <c r="Q161" s="9">
        <f t="shared" si="152"/>
        <v>0</v>
      </c>
      <c r="R161" s="9">
        <f t="shared" si="149"/>
        <v>0</v>
      </c>
      <c r="S161" s="9">
        <f t="shared" si="149"/>
        <v>0</v>
      </c>
      <c r="T161" s="9">
        <f t="shared" si="149"/>
        <v>0</v>
      </c>
      <c r="U161" s="9">
        <f t="shared" si="149"/>
        <v>0</v>
      </c>
      <c r="V161" s="9">
        <f t="shared" si="149"/>
        <v>0</v>
      </c>
      <c r="W161" s="9">
        <f t="shared" si="149"/>
        <v>0</v>
      </c>
      <c r="X161" s="9">
        <f t="shared" si="149"/>
        <v>0</v>
      </c>
      <c r="Y161" s="9">
        <f t="shared" si="149"/>
        <v>0</v>
      </c>
      <c r="Z161" s="9">
        <f t="shared" si="149"/>
        <v>0</v>
      </c>
    </row>
    <row r="162" spans="1:26" outlineLevel="1" x14ac:dyDescent="0.4">
      <c r="A162" s="1">
        <v>3</v>
      </c>
      <c r="B162" t="s">
        <v>34</v>
      </c>
      <c r="C162" t="s">
        <v>74</v>
      </c>
      <c r="D162" s="9">
        <f t="shared" ref="D162:E162" si="153">D70</f>
        <v>3777.6</v>
      </c>
      <c r="E162" s="9">
        <f t="shared" si="153"/>
        <v>4261.8999999999996</v>
      </c>
      <c r="F162" s="9">
        <f t="shared" ref="F162:K162" si="154">F70</f>
        <v>4668.8999999999996</v>
      </c>
      <c r="G162" s="9">
        <f t="shared" si="154"/>
        <v>5111.7</v>
      </c>
      <c r="H162" s="9">
        <f t="shared" si="154"/>
        <v>0</v>
      </c>
      <c r="I162" s="9">
        <f t="shared" si="154"/>
        <v>0</v>
      </c>
      <c r="J162" s="9">
        <f t="shared" si="154"/>
        <v>0</v>
      </c>
      <c r="K162" s="9">
        <f t="shared" si="154"/>
        <v>0</v>
      </c>
      <c r="L162" s="9">
        <f t="shared" ref="L162:Z163" si="155">L70</f>
        <v>0</v>
      </c>
      <c r="M162" s="9">
        <f t="shared" si="155"/>
        <v>0</v>
      </c>
      <c r="N162" s="9">
        <f t="shared" si="155"/>
        <v>0</v>
      </c>
      <c r="O162" s="9">
        <f t="shared" si="155"/>
        <v>0</v>
      </c>
      <c r="P162" s="9">
        <f t="shared" si="155"/>
        <v>0</v>
      </c>
      <c r="Q162" s="9">
        <f t="shared" si="155"/>
        <v>0</v>
      </c>
      <c r="R162" s="9">
        <f t="shared" si="152"/>
        <v>0</v>
      </c>
      <c r="S162" s="9">
        <f t="shared" si="152"/>
        <v>0</v>
      </c>
      <c r="T162" s="9">
        <f t="shared" si="152"/>
        <v>0</v>
      </c>
      <c r="U162" s="9">
        <f t="shared" si="152"/>
        <v>0</v>
      </c>
      <c r="V162" s="9">
        <f t="shared" si="152"/>
        <v>0</v>
      </c>
      <c r="W162" s="9">
        <f t="shared" si="152"/>
        <v>0</v>
      </c>
      <c r="X162" s="9">
        <f t="shared" si="152"/>
        <v>0</v>
      </c>
      <c r="Y162" s="9">
        <f t="shared" si="152"/>
        <v>0</v>
      </c>
      <c r="Z162" s="9">
        <f t="shared" si="152"/>
        <v>0</v>
      </c>
    </row>
    <row r="163" spans="1:26" outlineLevel="1" x14ac:dyDescent="0.4">
      <c r="A163" s="1">
        <v>4</v>
      </c>
      <c r="B163" t="s">
        <v>36</v>
      </c>
      <c r="C163" t="s">
        <v>75</v>
      </c>
      <c r="D163" s="9">
        <f t="shared" ref="D163:E163" si="156">(D85+D86+D87)+D67+D53+D57</f>
        <v>2054.2999999999997</v>
      </c>
      <c r="E163" s="9">
        <f t="shared" si="156"/>
        <v>2914.9</v>
      </c>
      <c r="F163" s="9">
        <f t="shared" ref="F163:K163" si="157">(F85+F86+F87)+F67+F53+F57</f>
        <v>3072.9000000000005</v>
      </c>
      <c r="G163" s="9">
        <f t="shared" si="157"/>
        <v>3017.6</v>
      </c>
      <c r="H163" s="9">
        <f t="shared" si="157"/>
        <v>0</v>
      </c>
      <c r="I163" s="9">
        <f t="shared" si="157"/>
        <v>0</v>
      </c>
      <c r="J163" s="9">
        <f t="shared" si="157"/>
        <v>0</v>
      </c>
      <c r="K163" s="9">
        <f t="shared" si="157"/>
        <v>0</v>
      </c>
      <c r="L163" s="9">
        <f t="shared" ref="L163:Z164" si="158">(L85+L86+L87)+L67+L53+L57</f>
        <v>0</v>
      </c>
      <c r="M163" s="9">
        <f t="shared" si="158"/>
        <v>0</v>
      </c>
      <c r="N163" s="9">
        <f t="shared" si="158"/>
        <v>0</v>
      </c>
      <c r="O163" s="9">
        <f t="shared" si="158"/>
        <v>0</v>
      </c>
      <c r="P163" s="9">
        <f t="shared" si="158"/>
        <v>0</v>
      </c>
      <c r="Q163" s="9">
        <f t="shared" si="158"/>
        <v>0</v>
      </c>
      <c r="R163" s="9">
        <f t="shared" si="155"/>
        <v>0</v>
      </c>
      <c r="S163" s="9">
        <f t="shared" si="155"/>
        <v>0</v>
      </c>
      <c r="T163" s="9">
        <f t="shared" si="155"/>
        <v>0</v>
      </c>
      <c r="U163" s="9">
        <f t="shared" si="155"/>
        <v>0</v>
      </c>
      <c r="V163" s="9">
        <f t="shared" si="155"/>
        <v>0</v>
      </c>
      <c r="W163" s="9">
        <f t="shared" si="155"/>
        <v>0</v>
      </c>
      <c r="X163" s="9">
        <f t="shared" si="155"/>
        <v>0</v>
      </c>
      <c r="Y163" s="9">
        <f t="shared" si="155"/>
        <v>0</v>
      </c>
      <c r="Z163" s="9">
        <f t="shared" si="155"/>
        <v>0</v>
      </c>
    </row>
    <row r="164" spans="1:26" outlineLevel="1" x14ac:dyDescent="0.4">
      <c r="A164" s="1">
        <v>5</v>
      </c>
      <c r="B164" t="s">
        <v>37</v>
      </c>
      <c r="C164" t="s">
        <v>76</v>
      </c>
      <c r="D164" s="9">
        <f t="shared" ref="D164:E164" si="159">D73</f>
        <v>17.3</v>
      </c>
      <c r="E164" s="9">
        <f t="shared" si="159"/>
        <v>14.4</v>
      </c>
      <c r="F164" s="9">
        <f t="shared" ref="F164:K164" si="160">F73</f>
        <v>15.3</v>
      </c>
      <c r="G164" s="9">
        <f t="shared" si="160"/>
        <v>14.6</v>
      </c>
      <c r="H164" s="9">
        <f t="shared" si="160"/>
        <v>0</v>
      </c>
      <c r="I164" s="9">
        <f t="shared" si="160"/>
        <v>0</v>
      </c>
      <c r="J164" s="9">
        <f t="shared" si="160"/>
        <v>0</v>
      </c>
      <c r="K164" s="9">
        <f t="shared" si="160"/>
        <v>0</v>
      </c>
      <c r="L164" s="9">
        <f t="shared" ref="L164:Z165" si="161">L73</f>
        <v>0</v>
      </c>
      <c r="M164" s="9">
        <f t="shared" si="161"/>
        <v>0</v>
      </c>
      <c r="N164" s="9">
        <f t="shared" si="161"/>
        <v>0</v>
      </c>
      <c r="O164" s="9">
        <f t="shared" si="161"/>
        <v>0</v>
      </c>
      <c r="P164" s="9">
        <f t="shared" si="161"/>
        <v>0</v>
      </c>
      <c r="Q164" s="9">
        <f t="shared" si="161"/>
        <v>0</v>
      </c>
      <c r="R164" s="9">
        <f t="shared" si="158"/>
        <v>0</v>
      </c>
      <c r="S164" s="9">
        <f t="shared" si="158"/>
        <v>0</v>
      </c>
      <c r="T164" s="9">
        <f t="shared" si="158"/>
        <v>0</v>
      </c>
      <c r="U164" s="9">
        <f t="shared" si="158"/>
        <v>0</v>
      </c>
      <c r="V164" s="9">
        <f t="shared" si="158"/>
        <v>0</v>
      </c>
      <c r="W164" s="9">
        <f t="shared" si="158"/>
        <v>0</v>
      </c>
      <c r="X164" s="9">
        <f t="shared" si="158"/>
        <v>0</v>
      </c>
      <c r="Y164" s="9">
        <f t="shared" si="158"/>
        <v>0</v>
      </c>
      <c r="Z164" s="9">
        <f t="shared" si="158"/>
        <v>0</v>
      </c>
    </row>
    <row r="165" spans="1:26" outlineLevel="1" x14ac:dyDescent="0.4">
      <c r="A165" s="1">
        <v>6</v>
      </c>
      <c r="B165" t="s">
        <v>38</v>
      </c>
      <c r="C165" t="s">
        <v>77</v>
      </c>
      <c r="D165" s="9">
        <f t="shared" ref="D165:E165" si="162">D74+D77</f>
        <v>246.4</v>
      </c>
      <c r="E165" s="9">
        <f t="shared" si="162"/>
        <v>349.5</v>
      </c>
      <c r="F165" s="9">
        <f t="shared" ref="F165:K165" si="163">F74+F77</f>
        <v>346.40000000000003</v>
      </c>
      <c r="G165" s="9">
        <f t="shared" si="163"/>
        <v>832.8</v>
      </c>
      <c r="H165" s="9">
        <f t="shared" si="163"/>
        <v>0</v>
      </c>
      <c r="I165" s="9">
        <f t="shared" si="163"/>
        <v>0</v>
      </c>
      <c r="J165" s="9">
        <f t="shared" si="163"/>
        <v>0</v>
      </c>
      <c r="K165" s="9">
        <f t="shared" si="163"/>
        <v>0</v>
      </c>
      <c r="L165" s="9">
        <f t="shared" ref="L165:Z166" si="164">L74+L77</f>
        <v>0</v>
      </c>
      <c r="M165" s="9">
        <f t="shared" si="164"/>
        <v>0</v>
      </c>
      <c r="N165" s="9">
        <f t="shared" si="164"/>
        <v>0</v>
      </c>
      <c r="O165" s="9">
        <f t="shared" si="164"/>
        <v>0</v>
      </c>
      <c r="P165" s="9">
        <f t="shared" si="164"/>
        <v>0</v>
      </c>
      <c r="Q165" s="9">
        <f t="shared" si="164"/>
        <v>0</v>
      </c>
      <c r="R165" s="9">
        <f t="shared" si="161"/>
        <v>0</v>
      </c>
      <c r="S165" s="9">
        <f t="shared" si="161"/>
        <v>0</v>
      </c>
      <c r="T165" s="9">
        <f t="shared" si="161"/>
        <v>0</v>
      </c>
      <c r="U165" s="9">
        <f t="shared" si="161"/>
        <v>0</v>
      </c>
      <c r="V165" s="9">
        <f t="shared" si="161"/>
        <v>0</v>
      </c>
      <c r="W165" s="9">
        <f t="shared" si="161"/>
        <v>0</v>
      </c>
      <c r="X165" s="9">
        <f t="shared" si="161"/>
        <v>0</v>
      </c>
      <c r="Y165" s="9">
        <f t="shared" si="161"/>
        <v>0</v>
      </c>
      <c r="Z165" s="9">
        <f t="shared" si="161"/>
        <v>0</v>
      </c>
    </row>
    <row r="166" spans="1:26" outlineLevel="1" x14ac:dyDescent="0.4">
      <c r="A166" s="1">
        <v>7</v>
      </c>
      <c r="B166" t="s">
        <v>39</v>
      </c>
      <c r="C166" t="s">
        <v>78</v>
      </c>
      <c r="D166" s="9">
        <f t="shared" ref="D166:E166" si="165">D160+D161+D162+D163+D164+D165</f>
        <v>14210.999999999998</v>
      </c>
      <c r="E166" s="9">
        <f t="shared" si="165"/>
        <v>16255.699999999999</v>
      </c>
      <c r="F166" s="9">
        <f t="shared" ref="F166:K166" si="166">F160+F161+F162+F163+F164+F165</f>
        <v>17687.099999999999</v>
      </c>
      <c r="G166" s="9">
        <f t="shared" si="166"/>
        <v>18739.199999999997</v>
      </c>
      <c r="H166" s="9">
        <f t="shared" si="166"/>
        <v>0</v>
      </c>
      <c r="I166" s="9">
        <f t="shared" si="166"/>
        <v>0</v>
      </c>
      <c r="J166" s="9">
        <f t="shared" si="166"/>
        <v>0</v>
      </c>
      <c r="K166" s="9">
        <f t="shared" si="166"/>
        <v>0</v>
      </c>
      <c r="L166" s="9">
        <f t="shared" ref="L166:Z167" si="167">L160+L161+L162+L163+L164+L165</f>
        <v>0</v>
      </c>
      <c r="M166" s="9">
        <f t="shared" si="167"/>
        <v>0</v>
      </c>
      <c r="N166" s="9">
        <f t="shared" si="167"/>
        <v>0</v>
      </c>
      <c r="O166" s="9">
        <f t="shared" si="167"/>
        <v>0</v>
      </c>
      <c r="P166" s="9">
        <f t="shared" si="167"/>
        <v>0</v>
      </c>
      <c r="Q166" s="9">
        <f t="shared" si="167"/>
        <v>0</v>
      </c>
      <c r="R166" s="9">
        <f t="shared" si="164"/>
        <v>0</v>
      </c>
      <c r="S166" s="9">
        <f t="shared" si="164"/>
        <v>0</v>
      </c>
      <c r="T166" s="9">
        <f t="shared" si="164"/>
        <v>0</v>
      </c>
      <c r="U166" s="9">
        <f t="shared" si="164"/>
        <v>0</v>
      </c>
      <c r="V166" s="9">
        <f t="shared" si="164"/>
        <v>0</v>
      </c>
      <c r="W166" s="9">
        <f t="shared" si="164"/>
        <v>0</v>
      </c>
      <c r="X166" s="9">
        <f t="shared" si="164"/>
        <v>0</v>
      </c>
      <c r="Y166" s="9">
        <f t="shared" si="164"/>
        <v>0</v>
      </c>
      <c r="Z166" s="9">
        <f t="shared" si="164"/>
        <v>0</v>
      </c>
    </row>
    <row r="167" spans="1:26" outlineLevel="1" x14ac:dyDescent="0.4">
      <c r="A167" s="1">
        <v>8</v>
      </c>
      <c r="B167" s="2" t="s">
        <v>40</v>
      </c>
      <c r="C167" t="s">
        <v>79</v>
      </c>
      <c r="D167" s="9">
        <f t="shared" ref="D167:E167" si="168">SUM(D58+D62)</f>
        <v>428.5</v>
      </c>
      <c r="E167" s="9">
        <f t="shared" si="168"/>
        <v>734.3</v>
      </c>
      <c r="F167" s="9">
        <f t="shared" ref="F167:K167" si="169">SUM(F58+F62)</f>
        <v>755.5</v>
      </c>
      <c r="G167" s="9">
        <f t="shared" si="169"/>
        <v>1251</v>
      </c>
      <c r="H167" s="9">
        <f t="shared" si="169"/>
        <v>0</v>
      </c>
      <c r="I167" s="9">
        <f t="shared" si="169"/>
        <v>0</v>
      </c>
      <c r="J167" s="9">
        <f t="shared" si="169"/>
        <v>0</v>
      </c>
      <c r="K167" s="9">
        <f t="shared" si="169"/>
        <v>0</v>
      </c>
      <c r="L167" s="9">
        <f t="shared" ref="L167:Z168" si="170">SUM(L58+L62)</f>
        <v>0</v>
      </c>
      <c r="M167" s="9">
        <f t="shared" si="170"/>
        <v>0</v>
      </c>
      <c r="N167" s="9">
        <f t="shared" si="170"/>
        <v>0</v>
      </c>
      <c r="O167" s="9">
        <f t="shared" si="170"/>
        <v>0</v>
      </c>
      <c r="P167" s="9">
        <f t="shared" si="170"/>
        <v>0</v>
      </c>
      <c r="Q167" s="9">
        <f t="shared" si="170"/>
        <v>0</v>
      </c>
      <c r="R167" s="9">
        <f t="shared" si="167"/>
        <v>0</v>
      </c>
      <c r="S167" s="9">
        <f t="shared" si="167"/>
        <v>0</v>
      </c>
      <c r="T167" s="9">
        <f t="shared" si="167"/>
        <v>0</v>
      </c>
      <c r="U167" s="9">
        <f t="shared" si="167"/>
        <v>0</v>
      </c>
      <c r="V167" s="9">
        <f t="shared" si="167"/>
        <v>0</v>
      </c>
      <c r="W167" s="9">
        <f t="shared" si="167"/>
        <v>0</v>
      </c>
      <c r="X167" s="9">
        <f t="shared" si="167"/>
        <v>0</v>
      </c>
      <c r="Y167" s="9">
        <f t="shared" si="167"/>
        <v>0</v>
      </c>
      <c r="Z167" s="9">
        <f t="shared" si="167"/>
        <v>0</v>
      </c>
    </row>
    <row r="168" spans="1:26" outlineLevel="1" x14ac:dyDescent="0.4">
      <c r="A168" s="1">
        <v>9</v>
      </c>
      <c r="B168" t="s">
        <v>41</v>
      </c>
      <c r="D168" s="9">
        <f t="shared" ref="D168:E168" si="171">D166-D167</f>
        <v>13782.499999999998</v>
      </c>
      <c r="E168" s="9">
        <f t="shared" si="171"/>
        <v>15521.4</v>
      </c>
      <c r="F168" s="9">
        <f t="shared" ref="F168:K168" si="172">F166-F167</f>
        <v>16931.599999999999</v>
      </c>
      <c r="G168" s="9">
        <f t="shared" si="172"/>
        <v>17488.199999999997</v>
      </c>
      <c r="H168" s="9">
        <f t="shared" si="172"/>
        <v>0</v>
      </c>
      <c r="I168" s="9">
        <f t="shared" si="172"/>
        <v>0</v>
      </c>
      <c r="J168" s="9">
        <f t="shared" si="172"/>
        <v>0</v>
      </c>
      <c r="K168" s="9">
        <f t="shared" si="172"/>
        <v>0</v>
      </c>
      <c r="L168" s="9">
        <f t="shared" ref="L168:Z169" si="173">L166-L167</f>
        <v>0</v>
      </c>
      <c r="M168" s="9">
        <f t="shared" si="173"/>
        <v>0</v>
      </c>
      <c r="N168" s="9">
        <f t="shared" si="173"/>
        <v>0</v>
      </c>
      <c r="O168" s="9">
        <f t="shared" si="173"/>
        <v>0</v>
      </c>
      <c r="P168" s="9">
        <f t="shared" si="173"/>
        <v>0</v>
      </c>
      <c r="Q168" s="9">
        <f t="shared" si="173"/>
        <v>0</v>
      </c>
      <c r="R168" s="9">
        <f t="shared" si="170"/>
        <v>0</v>
      </c>
      <c r="S168" s="9">
        <f t="shared" si="170"/>
        <v>0</v>
      </c>
      <c r="T168" s="9">
        <f t="shared" si="170"/>
        <v>0</v>
      </c>
      <c r="U168" s="9">
        <f t="shared" si="170"/>
        <v>0</v>
      </c>
      <c r="V168" s="9">
        <f t="shared" si="170"/>
        <v>0</v>
      </c>
      <c r="W168" s="9">
        <f t="shared" si="170"/>
        <v>0</v>
      </c>
      <c r="X168" s="9">
        <f t="shared" si="170"/>
        <v>0</v>
      </c>
      <c r="Y168" s="9">
        <f t="shared" si="170"/>
        <v>0</v>
      </c>
      <c r="Z168" s="9">
        <f t="shared" si="170"/>
        <v>0</v>
      </c>
    </row>
    <row r="169" spans="1:26" outlineLevel="1" x14ac:dyDescent="0.4">
      <c r="A169" s="1">
        <v>10</v>
      </c>
      <c r="B169" t="s">
        <v>42</v>
      </c>
      <c r="C169" t="s">
        <v>822</v>
      </c>
      <c r="D169" s="9">
        <f>D94</f>
        <v>0</v>
      </c>
      <c r="E169" s="9">
        <f t="shared" ref="E169:F169" si="174">E94</f>
        <v>0</v>
      </c>
      <c r="F169" s="9">
        <f t="shared" si="174"/>
        <v>273.81</v>
      </c>
      <c r="G169" s="9"/>
      <c r="H169" s="9"/>
      <c r="I169" s="9"/>
      <c r="J169" s="9"/>
      <c r="K169" s="9"/>
      <c r="L169" s="9"/>
      <c r="M169" s="9"/>
      <c r="N169" s="9"/>
      <c r="O169" s="9"/>
      <c r="P169" s="9"/>
      <c r="Q169" s="9"/>
      <c r="R169" s="9">
        <f t="shared" si="173"/>
        <v>0</v>
      </c>
      <c r="S169" s="9">
        <f t="shared" si="173"/>
        <v>0</v>
      </c>
      <c r="T169" s="9">
        <f t="shared" si="173"/>
        <v>0</v>
      </c>
      <c r="U169" s="9">
        <f t="shared" si="173"/>
        <v>0</v>
      </c>
      <c r="V169" s="9">
        <f t="shared" si="173"/>
        <v>0</v>
      </c>
      <c r="W169" s="9">
        <f t="shared" si="173"/>
        <v>0</v>
      </c>
      <c r="X169" s="9">
        <f t="shared" si="173"/>
        <v>0</v>
      </c>
      <c r="Y169" s="9">
        <f t="shared" si="173"/>
        <v>0</v>
      </c>
      <c r="Z169" s="9">
        <f t="shared" si="173"/>
        <v>0</v>
      </c>
    </row>
    <row r="170" spans="1:26" outlineLevel="1" x14ac:dyDescent="0.4">
      <c r="A170" s="1"/>
      <c r="B170" t="s">
        <v>316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273</v>
      </c>
      <c r="C171" t="s">
        <v>631</v>
      </c>
      <c r="D171" s="9">
        <v>0</v>
      </c>
      <c r="E171" s="9">
        <v>0</v>
      </c>
      <c r="F171" s="9">
        <v>1</v>
      </c>
      <c r="G171" s="9">
        <v>2</v>
      </c>
      <c r="H171" s="9">
        <v>3</v>
      </c>
      <c r="I171" s="9">
        <v>4</v>
      </c>
      <c r="J171" s="9">
        <v>5</v>
      </c>
      <c r="K171" s="9">
        <v>6</v>
      </c>
      <c r="L171" s="9">
        <v>7</v>
      </c>
      <c r="M171" s="9">
        <v>8</v>
      </c>
      <c r="N171" s="9">
        <v>9</v>
      </c>
      <c r="O171" s="9">
        <v>10</v>
      </c>
      <c r="P171" s="9">
        <v>11</v>
      </c>
      <c r="Q171" s="9">
        <v>12</v>
      </c>
      <c r="R171" s="9"/>
      <c r="S171" s="9"/>
      <c r="T171" s="9"/>
      <c r="U171" s="9"/>
      <c r="V171" s="9"/>
      <c r="W171" s="9"/>
      <c r="X171" s="9"/>
      <c r="Y171" s="9"/>
      <c r="Z171" s="9"/>
    </row>
    <row r="172" spans="1:26" outlineLevel="1" x14ac:dyDescent="0.4">
      <c r="A172" s="1"/>
      <c r="B172" s="1" t="s">
        <v>29</v>
      </c>
      <c r="C172" s="1"/>
      <c r="D172" s="1"/>
      <c r="E172" s="1"/>
      <c r="F172" s="1"/>
      <c r="G172" s="1"/>
      <c r="H172" s="1"/>
      <c r="I172" s="1"/>
      <c r="J172" s="1"/>
      <c r="K172" s="1"/>
      <c r="L172" s="1"/>
      <c r="M172" s="1"/>
      <c r="N172" s="1"/>
      <c r="O172" s="1"/>
      <c r="P172" s="1"/>
      <c r="Q172" s="1"/>
      <c r="R172" s="9">
        <v>13</v>
      </c>
      <c r="S172" s="9">
        <v>14</v>
      </c>
      <c r="T172" s="9">
        <v>15</v>
      </c>
      <c r="U172" s="9">
        <v>16</v>
      </c>
      <c r="V172" s="9">
        <v>17</v>
      </c>
      <c r="W172" s="9">
        <v>18</v>
      </c>
      <c r="X172" s="9">
        <v>19</v>
      </c>
      <c r="Y172" s="9">
        <v>20</v>
      </c>
      <c r="Z172" s="9">
        <v>21</v>
      </c>
    </row>
    <row r="173" spans="1:26" outlineLevel="1" x14ac:dyDescent="0.4">
      <c r="A173" s="1">
        <v>12</v>
      </c>
      <c r="B173" t="s">
        <v>44</v>
      </c>
      <c r="C173" t="s">
        <v>5</v>
      </c>
      <c r="D173" s="9">
        <f t="shared" ref="D173:E173" si="175">D49</f>
        <v>4205.8999999999996</v>
      </c>
      <c r="E173" s="9">
        <f t="shared" si="175"/>
        <v>4793.3999999999996</v>
      </c>
      <c r="F173" s="9">
        <f t="shared" ref="F173:K173" si="176">F49</f>
        <v>5333.3</v>
      </c>
      <c r="G173" s="9">
        <f t="shared" si="176"/>
        <v>5635.6</v>
      </c>
      <c r="H173" s="9">
        <f t="shared" si="176"/>
        <v>0</v>
      </c>
      <c r="I173" s="9">
        <f t="shared" si="176"/>
        <v>0</v>
      </c>
      <c r="J173" s="9">
        <f t="shared" si="176"/>
        <v>0</v>
      </c>
      <c r="K173" s="9">
        <f t="shared" si="176"/>
        <v>0</v>
      </c>
      <c r="L173" s="9">
        <f t="shared" ref="L173:Z174" si="177">L49</f>
        <v>0</v>
      </c>
      <c r="M173" s="9">
        <f t="shared" si="177"/>
        <v>0</v>
      </c>
      <c r="N173" s="9">
        <f t="shared" si="177"/>
        <v>0</v>
      </c>
      <c r="O173" s="9">
        <f t="shared" si="177"/>
        <v>0</v>
      </c>
      <c r="P173" s="9">
        <f t="shared" si="177"/>
        <v>0</v>
      </c>
      <c r="Q173" s="9">
        <f t="shared" si="177"/>
        <v>0</v>
      </c>
      <c r="R173" s="1"/>
      <c r="S173" s="1"/>
      <c r="T173" s="1"/>
      <c r="U173" s="1"/>
      <c r="V173" s="1"/>
      <c r="W173" s="1"/>
      <c r="X173" s="1"/>
      <c r="Y173" s="1"/>
      <c r="Z173" s="1"/>
    </row>
    <row r="174" spans="1:26" outlineLevel="1" x14ac:dyDescent="0.4">
      <c r="A174" s="1">
        <v>13</v>
      </c>
      <c r="B174" t="s">
        <v>45</v>
      </c>
      <c r="C174" t="s">
        <v>80</v>
      </c>
      <c r="D174" s="9">
        <f t="shared" ref="D174:E174" si="178">D79</f>
        <v>2426.8000000000002</v>
      </c>
      <c r="E174" s="9">
        <f t="shared" si="178"/>
        <v>2507.3000000000002</v>
      </c>
      <c r="F174" s="9">
        <f t="shared" ref="F174:K174" si="179">F79</f>
        <v>2481.4</v>
      </c>
      <c r="G174" s="9">
        <f t="shared" si="179"/>
        <v>3142.2</v>
      </c>
      <c r="H174" s="9">
        <f t="shared" si="179"/>
        <v>0</v>
      </c>
      <c r="I174" s="9">
        <f t="shared" si="179"/>
        <v>0</v>
      </c>
      <c r="J174" s="9">
        <f t="shared" si="179"/>
        <v>0</v>
      </c>
      <c r="K174" s="9">
        <f t="shared" si="179"/>
        <v>0</v>
      </c>
      <c r="L174" s="9">
        <f t="shared" ref="L174:Z175" si="180">L79</f>
        <v>0</v>
      </c>
      <c r="M174" s="9">
        <f t="shared" si="180"/>
        <v>0</v>
      </c>
      <c r="N174" s="9">
        <f t="shared" si="180"/>
        <v>0</v>
      </c>
      <c r="O174" s="9">
        <f t="shared" si="180"/>
        <v>0</v>
      </c>
      <c r="P174" s="9">
        <f t="shared" si="180"/>
        <v>0</v>
      </c>
      <c r="Q174" s="9">
        <f t="shared" si="180"/>
        <v>0</v>
      </c>
      <c r="R174" s="9">
        <f t="shared" si="177"/>
        <v>0</v>
      </c>
      <c r="S174" s="9">
        <f t="shared" si="177"/>
        <v>0</v>
      </c>
      <c r="T174" s="9">
        <f t="shared" si="177"/>
        <v>0</v>
      </c>
      <c r="U174" s="9">
        <f t="shared" si="177"/>
        <v>0</v>
      </c>
      <c r="V174" s="9">
        <f t="shared" si="177"/>
        <v>0</v>
      </c>
      <c r="W174" s="9">
        <f t="shared" si="177"/>
        <v>0</v>
      </c>
      <c r="X174" s="9">
        <f t="shared" si="177"/>
        <v>0</v>
      </c>
      <c r="Y174" s="9">
        <f t="shared" si="177"/>
        <v>0</v>
      </c>
      <c r="Z174" s="9">
        <f t="shared" si="177"/>
        <v>0</v>
      </c>
    </row>
    <row r="175" spans="1:26" outlineLevel="1" x14ac:dyDescent="0.4">
      <c r="A175" s="1">
        <v>14</v>
      </c>
      <c r="B175" t="s">
        <v>46</v>
      </c>
      <c r="C175" t="s">
        <v>28</v>
      </c>
      <c r="D175" s="9">
        <f t="shared" ref="D175:E175" si="181">D68</f>
        <v>183.2</v>
      </c>
      <c r="E175" s="9">
        <f t="shared" si="181"/>
        <v>286.89999999999998</v>
      </c>
      <c r="F175" s="9">
        <f t="shared" ref="F175:K175" si="182">F68</f>
        <v>443.3</v>
      </c>
      <c r="G175" s="9">
        <f t="shared" si="182"/>
        <v>475.8</v>
      </c>
      <c r="H175" s="9">
        <f t="shared" si="182"/>
        <v>0</v>
      </c>
      <c r="I175" s="9">
        <f t="shared" si="182"/>
        <v>0</v>
      </c>
      <c r="J175" s="9">
        <f t="shared" si="182"/>
        <v>0</v>
      </c>
      <c r="K175" s="9">
        <f t="shared" si="182"/>
        <v>0</v>
      </c>
      <c r="L175" s="9">
        <f t="shared" ref="L175:Z176" si="183">L68</f>
        <v>0</v>
      </c>
      <c r="M175" s="9">
        <f t="shared" si="183"/>
        <v>0</v>
      </c>
      <c r="N175" s="9">
        <f t="shared" si="183"/>
        <v>0</v>
      </c>
      <c r="O175" s="9">
        <f t="shared" si="183"/>
        <v>0</v>
      </c>
      <c r="P175" s="9">
        <f t="shared" si="183"/>
        <v>0</v>
      </c>
      <c r="Q175" s="9">
        <f t="shared" si="183"/>
        <v>0</v>
      </c>
      <c r="R175" s="9">
        <f t="shared" si="180"/>
        <v>0</v>
      </c>
      <c r="S175" s="9">
        <f t="shared" si="180"/>
        <v>0</v>
      </c>
      <c r="T175" s="9">
        <f t="shared" si="180"/>
        <v>0</v>
      </c>
      <c r="U175" s="9">
        <f t="shared" si="180"/>
        <v>0</v>
      </c>
      <c r="V175" s="9">
        <f t="shared" si="180"/>
        <v>0</v>
      </c>
      <c r="W175" s="9">
        <f t="shared" si="180"/>
        <v>0</v>
      </c>
      <c r="X175" s="9">
        <f t="shared" si="180"/>
        <v>0</v>
      </c>
      <c r="Y175" s="9">
        <f t="shared" si="180"/>
        <v>0</v>
      </c>
      <c r="Z175" s="9">
        <f t="shared" si="180"/>
        <v>0</v>
      </c>
    </row>
    <row r="176" spans="1:26" outlineLevel="1" x14ac:dyDescent="0.4">
      <c r="A176" s="1">
        <v>15</v>
      </c>
      <c r="B176" t="s">
        <v>47</v>
      </c>
      <c r="C176" t="s">
        <v>81</v>
      </c>
      <c r="D176" s="9">
        <f t="shared" ref="D176:E176" si="184">D71</f>
        <v>4578</v>
      </c>
      <c r="E176" s="9">
        <f t="shared" si="184"/>
        <v>4718.8</v>
      </c>
      <c r="F176" s="9">
        <f t="shared" ref="F176:K176" si="185">F71</f>
        <v>5101.3999999999996</v>
      </c>
      <c r="G176" s="9">
        <f t="shared" si="185"/>
        <v>5421.2</v>
      </c>
      <c r="H176" s="9">
        <f t="shared" si="185"/>
        <v>0</v>
      </c>
      <c r="I176" s="9">
        <f t="shared" si="185"/>
        <v>0</v>
      </c>
      <c r="J176" s="9">
        <f t="shared" si="185"/>
        <v>0</v>
      </c>
      <c r="K176" s="9">
        <f t="shared" si="185"/>
        <v>0</v>
      </c>
      <c r="L176" s="9">
        <f t="shared" ref="L176:Z177" si="186">L71</f>
        <v>0</v>
      </c>
      <c r="M176" s="9">
        <f t="shared" si="186"/>
        <v>0</v>
      </c>
      <c r="N176" s="9">
        <f t="shared" si="186"/>
        <v>0</v>
      </c>
      <c r="O176" s="9">
        <f t="shared" si="186"/>
        <v>0</v>
      </c>
      <c r="P176" s="9">
        <f t="shared" si="186"/>
        <v>0</v>
      </c>
      <c r="Q176" s="9">
        <f t="shared" si="186"/>
        <v>0</v>
      </c>
      <c r="R176" s="9">
        <f t="shared" si="183"/>
        <v>0</v>
      </c>
      <c r="S176" s="9">
        <f t="shared" si="183"/>
        <v>0</v>
      </c>
      <c r="T176" s="9">
        <f t="shared" si="183"/>
        <v>0</v>
      </c>
      <c r="U176" s="9">
        <f t="shared" si="183"/>
        <v>0</v>
      </c>
      <c r="V176" s="9">
        <f t="shared" si="183"/>
        <v>0</v>
      </c>
      <c r="W176" s="9">
        <f t="shared" si="183"/>
        <v>0</v>
      </c>
      <c r="X176" s="9">
        <f t="shared" si="183"/>
        <v>0</v>
      </c>
      <c r="Y176" s="9">
        <f t="shared" si="183"/>
        <v>0</v>
      </c>
      <c r="Z176" s="9">
        <f t="shared" si="183"/>
        <v>0</v>
      </c>
    </row>
    <row r="177" spans="1:26" outlineLevel="1" x14ac:dyDescent="0.4">
      <c r="A177" s="1">
        <v>16</v>
      </c>
      <c r="B177" t="s">
        <v>48</v>
      </c>
      <c r="C177" t="s">
        <v>82</v>
      </c>
      <c r="D177" s="9">
        <f t="shared" ref="D177:E177" si="187">D72</f>
        <v>670.4</v>
      </c>
      <c r="E177" s="9">
        <f t="shared" si="187"/>
        <v>816.2</v>
      </c>
      <c r="F177" s="9">
        <f t="shared" ref="F177:K177" si="188">F72</f>
        <v>870.1</v>
      </c>
      <c r="G177" s="9">
        <f t="shared" si="188"/>
        <v>946.9</v>
      </c>
      <c r="H177" s="9">
        <f t="shared" si="188"/>
        <v>0</v>
      </c>
      <c r="I177" s="9">
        <f t="shared" si="188"/>
        <v>0</v>
      </c>
      <c r="J177" s="9">
        <f t="shared" si="188"/>
        <v>0</v>
      </c>
      <c r="K177" s="9">
        <f t="shared" si="188"/>
        <v>0</v>
      </c>
      <c r="L177" s="9">
        <f t="shared" ref="L177:Z178" si="189">L72</f>
        <v>0</v>
      </c>
      <c r="M177" s="9">
        <f t="shared" si="189"/>
        <v>0</v>
      </c>
      <c r="N177" s="9">
        <f t="shared" si="189"/>
        <v>0</v>
      </c>
      <c r="O177" s="9">
        <f t="shared" si="189"/>
        <v>0</v>
      </c>
      <c r="P177" s="9">
        <f t="shared" si="189"/>
        <v>0</v>
      </c>
      <c r="Q177" s="9">
        <f t="shared" si="189"/>
        <v>0</v>
      </c>
      <c r="R177" s="9">
        <f t="shared" si="186"/>
        <v>0</v>
      </c>
      <c r="S177" s="9">
        <f t="shared" si="186"/>
        <v>0</v>
      </c>
      <c r="T177" s="9">
        <f t="shared" si="186"/>
        <v>0</v>
      </c>
      <c r="U177" s="9">
        <f t="shared" si="186"/>
        <v>0</v>
      </c>
      <c r="V177" s="9">
        <f t="shared" si="186"/>
        <v>0</v>
      </c>
      <c r="W177" s="9">
        <f t="shared" si="186"/>
        <v>0</v>
      </c>
      <c r="X177" s="9">
        <f t="shared" si="186"/>
        <v>0</v>
      </c>
      <c r="Y177" s="9">
        <f t="shared" si="186"/>
        <v>0</v>
      </c>
      <c r="Z177" s="9">
        <f t="shared" si="186"/>
        <v>0</v>
      </c>
    </row>
    <row r="178" spans="1:26" outlineLevel="1" x14ac:dyDescent="0.4">
      <c r="A178" s="1">
        <v>17</v>
      </c>
      <c r="B178" t="s">
        <v>49</v>
      </c>
      <c r="C178" t="s">
        <v>83</v>
      </c>
      <c r="D178" s="9">
        <f t="shared" ref="D178:E178" si="190">D51</f>
        <v>663</v>
      </c>
      <c r="E178" s="9">
        <f t="shared" si="190"/>
        <v>637.29999999999995</v>
      </c>
      <c r="F178" s="9">
        <f t="shared" ref="F178:K178" si="191">F51</f>
        <v>359.2</v>
      </c>
      <c r="G178" s="9">
        <f t="shared" si="191"/>
        <v>313.10000000000002</v>
      </c>
      <c r="H178" s="9">
        <f t="shared" si="191"/>
        <v>0</v>
      </c>
      <c r="I178" s="9">
        <f t="shared" si="191"/>
        <v>0</v>
      </c>
      <c r="J178" s="9">
        <f t="shared" si="191"/>
        <v>0</v>
      </c>
      <c r="K178" s="9">
        <f t="shared" si="191"/>
        <v>0</v>
      </c>
      <c r="L178" s="9">
        <f t="shared" ref="L178:Z179" si="192">L51</f>
        <v>0</v>
      </c>
      <c r="M178" s="9">
        <f t="shared" si="192"/>
        <v>0</v>
      </c>
      <c r="N178" s="9">
        <f t="shared" si="192"/>
        <v>0</v>
      </c>
      <c r="O178" s="9">
        <f t="shared" si="192"/>
        <v>0</v>
      </c>
      <c r="P178" s="9">
        <f t="shared" si="192"/>
        <v>0</v>
      </c>
      <c r="Q178" s="9">
        <f t="shared" si="192"/>
        <v>0</v>
      </c>
      <c r="R178" s="9">
        <f t="shared" si="189"/>
        <v>0</v>
      </c>
      <c r="S178" s="9">
        <f t="shared" si="189"/>
        <v>0</v>
      </c>
      <c r="T178" s="9">
        <f t="shared" si="189"/>
        <v>0</v>
      </c>
      <c r="U178" s="9">
        <f t="shared" si="189"/>
        <v>0</v>
      </c>
      <c r="V178" s="9">
        <f t="shared" si="189"/>
        <v>0</v>
      </c>
      <c r="W178" s="9">
        <f t="shared" si="189"/>
        <v>0</v>
      </c>
      <c r="X178" s="9">
        <f t="shared" si="189"/>
        <v>0</v>
      </c>
      <c r="Y178" s="9">
        <f t="shared" si="189"/>
        <v>0</v>
      </c>
      <c r="Z178" s="9">
        <f t="shared" si="189"/>
        <v>0</v>
      </c>
    </row>
    <row r="179" spans="1:26" outlineLevel="1" x14ac:dyDescent="0.4">
      <c r="A179" s="1">
        <v>18</v>
      </c>
      <c r="B179" t="s">
        <v>50</v>
      </c>
      <c r="C179" t="s">
        <v>84</v>
      </c>
      <c r="D179" s="9">
        <f t="shared" ref="D179:E179" si="193">D64+(D52-D68)+D54+D56+D59</f>
        <v>946.5</v>
      </c>
      <c r="E179" s="9">
        <f t="shared" si="193"/>
        <v>1052.5</v>
      </c>
      <c r="F179" s="9">
        <f t="shared" ref="F179:K179" si="194">F64+(F52-F68)+F54+F56+F59</f>
        <v>982.80000000000007</v>
      </c>
      <c r="G179" s="9">
        <f t="shared" si="194"/>
        <v>1141.9000000000001</v>
      </c>
      <c r="H179" s="9">
        <f t="shared" si="194"/>
        <v>0</v>
      </c>
      <c r="I179" s="9">
        <f t="shared" si="194"/>
        <v>0</v>
      </c>
      <c r="J179" s="9">
        <f t="shared" si="194"/>
        <v>0</v>
      </c>
      <c r="K179" s="9">
        <f t="shared" si="194"/>
        <v>0</v>
      </c>
      <c r="L179" s="9">
        <f t="shared" ref="L179:Z180" si="195">L64+(L52-L68)+L54+L56+L59</f>
        <v>0</v>
      </c>
      <c r="M179" s="9">
        <f t="shared" si="195"/>
        <v>0</v>
      </c>
      <c r="N179" s="9">
        <f t="shared" si="195"/>
        <v>0</v>
      </c>
      <c r="O179" s="9">
        <f t="shared" si="195"/>
        <v>0</v>
      </c>
      <c r="P179" s="9">
        <f t="shared" si="195"/>
        <v>0</v>
      </c>
      <c r="Q179" s="9">
        <f t="shared" si="195"/>
        <v>0</v>
      </c>
      <c r="R179" s="9">
        <f t="shared" si="192"/>
        <v>0</v>
      </c>
      <c r="S179" s="9">
        <f t="shared" si="192"/>
        <v>0</v>
      </c>
      <c r="T179" s="9">
        <f t="shared" si="192"/>
        <v>0</v>
      </c>
      <c r="U179" s="9">
        <f t="shared" si="192"/>
        <v>0</v>
      </c>
      <c r="V179" s="9">
        <f t="shared" si="192"/>
        <v>0</v>
      </c>
      <c r="W179" s="9">
        <f t="shared" si="192"/>
        <v>0</v>
      </c>
      <c r="X179" s="9">
        <f t="shared" si="192"/>
        <v>0</v>
      </c>
      <c r="Y179" s="9">
        <f t="shared" si="192"/>
        <v>0</v>
      </c>
      <c r="Z179" s="9">
        <f t="shared" si="192"/>
        <v>0</v>
      </c>
    </row>
    <row r="180" spans="1:26" outlineLevel="1" x14ac:dyDescent="0.4">
      <c r="A180" s="1">
        <v>19</v>
      </c>
      <c r="B180" t="s">
        <v>10</v>
      </c>
      <c r="C180" t="s">
        <v>4</v>
      </c>
      <c r="D180" s="9">
        <f t="shared" ref="D180:E180" si="196">D83</f>
        <v>1717.6</v>
      </c>
      <c r="E180" s="9">
        <f t="shared" si="196"/>
        <v>2231.3000000000002</v>
      </c>
      <c r="F180" s="9">
        <f t="shared" ref="F180:K180" si="197">F83</f>
        <v>2560.6999999999998</v>
      </c>
      <c r="G180" s="9">
        <f t="shared" si="197"/>
        <v>2711.9</v>
      </c>
      <c r="H180" s="9">
        <f t="shared" si="197"/>
        <v>0</v>
      </c>
      <c r="I180" s="9">
        <f t="shared" si="197"/>
        <v>0</v>
      </c>
      <c r="J180" s="9">
        <f t="shared" si="197"/>
        <v>0</v>
      </c>
      <c r="K180" s="9">
        <f t="shared" si="197"/>
        <v>0</v>
      </c>
      <c r="L180" s="9">
        <f t="shared" ref="L180:Z181" si="198">L83</f>
        <v>0</v>
      </c>
      <c r="M180" s="9">
        <f t="shared" si="198"/>
        <v>0</v>
      </c>
      <c r="N180" s="9">
        <f t="shared" si="198"/>
        <v>0</v>
      </c>
      <c r="O180" s="9">
        <f t="shared" si="198"/>
        <v>0</v>
      </c>
      <c r="P180" s="9">
        <f t="shared" si="198"/>
        <v>0</v>
      </c>
      <c r="Q180" s="9">
        <f t="shared" si="198"/>
        <v>0</v>
      </c>
      <c r="R180" s="9">
        <f t="shared" si="195"/>
        <v>0</v>
      </c>
      <c r="S180" s="9">
        <f t="shared" si="195"/>
        <v>0</v>
      </c>
      <c r="T180" s="9">
        <f t="shared" si="195"/>
        <v>0</v>
      </c>
      <c r="U180" s="9">
        <f t="shared" si="195"/>
        <v>0</v>
      </c>
      <c r="V180" s="9">
        <f t="shared" si="195"/>
        <v>0</v>
      </c>
      <c r="W180" s="9">
        <f t="shared" si="195"/>
        <v>0</v>
      </c>
      <c r="X180" s="9">
        <f t="shared" si="195"/>
        <v>0</v>
      </c>
      <c r="Y180" s="9">
        <f t="shared" si="195"/>
        <v>0</v>
      </c>
      <c r="Z180" s="9">
        <f t="shared" si="195"/>
        <v>0</v>
      </c>
    </row>
    <row r="181" spans="1:26" outlineLevel="1" x14ac:dyDescent="0.4">
      <c r="A181" s="1">
        <v>20</v>
      </c>
      <c r="B181" s="2" t="s">
        <v>51</v>
      </c>
      <c r="R181" s="9">
        <f t="shared" si="198"/>
        <v>0</v>
      </c>
      <c r="S181" s="9">
        <f t="shared" si="198"/>
        <v>0</v>
      </c>
      <c r="T181" s="9">
        <f t="shared" si="198"/>
        <v>0</v>
      </c>
      <c r="U181" s="9">
        <f t="shared" si="198"/>
        <v>0</v>
      </c>
      <c r="V181" s="9">
        <f t="shared" si="198"/>
        <v>0</v>
      </c>
      <c r="W181" s="9">
        <f t="shared" si="198"/>
        <v>0</v>
      </c>
      <c r="X181" s="9">
        <f t="shared" si="198"/>
        <v>0</v>
      </c>
      <c r="Y181" s="9">
        <f t="shared" si="198"/>
        <v>0</v>
      </c>
      <c r="Z181" s="9">
        <f t="shared" si="198"/>
        <v>0</v>
      </c>
    </row>
    <row r="182" spans="1:26" outlineLevel="1" x14ac:dyDescent="0.4">
      <c r="A182" s="1">
        <v>21</v>
      </c>
      <c r="B182" t="s">
        <v>52</v>
      </c>
      <c r="C182" t="s">
        <v>85</v>
      </c>
      <c r="D182" s="145">
        <f t="shared" ref="D182:E182" si="199">D60</f>
        <v>267.7</v>
      </c>
      <c r="E182" s="145">
        <f t="shared" si="199"/>
        <v>87.9</v>
      </c>
      <c r="F182" s="145">
        <f t="shared" ref="F182:K182" si="200">F60</f>
        <v>128.30000000000001</v>
      </c>
      <c r="G182" s="145">
        <f t="shared" si="200"/>
        <v>47.1</v>
      </c>
      <c r="H182" s="145">
        <f t="shared" si="200"/>
        <v>0</v>
      </c>
      <c r="I182" s="145">
        <f t="shared" si="200"/>
        <v>0</v>
      </c>
      <c r="J182" s="145">
        <f t="shared" si="200"/>
        <v>0</v>
      </c>
      <c r="K182" s="145">
        <f t="shared" si="200"/>
        <v>0</v>
      </c>
      <c r="L182" s="145">
        <f t="shared" ref="L182:Z183" si="201">L60</f>
        <v>0</v>
      </c>
      <c r="M182" s="145">
        <f t="shared" si="201"/>
        <v>0</v>
      </c>
      <c r="N182" s="145">
        <f t="shared" si="201"/>
        <v>0</v>
      </c>
      <c r="O182" s="145">
        <f t="shared" si="201"/>
        <v>0</v>
      </c>
      <c r="P182" s="145">
        <f t="shared" si="201"/>
        <v>0</v>
      </c>
      <c r="Q182" s="145">
        <f t="shared" si="201"/>
        <v>0</v>
      </c>
    </row>
    <row r="183" spans="1:26" outlineLevel="1" x14ac:dyDescent="0.4">
      <c r="A183" s="1">
        <v>22</v>
      </c>
      <c r="B183" t="s">
        <v>53</v>
      </c>
      <c r="C183" t="s">
        <v>86</v>
      </c>
      <c r="D183" s="145">
        <f t="shared" ref="D183:E183" si="202">D84+D78</f>
        <v>305.39999999999998</v>
      </c>
      <c r="E183" s="145">
        <f t="shared" si="202"/>
        <v>51</v>
      </c>
      <c r="F183" s="145">
        <f t="shared" ref="F183:K183" si="203">F84+F78</f>
        <v>153</v>
      </c>
      <c r="G183" s="145">
        <f t="shared" si="203"/>
        <v>-3.3000000000000007</v>
      </c>
      <c r="H183" s="145">
        <f t="shared" si="203"/>
        <v>0</v>
      </c>
      <c r="I183" s="145">
        <f t="shared" si="203"/>
        <v>0</v>
      </c>
      <c r="J183" s="145">
        <f t="shared" si="203"/>
        <v>0</v>
      </c>
      <c r="K183" s="145">
        <f t="shared" si="203"/>
        <v>0</v>
      </c>
      <c r="L183" s="145">
        <f t="shared" ref="L183:Z184" si="204">L84+L78</f>
        <v>0</v>
      </c>
      <c r="M183" s="145">
        <f t="shared" si="204"/>
        <v>0</v>
      </c>
      <c r="N183" s="145">
        <f t="shared" si="204"/>
        <v>0</v>
      </c>
      <c r="O183" s="145">
        <f t="shared" si="204"/>
        <v>0</v>
      </c>
      <c r="P183" s="145">
        <f t="shared" si="204"/>
        <v>0</v>
      </c>
      <c r="Q183" s="145">
        <f t="shared" si="204"/>
        <v>0</v>
      </c>
      <c r="R183" s="145">
        <f t="shared" si="201"/>
        <v>0</v>
      </c>
      <c r="S183" s="145">
        <f t="shared" si="201"/>
        <v>0</v>
      </c>
      <c r="T183" s="145">
        <f t="shared" si="201"/>
        <v>0</v>
      </c>
      <c r="U183" s="145">
        <f t="shared" si="201"/>
        <v>0</v>
      </c>
      <c r="V183" s="145">
        <f t="shared" si="201"/>
        <v>0</v>
      </c>
      <c r="W183" s="145">
        <f t="shared" si="201"/>
        <v>0</v>
      </c>
      <c r="X183" s="145">
        <f t="shared" si="201"/>
        <v>0</v>
      </c>
      <c r="Y183" s="145">
        <f t="shared" si="201"/>
        <v>0</v>
      </c>
      <c r="Z183" s="145">
        <f t="shared" si="201"/>
        <v>0</v>
      </c>
    </row>
    <row r="184" spans="1:26" outlineLevel="1" x14ac:dyDescent="0.4">
      <c r="A184" s="1">
        <v>23</v>
      </c>
      <c r="B184" t="s">
        <v>54</v>
      </c>
      <c r="C184" t="s">
        <v>87</v>
      </c>
      <c r="D184" s="9">
        <f t="shared" ref="D184" si="205">D173+D174+D175+D176+D177+D178+D179+D180+D182+D183</f>
        <v>15964.5</v>
      </c>
      <c r="E184" s="9">
        <f>E173+E174+E175+E176+E177+E178+E179+E180+E182+E183</f>
        <v>17182.600000000002</v>
      </c>
      <c r="F184" s="9">
        <f t="shared" ref="F184:K184" si="206">F173+F174+F175+F176+F177+F178+F179+F180+F182+F183</f>
        <v>18413.5</v>
      </c>
      <c r="G184" s="9">
        <f t="shared" si="206"/>
        <v>19832.400000000001</v>
      </c>
      <c r="H184" s="9">
        <f t="shared" si="206"/>
        <v>0</v>
      </c>
      <c r="I184" s="9">
        <f t="shared" si="206"/>
        <v>0</v>
      </c>
      <c r="J184" s="9">
        <f t="shared" si="206"/>
        <v>0</v>
      </c>
      <c r="K184" s="9">
        <f t="shared" si="206"/>
        <v>0</v>
      </c>
      <c r="L184" s="9">
        <f t="shared" ref="L184:Z185" si="207">L173+L174+L175+L176+L177+L178+L179+L180+L182+L183</f>
        <v>0</v>
      </c>
      <c r="M184" s="9">
        <f t="shared" si="207"/>
        <v>0</v>
      </c>
      <c r="N184" s="9">
        <f t="shared" si="207"/>
        <v>0</v>
      </c>
      <c r="O184" s="9">
        <f t="shared" si="207"/>
        <v>0</v>
      </c>
      <c r="P184" s="9">
        <f t="shared" si="207"/>
        <v>0</v>
      </c>
      <c r="Q184" s="9">
        <f t="shared" si="207"/>
        <v>0</v>
      </c>
      <c r="R184" s="145">
        <f t="shared" si="204"/>
        <v>0</v>
      </c>
      <c r="S184" s="145">
        <f t="shared" si="204"/>
        <v>0</v>
      </c>
      <c r="T184" s="145">
        <f t="shared" si="204"/>
        <v>0</v>
      </c>
      <c r="U184" s="145">
        <f t="shared" si="204"/>
        <v>0</v>
      </c>
      <c r="V184" s="145">
        <f t="shared" si="204"/>
        <v>0</v>
      </c>
      <c r="W184" s="145">
        <f t="shared" si="204"/>
        <v>0</v>
      </c>
      <c r="X184" s="145">
        <f t="shared" si="204"/>
        <v>0</v>
      </c>
      <c r="Y184" s="145">
        <f t="shared" si="204"/>
        <v>0</v>
      </c>
      <c r="Z184" s="145">
        <f t="shared" si="204"/>
        <v>0</v>
      </c>
    </row>
    <row r="185" spans="1:26" outlineLevel="1" x14ac:dyDescent="0.4">
      <c r="A185" s="1">
        <v>24</v>
      </c>
      <c r="B185" s="2" t="s">
        <v>55</v>
      </c>
      <c r="C185" t="s">
        <v>79</v>
      </c>
      <c r="D185" s="9">
        <f>D167</f>
        <v>428.5</v>
      </c>
      <c r="E185">
        <f t="shared" ref="E185:J185" si="208">E167</f>
        <v>734.3</v>
      </c>
      <c r="F185">
        <f t="shared" si="208"/>
        <v>755.5</v>
      </c>
      <c r="G185">
        <f t="shared" si="208"/>
        <v>1251</v>
      </c>
      <c r="H185">
        <f t="shared" si="208"/>
        <v>0</v>
      </c>
      <c r="I185">
        <f t="shared" si="208"/>
        <v>0</v>
      </c>
      <c r="J185">
        <f t="shared" si="208"/>
        <v>0</v>
      </c>
      <c r="R185" s="9">
        <f t="shared" si="207"/>
        <v>0</v>
      </c>
      <c r="S185" s="9">
        <f t="shared" si="207"/>
        <v>0</v>
      </c>
      <c r="T185" s="9">
        <f t="shared" si="207"/>
        <v>0</v>
      </c>
      <c r="U185" s="9">
        <f t="shared" si="207"/>
        <v>0</v>
      </c>
      <c r="V185" s="9">
        <f t="shared" si="207"/>
        <v>0</v>
      </c>
      <c r="W185" s="9">
        <f t="shared" si="207"/>
        <v>0</v>
      </c>
      <c r="X185" s="9">
        <f t="shared" si="207"/>
        <v>0</v>
      </c>
      <c r="Y185" s="9">
        <f t="shared" si="207"/>
        <v>0</v>
      </c>
      <c r="Z185" s="9">
        <f t="shared" si="207"/>
        <v>0</v>
      </c>
    </row>
    <row r="186" spans="1:26" outlineLevel="1" x14ac:dyDescent="0.4">
      <c r="A186" s="1">
        <v>25</v>
      </c>
      <c r="B186" t="s">
        <v>56</v>
      </c>
      <c r="D186" s="9">
        <f t="shared" ref="D186:E186" si="209">D184-D185</f>
        <v>15536</v>
      </c>
      <c r="E186" s="9">
        <f t="shared" si="209"/>
        <v>16448.300000000003</v>
      </c>
      <c r="F186" s="9">
        <f t="shared" ref="F186:K186" si="210">F184-F185</f>
        <v>17658</v>
      </c>
      <c r="G186" s="9">
        <f t="shared" si="210"/>
        <v>18581.400000000001</v>
      </c>
      <c r="H186" s="9">
        <f t="shared" si="210"/>
        <v>0</v>
      </c>
      <c r="I186" s="9">
        <f t="shared" si="210"/>
        <v>0</v>
      </c>
      <c r="J186" s="9">
        <f t="shared" si="210"/>
        <v>0</v>
      </c>
      <c r="K186" s="9">
        <f t="shared" si="210"/>
        <v>0</v>
      </c>
      <c r="L186" s="9">
        <f t="shared" ref="L186:Z187" si="211">L184-L185</f>
        <v>0</v>
      </c>
      <c r="M186" s="9">
        <f t="shared" si="211"/>
        <v>0</v>
      </c>
      <c r="N186" s="9">
        <f t="shared" si="211"/>
        <v>0</v>
      </c>
      <c r="O186" s="9">
        <f t="shared" si="211"/>
        <v>0</v>
      </c>
      <c r="P186" s="9">
        <f t="shared" si="211"/>
        <v>0</v>
      </c>
      <c r="Q186" s="9">
        <f t="shared" si="211"/>
        <v>0</v>
      </c>
    </row>
    <row r="187" spans="1:26" outlineLevel="1" x14ac:dyDescent="0.4">
      <c r="A187" s="1">
        <v>26</v>
      </c>
      <c r="B187" t="s">
        <v>611</v>
      </c>
      <c r="C187" t="s">
        <v>820</v>
      </c>
      <c r="D187" s="9">
        <f>D93</f>
        <v>0</v>
      </c>
      <c r="E187">
        <f t="shared" ref="E187:J187" si="212">E93</f>
        <v>158.25</v>
      </c>
      <c r="F187">
        <f t="shared" si="212"/>
        <v>137.65</v>
      </c>
      <c r="G187">
        <f t="shared" si="212"/>
        <v>199.2</v>
      </c>
      <c r="H187">
        <f t="shared" si="212"/>
        <v>0</v>
      </c>
      <c r="I187">
        <f t="shared" si="212"/>
        <v>0</v>
      </c>
      <c r="J187">
        <f t="shared" si="212"/>
        <v>0</v>
      </c>
      <c r="R187" s="9">
        <f t="shared" si="211"/>
        <v>0</v>
      </c>
      <c r="S187" s="9">
        <f t="shared" si="211"/>
        <v>0</v>
      </c>
      <c r="T187" s="9">
        <f t="shared" si="211"/>
        <v>0</v>
      </c>
      <c r="U187" s="9">
        <f t="shared" si="211"/>
        <v>0</v>
      </c>
      <c r="V187" s="9">
        <f t="shared" si="211"/>
        <v>0</v>
      </c>
      <c r="W187" s="9">
        <f t="shared" si="211"/>
        <v>0</v>
      </c>
      <c r="X187" s="9">
        <f t="shared" si="211"/>
        <v>0</v>
      </c>
      <c r="Y187" s="9">
        <f t="shared" si="211"/>
        <v>0</v>
      </c>
      <c r="Z187" s="9">
        <f t="shared" si="211"/>
        <v>0</v>
      </c>
    </row>
    <row r="188" spans="1:26" outlineLevel="1" x14ac:dyDescent="0.4">
      <c r="A188" s="1">
        <v>27</v>
      </c>
      <c r="B188" t="s">
        <v>57</v>
      </c>
      <c r="C188" t="s">
        <v>819</v>
      </c>
      <c r="D188" s="9">
        <f>D96</f>
        <v>0</v>
      </c>
      <c r="E188" s="9">
        <f t="shared" ref="E188:J188" si="213">E96</f>
        <v>-2.3600000000000003</v>
      </c>
      <c r="F188" s="9">
        <f t="shared" si="213"/>
        <v>3.14</v>
      </c>
      <c r="G188" s="9">
        <f t="shared" si="213"/>
        <v>6.7</v>
      </c>
      <c r="H188" s="9">
        <f t="shared" si="213"/>
        <v>0</v>
      </c>
      <c r="I188" s="9">
        <f t="shared" si="213"/>
        <v>0</v>
      </c>
      <c r="J188" s="9">
        <f t="shared" si="213"/>
        <v>0</v>
      </c>
      <c r="K188" s="9"/>
      <c r="L188" s="9"/>
      <c r="M188" s="9"/>
      <c r="N188" s="9"/>
      <c r="O188" s="9"/>
      <c r="P188" s="9"/>
      <c r="Q188" s="9"/>
    </row>
    <row r="189" spans="1:26" outlineLevel="1" x14ac:dyDescent="0.4">
      <c r="A189" s="1">
        <v>28</v>
      </c>
      <c r="B189" t="s">
        <v>58</v>
      </c>
      <c r="C189" t="s">
        <v>821</v>
      </c>
      <c r="D189" s="9">
        <f>-D97</f>
        <v>0</v>
      </c>
      <c r="E189" s="9">
        <f t="shared" ref="E189:O189" si="214">-E97</f>
        <v>0</v>
      </c>
      <c r="F189" s="9">
        <f t="shared" si="214"/>
        <v>0</v>
      </c>
      <c r="G189" s="9">
        <f t="shared" si="214"/>
        <v>0</v>
      </c>
      <c r="H189" s="9">
        <f t="shared" si="214"/>
        <v>0</v>
      </c>
      <c r="I189" s="9">
        <f t="shared" si="214"/>
        <v>0</v>
      </c>
      <c r="J189" s="9">
        <f t="shared" si="214"/>
        <v>0</v>
      </c>
      <c r="K189" s="9">
        <f t="shared" si="214"/>
        <v>0</v>
      </c>
      <c r="L189" s="9">
        <f t="shared" si="214"/>
        <v>0</v>
      </c>
      <c r="M189" s="9">
        <f t="shared" si="214"/>
        <v>0</v>
      </c>
      <c r="N189" s="9">
        <f t="shared" si="214"/>
        <v>0</v>
      </c>
      <c r="O189" s="9">
        <f t="shared" si="214"/>
        <v>0</v>
      </c>
      <c r="P189" s="9">
        <f t="shared" ref="P189:Z190" si="215">P97</f>
        <v>0</v>
      </c>
      <c r="Q189" s="9">
        <f t="shared" si="215"/>
        <v>0</v>
      </c>
      <c r="R189" s="9"/>
      <c r="S189" s="9"/>
      <c r="T189" s="9"/>
      <c r="U189" s="9"/>
      <c r="V189" s="9"/>
      <c r="W189" s="9"/>
      <c r="X189" s="9"/>
      <c r="Y189" s="9"/>
      <c r="Z189" s="9"/>
    </row>
    <row r="190" spans="1:26" outlineLevel="1" x14ac:dyDescent="0.4">
      <c r="A190" s="1">
        <v>29</v>
      </c>
      <c r="B190" t="s">
        <v>59</v>
      </c>
      <c r="D190" s="9">
        <f t="shared" ref="D190:E190" si="216">D186-D187-D188-D189-D175</f>
        <v>15352.8</v>
      </c>
      <c r="E190" s="9">
        <f t="shared" si="216"/>
        <v>16005.510000000004</v>
      </c>
      <c r="F190" s="9">
        <f t="shared" ref="F190:K190" si="217">F186-F187-F188-F189-F175</f>
        <v>17073.91</v>
      </c>
      <c r="G190" s="9">
        <f t="shared" si="217"/>
        <v>17899.7</v>
      </c>
      <c r="H190" s="9">
        <f t="shared" si="217"/>
        <v>0</v>
      </c>
      <c r="I190" s="9">
        <f t="shared" si="217"/>
        <v>0</v>
      </c>
      <c r="J190" s="9">
        <f t="shared" si="217"/>
        <v>0</v>
      </c>
      <c r="K190" s="9">
        <f t="shared" si="217"/>
        <v>0</v>
      </c>
      <c r="L190" s="9">
        <f t="shared" ref="L190:Z191" si="218">L186-L187-L188-L189-L175</f>
        <v>0</v>
      </c>
      <c r="M190" s="9">
        <f t="shared" si="218"/>
        <v>0</v>
      </c>
      <c r="N190" s="9">
        <f t="shared" si="218"/>
        <v>0</v>
      </c>
      <c r="O190" s="9">
        <f t="shared" si="218"/>
        <v>0</v>
      </c>
      <c r="P190" s="9">
        <f t="shared" si="218"/>
        <v>0</v>
      </c>
      <c r="Q190" s="9">
        <f t="shared" si="218"/>
        <v>0</v>
      </c>
      <c r="R190" s="9">
        <f t="shared" si="215"/>
        <v>0</v>
      </c>
      <c r="S190" s="9">
        <f t="shared" si="215"/>
        <v>0</v>
      </c>
      <c r="T190" s="9">
        <f t="shared" si="215"/>
        <v>0</v>
      </c>
      <c r="U190" s="9">
        <f t="shared" si="215"/>
        <v>0</v>
      </c>
      <c r="V190" s="9">
        <f t="shared" si="215"/>
        <v>0</v>
      </c>
      <c r="W190" s="9">
        <f t="shared" si="215"/>
        <v>0</v>
      </c>
      <c r="X190" s="9">
        <f t="shared" si="215"/>
        <v>0</v>
      </c>
      <c r="Y190" s="9">
        <f t="shared" si="215"/>
        <v>0</v>
      </c>
      <c r="Z190" s="9">
        <f t="shared" si="215"/>
        <v>0</v>
      </c>
    </row>
    <row r="191" spans="1:26" outlineLevel="1" x14ac:dyDescent="0.4">
      <c r="A191" s="1"/>
      <c r="B191" s="1" t="s">
        <v>35</v>
      </c>
      <c r="C191" s="1"/>
      <c r="D191" s="1"/>
      <c r="E191" s="1"/>
      <c r="F191" s="1"/>
      <c r="G191" s="1"/>
      <c r="H191" s="1"/>
      <c r="I191" s="1"/>
      <c r="J191" s="1"/>
      <c r="K191" s="1"/>
      <c r="L191" s="1"/>
      <c r="M191" s="1"/>
      <c r="N191" s="1"/>
      <c r="O191" s="1"/>
      <c r="P191" s="1"/>
      <c r="Q191" s="1"/>
      <c r="R191" s="9">
        <f t="shared" si="218"/>
        <v>0</v>
      </c>
      <c r="S191" s="9">
        <f t="shared" si="218"/>
        <v>0</v>
      </c>
      <c r="T191" s="9">
        <f t="shared" si="218"/>
        <v>0</v>
      </c>
      <c r="U191" s="9">
        <f t="shared" si="218"/>
        <v>0</v>
      </c>
      <c r="V191" s="9">
        <f t="shared" si="218"/>
        <v>0</v>
      </c>
      <c r="W191" s="9">
        <f t="shared" si="218"/>
        <v>0</v>
      </c>
      <c r="X191" s="9">
        <f t="shared" si="218"/>
        <v>0</v>
      </c>
      <c r="Y191" s="9">
        <f t="shared" si="218"/>
        <v>0</v>
      </c>
      <c r="Z191" s="9">
        <f t="shared" si="218"/>
        <v>0</v>
      </c>
    </row>
    <row r="192" spans="1:26" outlineLevel="1" x14ac:dyDescent="0.4">
      <c r="A192" s="1">
        <v>30</v>
      </c>
      <c r="B192" t="s">
        <v>600</v>
      </c>
      <c r="D192" s="9"/>
      <c r="E192" s="9"/>
      <c r="F192" s="9"/>
      <c r="G192" s="9"/>
      <c r="H192" s="9"/>
      <c r="I192" s="9"/>
      <c r="J192" s="9"/>
      <c r="K192" s="9"/>
      <c r="L192" s="9"/>
      <c r="M192" s="9"/>
      <c r="N192" s="9"/>
      <c r="O192" s="9"/>
      <c r="P192" s="9"/>
      <c r="Q192" s="9"/>
      <c r="R192" s="1"/>
      <c r="S192" s="1"/>
      <c r="T192" s="1"/>
      <c r="U192" s="1"/>
      <c r="V192" s="1"/>
      <c r="W192" s="1"/>
      <c r="X192" s="1"/>
      <c r="Y192" s="1"/>
      <c r="Z192" s="1"/>
    </row>
    <row r="193" spans="1:26" outlineLevel="1" x14ac:dyDescent="0.4">
      <c r="A193" s="1"/>
      <c r="B193" s="1" t="s">
        <v>60</v>
      </c>
      <c r="C193" s="1"/>
      <c r="D193" s="1"/>
      <c r="E193" s="1"/>
      <c r="F193" s="1"/>
      <c r="G193" s="1"/>
      <c r="H193" s="1"/>
      <c r="I193" s="1"/>
      <c r="J193" s="1"/>
      <c r="K193" s="1"/>
      <c r="L193" s="1"/>
      <c r="M193" s="1"/>
      <c r="N193" s="1"/>
      <c r="O193" s="1"/>
      <c r="P193" s="1"/>
      <c r="Q193" s="1"/>
      <c r="R193" s="9"/>
      <c r="S193" s="9"/>
      <c r="T193" s="9"/>
      <c r="U193" s="9"/>
      <c r="V193" s="9"/>
      <c r="W193" s="9"/>
      <c r="X193" s="9"/>
      <c r="Y193" s="9"/>
      <c r="Z193" s="9"/>
    </row>
    <row r="194" spans="1:26" outlineLevel="1" x14ac:dyDescent="0.4">
      <c r="A194" s="1">
        <v>31</v>
      </c>
      <c r="B194" t="s">
        <v>61</v>
      </c>
      <c r="C194" t="s">
        <v>27</v>
      </c>
      <c r="D194" s="6">
        <f t="shared" ref="D194:E194" si="219">D166-D184</f>
        <v>-1753.5000000000018</v>
      </c>
      <c r="E194" s="6">
        <f t="shared" si="219"/>
        <v>-926.90000000000327</v>
      </c>
      <c r="F194" s="6">
        <f t="shared" ref="F194:K194" si="220">F166-F184</f>
        <v>-726.40000000000146</v>
      </c>
      <c r="G194" s="6">
        <f t="shared" si="220"/>
        <v>-1093.2000000000044</v>
      </c>
      <c r="H194" s="6">
        <f t="shared" si="220"/>
        <v>0</v>
      </c>
      <c r="I194" s="6">
        <f t="shared" si="220"/>
        <v>0</v>
      </c>
      <c r="J194" s="6">
        <f t="shared" si="220"/>
        <v>0</v>
      </c>
      <c r="K194" s="6">
        <f t="shared" si="220"/>
        <v>0</v>
      </c>
      <c r="L194" s="6">
        <f t="shared" ref="L194:Z195" si="221">L166-L184</f>
        <v>0</v>
      </c>
      <c r="M194" s="6">
        <f t="shared" si="221"/>
        <v>0</v>
      </c>
      <c r="N194" s="6">
        <f t="shared" si="221"/>
        <v>0</v>
      </c>
      <c r="O194" s="6">
        <f t="shared" si="221"/>
        <v>0</v>
      </c>
      <c r="P194" s="6">
        <f t="shared" si="221"/>
        <v>0</v>
      </c>
      <c r="Q194" s="6">
        <f t="shared" si="221"/>
        <v>0</v>
      </c>
      <c r="R194" s="1"/>
      <c r="S194" s="1"/>
      <c r="T194" s="1"/>
      <c r="U194" s="1"/>
      <c r="V194" s="1"/>
      <c r="W194" s="1"/>
      <c r="X194" s="1"/>
      <c r="Y194" s="1"/>
      <c r="Z194" s="1"/>
    </row>
    <row r="195" spans="1:26" outlineLevel="1" x14ac:dyDescent="0.4">
      <c r="A195" s="1">
        <v>32</v>
      </c>
      <c r="B195" t="s">
        <v>62</v>
      </c>
      <c r="C195" t="s">
        <v>88</v>
      </c>
      <c r="D195" s="6">
        <f t="shared" ref="D195:E195" si="222">D194-D175</f>
        <v>-1936.7000000000019</v>
      </c>
      <c r="E195" s="6">
        <f t="shared" si="222"/>
        <v>-1213.8000000000034</v>
      </c>
      <c r="F195" s="6">
        <f t="shared" ref="F195:K195" si="223">F194-F175</f>
        <v>-1169.7000000000014</v>
      </c>
      <c r="G195" s="6">
        <f t="shared" si="223"/>
        <v>-1569.0000000000043</v>
      </c>
      <c r="H195" s="6">
        <f t="shared" si="223"/>
        <v>0</v>
      </c>
      <c r="I195" s="6">
        <f t="shared" si="223"/>
        <v>0</v>
      </c>
      <c r="J195" s="6">
        <f t="shared" si="223"/>
        <v>0</v>
      </c>
      <c r="K195" s="6">
        <f t="shared" si="223"/>
        <v>0</v>
      </c>
      <c r="L195" s="6">
        <f t="shared" ref="L195:Z196" si="224">L194-L175</f>
        <v>0</v>
      </c>
      <c r="M195" s="6">
        <f t="shared" si="224"/>
        <v>0</v>
      </c>
      <c r="N195" s="6">
        <f t="shared" si="224"/>
        <v>0</v>
      </c>
      <c r="O195" s="6">
        <f t="shared" si="224"/>
        <v>0</v>
      </c>
      <c r="P195" s="6">
        <f t="shared" si="224"/>
        <v>0</v>
      </c>
      <c r="Q195" s="6">
        <f t="shared" si="224"/>
        <v>0</v>
      </c>
      <c r="R195" s="6">
        <f t="shared" si="221"/>
        <v>0</v>
      </c>
      <c r="S195" s="6">
        <f t="shared" si="221"/>
        <v>0</v>
      </c>
      <c r="T195" s="6">
        <f t="shared" si="221"/>
        <v>0</v>
      </c>
      <c r="U195" s="6">
        <f t="shared" si="221"/>
        <v>0</v>
      </c>
      <c r="V195" s="6">
        <f t="shared" si="221"/>
        <v>0</v>
      </c>
      <c r="W195" s="6">
        <f t="shared" si="221"/>
        <v>0</v>
      </c>
      <c r="X195" s="6">
        <f t="shared" si="221"/>
        <v>0</v>
      </c>
      <c r="Y195" s="6">
        <f t="shared" si="221"/>
        <v>0</v>
      </c>
      <c r="Z195" s="6">
        <f t="shared" si="221"/>
        <v>0</v>
      </c>
    </row>
    <row r="196" spans="1:26" outlineLevel="1" x14ac:dyDescent="0.4">
      <c r="A196" s="1"/>
      <c r="B196" s="1" t="s">
        <v>63</v>
      </c>
      <c r="C196" s="1"/>
      <c r="D196" s="1"/>
      <c r="E196" s="1"/>
      <c r="F196" s="1"/>
      <c r="G196" s="1"/>
      <c r="H196" s="1"/>
      <c r="I196" s="1"/>
      <c r="J196" s="1"/>
      <c r="K196" s="1"/>
      <c r="L196" s="1"/>
      <c r="M196" s="1"/>
      <c r="N196" s="1"/>
      <c r="O196" s="1"/>
      <c r="P196" s="1"/>
      <c r="Q196" s="1"/>
      <c r="R196" s="6">
        <f t="shared" si="224"/>
        <v>0</v>
      </c>
      <c r="S196" s="6">
        <f t="shared" si="224"/>
        <v>0</v>
      </c>
      <c r="T196" s="6">
        <f t="shared" si="224"/>
        <v>0</v>
      </c>
      <c r="U196" s="6">
        <f t="shared" si="224"/>
        <v>0</v>
      </c>
      <c r="V196" s="6">
        <f t="shared" si="224"/>
        <v>0</v>
      </c>
      <c r="W196" s="6">
        <f t="shared" si="224"/>
        <v>0</v>
      </c>
      <c r="X196" s="6">
        <f t="shared" si="224"/>
        <v>0</v>
      </c>
      <c r="Y196" s="6">
        <f t="shared" si="224"/>
        <v>0</v>
      </c>
      <c r="Z196" s="6">
        <f t="shared" si="224"/>
        <v>0</v>
      </c>
    </row>
    <row r="197" spans="1:26" outlineLevel="1" x14ac:dyDescent="0.4">
      <c r="A197" s="1">
        <v>33</v>
      </c>
      <c r="B197" t="s">
        <v>0</v>
      </c>
      <c r="C197" t="s">
        <v>613</v>
      </c>
      <c r="R197" s="1"/>
      <c r="S197" s="1"/>
      <c r="T197" s="1"/>
      <c r="U197" s="1"/>
      <c r="V197" s="1"/>
      <c r="W197" s="1"/>
      <c r="X197" s="1"/>
      <c r="Y197" s="1"/>
      <c r="Z197" s="1"/>
    </row>
    <row r="198" spans="1:26" outlineLevel="1" x14ac:dyDescent="0.4">
      <c r="A198" s="1">
        <v>34</v>
      </c>
      <c r="B198" t="s">
        <v>3</v>
      </c>
      <c r="C198" t="s">
        <v>614</v>
      </c>
    </row>
    <row r="199" spans="1:26" outlineLevel="1" x14ac:dyDescent="0.4">
      <c r="A199" s="1"/>
      <c r="B199" s="1" t="s">
        <v>20</v>
      </c>
      <c r="C199" s="1"/>
      <c r="D199" s="1"/>
      <c r="E199" s="1"/>
      <c r="F199" s="1"/>
      <c r="G199" s="1"/>
      <c r="H199" s="1"/>
      <c r="I199" s="1"/>
      <c r="J199" s="1"/>
      <c r="K199" s="1"/>
      <c r="L199" s="1"/>
      <c r="M199" s="1"/>
      <c r="N199" s="1"/>
      <c r="O199" s="1"/>
      <c r="P199" s="1"/>
      <c r="Q199" s="1"/>
    </row>
    <row r="200" spans="1:26" outlineLevel="1" x14ac:dyDescent="0.4">
      <c r="A200" s="1">
        <v>35</v>
      </c>
      <c r="B200" t="s">
        <v>1</v>
      </c>
      <c r="D200" s="9">
        <f t="shared" ref="D200:E200" si="225">D88</f>
        <v>16038.9</v>
      </c>
      <c r="E200" s="9">
        <f t="shared" si="225"/>
        <v>17578.5</v>
      </c>
      <c r="F200" s="9">
        <f t="shared" ref="F200:K200" si="226">F88</f>
        <v>18801.5</v>
      </c>
      <c r="G200" s="9">
        <f t="shared" si="226"/>
        <v>20173.900000000001</v>
      </c>
      <c r="H200" s="9">
        <f t="shared" si="226"/>
        <v>0</v>
      </c>
      <c r="I200" s="9">
        <f t="shared" si="226"/>
        <v>0</v>
      </c>
      <c r="J200" s="9">
        <f t="shared" si="226"/>
        <v>0</v>
      </c>
      <c r="K200" s="9">
        <f t="shared" si="226"/>
        <v>0</v>
      </c>
      <c r="L200" s="9">
        <f t="shared" ref="L200:Z201" si="227">L88</f>
        <v>0</v>
      </c>
      <c r="M200" s="9">
        <f t="shared" si="227"/>
        <v>0</v>
      </c>
      <c r="N200" s="9">
        <f t="shared" si="227"/>
        <v>0</v>
      </c>
      <c r="O200" s="9">
        <f t="shared" si="227"/>
        <v>0</v>
      </c>
      <c r="P200" s="9">
        <f t="shared" si="227"/>
        <v>0</v>
      </c>
      <c r="Q200" s="9">
        <f t="shared" si="227"/>
        <v>0</v>
      </c>
      <c r="R200" s="1"/>
      <c r="S200" s="1"/>
      <c r="T200" s="1"/>
      <c r="U200" s="1"/>
      <c r="V200" s="1"/>
      <c r="W200" s="1"/>
      <c r="X200" s="1"/>
      <c r="Y200" s="1"/>
      <c r="Z200" s="1"/>
    </row>
    <row r="201" spans="1:26" outlineLevel="1" x14ac:dyDescent="0.4">
      <c r="A201" s="1">
        <v>36</v>
      </c>
      <c r="B201" t="s">
        <v>2</v>
      </c>
      <c r="D201" s="9"/>
      <c r="E201" s="9">
        <f>E200-D200</f>
        <v>1539.6000000000004</v>
      </c>
      <c r="F201" s="9">
        <f t="shared" ref="F201" si="228">F200-E200</f>
        <v>1223</v>
      </c>
      <c r="G201" s="9">
        <f t="shared" ref="G201" si="229">G200-F200</f>
        <v>1372.4000000000015</v>
      </c>
      <c r="H201" s="9">
        <f t="shared" ref="H201" si="230">H200-G200</f>
        <v>-20173.900000000001</v>
      </c>
      <c r="I201" s="9">
        <f t="shared" ref="I201" si="231">I200-H200</f>
        <v>0</v>
      </c>
      <c r="J201" s="9">
        <f t="shared" ref="J201" si="232">J200-I200</f>
        <v>0</v>
      </c>
      <c r="K201" s="9">
        <f t="shared" ref="K201" si="233">K200-J200</f>
        <v>0</v>
      </c>
      <c r="L201" s="9">
        <f t="shared" ref="L201" si="234">L200-K200</f>
        <v>0</v>
      </c>
      <c r="M201" s="9">
        <f t="shared" ref="M201" si="235">M200-L200</f>
        <v>0</v>
      </c>
      <c r="N201" s="9">
        <f t="shared" ref="N201" si="236">N200-M200</f>
        <v>0</v>
      </c>
      <c r="O201" s="9">
        <f t="shared" ref="O201" si="237">O200-N200</f>
        <v>0</v>
      </c>
      <c r="P201" s="9">
        <f t="shared" ref="P201" si="238">P200-O200</f>
        <v>0</v>
      </c>
      <c r="Q201" s="9">
        <f t="shared" ref="Q201" si="239">Q200-P200</f>
        <v>0</v>
      </c>
      <c r="R201" s="9">
        <f t="shared" si="227"/>
        <v>0</v>
      </c>
      <c r="S201" s="9">
        <f t="shared" si="227"/>
        <v>0</v>
      </c>
      <c r="T201" s="9">
        <f t="shared" si="227"/>
        <v>0</v>
      </c>
      <c r="U201" s="9">
        <f t="shared" si="227"/>
        <v>0</v>
      </c>
      <c r="V201" s="9">
        <f t="shared" si="227"/>
        <v>0</v>
      </c>
      <c r="W201" s="9">
        <f t="shared" si="227"/>
        <v>0</v>
      </c>
      <c r="X201" s="9">
        <f t="shared" si="227"/>
        <v>0</v>
      </c>
      <c r="Y201" s="9">
        <f t="shared" si="227"/>
        <v>0</v>
      </c>
      <c r="Z201" s="9">
        <f t="shared" si="227"/>
        <v>0</v>
      </c>
    </row>
    <row r="202" spans="1:26" outlineLevel="1" x14ac:dyDescent="0.4">
      <c r="A202" s="1">
        <v>37</v>
      </c>
      <c r="B202" t="s">
        <v>64</v>
      </c>
      <c r="R202" s="9">
        <f>R201-Q200</f>
        <v>0</v>
      </c>
      <c r="S202" s="9">
        <f t="shared" ref="S202" si="240">S201-R201</f>
        <v>0</v>
      </c>
      <c r="T202" s="9">
        <f t="shared" ref="T202" si="241">T201-S201</f>
        <v>0</v>
      </c>
      <c r="U202" s="9">
        <f t="shared" ref="U202" si="242">U201-T201</f>
        <v>0</v>
      </c>
      <c r="V202" s="9">
        <f t="shared" ref="V202" si="243">V201-U201</f>
        <v>0</v>
      </c>
      <c r="W202" s="9">
        <f t="shared" ref="W202" si="244">W201-V201</f>
        <v>0</v>
      </c>
      <c r="X202" s="9">
        <f t="shared" ref="X202" si="245">X201-W201</f>
        <v>0</v>
      </c>
      <c r="Y202" s="9">
        <f t="shared" ref="Y202" si="246">Y201-X201</f>
        <v>0</v>
      </c>
      <c r="Z202" s="9">
        <f t="shared" ref="Z202" si="247">Z201-Y201</f>
        <v>0</v>
      </c>
    </row>
    <row r="203" spans="1:26" outlineLevel="1" x14ac:dyDescent="0.4">
      <c r="A203" s="1">
        <v>38</v>
      </c>
      <c r="B203" t="s">
        <v>65</v>
      </c>
      <c r="D203" s="9">
        <f t="shared" ref="D203:E203" si="248">-D195</f>
        <v>1936.7000000000019</v>
      </c>
      <c r="E203" s="9">
        <f t="shared" si="248"/>
        <v>1213.8000000000034</v>
      </c>
      <c r="F203" s="9">
        <f t="shared" ref="F203:K203" si="249">-F195</f>
        <v>1169.7000000000014</v>
      </c>
      <c r="G203" s="9">
        <f t="shared" si="249"/>
        <v>1569.0000000000043</v>
      </c>
      <c r="H203" s="9">
        <f t="shared" si="249"/>
        <v>0</v>
      </c>
      <c r="I203" s="9">
        <f t="shared" si="249"/>
        <v>0</v>
      </c>
      <c r="J203" s="9">
        <f t="shared" si="249"/>
        <v>0</v>
      </c>
      <c r="K203" s="9">
        <f t="shared" si="249"/>
        <v>0</v>
      </c>
      <c r="L203" s="9">
        <f t="shared" ref="L203:Z204" si="250">-L195</f>
        <v>0</v>
      </c>
      <c r="M203" s="9">
        <f t="shared" si="250"/>
        <v>0</v>
      </c>
      <c r="N203" s="9">
        <f t="shared" si="250"/>
        <v>0</v>
      </c>
      <c r="O203" s="9">
        <f t="shared" si="250"/>
        <v>0</v>
      </c>
      <c r="P203" s="9">
        <f t="shared" si="250"/>
        <v>0</v>
      </c>
      <c r="Q203" s="9">
        <f t="shared" si="250"/>
        <v>0</v>
      </c>
    </row>
    <row r="204" spans="1:26" outlineLevel="1" x14ac:dyDescent="0.4">
      <c r="A204" s="1">
        <v>39</v>
      </c>
      <c r="B204" t="s">
        <v>66</v>
      </c>
      <c r="R204" s="9">
        <f t="shared" si="250"/>
        <v>0</v>
      </c>
      <c r="S204" s="9">
        <f t="shared" si="250"/>
        <v>0</v>
      </c>
      <c r="T204" s="9">
        <f t="shared" si="250"/>
        <v>0</v>
      </c>
      <c r="U204" s="9">
        <f t="shared" si="250"/>
        <v>0</v>
      </c>
      <c r="V204" s="9">
        <f t="shared" si="250"/>
        <v>0</v>
      </c>
      <c r="W204" s="9">
        <f t="shared" si="250"/>
        <v>0</v>
      </c>
      <c r="X204" s="9">
        <f t="shared" si="250"/>
        <v>0</v>
      </c>
      <c r="Y204" s="9">
        <f t="shared" si="250"/>
        <v>0</v>
      </c>
      <c r="Z204" s="9">
        <f t="shared" si="250"/>
        <v>0</v>
      </c>
    </row>
    <row r="205" spans="1:26" outlineLevel="1" x14ac:dyDescent="0.4">
      <c r="A205" s="1">
        <v>40</v>
      </c>
      <c r="B205" t="s">
        <v>67</v>
      </c>
      <c r="D205" s="9">
        <f t="shared" ref="D205:E205" si="251">D175</f>
        <v>183.2</v>
      </c>
      <c r="E205" s="9">
        <f t="shared" si="251"/>
        <v>286.89999999999998</v>
      </c>
      <c r="F205" s="9">
        <f t="shared" ref="F205:K205" si="252">F175</f>
        <v>443.3</v>
      </c>
      <c r="G205" s="9">
        <f t="shared" si="252"/>
        <v>475.8</v>
      </c>
      <c r="H205" s="9">
        <f t="shared" si="252"/>
        <v>0</v>
      </c>
      <c r="I205" s="9">
        <f t="shared" si="252"/>
        <v>0</v>
      </c>
      <c r="J205" s="9">
        <f t="shared" si="252"/>
        <v>0</v>
      </c>
      <c r="K205" s="9">
        <f t="shared" si="252"/>
        <v>0</v>
      </c>
      <c r="L205" s="9">
        <f t="shared" ref="L205:Z206" si="253">L175</f>
        <v>0</v>
      </c>
      <c r="M205" s="9">
        <f t="shared" si="253"/>
        <v>0</v>
      </c>
      <c r="N205" s="9">
        <f t="shared" si="253"/>
        <v>0</v>
      </c>
      <c r="O205" s="9">
        <f t="shared" si="253"/>
        <v>0</v>
      </c>
      <c r="P205" s="9">
        <f t="shared" si="253"/>
        <v>0</v>
      </c>
      <c r="Q205" s="9">
        <f t="shared" si="253"/>
        <v>0</v>
      </c>
    </row>
    <row r="206" spans="1:26" outlineLevel="1" x14ac:dyDescent="0.4">
      <c r="A206" s="1">
        <v>41</v>
      </c>
      <c r="B206" t="s">
        <v>68</v>
      </c>
      <c r="R206" s="9">
        <f t="shared" si="253"/>
        <v>0</v>
      </c>
      <c r="S206" s="9">
        <f t="shared" si="253"/>
        <v>0</v>
      </c>
      <c r="T206" s="9">
        <f t="shared" si="253"/>
        <v>0</v>
      </c>
      <c r="U206" s="9">
        <f t="shared" si="253"/>
        <v>0</v>
      </c>
      <c r="V206" s="9">
        <f t="shared" si="253"/>
        <v>0</v>
      </c>
      <c r="W206" s="9">
        <f t="shared" si="253"/>
        <v>0</v>
      </c>
      <c r="X206" s="9">
        <f t="shared" si="253"/>
        <v>0</v>
      </c>
      <c r="Y206" s="9">
        <f t="shared" si="253"/>
        <v>0</v>
      </c>
      <c r="Z206" s="9">
        <f t="shared" si="253"/>
        <v>0</v>
      </c>
    </row>
    <row r="207" spans="1:26" outlineLevel="1" x14ac:dyDescent="0.4">
      <c r="A207" s="1">
        <v>42</v>
      </c>
      <c r="B207" t="s">
        <v>69</v>
      </c>
    </row>
    <row r="208" spans="1:26" outlineLevel="1" x14ac:dyDescent="0.4">
      <c r="A208" s="1">
        <v>43</v>
      </c>
      <c r="B208" t="s">
        <v>70</v>
      </c>
      <c r="D208" s="9">
        <f t="shared" ref="D208:E208" si="254">D201-D203-D204</f>
        <v>-1936.7000000000019</v>
      </c>
      <c r="E208" s="9">
        <f t="shared" si="254"/>
        <v>325.799999999997</v>
      </c>
      <c r="F208" s="9">
        <f t="shared" ref="F208:K208" si="255">F201-F203-F204</f>
        <v>53.29999999999859</v>
      </c>
      <c r="G208" s="9">
        <f t="shared" si="255"/>
        <v>-196.60000000000286</v>
      </c>
      <c r="H208" s="9">
        <f t="shared" si="255"/>
        <v>-20173.900000000001</v>
      </c>
      <c r="I208" s="9">
        <f t="shared" si="255"/>
        <v>0</v>
      </c>
      <c r="J208" s="9">
        <f t="shared" si="255"/>
        <v>0</v>
      </c>
      <c r="K208" s="9">
        <f t="shared" si="255"/>
        <v>0</v>
      </c>
      <c r="L208" s="9">
        <f t="shared" ref="L208:Z209" si="256">L201-L203-L204</f>
        <v>0</v>
      </c>
      <c r="M208" s="9">
        <f t="shared" si="256"/>
        <v>0</v>
      </c>
      <c r="N208" s="9">
        <f t="shared" si="256"/>
        <v>0</v>
      </c>
      <c r="O208" s="9">
        <f t="shared" si="256"/>
        <v>0</v>
      </c>
      <c r="P208" s="9">
        <f t="shared" si="256"/>
        <v>0</v>
      </c>
      <c r="Q208" s="9">
        <f t="shared" si="256"/>
        <v>0</v>
      </c>
    </row>
    <row r="209" spans="1:26" outlineLevel="1" x14ac:dyDescent="0.4">
      <c r="A209" s="1"/>
      <c r="B209" s="1"/>
      <c r="C209" s="1"/>
      <c r="D209" s="1"/>
      <c r="E209" s="1"/>
      <c r="F209" s="1"/>
      <c r="G209" s="1"/>
      <c r="H209" s="1"/>
      <c r="I209" s="1"/>
      <c r="J209" s="1"/>
      <c r="K209" s="1"/>
      <c r="L209" s="1"/>
      <c r="M209" s="1"/>
      <c r="N209" s="1"/>
      <c r="O209" s="1"/>
      <c r="P209" s="1"/>
      <c r="Q209" s="1"/>
      <c r="R209" s="9">
        <f t="shared" si="256"/>
        <v>0</v>
      </c>
      <c r="S209" s="9">
        <f t="shared" si="256"/>
        <v>0</v>
      </c>
      <c r="T209" s="9">
        <f t="shared" si="256"/>
        <v>0</v>
      </c>
      <c r="U209" s="9">
        <f t="shared" si="256"/>
        <v>0</v>
      </c>
      <c r="V209" s="9">
        <f t="shared" si="256"/>
        <v>0</v>
      </c>
      <c r="W209" s="9">
        <f t="shared" si="256"/>
        <v>0</v>
      </c>
      <c r="X209" s="9">
        <f t="shared" si="256"/>
        <v>0</v>
      </c>
      <c r="Y209" s="9">
        <f t="shared" si="256"/>
        <v>0</v>
      </c>
      <c r="Z209" s="9">
        <f t="shared" si="256"/>
        <v>0</v>
      </c>
    </row>
    <row r="210" spans="1:26" outlineLevel="1" x14ac:dyDescent="0.4">
      <c r="A210" s="1">
        <v>44</v>
      </c>
      <c r="B210" s="7" t="s">
        <v>71</v>
      </c>
      <c r="C210" s="7"/>
      <c r="D210" s="7"/>
      <c r="E210" s="7"/>
      <c r="F210" s="7"/>
      <c r="G210" s="7"/>
      <c r="H210" s="7"/>
      <c r="I210" s="7"/>
      <c r="J210" s="7"/>
      <c r="K210" s="7"/>
      <c r="L210" s="7"/>
      <c r="M210" s="7"/>
      <c r="N210" s="7"/>
      <c r="O210" s="7"/>
      <c r="P210" s="7"/>
      <c r="Q210" s="7"/>
      <c r="R210" s="1"/>
      <c r="S210" s="1"/>
      <c r="T210" s="1"/>
      <c r="U210" s="1"/>
      <c r="V210" s="1"/>
      <c r="W210" s="1"/>
      <c r="X210" s="1"/>
      <c r="Y210" s="1"/>
      <c r="Z210" s="1"/>
    </row>
    <row r="211" spans="1:26" x14ac:dyDescent="0.4">
      <c r="R211" s="7"/>
      <c r="S211" s="7"/>
      <c r="T211" s="7"/>
      <c r="U211" s="7"/>
      <c r="V211" s="7"/>
      <c r="W211" s="7"/>
      <c r="X211" s="7"/>
      <c r="Y211" s="7"/>
      <c r="Z211" s="7"/>
    </row>
  </sheetData>
  <sheetProtection selectLockedCells="1"/>
  <phoneticPr fontId="43" type="noConversion"/>
  <conditionalFormatting sqref="D34:Q99">
    <cfRule type="expression" dxfId="211" priority="14">
      <formula>ISNUMBER(D$33)</formula>
    </cfRule>
  </conditionalFormatting>
  <conditionalFormatting sqref="E4:Q4 V4:AC4">
    <cfRule type="expression" dxfId="210" priority="13">
      <formula>ISNUMBER(E4)</formula>
    </cfRule>
  </conditionalFormatting>
  <conditionalFormatting sqref="F5:Q5 W5:AC5">
    <cfRule type="expression" dxfId="209" priority="12">
      <formula>F4&lt;&gt;""</formula>
    </cfRule>
  </conditionalFormatting>
  <conditionalFormatting sqref="E27:Q27">
    <cfRule type="expression" dxfId="208" priority="11">
      <formula>ISNUMBER(E4)</formula>
    </cfRule>
  </conditionalFormatting>
  <conditionalFormatting sqref="AT49:AU49 AT58:AU58 AT62:AU62 AT84:AU84 AT88:AU90 AT45:AU47">
    <cfRule type="expression" dxfId="207" priority="139">
      <formula>ISNUMBER(#REF!)</formula>
    </cfRule>
  </conditionalFormatting>
  <conditionalFormatting sqref="F103:Q105 F117:Q168 F170:Q210">
    <cfRule type="expression" dxfId="206" priority="5">
      <formula>NOT(ISNUMBER(F$103))</formula>
    </cfRule>
  </conditionalFormatting>
  <conditionalFormatting sqref="E5">
    <cfRule type="expression" dxfId="205" priority="4">
      <formula>ISNUMBER(E4)</formula>
    </cfRule>
  </conditionalFormatting>
  <conditionalFormatting sqref="V5">
    <cfRule type="expression" dxfId="204" priority="3">
      <formula>ISNUMBER(V4)</formula>
    </cfRule>
  </conditionalFormatting>
  <conditionalFormatting sqref="R35:Z100">
    <cfRule type="expression" dxfId="203" priority="1027">
      <formula>ISNUMBER(R$34)</formula>
    </cfRule>
  </conditionalFormatting>
  <conditionalFormatting sqref="R28:Z28">
    <cfRule type="expression" dxfId="202" priority="1029">
      <formula>ISNUMBER(R4)</formula>
    </cfRule>
  </conditionalFormatting>
  <conditionalFormatting sqref="R104:Z106 R118:Z169 R171:Z211">
    <cfRule type="expression" dxfId="201" priority="1031">
      <formula>NOT(ISNUMBER(R$104))</formula>
    </cfRule>
  </conditionalFormatting>
  <conditionalFormatting sqref="V6:AD9">
    <cfRule type="expression" dxfId="200" priority="2">
      <formula>ISNUMBER(V$4)</formula>
    </cfRule>
  </conditionalFormatting>
  <conditionalFormatting sqref="V10:AC10">
    <cfRule type="expression" dxfId="199" priority="1">
      <formula>ISNUMBER(V$4)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AC56DA15-79EB-44EA-8A63-D8882A913343}">
          <x14:formula1>
            <xm:f>Validation!$A$4:$A$31</xm:f>
          </x14:formula1>
          <xm:sqref>E2</xm:sqref>
        </x14:dataValidation>
        <x14:dataValidation type="list" allowBlank="1" showInputMessage="1" showErrorMessage="1" xr:uid="{73C5CA17-81A5-41A3-968E-E5E889FE1B43}">
          <x14:formula1>
            <xm:f>Validation!$F$3:$F$4</xm:f>
          </x14:formula1>
          <xm:sqref>R6:R10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98" t="s">
        <v>953</v>
      </c>
    </row>
    <row r="2" spans="2:16" ht="13.5" customHeight="1" x14ac:dyDescent="0.4"/>
    <row r="3" spans="2:16" ht="13.5" customHeight="1" x14ac:dyDescent="0.4">
      <c r="B3" s="169"/>
      <c r="C3" s="157"/>
      <c r="F3" s="184" t="s">
        <v>825</v>
      </c>
      <c r="G3" s="168">
        <v>2026</v>
      </c>
    </row>
    <row r="4" spans="2:16" ht="13.5" customHeight="1" x14ac:dyDescent="0.4">
      <c r="B4" s="169"/>
      <c r="C4" s="157"/>
    </row>
    <row r="5" spans="2:16" ht="18" x14ac:dyDescent="0.55000000000000004">
      <c r="B5" s="50" t="str">
        <f>ScenarioName</f>
        <v>Annual Progress Report 2026</v>
      </c>
    </row>
    <row r="6" spans="2:16" ht="15.75" x14ac:dyDescent="0.5">
      <c r="B6" s="39" t="s">
        <v>251</v>
      </c>
      <c r="C6" s="94"/>
      <c r="D6" s="44" cm="1">
        <f t="array" ref="D6:G6">_xlfn.SEQUENCE(1, AssessmentEnd-MTP_BaseYear+1, MTP_BaseYear)</f>
        <v>2023</v>
      </c>
      <c r="E6" s="44">
        <v>2024</v>
      </c>
      <c r="F6" s="44">
        <v>2025</v>
      </c>
      <c r="G6" s="44">
        <v>2026</v>
      </c>
      <c r="H6" s="44"/>
      <c r="I6" s="44"/>
      <c r="J6" s="44"/>
      <c r="O6" s="79" t="s">
        <v>813</v>
      </c>
      <c r="P6" s="7"/>
    </row>
    <row r="7" spans="2:16" x14ac:dyDescent="0.4">
      <c r="B7" s="41" t="s">
        <v>274</v>
      </c>
      <c r="C7" s="19"/>
      <c r="D7" s="47" t="str" cm="1">
        <f t="array" ref="D7:G7">IF(
  AND(_xlfn.ANCHORARRAY(D6)&gt;=MTP_YearT-1,_xlfn.ANCHORARRAY( D6)&lt;=MTP_EndYear),
  CHOOSE(SIGN(_xlfn.ANCHORARRAY(D6)-MTP_YearT)+2, "T-1", "T", "T+"&amp;(_xlfn.ANCHORARRAY(D6)-MTP_YearT)),
  ""
)</f>
        <v>T-1</v>
      </c>
      <c r="E7" s="47" t="str">
        <v>T</v>
      </c>
      <c r="F7" s="47" t="str">
        <v>T+1</v>
      </c>
      <c r="G7" s="47" t="str">
        <v>T+2</v>
      </c>
      <c r="H7" s="47"/>
      <c r="I7" s="47"/>
      <c r="J7" s="47"/>
      <c r="O7" t="s">
        <v>810</v>
      </c>
      <c r="P7" s="179" t="s">
        <v>812</v>
      </c>
    </row>
    <row r="8" spans="2:16" x14ac:dyDescent="0.4">
      <c r="B8" s="59" t="s">
        <v>257</v>
      </c>
      <c r="C8" s="44" t="s">
        <v>6</v>
      </c>
      <c r="D8" s="167">
        <f>IF(ISNUMBER(D$6),IF(AND(D$6&gt;=MTP_BaseYear,D$6&lt;=OutturnThrough),'Step 2 - Update outturn data'!E6,INDEX($D$59:$J$59,MATCH(D$6,$D$34:$J$34,0))/100*D$29),"")</f>
        <v>17.182600000000001</v>
      </c>
      <c r="E8" s="167">
        <f>IF(ISNUMBER(E$6),IF(AND(E$6&gt;=MTP_BaseYear,E$6&lt;=OutturnThrough),'Step 2 - Update outturn data'!F6,INDEX($D$59:$J$59,MATCH(E$6,$D$34:$J$34,0))/100*E$29),"")</f>
        <v>18.413499999999999</v>
      </c>
      <c r="F8" s="167">
        <f>IF(ISNUMBER(F$6),IF(AND(F$6&gt;=MTP_BaseYear,F$6&lt;=OutturnThrough),'Step 2 - Update outturn data'!G6,INDEX($D$59:$J$59,MATCH(F$6,$D$34:$J$34,0))/100*F$29),"")</f>
        <v>19.8324</v>
      </c>
      <c r="G8" s="167">
        <f>IF(ISNUMBER(G$6),IF(AND(G$6&gt;=MTP_BaseYear,G$6&lt;=OutturnThrough),'Step 2 - Update outturn data'!H6,INDEX($D$59:$J$59,MATCH(G$6,$D$34:$J$34,0))/100*G$29),"")</f>
        <v>20.588509988199995</v>
      </c>
      <c r="H8" s="167" t="str">
        <f>IF(ISNUMBER(H$6),IF(AND(H$6&gt;=MTP_BaseYear,H$6&lt;=OutturnThrough),'Step 2 - Update outturn data'!I6,INDEX($D$59:$J$59,MATCH(H$6,$D$34:$J$34,0))/100*H$29),"")</f>
        <v/>
      </c>
      <c r="I8" s="167" t="str">
        <f>IF(ISNUMBER(I$6),IF(AND(I$6&gt;=MTP_BaseYear,I$6&lt;=OutturnThrough),'Step 2 - Update outturn data'!#REF!,INDEX($D$59:$J$59,MATCH(I$6,$D$34:$J$34,0))/100*I$29),"")</f>
        <v/>
      </c>
      <c r="J8" s="167" t="str">
        <f>IF(ISNUMBER(J$6),IF(AND(J$6&gt;=MTP_BaseYear,J$6&lt;=OutturnThrough),'Step 2 - Update outturn data'!J6,INDEX($D$59:$J$59,MATCH(J$6,$D$34:$J$34,0))/100*J$29),"")</f>
        <v/>
      </c>
      <c r="K8" s="37"/>
      <c r="L8" s="37"/>
      <c r="M8" s="37"/>
      <c r="N8" s="37"/>
      <c r="O8" t="s">
        <v>811</v>
      </c>
      <c r="P8" s="179" t="s">
        <v>812</v>
      </c>
    </row>
    <row r="9" spans="2:16" x14ac:dyDescent="0.4">
      <c r="B9" s="59" t="s">
        <v>25</v>
      </c>
      <c r="C9" s="44" t="s">
        <v>6</v>
      </c>
      <c r="D9" s="167">
        <f>IF(ISNUMBER(D$6),IF(AND(D$6&gt;=MTP_BaseYear,D$6&lt;=OutturnThrough),'Step 2 - Update outturn data'!E7,INDEX($D$50:$J$50,MATCH(D$6,$D$34:$J$34,0))/100*D$29),"")</f>
        <v>0.28689999999999999</v>
      </c>
      <c r="E9" s="167">
        <f>IF(ISNUMBER(E$6),IF(AND(E$6&gt;=MTP_BaseYear,E$6&lt;=OutturnThrough),'Step 2 - Update outturn data'!F7,INDEX($D$50:$J$50,MATCH(E$6,$D$34:$J$34,0))/100*E$29),"")</f>
        <v>0.44330000000000003</v>
      </c>
      <c r="F9" s="167">
        <f>IF(ISNUMBER(F$6),IF(AND(F$6&gt;=MTP_BaseYear,F$6&lt;=OutturnThrough),'Step 2 - Update outturn data'!G7,INDEX($D$50:$J$50,MATCH(F$6,$D$34:$J$34,0))/100*F$29),"")</f>
        <v>0.4758</v>
      </c>
      <c r="G9" s="167">
        <f>IF(ISNUMBER(G$6),IF(AND(G$6&gt;=MTP_BaseYear,G$6&lt;=OutturnThrough),'Step 2 - Update outturn data'!H7,INDEX($D$50:$J$50,MATCH(G$6,$D$34:$J$34,0))/100*G$29),"")</f>
        <v>0.59346037659999995</v>
      </c>
      <c r="H9" s="167" t="str">
        <f>IF(ISNUMBER(H$6),IF(AND(H$6&gt;=MTP_BaseYear,H$6&lt;=OutturnThrough),'Step 2 - Update outturn data'!I7,INDEX($D$50:$J$50,MATCH(H$6,$D$34:$J$34,0))/100*H$29),"")</f>
        <v/>
      </c>
      <c r="I9" s="167" t="str">
        <f>IF(ISNUMBER(I$6),IF(AND(I$6&gt;=MTP_BaseYear,I$6&lt;=OutturnThrough),'Step 2 - Update outturn data'!#REF!,INDEX($D$50:$J$50,MATCH(I$6,$D$34:$J$34,0))/100*I$29),"")</f>
        <v/>
      </c>
      <c r="J9" s="167" t="str">
        <f>IF(ISNUMBER(J$6),IF(AND(J$6&gt;=MTP_BaseYear,J$6&lt;=OutturnThrough),'Step 2 - Update outturn data'!J7,INDEX($D$50:$J$50,MATCH(J$6,$D$34:$J$34,0))/100*J$29),"")</f>
        <v/>
      </c>
      <c r="K9" s="37"/>
      <c r="L9" s="37"/>
      <c r="M9" s="37"/>
      <c r="N9" s="37"/>
      <c r="O9" t="s">
        <v>801</v>
      </c>
      <c r="P9" s="179">
        <v>2023</v>
      </c>
    </row>
    <row r="10" spans="2:16" x14ac:dyDescent="0.4">
      <c r="B10" s="59" t="s">
        <v>276</v>
      </c>
      <c r="C10" s="44" t="s">
        <v>6</v>
      </c>
      <c r="D10" s="167">
        <f>IF(ISNUMBER(D$6),IF(AND(D$6&gt;=MTP_BaseYear,D$6&lt;=OutturnThrough),'Step 2 - Update outturn data'!E8,INDEX($D$63:$J$63,MATCH(D$6,$D$34:$J$34,0))/100*D$29),"")</f>
        <v>-2.3600000000000001E-3</v>
      </c>
      <c r="E10" s="167">
        <f>IF(ISNUMBER(E$6),IF(AND(E$6&gt;=MTP_BaseYear,E$6&lt;=OutturnThrough),'Step 2 - Update outturn data'!F8,INDEX($D$63:$J$63,MATCH(E$6,$D$34:$J$34,0))/100*E$29),"")</f>
        <v>3.14E-3</v>
      </c>
      <c r="F10" s="167">
        <f>IF(ISNUMBER(F$6),IF(AND(F$6&gt;=MTP_BaseYear,F$6&lt;=OutturnThrough),'Step 2 - Update outturn data'!G8,INDEX($D$63:$J$63,MATCH(F$6,$D$34:$J$34,0))/100*F$29),"")</f>
        <v>6.7000000000000002E-3</v>
      </c>
      <c r="G10" s="167">
        <f>IF(ISNUMBER(G$6),IF(AND(G$6&gt;=MTP_BaseYear,G$6&lt;=OutturnThrough),'Step 2 - Update outturn data'!H8,INDEX($D$63:$J$63,MATCH(G$6,$D$34:$J$34,0))/100*G$29),"")</f>
        <v>9.130159639999998E-3</v>
      </c>
      <c r="H10" s="167" t="str">
        <f>IF(ISNUMBER(H$6),IF(AND(H$6&gt;=MTP_BaseYear,H$6&lt;=OutturnThrough),'Step 2 - Update outturn data'!I8,INDEX($D$63:$J$63,MATCH(H$6,$D$34:$J$34,0))/100*H$29),"")</f>
        <v/>
      </c>
      <c r="I10" s="167" t="str">
        <f>IF(ISNUMBER(I$6),IF(AND(I$6&gt;=MTP_BaseYear,I$6&lt;=OutturnThrough),'Step 2 - Update outturn data'!#REF!,INDEX($D$63:$J$63,MATCH(I$6,$D$34:$J$34,0))/100*I$29),"")</f>
        <v/>
      </c>
      <c r="J10" s="167" t="str">
        <f>IF(ISNUMBER(J$6),IF(AND(J$6&gt;=MTP_BaseYear,J$6&lt;=OutturnThrough),'Step 2 - Update outturn data'!J8,INDEX($D$63:$J$63,MATCH(J$6,$D$34:$J$34,0))/100*J$29),"")</f>
        <v/>
      </c>
      <c r="K10" s="37"/>
      <c r="L10" s="37"/>
      <c r="M10" s="37"/>
      <c r="N10" s="37"/>
      <c r="O10" t="s">
        <v>805</v>
      </c>
      <c r="P10" s="179" t="s">
        <v>806</v>
      </c>
    </row>
    <row r="11" spans="2:16" x14ac:dyDescent="0.4">
      <c r="B11" s="59" t="s">
        <v>277</v>
      </c>
      <c r="C11" s="44" t="s">
        <v>6</v>
      </c>
      <c r="D11" s="167">
        <f>IF(ISNUMBER(D$6),IF(AND(D$6&gt;=MTP_BaseYear,D$6&lt;=OutturnThrough),'Step 2 - Update outturn data'!E9,INDEX($D$60:$J$60,MATCH(D$6,$D$34:$J$34,0))/100*D$29),"")</f>
        <v>0.8</v>
      </c>
      <c r="E11" s="167">
        <f>IF(ISNUMBER(E$6),IF(AND(E$6&gt;=MTP_BaseYear,E$6&lt;=OutturnThrough),'Step 2 - Update outturn data'!F9,INDEX($D$60:$J$60,MATCH(E$6,$D$34:$J$34,0))/100*E$29),"")</f>
        <v>0.8</v>
      </c>
      <c r="F11" s="167">
        <f>IF(ISNUMBER(F$6),IF(AND(F$6&gt;=MTP_BaseYear,F$6&lt;=OutturnThrough),'Step 2 - Update outturn data'!G9,INDEX($D$60:$J$60,MATCH(F$6,$D$34:$J$34,0))/100*F$29),"")</f>
        <v>0.8</v>
      </c>
      <c r="G11" s="167">
        <f>IF(ISNUMBER(G$6),IF(AND(G$6&gt;=MTP_BaseYear,G$6&lt;=OutturnThrough),'Step 2 - Update outturn data'!H9,INDEX($D$60:$J$60,MATCH(G$6,$D$34:$J$34,0))/100*G$29),"")</f>
        <v>0.91301596399999985</v>
      </c>
      <c r="H11" s="167" t="str">
        <f>IF(ISNUMBER(H$6),IF(AND(H$6&gt;=MTP_BaseYear,H$6&lt;=OutturnThrough),'Step 2 - Update outturn data'!I9,INDEX($D$60:$J$60,MATCH(H$6,$D$34:$J$34,0))/100*H$29),"")</f>
        <v/>
      </c>
      <c r="I11" s="167" t="str">
        <f>IF(ISNUMBER(I$6),IF(AND(I$6&gt;=MTP_BaseYear,I$6&lt;=OutturnThrough),'Step 2 - Update outturn data'!#REF!,INDEX($D$60:$J$60,MATCH(I$6,$D$34:$J$34,0))/100*I$29),"")</f>
        <v/>
      </c>
      <c r="J11" s="167" t="str">
        <f>IF(ISNUMBER(J$6),IF(AND(J$6&gt;=MTP_BaseYear,J$6&lt;=OutturnThrough),'Step 2 - Update outturn data'!J9,INDEX($D$60:$J$60,MATCH(J$6,$D$34:$J$34,0))/100*J$29),"")</f>
        <v/>
      </c>
      <c r="K11" s="37"/>
      <c r="L11" s="37"/>
      <c r="M11" s="37"/>
      <c r="N11" s="37"/>
      <c r="O11" t="s">
        <v>804</v>
      </c>
      <c r="P11" s="179" t="s">
        <v>807</v>
      </c>
    </row>
    <row r="12" spans="2:16" x14ac:dyDescent="0.4">
      <c r="B12" s="59" t="s">
        <v>278</v>
      </c>
      <c r="C12" s="44" t="s">
        <v>6</v>
      </c>
      <c r="D12" s="167">
        <f>IF(ISNUMBER(D$6),IF(AND(D$6&gt;=MTP_BaseYear,D$6&lt;=OutturnThrough),'Step 2 - Update outturn data'!E10,INDEX($D$62:$J$62,MATCH(D$6,$D$34:$J$34,0))/100*D$29),"")</f>
        <v>0.15825</v>
      </c>
      <c r="E12" s="167">
        <f>IF(ISNUMBER(E$6),IF(AND(E$6&gt;=MTP_BaseYear,E$6&lt;=OutturnThrough),'Step 2 - Update outturn data'!F10,INDEX($D$62:$J$62,MATCH(E$6,$D$34:$J$34,0))/100*E$29),"")</f>
        <v>0.13764999999999999</v>
      </c>
      <c r="F12" s="167">
        <f>IF(ISNUMBER(F$6),IF(AND(F$6&gt;=MTP_BaseYear,F$6&lt;=OutturnThrough),'Step 2 - Update outturn data'!G10,INDEX($D$62:$J$62,MATCH(F$6,$D$34:$J$34,0))/100*F$29),"")</f>
        <v>0.19919999999999999</v>
      </c>
      <c r="G12" s="167">
        <f>IF(ISNUMBER(G$6),IF(AND(G$6&gt;=MTP_BaseYear,G$6&lt;=OutturnThrough),'Step 2 - Update outturn data'!H10,INDEX($D$62:$J$62,MATCH(G$6,$D$34:$J$34,0))/100*G$29),"")</f>
        <v>0.22825399099999996</v>
      </c>
      <c r="H12" s="167" t="str">
        <f>IF(ISNUMBER(H$6),IF(AND(H$6&gt;=MTP_BaseYear,H$6&lt;=OutturnThrough),'Step 2 - Update outturn data'!I10,INDEX($D$62:$J$62,MATCH(H$6,$D$34:$J$34,0))/100*H$29),"")</f>
        <v/>
      </c>
      <c r="I12" s="167" t="str">
        <f>IF(ISNUMBER(I$6),IF(AND(I$6&gt;=MTP_BaseYear,I$6&lt;=OutturnThrough),'Step 2 - Update outturn data'!#REF!,INDEX($D$62:$J$62,MATCH(I$6,$D$34:$J$34,0))/100*I$29),"")</f>
        <v/>
      </c>
      <c r="J12" s="167" t="str">
        <f>IF(ISNUMBER(J$6),IF(AND(J$6&gt;=MTP_BaseYear,J$6&lt;=OutturnThrough),'Step 2 - Update outturn data'!J10,INDEX($D$62:$J$62,MATCH(J$6,$D$34:$J$34,0))/100*J$29),"")</f>
        <v/>
      </c>
      <c r="K12" s="37"/>
      <c r="L12" s="37"/>
      <c r="M12" s="37"/>
      <c r="N12" s="37"/>
      <c r="O12" t="s">
        <v>809</v>
      </c>
      <c r="P12" s="179">
        <v>2</v>
      </c>
    </row>
    <row r="13" spans="2:16" x14ac:dyDescent="0.4">
      <c r="B13" s="59" t="s">
        <v>386</v>
      </c>
      <c r="C13" s="44" t="s">
        <v>6</v>
      </c>
      <c r="D13" s="167">
        <f>IF(ISNUMBER(D$6),IF(AND(D$6&gt;=MTP_BaseYear,D$6&lt;=OutturnThrough),'Step 2 - Update outturn data'!E11,INDEX($D$64:$J$64,MATCH(D$6,$D$34:$J$34,0))/100*D$29),"")</f>
        <v>0</v>
      </c>
      <c r="E13" s="167">
        <f>IF(ISNUMBER(E$6),IF(AND(E$6&gt;=MTP_BaseYear,E$6&lt;=OutturnThrough),'Step 2 - Update outturn data'!F11,INDEX($D$64:$J$64,MATCH(E$6,$D$34:$J$34,0))/100*E$29),"")</f>
        <v>0</v>
      </c>
      <c r="F13" s="167">
        <f>IF(ISNUMBER(F$6),IF(AND(F$6&gt;=MTP_BaseYear,F$6&lt;=OutturnThrough),'Step 2 - Update outturn data'!G11,INDEX($D$64:$J$64,MATCH(F$6,$D$34:$J$34,0))/100*F$29),"")</f>
        <v>0</v>
      </c>
      <c r="G13" s="167">
        <f>IF(ISNUMBER(G$6),IF(AND(G$6&gt;=MTP_BaseYear,G$6&lt;=OutturnThrough),'Step 2 - Update outturn data'!H11,INDEX($D$64:$J$64,MATCH(G$6,$D$34:$J$34,0))/100*G$29),"")</f>
        <v>0</v>
      </c>
      <c r="H13" s="167" t="str">
        <f>IF(ISNUMBER(H$6),IF(AND(H$6&gt;=MTP_BaseYear,H$6&lt;=OutturnThrough),'Step 2 - Update outturn data'!I11,INDEX($D$64:$J$64,MATCH(H$6,$D$34:$J$34,0))/100*H$29),"")</f>
        <v/>
      </c>
      <c r="I13" s="167" t="str">
        <f>IF(ISNUMBER(I$6),IF(AND(I$6&gt;=MTP_BaseYear,I$6&lt;=OutturnThrough),'Step 2 - Update outturn data'!#REF!,INDEX($D$64:$J$64,MATCH(I$6,$D$34:$J$34,0))/100*I$29),"")</f>
        <v/>
      </c>
      <c r="J13" s="167" t="str">
        <f>IF(ISNUMBER(J$6),IF(AND(J$6&gt;=MTP_BaseYear,J$6&lt;=OutturnThrough),'Step 2 - Update outturn data'!J11,INDEX($D$64:$J$64,MATCH(J$6,$D$34:$J$34,0))/100*J$29),"")</f>
        <v/>
      </c>
      <c r="K13" s="37"/>
      <c r="L13" s="37"/>
      <c r="M13" s="37"/>
      <c r="N13" s="37"/>
      <c r="O13" t="s">
        <v>808</v>
      </c>
      <c r="P13" s="179">
        <v>60</v>
      </c>
    </row>
    <row r="14" spans="2:16" x14ac:dyDescent="0.4">
      <c r="B14" s="59" t="s">
        <v>307</v>
      </c>
      <c r="C14" s="44" t="s">
        <v>6</v>
      </c>
      <c r="D14" s="167">
        <f>IF(ISNUMBER(D$6),IF(AND(D$6&gt;=MTP_BaseYear,D$6&lt;=OutturnThrough),'Step 2 - Update outturn data'!E12,INDEX($D$65:$J$65,MATCH(D$6,$D$34:$J$34,0))/100*D$29),"")</f>
        <v>16.005510000000005</v>
      </c>
      <c r="E14" s="167">
        <f>IF(ISNUMBER(E$6),IF(AND(E$6&gt;=MTP_BaseYear,E$6&lt;=OutturnThrough),'Step 2 - Update outturn data'!F12,INDEX($D$65:$J$65,MATCH(E$6,$D$34:$J$34,0))/100*E$29),"")</f>
        <v>17.073910000000001</v>
      </c>
      <c r="F14" s="167">
        <f>IF(ISNUMBER(F$6),IF(AND(F$6&gt;=MTP_BaseYear,F$6&lt;=OutturnThrough),'Step 2 - Update outturn data'!G12,INDEX($D$65:$J$65,MATCH(F$6,$D$34:$J$34,0))/100*F$29),"")</f>
        <v>17.899699999999999</v>
      </c>
      <c r="G14" s="167">
        <f>IF(ISNUMBER(G$6),IF(AND(G$6&gt;=MTP_BaseYear,G$6&lt;=OutturnThrough),'Step 2 - Update outturn data'!H12,INDEX($D$65:$J$65,MATCH(G$6,$D$34:$J$34,0))/100*G$29),"")</f>
        <v>18.853779656599993</v>
      </c>
      <c r="H14" s="167" t="str">
        <f>IF(ISNUMBER(H$6),IF(AND(H$6&gt;=MTP_BaseYear,H$6&lt;=OutturnThrough),'Step 2 - Update outturn data'!I12,INDEX($D$65:$J$65,MATCH(H$6,$D$34:$J$34,0))/100*H$29),"")</f>
        <v/>
      </c>
      <c r="I14" s="167" t="str">
        <f>IF(ISNUMBER(I$6),IF(AND(I$6&gt;=MTP_BaseYear,I$6&lt;=OutturnThrough),'Step 2 - Update outturn data'!#REF!,INDEX($D$65:$J$65,MATCH(I$6,$D$34:$J$34,0))/100*I$29),"")</f>
        <v/>
      </c>
      <c r="J14" s="167" t="str">
        <f>IF(ISNUMBER(J$6),IF(AND(J$6&gt;=MTP_BaseYear,J$6&lt;=OutturnThrough),'Step 2 - Update outturn data'!J12,INDEX($D$65:$J$65,MATCH(J$6,$D$34:$J$34,0))/100*J$29),"")</f>
        <v/>
      </c>
      <c r="K14" s="37"/>
      <c r="L14" s="37"/>
      <c r="M14" s="37"/>
      <c r="N14" s="37"/>
    </row>
    <row r="15" spans="2:16" x14ac:dyDescent="0.4">
      <c r="B15" s="59" t="s">
        <v>596</v>
      </c>
      <c r="C15" s="44" t="s">
        <v>6</v>
      </c>
      <c r="D15" s="167">
        <f>IF(ISNUMBER(D$6),IF(AND(D$6&gt;=MTP_BaseYear,D$6&lt;=OutturnThrough),'Step 2 - Update outturn data'!E13,(INDEX($D$45:$J$45,MATCH(D$6,$D$34:$J$34,0))-INDEX($D$46:$J$46,MATCH(D$6,$D$34:$J$34,0)))/100*D$29),"")</f>
        <v>0</v>
      </c>
      <c r="E15" s="167">
        <f>IF(ISNUMBER(E$6),IF(AND(E$6&gt;=MTP_BaseYear,E$6&lt;=OutturnThrough),'Step 2 - Update outturn data'!F13,(INDEX($D$45:$J$45,MATCH(E$6,$D$34:$J$34,0))-INDEX($D$46:$J$46,MATCH(E$6,$D$34:$J$34,0)))/100*E$29),"")</f>
        <v>0.27381</v>
      </c>
      <c r="F15" s="167">
        <f>IF(ISNUMBER(F$6),IF(AND(F$6&gt;=MTP_BaseYear,F$6&lt;=OutturnThrough),'Step 2 - Update outturn data'!G13,(INDEX($D$45:$J$45,MATCH(F$6,$D$34:$J$34,0))-INDEX($D$46:$J$46,MATCH(F$6,$D$34:$J$34,0)))/100*F$29),"")</f>
        <v>0</v>
      </c>
      <c r="G15" s="167">
        <f>IF(ISNUMBER(G$6),IF(AND(G$6&gt;=MTP_BaseYear,G$6&lt;=OutturnThrough),'Step 2 - Update outturn data'!H13,(INDEX($D$45:$J$45,MATCH(G$6,$D$34:$J$34,0))-INDEX($D$46:$J$46,MATCH(G$6,$D$34:$J$34,0)))/100*G$29),"")</f>
        <v>-9.1301596399999976E-2</v>
      </c>
      <c r="H15" s="167" t="str">
        <f>IF(ISNUMBER(H$6),IF(AND(H$6&gt;=MTP_BaseYear,H$6&lt;=OutturnThrough),'Step 2 - Update outturn data'!I13,(INDEX($D$45:$J$45,MATCH(H$6,$D$34:$J$34,0))-INDEX($D$46:$J$46,MATCH(H$6,$D$34:$J$34,0)))/100*H$29),"")</f>
        <v/>
      </c>
      <c r="I15" s="167" t="str">
        <f>IF(ISNUMBER(I$6),IF(AND(I$6&gt;=MTP_BaseYear,I$6&lt;=OutturnThrough),'Step 2 - Update outturn data'!#REF!,(INDEX($D$45:$J$45,MATCH(I$6,$D$34:$J$34,0))-INDEX($D$46:$J$46,MATCH(I$6,$D$34:$J$34,0)))/100*I$29),"")</f>
        <v/>
      </c>
      <c r="J15" s="167" t="str">
        <f>IF(ISNUMBER(J$6),IF(AND(J$6&gt;=MTP_BaseYear,J$6&lt;=OutturnThrough),'Step 2 - Update outturn data'!J13,(INDEX($D$45:$J$45,MATCH(J$6,$D$34:$J$34,0))-INDEX($D$46:$J$46,MATCH(J$6,$D$34:$J$34,0)))/100*J$29),"")</f>
        <v/>
      </c>
      <c r="K15" s="37"/>
      <c r="L15" s="37"/>
      <c r="M15" s="37"/>
      <c r="N15" s="37"/>
      <c r="O15" t="s">
        <v>824</v>
      </c>
    </row>
    <row r="16" spans="2:16" x14ac:dyDescent="0.4">
      <c r="B16" s="59" t="s">
        <v>598</v>
      </c>
      <c r="C16" s="44" t="s">
        <v>6</v>
      </c>
      <c r="D16" s="167">
        <f>IF(ISNUMBER(D$6),IF(AND(D$6&gt;=MTP_BaseYear,D$6&lt;=OutturnThrough),'Step 2 - Update outturn data'!E14,INDEX($D$87:$J$87,MATCH(D$6,$D$34:$J$34,0))/100*D$29),"")</f>
        <v>1</v>
      </c>
      <c r="E16" s="167">
        <f>IF(ISNUMBER(E$6),IF(AND(E$6&gt;=MTP_BaseYear,E$6&lt;=OutturnThrough),'Step 2 - Update outturn data'!F14,INDEX($D$87:$J$87,MATCH(E$6,$D$34:$J$34,0))/100*E$29),"")</f>
        <v>1.1000000000000001</v>
      </c>
      <c r="F16" s="167">
        <f>IF(ISNUMBER(F$6),IF(AND(F$6&gt;=MTP_BaseYear,F$6&lt;=OutturnThrough),'Step 2 - Update outturn data'!G14,INDEX($D$87:$J$87,MATCH(F$6,$D$34:$J$34,0))/100*F$29),"")</f>
        <v>1.3</v>
      </c>
      <c r="G16" s="167">
        <f>IF(ISNUMBER(G$6),IF(AND(G$6&gt;=MTP_BaseYear,G$6&lt;=OutturnThrough),'Step 2 - Update outturn data'!H14,INDEX($D$87:$J$87,MATCH(G$6,$D$34:$J$34,0))/100*G$29),"")</f>
        <v>1.8716827261999993</v>
      </c>
      <c r="H16" s="167" t="str">
        <f>IF(ISNUMBER(H$6),IF(AND(H$6&gt;=MTP_BaseYear,H$6&lt;=OutturnThrough),'Step 2 - Update outturn data'!I14,INDEX($D$87:$J$87,MATCH(H$6,$D$34:$J$34,0))/100*H$29),"")</f>
        <v/>
      </c>
      <c r="I16" s="167" t="str">
        <f>IF(ISNUMBER(I$6),IF(AND(I$6&gt;=MTP_BaseYear,I$6&lt;=OutturnThrough),'Step 2 - Update outturn data'!#REF!,INDEX($D$87:$J$87,MATCH(I$6,$D$34:$J$34,0))/100*I$29),"")</f>
        <v/>
      </c>
      <c r="J16" s="167" t="str">
        <f>IF(ISNUMBER(J$6),IF(AND(J$6&gt;=MTP_BaseYear,J$6&lt;=OutturnThrough),'Step 2 - Update outturn data'!J14,INDEX($D$87:$J$87,MATCH(J$6,$D$34:$J$34,0))/100*J$29),"")</f>
        <v/>
      </c>
      <c r="K16" s="37"/>
      <c r="L16" s="37"/>
      <c r="M16" s="37"/>
      <c r="N16" s="37"/>
    </row>
    <row r="17" spans="2:15" x14ac:dyDescent="0.4">
      <c r="B17" s="59" t="s">
        <v>309</v>
      </c>
      <c r="C17" s="44" t="s">
        <v>634</v>
      </c>
      <c r="D17" s="167" t="str">
        <f>IF(ISNUMBER(D$6),IF(AND(D$6&gt;=MTP_BaseYear,D$6&lt;=OutturnThrough),'Step 2 - Update outturn data'!E15,INDEX($D$67:$J$67,MATCH(D$6,$D$34:$J$34,0))),"")</f>
        <v/>
      </c>
      <c r="E17" s="167">
        <f>IF(ISNUMBER(E$6),IF(AND(E$6&gt;=MTP_BaseYear,E$6&lt;=OutturnThrough),'Step 2 - Update outturn data'!F15,INDEX($D$67:$J$67,MATCH(E$6,$D$34:$J$34,0))),"")</f>
        <v>4.9644778579376547</v>
      </c>
      <c r="F17" s="167">
        <f>IF(ISNUMBER(F$6),IF(AND(F$6&gt;=MTP_BaseYear,F$6&lt;=OutturnThrough),'Step 2 - Update outturn data'!G15,INDEX($D$67:$J$67,MATCH(F$6,$D$34:$J$34,0))),"")</f>
        <v>4.836560576927007</v>
      </c>
      <c r="G17" s="167">
        <f>IF(ISNUMBER(G$6),IF(AND(G$6&gt;=MTP_BaseYear,G$6&lt;=OutturnThrough),'Step 2 - Update outturn data'!H15,INDEX($D$67:$J$67,MATCH(G$6,$D$34:$J$34,0))),"")</f>
        <v>5.3</v>
      </c>
      <c r="H17" s="167" t="str">
        <f>IF(ISNUMBER(H$6),IF(AND(H$6&gt;=MTP_BaseYear,H$6&lt;=OutturnThrough),'Step 2 - Update outturn data'!I15,INDEX($D$67:$J$67,MATCH(H$6,$D$34:$J$34,0))),"")</f>
        <v/>
      </c>
      <c r="I17" s="167" t="str">
        <f>IF(ISNUMBER(I$6),IF(AND(I$6&gt;=MTP_BaseYear,I$6&lt;=OutturnThrough),'Step 2 - Update outturn data'!#REF!,INDEX($D$67:$J$67,MATCH(I$6,$D$34:$J$34,0))),"")</f>
        <v/>
      </c>
      <c r="J17" s="167" t="str">
        <f>IF(ISNUMBER(J$6),IF(AND(J$6&gt;=MTP_BaseYear,J$6&lt;=OutturnThrough),'Step 2 - Update outturn data'!J15,INDEX($D$67:$J$67,MATCH(J$6,$D$34:$J$34,0))),"")</f>
        <v/>
      </c>
      <c r="K17" s="37"/>
      <c r="L17" s="37"/>
      <c r="M17" s="37"/>
      <c r="N17" s="37"/>
    </row>
    <row r="18" spans="2:15" x14ac:dyDescent="0.4">
      <c r="B18" s="59" t="s">
        <v>308</v>
      </c>
      <c r="C18" s="44" t="s">
        <v>634</v>
      </c>
      <c r="D18" s="69" t="str">
        <f>IF(ISNUMBER(D$6),IF(D$6&lt;=MTP_BaseYear,"",IF(ISNUMBER(C18),((1+C18/100)*(1+D17/100)-1)*100,D17)),"")</f>
        <v/>
      </c>
      <c r="E18" s="69">
        <f>IF(ISNUMBER(E$6),IF(E$6&lt;=MTP_BaseYear,"",IF(ISNUMBER(D18),((1+D18/100)*(1+E17/100)-1)*100,E17)),"")</f>
        <v>4.9644778579376547</v>
      </c>
      <c r="F18" s="69">
        <f>IF(ISNUMBER(F$6),IF(F$6&lt;=MTP_BaseYear,"",IF(ISNUMBER(E18),((1+E18/100)*(1+F17/100)-1)*100,F17)),"")</f>
        <v>10.041148413791934</v>
      </c>
      <c r="G18" s="69">
        <f>IF(ISNUMBER(G$6),IF(G$6&lt;=MTP_BaseYear,"",IF(ISNUMBER(F18),((1+F18/100)*(1+G17/100)-1)*100,G17)),"")</f>
        <v>15.873329279722892</v>
      </c>
      <c r="H18" s="69" t="str">
        <f>IF(ISNUMBER(H$6),IF(H$6&lt;=MTP_BaseYear,"",IF(ISNUMBER(G18),((1+G18/100)*(1+H17/100)-1)*100,H17)),"")</f>
        <v/>
      </c>
      <c r="I18" s="69" t="str">
        <f>IF(ISNUMBER(I$6),IF(I$6&lt;=MTP_YearT,"",IF(ISNUMBER(H18),((1+H18/100)*(1+I17/100)-1)*100,I17)),"")</f>
        <v/>
      </c>
      <c r="J18" s="167"/>
      <c r="K18" s="37"/>
      <c r="L18" s="37"/>
      <c r="M18" s="37"/>
      <c r="N18" s="37"/>
    </row>
    <row r="19" spans="2:15" x14ac:dyDescent="0.4">
      <c r="B19" s="55" t="s">
        <v>206</v>
      </c>
      <c r="C19" s="44" t="s">
        <v>603</v>
      </c>
      <c r="D19" s="167">
        <f>IF(ISNUMBER(D$6),IF(AND(D$6&gt;=MTP_BaseYear,D$6&lt;=OutturnThrough),'Step 2 - Update outturn data'!E17,INDEX($D$69:$J$69,MATCH(D$6,$D$34:$J$34,0))),"")</f>
        <v>-2.342774528487884</v>
      </c>
      <c r="E19" s="167">
        <f>IF(ISNUMBER(E$6),IF(AND(E$6&gt;=MTP_BaseYear,E$6&lt;=OutturnThrough),'Step 2 - Update outturn data'!F17,INDEX($D$69:$J$69,MATCH(E$6,$D$34:$J$34,0))),"")</f>
        <v>-1.7868607680254289</v>
      </c>
      <c r="F19" s="167">
        <f>IF(ISNUMBER(F$6),IF(AND(F$6&gt;=MTP_BaseYear,F$6&lt;=OutturnThrough),'Step 2 - Update outturn data'!G17,INDEX($D$69:$J$69,MATCH(F$6,$D$34:$J$34,0))),"")</f>
        <v>-2.5407774797681517</v>
      </c>
      <c r="G19" s="167">
        <f>IF(ISNUMBER(G$6),IF(AND(G$6&gt;=MTP_BaseYear,G$6&lt;=OutturnThrough),'Step 2 - Update outturn data'!H17,INDEX($D$69:$J$69,MATCH(G$6,$D$34:$J$34,0))),"")</f>
        <v>-3</v>
      </c>
      <c r="H19" s="167" t="str">
        <f>IF(ISNUMBER(H$6),IF(AND(H$6&gt;=MTP_BaseYear,H$6&lt;=OutturnThrough),'Step 2 - Update outturn data'!I17,INDEX($D$69:$J$69,MATCH(H$6,$D$34:$J$34,0))),"")</f>
        <v/>
      </c>
      <c r="I19" s="167" t="str">
        <f>IF(ISNUMBER(I$6),IF(AND(I$6&gt;=MTP_BaseYear,I$6&lt;=OutturnThrough),'Step 2 - Update outturn data'!#REF!,INDEX($D$69:$J$69,MATCH(I$6,$D$34:$J$34,0))),"")</f>
        <v/>
      </c>
      <c r="J19" s="167" t="str">
        <f>IF(ISNUMBER(J$6),IF(AND(J$6&gt;=MTP_BaseYear,J$6&lt;=OutturnThrough),'Step 2 - Update outturn data'!J17,INDEX($D$69:$J$69,MATCH(J$6,$D$34:$J$34,0))),"")</f>
        <v/>
      </c>
      <c r="K19" s="37"/>
      <c r="L19" s="37"/>
      <c r="M19" s="37"/>
      <c r="N19" s="37"/>
    </row>
    <row r="20" spans="2:15" x14ac:dyDescent="0.4">
      <c r="B20" s="55" t="s">
        <v>0</v>
      </c>
      <c r="C20" s="44" t="s">
        <v>603</v>
      </c>
      <c r="D20" s="167">
        <f>IF(ISNUMBER(D$6),IF(AND(D$6&gt;=MTP_BaseYear,D$6&lt;=OutturnThrough),'Step 2 - Update outturn data'!E18,INDEX($D$72:$J$72,MATCH(D$6,$D$34:$J$34,0))),"")</f>
        <v>-2.0901399999999999</v>
      </c>
      <c r="E20" s="167">
        <f>IF(ISNUMBER(E$6),IF(AND(E$6&gt;=MTP_BaseYear,E$6&lt;=OutturnThrough),'Step 2 - Update outturn data'!F18,INDEX($D$72:$J$72,MATCH(E$6,$D$34:$J$34,0))),"")</f>
        <v>-1.3087</v>
      </c>
      <c r="F20" s="167">
        <f>IF(ISNUMBER(F$6),IF(AND(F$6&gt;=MTP_BaseYear,F$6&lt;=OutturnThrough),'Step 2 - Update outturn data'!G18,INDEX($D$72:$J$72,MATCH(F$6,$D$34:$J$34,0))),"")</f>
        <v>-2.5189499999999998</v>
      </c>
      <c r="G20" s="167">
        <f>IF(ISNUMBER(G$6),IF(AND(G$6&gt;=MTP_BaseYear,G$6&lt;=OutturnThrough),'Step 2 - Update outturn data'!H18,INDEX($D$72:$J$72,MATCH(G$6,$D$34:$J$34,0))),"")</f>
        <v>-2.6</v>
      </c>
      <c r="H20" s="167" t="str">
        <f>IF(ISNUMBER(H$6),IF(AND(H$6&gt;=MTP_BaseYear,H$6&lt;=OutturnThrough),'Step 2 - Update outturn data'!I18,INDEX($D$72:$J$72,MATCH(H$6,$D$34:$J$34,0))),"")</f>
        <v/>
      </c>
      <c r="I20" s="167" t="str">
        <f>IF(ISNUMBER(I$6),IF(AND(I$6&gt;=MTP_BaseYear,I$6&lt;=OutturnThrough),'Step 2 - Update outturn data'!#REF!,INDEX($D$72:$J$72,MATCH(I$6,$D$34:$J$34,0))),"")</f>
        <v/>
      </c>
      <c r="J20" s="167" t="str">
        <f>IF(ISNUMBER(J$6),IF(AND(J$6&gt;=MTP_BaseYear,J$6&lt;=OutturnThrough),'Step 2 - Update outturn data'!J18,INDEX($D$72:$J$72,MATCH(J$6,$D$34:$J$34,0))),"")</f>
        <v/>
      </c>
      <c r="K20" s="37"/>
      <c r="L20" s="37"/>
      <c r="M20" s="37"/>
      <c r="N20" s="37"/>
    </row>
    <row r="21" spans="2:15" x14ac:dyDescent="0.4">
      <c r="B21" s="55" t="s">
        <v>3</v>
      </c>
      <c r="C21" s="44" t="s">
        <v>603</v>
      </c>
      <c r="D21" s="167">
        <f>IF(ISNUMBER(D$6),IF(AND(D$6&gt;=MTP_BaseYear,D$6&lt;=OutturnThrough),'Step 2 - Update outturn data'!E19,INDEX($D$73:$J$73,MATCH(D$6,$D$34:$J$34,0))),"")</f>
        <v>-1.3650599999999999</v>
      </c>
      <c r="E21" s="167">
        <f>IF(ISNUMBER(E$6),IF(AND(E$6&gt;=MTP_BaseYear,E$6&lt;=OutturnThrough),'Step 2 - Update outturn data'!F19,INDEX($D$73:$J$73,MATCH(E$6,$D$34:$J$34,0))),"")</f>
        <v>-0.21811</v>
      </c>
      <c r="F21" s="167">
        <f>IF(ISNUMBER(F$6),IF(AND(F$6&gt;=MTP_BaseYear,F$6&lt;=OutturnThrough),'Step 2 - Update outturn data'!G19,INDEX($D$73:$J$73,MATCH(F$6,$D$34:$J$34,0))),"")</f>
        <v>-1.41309</v>
      </c>
      <c r="G21" s="167">
        <f>IF(ISNUMBER(G$6),IF(AND(G$6&gt;=MTP_BaseYear,G$6&lt;=OutturnThrough),'Step 2 - Update outturn data'!H19,INDEX($D$73:$J$73,MATCH(G$6,$D$34:$J$34,0))),"")</f>
        <v>-1.3</v>
      </c>
      <c r="H21" s="167" t="str">
        <f>IF(ISNUMBER(H$6),IF(AND(H$6&gt;=MTP_BaseYear,H$6&lt;=OutturnThrough),'Step 2 - Update outturn data'!I19,INDEX($D$73:$J$73,MATCH(H$6,$D$34:$J$34,0))),"")</f>
        <v/>
      </c>
      <c r="I21" s="167" t="str">
        <f>IF(ISNUMBER(I$6),IF(AND(I$6&gt;=MTP_BaseYear,I$6&lt;=OutturnThrough),'Step 2 - Update outturn data'!#REF!,INDEX($D$73:$J$73,MATCH(I$6,$D$34:$J$34,0))),"")</f>
        <v/>
      </c>
      <c r="J21" s="167" t="str">
        <f>IF(ISNUMBER(J$6),IF(AND(J$6&gt;=MTP_BaseYear,J$6&lt;=OutturnThrough),'Step 2 - Update outturn data'!J19,INDEX($D$73:$J$73,MATCH(J$6,$D$34:$J$34,0))),"")</f>
        <v/>
      </c>
      <c r="K21" s="37"/>
      <c r="L21" s="37"/>
      <c r="M21" s="37"/>
      <c r="N21" s="37"/>
    </row>
    <row r="22" spans="2:15" x14ac:dyDescent="0.4">
      <c r="B22" s="55" t="s">
        <v>1</v>
      </c>
      <c r="C22" s="44" t="s">
        <v>603</v>
      </c>
      <c r="D22" s="167">
        <f>IF(ISNUMBER(D$6),IF(AND(D$6&gt;=MTP_BaseYear,D$6&lt;=OutturnThrough),'Step 2 - Update outturn data'!E20,INDEX($D$75:$J$75,MATCH(D$6,$D$34:$J$34,0))),"")</f>
        <v>44.430318318075436</v>
      </c>
      <c r="E22" s="167">
        <f>IF(ISNUMBER(E$6),IF(AND(E$6&gt;=MTP_BaseYear,E$6&lt;=OutturnThrough),'Step 2 - Update outturn data'!F20,INDEX($D$75:$J$75,MATCH(E$6,$D$34:$J$34,0))),"")</f>
        <v>46.249535696627248</v>
      </c>
      <c r="F22" s="167">
        <f>IF(ISNUMBER(F$6),IF(AND(F$6&gt;=MTP_BaseYear,F$6&lt;=OutturnThrough),'Step 2 - Update outturn data'!G20,INDEX($D$75:$J$75,MATCH(F$6,$D$34:$J$34,0))),"")</f>
        <v>46.887477862325753</v>
      </c>
      <c r="G22" s="167">
        <f>IF(ISNUMBER(G$6),IF(AND(G$6&gt;=MTP_BaseYear,G$6&lt;=OutturnThrough),'Step 2 - Update outturn data'!H20,INDEX($D$75:$J$75,MATCH(G$6,$D$34:$J$34,0))),"")</f>
        <v>47.9</v>
      </c>
      <c r="H22" s="167" t="str">
        <f>IF(ISNUMBER(H$6),IF(AND(H$6&gt;=MTP_BaseYear,H$6&lt;=OutturnThrough),'Step 2 - Update outturn data'!I20,INDEX($D$75:$J$75,MATCH(H$6,$D$34:$J$34,0))),"")</f>
        <v/>
      </c>
      <c r="I22" s="167" t="str">
        <f>IF(ISNUMBER(I$6),IF(AND(I$6&gt;=MTP_BaseYear,I$6&lt;=OutturnThrough),'Step 2 - Update outturn data'!#REF!,INDEX($D$75:$J$75,MATCH(I$6,$D$34:$J$34,0))),"")</f>
        <v/>
      </c>
      <c r="J22" s="167" t="str">
        <f>IF(ISNUMBER(J$6),IF(AND(J$6&gt;=MTP_BaseYear,J$6&lt;=OutturnThrough),'Step 2 - Update outturn data'!J20,INDEX($D$75:$J$75,MATCH(J$6,$D$34:$J$34,0))),"")</f>
        <v/>
      </c>
      <c r="K22" s="37"/>
      <c r="L22" s="37"/>
      <c r="M22" s="37"/>
      <c r="N22" s="37"/>
    </row>
    <row r="23" spans="2:15" x14ac:dyDescent="0.4">
      <c r="B23" s="55" t="s">
        <v>2</v>
      </c>
      <c r="C23" s="44" t="s">
        <v>603</v>
      </c>
      <c r="D23" s="167">
        <f>IF(ISNUMBER(D$6),IF(AND(D$6&gt;=MTP_BaseYear,D$6&lt;=OutturnThrough),'Step 2 - Update outturn data'!E21,INDEX($D$76:$J$76,MATCH(D$6,$D$34:$J$34,0))),"")</f>
        <v>3.8913967677850185</v>
      </c>
      <c r="E23" s="167">
        <f>IF(ISNUMBER(E$6),IF(AND(E$6&gt;=MTP_BaseYear,E$6&lt;=OutturnThrough),'Step 2 - Update outturn data'!F21,INDEX($D$76:$J$76,MATCH(E$6,$D$34:$J$34,0))),"")</f>
        <v>3.0084398668710008</v>
      </c>
      <c r="F23" s="167">
        <f>IF(ISNUMBER(F$6),IF(AND(F$6&gt;=MTP_BaseYear,F$6&lt;=OutturnThrough),'Step 2 - Update outturn data'!G21,INDEX($D$76:$J$76,MATCH(F$6,$D$34:$J$34,0))),"")</f>
        <v>3.1896844248388225</v>
      </c>
      <c r="G23" s="167">
        <f>IF(ISNUMBER(G$6),IF(AND(G$6&gt;=MTP_BaseYear,G$6&lt;=OutturnThrough),'Step 2 - Update outturn data'!H21,INDEX($D$76:$J$76,MATCH(G$6,$D$34:$J$34,0))),"")</f>
        <v>0.9</v>
      </c>
      <c r="H23" s="167" t="str">
        <f>IF(ISNUMBER(H$6),IF(AND(H$6&gt;=MTP_BaseYear,H$6&lt;=OutturnThrough),'Step 2 - Update outturn data'!I21,INDEX($D$76:$J$76,MATCH(H$6,$D$34:$J$34,0))),"")</f>
        <v/>
      </c>
      <c r="I23" s="167" t="str">
        <f>IF(ISNUMBER(I$6),IF(AND(I$6&gt;=MTP_BaseYear,I$6&lt;=OutturnThrough),'Step 2 - Update outturn data'!#REF!,INDEX($D$76:$J$76,MATCH(I$6,$D$34:$J$34,0))),"")</f>
        <v/>
      </c>
      <c r="J23" s="167" t="str">
        <f>IF(ISNUMBER(J$6),IF(AND(J$6&gt;=MTP_BaseYear,J$6&lt;=OutturnThrough),'Step 2 - Update outturn data'!J21,INDEX($D$76:$J$76,MATCH(J$6,$D$34:$J$34,0))),"")</f>
        <v/>
      </c>
      <c r="K23" s="37"/>
      <c r="L23" s="37"/>
      <c r="M23" s="37"/>
      <c r="N23" s="37"/>
    </row>
    <row r="24" spans="2:15" x14ac:dyDescent="0.4">
      <c r="B24" s="55" t="s">
        <v>280</v>
      </c>
      <c r="C24" s="44" t="s">
        <v>633</v>
      </c>
      <c r="D24" s="167">
        <f>IF(ISNUMBER(D$6),IF(AND(D$6&gt;=MTP_BaseYear,D$6&lt;=OutturnThrough),'Step 2 - Update outturn data'!E22,INDEX($D$94:$J$94,MATCH(D$6,$D$92:$J$92,0))),"")</f>
        <v>-0.9414574313402313</v>
      </c>
      <c r="E24" s="167">
        <f>IF(ISNUMBER(E$6),IF(AND(E$6&gt;=MTP_BaseYear,E$6&lt;=OutturnThrough),'Step 2 - Update outturn data'!F22,INDEX($D$94:$J$94,MATCH(E$6,$D$92:$J$92,0))),"")</f>
        <v>-3.7310985009997299E-2</v>
      </c>
      <c r="F24" s="167">
        <f>IF(ISNUMBER(F$6),IF(AND(F$6&gt;=MTP_BaseYear,F$6&lt;=OutturnThrough),'Step 2 - Update outturn data'!G22,INDEX($D$94:$J$94,MATCH(F$6,$D$92:$J$92,0))),"")</f>
        <v>2.1381842045897326</v>
      </c>
      <c r="G24" s="167">
        <f>IF(ISNUMBER(G$6),IF(AND(G$6&gt;=MTP_BaseYear,G$6&lt;=OutturnThrough),'Step 2 - Update outturn data'!H22,INDEX($D$94:$J$94,MATCH(G$6,$D$92:$J$92,0))),"")</f>
        <v>2.6</v>
      </c>
      <c r="H24" s="167" t="str">
        <f>IF(ISNUMBER(H$6),IF(AND(H$6&gt;=MTP_BaseYear,H$6&lt;=OutturnThrough),'Step 2 - Update outturn data'!I22,INDEX($D$94:$J$94,MATCH(H$6,$D$92:$J$92,0))),"")</f>
        <v/>
      </c>
      <c r="I24" s="167" t="str">
        <f>IF(ISNUMBER(I$6),IF(AND(I$6&gt;=MTP_BaseYear,I$6&lt;=OutturnThrough),'Step 2 - Update outturn data'!#REF!,INDEX($D$94:$J$94,MATCH(I$6,$D$92:$J$92,0))),"")</f>
        <v/>
      </c>
      <c r="J24" s="167" t="str">
        <f>IF(ISNUMBER(J$6),IF(AND(J$6&gt;=MTP_BaseYear,J$6&lt;=OutturnThrough),'Step 2 - Update outturn data'!J22,INDEX($D$94:$J$94,MATCH(J$6,$D$92:$J$92,0))),"")</f>
        <v/>
      </c>
      <c r="K24" s="37"/>
      <c r="L24" s="37"/>
      <c r="M24" s="37"/>
      <c r="N24" s="37"/>
    </row>
    <row r="25" spans="2:15" x14ac:dyDescent="0.4">
      <c r="B25" s="55" t="s">
        <v>281</v>
      </c>
      <c r="C25" s="44" t="s">
        <v>633</v>
      </c>
      <c r="D25" s="167">
        <f>IF(ISNUMBER(D$6),IF(AND(D$6&gt;=MTP_BaseYear,D$6&lt;=OutturnThrough),'Step 2 - Update outturn data'!E23,INDEX($D$95:$J$95,MATCH(D$6,$D$92:$J$92,0))),"")</f>
        <v>10.672371603556009</v>
      </c>
      <c r="E25" s="167">
        <f>IF(ISNUMBER(E$6),IF(AND(E$6&gt;=MTP_BaseYear,E$6&lt;=OutturnThrough),'Step 2 - Update outturn data'!F23,INDEX($D$95:$J$95,MATCH(E$6,$D$92:$J$92,0))),"")</f>
        <v>2.7885650030008202</v>
      </c>
      <c r="F25" s="167">
        <f>IF(ISNUMBER(F$6),IF(AND(F$6&gt;=MTP_BaseYear,F$6&lt;=OutturnThrough),'Step 2 - Update outturn data'!G23,INDEX($D$95:$J$95,MATCH(F$6,$D$92:$J$92,0))),"")</f>
        <v>3.623853135142574</v>
      </c>
      <c r="G25" s="167">
        <f>IF(ISNUMBER(G$6),IF(AND(G$6&gt;=MTP_BaseYear,G$6&lt;=OutturnThrough),'Step 2 - Update outturn data'!H23,INDEX($D$95:$J$95,MATCH(G$6,$D$92:$J$92,0))),"")</f>
        <v>3.3</v>
      </c>
      <c r="H25" s="167" t="str">
        <f>IF(ISNUMBER(H$6),IF(AND(H$6&gt;=MTP_BaseYear,H$6&lt;=OutturnThrough),'Step 2 - Update outturn data'!I23,INDEX($D$95:$J$95,MATCH(H$6,$D$92:$J$92,0))),"")</f>
        <v/>
      </c>
      <c r="I25" s="167" t="str">
        <f>IF(ISNUMBER(I$6),IF(AND(I$6&gt;=MTP_BaseYear,I$6&lt;=OutturnThrough),'Step 2 - Update outturn data'!#REF!,INDEX($D$95:$J$95,MATCH(I$6,$D$92:$J$92,0))),"")</f>
        <v/>
      </c>
      <c r="J25" s="167" t="str">
        <f>IF(ISNUMBER(J$6),IF(AND(J$6&gt;=MTP_BaseYear,J$6&lt;=OutturnThrough),'Step 2 - Update outturn data'!J23,INDEX($D$95:$J$95,MATCH(J$6,$D$92:$J$92,0))),"")</f>
        <v/>
      </c>
      <c r="K25" s="37"/>
      <c r="L25" s="37"/>
      <c r="M25" s="37"/>
      <c r="N25" s="37"/>
    </row>
    <row r="26" spans="2:15" x14ac:dyDescent="0.4">
      <c r="B26" s="55" t="s">
        <v>282</v>
      </c>
      <c r="C26" s="44" t="s">
        <v>633</v>
      </c>
      <c r="D26" s="167">
        <f>IF(ISNUMBER(D$6),IF(AND(D$6&gt;=MTP_BaseYear,D$6&lt;=OutturnThrough),'Step 2 - Update outturn data'!E24,INDEX($D$96:$J$96,MATCH(D$6,$D$92:$J$92,0))),"")</f>
        <v>9.630438336653846</v>
      </c>
      <c r="E26" s="167">
        <f>IF(ISNUMBER(E$6),IF(AND(E$6&gt;=MTP_BaseYear,E$6&lt;=OutturnThrough),'Step 2 - Update outturn data'!F24,INDEX($D$96:$J$96,MATCH(E$6,$D$92:$J$92,0))),"")</f>
        <v>2.7502135769205571</v>
      </c>
      <c r="F26" s="167">
        <f>IF(ISNUMBER(F$6),IF(AND(F$6&gt;=MTP_BaseYear,F$6&lt;=OutturnThrough),'Step 2 - Update outturn data'!G24,INDEX($D$96:$J$96,MATCH(F$6,$D$92:$J$92,0))),"")</f>
        <v>5.8395219950654553</v>
      </c>
      <c r="G26" s="167">
        <f>IF(ISNUMBER(G$6),IF(AND(G$6&gt;=MTP_BaseYear,G$6&lt;=OutturnThrough),'Step 2 - Update outturn data'!H24,INDEX($D$96:$J$96,MATCH(G$6,$D$92:$J$92,0))),"")</f>
        <v>6.1</v>
      </c>
      <c r="H26" s="167" t="str">
        <f>IF(ISNUMBER(H$6),IF(AND(H$6&gt;=MTP_BaseYear,H$6&lt;=OutturnThrough),'Step 2 - Update outturn data'!I24,INDEX($D$96:$J$96,MATCH(H$6,$D$92:$J$92,0))),"")</f>
        <v/>
      </c>
      <c r="I26" s="167" t="str">
        <f>IF(ISNUMBER(I$6),IF(AND(I$6&gt;=MTP_BaseYear,I$6&lt;=OutturnThrough),'Step 2 - Update outturn data'!#REF!,INDEX($D$96:$J$96,MATCH(I$6,$D$92:$J$92,0))),"")</f>
        <v/>
      </c>
      <c r="J26" s="167" t="str">
        <f>IF(ISNUMBER(J$6),IF(AND(J$6&gt;=MTP_BaseYear,J$6&lt;=OutturnThrough),'Step 2 - Update outturn data'!J24,INDEX($D$96:$J$96,MATCH(J$6,$D$92:$J$92,0))),"")</f>
        <v/>
      </c>
      <c r="K26" s="37"/>
      <c r="L26" s="37"/>
      <c r="M26" s="37"/>
      <c r="N26" s="37"/>
    </row>
    <row r="27" spans="2:15" x14ac:dyDescent="0.4">
      <c r="B27" s="55" t="s">
        <v>283</v>
      </c>
      <c r="C27" s="44" t="s">
        <v>633</v>
      </c>
      <c r="D27" s="167">
        <f>IF(ISNUMBER(D$6),IF(AND(D$6&gt;=MTP_BaseYear,D$6&lt;=OutturnThrough),'Step 2 - Update outturn data'!E25,INDEX($D$125:$J$125,MATCH(D$6,$D$92:$J$92,0))),"")</f>
        <v>1.0494115850457675</v>
      </c>
      <c r="E27" s="167">
        <f>IF(ISNUMBER(E$6),IF(AND(E$6&gt;=MTP_BaseYear,E$6&lt;=OutturnThrough),'Step 2 - Update outturn data'!F25,INDEX($D$125:$J$125,MATCH(E$6,$D$92:$J$92,0))),"")</f>
        <v>0.56895479625649337</v>
      </c>
      <c r="F27" s="167">
        <f>IF(ISNUMBER(F$6),IF(AND(F$6&gt;=MTP_BaseYear,F$6&lt;=OutturnThrough),'Step 2 - Update outturn data'!G25,INDEX($D$125:$J$125,MATCH(F$6,$D$92:$J$92,0))),"")</f>
        <v>0.90465793805487582</v>
      </c>
      <c r="G27" s="167">
        <f>IF(ISNUMBER(G$6),IF(AND(G$6&gt;=MTP_BaseYear,G$6&lt;=OutturnThrough),'Step 2 - Update outturn data'!H25,INDEX($D$125:$J$125,MATCH(G$6,$D$92:$J$92,0))),"")</f>
        <v>1.9</v>
      </c>
      <c r="H27" s="167" t="str">
        <f>IF(ISNUMBER(H$6),IF(AND(H$6&gt;=MTP_BaseYear,H$6&lt;=OutturnThrough),'Step 2 - Update outturn data'!I25,INDEX($D$125:$J$125,MATCH(H$6,$D$92:$J$92,0))),"")</f>
        <v/>
      </c>
      <c r="I27" s="167" t="str">
        <f>IF(ISNUMBER(I$6),IF(AND(I$6&gt;=MTP_BaseYear,I$6&lt;=OutturnThrough),'Step 2 - Update outturn data'!#REF!,INDEX($D$125:$J$125,MATCH(I$6,$D$92:$J$92,0))),"")</f>
        <v/>
      </c>
      <c r="J27" s="167" t="str">
        <f>IF(ISNUMBER(J$6),IF(AND(J$6&gt;=MTP_BaseYear,J$6&lt;=OutturnThrough),'Step 2 - Update outturn data'!J25,INDEX($D$125:$J$125,MATCH(J$6,$D$92:$J$92,0))),"")</f>
        <v/>
      </c>
      <c r="K27" s="37"/>
      <c r="L27" s="37"/>
      <c r="M27" s="37"/>
      <c r="N27" s="37"/>
    </row>
    <row r="28" spans="2:15" x14ac:dyDescent="0.4">
      <c r="B28" s="55" t="s">
        <v>272</v>
      </c>
      <c r="C28" s="44" t="s">
        <v>599</v>
      </c>
      <c r="D28" s="167">
        <f>IF(ISNUMBER(D$6),IF(AND(D$6&gt;=MTP_BaseYear,D$6&lt;=OutturnThrough),'Step 2 - Update outturn data'!E26,INDEX($D$131:$J$131,MATCH(D$6,$D$92:$J$92,0))),"")</f>
        <v>-0.6672176438640709</v>
      </c>
      <c r="E28" s="167">
        <f>IF(ISNUMBER(E$6),IF(AND(E$6&gt;=MTP_BaseYear,E$6&lt;=OutturnThrough),'Step 2 - Update outturn data'!F26,INDEX($D$131:$J$131,MATCH(E$6,$D$92:$J$92,0))),"")</f>
        <v>-1.2657760235122772</v>
      </c>
      <c r="F28" s="167">
        <f>IF(ISNUMBER(F$6),IF(AND(F$6&gt;=MTP_BaseYear,F$6&lt;=OutturnThrough),'Step 2 - Update outturn data'!G26,INDEX($D$131:$J$131,MATCH(F$6,$D$92:$J$92,0))),"")</f>
        <v>-5.9072774617829893E-2</v>
      </c>
      <c r="G28" s="167">
        <f>IF(ISNUMBER(G$6),IF(AND(G$6&gt;=MTP_BaseYear,G$6&lt;=OutturnThrough),'Step 2 - Update outturn data'!H26,INDEX($D$131:$J$131,MATCH(G$6,$D$92:$J$92,0))),"")</f>
        <v>-1</v>
      </c>
      <c r="H28" s="167" t="str">
        <f>IF(ISNUMBER(H$6),IF(AND(H$6&gt;=MTP_BaseYear,H$6&lt;=OutturnThrough),'Step 2 - Update outturn data'!I26,INDEX($D$131:$J$131,MATCH(H$6,$D$92:$J$92,0))),"")</f>
        <v/>
      </c>
      <c r="I28" s="167" t="str">
        <f>IF(ISNUMBER(I$6),IF(AND(I$6&gt;=MTP_BaseYear,I$6&lt;=OutturnThrough),'Step 2 - Update outturn data'!#REF!,INDEX($D$131:$J$131,MATCH(I$6,$D$92:$J$92,0))),"")</f>
        <v/>
      </c>
      <c r="J28" s="167" t="str">
        <f>IF(ISNUMBER(J$6),IF(AND(J$6&gt;=MTP_BaseYear,J$6&lt;=OutturnThrough),'Step 2 - Update outturn data'!J26,INDEX($D$131:$J$131,MATCH(J$6,$D$92:$J$92,0))),"")</f>
        <v/>
      </c>
      <c r="K28" s="37"/>
      <c r="L28" s="37"/>
      <c r="M28" s="37"/>
      <c r="N28" s="37"/>
      <c r="O28" s="37"/>
    </row>
    <row r="29" spans="2:15" x14ac:dyDescent="0.4">
      <c r="B29" s="61" t="s">
        <v>289</v>
      </c>
      <c r="C29" s="42" t="s">
        <v>635</v>
      </c>
      <c r="D29" s="278">
        <f>IF(ISNUMBER(D$6),IF(AND(D$6&gt;=MTP_BaseYear,D$6&lt;=OutturnThrough),'Step 2 - Update outturn data'!E27,C29*(1+INDEX($D$96:$J$96,MATCH(D$6,$D$92:$J$92,0))/100)),"")</f>
        <v>39.5642</v>
      </c>
      <c r="E29" s="278">
        <f>IF(ISNUMBER(E$6),IF(AND(E$6&gt;=MTP_BaseYear,E$6&lt;=OutturnThrough),'Step 2 - Update outturn data'!F27,D29*(1+INDEX($D$96:$J$96,MATCH(E$6,$D$92:$J$92,0))/100)),"")</f>
        <v>40.652300000000004</v>
      </c>
      <c r="F29" s="278">
        <f>IF(ISNUMBER(F$6),IF(AND(F$6&gt;=MTP_BaseYear,F$6&lt;=OutturnThrough),'Step 2 - Update outturn data'!G27,E29*(1+INDEX($D$96:$J$96,MATCH(F$6,$D$92:$J$92,0))/100)),"")</f>
        <v>43.026199999999996</v>
      </c>
      <c r="G29" s="278">
        <f>IF(ISNUMBER(G$6),IF(AND(G$6&gt;=MTP_BaseYear,G$6&lt;=OutturnThrough),'Step 2 - Update outturn data'!H27,F29*(1+INDEX($D$96:$J$96,MATCH(G$6,$D$92:$J$92,0))/100)),"")</f>
        <v>45.65079819999999</v>
      </c>
      <c r="H29" s="278" t="str">
        <f>IF(ISNUMBER(H$6),IF(AND(H$6&gt;=MTP_BaseYear,H$6&lt;=OutturnThrough),'Step 2 - Update outturn data'!I27,G29*(1+INDEX($D$96:$J$96,MATCH(H$6,$D$92:$J$92,0))/100)),"")</f>
        <v/>
      </c>
      <c r="I29" s="278" t="str">
        <f>IF(ISNUMBER(I$6),IF(AND(I$6&gt;=MTP_BaseYear,I$6&lt;=OutturnThrough),'Step 2 - Update outturn data'!#REF!,H29*(1+INDEX($D$96:$J$96,MATCH(I$6,$D$92:$J$92,0))/100)),"")</f>
        <v/>
      </c>
      <c r="J29" s="278"/>
      <c r="K29" s="37"/>
      <c r="L29" s="37"/>
      <c r="M29" s="37"/>
      <c r="N29" s="37"/>
    </row>
    <row r="33" spans="1:11" ht="23.25" x14ac:dyDescent="0.7">
      <c r="A33" s="13" t="s">
        <v>802</v>
      </c>
    </row>
    <row r="34" spans="1:11" x14ac:dyDescent="0.4">
      <c r="A34" s="235"/>
      <c r="B34" s="235"/>
      <c r="C34" s="235"/>
      <c r="D34" s="235">
        <f>P9</f>
        <v>2023</v>
      </c>
      <c r="E34" s="272" cm="1">
        <f t="array" ref="E34:H34">_xlfn.SEQUENCE(1, AssessmentEnd-P9+1, P9)</f>
        <v>2023</v>
      </c>
      <c r="F34" s="272">
        <v>2024</v>
      </c>
      <c r="G34" s="272">
        <v>2025</v>
      </c>
      <c r="H34" s="272">
        <v>2026</v>
      </c>
      <c r="I34" s="272"/>
      <c r="J34" s="272"/>
      <c r="K34" s="272"/>
    </row>
    <row r="35" spans="1:11" x14ac:dyDescent="0.4">
      <c r="A35" s="212"/>
      <c r="B35" s="212" t="s">
        <v>30</v>
      </c>
      <c r="C35" s="212" t="s">
        <v>31</v>
      </c>
      <c r="D35" s="235" t="s">
        <v>6</v>
      </c>
      <c r="E35" s="272" t="str" cm="1">
        <f t="array" ref="E35:H35">IF(ISNUMBER(_xlfn.ANCHORARRAY(E$34)),"% of GDP","")</f>
        <v>% of GDP</v>
      </c>
      <c r="F35" s="272" t="str">
        <v>% of GDP</v>
      </c>
      <c r="G35" s="272" t="str">
        <v>% of GDP</v>
      </c>
      <c r="H35" s="272" t="str">
        <v>% of GDP</v>
      </c>
      <c r="I35" s="272"/>
      <c r="J35" s="272"/>
      <c r="K35" s="272"/>
    </row>
    <row r="36" spans="1:11" x14ac:dyDescent="0.4">
      <c r="A36" s="212">
        <v>1</v>
      </c>
      <c r="B36" s="242" t="s">
        <v>32</v>
      </c>
      <c r="C36" s="242" t="s">
        <v>72</v>
      </c>
      <c r="D36" s="4">
        <v>5.6</v>
      </c>
      <c r="E36" s="4">
        <v>14.1</v>
      </c>
      <c r="F36" s="4">
        <v>14.4</v>
      </c>
      <c r="G36" s="4">
        <v>14.2</v>
      </c>
      <c r="H36" s="4">
        <v>14.2</v>
      </c>
      <c r="I36" s="4"/>
      <c r="J36" s="4"/>
    </row>
    <row r="37" spans="1:11" x14ac:dyDescent="0.4">
      <c r="A37" s="212">
        <v>2</v>
      </c>
      <c r="B37" s="242" t="s">
        <v>33</v>
      </c>
      <c r="C37" s="242" t="s">
        <v>73</v>
      </c>
      <c r="D37" s="4">
        <v>3.1</v>
      </c>
      <c r="E37" s="4">
        <v>7.9</v>
      </c>
      <c r="F37" s="4">
        <v>9.1999999999999993</v>
      </c>
      <c r="G37" s="4">
        <v>8.5</v>
      </c>
      <c r="H37" s="4">
        <v>8.4</v>
      </c>
      <c r="I37" s="4"/>
      <c r="J37" s="4"/>
    </row>
    <row r="38" spans="1:11" x14ac:dyDescent="0.4">
      <c r="A38" s="212">
        <v>3</v>
      </c>
      <c r="B38" s="242" t="s">
        <v>34</v>
      </c>
      <c r="C38" s="242" t="s">
        <v>74</v>
      </c>
      <c r="D38" s="4">
        <v>4.3</v>
      </c>
      <c r="E38" s="4">
        <v>10.8</v>
      </c>
      <c r="F38" s="4">
        <v>11.5</v>
      </c>
      <c r="G38" s="4">
        <v>11.7</v>
      </c>
      <c r="H38" s="4">
        <v>11.8</v>
      </c>
      <c r="I38" s="4"/>
      <c r="J38" s="4"/>
    </row>
    <row r="39" spans="1:11" x14ac:dyDescent="0.4">
      <c r="A39" s="212">
        <v>4</v>
      </c>
      <c r="B39" s="242" t="s">
        <v>36</v>
      </c>
      <c r="C39" s="242" t="s">
        <v>75</v>
      </c>
      <c r="D39" s="4">
        <v>2.9</v>
      </c>
      <c r="E39" s="4">
        <v>7.4</v>
      </c>
      <c r="F39" s="4">
        <v>7.5</v>
      </c>
      <c r="G39" s="4">
        <v>7</v>
      </c>
      <c r="H39" s="4">
        <v>6.1</v>
      </c>
      <c r="I39" s="4"/>
      <c r="J39" s="4"/>
    </row>
    <row r="40" spans="1:11" x14ac:dyDescent="0.4">
      <c r="A40" s="212">
        <v>5</v>
      </c>
      <c r="B40" s="242" t="s">
        <v>37</v>
      </c>
      <c r="C40" s="242" t="s">
        <v>76</v>
      </c>
      <c r="D40" s="4">
        <v>0</v>
      </c>
      <c r="E40" s="4">
        <v>0</v>
      </c>
      <c r="F40" s="4">
        <v>0</v>
      </c>
      <c r="G40" s="4">
        <v>0</v>
      </c>
      <c r="H40" s="4">
        <v>0</v>
      </c>
      <c r="I40" s="4"/>
      <c r="J40" s="4"/>
    </row>
    <row r="41" spans="1:11" x14ac:dyDescent="0.4">
      <c r="A41" s="212">
        <v>6</v>
      </c>
      <c r="B41" s="242" t="s">
        <v>38</v>
      </c>
      <c r="C41" s="242" t="s">
        <v>77</v>
      </c>
      <c r="D41" s="4">
        <v>0.3</v>
      </c>
      <c r="E41" s="4">
        <v>0.9</v>
      </c>
      <c r="F41" s="4">
        <v>0.9</v>
      </c>
      <c r="G41" s="4">
        <v>1.4</v>
      </c>
      <c r="H41" s="4">
        <v>1.5</v>
      </c>
      <c r="I41" s="4"/>
      <c r="J41" s="4"/>
    </row>
    <row r="42" spans="1:11" x14ac:dyDescent="0.4">
      <c r="A42" s="212">
        <v>7</v>
      </c>
      <c r="B42" s="242" t="s">
        <v>39</v>
      </c>
      <c r="C42" s="242" t="s">
        <v>78</v>
      </c>
      <c r="D42" s="242">
        <v>16.3</v>
      </c>
      <c r="E42" s="242">
        <v>41.1</v>
      </c>
      <c r="F42" s="242">
        <v>43.5</v>
      </c>
      <c r="G42" s="242">
        <v>43</v>
      </c>
      <c r="H42" s="242">
        <v>42.1</v>
      </c>
      <c r="I42" s="242"/>
      <c r="J42" s="242"/>
    </row>
    <row r="43" spans="1:11" x14ac:dyDescent="0.4">
      <c r="A43" s="212">
        <v>8</v>
      </c>
      <c r="B43" s="242" t="s">
        <v>40</v>
      </c>
      <c r="C43" s="242" t="s">
        <v>79</v>
      </c>
      <c r="D43" s="4">
        <v>0.7</v>
      </c>
      <c r="E43" s="4">
        <v>1.9</v>
      </c>
      <c r="F43" s="4">
        <v>1.9</v>
      </c>
      <c r="G43" s="4">
        <v>1.9</v>
      </c>
      <c r="H43" s="4">
        <v>2</v>
      </c>
      <c r="I43" s="4"/>
      <c r="J43" s="4"/>
    </row>
    <row r="44" spans="1:11" x14ac:dyDescent="0.4">
      <c r="A44" s="212">
        <v>9</v>
      </c>
      <c r="B44" s="242" t="s">
        <v>41</v>
      </c>
      <c r="C44" s="242"/>
      <c r="D44" s="242">
        <v>15.5</v>
      </c>
      <c r="E44" s="242">
        <v>39.200000000000003</v>
      </c>
      <c r="F44" s="242">
        <v>41.6</v>
      </c>
      <c r="G44" s="242">
        <v>41.1</v>
      </c>
      <c r="H44" s="242">
        <v>40.1</v>
      </c>
      <c r="I44" s="242"/>
      <c r="J44" s="242"/>
    </row>
    <row r="45" spans="1:11" x14ac:dyDescent="0.4">
      <c r="A45" s="212">
        <v>10</v>
      </c>
      <c r="B45" s="242" t="s">
        <v>42</v>
      </c>
      <c r="C45" s="242"/>
      <c r="D45" s="4">
        <v>0.1</v>
      </c>
      <c r="E45" s="4">
        <v>-0.2</v>
      </c>
      <c r="F45" s="4">
        <v>0.6</v>
      </c>
      <c r="G45" s="4">
        <v>0.1</v>
      </c>
      <c r="H45" s="4">
        <v>-0.2</v>
      </c>
      <c r="I45" s="4"/>
      <c r="J45" s="4"/>
    </row>
    <row r="46" spans="1:11" x14ac:dyDescent="0.4">
      <c r="A46" s="212">
        <v>11</v>
      </c>
      <c r="B46" s="242" t="s">
        <v>43</v>
      </c>
      <c r="C46" s="242"/>
      <c r="D46" s="4">
        <v>0</v>
      </c>
      <c r="E46" s="4">
        <v>0</v>
      </c>
      <c r="F46" s="4">
        <v>0</v>
      </c>
      <c r="G46" s="4">
        <v>0</v>
      </c>
      <c r="H46" s="4">
        <v>0</v>
      </c>
      <c r="I46" s="4"/>
      <c r="J46" s="4"/>
    </row>
    <row r="47" spans="1:11" x14ac:dyDescent="0.4">
      <c r="A47" s="212"/>
      <c r="B47" s="212" t="s">
        <v>29</v>
      </c>
      <c r="C47" s="212" t="s">
        <v>31</v>
      </c>
      <c r="D47" s="236" t="s">
        <v>6</v>
      </c>
      <c r="E47" s="272" t="str" cm="1">
        <f t="array" ref="E47:H47">IF(ISNUMBER(_xlfn.ANCHORARRAY(E$34)),"% of GDP","")</f>
        <v>% of GDP</v>
      </c>
      <c r="F47" s="272" t="str">
        <v>% of GDP</v>
      </c>
      <c r="G47" s="272" t="str">
        <v>% of GDP</v>
      </c>
      <c r="H47" s="272" t="str">
        <v>% of GDP</v>
      </c>
      <c r="I47" s="272"/>
      <c r="J47" s="272"/>
      <c r="K47" s="272"/>
    </row>
    <row r="48" spans="1:11" x14ac:dyDescent="0.4">
      <c r="A48" s="212">
        <v>12</v>
      </c>
      <c r="B48" s="225" t="s">
        <v>44</v>
      </c>
      <c r="C48" s="225" t="s">
        <v>5</v>
      </c>
      <c r="D48" s="4">
        <v>4.8</v>
      </c>
      <c r="E48" s="4">
        <v>12.1</v>
      </c>
      <c r="F48" s="4">
        <v>13.1</v>
      </c>
      <c r="G48" s="4">
        <v>13.1</v>
      </c>
      <c r="H48" s="4">
        <v>12.8</v>
      </c>
      <c r="I48" s="4"/>
      <c r="J48" s="4"/>
    </row>
    <row r="49" spans="1:10" x14ac:dyDescent="0.4">
      <c r="A49" s="212">
        <v>13</v>
      </c>
      <c r="B49" s="225" t="s">
        <v>45</v>
      </c>
      <c r="C49" s="225" t="s">
        <v>80</v>
      </c>
      <c r="D49" s="4">
        <v>2.5</v>
      </c>
      <c r="E49" s="4">
        <v>6.3</v>
      </c>
      <c r="F49" s="4">
        <v>6.1</v>
      </c>
      <c r="G49" s="4">
        <v>6.3</v>
      </c>
      <c r="H49" s="4">
        <v>6.2</v>
      </c>
      <c r="I49" s="4"/>
      <c r="J49" s="4"/>
    </row>
    <row r="50" spans="1:10" x14ac:dyDescent="0.4">
      <c r="A50" s="212">
        <v>14</v>
      </c>
      <c r="B50" s="225" t="s">
        <v>46</v>
      </c>
      <c r="C50" s="225" t="s">
        <v>28</v>
      </c>
      <c r="D50" s="4">
        <v>0.3</v>
      </c>
      <c r="E50" s="4">
        <v>0.7</v>
      </c>
      <c r="F50" s="4">
        <v>1.1000000000000001</v>
      </c>
      <c r="G50" s="4">
        <v>1.2</v>
      </c>
      <c r="H50" s="4">
        <v>1.3</v>
      </c>
      <c r="I50" s="4"/>
      <c r="J50" s="4"/>
    </row>
    <row r="51" spans="1:10" x14ac:dyDescent="0.4">
      <c r="A51" s="212">
        <v>15</v>
      </c>
      <c r="B51" s="225" t="s">
        <v>47</v>
      </c>
      <c r="C51" s="225" t="s">
        <v>81</v>
      </c>
      <c r="D51" s="4">
        <v>4.7</v>
      </c>
      <c r="E51" s="4">
        <v>11.9</v>
      </c>
      <c r="F51" s="4">
        <v>12.5</v>
      </c>
      <c r="G51" s="4">
        <v>12.8</v>
      </c>
      <c r="H51" s="4">
        <v>13.2</v>
      </c>
      <c r="I51" s="4"/>
      <c r="J51" s="4"/>
    </row>
    <row r="52" spans="1:10" x14ac:dyDescent="0.4">
      <c r="A52" s="212">
        <v>16</v>
      </c>
      <c r="B52" s="225" t="s">
        <v>48</v>
      </c>
      <c r="C52" s="225" t="s">
        <v>82</v>
      </c>
      <c r="D52" s="4">
        <v>0.8</v>
      </c>
      <c r="E52" s="4">
        <v>2.1</v>
      </c>
      <c r="F52" s="4">
        <v>2.1</v>
      </c>
      <c r="G52" s="4">
        <v>2</v>
      </c>
      <c r="H52" s="4">
        <v>2.2000000000000002</v>
      </c>
      <c r="I52" s="4"/>
      <c r="J52" s="4"/>
    </row>
    <row r="53" spans="1:10" x14ac:dyDescent="0.4">
      <c r="A53" s="212">
        <v>17</v>
      </c>
      <c r="B53" s="225" t="s">
        <v>49</v>
      </c>
      <c r="C53" s="225" t="s">
        <v>83</v>
      </c>
      <c r="D53" s="4">
        <v>0.6</v>
      </c>
      <c r="E53" s="4">
        <v>1.6</v>
      </c>
      <c r="F53" s="4">
        <v>0.9</v>
      </c>
      <c r="G53" s="4">
        <v>0.8</v>
      </c>
      <c r="H53" s="4">
        <v>0.8</v>
      </c>
      <c r="I53" s="4"/>
      <c r="J53" s="4"/>
    </row>
    <row r="54" spans="1:10" x14ac:dyDescent="0.4">
      <c r="A54" s="212">
        <v>18</v>
      </c>
      <c r="B54" s="225" t="s">
        <v>50</v>
      </c>
      <c r="C54" s="225" t="s">
        <v>84</v>
      </c>
      <c r="D54" s="4">
        <v>1.1000000000000001</v>
      </c>
      <c r="E54" s="4">
        <v>2.7</v>
      </c>
      <c r="F54" s="4">
        <v>2.4</v>
      </c>
      <c r="G54" s="4">
        <v>2.7</v>
      </c>
      <c r="H54" s="4">
        <v>1.6</v>
      </c>
      <c r="I54" s="4"/>
      <c r="J54" s="4"/>
    </row>
    <row r="55" spans="1:10" x14ac:dyDescent="0.4">
      <c r="A55" s="212">
        <v>19</v>
      </c>
      <c r="B55" s="225" t="s">
        <v>10</v>
      </c>
      <c r="C55" s="225" t="s">
        <v>4</v>
      </c>
      <c r="D55" s="4">
        <v>2.2000000000000002</v>
      </c>
      <c r="E55" s="4">
        <v>5.6</v>
      </c>
      <c r="F55" s="4">
        <v>6.3</v>
      </c>
      <c r="G55" s="4">
        <v>6.1</v>
      </c>
      <c r="H55" s="4">
        <v>6.5</v>
      </c>
      <c r="I55" s="4"/>
      <c r="J55" s="4"/>
    </row>
    <row r="56" spans="1:10" x14ac:dyDescent="0.4">
      <c r="A56" s="212">
        <v>20</v>
      </c>
      <c r="B56" s="225" t="s">
        <v>51</v>
      </c>
      <c r="C56" s="225"/>
      <c r="D56" s="4">
        <v>1.9</v>
      </c>
      <c r="E56" s="4">
        <v>4.8</v>
      </c>
      <c r="F56" s="4">
        <v>5.5</v>
      </c>
      <c r="G56" s="4">
        <v>4.9000000000000004</v>
      </c>
      <c r="H56" s="4">
        <v>5.3</v>
      </c>
      <c r="I56" s="4"/>
      <c r="J56" s="4"/>
    </row>
    <row r="57" spans="1:10" x14ac:dyDescent="0.4">
      <c r="A57" s="212">
        <v>21</v>
      </c>
      <c r="B57" s="225" t="s">
        <v>52</v>
      </c>
      <c r="C57" s="225" t="s">
        <v>85</v>
      </c>
      <c r="D57" s="4">
        <v>0.1</v>
      </c>
      <c r="E57" s="4">
        <v>0.2</v>
      </c>
      <c r="F57" s="4">
        <v>0.3</v>
      </c>
      <c r="G57" s="4">
        <v>0.3</v>
      </c>
      <c r="H57" s="4">
        <v>0.2</v>
      </c>
      <c r="I57" s="4"/>
      <c r="J57" s="4"/>
    </row>
    <row r="58" spans="1:10" x14ac:dyDescent="0.4">
      <c r="A58" s="212">
        <v>22</v>
      </c>
      <c r="B58" s="225" t="s">
        <v>53</v>
      </c>
      <c r="C58" s="225" t="s">
        <v>86</v>
      </c>
      <c r="D58" s="4">
        <v>0.1</v>
      </c>
      <c r="E58" s="4">
        <v>0.1</v>
      </c>
      <c r="F58" s="4">
        <v>0.4</v>
      </c>
      <c r="G58" s="4">
        <v>0</v>
      </c>
      <c r="H58" s="4">
        <v>0.3</v>
      </c>
      <c r="I58" s="4"/>
      <c r="J58" s="4"/>
    </row>
    <row r="59" spans="1:10" x14ac:dyDescent="0.4">
      <c r="A59" s="212">
        <v>23</v>
      </c>
      <c r="B59" s="225" t="s">
        <v>54</v>
      </c>
      <c r="C59" s="225" t="s">
        <v>87</v>
      </c>
      <c r="D59" s="242">
        <v>17.2</v>
      </c>
      <c r="E59" s="242">
        <v>43.4</v>
      </c>
      <c r="F59" s="242">
        <v>45.3</v>
      </c>
      <c r="G59" s="242">
        <v>45.3</v>
      </c>
      <c r="H59" s="242">
        <v>45.1</v>
      </c>
      <c r="I59" s="242"/>
      <c r="J59" s="242"/>
    </row>
    <row r="60" spans="1:10" x14ac:dyDescent="0.4">
      <c r="A60" s="212">
        <v>24</v>
      </c>
      <c r="B60" s="225" t="s">
        <v>55</v>
      </c>
      <c r="C60" s="225" t="s">
        <v>79</v>
      </c>
      <c r="D60" s="4">
        <v>0.7</v>
      </c>
      <c r="E60" s="4">
        <v>1.9</v>
      </c>
      <c r="F60" s="4">
        <v>1.9</v>
      </c>
      <c r="G60" s="4">
        <v>1.9</v>
      </c>
      <c r="H60" s="4">
        <v>2</v>
      </c>
      <c r="I60" s="4"/>
      <c r="J60" s="4"/>
    </row>
    <row r="61" spans="1:10" x14ac:dyDescent="0.4">
      <c r="A61" s="212">
        <v>25</v>
      </c>
      <c r="B61" s="225" t="s">
        <v>56</v>
      </c>
      <c r="C61" s="225"/>
      <c r="D61" s="242">
        <v>16.5</v>
      </c>
      <c r="E61" s="242">
        <v>41.6</v>
      </c>
      <c r="F61" s="242">
        <v>43.4</v>
      </c>
      <c r="G61" s="242">
        <v>43.4</v>
      </c>
      <c r="H61" s="242">
        <v>43.1</v>
      </c>
      <c r="I61" s="242"/>
      <c r="J61" s="242"/>
    </row>
    <row r="62" spans="1:10" x14ac:dyDescent="0.4">
      <c r="A62" s="212">
        <v>26</v>
      </c>
      <c r="B62" s="225" t="s">
        <v>751</v>
      </c>
      <c r="C62" s="225"/>
      <c r="D62" s="4">
        <v>0.2</v>
      </c>
      <c r="E62" s="4">
        <v>0.4</v>
      </c>
      <c r="F62" s="4">
        <v>0.3</v>
      </c>
      <c r="G62" s="4">
        <v>0.5</v>
      </c>
      <c r="H62" s="4">
        <v>0.5</v>
      </c>
      <c r="I62" s="4"/>
      <c r="J62" s="4"/>
    </row>
    <row r="63" spans="1:10" x14ac:dyDescent="0.4">
      <c r="A63" s="212">
        <v>27</v>
      </c>
      <c r="B63" s="225" t="s">
        <v>57</v>
      </c>
      <c r="C63" s="225"/>
      <c r="D63" s="4">
        <v>-0.01</v>
      </c>
      <c r="E63" s="4">
        <v>-0.02</v>
      </c>
      <c r="F63" s="4">
        <v>0.02</v>
      </c>
      <c r="G63" s="4">
        <v>0.03</v>
      </c>
      <c r="H63" s="4">
        <v>0.02</v>
      </c>
      <c r="I63" s="4"/>
      <c r="J63" s="4"/>
    </row>
    <row r="64" spans="1:10" x14ac:dyDescent="0.4">
      <c r="A64" s="212">
        <v>28</v>
      </c>
      <c r="B64" s="225" t="s">
        <v>58</v>
      </c>
      <c r="C64" s="225"/>
      <c r="D64" s="4">
        <v>0</v>
      </c>
      <c r="E64" s="4">
        <v>0</v>
      </c>
      <c r="F64" s="4">
        <v>0</v>
      </c>
      <c r="G64" s="4">
        <v>0</v>
      </c>
      <c r="H64" s="4">
        <v>0</v>
      </c>
      <c r="I64" s="4"/>
      <c r="J64" s="4"/>
    </row>
    <row r="65" spans="1:11" x14ac:dyDescent="0.4">
      <c r="A65" s="212">
        <v>29</v>
      </c>
      <c r="B65" s="225" t="s">
        <v>59</v>
      </c>
      <c r="C65" s="225"/>
      <c r="D65" s="242">
        <v>16</v>
      </c>
      <c r="E65" s="242">
        <v>40.5</v>
      </c>
      <c r="F65" s="242">
        <v>42</v>
      </c>
      <c r="G65" s="242">
        <v>41.8</v>
      </c>
      <c r="H65" s="242">
        <v>41.3</v>
      </c>
      <c r="I65" s="242"/>
      <c r="J65" s="242"/>
    </row>
    <row r="66" spans="1:11" x14ac:dyDescent="0.4">
      <c r="A66" s="212"/>
      <c r="B66" s="212" t="s">
        <v>35</v>
      </c>
      <c r="C66" s="212"/>
      <c r="D66" s="237"/>
      <c r="E66" s="272" t="str" cm="1">
        <f t="array" ref="E66:H66">IF(ISNUMBER(_xlfn.ANCHORARRAY(E$34)),"growth rate","")</f>
        <v>growth rate</v>
      </c>
      <c r="F66" s="272" t="str">
        <v>growth rate</v>
      </c>
      <c r="G66" s="272" t="str">
        <v>growth rate</v>
      </c>
      <c r="H66" s="272" t="str">
        <v>growth rate</v>
      </c>
      <c r="I66" s="272"/>
      <c r="J66" s="272"/>
      <c r="K66" s="272"/>
    </row>
    <row r="67" spans="1:11" ht="14.25" x14ac:dyDescent="0.45">
      <c r="A67" s="212">
        <v>30</v>
      </c>
      <c r="B67" s="225" t="s">
        <v>826</v>
      </c>
      <c r="C67" s="225" t="s">
        <v>752</v>
      </c>
      <c r="D67" s="244"/>
      <c r="E67" s="4"/>
      <c r="F67" s="4">
        <v>5.2</v>
      </c>
      <c r="G67" s="4">
        <v>5</v>
      </c>
      <c r="H67" s="4">
        <v>5.3</v>
      </c>
      <c r="I67" s="4"/>
      <c r="J67" s="4"/>
    </row>
    <row r="68" spans="1:11" x14ac:dyDescent="0.4">
      <c r="A68" s="212"/>
      <c r="B68" s="212" t="s">
        <v>60</v>
      </c>
      <c r="C68" s="212"/>
      <c r="D68" s="237" t="s">
        <v>6</v>
      </c>
      <c r="E68" s="272" t="s">
        <v>603</v>
      </c>
      <c r="F68" s="272" t="s">
        <v>603</v>
      </c>
      <c r="G68" s="272" t="s">
        <v>603</v>
      </c>
      <c r="H68" s="272" t="s">
        <v>603</v>
      </c>
      <c r="I68" s="272" t="s">
        <v>603</v>
      </c>
      <c r="J68" s="272" t="s">
        <v>603</v>
      </c>
      <c r="K68" s="272"/>
    </row>
    <row r="69" spans="1:11" x14ac:dyDescent="0.4">
      <c r="A69" s="212">
        <v>31</v>
      </c>
      <c r="B69" s="225" t="s">
        <v>61</v>
      </c>
      <c r="C69" s="225" t="s">
        <v>27</v>
      </c>
      <c r="D69" s="4">
        <v>-0.9</v>
      </c>
      <c r="E69" s="4">
        <v>-2.4</v>
      </c>
      <c r="F69" s="4">
        <v>-1.8</v>
      </c>
      <c r="G69" s="4">
        <v>-2.4</v>
      </c>
      <c r="H69" s="4">
        <v>-3</v>
      </c>
      <c r="I69" s="4"/>
      <c r="J69" s="4"/>
    </row>
    <row r="70" spans="1:11" x14ac:dyDescent="0.4">
      <c r="A70" s="212">
        <v>32</v>
      </c>
      <c r="B70" s="225" t="s">
        <v>62</v>
      </c>
      <c r="C70" s="225" t="s">
        <v>88</v>
      </c>
      <c r="D70" s="4">
        <v>-0.6</v>
      </c>
      <c r="E70" s="4">
        <v>-1.6</v>
      </c>
      <c r="F70" s="4">
        <v>-0.7</v>
      </c>
      <c r="G70" s="4">
        <v>-1.2</v>
      </c>
      <c r="H70" s="4">
        <v>-1.7</v>
      </c>
      <c r="I70" s="4"/>
      <c r="J70" s="4"/>
    </row>
    <row r="71" spans="1:11" x14ac:dyDescent="0.4">
      <c r="A71" s="212"/>
      <c r="B71" s="212" t="s">
        <v>63</v>
      </c>
      <c r="C71" s="212"/>
      <c r="D71" s="237"/>
      <c r="E71" s="272" t="s">
        <v>603</v>
      </c>
      <c r="F71" s="272" t="s">
        <v>603</v>
      </c>
      <c r="G71" s="272" t="s">
        <v>603</v>
      </c>
      <c r="H71" s="272" t="s">
        <v>603</v>
      </c>
      <c r="I71" s="272" t="s">
        <v>603</v>
      </c>
      <c r="J71" s="272" t="s">
        <v>603</v>
      </c>
      <c r="K71" s="272"/>
    </row>
    <row r="72" spans="1:11" ht="14.25" x14ac:dyDescent="0.45">
      <c r="A72" s="212">
        <v>33</v>
      </c>
      <c r="B72" s="225" t="s">
        <v>0</v>
      </c>
      <c r="C72" s="225"/>
      <c r="D72" s="244"/>
      <c r="E72" s="4">
        <v>-2.2000000000000002</v>
      </c>
      <c r="F72" s="4">
        <v>-1</v>
      </c>
      <c r="G72" s="4">
        <v>-1.7</v>
      </c>
      <c r="H72" s="4">
        <v>-2.6</v>
      </c>
      <c r="I72" s="4"/>
      <c r="J72" s="4"/>
    </row>
    <row r="73" spans="1:11" ht="14.25" x14ac:dyDescent="0.45">
      <c r="A73" s="212">
        <v>34</v>
      </c>
      <c r="B73" s="225" t="s">
        <v>3</v>
      </c>
      <c r="C73" s="225"/>
      <c r="D73" s="244"/>
      <c r="E73" s="4">
        <v>-1.5</v>
      </c>
      <c r="F73" s="4">
        <v>0.05</v>
      </c>
      <c r="G73" s="4">
        <v>-0.6</v>
      </c>
      <c r="H73" s="4">
        <v>-1.3</v>
      </c>
      <c r="I73" s="4"/>
      <c r="J73" s="4"/>
    </row>
    <row r="74" spans="1:11" x14ac:dyDescent="0.4">
      <c r="A74" s="212"/>
      <c r="B74" s="212" t="s">
        <v>20</v>
      </c>
      <c r="C74" s="212"/>
      <c r="D74" s="237" t="s">
        <v>6</v>
      </c>
      <c r="E74" s="272" t="s">
        <v>603</v>
      </c>
      <c r="F74" s="272" t="s">
        <v>603</v>
      </c>
      <c r="G74" s="272" t="s">
        <v>603</v>
      </c>
      <c r="H74" s="272" t="s">
        <v>603</v>
      </c>
      <c r="I74" s="272" t="s">
        <v>603</v>
      </c>
      <c r="J74" s="272" t="s">
        <v>603</v>
      </c>
      <c r="K74" s="272"/>
    </row>
    <row r="75" spans="1:11" x14ac:dyDescent="0.4">
      <c r="A75" s="212">
        <v>35</v>
      </c>
      <c r="B75" s="225" t="s">
        <v>1</v>
      </c>
      <c r="C75" s="225"/>
      <c r="D75" s="4">
        <v>17.600000000000001</v>
      </c>
      <c r="E75" s="4">
        <v>44.4</v>
      </c>
      <c r="F75" s="4">
        <v>46.2</v>
      </c>
      <c r="G75" s="4">
        <v>47</v>
      </c>
      <c r="H75" s="4">
        <v>47.9</v>
      </c>
      <c r="I75" s="4"/>
      <c r="J75" s="4"/>
    </row>
    <row r="76" spans="1:11" x14ac:dyDescent="0.4">
      <c r="A76" s="212">
        <v>36</v>
      </c>
      <c r="B76" s="225" t="s">
        <v>2</v>
      </c>
      <c r="C76" s="225"/>
      <c r="D76" s="4">
        <v>1.5</v>
      </c>
      <c r="E76" s="4">
        <v>-0.01</v>
      </c>
      <c r="F76" s="4">
        <v>1.8</v>
      </c>
      <c r="G76" s="4">
        <v>0.8</v>
      </c>
      <c r="H76" s="4">
        <v>0.9</v>
      </c>
      <c r="I76" s="4"/>
      <c r="J76" s="4"/>
    </row>
    <row r="77" spans="1:11" x14ac:dyDescent="0.4">
      <c r="A77" s="212">
        <v>37</v>
      </c>
      <c r="B77" s="225" t="s">
        <v>64</v>
      </c>
      <c r="C77" s="225"/>
      <c r="D77" s="281"/>
      <c r="E77" s="281"/>
      <c r="F77" s="281"/>
      <c r="G77" s="281"/>
      <c r="H77" s="281"/>
      <c r="I77" s="281"/>
      <c r="J77" s="281"/>
    </row>
    <row r="78" spans="1:11" ht="14.25" x14ac:dyDescent="0.45">
      <c r="A78" s="212">
        <v>38</v>
      </c>
      <c r="B78" s="240" t="s">
        <v>753</v>
      </c>
      <c r="C78" s="225"/>
      <c r="D78" s="244"/>
      <c r="E78" s="4">
        <v>1.6</v>
      </c>
      <c r="F78" s="4">
        <v>0.7</v>
      </c>
      <c r="G78" s="4">
        <v>1.2</v>
      </c>
      <c r="H78" s="4">
        <v>1.7</v>
      </c>
      <c r="I78" s="4"/>
      <c r="J78" s="4"/>
    </row>
    <row r="79" spans="1:11" ht="14.25" x14ac:dyDescent="0.45">
      <c r="A79" s="212">
        <v>39</v>
      </c>
      <c r="B79" s="240" t="s">
        <v>754</v>
      </c>
      <c r="C79" s="225"/>
      <c r="D79" s="244"/>
      <c r="E79" s="4">
        <v>-3.2</v>
      </c>
      <c r="F79" s="4">
        <v>-0.1</v>
      </c>
      <c r="G79" s="4">
        <v>-1.4</v>
      </c>
      <c r="H79" s="4">
        <v>-1.4</v>
      </c>
      <c r="I79" s="4"/>
      <c r="J79" s="4"/>
    </row>
    <row r="80" spans="1:11" ht="14.25" x14ac:dyDescent="0.45">
      <c r="A80" s="212">
        <v>40</v>
      </c>
      <c r="B80" s="241" t="s">
        <v>755</v>
      </c>
      <c r="C80" s="225"/>
      <c r="D80" s="244"/>
      <c r="E80" s="4">
        <v>0.7</v>
      </c>
      <c r="F80" s="4">
        <v>1.1000000000000001</v>
      </c>
      <c r="G80" s="4">
        <v>1.2</v>
      </c>
      <c r="H80" s="4">
        <v>1.3</v>
      </c>
      <c r="I80" s="4"/>
      <c r="J80" s="4"/>
    </row>
    <row r="81" spans="1:11" ht="14.25" x14ac:dyDescent="0.45">
      <c r="A81" s="212">
        <v>41</v>
      </c>
      <c r="B81" s="241" t="s">
        <v>756</v>
      </c>
      <c r="C81" s="225"/>
      <c r="D81" s="244"/>
      <c r="E81" s="4">
        <v>0.4</v>
      </c>
      <c r="F81" s="4">
        <v>0</v>
      </c>
      <c r="G81" s="4">
        <v>-0.9</v>
      </c>
      <c r="H81" s="4">
        <v>-1.2</v>
      </c>
      <c r="I81" s="4"/>
      <c r="J81" s="4"/>
    </row>
    <row r="82" spans="1:11" ht="14.25" x14ac:dyDescent="0.45">
      <c r="A82" s="212">
        <v>42</v>
      </c>
      <c r="B82" s="241" t="s">
        <v>757</v>
      </c>
      <c r="C82" s="225"/>
      <c r="D82" s="244"/>
      <c r="E82" s="4">
        <v>-4.3</v>
      </c>
      <c r="F82" s="4">
        <v>-1.2</v>
      </c>
      <c r="G82" s="4">
        <v>-1.6</v>
      </c>
      <c r="H82" s="4">
        <v>-1.5</v>
      </c>
      <c r="I82" s="4"/>
      <c r="J82" s="4"/>
    </row>
    <row r="83" spans="1:11" ht="14.25" x14ac:dyDescent="0.45">
      <c r="A83" s="212">
        <v>43</v>
      </c>
      <c r="B83" s="240" t="s">
        <v>758</v>
      </c>
      <c r="C83" s="225"/>
      <c r="D83" s="244"/>
      <c r="E83" s="4">
        <v>1.5</v>
      </c>
      <c r="F83" s="4">
        <v>1.2</v>
      </c>
      <c r="G83" s="4">
        <v>1</v>
      </c>
      <c r="H83" s="4">
        <v>0.6</v>
      </c>
      <c r="I83" s="4"/>
      <c r="J83" s="4"/>
    </row>
    <row r="84" spans="1:11" x14ac:dyDescent="0.4">
      <c r="A84" s="212"/>
      <c r="B84" s="212"/>
      <c r="C84" s="212"/>
      <c r="D84" s="237"/>
      <c r="E84" s="272" t="str" cm="1">
        <f t="array" ref="E84:H84">IF(ISNUMBER(_xlfn.ANCHORARRAY(E$34)),"%","")</f>
        <v>%</v>
      </c>
      <c r="F84" s="272" t="str">
        <v>%</v>
      </c>
      <c r="G84" s="272" t="str">
        <v>%</v>
      </c>
      <c r="H84" s="272" t="str">
        <v>%</v>
      </c>
      <c r="I84" s="272"/>
      <c r="J84" s="272"/>
      <c r="K84" s="272"/>
    </row>
    <row r="85" spans="1:11" ht="14.25" x14ac:dyDescent="0.45">
      <c r="A85" s="212">
        <v>44</v>
      </c>
      <c r="B85" s="225" t="s">
        <v>71</v>
      </c>
      <c r="C85" s="225"/>
      <c r="D85" s="244"/>
      <c r="E85" s="4">
        <v>1.8</v>
      </c>
      <c r="F85" s="4">
        <v>2.5</v>
      </c>
      <c r="G85" s="4">
        <v>2.7</v>
      </c>
      <c r="H85" s="4">
        <v>3</v>
      </c>
      <c r="I85" s="4"/>
      <c r="J85" s="4"/>
    </row>
    <row r="86" spans="1:11" x14ac:dyDescent="0.4">
      <c r="A86" s="212"/>
      <c r="B86" s="212"/>
      <c r="C86" s="212"/>
      <c r="D86" s="237"/>
      <c r="E86" s="272" t="s">
        <v>603</v>
      </c>
      <c r="F86" s="272" t="s">
        <v>603</v>
      </c>
      <c r="G86" s="272" t="s">
        <v>603</v>
      </c>
      <c r="H86" s="272" t="s">
        <v>603</v>
      </c>
      <c r="I86" s="272" t="s">
        <v>603</v>
      </c>
      <c r="J86" s="272" t="s">
        <v>603</v>
      </c>
      <c r="K86" s="272"/>
    </row>
    <row r="87" spans="1:11" x14ac:dyDescent="0.4">
      <c r="A87" s="212">
        <v>45</v>
      </c>
      <c r="B87" s="225" t="s">
        <v>759</v>
      </c>
      <c r="C87" s="225" t="s">
        <v>760</v>
      </c>
      <c r="D87" s="4">
        <v>1</v>
      </c>
      <c r="E87" s="4">
        <v>2.5</v>
      </c>
      <c r="F87" s="4">
        <v>2.6</v>
      </c>
      <c r="G87" s="4">
        <v>3</v>
      </c>
      <c r="H87" s="4">
        <v>4.0999999999999996</v>
      </c>
      <c r="I87" s="4"/>
      <c r="J87" s="4"/>
    </row>
    <row r="88" spans="1:11" x14ac:dyDescent="0.4">
      <c r="A88" s="212">
        <v>46</v>
      </c>
      <c r="B88" s="225" t="s">
        <v>761</v>
      </c>
      <c r="C88" s="225" t="s">
        <v>762</v>
      </c>
      <c r="D88" s="4">
        <v>0.3</v>
      </c>
      <c r="E88" s="4"/>
      <c r="F88" s="4"/>
      <c r="G88" s="4"/>
      <c r="H88" s="4"/>
      <c r="I88" s="4"/>
      <c r="J88" s="4"/>
    </row>
    <row r="89" spans="1:11" x14ac:dyDescent="0.4">
      <c r="E89" s="280"/>
      <c r="F89" s="280"/>
      <c r="G89" s="280"/>
      <c r="H89" s="280"/>
    </row>
    <row r="91" spans="1:11" ht="23.25" x14ac:dyDescent="0.7">
      <c r="A91" s="13" t="s">
        <v>803</v>
      </c>
    </row>
    <row r="92" spans="1:11" x14ac:dyDescent="0.4">
      <c r="A92" s="235"/>
      <c r="B92" s="235" t="s">
        <v>8</v>
      </c>
      <c r="C92" s="235" t="s">
        <v>31</v>
      </c>
      <c r="D92" s="235">
        <f>P9</f>
        <v>2023</v>
      </c>
      <c r="E92" s="272" cm="1">
        <f t="array" ref="E92:J92">_xlfn.SEQUENCE(1, MTP_EndYear-P9+1, P9)</f>
        <v>2023</v>
      </c>
      <c r="F92" s="272">
        <v>2024</v>
      </c>
      <c r="G92" s="272">
        <v>2025</v>
      </c>
      <c r="H92" s="272">
        <v>2026</v>
      </c>
      <c r="I92" s="272">
        <v>2027</v>
      </c>
      <c r="J92" s="272">
        <v>2028</v>
      </c>
      <c r="K92" s="272"/>
    </row>
    <row r="93" spans="1:11" x14ac:dyDescent="0.4">
      <c r="A93" s="212"/>
      <c r="B93" s="212"/>
      <c r="C93" s="212"/>
      <c r="D93" s="235" t="s">
        <v>6</v>
      </c>
      <c r="E93" s="272" t="str" cm="1">
        <f t="array" ref="E93:H93">IF(ISNUMBER(_xlfn.ANCHORARRAY(E$34)),"growth rate","")</f>
        <v>growth rate</v>
      </c>
      <c r="F93" s="272" t="str">
        <v>growth rate</v>
      </c>
      <c r="G93" s="272" t="str">
        <v>growth rate</v>
      </c>
      <c r="H93" s="272" t="str">
        <v>growth rate</v>
      </c>
      <c r="I93" s="272"/>
      <c r="J93" s="272"/>
      <c r="K93" s="272"/>
    </row>
    <row r="94" spans="1:11" ht="14.25" x14ac:dyDescent="0.45">
      <c r="A94" s="212">
        <v>1</v>
      </c>
      <c r="B94" s="225" t="s">
        <v>7</v>
      </c>
      <c r="C94" s="225" t="s">
        <v>763</v>
      </c>
      <c r="D94" s="246"/>
      <c r="E94">
        <v>-0.9</v>
      </c>
      <c r="F94">
        <v>-0.04</v>
      </c>
      <c r="G94">
        <v>2.1</v>
      </c>
      <c r="H94" s="4">
        <v>2.6</v>
      </c>
      <c r="I94" s="4"/>
      <c r="J94" s="4"/>
    </row>
    <row r="95" spans="1:11" ht="14.25" x14ac:dyDescent="0.45">
      <c r="A95" s="212">
        <v>2</v>
      </c>
      <c r="B95" s="225" t="s">
        <v>8</v>
      </c>
      <c r="C95" s="225"/>
      <c r="D95" s="246"/>
      <c r="E95">
        <v>10.7</v>
      </c>
      <c r="F95">
        <v>2.8</v>
      </c>
      <c r="G95">
        <v>3.6</v>
      </c>
      <c r="H95" s="4">
        <v>3.3</v>
      </c>
      <c r="I95" s="4"/>
      <c r="J95" s="4"/>
    </row>
    <row r="96" spans="1:11" x14ac:dyDescent="0.4">
      <c r="A96" s="212">
        <v>3</v>
      </c>
      <c r="B96" s="225" t="s">
        <v>9</v>
      </c>
      <c r="C96" s="225" t="s">
        <v>763</v>
      </c>
      <c r="D96" s="144">
        <v>39.6</v>
      </c>
      <c r="E96">
        <v>9.6</v>
      </c>
      <c r="F96">
        <v>2.8</v>
      </c>
      <c r="G96">
        <v>5.8</v>
      </c>
      <c r="H96" s="4">
        <v>6.1</v>
      </c>
      <c r="I96" s="4"/>
      <c r="J96" s="4"/>
    </row>
    <row r="97" spans="1:11" x14ac:dyDescent="0.4">
      <c r="A97" s="212"/>
      <c r="B97" s="212" t="s">
        <v>764</v>
      </c>
      <c r="C97" s="212"/>
      <c r="D97" s="235" t="s">
        <v>6</v>
      </c>
      <c r="E97" s="272" t="str" cm="1">
        <f t="array" ref="E97:H97">IF(ISNUMBER(_xlfn.ANCHORARRAY(E$34)),"growth rate","")</f>
        <v>growth rate</v>
      </c>
      <c r="F97" s="272" t="str">
        <v>growth rate</v>
      </c>
      <c r="G97" s="272" t="str">
        <v>growth rate</v>
      </c>
      <c r="H97" s="272" t="str">
        <v>growth rate</v>
      </c>
      <c r="I97" s="272"/>
      <c r="J97" s="272"/>
      <c r="K97" s="272"/>
    </row>
    <row r="98" spans="1:11" ht="14.25" x14ac:dyDescent="0.45">
      <c r="A98" s="212">
        <v>4</v>
      </c>
      <c r="B98" s="225" t="s">
        <v>765</v>
      </c>
      <c r="C98" s="225" t="s">
        <v>766</v>
      </c>
      <c r="D98" s="246"/>
      <c r="E98">
        <v>-0.9</v>
      </c>
      <c r="F98">
        <v>0.1</v>
      </c>
      <c r="G98">
        <v>0.8</v>
      </c>
      <c r="H98" s="4">
        <v>2.9</v>
      </c>
      <c r="I98" s="4"/>
      <c r="J98" s="4"/>
    </row>
    <row r="99" spans="1:11" ht="14.25" x14ac:dyDescent="0.45">
      <c r="A99" s="212">
        <v>5</v>
      </c>
      <c r="B99" s="225" t="s">
        <v>767</v>
      </c>
      <c r="C99" s="225" t="s">
        <v>766</v>
      </c>
      <c r="D99" s="246"/>
      <c r="E99">
        <v>2.5</v>
      </c>
      <c r="F99">
        <v>-0.4</v>
      </c>
      <c r="G99">
        <v>3.3</v>
      </c>
      <c r="H99" s="4">
        <v>1.5</v>
      </c>
      <c r="I99" s="4"/>
      <c r="J99" s="4"/>
    </row>
    <row r="100" spans="1:11" ht="14.25" x14ac:dyDescent="0.45">
      <c r="A100" s="212">
        <v>6</v>
      </c>
      <c r="B100" s="225" t="s">
        <v>10</v>
      </c>
      <c r="C100" s="225" t="s">
        <v>4</v>
      </c>
      <c r="D100" s="246"/>
      <c r="E100">
        <v>5</v>
      </c>
      <c r="F100">
        <v>7</v>
      </c>
      <c r="G100">
        <v>9.8000000000000007</v>
      </c>
      <c r="H100" s="4">
        <v>7.5</v>
      </c>
      <c r="I100" s="4"/>
      <c r="J100" s="4"/>
    </row>
    <row r="101" spans="1:11" ht="14.25" x14ac:dyDescent="0.45">
      <c r="A101" s="212">
        <v>7</v>
      </c>
      <c r="B101" s="225" t="s">
        <v>768</v>
      </c>
      <c r="C101" s="225" t="s">
        <v>769</v>
      </c>
      <c r="D101" s="246"/>
      <c r="E101" s="282"/>
      <c r="F101" s="282"/>
      <c r="G101" s="282"/>
      <c r="H101" s="283"/>
      <c r="I101" s="283"/>
      <c r="J101" s="283"/>
    </row>
    <row r="102" spans="1:11" ht="14.25" x14ac:dyDescent="0.45">
      <c r="A102" s="212">
        <v>8</v>
      </c>
      <c r="B102" s="225" t="s">
        <v>770</v>
      </c>
      <c r="C102" s="225" t="s">
        <v>771</v>
      </c>
      <c r="D102" s="246"/>
      <c r="E102">
        <v>-7</v>
      </c>
      <c r="F102">
        <v>0.1</v>
      </c>
      <c r="G102">
        <v>0.1</v>
      </c>
      <c r="H102" s="4">
        <v>3</v>
      </c>
      <c r="I102" s="4"/>
      <c r="J102" s="4"/>
    </row>
    <row r="103" spans="1:11" ht="14.25" x14ac:dyDescent="0.45">
      <c r="A103" s="212">
        <v>9</v>
      </c>
      <c r="B103" s="225" t="s">
        <v>772</v>
      </c>
      <c r="C103" s="225" t="s">
        <v>773</v>
      </c>
      <c r="D103" s="246"/>
      <c r="E103">
        <v>-5</v>
      </c>
      <c r="F103">
        <v>-1.8</v>
      </c>
      <c r="G103">
        <v>5.7</v>
      </c>
      <c r="H103" s="4">
        <v>4.8</v>
      </c>
      <c r="I103" s="4"/>
      <c r="J103" s="4"/>
    </row>
    <row r="104" spans="1:11" x14ac:dyDescent="0.4">
      <c r="A104" s="212"/>
      <c r="B104" s="225" t="s">
        <v>774</v>
      </c>
      <c r="C104" s="225"/>
      <c r="D104" s="242"/>
      <c r="E104" s="242"/>
      <c r="F104" s="242"/>
      <c r="G104" s="242"/>
      <c r="H104" s="242"/>
      <c r="I104" s="242"/>
      <c r="J104" s="242"/>
    </row>
    <row r="105" spans="1:11" ht="14.25" x14ac:dyDescent="0.45">
      <c r="A105" s="212">
        <v>10</v>
      </c>
      <c r="B105" s="243" t="s">
        <v>775</v>
      </c>
      <c r="C105" s="225"/>
      <c r="D105" s="246"/>
      <c r="E105">
        <v>1.1000000000000001</v>
      </c>
      <c r="F105">
        <v>-1.7</v>
      </c>
      <c r="G105">
        <v>3.3</v>
      </c>
      <c r="H105" s="4">
        <v>3.8</v>
      </c>
      <c r="I105" s="4"/>
      <c r="J105" s="4"/>
    </row>
    <row r="106" spans="1:11" ht="14.25" x14ac:dyDescent="0.45">
      <c r="A106" s="212">
        <v>11</v>
      </c>
      <c r="B106" s="243" t="s">
        <v>776</v>
      </c>
      <c r="C106" s="225" t="s">
        <v>769</v>
      </c>
      <c r="D106" s="246"/>
      <c r="E106">
        <v>-0.7</v>
      </c>
      <c r="F106">
        <v>0.4</v>
      </c>
      <c r="G106">
        <v>2.6</v>
      </c>
      <c r="H106" s="4">
        <v>0.3</v>
      </c>
      <c r="I106" s="4"/>
      <c r="J106" s="4"/>
    </row>
    <row r="107" spans="1:11" ht="14.25" x14ac:dyDescent="0.45">
      <c r="A107" s="212">
        <v>12</v>
      </c>
      <c r="B107" s="243" t="s">
        <v>777</v>
      </c>
      <c r="C107" s="225" t="s">
        <v>778</v>
      </c>
      <c r="D107" s="246"/>
      <c r="E107">
        <v>-1.3</v>
      </c>
      <c r="F107">
        <v>1.3</v>
      </c>
      <c r="G107">
        <v>-3.8</v>
      </c>
      <c r="H107" s="4">
        <v>-1.4</v>
      </c>
      <c r="I107" s="4"/>
      <c r="J107" s="4"/>
    </row>
    <row r="108" spans="1:11" x14ac:dyDescent="0.4">
      <c r="A108" s="212"/>
      <c r="B108" s="212" t="s">
        <v>779</v>
      </c>
      <c r="C108" s="212"/>
      <c r="D108" s="235"/>
      <c r="E108" s="272" t="str" cm="1">
        <f t="array" ref="E108:H108">IF(ISNUMBER(_xlfn.ANCHORARRAY(E$34)),"growth rate","")</f>
        <v>growth rate</v>
      </c>
      <c r="F108" s="272" t="str">
        <v>growth rate</v>
      </c>
      <c r="G108" s="272" t="str">
        <v>growth rate</v>
      </c>
      <c r="H108" s="272" t="str">
        <v>growth rate</v>
      </c>
      <c r="I108" s="272"/>
      <c r="J108" s="272"/>
      <c r="K108" s="272"/>
    </row>
    <row r="109" spans="1:11" ht="14.25" x14ac:dyDescent="0.45">
      <c r="A109" s="212">
        <v>13</v>
      </c>
      <c r="B109" s="225" t="s">
        <v>780</v>
      </c>
      <c r="C109" s="225"/>
      <c r="D109" s="246"/>
      <c r="E109">
        <v>7.8</v>
      </c>
      <c r="F109">
        <v>3.4</v>
      </c>
      <c r="G109">
        <v>3.6</v>
      </c>
      <c r="H109" s="4">
        <v>2.9</v>
      </c>
      <c r="I109" s="4"/>
      <c r="J109" s="4"/>
    </row>
    <row r="110" spans="1:11" ht="14.25" x14ac:dyDescent="0.45">
      <c r="A110" s="212">
        <v>14</v>
      </c>
      <c r="B110" s="240" t="s">
        <v>781</v>
      </c>
      <c r="C110" s="225"/>
      <c r="D110" s="246"/>
      <c r="E110">
        <v>9.1</v>
      </c>
      <c r="F110">
        <v>1.3</v>
      </c>
      <c r="G110">
        <v>3.6</v>
      </c>
      <c r="H110" s="4">
        <v>2.9</v>
      </c>
      <c r="I110" s="4"/>
      <c r="J110" s="4"/>
    </row>
    <row r="111" spans="1:11" ht="14.25" x14ac:dyDescent="0.45">
      <c r="A111" s="212">
        <v>15</v>
      </c>
      <c r="B111" s="225" t="s">
        <v>782</v>
      </c>
      <c r="C111" s="225"/>
      <c r="D111" s="246"/>
      <c r="E111">
        <v>8.5</v>
      </c>
      <c r="F111">
        <v>6.7</v>
      </c>
      <c r="G111">
        <v>4.3</v>
      </c>
      <c r="H111" s="4">
        <v>1.8</v>
      </c>
      <c r="I111" s="4"/>
      <c r="J111" s="4"/>
    </row>
    <row r="112" spans="1:11" ht="14.25" x14ac:dyDescent="0.45">
      <c r="A112" s="212">
        <v>16</v>
      </c>
      <c r="B112" s="225" t="s">
        <v>783</v>
      </c>
      <c r="C112" s="225"/>
      <c r="D112" s="246"/>
      <c r="E112">
        <v>7.7</v>
      </c>
      <c r="F112">
        <v>2.2999999999999998</v>
      </c>
      <c r="G112">
        <v>1.7</v>
      </c>
      <c r="H112" s="4">
        <v>3.4</v>
      </c>
      <c r="I112" s="4"/>
      <c r="J112" s="4"/>
    </row>
    <row r="113" spans="1:11" ht="14.25" x14ac:dyDescent="0.45">
      <c r="A113" s="212">
        <v>17</v>
      </c>
      <c r="B113" s="225" t="s">
        <v>784</v>
      </c>
      <c r="C113" s="225"/>
      <c r="D113" s="246"/>
      <c r="E113">
        <v>0.4</v>
      </c>
      <c r="F113">
        <v>0.9</v>
      </c>
      <c r="G113">
        <v>2</v>
      </c>
      <c r="H113" s="4">
        <v>3.5</v>
      </c>
      <c r="I113" s="4"/>
      <c r="J113" s="4"/>
    </row>
    <row r="114" spans="1:11" ht="14.25" x14ac:dyDescent="0.45">
      <c r="A114" s="212">
        <v>18</v>
      </c>
      <c r="B114" s="225" t="s">
        <v>785</v>
      </c>
      <c r="C114" s="225"/>
      <c r="D114" s="246"/>
      <c r="E114">
        <v>-2.4</v>
      </c>
      <c r="F114">
        <v>-0.2</v>
      </c>
      <c r="G114">
        <v>1.2</v>
      </c>
      <c r="H114" s="4">
        <v>2</v>
      </c>
      <c r="I114" s="4"/>
      <c r="J114" s="4"/>
    </row>
    <row r="115" spans="1:11" x14ac:dyDescent="0.4">
      <c r="A115" s="212"/>
      <c r="B115" s="212" t="s">
        <v>786</v>
      </c>
      <c r="C115" s="212" t="s">
        <v>26</v>
      </c>
      <c r="D115" s="235" t="s">
        <v>787</v>
      </c>
      <c r="E115" s="272" t="str" cm="1">
        <f t="array" ref="E115:H115">IF(ISNUMBER(_xlfn.ANCHORARRAY(E$34)),"growth rate","")</f>
        <v>growth rate</v>
      </c>
      <c r="F115" s="272" t="str">
        <v>growth rate</v>
      </c>
      <c r="G115" s="272" t="str">
        <v>growth rate</v>
      </c>
      <c r="H115" s="272" t="str">
        <v>growth rate</v>
      </c>
      <c r="I115" s="272"/>
      <c r="J115" s="272"/>
      <c r="K115" s="272"/>
    </row>
    <row r="116" spans="1:11" x14ac:dyDescent="0.4">
      <c r="A116" s="212">
        <v>19</v>
      </c>
      <c r="B116" s="225" t="s">
        <v>788</v>
      </c>
      <c r="C116" s="225"/>
      <c r="D116" s="144">
        <v>884.2</v>
      </c>
      <c r="E116" s="3">
        <v>-0.2</v>
      </c>
      <c r="F116">
        <v>-0.8</v>
      </c>
      <c r="G116" s="3">
        <v>0.6</v>
      </c>
      <c r="H116" s="64">
        <v>0</v>
      </c>
      <c r="I116" s="64"/>
      <c r="J116" s="64"/>
    </row>
    <row r="117" spans="1:11" x14ac:dyDescent="0.4">
      <c r="A117" s="212">
        <v>20</v>
      </c>
      <c r="B117" s="225" t="s">
        <v>789</v>
      </c>
      <c r="C117" s="225"/>
      <c r="D117" s="144">
        <v>1832.8</v>
      </c>
      <c r="E117">
        <v>-1.7</v>
      </c>
      <c r="F117">
        <v>1.4</v>
      </c>
      <c r="G117">
        <v>-2</v>
      </c>
      <c r="H117" s="4">
        <v>0</v>
      </c>
      <c r="I117" s="4"/>
      <c r="J117" s="4"/>
    </row>
    <row r="118" spans="1:11" ht="14.25" x14ac:dyDescent="0.45">
      <c r="A118" s="212">
        <v>21</v>
      </c>
      <c r="B118" s="225" t="s">
        <v>790</v>
      </c>
      <c r="C118" s="225"/>
      <c r="D118" s="246"/>
      <c r="E118">
        <v>-0.7</v>
      </c>
      <c r="F118">
        <v>0.7</v>
      </c>
      <c r="G118">
        <v>1.5</v>
      </c>
      <c r="H118" s="4">
        <v>2.6</v>
      </c>
      <c r="I118" s="4"/>
      <c r="J118" s="4"/>
    </row>
    <row r="119" spans="1:11" ht="14.25" x14ac:dyDescent="0.45">
      <c r="A119" s="212">
        <v>22</v>
      </c>
      <c r="B119" s="225" t="s">
        <v>791</v>
      </c>
      <c r="C119" s="225"/>
      <c r="D119" s="246"/>
      <c r="E119">
        <v>1</v>
      </c>
      <c r="F119">
        <v>-0.7</v>
      </c>
      <c r="G119">
        <v>3.5</v>
      </c>
      <c r="H119" s="4">
        <v>2.6</v>
      </c>
      <c r="I119" s="4"/>
      <c r="J119" s="4"/>
    </row>
    <row r="120" spans="1:11" x14ac:dyDescent="0.4">
      <c r="A120" s="212">
        <v>23</v>
      </c>
      <c r="B120" s="225" t="s">
        <v>792</v>
      </c>
      <c r="C120" s="225" t="s">
        <v>5</v>
      </c>
      <c r="D120" s="144">
        <v>16</v>
      </c>
      <c r="E120">
        <v>9.6</v>
      </c>
      <c r="F120">
        <v>7.9</v>
      </c>
      <c r="G120">
        <v>6.5</v>
      </c>
      <c r="H120" s="4">
        <v>8.4</v>
      </c>
      <c r="I120" s="4"/>
      <c r="J120" s="4"/>
    </row>
    <row r="121" spans="1:11" x14ac:dyDescent="0.4">
      <c r="A121" s="212">
        <v>24</v>
      </c>
      <c r="B121" s="225" t="s">
        <v>793</v>
      </c>
      <c r="C121" s="225"/>
      <c r="D121">
        <v>18090.599999999999</v>
      </c>
      <c r="E121">
        <v>9.8000000000000007</v>
      </c>
      <c r="F121">
        <v>8.6999999999999993</v>
      </c>
      <c r="G121">
        <v>5.9</v>
      </c>
      <c r="H121" s="4">
        <v>8.4</v>
      </c>
      <c r="I121" s="4"/>
      <c r="J121" s="4"/>
    </row>
    <row r="122" spans="1:11" x14ac:dyDescent="0.4">
      <c r="A122" s="212"/>
      <c r="B122" s="212"/>
      <c r="C122" s="212"/>
      <c r="D122" s="235"/>
      <c r="E122" s="272" t="str" cm="1">
        <f t="array" ref="E122:H122">IF(ISNUMBER(_xlfn.ANCHORARRAY(E$34)),"%","")</f>
        <v>%</v>
      </c>
      <c r="F122" s="272" t="str">
        <v>%</v>
      </c>
      <c r="G122" s="272" t="str">
        <v>%</v>
      </c>
      <c r="H122" s="272" t="str">
        <v>%</v>
      </c>
      <c r="I122" s="272"/>
      <c r="J122" s="272"/>
      <c r="K122" s="272"/>
    </row>
    <row r="123" spans="1:11" ht="14.25" x14ac:dyDescent="0.45">
      <c r="A123" s="212">
        <v>25</v>
      </c>
      <c r="B123" s="225" t="s">
        <v>794</v>
      </c>
      <c r="C123" s="225"/>
      <c r="D123" s="246"/>
      <c r="E123">
        <v>6.5</v>
      </c>
      <c r="F123">
        <v>6.9</v>
      </c>
      <c r="G123">
        <v>6.9</v>
      </c>
      <c r="H123" s="4">
        <v>6.6</v>
      </c>
      <c r="I123" s="4"/>
      <c r="J123" s="4"/>
    </row>
    <row r="124" spans="1:11" x14ac:dyDescent="0.4">
      <c r="A124" s="212"/>
      <c r="B124" s="212" t="s">
        <v>795</v>
      </c>
      <c r="C124" s="212"/>
      <c r="D124" s="235"/>
      <c r="E124" s="272" t="str" cm="1">
        <f t="array" ref="E124:H124">IF(ISNUMBER(_xlfn.ANCHORARRAY(E$34)),"growth rate","")</f>
        <v>growth rate</v>
      </c>
      <c r="F124" s="272" t="str">
        <v>growth rate</v>
      </c>
      <c r="G124" s="272" t="str">
        <v>growth rate</v>
      </c>
      <c r="H124" s="272" t="str">
        <v>growth rate</v>
      </c>
      <c r="I124" s="272"/>
      <c r="J124" s="272"/>
      <c r="K124" s="272"/>
    </row>
    <row r="125" spans="1:11" ht="14.25" x14ac:dyDescent="0.45">
      <c r="A125" s="212">
        <v>26</v>
      </c>
      <c r="B125" s="225" t="s">
        <v>796</v>
      </c>
      <c r="C125" s="225"/>
      <c r="D125" s="246"/>
      <c r="E125">
        <v>1.7</v>
      </c>
      <c r="F125">
        <v>1.6</v>
      </c>
      <c r="G125">
        <v>1.8</v>
      </c>
      <c r="H125" s="4">
        <v>1.9</v>
      </c>
      <c r="I125" s="4"/>
      <c r="J125" s="4"/>
    </row>
    <row r="126" spans="1:11" x14ac:dyDescent="0.4">
      <c r="A126" s="212"/>
      <c r="B126" s="225" t="s">
        <v>797</v>
      </c>
      <c r="C126" s="225"/>
      <c r="D126" s="242"/>
      <c r="E126" s="242"/>
      <c r="F126" s="242"/>
      <c r="G126" s="242"/>
      <c r="H126" s="242"/>
      <c r="I126" s="242"/>
      <c r="J126" s="242"/>
    </row>
    <row r="127" spans="1:11" ht="14.25" x14ac:dyDescent="0.45">
      <c r="A127" s="212">
        <v>27</v>
      </c>
      <c r="B127" s="240" t="s">
        <v>798</v>
      </c>
      <c r="C127" s="225"/>
      <c r="D127" s="246"/>
      <c r="E127">
        <v>-0.1</v>
      </c>
      <c r="F127">
        <v>0.1</v>
      </c>
      <c r="G127">
        <v>-0.1</v>
      </c>
      <c r="H127" s="4">
        <v>-0.2</v>
      </c>
      <c r="I127" s="4"/>
      <c r="J127" s="4"/>
    </row>
    <row r="128" spans="1:11" ht="14.25" x14ac:dyDescent="0.45">
      <c r="A128" s="212">
        <v>28</v>
      </c>
      <c r="B128" s="240" t="s">
        <v>799</v>
      </c>
      <c r="C128" s="225"/>
      <c r="D128" s="246"/>
      <c r="E128">
        <v>0.7</v>
      </c>
      <c r="F128">
        <v>0.5</v>
      </c>
      <c r="G128">
        <v>0.8</v>
      </c>
      <c r="H128" s="4">
        <v>1.1000000000000001</v>
      </c>
      <c r="I128" s="4"/>
      <c r="J128" s="4"/>
    </row>
    <row r="129" spans="1:11" ht="14.25" x14ac:dyDescent="0.45">
      <c r="A129" s="212">
        <v>29</v>
      </c>
      <c r="B129" s="240" t="s">
        <v>800</v>
      </c>
      <c r="C129" s="225"/>
      <c r="D129" s="246"/>
      <c r="E129">
        <v>1</v>
      </c>
      <c r="F129">
        <v>1</v>
      </c>
      <c r="G129">
        <v>1</v>
      </c>
      <c r="H129" s="4">
        <v>1</v>
      </c>
      <c r="I129" s="4"/>
      <c r="J129" s="4"/>
    </row>
    <row r="130" spans="1:11" x14ac:dyDescent="0.4">
      <c r="A130" s="212"/>
      <c r="B130" s="212"/>
      <c r="C130" s="212"/>
      <c r="D130" s="235"/>
      <c r="E130" s="272" t="str" cm="1">
        <f t="array" ref="E130:H130">IF(ISNUMBER(_xlfn.ANCHORARRAY(E$34)),"% pot. GDP","")</f>
        <v>% pot. GDP</v>
      </c>
      <c r="F130" s="272" t="str">
        <v>% pot. GDP</v>
      </c>
      <c r="G130" s="272" t="str">
        <v>% pot. GDP</v>
      </c>
      <c r="H130" s="272" t="str">
        <v>% pot. GDP</v>
      </c>
      <c r="I130" s="272"/>
      <c r="J130" s="272"/>
      <c r="K130" s="272"/>
    </row>
    <row r="131" spans="1:11" ht="14.25" x14ac:dyDescent="0.45">
      <c r="A131" s="212">
        <v>30</v>
      </c>
      <c r="B131" s="225" t="s">
        <v>89</v>
      </c>
      <c r="C131" s="225"/>
      <c r="D131" s="246"/>
      <c r="E131">
        <v>-0.4</v>
      </c>
      <c r="F131">
        <v>-2</v>
      </c>
      <c r="G131">
        <v>-1.7</v>
      </c>
      <c r="H131" s="4">
        <v>-1</v>
      </c>
      <c r="I131" s="4"/>
      <c r="J131" s="4"/>
    </row>
  </sheetData>
  <conditionalFormatting sqref="D7:J7">
    <cfRule type="expression" dxfId="198" priority="47">
      <formula>ISNUMBER(D6)</formula>
    </cfRule>
  </conditionalFormatting>
  <conditionalFormatting sqref="D6:J6">
    <cfRule type="expression" dxfId="197" priority="46">
      <formula>ISNUMBER(D6)</formula>
    </cfRule>
  </conditionalFormatting>
  <conditionalFormatting sqref="D29:J29">
    <cfRule type="expression" dxfId="196" priority="45">
      <formula>ISNUMBER(D6)</formula>
    </cfRule>
  </conditionalFormatting>
  <conditionalFormatting sqref="E34:K35">
    <cfRule type="expression" dxfId="195" priority="39">
      <formula>ISNUMBER(E$34)</formula>
    </cfRule>
  </conditionalFormatting>
  <conditionalFormatting sqref="E47:K47">
    <cfRule type="expression" dxfId="194" priority="38">
      <formula>ISNUMBER(E$34)</formula>
    </cfRule>
  </conditionalFormatting>
  <conditionalFormatting sqref="E66:K66">
    <cfRule type="expression" dxfId="193" priority="37">
      <formula>ISNUMBER(E$34)</formula>
    </cfRule>
  </conditionalFormatting>
  <conditionalFormatting sqref="E68:K68">
    <cfRule type="expression" dxfId="192" priority="36">
      <formula>ISNUMBER(E$34)</formula>
    </cfRule>
  </conditionalFormatting>
  <conditionalFormatting sqref="E71:K71">
    <cfRule type="expression" dxfId="191" priority="35">
      <formula>ISNUMBER(E$34)</formula>
    </cfRule>
  </conditionalFormatting>
  <conditionalFormatting sqref="E74:K74">
    <cfRule type="expression" dxfId="190" priority="34">
      <formula>ISNUMBER(E$34)</formula>
    </cfRule>
  </conditionalFormatting>
  <conditionalFormatting sqref="E84:K84">
    <cfRule type="expression" dxfId="189" priority="33">
      <formula>ISNUMBER(E$34)</formula>
    </cfRule>
  </conditionalFormatting>
  <conditionalFormatting sqref="E86:K86">
    <cfRule type="expression" dxfId="188" priority="32">
      <formula>ISNUMBER(E$34)</formula>
    </cfRule>
  </conditionalFormatting>
  <conditionalFormatting sqref="E92:K93">
    <cfRule type="expression" dxfId="187" priority="31">
      <formula>ISNUMBER(E$34)</formula>
    </cfRule>
  </conditionalFormatting>
  <conditionalFormatting sqref="E97:K97">
    <cfRule type="expression" dxfId="186" priority="30">
      <formula>ISNUMBER(E$34)</formula>
    </cfRule>
  </conditionalFormatting>
  <conditionalFormatting sqref="E108:K108">
    <cfRule type="expression" dxfId="185" priority="29">
      <formula>ISNUMBER(E$34)</formula>
    </cfRule>
  </conditionalFormatting>
  <conditionalFormatting sqref="E115:K115">
    <cfRule type="expression" dxfId="184" priority="28">
      <formula>ISNUMBER(E$34)</formula>
    </cfRule>
  </conditionalFormatting>
  <conditionalFormatting sqref="E122:K122">
    <cfRule type="expression" dxfId="183" priority="27">
      <formula>ISNUMBER(E$34)</formula>
    </cfRule>
  </conditionalFormatting>
  <conditionalFormatting sqref="E124:K124">
    <cfRule type="expression" dxfId="182" priority="26">
      <formula>ISNUMBER(E$34)</formula>
    </cfRule>
  </conditionalFormatting>
  <conditionalFormatting sqref="E130:K130">
    <cfRule type="expression" dxfId="181" priority="25">
      <formula>ISNUMBER(E$34)</formula>
    </cfRule>
  </conditionalFormatting>
  <conditionalFormatting sqref="D42:K42">
    <cfRule type="expression" dxfId="180" priority="23">
      <formula>NOT(ISNUMBER(D$34))</formula>
    </cfRule>
    <cfRule type="expression" dxfId="179" priority="24">
      <formula>ISNUMBER(D$34)</formula>
    </cfRule>
  </conditionalFormatting>
  <conditionalFormatting sqref="D44:K44">
    <cfRule type="expression" dxfId="178" priority="21">
      <formula>NOT(ISNUMBER(D$34))</formula>
    </cfRule>
    <cfRule type="expression" dxfId="177" priority="22">
      <formula>ISNUMBER(D$34)</formula>
    </cfRule>
  </conditionalFormatting>
  <conditionalFormatting sqref="D59:K59">
    <cfRule type="expression" dxfId="176" priority="19">
      <formula>NOT(ISNUMBER(D$34))</formula>
    </cfRule>
    <cfRule type="expression" dxfId="175" priority="20">
      <formula>ISNUMBER(D$34)</formula>
    </cfRule>
  </conditionalFormatting>
  <conditionalFormatting sqref="D61:K61">
    <cfRule type="expression" dxfId="174" priority="17">
      <formula>NOT(ISNUMBER(D$34))</formula>
    </cfRule>
    <cfRule type="expression" dxfId="173" priority="18">
      <formula>ISNUMBER(D$34)</formula>
    </cfRule>
  </conditionalFormatting>
  <conditionalFormatting sqref="D65:K65">
    <cfRule type="expression" dxfId="172" priority="15">
      <formula>NOT(ISNUMBER(D$34))</formula>
    </cfRule>
    <cfRule type="expression" dxfId="171" priority="16">
      <formula>ISNUMBER(D$34)</formula>
    </cfRule>
  </conditionalFormatting>
  <conditionalFormatting sqref="D77:K77">
    <cfRule type="expression" dxfId="170" priority="13">
      <formula>NOT(ISNUMBER(D$34))</formula>
    </cfRule>
    <cfRule type="expression" dxfId="169" priority="14">
      <formula>ISNUMBER(D$34)</formula>
    </cfRule>
  </conditionalFormatting>
  <conditionalFormatting sqref="D104:K104">
    <cfRule type="expression" dxfId="168" priority="11">
      <formula>NOT(ISNUMBER(D$34))</formula>
    </cfRule>
    <cfRule type="expression" dxfId="167" priority="12">
      <formula>ISNUMBER(D$34)</formula>
    </cfRule>
  </conditionalFormatting>
  <conditionalFormatting sqref="D126:K126">
    <cfRule type="expression" dxfId="166" priority="9">
      <formula>NOT(ISNUMBER(D$34))</formula>
    </cfRule>
    <cfRule type="expression" dxfId="165" priority="10">
      <formula>ISNUMBER(D$34)</formula>
    </cfRule>
  </conditionalFormatting>
  <conditionalFormatting sqref="D62:K62">
    <cfRule type="expression" dxfId="164" priority="8">
      <formula>NOT(ISNUMBER(D$34))</formula>
    </cfRule>
  </conditionalFormatting>
  <conditionalFormatting sqref="D69:K70">
    <cfRule type="expression" dxfId="163" priority="7">
      <formula>NOT(ISNUMBER(D$34))</formula>
    </cfRule>
  </conditionalFormatting>
  <conditionalFormatting sqref="D78:K78">
    <cfRule type="expression" dxfId="162" priority="6">
      <formula>NOT(ISNUMBER(D$34))</formula>
    </cfRule>
  </conditionalFormatting>
  <conditionalFormatting sqref="D83:J83">
    <cfRule type="expression" dxfId="161" priority="5">
      <formula>NOT(ISNUMBER(D$34))</formula>
    </cfRule>
  </conditionalFormatting>
  <conditionalFormatting sqref="D80:J80">
    <cfRule type="expression" dxfId="160" priority="4">
      <formula>NOT(ISNUMBER(D$34))</formula>
    </cfRule>
  </conditionalFormatting>
  <conditionalFormatting sqref="E101:K101">
    <cfRule type="expression" dxfId="159" priority="3">
      <formula>ISNUMBER(E$34)</formula>
    </cfRule>
  </conditionalFormatting>
  <conditionalFormatting sqref="E34:H131">
    <cfRule type="expression" dxfId="158" priority="1">
      <formula>NOT(ISNUMBER(E$34))</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BB77"/>
  <sheetViews>
    <sheetView showGridLines="0" zoomScaleNormal="100" zoomScalePageLayoutView="55" workbookViewId="0"/>
  </sheetViews>
  <sheetFormatPr defaultColWidth="9" defaultRowHeight="14.25" x14ac:dyDescent="0.45"/>
  <cols>
    <col min="1" max="1" width="7.42578125" style="22" customWidth="1"/>
    <col min="2" max="2" width="67.35546875" style="22" customWidth="1"/>
    <col min="3" max="3" width="7.35546875" style="22" customWidth="1"/>
    <col min="4" max="26" width="10.640625" style="22" customWidth="1"/>
    <col min="27" max="16384" width="9" style="22"/>
  </cols>
  <sheetData>
    <row r="1" spans="1:54" ht="48.75" customHeight="1" x14ac:dyDescent="1">
      <c r="A1" s="20"/>
      <c r="B1" s="77" t="str">
        <f>Country&amp;"'s adherence to Regulation (EU) 2024/1263 and associated guidance"</f>
        <v>Latvia's adherence to Regulation (EU) 2024/1263 and associated guidance</v>
      </c>
      <c r="D1" s="34"/>
      <c r="E1" s="34"/>
      <c r="F1" s="113"/>
      <c r="G1" s="34"/>
      <c r="H1"/>
      <c r="I1"/>
      <c r="J1"/>
      <c r="K1"/>
      <c r="L1"/>
      <c r="M1"/>
      <c r="N1"/>
      <c r="O1"/>
      <c r="P1"/>
      <c r="Q1"/>
      <c r="R1"/>
      <c r="S1"/>
    </row>
    <row r="2" spans="1:54" ht="18" x14ac:dyDescent="0.55000000000000004">
      <c r="A2" s="25"/>
      <c r="M2" s="23"/>
      <c r="N2" s="23"/>
      <c r="O2" s="23"/>
      <c r="P2" s="21"/>
      <c r="Q2" s="21"/>
      <c r="R2" s="21"/>
      <c r="S2" s="21"/>
    </row>
    <row r="3" spans="1:54" customFormat="1" ht="23.25" x14ac:dyDescent="0.45">
      <c r="B3" s="57" t="str">
        <f>IF(AssessmentRound="Implementation of an endorsed MTP","Assessing the implementation of the endorsed Medium-Term Plan","The below is not applicable as the parameters are set to assess a new or revised MTP; Please refer to the Step 5 (MTP) - View results worksheet")</f>
        <v>Assessing the implementation of the endorsed Medium-Term Plan</v>
      </c>
      <c r="C3" s="22"/>
      <c r="D3" s="22"/>
      <c r="E3" s="22"/>
      <c r="F3" s="22"/>
      <c r="G3" s="22"/>
      <c r="H3" s="22"/>
      <c r="I3" s="22"/>
      <c r="J3" s="22"/>
      <c r="K3" s="22"/>
      <c r="L3" s="22"/>
      <c r="O3" s="22"/>
      <c r="P3" s="22"/>
      <c r="T3" s="22"/>
      <c r="U3" s="22"/>
      <c r="V3" s="22"/>
      <c r="W3" s="22"/>
      <c r="X3" s="22"/>
      <c r="Y3" s="22"/>
      <c r="Z3" s="22"/>
      <c r="AA3" s="22"/>
      <c r="AB3" s="22"/>
      <c r="AC3" s="22"/>
      <c r="AD3" s="22"/>
      <c r="AE3" s="22"/>
      <c r="AF3" s="22"/>
      <c r="AG3" s="22"/>
      <c r="AH3" s="22"/>
      <c r="AI3" s="22"/>
      <c r="AJ3" s="22"/>
      <c r="AK3" s="22"/>
      <c r="AL3" s="22"/>
      <c r="AU3" s="72"/>
      <c r="AV3" s="24"/>
    </row>
    <row r="4" spans="1:54" x14ac:dyDescent="0.45">
      <c r="A4" s="20"/>
      <c r="B4" s="174" t="str">
        <f>CHAR(149)&amp;" This checks whether "&amp;Country&amp;" is adhering to its Council-endorsed medium-term structural-fiscal plan."</f>
        <v>• This checks whether Latvia is adhering to its Council-endorsed medium-term structural-fiscal plan.</v>
      </c>
      <c r="M4" s="26"/>
      <c r="N4" s="26"/>
      <c r="Q4" s="28"/>
      <c r="R4" s="28"/>
      <c r="AU4" s="173"/>
      <c r="AV4" s="25"/>
    </row>
    <row r="5" spans="1:54" customFormat="1" x14ac:dyDescent="0.45">
      <c r="B5" s="134" t="str">
        <f>CHAR(149)&amp;" "&amp;MTP_Requirement</f>
        <v>• Latvia does not receive a reference trajectory but its MTP must contain a net expenditure path that complies with TFEU general government debt and deficit sustainability requirements.</v>
      </c>
      <c r="C5" s="31"/>
      <c r="D5" s="31"/>
      <c r="E5" s="31"/>
      <c r="F5" s="31"/>
      <c r="G5" s="31"/>
      <c r="H5" s="31"/>
      <c r="I5" s="31"/>
      <c r="J5" s="31"/>
      <c r="K5" s="22"/>
      <c r="L5" s="22"/>
      <c r="O5" s="22"/>
      <c r="P5" s="22"/>
      <c r="T5" s="22"/>
      <c r="U5" s="22"/>
      <c r="V5" s="22"/>
      <c r="W5" s="22"/>
      <c r="X5" s="22"/>
      <c r="Y5" s="22"/>
      <c r="Z5" s="22"/>
      <c r="AA5" s="22"/>
      <c r="AB5" s="22"/>
      <c r="AC5" s="22"/>
      <c r="AD5" s="22"/>
      <c r="AE5" s="22"/>
      <c r="AF5" s="22"/>
      <c r="AG5" s="22"/>
      <c r="AH5" s="22"/>
      <c r="AI5" s="22"/>
      <c r="AJ5" s="22"/>
      <c r="AK5" s="22"/>
      <c r="AL5" s="22"/>
      <c r="AU5" s="72"/>
      <c r="AV5" s="22"/>
    </row>
    <row r="6" spans="1:54" x14ac:dyDescent="0.45">
      <c r="A6" s="20"/>
      <c r="B6" s="134" t="str">
        <f>CHAR(149)&amp;" "&amp;IF(MTP_Council_Endorsed,"The net expenditure path in "&amp;Country&amp;"'s latest MTP was endorsed by the Council.","The net expenditure path in "&amp;Country&amp;"'s latest MTP is awaiting endorsement by the Council.")</f>
        <v>• The net expenditure path in Latvia's latest MTP was endorsed by the Council.</v>
      </c>
      <c r="C6" s="31"/>
      <c r="D6" s="31"/>
      <c r="E6" s="31"/>
      <c r="F6" s="31"/>
      <c r="G6" s="31"/>
      <c r="H6" s="31"/>
      <c r="I6" s="31"/>
      <c r="J6" s="31"/>
      <c r="M6" s="26"/>
      <c r="N6" s="26"/>
      <c r="Q6" s="26"/>
      <c r="R6" s="26"/>
      <c r="S6" s="21"/>
      <c r="AU6" s="173"/>
      <c r="AV6" s="20"/>
    </row>
    <row r="7" spans="1:54" x14ac:dyDescent="0.45">
      <c r="A7" s="21"/>
      <c r="B7" s="175"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7" s="158"/>
      <c r="AV7" s="157"/>
    </row>
    <row r="8" spans="1:54" x14ac:dyDescent="0.45">
      <c r="A8" s="21"/>
    </row>
    <row r="9" spans="1:54" ht="15.75" x14ac:dyDescent="0.5">
      <c r="A9" s="111"/>
      <c r="B9" s="114" t="s">
        <v>18</v>
      </c>
      <c r="C9" s="251" t="s">
        <v>17</v>
      </c>
      <c r="D9" s="114"/>
      <c r="E9" s="115" t="s">
        <v>464</v>
      </c>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row>
    <row r="10" spans="1:54" ht="19.149999999999999" customHeight="1" x14ac:dyDescent="0.7">
      <c r="A10" s="112" t="s">
        <v>392</v>
      </c>
      <c r="B10" s="78" t="s">
        <v>476</v>
      </c>
      <c r="C10" s="75" t="str">
        <f t="shared" ref="C10:C11" si="0">IF(D10="At risk","⚠",IF(D10="Compliant","☑",IF(D10="Breach","⮽","☐")))</f>
        <v>☑</v>
      </c>
      <c r="D10" s="78" t="str">
        <f>Assessment!C99</f>
        <v>Compliant</v>
      </c>
      <c r="E10" s="22" t="str">
        <f>IF(AssessmentRound="New or revised MTP",NA(),Assessment!C101)</f>
        <v>Latvia's observed net expenditure to 2025 adheres to the net expenditure path in its latest Council-endorsed MTP, but planned net expenditure to 2026 does not. Deviations occur only in years covered by a country-specific escape clause related to defence spending. The augmented control account assessment is currently "Compliant".</v>
      </c>
      <c r="AU10" s="163"/>
      <c r="AV10" s="163"/>
      <c r="AW10" s="163"/>
      <c r="AX10" s="163"/>
      <c r="AY10" s="163"/>
      <c r="AZ10" s="163"/>
      <c r="BA10" s="163"/>
      <c r="BB10" s="163"/>
    </row>
    <row r="11" spans="1:54" ht="19.149999999999999" customHeight="1" x14ac:dyDescent="0.7">
      <c r="A11" s="112" t="s">
        <v>393</v>
      </c>
      <c r="B11" s="78" t="s">
        <v>482</v>
      </c>
      <c r="C11" s="75" t="str">
        <f t="shared" si="0"/>
        <v>☑</v>
      </c>
      <c r="D11" s="78" t="str">
        <f>Assessment!C159</f>
        <v>Compliant</v>
      </c>
      <c r="E11" s="22" t="str">
        <f>IF(AssessmentRound="New or revised MTP",NA(),Assessment!C161)</f>
        <v>At the end of the assessment period (2026), the balance in Latvia's cumulative control account is a credit (underspend) of 1.8 percentage points of GDP. Observed annual and cumulative deviations do not exceed the respective 0.3 and 0.6 percentage points of GDP limits.</v>
      </c>
    </row>
    <row r="12" spans="1:54" ht="19.149999999999999" customHeight="1" x14ac:dyDescent="0.7">
      <c r="A12" s="112" t="s">
        <v>137</v>
      </c>
      <c r="B12" s="78" t="s">
        <v>593</v>
      </c>
      <c r="C12" s="75" t="str">
        <f>IF(D12="At risk","⚠",IF(D12="Compliant","☑",IF(D12="Breach","⮽","☐")))</f>
        <v>☐</v>
      </c>
      <c r="D12" s="78" t="str">
        <f>IF(AssessmentRound="New or revised MTP", "N/A", IF(
  OR(
    NOT(Receives_reference_trajectory),
    NOT(OR(Assessment!C164, Assessment!C165))
  ),
  "N/A",
  IF(
    OR(
      IF(Assessment!C164, NOT(Assessment!C166), FALSE),
      IF(Assessment!C165, NOT(Assessment!C167), FALSE)
    ),
    "At risk",
    "Compliant"
  )
))</f>
        <v>N/A</v>
      </c>
      <c r="E12" s="22" t="str">
        <f>IF(AssessmentRound="New or revised MTP",NA(),Assessment!C169)</f>
        <v>Latvia does not receive a reference trajectory and is not assessed against the debt sustainability safeguard.</v>
      </c>
    </row>
    <row r="13" spans="1:54" ht="19.149999999999999" customHeight="1" x14ac:dyDescent="0.7">
      <c r="A13" s="112" t="s">
        <v>463</v>
      </c>
      <c r="B13" s="78" t="s">
        <v>594</v>
      </c>
      <c r="C13" s="75" t="str">
        <f t="shared" ref="C13" si="1">IF(D13="At risk","⚠",IF(D13="Compliant","☑",IF(D13="Breach","⮽","☐")))</f>
        <v>☐</v>
      </c>
      <c r="D13" s="78" t="str">
        <f>IF(AssessmentRound="New or revised MTP","N/A",IF(
  NOT(Receives_reference_trajectory),
  "N/A",
  IF(
    ISNA(Assessment!C179),
    "N/A",
    IF(Assessment!C179,"Compliant","At risk")
  )
))</f>
        <v>N/A</v>
      </c>
      <c r="E13" s="22" t="str">
        <f>IF(AssessmentRound="New or revised MTP",NA(),Assessment!C181)</f>
        <v>Latvia does not receive a reference trajectory and is not assessed against the deficit resilience safeguard.</v>
      </c>
    </row>
    <row r="14" spans="1:54" ht="19.149999999999999" customHeight="1" x14ac:dyDescent="0.7">
      <c r="A14" s="112" t="s">
        <v>503</v>
      </c>
      <c r="B14" s="78" t="s">
        <v>597</v>
      </c>
      <c r="C14" s="75" t="str">
        <f>IF(D14="At risk","⚠",IF(D14="Compliant","☑",IF(D14="Breach","⮽","☐")))</f>
        <v>☑</v>
      </c>
      <c r="D14" s="78" t="str">
        <f>IF(AssessmentRound="New or revised MTP","N/A",IF(Assessment!C190,"Compliant",IF(EscapeClauseActivated,"At risk","Breach")))</f>
        <v>Compliant</v>
      </c>
      <c r="E14" s="22" t="str">
        <f>IF(AssessmentRound="New or revised MTP",NA(),Assessment!C192)</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row>
    <row r="15" spans="1:54" customFormat="1" ht="19.149999999999999" customHeight="1" thickBot="1" x14ac:dyDescent="0.75">
      <c r="A15" s="112"/>
      <c r="B15" s="73" t="s">
        <v>477</v>
      </c>
      <c r="C15" s="74" t="str">
        <f>IF(D15="At risk","⚠",IF(D15="Compliant","☑",IF(D15="Breach","⮽","☐")))</f>
        <v>☑</v>
      </c>
      <c r="D15" s="139" t="str">
        <f>IF(AssessmentRound="New or revised MTP","N/A",IF(COUNTIF(D10:D11,"Breach")=0,"Compliant","Breach"))</f>
        <v>Compliant</v>
      </c>
      <c r="E15" s="73" t="str">
        <f>IF(AssessmentRound="New or revised MTP",NA(),IF(
  D15="Compliant",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Latvia's implementation of the medium-term fiscal-structural plan is compliant with the requirements of Regulation (EU) 2024/1263.</v>
      </c>
      <c r="F15" s="73"/>
      <c r="G15" s="73"/>
      <c r="H15" s="73"/>
      <c r="I15" s="73"/>
      <c r="J15" s="73"/>
      <c r="K15" s="73"/>
      <c r="L15" s="73"/>
      <c r="M15" s="73"/>
      <c r="N15" s="73"/>
      <c r="O15" s="73"/>
      <c r="P15" s="73"/>
      <c r="Q15" s="73"/>
      <c r="R15" s="73"/>
      <c r="S15" s="73"/>
      <c r="T15" s="73"/>
      <c r="U15" s="73"/>
      <c r="V15" s="73"/>
      <c r="W15" s="73"/>
      <c r="X15" s="73"/>
      <c r="Y15" s="73"/>
      <c r="Z15" s="73"/>
      <c r="AA15" s="73"/>
      <c r="AB15" s="73"/>
      <c r="AC15" s="73"/>
      <c r="AD15" s="73"/>
      <c r="AE15" s="73"/>
      <c r="AF15" s="73"/>
      <c r="AG15" s="73"/>
      <c r="AH15" s="73"/>
      <c r="AI15" s="73"/>
      <c r="AJ15" s="73"/>
      <c r="AK15" s="73"/>
      <c r="AL15" s="73"/>
      <c r="AM15" s="73"/>
      <c r="AN15" s="73"/>
      <c r="AO15" s="73"/>
      <c r="AP15" s="73"/>
      <c r="AQ15" s="73"/>
      <c r="AR15" s="73"/>
      <c r="AS15" s="73"/>
      <c r="AT15" s="73"/>
      <c r="AU15" s="73"/>
      <c r="AV15" s="73"/>
      <c r="AW15" s="73"/>
      <c r="AX15" s="73"/>
      <c r="AY15" s="73"/>
      <c r="AZ15" s="73"/>
      <c r="BA15" s="73"/>
      <c r="BB15" s="73"/>
    </row>
    <row r="16" spans="1:54" customFormat="1" ht="19.149999999999999" customHeight="1" thickTop="1" x14ac:dyDescent="0.4"/>
    <row r="17" spans="1:21" customFormat="1" ht="23.25" x14ac:dyDescent="0.7">
      <c r="B17" s="118" t="s">
        <v>926</v>
      </c>
      <c r="C17" s="22"/>
      <c r="D17" s="22"/>
      <c r="E17" s="22"/>
      <c r="F17" s="22"/>
      <c r="G17" s="22"/>
      <c r="H17" s="22"/>
      <c r="I17" s="22"/>
      <c r="J17" s="22"/>
      <c r="K17" s="22"/>
      <c r="L17" s="22"/>
      <c r="M17" s="22"/>
      <c r="N17" s="22"/>
      <c r="O17" s="22"/>
      <c r="P17" s="22"/>
      <c r="Q17" s="22"/>
      <c r="R17" s="22"/>
      <c r="S17" s="22"/>
      <c r="T17" s="22"/>
      <c r="U17" s="22"/>
    </row>
    <row r="18" spans="1:21" customFormat="1" x14ac:dyDescent="0.45">
      <c r="A18" s="3"/>
      <c r="B18" s="66"/>
      <c r="C18" s="66"/>
      <c r="D18" s="30" t="str" cm="1">
        <f t="array" ref="D18:G18">IF(AssessmentRound="New or revised MTP", "", IF(_xlfn.ANCHORARRAY(D21)&lt;=AdjustmentPeriodEnd, IF(_xlfn.ANCHORARRAY(D21)&lt;=OutturnThrough, "Observed", "Planned"), ""))</f>
        <v>Observed</v>
      </c>
      <c r="E18" s="30" t="str">
        <v>Observed</v>
      </c>
      <c r="F18" s="30" t="str">
        <v>Observed</v>
      </c>
      <c r="G18" s="30" t="str">
        <v>Planned</v>
      </c>
      <c r="H18" s="30"/>
      <c r="I18" s="30"/>
      <c r="J18" s="22"/>
      <c r="P18" s="22"/>
      <c r="Q18" s="22"/>
      <c r="R18" s="22"/>
      <c r="S18" s="22"/>
      <c r="T18" s="22"/>
      <c r="U18" s="22"/>
    </row>
    <row r="19" spans="1:21" customFormat="1" ht="14.85" customHeight="1" x14ac:dyDescent="0.45">
      <c r="A19" s="3"/>
      <c r="B19" s="66" t="s">
        <v>495</v>
      </c>
      <c r="C19" s="66"/>
      <c r="D19" s="96" t="str" cm="1">
        <f t="array" aca="1" ref="D19:G19" ca="1">IF(AssessmentRound="New or revised MTP", "", IF(AssessmentRound="Revised MTP","",_xlfn.HSTACK("",IF(OFFSET(Assessment!$F$145,0,0,1,COLUMNS(_xlfn.ANCHORARRAY(D21))-1),"Yes","No"))))</f>
        <v/>
      </c>
      <c r="E19" s="96" t="str">
        <f ca="1"/>
        <v>Yes</v>
      </c>
      <c r="F19" s="96" t="str">
        <f ca="1"/>
        <v>Yes</v>
      </c>
      <c r="G19" s="96" t="str">
        <f ca="1"/>
        <v>Yes</v>
      </c>
      <c r="H19" s="96"/>
      <c r="I19" s="96"/>
      <c r="J19" s="22"/>
    </row>
    <row r="20" spans="1:21" customFormat="1" ht="14.85" customHeight="1" x14ac:dyDescent="0.45">
      <c r="A20" s="3"/>
      <c r="B20" s="66" t="s">
        <v>274</v>
      </c>
      <c r="C20" s="66"/>
      <c r="D20" s="30" t="str" cm="1">
        <f t="array" ref="D20:G20">IF((_xlfn.ANCHORARRAY(D21)&gt;=MTP_YearT-1)*(_xlfn.ANCHORARRAY(D21)&lt;=AdjustmentPeriodEnd), IF(_xlfn.ANCHORARRAY(D21)=MTP_YearT-1, "T-1", IF(_xlfn.ANCHORARRAY(D21)=MTP_YearT, "T", "T+"&amp;(_xlfn.ANCHORARRAY(D21)-MTP_YearT))), "")</f>
        <v>T-1</v>
      </c>
      <c r="E20" s="30" t="str">
        <v>T</v>
      </c>
      <c r="F20" s="30" t="str">
        <v>T+1</v>
      </c>
      <c r="G20" s="30" t="str">
        <v>T+2</v>
      </c>
      <c r="H20" s="30"/>
      <c r="I20" s="30"/>
      <c r="J20" s="22"/>
    </row>
    <row r="21" spans="1:21" customFormat="1" ht="14.85" customHeight="1" x14ac:dyDescent="0.45">
      <c r="A21" s="3"/>
      <c r="B21" s="66" t="s">
        <v>251</v>
      </c>
      <c r="C21" s="66"/>
      <c r="D21" s="29" cm="1">
        <f t="array" ref="D21:G21">_xlfn.SEQUENCE(1, AssessmentEnd-MTP_BaseYear+1, MTP_BaseYear)</f>
        <v>2023</v>
      </c>
      <c r="E21" s="29">
        <v>2024</v>
      </c>
      <c r="F21" s="29">
        <v>2025</v>
      </c>
      <c r="G21" s="29">
        <v>2026</v>
      </c>
      <c r="H21" s="22"/>
      <c r="I21" s="22"/>
      <c r="J21" s="22"/>
    </row>
    <row r="22" spans="1:21" customFormat="1" ht="19.05" customHeight="1" x14ac:dyDescent="0.4">
      <c r="A22" s="3"/>
      <c r="B22" s="260" t="s">
        <v>624</v>
      </c>
    </row>
    <row r="23" spans="1:21" customFormat="1" ht="14.85" customHeight="1" x14ac:dyDescent="0.4">
      <c r="A23" s="3">
        <v>1</v>
      </c>
      <c r="B23" t="s">
        <v>257</v>
      </c>
      <c r="C23" t="s">
        <v>6</v>
      </c>
      <c r="D23" s="4">
        <f>Assessment!D108</f>
        <v>17.182600000000001</v>
      </c>
      <c r="E23" s="4">
        <f>Assessment!E108</f>
        <v>18.413499999999999</v>
      </c>
      <c r="F23" s="4">
        <f>Assessment!F108</f>
        <v>19.8324</v>
      </c>
      <c r="G23" s="4">
        <f>Assessment!G108</f>
        <v>20.588509988199995</v>
      </c>
      <c r="H23" t="str">
        <f>Assessment!H108</f>
        <v/>
      </c>
      <c r="I23" t="str">
        <f>Assessment!I108</f>
        <v/>
      </c>
      <c r="J23" t="str">
        <f>Assessment!J108</f>
        <v/>
      </c>
    </row>
    <row r="24" spans="1:21" customFormat="1" ht="14.85" customHeight="1" x14ac:dyDescent="0.4">
      <c r="A24" s="3">
        <v>2</v>
      </c>
      <c r="B24" t="s">
        <v>25</v>
      </c>
      <c r="C24" t="s">
        <v>6</v>
      </c>
      <c r="D24" s="4">
        <f>Assessment!D109</f>
        <v>0.28689999999999999</v>
      </c>
      <c r="E24" s="4">
        <f>Assessment!E109</f>
        <v>0.44330000000000003</v>
      </c>
      <c r="F24" s="4">
        <f>Assessment!F109</f>
        <v>0.4758</v>
      </c>
      <c r="G24" s="4">
        <f>Assessment!G109</f>
        <v>0.59346037659999995</v>
      </c>
      <c r="H24" t="str">
        <f>Assessment!H109</f>
        <v/>
      </c>
      <c r="I24" t="str">
        <f>Assessment!I109</f>
        <v/>
      </c>
      <c r="J24" t="str">
        <f>Assessment!J109</f>
        <v/>
      </c>
    </row>
    <row r="25" spans="1:21" customFormat="1" ht="14.85" customHeight="1" x14ac:dyDescent="0.4">
      <c r="A25" s="3">
        <v>3</v>
      </c>
      <c r="B25" t="s">
        <v>276</v>
      </c>
      <c r="C25" t="s">
        <v>6</v>
      </c>
      <c r="D25" s="4">
        <f>Assessment!D110</f>
        <v>-2.3600000000000001E-3</v>
      </c>
      <c r="E25" s="4">
        <f>Assessment!E110</f>
        <v>3.14E-3</v>
      </c>
      <c r="F25" s="4">
        <f>Assessment!F110</f>
        <v>6.7000000000000002E-3</v>
      </c>
      <c r="G25" s="4">
        <f>Assessment!G110</f>
        <v>9.130159639999998E-3</v>
      </c>
      <c r="H25" t="str">
        <f>Assessment!H110</f>
        <v/>
      </c>
      <c r="I25" t="str">
        <f>Assessment!I110</f>
        <v/>
      </c>
      <c r="J25" t="str">
        <f>Assessment!J110</f>
        <v/>
      </c>
    </row>
    <row r="26" spans="1:21" customFormat="1" ht="14.85" customHeight="1" x14ac:dyDescent="0.4">
      <c r="A26" s="3">
        <v>4</v>
      </c>
      <c r="B26" t="s">
        <v>625</v>
      </c>
      <c r="C26" t="s">
        <v>6</v>
      </c>
      <c r="D26" s="4">
        <f>Assessment!D111</f>
        <v>0.8</v>
      </c>
      <c r="E26" s="4">
        <f>Assessment!E111</f>
        <v>0.8</v>
      </c>
      <c r="F26" s="4">
        <f>Assessment!F111</f>
        <v>0.8</v>
      </c>
      <c r="G26" s="4">
        <f>Assessment!G111</f>
        <v>0.91301596399999985</v>
      </c>
      <c r="H26" t="str">
        <f>Assessment!H111</f>
        <v/>
      </c>
      <c r="I26" t="str">
        <f>Assessment!I111</f>
        <v/>
      </c>
      <c r="J26" t="str">
        <f>Assessment!J111</f>
        <v/>
      </c>
    </row>
    <row r="27" spans="1:21" customFormat="1" ht="14.85" customHeight="1" x14ac:dyDescent="0.4">
      <c r="A27" s="3">
        <v>5</v>
      </c>
      <c r="B27" t="s">
        <v>278</v>
      </c>
      <c r="C27" t="s">
        <v>6</v>
      </c>
      <c r="D27" s="4">
        <f>Assessment!D112</f>
        <v>0.15825</v>
      </c>
      <c r="E27" s="4">
        <f>Assessment!E112</f>
        <v>0.13764999999999999</v>
      </c>
      <c r="F27" s="4">
        <f>Assessment!F112</f>
        <v>0.19919999999999999</v>
      </c>
      <c r="G27" s="4">
        <f>Assessment!G112</f>
        <v>0.22825399099999996</v>
      </c>
      <c r="H27" t="str">
        <f>Assessment!H112</f>
        <v/>
      </c>
      <c r="I27" t="str">
        <f>Assessment!I112</f>
        <v/>
      </c>
      <c r="J27" t="str">
        <f>Assessment!J112</f>
        <v/>
      </c>
    </row>
    <row r="28" spans="1:21" customFormat="1" ht="14.65" customHeight="1" x14ac:dyDescent="0.4">
      <c r="A28" s="3">
        <v>6</v>
      </c>
      <c r="B28" t="s">
        <v>626</v>
      </c>
      <c r="C28" t="s">
        <v>6</v>
      </c>
      <c r="D28" s="4">
        <f>Assessment!D113</f>
        <v>0</v>
      </c>
      <c r="E28" s="4">
        <f>Assessment!E113</f>
        <v>0</v>
      </c>
      <c r="F28" s="4">
        <f>Assessment!F113</f>
        <v>0</v>
      </c>
      <c r="G28" s="4">
        <f>Assessment!G113</f>
        <v>0</v>
      </c>
      <c r="H28" t="str">
        <f>Assessment!H113</f>
        <v/>
      </c>
      <c r="I28" t="str">
        <f>Assessment!I113</f>
        <v/>
      </c>
      <c r="J28" t="str">
        <f>Assessment!J113</f>
        <v/>
      </c>
    </row>
    <row r="29" spans="1:21" customFormat="1" ht="14.65" customHeight="1" x14ac:dyDescent="0.4">
      <c r="A29" s="3">
        <v>7</v>
      </c>
      <c r="B29" t="s">
        <v>627</v>
      </c>
      <c r="C29" t="s">
        <v>6</v>
      </c>
      <c r="D29" s="4">
        <f>Assessment!D114</f>
        <v>16.005510000000005</v>
      </c>
      <c r="E29" s="4">
        <f>Assessment!E114</f>
        <v>17.073910000000001</v>
      </c>
      <c r="F29" s="4">
        <f>Assessment!F114</f>
        <v>17.899699999999999</v>
      </c>
      <c r="G29" s="4">
        <f>Assessment!G114</f>
        <v>18.853779656599993</v>
      </c>
      <c r="H29" t="str">
        <f>Assessment!H114</f>
        <v/>
      </c>
      <c r="I29" t="str">
        <f>Assessment!I114</f>
        <v/>
      </c>
      <c r="J29" t="str">
        <f>Assessment!J114</f>
        <v/>
      </c>
    </row>
    <row r="30" spans="1:21" customFormat="1" ht="14.65" customHeight="1" x14ac:dyDescent="0.4">
      <c r="A30" s="3">
        <v>8</v>
      </c>
      <c r="B30" t="s">
        <v>628</v>
      </c>
      <c r="C30" t="s">
        <v>6</v>
      </c>
      <c r="D30" s="4"/>
      <c r="E30" s="4">
        <f>Assessment!E115</f>
        <v>1.0683999999999969</v>
      </c>
      <c r="F30" s="4">
        <f>Assessment!F115</f>
        <v>0.8257899999999978</v>
      </c>
      <c r="G30" s="4">
        <f>Assessment!G115</f>
        <v>0.95407965659999405</v>
      </c>
      <c r="H30" t="str">
        <f>Assessment!H115</f>
        <v/>
      </c>
      <c r="I30" t="str">
        <f>Assessment!I115</f>
        <v/>
      </c>
      <c r="J30" t="str">
        <f>Assessment!J115</f>
        <v/>
      </c>
    </row>
    <row r="31" spans="1:21" customFormat="1" ht="14.65" customHeight="1" x14ac:dyDescent="0.4">
      <c r="A31" s="3">
        <v>9</v>
      </c>
      <c r="B31" t="s">
        <v>629</v>
      </c>
      <c r="C31" t="s">
        <v>6</v>
      </c>
      <c r="D31" s="4"/>
      <c r="E31" s="4">
        <f>Assessment!E116</f>
        <v>0.27381</v>
      </c>
      <c r="F31" s="4">
        <f>Assessment!F116</f>
        <v>0</v>
      </c>
      <c r="G31" s="4">
        <f>Assessment!G116</f>
        <v>-9.1301596399999976E-2</v>
      </c>
      <c r="H31" t="str">
        <f>Assessment!H116</f>
        <v/>
      </c>
      <c r="I31" t="str">
        <f>Assessment!I116</f>
        <v/>
      </c>
      <c r="J31" t="str">
        <f>Assessment!J116</f>
        <v/>
      </c>
    </row>
    <row r="32" spans="1:21" customFormat="1" ht="14.65" customHeight="1" x14ac:dyDescent="0.4">
      <c r="A32" s="3">
        <v>10</v>
      </c>
      <c r="B32" t="s">
        <v>630</v>
      </c>
      <c r="C32" t="s">
        <v>6</v>
      </c>
      <c r="D32" s="4"/>
      <c r="E32" s="4">
        <f>Assessment!E117</f>
        <v>0.79458999999999691</v>
      </c>
      <c r="F32" s="4">
        <f>Assessment!F117</f>
        <v>0.8257899999999978</v>
      </c>
      <c r="G32" s="4">
        <f>Assessment!G117</f>
        <v>1.045381252999994</v>
      </c>
      <c r="H32" t="str">
        <f>Assessment!H117</f>
        <v/>
      </c>
      <c r="I32" t="str">
        <f>Assessment!I117</f>
        <v/>
      </c>
      <c r="J32" t="str">
        <f>Assessment!J117</f>
        <v/>
      </c>
    </row>
    <row r="33" spans="1:23" customFormat="1" ht="19.05" customHeight="1" x14ac:dyDescent="0.4">
      <c r="A33" s="3"/>
      <c r="B33" s="260" t="s">
        <v>928</v>
      </c>
      <c r="D33" s="4"/>
      <c r="E33" s="4"/>
      <c r="F33" s="4"/>
      <c r="G33" s="4"/>
    </row>
    <row r="34" spans="1:23" customFormat="1" ht="14.65" customHeight="1" x14ac:dyDescent="0.4">
      <c r="A34" s="3">
        <v>11</v>
      </c>
      <c r="B34" t="s">
        <v>632</v>
      </c>
      <c r="C34" t="s">
        <v>601</v>
      </c>
      <c r="D34" s="4"/>
      <c r="E34" s="4">
        <f>Assessment!E119</f>
        <v>4.9644778579376521</v>
      </c>
      <c r="F34" s="4">
        <f>Assessment!F119</f>
        <v>4.8365605769270053</v>
      </c>
      <c r="G34" s="4">
        <f>Assessment!G119</f>
        <v>5.8402166125688924</v>
      </c>
      <c r="H34" t="str">
        <f>Assessment!H119</f>
        <v/>
      </c>
      <c r="I34" t="str">
        <f>Assessment!I119</f>
        <v/>
      </c>
      <c r="J34" t="str">
        <f>Assessment!J119</f>
        <v/>
      </c>
    </row>
    <row r="35" spans="1:23" customFormat="1" ht="14.65" customHeight="1" x14ac:dyDescent="0.4">
      <c r="A35" s="3">
        <v>12</v>
      </c>
      <c r="B35" t="s">
        <v>946</v>
      </c>
      <c r="C35" t="s">
        <v>601</v>
      </c>
      <c r="D35" s="4"/>
      <c r="E35" s="258">
        <f>Assessment!E120</f>
        <v>9.1</v>
      </c>
      <c r="F35" s="4">
        <f>Assessment!F120</f>
        <v>5.8999999999999995</v>
      </c>
      <c r="G35" s="4">
        <f>Assessment!G120</f>
        <v>3.5999999999999996</v>
      </c>
      <c r="H35" t="str">
        <f>Assessment!H120</f>
        <v/>
      </c>
      <c r="I35" t="str">
        <f>Assessment!I120</f>
        <v/>
      </c>
      <c r="J35" t="str">
        <f>Assessment!J120</f>
        <v/>
      </c>
    </row>
    <row r="36" spans="1:23" customFormat="1" ht="14.65" customHeight="1" x14ac:dyDescent="0.4">
      <c r="A36" s="3">
        <v>13</v>
      </c>
      <c r="B36" t="s">
        <v>929</v>
      </c>
      <c r="C36" t="s">
        <v>6</v>
      </c>
      <c r="D36" s="4"/>
      <c r="E36" s="258">
        <f>Assessment!E121</f>
        <v>-0.66191141000000342</v>
      </c>
      <c r="F36" s="4">
        <f>Assessment!F121</f>
        <v>-0.18157069000000228</v>
      </c>
      <c r="G36" s="4">
        <f>Assessment!G121</f>
        <v>0.40099205299999402</v>
      </c>
      <c r="H36" t="str">
        <f>Assessment!H121</f>
        <v/>
      </c>
      <c r="I36" t="str">
        <f>Assessment!I121</f>
        <v/>
      </c>
      <c r="J36" t="str">
        <f>Assessment!J121</f>
        <v/>
      </c>
    </row>
    <row r="37" spans="1:23" customFormat="1" ht="14.65" customHeight="1" x14ac:dyDescent="0.4">
      <c r="A37" s="3">
        <v>14</v>
      </c>
      <c r="B37" t="s">
        <v>930</v>
      </c>
      <c r="C37" t="s">
        <v>6</v>
      </c>
      <c r="D37" s="4"/>
      <c r="E37" s="258">
        <f>Assessment!E122</f>
        <v>-0.66191141000000342</v>
      </c>
      <c r="F37" s="4">
        <f>Assessment!F122</f>
        <v>-0.84348210000000567</v>
      </c>
      <c r="G37" s="4">
        <f>Assessment!G122</f>
        <v>-0.44249004700001165</v>
      </c>
      <c r="H37" t="str">
        <f>Assessment!H122</f>
        <v/>
      </c>
      <c r="I37" t="str">
        <f>Assessment!I122</f>
        <v/>
      </c>
      <c r="J37" t="str">
        <f>Assessment!J122</f>
        <v/>
      </c>
    </row>
    <row r="38" spans="1:23" customFormat="1" ht="14.65" customHeight="1" x14ac:dyDescent="0.4">
      <c r="A38" s="3">
        <v>15</v>
      </c>
      <c r="B38" t="s">
        <v>9</v>
      </c>
      <c r="C38" t="s">
        <v>6</v>
      </c>
      <c r="D38" s="4">
        <f>Assessment!D123</f>
        <v>39.5642</v>
      </c>
      <c r="E38" s="4">
        <f>Assessment!E123</f>
        <v>40.652300000000004</v>
      </c>
      <c r="F38" s="4">
        <f>Assessment!F123</f>
        <v>43.026199999999996</v>
      </c>
      <c r="G38" s="4">
        <f>Assessment!G123</f>
        <v>45.65079819999999</v>
      </c>
      <c r="H38" t="str">
        <f>Assessment!H123</f>
        <v/>
      </c>
      <c r="I38" t="str">
        <f>Assessment!I123</f>
        <v/>
      </c>
      <c r="J38" t="str">
        <f>Assessment!J123</f>
        <v/>
      </c>
    </row>
    <row r="39" spans="1:23" customFormat="1" ht="19.05" customHeight="1" x14ac:dyDescent="0.4">
      <c r="A39" s="3"/>
      <c r="B39" s="260" t="s">
        <v>926</v>
      </c>
      <c r="D39" s="4"/>
      <c r="E39" s="4"/>
      <c r="F39" s="4"/>
      <c r="G39" s="4"/>
    </row>
    <row r="40" spans="1:23" customFormat="1" ht="14.65" customHeight="1" x14ac:dyDescent="0.4">
      <c r="A40" s="3">
        <v>16</v>
      </c>
      <c r="B40" t="s">
        <v>602</v>
      </c>
      <c r="C40" t="s">
        <v>603</v>
      </c>
      <c r="D40" s="4"/>
      <c r="E40" s="258">
        <f>Assessment!E125</f>
        <v>-1.6282262258224094</v>
      </c>
      <c r="F40" s="4">
        <f>Assessment!F125</f>
        <v>-0.42200029284483015</v>
      </c>
      <c r="G40" s="4">
        <f>Assessment!G125</f>
        <v>0.87839001465694877</v>
      </c>
      <c r="H40" t="str">
        <f>Assessment!H125</f>
        <v/>
      </c>
      <c r="I40" t="str">
        <f>Assessment!I125</f>
        <v/>
      </c>
      <c r="J40" t="str">
        <f>Assessment!J125</f>
        <v/>
      </c>
    </row>
    <row r="41" spans="1:23" customFormat="1" ht="14.65" customHeight="1" x14ac:dyDescent="0.45">
      <c r="A41" s="3">
        <v>17</v>
      </c>
      <c r="B41" t="s">
        <v>945</v>
      </c>
      <c r="C41" t="s">
        <v>603</v>
      </c>
      <c r="D41" s="4"/>
      <c r="E41" s="258">
        <f>Assessment!E126</f>
        <v>-1.6282262258224094</v>
      </c>
      <c r="F41" s="4">
        <f>Assessment!F126</f>
        <v>-1.9603918077822482</v>
      </c>
      <c r="G41" s="4">
        <f>Assessment!G126</f>
        <v>-0.96929312180134408</v>
      </c>
      <c r="H41" t="str">
        <f>Assessment!H126</f>
        <v/>
      </c>
      <c r="I41" t="str">
        <f>Assessment!I126</f>
        <v/>
      </c>
      <c r="J41" t="str">
        <f>Assessment!J126</f>
        <v/>
      </c>
      <c r="W41" s="22"/>
    </row>
    <row r="42" spans="1:23" customFormat="1" ht="19.05" customHeight="1" x14ac:dyDescent="0.4">
      <c r="A42" s="3"/>
      <c r="B42" s="260" t="s">
        <v>931</v>
      </c>
      <c r="D42" s="4"/>
      <c r="E42" s="4"/>
      <c r="F42" s="4"/>
      <c r="G42" s="4"/>
    </row>
    <row r="43" spans="1:23" customFormat="1" ht="14.65" customHeight="1" x14ac:dyDescent="0.4">
      <c r="A43" s="3">
        <v>18</v>
      </c>
      <c r="B43" t="str">
        <f>Assessment!B134</f>
        <v>Growth of defence expenditure since 2021</v>
      </c>
      <c r="C43" t="s">
        <v>603</v>
      </c>
      <c r="D43" s="4"/>
      <c r="E43" s="4"/>
      <c r="F43" s="4">
        <f>Assessment!F134</f>
        <v>0.52141485885344308</v>
      </c>
      <c r="G43" s="4">
        <f>Assessment!G134</f>
        <v>1.5999999999999996</v>
      </c>
      <c r="H43" t="str">
        <f>Assessment!H134</f>
        <v/>
      </c>
      <c r="I43" t="str">
        <f>Assessment!I134</f>
        <v/>
      </c>
      <c r="J43" t="str">
        <f>Assessment!J134</f>
        <v/>
      </c>
    </row>
    <row r="44" spans="1:23" customFormat="1" ht="14.65" customHeight="1" x14ac:dyDescent="0.4">
      <c r="A44" s="3">
        <v>19</v>
      </c>
      <c r="B44" t="s">
        <v>938</v>
      </c>
      <c r="C44" t="s">
        <v>603</v>
      </c>
      <c r="D44" s="4"/>
      <c r="E44" s="4">
        <f>Assessment!E142</f>
        <v>-1.6282262258224094</v>
      </c>
      <c r="F44" s="4">
        <f>Assessment!F142</f>
        <v>-0.42200029284483015</v>
      </c>
      <c r="G44" s="4">
        <f>Assessment!G142</f>
        <v>0</v>
      </c>
    </row>
    <row r="45" spans="1:23" customFormat="1" ht="14.65" customHeight="1" x14ac:dyDescent="0.4">
      <c r="A45" s="3">
        <v>20</v>
      </c>
      <c r="B45" s="261" t="s">
        <v>932</v>
      </c>
      <c r="C45" s="261" t="s">
        <v>603</v>
      </c>
      <c r="D45" s="4"/>
      <c r="E45" s="4"/>
      <c r="F45" s="4">
        <f>Assessment!F144</f>
        <v>-2.4818066666356913</v>
      </c>
      <c r="G45" s="4">
        <f>Assessment!G144</f>
        <v>-2.5692931218013437</v>
      </c>
      <c r="H45" s="4" t="str">
        <f>Assessment!H144</f>
        <v/>
      </c>
      <c r="I45" s="4" t="str">
        <f>Assessment!I144</f>
        <v/>
      </c>
      <c r="J45" s="4" t="str">
        <f>Assessment!J144</f>
        <v/>
      </c>
    </row>
    <row r="46" spans="1:23" customFormat="1" ht="14.65" customHeight="1" x14ac:dyDescent="0.4">
      <c r="A46" s="3"/>
      <c r="D46" s="4"/>
      <c r="E46" s="4"/>
      <c r="F46" s="4"/>
      <c r="G46" s="4"/>
      <c r="I46" t="str">
        <f>Assessment!I130</f>
        <v/>
      </c>
      <c r="J46" t="str">
        <f>Assessment!J130</f>
        <v/>
      </c>
    </row>
    <row r="47" spans="1:23" customFormat="1" ht="14.65" customHeight="1" x14ac:dyDescent="0.4">
      <c r="A47" s="3"/>
      <c r="D47" s="4"/>
      <c r="E47" s="4"/>
      <c r="F47" s="4"/>
      <c r="G47" s="4"/>
      <c r="I47" t="str">
        <f>Assessment!I131</f>
        <v/>
      </c>
      <c r="J47" t="str">
        <f>Assessment!J131</f>
        <v/>
      </c>
    </row>
    <row r="48" spans="1:23" customFormat="1" ht="23.25" x14ac:dyDescent="0.7">
      <c r="A48" s="22"/>
      <c r="B48" s="118" t="s">
        <v>487</v>
      </c>
      <c r="C48" s="22"/>
      <c r="D48" s="22"/>
      <c r="E48" s="22"/>
      <c r="F48" s="22"/>
      <c r="G48" s="22"/>
      <c r="H48" s="22"/>
      <c r="I48" s="64"/>
      <c r="M48" s="22"/>
    </row>
    <row r="49" spans="1:13" customFormat="1" ht="14.65" customHeight="1" x14ac:dyDescent="0.45">
      <c r="A49" s="22"/>
      <c r="B49" s="66" t="s">
        <v>310</v>
      </c>
      <c r="C49" s="30" t="str" cm="1">
        <f t="array" ref="C49:H49">IF(_xlfn.SEQUENCE(1,MTP_PlanningHorizon+2,-1)=-1, "T-1", IF(_xlfn.SEQUENCE(1,MTP_PlanningHorizon+2,-1)=0, "T", "T+"&amp;_xlfn.SEQUENCE(1,MTP_PlanningHorizon+2,-1)))</f>
        <v>T-1</v>
      </c>
      <c r="D49" s="30" t="str">
        <v>T</v>
      </c>
      <c r="E49" s="30" t="str">
        <v>T+1</v>
      </c>
      <c r="F49" s="30" t="str">
        <v>T+2</v>
      </c>
      <c r="G49" s="30" t="str">
        <v>T+3</v>
      </c>
      <c r="H49" s="30" t="str">
        <v>T+4</v>
      </c>
      <c r="I49" s="30"/>
      <c r="M49" s="22"/>
    </row>
    <row r="50" spans="1:13" customFormat="1" ht="14.65" customHeight="1" x14ac:dyDescent="0.45">
      <c r="A50" s="22"/>
      <c r="B50" s="66"/>
      <c r="C50" s="30" cm="1">
        <f t="array" ref="C50:H50">_xlfn.SEQUENCE(1, MTP_EndYear - MTP_BaseYear+1, MTP_BaseYear)</f>
        <v>2023</v>
      </c>
      <c r="D50" s="30">
        <v>2024</v>
      </c>
      <c r="E50" s="30">
        <v>2025</v>
      </c>
      <c r="F50" s="30">
        <v>2026</v>
      </c>
      <c r="G50" s="30">
        <v>2027</v>
      </c>
      <c r="H50" s="30">
        <v>2028</v>
      </c>
      <c r="I50" s="30"/>
      <c r="M50" s="22"/>
    </row>
    <row r="51" spans="1:13" customFormat="1" x14ac:dyDescent="0.45">
      <c r="A51" s="22"/>
      <c r="B51" s="67"/>
      <c r="C51" s="30" t="str">
        <f t="shared" ref="C51:I51" si="2">IF(C50="", "", IF(C50&lt;=OutturnThrough, "Observed", "Planned"))</f>
        <v>Observed</v>
      </c>
      <c r="D51" s="30" t="str">
        <f t="shared" si="2"/>
        <v>Observed</v>
      </c>
      <c r="E51" s="30" t="str">
        <f t="shared" si="2"/>
        <v>Observed</v>
      </c>
      <c r="F51" s="30" t="str">
        <f t="shared" si="2"/>
        <v>Planned</v>
      </c>
      <c r="G51" s="30" t="str">
        <f t="shared" si="2"/>
        <v>Planned</v>
      </c>
      <c r="H51" s="30" t="str">
        <f t="shared" si="2"/>
        <v>Planned</v>
      </c>
      <c r="I51" s="30" t="str">
        <f t="shared" si="2"/>
        <v/>
      </c>
      <c r="J51" s="45"/>
      <c r="K51" s="45"/>
      <c r="L51" s="45"/>
      <c r="M51" s="22"/>
    </row>
    <row r="52" spans="1:13" customFormat="1" x14ac:dyDescent="0.45">
      <c r="A52" s="22"/>
      <c r="B52" s="46" t="s">
        <v>309</v>
      </c>
      <c r="C52" s="45" t="str" cm="1">
        <f t="array" ref="C52:H52">INDEX(
  Assessment!$34:$34,
  1,
  MATCH(MTP_BaseYear,Assessment!$32:$32,0)
    + _xlfn.SEQUENCE(1, COLUMNS(_xlfn.ANCHORARRAY(C50)), 0)
)</f>
        <v/>
      </c>
      <c r="D52" s="45">
        <v>9.1</v>
      </c>
      <c r="E52" s="45">
        <v>5.8999999999999995</v>
      </c>
      <c r="F52" s="45">
        <v>3.5999999999999996</v>
      </c>
      <c r="G52" s="47">
        <v>3.4000000000000004</v>
      </c>
      <c r="H52" s="45">
        <v>3.3000000000000003</v>
      </c>
      <c r="I52" s="45"/>
      <c r="J52" s="64"/>
      <c r="K52" s="64"/>
      <c r="L52" s="64"/>
      <c r="M52" s="22"/>
    </row>
    <row r="53" spans="1:13" customFormat="1" x14ac:dyDescent="0.45">
      <c r="A53" s="22"/>
      <c r="B53" s="135" t="str">
        <f>ScenarioName</f>
        <v>Annual Progress Report 2026</v>
      </c>
      <c r="C53" s="64" t="str" cm="1">
        <f t="array" ref="C53:H53">INDEX(
  Assessment!$15:$15,
  1,
  MATCH(MTP_BaseYear,Assessment!$4:$4,0)
    + _xlfn.SEQUENCE(1, COLUMNS(_xlfn.ANCHORARRAY(C50)), 0)
)</f>
        <v/>
      </c>
      <c r="D53" s="64">
        <v>4.9644778579376547</v>
      </c>
      <c r="E53" s="64">
        <v>4.836560576927007</v>
      </c>
      <c r="F53" s="64">
        <v>5.3</v>
      </c>
      <c r="G53" s="64" t="str">
        <v/>
      </c>
      <c r="H53" s="64" t="str">
        <v/>
      </c>
      <c r="I53" s="64"/>
      <c r="J53" s="47"/>
      <c r="K53" s="47"/>
      <c r="L53" s="47"/>
      <c r="M53" s="22"/>
    </row>
    <row r="54" spans="1:13" customFormat="1" x14ac:dyDescent="0.45">
      <c r="A54" s="22"/>
      <c r="B54" s="46" t="s">
        <v>206</v>
      </c>
      <c r="C54" s="45" cm="1">
        <f t="array" ref="C54:H54">INDEX(
  Assessment!$35:$35,
  1,
  MATCH(MTP_BaseYear,Assessment!$32:$32,0)
    + _xlfn.SEQUENCE(1, COLUMNS(_xlfn.ANCHORARRAY(C50)), 0)
)</f>
        <v>-2.2000000000000002</v>
      </c>
      <c r="D54" s="45">
        <v>-2.6</v>
      </c>
      <c r="E54" s="45">
        <v>-2.9</v>
      </c>
      <c r="F54" s="45">
        <v>-2.9</v>
      </c>
      <c r="G54" s="47">
        <v>-2.9</v>
      </c>
      <c r="H54" s="47">
        <v>-2.9</v>
      </c>
      <c r="I54" s="47"/>
      <c r="J54" s="64"/>
      <c r="K54" s="64"/>
      <c r="L54" s="64"/>
      <c r="M54" s="22"/>
    </row>
    <row r="55" spans="1:13" customFormat="1" x14ac:dyDescent="0.45">
      <c r="A55" s="22"/>
      <c r="B55" s="135" t="str">
        <f>ScenarioName</f>
        <v>Annual Progress Report 2026</v>
      </c>
      <c r="C55" s="64" cm="1">
        <f t="array" ref="C55:H55">INDEX(
  Assessment!$17:$17,
  1,
  MATCH(MTP_BaseYear,Assessment!$4:$4,0)
    + _xlfn.SEQUENCE(1, COLUMNS(_xlfn.ANCHORARRAY(C50)), 0)
)</f>
        <v>-2.342774528487884</v>
      </c>
      <c r="D55" s="64">
        <v>-1.7868607680254289</v>
      </c>
      <c r="E55" s="64">
        <v>-2.5407774797681517</v>
      </c>
      <c r="F55" s="64">
        <v>-3</v>
      </c>
      <c r="G55" s="64" t="str">
        <v/>
      </c>
      <c r="H55" s="64" t="str">
        <v/>
      </c>
      <c r="I55" s="64"/>
      <c r="J55" s="47"/>
      <c r="K55" s="47"/>
      <c r="L55" s="47"/>
      <c r="M55" s="22"/>
    </row>
    <row r="56" spans="1:13" customFormat="1" x14ac:dyDescent="0.45">
      <c r="A56" s="22"/>
      <c r="B56" s="46" t="s">
        <v>0</v>
      </c>
      <c r="C56" s="47" cm="1">
        <f t="array" ref="C56:H56">INDEX(
  Assessment!$36:$36,
  1,
  MATCH(MTP_BaseYear,Assessment!$32:$32,0)
    + _xlfn.SEQUENCE(1, COLUMNS(_xlfn.ANCHORARRAY(C50)), 0)
)</f>
        <v>-1.8</v>
      </c>
      <c r="D56" s="47">
        <v>-1.9</v>
      </c>
      <c r="E56" s="47">
        <v>-2.5</v>
      </c>
      <c r="F56" s="47">
        <v>-2.6</v>
      </c>
      <c r="G56" s="47">
        <v>-2.7</v>
      </c>
      <c r="H56" s="47">
        <v>-2.7</v>
      </c>
      <c r="I56" s="47"/>
      <c r="J56" s="64"/>
      <c r="K56" s="64"/>
      <c r="L56" s="64"/>
      <c r="M56" s="22"/>
    </row>
    <row r="57" spans="1:13" customFormat="1" x14ac:dyDescent="0.45">
      <c r="A57" s="22"/>
      <c r="B57" s="135" t="str">
        <f>ScenarioName</f>
        <v>Annual Progress Report 2026</v>
      </c>
      <c r="C57" s="64" cm="1">
        <f t="array" ref="C57:H57">INDEX(
  Assessment!$18:$18,
  1,
  MATCH(MTP_BaseYear,Assessment!$4:$4,0)
    + _xlfn.SEQUENCE(1, COLUMNS(_xlfn.ANCHORARRAY(C50)), 0)
)</f>
        <v>-2.0901399999999999</v>
      </c>
      <c r="D57" s="64">
        <v>-1.3087</v>
      </c>
      <c r="E57" s="64">
        <v>-2.5189499999999998</v>
      </c>
      <c r="F57" s="64">
        <v>-2.6</v>
      </c>
      <c r="G57" s="64" t="str">
        <v/>
      </c>
      <c r="H57" s="64" t="str">
        <v/>
      </c>
      <c r="I57" s="64"/>
      <c r="J57" s="47"/>
      <c r="K57" s="47"/>
      <c r="L57" s="47"/>
      <c r="M57" s="22"/>
    </row>
    <row r="58" spans="1:13" customFormat="1" x14ac:dyDescent="0.45">
      <c r="A58" s="22"/>
      <c r="B58" s="46" t="s">
        <v>3</v>
      </c>
      <c r="C58" s="45" cm="1">
        <f t="array" ref="C58:H58">INDEX(
  Assessment!$37:$37,
  1,
  MATCH(MTP_BaseYear,Assessment!$32:$32,0)
    + _xlfn.SEQUENCE(1, COLUMNS(_xlfn.ANCHORARRAY(C50)), 0)
)</f>
        <v>-1.2</v>
      </c>
      <c r="D58" s="45">
        <v>-0.8</v>
      </c>
      <c r="E58" s="45">
        <v>-1.3</v>
      </c>
      <c r="F58" s="45">
        <v>-1.3</v>
      </c>
      <c r="G58" s="47">
        <v>-1.3</v>
      </c>
      <c r="H58" s="47">
        <v>-1.3</v>
      </c>
      <c r="I58" s="47"/>
      <c r="J58" s="64"/>
      <c r="K58" s="64"/>
      <c r="L58" s="64"/>
      <c r="M58" s="22"/>
    </row>
    <row r="59" spans="1:13" customFormat="1" x14ac:dyDescent="0.45">
      <c r="A59" s="22"/>
      <c r="B59" s="135" t="str">
        <f>ScenarioName</f>
        <v>Annual Progress Report 2026</v>
      </c>
      <c r="C59" s="64" cm="1">
        <f t="array" ref="C59:H59">INDEX(
  Assessment!$19:$19,
  1,
  MATCH(MTP_BaseYear,Assessment!$4:$4,0)
    + _xlfn.SEQUENCE(1, COLUMNS(_xlfn.ANCHORARRAY(C50)), 0)
)</f>
        <v>-1.3650599999999999</v>
      </c>
      <c r="D59" s="64">
        <v>-0.21811</v>
      </c>
      <c r="E59" s="64">
        <v>-1.41309</v>
      </c>
      <c r="F59" s="64">
        <v>-1.3</v>
      </c>
      <c r="G59" s="64" t="str">
        <v/>
      </c>
      <c r="H59" s="64" t="str">
        <v/>
      </c>
      <c r="I59" s="64"/>
      <c r="J59" s="47"/>
      <c r="K59" s="47"/>
      <c r="L59" s="47"/>
      <c r="M59" s="22"/>
    </row>
    <row r="60" spans="1:13" customFormat="1" x14ac:dyDescent="0.45">
      <c r="A60" s="22"/>
      <c r="B60" s="46" t="s">
        <v>1</v>
      </c>
      <c r="C60" s="45" cm="1">
        <f t="array" ref="C60:H60">INDEX(
  Assessment!$38:$38,
  1,
  MATCH(MTP_BaseYear,Assessment!$32:$32,0)
    + _xlfn.SEQUENCE(1, COLUMNS(_xlfn.ANCHORARRAY(C50)), 0)
)</f>
        <v>43.6</v>
      </c>
      <c r="D60" s="45">
        <v>45.8</v>
      </c>
      <c r="E60" s="45">
        <v>47.5</v>
      </c>
      <c r="F60" s="45">
        <v>48.5</v>
      </c>
      <c r="G60" s="45">
        <v>49.7</v>
      </c>
      <c r="H60" s="45">
        <v>50.8</v>
      </c>
      <c r="I60" s="45"/>
      <c r="J60" s="64"/>
      <c r="K60" s="64"/>
      <c r="L60" s="64"/>
      <c r="M60" s="22"/>
    </row>
    <row r="61" spans="1:13" customFormat="1" x14ac:dyDescent="0.45">
      <c r="A61" s="22"/>
      <c r="B61" s="135" t="str">
        <f>ScenarioName</f>
        <v>Annual Progress Report 2026</v>
      </c>
      <c r="C61" s="64" cm="1">
        <f t="array" ref="C61:H61">INDEX(
  Assessment!$20:$20,
  1,
  MATCH(MTP_BaseYear,Assessment!$4:$4,0)
    + _xlfn.SEQUENCE(1, COLUMNS(_xlfn.ANCHORARRAY(C50)), 0)
)</f>
        <v>44.430318318075436</v>
      </c>
      <c r="D61" s="64">
        <v>46.249535696627248</v>
      </c>
      <c r="E61" s="64">
        <v>46.887477862325753</v>
      </c>
      <c r="F61" s="64">
        <v>47.9</v>
      </c>
      <c r="G61" s="64" t="str">
        <v/>
      </c>
      <c r="H61" s="64" t="str">
        <v/>
      </c>
      <c r="I61" s="64"/>
      <c r="J61" s="47"/>
      <c r="K61" s="47"/>
      <c r="L61" s="47"/>
      <c r="M61" s="22"/>
    </row>
    <row r="62" spans="1:13" customFormat="1" x14ac:dyDescent="0.45">
      <c r="A62" s="22"/>
      <c r="B62" s="46" t="s">
        <v>2</v>
      </c>
      <c r="C62" s="45" cm="1">
        <f t="array" ref="C62:H62">INDEX(
  Assessment!$39:$39,
  1,
  MATCH(MTP_BaseYear,Assessment!$32:$32,0)
    + _xlfn.SEQUENCE(1, COLUMNS(_xlfn.ANCHORARRAY(C50)), 0)
)</f>
        <v>1.8</v>
      </c>
      <c r="D62" s="45">
        <v>2.2999999999999998</v>
      </c>
      <c r="E62" s="45">
        <v>1.6</v>
      </c>
      <c r="F62" s="45">
        <v>1.1000000000000001</v>
      </c>
      <c r="G62" s="45">
        <v>1.2</v>
      </c>
      <c r="H62" s="45">
        <v>1.2</v>
      </c>
      <c r="I62" s="45"/>
      <c r="J62" s="64"/>
      <c r="K62" s="64"/>
      <c r="L62" s="64"/>
      <c r="M62" s="22"/>
    </row>
    <row r="63" spans="1:13" customFormat="1" x14ac:dyDescent="0.45">
      <c r="A63" s="22"/>
      <c r="B63" s="135" t="str">
        <f>ScenarioName</f>
        <v>Annual Progress Report 2026</v>
      </c>
      <c r="C63" s="64" cm="1">
        <f t="array" ref="C63:H63">INDEX(
  Assessment!$21:$21,
  1,
  MATCH(MTP_BaseYear,Assessment!$4:$4,0)
    + _xlfn.SEQUENCE(1, COLUMNS(_xlfn.ANCHORARRAY(C50)), 0)
)</f>
        <v>3.8913967677850185</v>
      </c>
      <c r="D63" s="64">
        <v>3.0084398668710008</v>
      </c>
      <c r="E63" s="64">
        <v>3.1896844248388225</v>
      </c>
      <c r="F63" s="64">
        <v>0.9</v>
      </c>
      <c r="G63" s="64" t="str">
        <v/>
      </c>
      <c r="H63" s="64" t="str">
        <v/>
      </c>
      <c r="I63" s="64"/>
      <c r="J63" s="47"/>
      <c r="K63" s="47"/>
      <c r="L63" s="47"/>
      <c r="M63" s="22"/>
    </row>
    <row r="64" spans="1:13" customFormat="1" x14ac:dyDescent="0.45">
      <c r="A64" s="22"/>
      <c r="B64" s="31"/>
      <c r="C64" s="22"/>
      <c r="D64" s="22"/>
      <c r="E64" s="22"/>
      <c r="F64" s="22"/>
      <c r="G64" s="22"/>
      <c r="H64" s="22"/>
      <c r="I64" s="22"/>
      <c r="J64" s="107"/>
      <c r="K64" s="107"/>
      <c r="L64" s="107"/>
      <c r="M64" s="22"/>
    </row>
    <row r="65" spans="1:13" customFormat="1" x14ac:dyDescent="0.45">
      <c r="A65" s="22"/>
      <c r="B65" s="170" t="s">
        <v>280</v>
      </c>
      <c r="C65" s="107" cm="1">
        <f t="array" ref="C65:H65">INDEX(
  Assessment!$40:$40,
  1,
  MATCH(MTP_BaseYear,Assessment!$32:$32,0)
    + _xlfn.SEQUENCE(1, COLUMNS(_xlfn.ANCHORARRAY(C50)), 0)
)</f>
        <v>-0.3</v>
      </c>
      <c r="D65" s="107">
        <v>1.4</v>
      </c>
      <c r="E65" s="107">
        <v>2.9</v>
      </c>
      <c r="F65" s="107">
        <v>1.6</v>
      </c>
      <c r="G65" s="107">
        <v>1.2</v>
      </c>
      <c r="H65" s="107">
        <v>1.1000000000000001</v>
      </c>
      <c r="I65" s="107"/>
      <c r="J65" s="108"/>
      <c r="K65" s="108"/>
      <c r="L65" s="108"/>
      <c r="M65" s="22"/>
    </row>
    <row r="66" spans="1:13" customFormat="1" x14ac:dyDescent="0.45">
      <c r="A66" s="22"/>
      <c r="B66" s="171" t="str">
        <f>ScenarioName</f>
        <v>Annual Progress Report 2026</v>
      </c>
      <c r="C66" s="108" cm="1">
        <f t="array" ref="C66:H66">INDEX(
  Assessment!$22:$22,
  1,
  MATCH(MTP_BaseYear,Assessment!$4:$4,0)
    + _xlfn.SEQUENCE(1, COLUMNS(_xlfn.ANCHORARRAY(C50)), 0)
)</f>
        <v>-0.9414574313402313</v>
      </c>
      <c r="D66" s="64">
        <v>-3.7310985009997299E-2</v>
      </c>
      <c r="E66" s="64">
        <v>2.1381842045897326</v>
      </c>
      <c r="F66" s="64">
        <v>2.6</v>
      </c>
      <c r="G66" s="64" t="str">
        <v/>
      </c>
      <c r="H66" s="64" t="str">
        <v/>
      </c>
      <c r="I66" s="64"/>
      <c r="J66" s="47"/>
      <c r="K66" s="47"/>
      <c r="L66" s="47"/>
      <c r="M66" s="22"/>
    </row>
    <row r="67" spans="1:13" customFormat="1" x14ac:dyDescent="0.45">
      <c r="A67" s="22"/>
      <c r="B67" s="170" t="s">
        <v>281</v>
      </c>
      <c r="C67" s="107" cm="1">
        <f t="array" ref="C67:H67">INDEX(
  Assessment!$41:$41,
  1,
  MATCH(MTP_BaseYear,Assessment!$32:$32,0)
    + _xlfn.SEQUENCE(1, COLUMNS(_xlfn.ANCHORARRAY(C50)), 0)
)</f>
        <v>5.4</v>
      </c>
      <c r="D67" s="107">
        <v>2.4</v>
      </c>
      <c r="E67" s="107">
        <v>2.5</v>
      </c>
      <c r="F67" s="107">
        <v>2.5</v>
      </c>
      <c r="G67" s="107">
        <v>2.5</v>
      </c>
      <c r="H67" s="107">
        <v>2.5</v>
      </c>
      <c r="I67" s="107"/>
    </row>
    <row r="68" spans="1:13" customFormat="1" x14ac:dyDescent="0.45">
      <c r="A68" s="22"/>
      <c r="B68" s="171" t="str">
        <f>ScenarioName</f>
        <v>Annual Progress Report 2026</v>
      </c>
      <c r="C68" s="108" cm="1">
        <f t="array" ref="C68:H68">INDEX(
  Assessment!$23:$23,
  1,
  MATCH(MTP_BaseYear,Assessment!$4:$4,0)
    + _xlfn.SEQUENCE(1, COLUMNS(_xlfn.ANCHORARRAY(C50)), 0)
)</f>
        <v>10.672371603556009</v>
      </c>
      <c r="D68" s="64">
        <v>2.7885650030008202</v>
      </c>
      <c r="E68" s="64">
        <v>3.623853135142574</v>
      </c>
      <c r="F68" s="64">
        <v>3.3</v>
      </c>
      <c r="G68" s="64" t="str">
        <v/>
      </c>
      <c r="H68" s="64" t="str">
        <v/>
      </c>
      <c r="I68" s="64"/>
    </row>
    <row r="69" spans="1:13" customFormat="1" ht="19.149999999999999" customHeight="1" x14ac:dyDescent="0.45">
      <c r="A69" s="22"/>
      <c r="B69" s="170" t="s">
        <v>282</v>
      </c>
      <c r="C69" s="107" cm="1">
        <f t="array" ref="C69:H69">INDEX(
  Assessment!$42:$42,
  1,
  MATCH(MTP_BaseYear,Assessment!$32:$32,0)
    + _xlfn.SEQUENCE(1, COLUMNS(_xlfn.ANCHORARRAY(C50)), 0)
)</f>
        <v>5.0999999999999996</v>
      </c>
      <c r="D69" s="107">
        <v>3.8</v>
      </c>
      <c r="E69" s="107">
        <v>5.5</v>
      </c>
      <c r="F69" s="107">
        <v>4.0999999999999996</v>
      </c>
      <c r="G69" s="107">
        <v>3.7</v>
      </c>
      <c r="H69" s="107">
        <v>3.6</v>
      </c>
      <c r="I69" s="107"/>
    </row>
    <row r="70" spans="1:13" x14ac:dyDescent="0.45">
      <c r="B70" s="171" t="str">
        <f>ScenarioName</f>
        <v>Annual Progress Report 2026</v>
      </c>
      <c r="C70" s="108" cm="1">
        <f t="array" ref="C70:H70">INDEX(
  Assessment!$24:$24,
  1,
  MATCH(MTP_BaseYear,Assessment!$4:$4,0)
    + _xlfn.SEQUENCE(1, COLUMNS(_xlfn.ANCHORARRAY(C50)), 0)
)</f>
        <v>9.630438336653846</v>
      </c>
      <c r="D70" s="64">
        <v>2.7502135769205571</v>
      </c>
      <c r="E70" s="64">
        <v>5.8395219950654553</v>
      </c>
      <c r="F70" s="64">
        <v>6.1</v>
      </c>
      <c r="G70" s="64" t="str">
        <v/>
      </c>
      <c r="H70" s="64" t="str">
        <v/>
      </c>
      <c r="I70" s="64"/>
    </row>
    <row r="71" spans="1:13" x14ac:dyDescent="0.45">
      <c r="B71" s="170" t="s">
        <v>275</v>
      </c>
      <c r="C71" s="107" cm="1">
        <f t="array" ref="C71:H71">INDEX(
  Assessment!$43:$43,
  1,
  MATCH(MTP_BaseYear,Assessment!$32:$32,0)
    + _xlfn.SEQUENCE(1, COLUMNS(_xlfn.ANCHORARRAY(C50)), 0)
)</f>
        <v>2.2999999999999998</v>
      </c>
      <c r="D71" s="107">
        <v>2.2000000000000002</v>
      </c>
      <c r="E71" s="107">
        <v>2.1</v>
      </c>
      <c r="F71" s="107">
        <v>1.2</v>
      </c>
      <c r="G71" s="107">
        <v>0.9</v>
      </c>
      <c r="H71" s="107">
        <v>0.9</v>
      </c>
      <c r="I71" s="107"/>
    </row>
    <row r="72" spans="1:13" x14ac:dyDescent="0.45">
      <c r="B72" s="171" t="str">
        <f>ScenarioName</f>
        <v>Annual Progress Report 2026</v>
      </c>
      <c r="C72" s="108" cm="1">
        <f t="array" ref="C72:H72">INDEX(
  Assessment!$25:$25,
  1,
  MATCH(MTP_BaseYear,Assessment!$4:$4,0)
    + _xlfn.SEQUENCE(1, COLUMNS(_xlfn.ANCHORARRAY(C50)), 0)
)</f>
        <v>1.0494115850457675</v>
      </c>
      <c r="D72" s="64">
        <v>0.56895479625649337</v>
      </c>
      <c r="E72" s="64">
        <v>0.90465793805487582</v>
      </c>
      <c r="F72" s="64">
        <v>1.9</v>
      </c>
      <c r="G72" s="64" t="str">
        <v/>
      </c>
      <c r="H72" s="64" t="str">
        <v/>
      </c>
      <c r="I72" s="64"/>
    </row>
    <row r="73" spans="1:13" x14ac:dyDescent="0.45">
      <c r="B73" s="170" t="s">
        <v>272</v>
      </c>
      <c r="C73" s="107" cm="1">
        <f t="array" ref="C73:H73">INDEX(
  Assessment!$44:$44,
  1,
  MATCH(MTP_BaseYear,Assessment!$32:$32,0)
    + _xlfn.SEQUENCE(1, COLUMNS(_xlfn.ANCHORARRAY(C50)), 0)
)</f>
        <v>-1</v>
      </c>
      <c r="D73" s="107">
        <v>-1.8</v>
      </c>
      <c r="E73" s="107">
        <v>-1</v>
      </c>
      <c r="F73" s="107">
        <v>-0.7</v>
      </c>
      <c r="G73" s="107">
        <v>-0.5</v>
      </c>
      <c r="H73" s="107">
        <v>-0.4</v>
      </c>
      <c r="I73" s="107"/>
    </row>
    <row r="74" spans="1:13" x14ac:dyDescent="0.45">
      <c r="B74" s="172" t="str">
        <f>ScenarioName</f>
        <v>Annual Progress Report 2026</v>
      </c>
      <c r="C74" s="109" cm="1">
        <f t="array" ref="C74:H74">INDEX(
  Assessment!$26:$26,
  1,
  MATCH(MTP_BaseYear,Assessment!$4:$4,0)
    + _xlfn.SEQUENCE(1, COLUMNS(_xlfn.ANCHORARRAY(C50)), 0)
)</f>
        <v>-0.6672176438640709</v>
      </c>
      <c r="D74" s="109">
        <v>-1.2657760235122772</v>
      </c>
      <c r="E74" s="109">
        <v>-5.9072774617829893E-2</v>
      </c>
      <c r="F74" s="109">
        <v>-1</v>
      </c>
      <c r="G74" s="109" t="str">
        <v/>
      </c>
      <c r="H74" s="109" t="str">
        <v/>
      </c>
      <c r="I74" s="108"/>
    </row>
    <row r="75" spans="1:13" x14ac:dyDescent="0.45">
      <c r="B75" s="153" t="str">
        <f>"Numbers in green indicate "&amp;ScenarioName&amp;" is outperforming the medium-term plan"</f>
        <v>Numbers in green indicate Annual Progress Report 2026 is outperforming the medium-term plan</v>
      </c>
      <c r="C75" s="108"/>
      <c r="D75" s="108"/>
      <c r="E75" s="108"/>
      <c r="F75" s="108"/>
      <c r="G75" s="108"/>
      <c r="H75" s="108"/>
      <c r="I75"/>
    </row>
    <row r="76" spans="1:13" x14ac:dyDescent="0.45">
      <c r="B76" s="152" t="str">
        <f>"Numbers in red indicate "&amp;ScenarioName&amp;" is underperforming the medium-term plan"</f>
        <v>Numbers in red indicate Annual Progress Report 2026 is underperforming the medium-term plan</v>
      </c>
      <c r="C76" s="108"/>
      <c r="D76" s="108"/>
      <c r="E76" s="108"/>
      <c r="F76" s="108"/>
      <c r="G76" s="108"/>
      <c r="H76" s="108"/>
      <c r="I76"/>
    </row>
    <row r="77" spans="1:13" x14ac:dyDescent="0.45">
      <c r="B77" s="154" t="str">
        <f>"Numbers in amber indicate "&amp;ScenarioName&amp;" is underperforming the medium-term plan but an escape clause is in place"</f>
        <v>Numbers in amber indicate Annual Progress Report 2026 is underperforming the medium-term plan but an escape clause is in place</v>
      </c>
      <c r="C77"/>
      <c r="D77"/>
      <c r="E77"/>
      <c r="F77"/>
      <c r="G77"/>
      <c r="H77"/>
      <c r="I77"/>
    </row>
  </sheetData>
  <conditionalFormatting sqref="K18:K19">
    <cfRule type="expression" dxfId="157" priority="127">
      <formula>K18&gt;#REF!</formula>
    </cfRule>
    <cfRule type="expression" dxfId="156" priority="128">
      <formula>K18&lt;=#REF!</formula>
    </cfRule>
  </conditionalFormatting>
  <conditionalFormatting sqref="C49:H51 I51 D18:I21">
    <cfRule type="expression" dxfId="155" priority="120">
      <formula>C18&lt;&gt;""</formula>
    </cfRule>
  </conditionalFormatting>
  <conditionalFormatting sqref="C75:H77 M20 L18:N19 L20:L21">
    <cfRule type="expression" dxfId="154" priority="144">
      <formula>ROUND(#REF!,1)&gt;ROUND(C18,1)</formula>
    </cfRule>
    <cfRule type="expression" dxfId="153" priority="145">
      <formula>ROUND(#REF!,1)&lt;=ROUND(C18,1)</formula>
    </cfRule>
  </conditionalFormatting>
  <conditionalFormatting sqref="C10:C14">
    <cfRule type="expression" dxfId="152" priority="59">
      <formula>D10="At risk"</formula>
    </cfRule>
    <cfRule type="expression" dxfId="151" priority="60">
      <formula>D10="Breach"</formula>
    </cfRule>
    <cfRule type="expression" dxfId="150" priority="61">
      <formula>D10="Compliant"</formula>
    </cfRule>
    <cfRule type="expression" dxfId="149" priority="62">
      <formula>AND(D10&lt;&gt;"Compliant", D10&lt;&gt;"Caution", D10&lt;&gt;"Breach")</formula>
    </cfRule>
  </conditionalFormatting>
  <conditionalFormatting sqref="I49:I50">
    <cfRule type="expression" dxfId="148" priority="58">
      <formula>I49&lt;&gt;""</formula>
    </cfRule>
  </conditionalFormatting>
  <conditionalFormatting sqref="D53:L53 D61:L61 D63:L63 D68:I68">
    <cfRule type="expression" dxfId="147" priority="50">
      <formula>ROUND(D52,1)&gt;=ROUND(D53,1)</formula>
    </cfRule>
  </conditionalFormatting>
  <conditionalFormatting sqref="D55:L55 D57:L57 D59:L59 D66:L66 D70:I70 D72:I72">
    <cfRule type="expression" dxfId="146" priority="47">
      <formula>ROUND(D54,1)&lt;=ROUND(D55,1)</formula>
    </cfRule>
  </conditionalFormatting>
  <conditionalFormatting sqref="D74:I74">
    <cfRule type="expression" dxfId="145" priority="2">
      <formula>ROUND(D73,1)&lt;=ROUND(D74,1)</formula>
    </cfRule>
  </conditionalFormatting>
  <conditionalFormatting sqref="B15:BB15">
    <cfRule type="expression" dxfId="144" priority="851">
      <formula>$D$15="Compliant"</formula>
    </cfRule>
    <cfRule type="expression" dxfId="143" priority="852">
      <formula>$D$15="Caution"</formula>
    </cfRule>
    <cfRule type="expression" dxfId="142" priority="853">
      <formula>$D$15="Breach"</formula>
    </cfRule>
    <cfRule type="expression" dxfId="141" priority="854">
      <formula>$D$15="N/A"</formula>
    </cfRule>
  </conditionalFormatting>
  <conditionalFormatting sqref="I48">
    <cfRule type="expression" dxfId="140" priority="859">
      <formula>ROUND(#REF!,1)&lt;ROUND(I48,1)</formula>
    </cfRule>
    <cfRule type="expression" dxfId="139" priority="860">
      <formula>ROUND(#REF!,1)&gt;=ROUND(I48,1)</formula>
    </cfRule>
  </conditionalFormatting>
  <conditionalFormatting sqref="D18:I21">
    <cfRule type="expression" dxfId="138" priority="998">
      <formula>D$21&lt;&gt;""</formula>
    </cfRule>
  </conditionalFormatting>
  <conditionalFormatting sqref="D45:J45">
    <cfRule type="expression" dxfId="137" priority="1">
      <formula>ISNUMBER(D$21)</formula>
    </cfRule>
  </conditionalFormatting>
  <conditionalFormatting sqref="I74">
    <cfRule type="expression" dxfId="136" priority="1023">
      <formula>ISNUMBER(I$50)</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1" id="{D895BA0B-C90F-449F-BE88-F0B0E0478CB1}">
            <xm:f>AND(ROUND(D52,1)&lt;ROUND(D53,1),'Step 1 - Set global parameters'!B$21=TRUE)</xm:f>
            <x14:dxf>
              <font>
                <strike val="0"/>
                <color theme="7" tint="-0.24994659260841701"/>
              </font>
            </x14:dxf>
          </x14:cfRule>
          <x14:cfRule type="expression" priority="52" id="{99C27ECD-2434-4CC7-A87E-74BB134CC6F5}">
            <xm:f>AND(ROUND(D52,1)&lt;ROUND(D53,1),'Step 1 - Set global parameters'!B$21=FALSE)</xm:f>
            <x14:dxf>
              <font>
                <strike val="0"/>
                <color rgb="FFC00000"/>
              </font>
            </x14:dxf>
          </x14:cfRule>
          <xm:sqref>D53:L53 D68:I68 D61:L61 D63:L63</xm:sqref>
        </x14:conditionalFormatting>
        <x14:conditionalFormatting xmlns:xm="http://schemas.microsoft.com/office/excel/2006/main">
          <x14:cfRule type="expression" priority="48" id="{7FEDD692-BADA-4C05-B9E9-6CFFAF3EED47}">
            <xm:f>AND(ROUND(D54,1)&gt;ROUND(D55,1),'Step 1 - Set global parameters'!B$21=TRUE)</xm:f>
            <x14:dxf>
              <font>
                <strike val="0"/>
                <color theme="7" tint="-0.24994659260841701"/>
              </font>
            </x14:dxf>
          </x14:cfRule>
          <x14:cfRule type="expression" priority="49" id="{ABC8EC5E-D081-4FDB-A0EB-3B863F1C4B09}">
            <xm:f>AND(ROUND(D54,1)&gt;ROUND(D55,1),'Step 1 - Set global parameters'!B$21=FALSE)</xm:f>
            <x14:dxf>
              <font>
                <strike val="0"/>
                <color rgb="FFC00000"/>
              </font>
            </x14:dxf>
          </x14:cfRule>
          <xm:sqref>D55:L55 D57:L57 D59:L59 D66:L66 D70:I70 D72:I72</xm:sqref>
        </x14:conditionalFormatting>
        <x14:conditionalFormatting xmlns:xm="http://schemas.microsoft.com/office/excel/2006/main">
          <x14:cfRule type="expression" priority="3" id="{CA0F55F7-2D52-4917-BC86-CC04D630406C}">
            <xm:f>AND(ROUND(D73,1)&gt;ROUND(D74,1),'Step 1 - Set global parameters'!B$21=FALSE)</xm:f>
            <x14:dxf>
              <font>
                <color rgb="FFC00000"/>
              </font>
            </x14:dxf>
          </x14:cfRule>
          <x14:cfRule type="expression" priority="4" id="{C7061373-A33E-4425-9F49-D651E91E2586}">
            <xm:f>AND(ROUND(D73,1)&gt;ROUND(D74,1),'Step 1 - Set global parameters'!B$21=TRUE)</xm:f>
            <x14:dxf>
              <font>
                <color theme="7" tint="-0.24994659260841701"/>
              </font>
            </x14:dxf>
          </x14:cfRule>
          <xm:sqref>D74:I74</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AE228"/>
  <sheetViews>
    <sheetView showGridLines="0" zoomScaleNormal="100" workbookViewId="0"/>
  </sheetViews>
  <sheetFormatPr defaultRowHeight="13.15" x14ac:dyDescent="0.4"/>
  <cols>
    <col min="1" max="1" width="5.140625" customWidth="1"/>
    <col min="2" max="2" width="67.140625" customWidth="1"/>
    <col min="3" max="3" width="12.85546875" bestFit="1" customWidth="1"/>
    <col min="27" max="27" width="53.85546875" customWidth="1"/>
    <col min="28" max="28" width="16.28515625" customWidth="1"/>
    <col min="30" max="30" width="62.140625" bestFit="1" customWidth="1"/>
    <col min="31" max="31" width="16.7109375" bestFit="1" customWidth="1"/>
  </cols>
  <sheetData>
    <row r="1" spans="2:31" ht="23.25" x14ac:dyDescent="0.7">
      <c r="B1" s="13" t="s">
        <v>706</v>
      </c>
      <c r="C1" s="14"/>
    </row>
    <row r="2" spans="2:31" ht="28.5" customHeight="1" x14ac:dyDescent="0.55000000000000004">
      <c r="B2" s="50" t="s">
        <v>312</v>
      </c>
      <c r="C2" s="14"/>
      <c r="AA2" s="79" t="s">
        <v>869</v>
      </c>
      <c r="AB2" s="7"/>
      <c r="AD2" s="79" t="s">
        <v>870</v>
      </c>
    </row>
    <row r="3" spans="2:31" ht="13.5" customHeight="1" x14ac:dyDescent="0.5">
      <c r="B3" s="79" t="s">
        <v>310</v>
      </c>
      <c r="C3" s="14"/>
      <c r="D3" s="44"/>
      <c r="E3" s="44"/>
      <c r="F3" s="44"/>
      <c r="G3" s="44"/>
      <c r="H3" s="44"/>
      <c r="I3" s="44"/>
      <c r="J3" s="44"/>
      <c r="K3" s="44"/>
      <c r="L3" s="44"/>
      <c r="M3" s="44"/>
      <c r="N3" s="44"/>
      <c r="S3" s="44"/>
      <c r="T3" s="44"/>
      <c r="AA3" t="s">
        <v>810</v>
      </c>
      <c r="AB3" s="179" t="s">
        <v>812</v>
      </c>
      <c r="AD3" s="14" t="s">
        <v>872</v>
      </c>
      <c r="AE3" s="179" t="s">
        <v>873</v>
      </c>
    </row>
    <row r="4" spans="2:31" ht="13.5" customHeight="1" x14ac:dyDescent="0.4">
      <c r="B4" s="39" t="s">
        <v>251</v>
      </c>
      <c r="C4" s="94"/>
      <c r="D4" s="44" cm="1">
        <f t="array" ref="D4:I4">_xlfn.SEQUENCE(1, MTP_EndYear-MTP_PlanFirstYear+1, MTP_PlanFirstYear)</f>
        <v>2023</v>
      </c>
      <c r="E4" s="44">
        <v>2024</v>
      </c>
      <c r="F4" s="44">
        <v>2025</v>
      </c>
      <c r="G4" s="44">
        <v>2026</v>
      </c>
      <c r="H4" s="44">
        <v>2027</v>
      </c>
      <c r="I4" s="44">
        <v>2028</v>
      </c>
      <c r="J4" s="44"/>
      <c r="K4" s="44"/>
      <c r="L4" s="44"/>
      <c r="M4" s="44"/>
      <c r="N4" s="44"/>
      <c r="S4" s="44"/>
      <c r="T4" s="44"/>
      <c r="AA4" t="s">
        <v>811</v>
      </c>
      <c r="AB4" s="179" t="s">
        <v>812</v>
      </c>
      <c r="AD4" s="14" t="s">
        <v>874</v>
      </c>
      <c r="AE4" s="179" t="s">
        <v>875</v>
      </c>
    </row>
    <row r="5" spans="2:31" ht="13.5" customHeight="1" x14ac:dyDescent="0.4">
      <c r="B5" s="41" t="s">
        <v>274</v>
      </c>
      <c r="C5" s="19"/>
      <c r="D5" s="47" t="str" cm="1">
        <f t="array" ref="D5:I5">_xlfn.LET(
  _xlpm.n, _xlfn.SEQUENCE(1, MTP_EndYear - MTP_PlanFirstYear + 1, MTP_PlanFirstYear - MTP_YearT),
  CHOOSE(SIGN(_xlpm.n) + 2, "T" &amp; _xlpm.n, "T", "T+" &amp; _xlpm.n)
)</f>
        <v>T-1</v>
      </c>
      <c r="E5" s="47" t="str">
        <v>T</v>
      </c>
      <c r="F5" s="47" t="str">
        <v>T+1</v>
      </c>
      <c r="G5" s="47" t="str">
        <v>T+2</v>
      </c>
      <c r="H5" s="47" t="str">
        <v>T+3</v>
      </c>
      <c r="I5" s="47" t="str">
        <v>T+4</v>
      </c>
      <c r="J5" s="47"/>
      <c r="K5" s="47"/>
      <c r="L5" s="47"/>
      <c r="M5" s="47"/>
      <c r="N5" s="47"/>
      <c r="S5" s="44"/>
      <c r="T5" s="44"/>
      <c r="AA5" t="s">
        <v>864</v>
      </c>
      <c r="AB5" s="179" t="s">
        <v>884</v>
      </c>
      <c r="AD5" t="s">
        <v>876</v>
      </c>
      <c r="AE5" s="179">
        <v>4</v>
      </c>
    </row>
    <row r="6" spans="2:31" ht="13.5" customHeight="1" x14ac:dyDescent="0.4">
      <c r="B6" s="44" t="str">
        <f>"Planned path for net expenditure growth in MTP"&amp;IF(MTP_Council_Endorsed," (endorsed by Council)"," (not yet endorsed by Council)")</f>
        <v>Planned path for net expenditure growth in MTP (endorsed by Council)</v>
      </c>
      <c r="C6" s="44" t="s">
        <v>634</v>
      </c>
      <c r="D6" s="37" t="s">
        <v>698</v>
      </c>
      <c r="E6" s="164">
        <f>F103</f>
        <v>9.1</v>
      </c>
      <c r="F6" s="164">
        <f t="shared" ref="F6:I6" si="0">G103</f>
        <v>5.8999999999999995</v>
      </c>
      <c r="G6" s="164">
        <f t="shared" si="0"/>
        <v>3.5999999999999996</v>
      </c>
      <c r="H6" s="164">
        <f t="shared" si="0"/>
        <v>3.4000000000000004</v>
      </c>
      <c r="I6" s="164">
        <f t="shared" si="0"/>
        <v>3.3000000000000003</v>
      </c>
      <c r="J6" s="37" t="s">
        <v>698</v>
      </c>
      <c r="K6" s="37"/>
      <c r="L6" s="37"/>
      <c r="M6" s="37"/>
      <c r="N6" s="37"/>
      <c r="O6" s="37"/>
      <c r="S6" s="37"/>
      <c r="T6" s="37"/>
      <c r="U6" s="37"/>
      <c r="V6" s="44"/>
      <c r="W6" s="44"/>
      <c r="AA6" t="s">
        <v>804</v>
      </c>
      <c r="AB6" s="179" t="s">
        <v>807</v>
      </c>
      <c r="AD6" t="s">
        <v>885</v>
      </c>
      <c r="AE6" s="179">
        <v>22</v>
      </c>
    </row>
    <row r="7" spans="2:31" ht="13.5" customHeight="1" x14ac:dyDescent="0.4">
      <c r="B7" s="55" t="s">
        <v>206</v>
      </c>
      <c r="C7" s="44"/>
      <c r="D7" s="165">
        <f>E105</f>
        <v>-2.2000000000000002</v>
      </c>
      <c r="E7" s="165">
        <f t="shared" ref="E7:I7" si="1">F105</f>
        <v>-2.6</v>
      </c>
      <c r="F7" s="165">
        <f t="shared" si="1"/>
        <v>-2.9</v>
      </c>
      <c r="G7" s="165">
        <f t="shared" si="1"/>
        <v>-2.9</v>
      </c>
      <c r="H7" s="165">
        <f t="shared" si="1"/>
        <v>-2.9</v>
      </c>
      <c r="I7" s="165">
        <f t="shared" si="1"/>
        <v>-2.9</v>
      </c>
      <c r="J7" s="165" t="s">
        <v>698</v>
      </c>
      <c r="K7" s="165"/>
      <c r="L7" s="165"/>
      <c r="M7" s="165"/>
      <c r="N7" s="165"/>
      <c r="O7" s="165"/>
      <c r="P7" s="165"/>
      <c r="Q7" s="165"/>
      <c r="R7" s="165"/>
      <c r="S7" s="165"/>
      <c r="T7" s="165"/>
      <c r="U7" s="165"/>
      <c r="V7" s="58"/>
      <c r="W7" s="58"/>
      <c r="AA7" t="s">
        <v>868</v>
      </c>
      <c r="AB7" s="179" t="s">
        <v>806</v>
      </c>
      <c r="AD7" t="s">
        <v>877</v>
      </c>
      <c r="AE7" s="179">
        <v>40</v>
      </c>
    </row>
    <row r="8" spans="2:31" ht="13.5" customHeight="1" x14ac:dyDescent="0.4">
      <c r="B8" s="55" t="s">
        <v>0</v>
      </c>
      <c r="C8" s="44"/>
      <c r="D8" s="165">
        <f>E108</f>
        <v>-1.8</v>
      </c>
      <c r="E8" s="165">
        <f t="shared" ref="E8:I8" si="2">F108</f>
        <v>-1.9</v>
      </c>
      <c r="F8" s="165">
        <f t="shared" si="2"/>
        <v>-2.5</v>
      </c>
      <c r="G8" s="165">
        <f t="shared" si="2"/>
        <v>-2.6</v>
      </c>
      <c r="H8" s="165">
        <f t="shared" si="2"/>
        <v>-2.7</v>
      </c>
      <c r="I8" s="165">
        <f t="shared" si="2"/>
        <v>-2.7</v>
      </c>
      <c r="J8" s="165" t="s">
        <v>698</v>
      </c>
      <c r="K8" s="165"/>
      <c r="L8" s="165"/>
      <c r="M8" s="165"/>
      <c r="N8" s="165"/>
      <c r="O8" s="165"/>
      <c r="P8" s="165"/>
      <c r="Q8" s="165"/>
      <c r="R8" s="165"/>
      <c r="S8" s="165"/>
      <c r="T8" s="165"/>
      <c r="U8" s="165"/>
      <c r="V8" s="58"/>
      <c r="W8" s="58"/>
      <c r="AA8" t="s">
        <v>809</v>
      </c>
      <c r="AB8" s="179">
        <v>2</v>
      </c>
      <c r="AD8" t="s">
        <v>878</v>
      </c>
      <c r="AE8" s="179" t="s">
        <v>871</v>
      </c>
    </row>
    <row r="9" spans="2:31" ht="13.5" customHeight="1" x14ac:dyDescent="0.4">
      <c r="B9" s="55" t="s">
        <v>3</v>
      </c>
      <c r="C9" s="44"/>
      <c r="D9" s="165">
        <f>E109</f>
        <v>-1.2</v>
      </c>
      <c r="E9" s="165">
        <f t="shared" ref="E9:I9" si="3">F109</f>
        <v>-0.8</v>
      </c>
      <c r="F9" s="165">
        <f t="shared" si="3"/>
        <v>-1.3</v>
      </c>
      <c r="G9" s="165">
        <f t="shared" si="3"/>
        <v>-1.3</v>
      </c>
      <c r="H9" s="165">
        <f t="shared" si="3"/>
        <v>-1.3</v>
      </c>
      <c r="I9" s="165">
        <f t="shared" si="3"/>
        <v>-1.3</v>
      </c>
      <c r="J9" s="165" t="s">
        <v>698</v>
      </c>
      <c r="K9" s="165"/>
      <c r="L9" s="165"/>
      <c r="M9" s="165"/>
      <c r="N9" s="165"/>
      <c r="O9" s="165"/>
      <c r="P9" s="165"/>
      <c r="Q9" s="165"/>
      <c r="R9" s="165"/>
      <c r="S9" s="165"/>
      <c r="T9" s="165"/>
      <c r="U9" s="165"/>
      <c r="V9" s="58"/>
      <c r="W9" s="58"/>
      <c r="AA9" t="s">
        <v>808</v>
      </c>
      <c r="AB9" s="179">
        <v>60</v>
      </c>
      <c r="AC9" s="44"/>
      <c r="AD9" t="s">
        <v>879</v>
      </c>
      <c r="AE9" s="179">
        <v>56</v>
      </c>
    </row>
    <row r="10" spans="2:31" ht="13.5" customHeight="1" x14ac:dyDescent="0.4">
      <c r="B10" s="55" t="s">
        <v>1</v>
      </c>
      <c r="C10" s="44"/>
      <c r="D10" s="165">
        <f>E111</f>
        <v>43.6</v>
      </c>
      <c r="E10" s="165">
        <f t="shared" ref="E10:I10" si="4">F111</f>
        <v>45.8</v>
      </c>
      <c r="F10" s="165">
        <f t="shared" si="4"/>
        <v>47.5</v>
      </c>
      <c r="G10" s="165">
        <f t="shared" si="4"/>
        <v>48.5</v>
      </c>
      <c r="H10" s="165">
        <f t="shared" si="4"/>
        <v>49.7</v>
      </c>
      <c r="I10" s="165">
        <f t="shared" si="4"/>
        <v>50.8</v>
      </c>
      <c r="J10" s="165" t="s">
        <v>698</v>
      </c>
      <c r="K10" s="165"/>
      <c r="L10" s="165"/>
      <c r="M10" s="165"/>
      <c r="N10" s="165"/>
      <c r="O10" s="165"/>
      <c r="P10" s="165"/>
      <c r="Q10" s="165"/>
      <c r="R10" s="165"/>
      <c r="S10" s="165"/>
      <c r="T10" s="165"/>
      <c r="U10" s="165"/>
      <c r="V10" s="58"/>
      <c r="W10" s="58"/>
      <c r="AA10" t="s">
        <v>865</v>
      </c>
      <c r="AB10" s="179">
        <v>2</v>
      </c>
      <c r="AC10" s="44"/>
      <c r="AD10" t="s">
        <v>883</v>
      </c>
      <c r="AE10" s="179">
        <v>79</v>
      </c>
    </row>
    <row r="11" spans="2:31" x14ac:dyDescent="0.4">
      <c r="B11" s="55" t="s">
        <v>2</v>
      </c>
      <c r="C11" s="44"/>
      <c r="D11" s="165">
        <f>E112</f>
        <v>1.8</v>
      </c>
      <c r="E11" s="165">
        <f t="shared" ref="E11:I11" si="5">F112</f>
        <v>2.2999999999999998</v>
      </c>
      <c r="F11" s="165">
        <f t="shared" si="5"/>
        <v>1.6</v>
      </c>
      <c r="G11" s="165">
        <f t="shared" si="5"/>
        <v>1.1000000000000001</v>
      </c>
      <c r="H11" s="165">
        <f t="shared" si="5"/>
        <v>1.2</v>
      </c>
      <c r="I11" s="165">
        <f t="shared" si="5"/>
        <v>1.2</v>
      </c>
      <c r="J11" s="165" t="s">
        <v>698</v>
      </c>
      <c r="K11" s="165"/>
      <c r="L11" s="165"/>
      <c r="M11" s="165"/>
      <c r="N11" s="165"/>
      <c r="O11" s="165"/>
      <c r="P11" s="165"/>
      <c r="Q11" s="165"/>
      <c r="R11" s="165"/>
      <c r="S11" s="165"/>
      <c r="T11" s="165"/>
      <c r="U11" s="165"/>
      <c r="V11" s="58"/>
      <c r="W11" s="58"/>
      <c r="AA11" t="s">
        <v>886</v>
      </c>
      <c r="AB11" s="179">
        <v>19</v>
      </c>
      <c r="AC11" s="44"/>
      <c r="AD11" t="s">
        <v>880</v>
      </c>
      <c r="AE11" s="179" t="s">
        <v>881</v>
      </c>
    </row>
    <row r="12" spans="2:31" x14ac:dyDescent="0.4">
      <c r="B12" s="55" t="s">
        <v>7</v>
      </c>
      <c r="C12" s="44" t="s">
        <v>633</v>
      </c>
      <c r="D12" s="165">
        <f>E130</f>
        <v>-0.3</v>
      </c>
      <c r="E12" s="165">
        <f t="shared" ref="E12:I12" si="6">F130</f>
        <v>1.4</v>
      </c>
      <c r="F12" s="165">
        <f t="shared" si="6"/>
        <v>2.9</v>
      </c>
      <c r="G12" s="165">
        <f t="shared" si="6"/>
        <v>1.6</v>
      </c>
      <c r="H12" s="165">
        <f t="shared" si="6"/>
        <v>1.2</v>
      </c>
      <c r="I12" s="165">
        <f t="shared" si="6"/>
        <v>1.1000000000000001</v>
      </c>
      <c r="J12" s="165" t="s">
        <v>698</v>
      </c>
      <c r="K12" s="165"/>
      <c r="L12" s="165"/>
      <c r="M12" s="165"/>
      <c r="N12" s="165"/>
      <c r="O12" s="165"/>
      <c r="P12" s="165"/>
      <c r="Q12" s="165"/>
      <c r="R12" s="165"/>
      <c r="S12" s="165"/>
      <c r="T12" s="165"/>
      <c r="U12" s="165"/>
      <c r="V12" s="58"/>
      <c r="W12" s="58"/>
      <c r="AA12" t="s">
        <v>867</v>
      </c>
      <c r="AB12" s="179">
        <v>36</v>
      </c>
      <c r="AD12" t="s">
        <v>882</v>
      </c>
      <c r="AE12" s="179">
        <v>21</v>
      </c>
    </row>
    <row r="13" spans="2:31" x14ac:dyDescent="0.4">
      <c r="B13" s="55" t="s">
        <v>8</v>
      </c>
      <c r="C13" s="44" t="s">
        <v>633</v>
      </c>
      <c r="D13" s="165">
        <f>E131</f>
        <v>5.4</v>
      </c>
      <c r="E13" s="165">
        <f t="shared" ref="E13:I13" si="7">F131</f>
        <v>2.4</v>
      </c>
      <c r="F13" s="165">
        <f t="shared" si="7"/>
        <v>2.5</v>
      </c>
      <c r="G13" s="165">
        <f t="shared" si="7"/>
        <v>2.5</v>
      </c>
      <c r="H13" s="165">
        <f t="shared" si="7"/>
        <v>2.5</v>
      </c>
      <c r="I13" s="165">
        <f t="shared" si="7"/>
        <v>2.5</v>
      </c>
      <c r="J13" s="165" t="s">
        <v>698</v>
      </c>
      <c r="K13" s="165"/>
      <c r="L13" s="165"/>
      <c r="M13" s="165"/>
      <c r="N13" s="165"/>
      <c r="O13" s="165"/>
      <c r="P13" s="165"/>
      <c r="Q13" s="165"/>
      <c r="R13" s="165"/>
      <c r="S13" s="165"/>
      <c r="T13" s="165"/>
      <c r="U13" s="165"/>
      <c r="V13" s="58"/>
      <c r="W13" s="58"/>
      <c r="AA13" t="s">
        <v>866</v>
      </c>
      <c r="AB13" s="179">
        <v>52</v>
      </c>
    </row>
    <row r="14" spans="2:31" x14ac:dyDescent="0.4">
      <c r="B14" s="55" t="s">
        <v>9</v>
      </c>
      <c r="C14" s="44" t="s">
        <v>633</v>
      </c>
      <c r="D14" s="165">
        <f>E132</f>
        <v>5.0999999999999996</v>
      </c>
      <c r="E14" s="165">
        <f t="shared" ref="E14:I14" si="8">F132</f>
        <v>3.8</v>
      </c>
      <c r="F14" s="165">
        <f t="shared" si="8"/>
        <v>5.5</v>
      </c>
      <c r="G14" s="165">
        <f t="shared" si="8"/>
        <v>4.0999999999999996</v>
      </c>
      <c r="H14" s="165">
        <f t="shared" si="8"/>
        <v>3.7</v>
      </c>
      <c r="I14" s="165">
        <f t="shared" si="8"/>
        <v>3.6</v>
      </c>
      <c r="J14" s="165" t="s">
        <v>698</v>
      </c>
      <c r="K14" s="165"/>
      <c r="L14" s="165"/>
      <c r="M14" s="165"/>
      <c r="N14" s="165"/>
      <c r="O14" s="165"/>
      <c r="P14" s="165"/>
      <c r="Q14" s="165"/>
      <c r="R14" s="165"/>
      <c r="S14" s="165"/>
      <c r="T14" s="165"/>
      <c r="U14" s="165"/>
      <c r="V14" s="58"/>
      <c r="W14" s="58"/>
      <c r="AA14" s="150" t="s">
        <v>824</v>
      </c>
    </row>
    <row r="15" spans="2:31" x14ac:dyDescent="0.4">
      <c r="B15" s="55" t="s">
        <v>275</v>
      </c>
      <c r="C15" s="44" t="s">
        <v>633</v>
      </c>
      <c r="D15" s="37">
        <f>E161</f>
        <v>2.2999999999999998</v>
      </c>
      <c r="E15" s="37">
        <f t="shared" ref="E15:I15" si="9">F161</f>
        <v>2.2000000000000002</v>
      </c>
      <c r="F15" s="37">
        <f t="shared" si="9"/>
        <v>2.1</v>
      </c>
      <c r="G15" s="37">
        <f t="shared" si="9"/>
        <v>1.2</v>
      </c>
      <c r="H15" s="37">
        <f t="shared" si="9"/>
        <v>0.9</v>
      </c>
      <c r="I15" s="37">
        <f t="shared" si="9"/>
        <v>0.9</v>
      </c>
      <c r="J15" s="37" t="s">
        <v>698</v>
      </c>
      <c r="K15" s="37"/>
      <c r="L15" s="37"/>
      <c r="M15" s="37"/>
      <c r="N15" s="37"/>
      <c r="O15" s="37"/>
      <c r="P15" s="37"/>
      <c r="Q15" s="37"/>
      <c r="R15" s="37"/>
      <c r="S15" s="37"/>
      <c r="T15" s="37"/>
      <c r="U15" s="37"/>
      <c r="V15" s="44"/>
      <c r="W15" s="44"/>
    </row>
    <row r="16" spans="2:31" ht="19.149999999999999" customHeight="1" x14ac:dyDescent="0.4">
      <c r="B16" s="55" t="s">
        <v>89</v>
      </c>
      <c r="C16" s="55" t="s">
        <v>599</v>
      </c>
      <c r="D16" s="164">
        <f>E167</f>
        <v>-1</v>
      </c>
      <c r="E16" s="164">
        <f t="shared" ref="E16:I16" si="10">F167</f>
        <v>-1.8</v>
      </c>
      <c r="F16" s="164">
        <f t="shared" si="10"/>
        <v>-1</v>
      </c>
      <c r="G16" s="164">
        <f t="shared" si="10"/>
        <v>-0.7</v>
      </c>
      <c r="H16" s="164">
        <f t="shared" si="10"/>
        <v>-0.5</v>
      </c>
      <c r="I16" s="164">
        <f t="shared" si="10"/>
        <v>-0.4</v>
      </c>
      <c r="J16" s="164" t="s">
        <v>698</v>
      </c>
      <c r="K16" s="164"/>
      <c r="L16" s="164"/>
      <c r="M16" s="164"/>
      <c r="N16" s="164"/>
      <c r="O16" s="164"/>
      <c r="P16" s="164"/>
      <c r="Q16" s="164"/>
      <c r="R16" s="164"/>
      <c r="S16" s="164"/>
      <c r="T16" s="164"/>
      <c r="U16" s="164"/>
      <c r="V16" s="48"/>
      <c r="W16" s="48"/>
    </row>
    <row r="17" spans="1:26" ht="20.25" customHeight="1" x14ac:dyDescent="0.4">
      <c r="B17" s="55" t="s">
        <v>750</v>
      </c>
      <c r="C17" s="55"/>
      <c r="D17" s="164"/>
      <c r="E17" s="164"/>
      <c r="F17" s="164"/>
      <c r="G17" s="164"/>
      <c r="H17" s="164"/>
      <c r="I17" s="164"/>
      <c r="J17" s="164"/>
      <c r="K17" s="164"/>
      <c r="L17" s="164"/>
      <c r="M17" s="164"/>
      <c r="N17" s="164"/>
      <c r="O17" s="164"/>
      <c r="P17" s="164"/>
      <c r="Q17" s="164"/>
      <c r="R17" s="164"/>
      <c r="S17" s="164"/>
      <c r="T17" s="164"/>
      <c r="U17" s="164"/>
      <c r="V17" s="48"/>
      <c r="W17" s="48"/>
    </row>
    <row r="18" spans="1:26" x14ac:dyDescent="0.4">
      <c r="B18" s="177" t="s">
        <v>25</v>
      </c>
      <c r="C18" s="44" t="s">
        <v>6</v>
      </c>
      <c r="D18" s="167"/>
      <c r="E18" s="167"/>
      <c r="F18" s="167"/>
      <c r="G18" s="167"/>
      <c r="H18" s="167"/>
      <c r="I18" s="167"/>
      <c r="J18" s="176"/>
      <c r="K18" s="37"/>
      <c r="L18" s="37"/>
      <c r="M18" s="37"/>
      <c r="N18" s="37"/>
      <c r="O18" s="37"/>
      <c r="R18" s="249"/>
      <c r="S18"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Latvia receives a reference trajectory (which in turn depends on outturn data for TFEU thresholds in year T-X).</v>
      </c>
    </row>
    <row r="19" spans="1:26" x14ac:dyDescent="0.4">
      <c r="B19" s="178" t="s">
        <v>595</v>
      </c>
      <c r="C19" s="61" t="s">
        <v>635</v>
      </c>
      <c r="D19" s="164"/>
      <c r="E19" s="164"/>
      <c r="F19" s="164"/>
      <c r="G19" s="164"/>
      <c r="H19" s="164"/>
      <c r="I19" s="164"/>
      <c r="J19" s="164"/>
      <c r="K19" s="164"/>
      <c r="L19" s="164"/>
      <c r="M19" s="164"/>
      <c r="N19" s="164"/>
      <c r="O19" s="164"/>
      <c r="P19" s="164"/>
      <c r="Q19" s="164"/>
      <c r="R19" s="164"/>
      <c r="S19" s="164"/>
      <c r="T19" s="164"/>
      <c r="U19" s="164"/>
      <c r="V19" s="48"/>
      <c r="W19" s="48"/>
    </row>
    <row r="20" spans="1:26" x14ac:dyDescent="0.4">
      <c r="B20" s="55"/>
      <c r="C20" s="55"/>
      <c r="D20" s="48"/>
      <c r="E20" s="48"/>
      <c r="F20" s="48"/>
      <c r="G20" s="48"/>
      <c r="H20" s="48"/>
      <c r="I20" s="48"/>
      <c r="J20" s="48"/>
      <c r="K20" s="48"/>
      <c r="L20" s="48"/>
      <c r="M20" s="48"/>
      <c r="N20" s="48"/>
      <c r="O20" s="48"/>
      <c r="P20" s="48"/>
      <c r="Q20" s="48"/>
      <c r="R20" s="48"/>
      <c r="S20" s="48"/>
      <c r="T20" s="48"/>
      <c r="U20" s="48"/>
      <c r="V20" s="48"/>
      <c r="W20" s="48"/>
    </row>
    <row r="21" spans="1:26" x14ac:dyDescent="0.4">
      <c r="B21" s="39" t="s">
        <v>251</v>
      </c>
      <c r="C21" s="39"/>
      <c r="D21" s="44" cm="1">
        <f t="array" ref="D21:S21">_xlfn.SEQUENCE(1, AdjustmentPeriodEnd+10-MTP_BaseYear+1, MTP_BaseYear)</f>
        <v>2023</v>
      </c>
      <c r="E21" s="60">
        <v>2024</v>
      </c>
      <c r="F21" s="60">
        <v>2025</v>
      </c>
      <c r="G21" s="60">
        <v>2026</v>
      </c>
      <c r="H21" s="60">
        <v>2027</v>
      </c>
      <c r="I21" s="60">
        <v>2028</v>
      </c>
      <c r="J21" s="60">
        <v>2029</v>
      </c>
      <c r="K21" s="60">
        <v>2030</v>
      </c>
      <c r="L21" s="60">
        <v>2031</v>
      </c>
      <c r="M21" s="60">
        <v>2032</v>
      </c>
      <c r="N21" s="60">
        <v>2033</v>
      </c>
      <c r="O21" s="60">
        <v>2034</v>
      </c>
      <c r="P21" s="60">
        <v>2035</v>
      </c>
      <c r="Q21" s="60">
        <v>2036</v>
      </c>
      <c r="R21" s="60">
        <v>2037</v>
      </c>
      <c r="S21" s="60">
        <v>2038</v>
      </c>
      <c r="T21" s="60"/>
      <c r="U21" s="60"/>
      <c r="V21" s="60"/>
      <c r="W21" s="60"/>
      <c r="X21" s="14"/>
      <c r="Y21" s="14"/>
      <c r="Z21" s="14"/>
    </row>
    <row r="22" spans="1:26" ht="20.25" customHeight="1" x14ac:dyDescent="0.4">
      <c r="B22" s="41" t="s">
        <v>274</v>
      </c>
      <c r="C22" s="19"/>
      <c r="D22" s="47" t="str" cm="1">
        <f t="array" ref="D22:I22">_xlfn.LET(
  _xlpm.n, _xlfn.SEQUENCE(1, MTP_EndYear - MTP_PlanFirstYear + 1, MTP_PlanFirstYear - MTP_YearT),
  CHOOSE(SIGN(_xlpm.n) + 2, "T" &amp; _xlpm.n, "T", "T+" &amp; _xlpm.n)
)</f>
        <v>T-1</v>
      </c>
      <c r="E22" s="47" t="str">
        <v>T</v>
      </c>
      <c r="F22" s="47" t="str">
        <v>T+1</v>
      </c>
      <c r="G22" s="47" t="str">
        <v>T+2</v>
      </c>
      <c r="H22" s="47" t="str">
        <v>T+3</v>
      </c>
      <c r="I22" s="47" t="str">
        <v>T+4</v>
      </c>
      <c r="J22" s="47"/>
      <c r="K22" s="47"/>
      <c r="L22" s="47"/>
      <c r="M22" s="47"/>
      <c r="N22" s="47"/>
      <c r="O22" s="47"/>
      <c r="P22" s="47"/>
      <c r="Q22" s="47" t="s">
        <v>698</v>
      </c>
      <c r="R22" s="47" t="s">
        <v>698</v>
      </c>
      <c r="S22" s="47" t="s">
        <v>698</v>
      </c>
      <c r="T22" s="47" t="s">
        <v>698</v>
      </c>
      <c r="U22" s="47" t="s">
        <v>698</v>
      </c>
      <c r="V22" s="47" t="s">
        <v>698</v>
      </c>
      <c r="W22" s="47" t="s">
        <v>698</v>
      </c>
      <c r="X22" s="14"/>
      <c r="Y22" s="14"/>
      <c r="Z22" s="14"/>
    </row>
    <row r="23" spans="1:26" x14ac:dyDescent="0.4">
      <c r="B23" s="55" t="str">
        <f>"Main budgetary variables under the planned fiscal path ("&amp;AdjustmentPeriod&amp;"-year adjustment period)"</f>
        <v>Main budgetary variables under the planned fiscal path (4-year adjustment period)</v>
      </c>
      <c r="C23" s="14"/>
      <c r="D23" s="37"/>
      <c r="E23" s="37"/>
      <c r="F23" s="37"/>
      <c r="G23" s="37"/>
      <c r="H23" s="37"/>
      <c r="I23" s="37"/>
      <c r="J23" s="37"/>
      <c r="K23" s="37"/>
      <c r="L23" s="37"/>
      <c r="M23" s="37"/>
      <c r="N23" s="37"/>
      <c r="O23" s="37"/>
      <c r="P23" s="37"/>
      <c r="Q23" s="37"/>
      <c r="R23" s="37"/>
      <c r="S23" s="37"/>
      <c r="T23" s="37"/>
      <c r="U23" s="37"/>
      <c r="V23" s="37"/>
      <c r="W23" s="37"/>
      <c r="X23" s="37"/>
      <c r="Y23" s="37"/>
    </row>
    <row r="24" spans="1:26" x14ac:dyDescent="0.4">
      <c r="B24" s="46" t="s">
        <v>311</v>
      </c>
      <c r="C24" s="14"/>
      <c r="D24" s="253"/>
      <c r="E24" s="253"/>
      <c r="F24" s="253"/>
      <c r="G24" s="253"/>
      <c r="H24" s="253"/>
      <c r="I24" s="253"/>
      <c r="J24" s="253"/>
      <c r="K24" s="253"/>
      <c r="L24" s="253"/>
      <c r="M24" s="253"/>
      <c r="N24" s="253"/>
      <c r="O24" s="253"/>
      <c r="P24" s="253"/>
      <c r="Q24" s="253"/>
      <c r="R24" s="253"/>
      <c r="S24" s="253"/>
      <c r="T24" s="253"/>
      <c r="U24" s="253"/>
      <c r="V24" s="253"/>
      <c r="W24" s="253"/>
      <c r="X24" s="37"/>
      <c r="Y24" s="37"/>
    </row>
    <row r="25" spans="1:26" x14ac:dyDescent="0.4">
      <c r="B25" s="46" t="s">
        <v>206</v>
      </c>
      <c r="C25" s="14"/>
      <c r="D25" s="253">
        <f>E173</f>
        <v>-2.2000000000000002</v>
      </c>
      <c r="E25" s="253">
        <f t="shared" ref="E25:S25" si="11">F173</f>
        <v>-2.6</v>
      </c>
      <c r="F25" s="253">
        <f t="shared" si="11"/>
        <v>-2.9</v>
      </c>
      <c r="G25" s="253">
        <f t="shared" si="11"/>
        <v>-2.9</v>
      </c>
      <c r="H25" s="253">
        <f t="shared" si="11"/>
        <v>-2.9</v>
      </c>
      <c r="I25" s="253">
        <f t="shared" si="11"/>
        <v>-2.9</v>
      </c>
      <c r="J25" s="253">
        <f t="shared" si="11"/>
        <v>-2.9</v>
      </c>
      <c r="K25" s="253">
        <f t="shared" si="11"/>
        <v>-2.9</v>
      </c>
      <c r="L25" s="253">
        <f t="shared" si="11"/>
        <v>-2.9</v>
      </c>
      <c r="M25" s="253">
        <f t="shared" si="11"/>
        <v>-3</v>
      </c>
      <c r="N25" s="253">
        <f t="shared" si="11"/>
        <v>-3</v>
      </c>
      <c r="O25" s="253">
        <f t="shared" si="11"/>
        <v>-3</v>
      </c>
      <c r="P25" s="253">
        <f t="shared" si="11"/>
        <v>-3</v>
      </c>
      <c r="Q25" s="253">
        <f t="shared" si="11"/>
        <v>-3</v>
      </c>
      <c r="R25" s="253">
        <f t="shared" si="11"/>
        <v>-3</v>
      </c>
      <c r="S25" s="253">
        <f t="shared" si="11"/>
        <v>-2.9</v>
      </c>
      <c r="T25" s="253" t="s">
        <v>698</v>
      </c>
      <c r="U25" s="253" t="s">
        <v>698</v>
      </c>
      <c r="V25" s="253" t="s">
        <v>698</v>
      </c>
      <c r="W25" s="253" t="s">
        <v>698</v>
      </c>
      <c r="X25" s="37"/>
      <c r="Y25" s="37"/>
    </row>
    <row r="26" spans="1:26" x14ac:dyDescent="0.4">
      <c r="B26" s="46" t="s">
        <v>0</v>
      </c>
      <c r="C26" s="14"/>
      <c r="D26" s="253"/>
      <c r="E26" s="253"/>
      <c r="F26" s="253"/>
      <c r="G26" s="253"/>
      <c r="H26" s="253"/>
      <c r="I26" s="253"/>
      <c r="J26" s="253"/>
      <c r="K26" s="253"/>
      <c r="L26" s="253"/>
      <c r="M26" s="253"/>
      <c r="N26" s="253"/>
      <c r="O26" s="253"/>
      <c r="P26" s="253"/>
      <c r="Q26" s="253"/>
      <c r="R26" s="253"/>
      <c r="S26" s="253"/>
      <c r="T26" s="253"/>
      <c r="U26" s="253"/>
      <c r="V26" s="253"/>
      <c r="W26" s="253"/>
      <c r="X26" s="37"/>
      <c r="Y26" s="37"/>
    </row>
    <row r="27" spans="1:26" x14ac:dyDescent="0.4">
      <c r="B27" s="46" t="s">
        <v>1</v>
      </c>
      <c r="C27" s="14"/>
      <c r="D27" s="253">
        <f>E172</f>
        <v>43.6</v>
      </c>
      <c r="E27" s="253">
        <f t="shared" ref="E27:S27" si="12">F172</f>
        <v>45.8</v>
      </c>
      <c r="F27" s="253">
        <f t="shared" si="12"/>
        <v>47.5</v>
      </c>
      <c r="G27" s="253">
        <f t="shared" si="12"/>
        <v>48.5</v>
      </c>
      <c r="H27" s="253">
        <f t="shared" si="12"/>
        <v>49.7</v>
      </c>
      <c r="I27" s="253">
        <f t="shared" si="12"/>
        <v>50.8</v>
      </c>
      <c r="J27" s="253">
        <f t="shared" si="12"/>
        <v>51.9</v>
      </c>
      <c r="K27" s="253">
        <f t="shared" si="12"/>
        <v>53</v>
      </c>
      <c r="L27" s="253">
        <f t="shared" si="12"/>
        <v>53.9</v>
      </c>
      <c r="M27" s="253">
        <f t="shared" si="12"/>
        <v>54.9</v>
      </c>
      <c r="N27" s="253">
        <f t="shared" si="12"/>
        <v>55.9</v>
      </c>
      <c r="O27" s="253">
        <f t="shared" si="12"/>
        <v>56.8</v>
      </c>
      <c r="P27" s="253">
        <f t="shared" si="12"/>
        <v>57.7</v>
      </c>
      <c r="Q27" s="253">
        <f t="shared" si="12"/>
        <v>58.5</v>
      </c>
      <c r="R27" s="253">
        <f t="shared" si="12"/>
        <v>59.2</v>
      </c>
      <c r="S27" s="253">
        <f t="shared" si="12"/>
        <v>59.9</v>
      </c>
      <c r="T27" s="253" t="s">
        <v>698</v>
      </c>
      <c r="U27" s="253" t="s">
        <v>698</v>
      </c>
      <c r="V27" s="253" t="s">
        <v>698</v>
      </c>
      <c r="W27" s="253" t="s">
        <v>698</v>
      </c>
      <c r="X27" s="37"/>
      <c r="Y27" s="37"/>
      <c r="Z27" s="14"/>
    </row>
    <row r="28" spans="1:26" x14ac:dyDescent="0.4">
      <c r="B28" s="55" t="s">
        <v>315</v>
      </c>
      <c r="C28" s="14"/>
      <c r="D28" s="164"/>
      <c r="E28" s="164"/>
      <c r="F28" s="164"/>
      <c r="G28" s="164"/>
      <c r="H28" s="164"/>
      <c r="I28" s="164"/>
      <c r="J28" s="164"/>
      <c r="K28" s="164"/>
      <c r="L28" s="164"/>
      <c r="M28" s="164"/>
      <c r="N28" s="164"/>
      <c r="O28" s="164"/>
      <c r="P28" s="164"/>
      <c r="Q28" s="164"/>
      <c r="R28" s="164"/>
      <c r="S28" s="164"/>
      <c r="T28" s="164"/>
      <c r="U28" s="164"/>
      <c r="V28" s="164"/>
      <c r="W28" s="164"/>
      <c r="X28" s="37"/>
      <c r="Y28" s="37"/>
    </row>
    <row r="29" spans="1:26" x14ac:dyDescent="0.4">
      <c r="B29" s="46" t="s">
        <v>285</v>
      </c>
      <c r="C29" s="14"/>
      <c r="D29" s="253">
        <f>E206</f>
        <v>0</v>
      </c>
      <c r="E29" s="253">
        <f t="shared" ref="E29:S29" si="13">F206</f>
        <v>0</v>
      </c>
      <c r="F29" s="253">
        <f t="shared" si="13"/>
        <v>0</v>
      </c>
      <c r="G29" s="253">
        <f t="shared" si="13"/>
        <v>0</v>
      </c>
      <c r="H29" s="253">
        <f t="shared" si="13"/>
        <v>0</v>
      </c>
      <c r="I29" s="253">
        <f t="shared" si="13"/>
        <v>0</v>
      </c>
      <c r="J29" s="253">
        <f t="shared" si="13"/>
        <v>0</v>
      </c>
      <c r="K29" s="253">
        <f t="shared" si="13"/>
        <v>0</v>
      </c>
      <c r="L29" s="253">
        <f t="shared" si="13"/>
        <v>0</v>
      </c>
      <c r="M29" s="253">
        <f t="shared" si="13"/>
        <v>0</v>
      </c>
      <c r="N29" s="253">
        <f t="shared" si="13"/>
        <v>0</v>
      </c>
      <c r="O29" s="253">
        <f t="shared" si="13"/>
        <v>0</v>
      </c>
      <c r="P29" s="253">
        <f t="shared" si="13"/>
        <v>0</v>
      </c>
      <c r="Q29" s="253">
        <f t="shared" si="13"/>
        <v>0</v>
      </c>
      <c r="R29" s="253">
        <f t="shared" si="13"/>
        <v>0</v>
      </c>
      <c r="S29" s="253">
        <f t="shared" si="13"/>
        <v>0</v>
      </c>
      <c r="T29" s="253" t="s">
        <v>698</v>
      </c>
      <c r="U29" s="253" t="s">
        <v>698</v>
      </c>
      <c r="V29" s="253" t="s">
        <v>698</v>
      </c>
      <c r="W29" s="253" t="s">
        <v>698</v>
      </c>
      <c r="X29" s="37"/>
      <c r="Y29" s="37"/>
      <c r="Z29" s="14"/>
    </row>
    <row r="30" spans="1:26" s="14" customFormat="1" x14ac:dyDescent="0.4">
      <c r="A30"/>
      <c r="B30" s="46" t="s">
        <v>286</v>
      </c>
      <c r="D30" s="253">
        <f t="shared" ref="D30:S30" si="14">E189</f>
        <v>0</v>
      </c>
      <c r="E30" s="253">
        <f t="shared" si="14"/>
        <v>0</v>
      </c>
      <c r="F30" s="253">
        <f t="shared" si="14"/>
        <v>0</v>
      </c>
      <c r="G30" s="253">
        <f t="shared" si="14"/>
        <v>0</v>
      </c>
      <c r="H30" s="253">
        <f t="shared" si="14"/>
        <v>0</v>
      </c>
      <c r="I30" s="253">
        <f t="shared" si="14"/>
        <v>0</v>
      </c>
      <c r="J30" s="253">
        <f t="shared" si="14"/>
        <v>0</v>
      </c>
      <c r="K30" s="253">
        <f t="shared" si="14"/>
        <v>0</v>
      </c>
      <c r="L30" s="253">
        <f t="shared" si="14"/>
        <v>0</v>
      </c>
      <c r="M30" s="253">
        <f t="shared" si="14"/>
        <v>0</v>
      </c>
      <c r="N30" s="253">
        <f t="shared" si="14"/>
        <v>0</v>
      </c>
      <c r="O30" s="253">
        <f t="shared" si="14"/>
        <v>0</v>
      </c>
      <c r="P30" s="253">
        <f t="shared" si="14"/>
        <v>0</v>
      </c>
      <c r="Q30" s="253">
        <f t="shared" si="14"/>
        <v>0</v>
      </c>
      <c r="R30" s="253">
        <f t="shared" si="14"/>
        <v>0</v>
      </c>
      <c r="S30" s="253">
        <f t="shared" si="14"/>
        <v>0</v>
      </c>
      <c r="T30" s="253" t="s">
        <v>698</v>
      </c>
      <c r="U30" s="253" t="s">
        <v>698</v>
      </c>
      <c r="V30" s="253" t="s">
        <v>698</v>
      </c>
      <c r="W30" s="253" t="s">
        <v>698</v>
      </c>
      <c r="X30" s="37"/>
      <c r="Y30" s="37"/>
    </row>
    <row r="31" spans="1:26" s="14" customFormat="1" x14ac:dyDescent="0.4">
      <c r="A31"/>
      <c r="B31" s="46" t="s">
        <v>287</v>
      </c>
      <c r="D31" s="253">
        <f t="shared" ref="D31:S31" si="15">E193</f>
        <v>0</v>
      </c>
      <c r="E31" s="253">
        <f t="shared" si="15"/>
        <v>0</v>
      </c>
      <c r="F31" s="253">
        <f t="shared" si="15"/>
        <v>0</v>
      </c>
      <c r="G31" s="253">
        <f t="shared" si="15"/>
        <v>0</v>
      </c>
      <c r="H31" s="253">
        <f t="shared" si="15"/>
        <v>0</v>
      </c>
      <c r="I31" s="253">
        <f t="shared" si="15"/>
        <v>0</v>
      </c>
      <c r="J31" s="253">
        <f t="shared" si="15"/>
        <v>0</v>
      </c>
      <c r="K31" s="253">
        <f t="shared" si="15"/>
        <v>0</v>
      </c>
      <c r="L31" s="253">
        <f t="shared" si="15"/>
        <v>0</v>
      </c>
      <c r="M31" s="253">
        <f t="shared" si="15"/>
        <v>0</v>
      </c>
      <c r="N31" s="253">
        <f t="shared" si="15"/>
        <v>0</v>
      </c>
      <c r="O31" s="253">
        <f t="shared" si="15"/>
        <v>0</v>
      </c>
      <c r="P31" s="253">
        <f t="shared" si="15"/>
        <v>0</v>
      </c>
      <c r="Q31" s="253">
        <f t="shared" si="15"/>
        <v>0</v>
      </c>
      <c r="R31" s="253">
        <f t="shared" si="15"/>
        <v>0</v>
      </c>
      <c r="S31" s="253">
        <f t="shared" si="15"/>
        <v>0</v>
      </c>
      <c r="T31" s="253" t="s">
        <v>698</v>
      </c>
      <c r="U31" s="253" t="s">
        <v>698</v>
      </c>
      <c r="V31" s="253" t="s">
        <v>698</v>
      </c>
      <c r="W31" s="253" t="s">
        <v>698</v>
      </c>
      <c r="X31" s="37"/>
      <c r="Y31" s="37"/>
    </row>
    <row r="32" spans="1:26" x14ac:dyDescent="0.4">
      <c r="B32" s="46" t="s">
        <v>288</v>
      </c>
      <c r="C32" s="14"/>
      <c r="D32" s="253">
        <f t="shared" ref="D32:S32" si="16">E196</f>
        <v>0</v>
      </c>
      <c r="E32" s="253">
        <f t="shared" si="16"/>
        <v>0</v>
      </c>
      <c r="F32" s="253">
        <f t="shared" si="16"/>
        <v>0</v>
      </c>
      <c r="G32" s="253">
        <f t="shared" si="16"/>
        <v>0</v>
      </c>
      <c r="H32" s="253">
        <f t="shared" si="16"/>
        <v>0</v>
      </c>
      <c r="I32" s="253">
        <f t="shared" si="16"/>
        <v>0</v>
      </c>
      <c r="J32" s="253">
        <f t="shared" si="16"/>
        <v>0</v>
      </c>
      <c r="K32" s="253">
        <f t="shared" si="16"/>
        <v>0</v>
      </c>
      <c r="L32" s="253">
        <f t="shared" si="16"/>
        <v>0</v>
      </c>
      <c r="M32" s="253">
        <f t="shared" si="16"/>
        <v>0</v>
      </c>
      <c r="N32" s="253">
        <f t="shared" si="16"/>
        <v>0</v>
      </c>
      <c r="O32" s="253">
        <f t="shared" si="16"/>
        <v>0</v>
      </c>
      <c r="P32" s="253">
        <f t="shared" si="16"/>
        <v>0</v>
      </c>
      <c r="Q32" s="253">
        <f t="shared" si="16"/>
        <v>0</v>
      </c>
      <c r="R32" s="253">
        <f t="shared" si="16"/>
        <v>0</v>
      </c>
      <c r="S32" s="253">
        <f t="shared" si="16"/>
        <v>0</v>
      </c>
      <c r="T32" s="253" t="s">
        <v>698</v>
      </c>
      <c r="U32" s="253" t="s">
        <v>698</v>
      </c>
      <c r="V32" s="253" t="s">
        <v>698</v>
      </c>
      <c r="W32" s="253" t="s">
        <v>698</v>
      </c>
      <c r="X32" s="37"/>
      <c r="Y32" s="37"/>
      <c r="Z32" s="14"/>
    </row>
    <row r="33" spans="1:26" x14ac:dyDescent="0.4">
      <c r="B33" s="61" t="s">
        <v>355</v>
      </c>
      <c r="C33" s="19"/>
      <c r="D33" s="119">
        <f>E202</f>
        <v>0</v>
      </c>
      <c r="E33" s="164"/>
      <c r="F33" s="164"/>
      <c r="G33" s="164"/>
      <c r="H33" s="164"/>
      <c r="I33" s="164"/>
      <c r="J33" s="164"/>
      <c r="K33" s="164"/>
      <c r="L33" s="164"/>
      <c r="M33" s="164"/>
      <c r="N33" s="164"/>
      <c r="O33" s="164"/>
      <c r="P33" s="164"/>
      <c r="Q33" s="164"/>
      <c r="R33" s="164"/>
      <c r="S33" s="164"/>
      <c r="T33" s="164"/>
      <c r="U33" s="164"/>
      <c r="V33" s="164"/>
      <c r="W33" s="164"/>
      <c r="X33" s="37"/>
      <c r="Y33" s="37"/>
      <c r="Z33" s="14"/>
    </row>
    <row r="34" spans="1:26" x14ac:dyDescent="0.4">
      <c r="B34" s="55"/>
      <c r="C34" s="14"/>
      <c r="D34" s="48"/>
      <c r="E34" s="48"/>
      <c r="F34" s="48"/>
      <c r="G34" s="48"/>
      <c r="H34" s="48"/>
      <c r="I34" s="48"/>
      <c r="J34" s="48"/>
      <c r="K34" s="48"/>
      <c r="L34" s="48"/>
      <c r="M34" s="48"/>
      <c r="N34" s="48"/>
      <c r="O34" s="48"/>
      <c r="P34" s="48"/>
      <c r="Q34" s="48"/>
      <c r="R34" s="48"/>
      <c r="S34" s="48"/>
      <c r="T34" s="48"/>
      <c r="U34" s="48"/>
      <c r="V34" s="48"/>
      <c r="W34" s="48"/>
    </row>
    <row r="35" spans="1:26" ht="18" x14ac:dyDescent="0.55000000000000004">
      <c r="B35" s="50" t="str">
        <f>IF(Receives_reference_trajectory,"Prior guidance: reference trajectory and DSA","Prior guidance: technical information and DSA")</f>
        <v>Prior guidance: technical information and DSA</v>
      </c>
      <c r="D35" s="48"/>
      <c r="E35" s="48"/>
      <c r="F35" s="48"/>
      <c r="G35" s="48"/>
      <c r="H35" s="48"/>
      <c r="I35" s="48"/>
    </row>
    <row r="36" spans="1:26" ht="15.75" x14ac:dyDescent="0.5">
      <c r="B36" s="79" t="s">
        <v>310</v>
      </c>
      <c r="C36" s="14"/>
      <c r="D36" s="48"/>
      <c r="E36" s="48"/>
      <c r="F36" s="48"/>
      <c r="G36" s="48"/>
      <c r="H36" s="48"/>
      <c r="I36" s="48"/>
    </row>
    <row r="37" spans="1:26" s="14" customFormat="1" x14ac:dyDescent="0.4">
      <c r="A37"/>
      <c r="B37" s="39" t="s">
        <v>251</v>
      </c>
      <c r="C37" s="94"/>
      <c r="D37" s="44" cm="1">
        <f t="array" ref="D37:S37">_xlfn.SEQUENCE(1, AdjustmentPeriodEnd+10-MTP_BaseYear+1, MTP_BaseYear)</f>
        <v>2023</v>
      </c>
      <c r="E37" s="60">
        <v>2024</v>
      </c>
      <c r="F37" s="60">
        <v>2025</v>
      </c>
      <c r="G37" s="60">
        <v>2026</v>
      </c>
      <c r="H37" s="60">
        <v>2027</v>
      </c>
      <c r="I37" s="60">
        <v>2028</v>
      </c>
      <c r="J37" s="60">
        <v>2029</v>
      </c>
      <c r="K37" s="60">
        <v>2030</v>
      </c>
      <c r="L37" s="60">
        <v>2031</v>
      </c>
      <c r="M37" s="60">
        <v>2032</v>
      </c>
      <c r="N37" s="60">
        <v>2033</v>
      </c>
      <c r="O37" s="60">
        <v>2034</v>
      </c>
      <c r="P37" s="60">
        <v>2035</v>
      </c>
      <c r="Q37" s="60">
        <v>2036</v>
      </c>
      <c r="R37" s="60">
        <v>2037</v>
      </c>
      <c r="S37" s="60">
        <v>2038</v>
      </c>
      <c r="T37" s="60"/>
      <c r="U37" s="60"/>
      <c r="V37" s="60"/>
      <c r="W37" s="60"/>
    </row>
    <row r="38" spans="1:26" ht="20.65" customHeight="1" x14ac:dyDescent="0.4">
      <c r="B38" s="41" t="s">
        <v>274</v>
      </c>
      <c r="C38" s="19"/>
      <c r="D38" s="47" t="str" cm="1">
        <f t="array" ref="D38:I38">_xlfn.LET(
  _xlpm.n, _xlfn.SEQUENCE(1, MTP_EndYear - MTP_PlanFirstYear + 1, MTP_PlanFirstYear - MTP_YearT),
  CHOOSE(SIGN(_xlpm.n) + 2, "T" &amp; _xlpm.n, "T", "T+" &amp; _xlpm.n)
)</f>
        <v>T-1</v>
      </c>
      <c r="E38" s="47" t="str">
        <v>T</v>
      </c>
      <c r="F38" s="47" t="str">
        <v>T+1</v>
      </c>
      <c r="G38" s="47" t="str">
        <v>T+2</v>
      </c>
      <c r="H38" s="47" t="str">
        <v>T+3</v>
      </c>
      <c r="I38" s="47" t="str">
        <v>T+4</v>
      </c>
      <c r="J38" s="47"/>
      <c r="K38" s="47"/>
      <c r="L38" s="47"/>
      <c r="M38" s="47"/>
      <c r="N38" s="47"/>
      <c r="O38" s="47"/>
      <c r="P38" s="47"/>
      <c r="Q38" s="47"/>
      <c r="R38" s="47"/>
      <c r="S38" s="47"/>
      <c r="T38" s="47"/>
      <c r="U38" s="47"/>
      <c r="V38" s="47"/>
      <c r="W38" s="47"/>
      <c r="X38" s="14"/>
      <c r="Y38" s="14"/>
      <c r="Z38" s="14"/>
    </row>
    <row r="39" spans="1:26" s="14" customFormat="1" x14ac:dyDescent="0.4">
      <c r="A39"/>
      <c r="B39" s="55" t="str">
        <f>"Reference trajectory provided by the Commission"&amp;IF(NOT(Receives_reference_trajectory)," (not applicable)","")</f>
        <v>Reference trajectory provided by the Commission (not applicable)</v>
      </c>
      <c r="D39" s="252"/>
      <c r="E39" s="252"/>
      <c r="F39" s="252"/>
      <c r="G39" s="252"/>
      <c r="H39" s="252"/>
      <c r="I39" s="252"/>
      <c r="J39" s="252"/>
      <c r="K39" s="252"/>
      <c r="L39" s="252"/>
      <c r="M39" s="252"/>
      <c r="N39" s="252"/>
      <c r="O39" s="252"/>
      <c r="P39" s="252"/>
      <c r="Q39" s="252"/>
      <c r="R39" s="252"/>
      <c r="S39" s="252"/>
      <c r="T39" s="252"/>
      <c r="U39" s="252"/>
      <c r="V39" s="252"/>
      <c r="W39" s="252"/>
      <c r="X39" s="84"/>
    </row>
    <row r="40" spans="1:26" s="14" customFormat="1" x14ac:dyDescent="0.4">
      <c r="A40"/>
      <c r="B40" s="55" t="str">
        <f>"Minimum level for the structural primary balance in "&amp;AdjustmentPeriodEnd&amp;IF(Receives_reference_trajectory," (not applicable)","")&amp;", no safeguard"</f>
        <v>Minimum level for the structural primary balance in 2028, no safeguard</v>
      </c>
      <c r="D40" s="253"/>
      <c r="E40" s="253"/>
      <c r="F40" s="253"/>
      <c r="G40" s="253"/>
      <c r="H40" s="253"/>
      <c r="I40" s="253">
        <v>-1.3</v>
      </c>
      <c r="J40" s="253"/>
      <c r="K40" s="253"/>
      <c r="L40" s="253"/>
      <c r="M40" s="253"/>
      <c r="N40" s="253"/>
      <c r="O40" s="253"/>
      <c r="P40" s="253"/>
      <c r="Q40" s="253"/>
      <c r="R40" s="253"/>
      <c r="S40" s="253"/>
      <c r="T40" s="253"/>
      <c r="U40" s="253"/>
      <c r="V40" s="253"/>
      <c r="W40" s="253"/>
    </row>
    <row r="41" spans="1:26" s="14" customFormat="1" x14ac:dyDescent="0.4">
      <c r="A41"/>
      <c r="B41" s="55" t="str">
        <f>"Minimum level for the structural primary balance in "&amp;AdjustmentPeriodEnd&amp;IF(Receives_reference_trajectory," (not applicable)","")&amp;", with safeguard"</f>
        <v>Minimum level for the structural primary balance in 2028, with safeguard</v>
      </c>
      <c r="D41" s="253"/>
      <c r="E41" s="253"/>
      <c r="F41" s="253"/>
      <c r="G41" s="253"/>
      <c r="H41" s="253"/>
      <c r="I41" s="253">
        <v>-0.1</v>
      </c>
      <c r="J41" s="253"/>
      <c r="K41" s="253"/>
      <c r="L41" s="253"/>
      <c r="M41" s="253"/>
      <c r="N41" s="253"/>
      <c r="O41" s="253"/>
      <c r="P41" s="253"/>
      <c r="Q41" s="253"/>
      <c r="R41" s="253"/>
      <c r="S41" s="253"/>
      <c r="T41" s="253"/>
      <c r="U41" s="253"/>
      <c r="V41" s="253"/>
      <c r="W41" s="253"/>
      <c r="X41" s="84"/>
    </row>
    <row r="42" spans="1:26" s="14" customFormat="1" x14ac:dyDescent="0.4">
      <c r="A42"/>
      <c r="B42" s="81" t="str">
        <f>IF(Receives_reference_trajectory,"EC reference trajectory","EC technical information - Path to meet all requirements and safeguard.")</f>
        <v>EC technical information - Path to meet all requirements and safeguard.</v>
      </c>
      <c r="D42" s="37"/>
      <c r="E42" s="37"/>
      <c r="F42" s="37"/>
      <c r="G42" s="37"/>
      <c r="H42" s="37"/>
      <c r="I42" s="37"/>
      <c r="J42" s="37"/>
      <c r="K42" s="37"/>
      <c r="L42" s="37"/>
      <c r="M42" s="37"/>
      <c r="N42" s="37"/>
      <c r="O42" s="37"/>
      <c r="P42" s="37"/>
      <c r="Q42" s="37"/>
      <c r="R42" s="37"/>
      <c r="S42" s="37"/>
      <c r="T42" s="37"/>
      <c r="U42" s="37"/>
      <c r="V42" s="37"/>
      <c r="W42" s="37"/>
      <c r="X42"/>
      <c r="Y42"/>
      <c r="Z42"/>
    </row>
    <row r="43" spans="1:26" s="14" customFormat="1" ht="12.4" customHeight="1" x14ac:dyDescent="0.4">
      <c r="A43"/>
      <c r="B43" s="55" t="str">
        <f>"Main budgetary variables ("&amp;AdjustmentPeriod&amp;"-year adjustment period)"</f>
        <v>Main budgetary variables (4-year adjustment period)</v>
      </c>
      <c r="D43" s="37"/>
      <c r="E43" s="37"/>
      <c r="F43" s="37"/>
      <c r="G43" s="37"/>
      <c r="H43" s="37"/>
      <c r="I43" s="37"/>
      <c r="J43" s="37"/>
      <c r="K43" s="37"/>
      <c r="L43" s="37"/>
      <c r="M43" s="37"/>
      <c r="N43" s="37"/>
      <c r="O43" s="37"/>
      <c r="P43" s="37"/>
      <c r="Q43" s="37"/>
      <c r="R43" s="37"/>
      <c r="S43" s="37"/>
      <c r="T43" s="37"/>
      <c r="U43" s="37"/>
      <c r="V43" s="37"/>
      <c r="W43" s="37"/>
      <c r="X43"/>
      <c r="Y43"/>
      <c r="Z43"/>
    </row>
    <row r="44" spans="1:26" x14ac:dyDescent="0.4">
      <c r="B44" s="46" t="str">
        <f>"Net expenditure growth in a plan"&amp;IF(AdjustmentPeriod=4," without extention","with extension")</f>
        <v>Net expenditure growth in a plan without extention</v>
      </c>
      <c r="C44" s="14"/>
      <c r="D44" s="253">
        <v>8.0055138637424594</v>
      </c>
      <c r="E44" s="253">
        <v>4.918973667178153</v>
      </c>
      <c r="F44" s="253">
        <v>3.6413061968341944</v>
      </c>
      <c r="G44" s="253">
        <v>2.7436451968341951</v>
      </c>
      <c r="H44" s="253">
        <v>2.461675896834195</v>
      </c>
      <c r="I44" s="253">
        <v>3.4330077000000001</v>
      </c>
      <c r="J44" s="253">
        <v>3.5328969999999997</v>
      </c>
      <c r="K44" s="253">
        <v>3.6117759999999999</v>
      </c>
      <c r="L44" s="253">
        <v>3.6942360000000001</v>
      </c>
      <c r="M44" s="253">
        <v>3.7719449999999997</v>
      </c>
      <c r="N44" s="253">
        <v>3.828627</v>
      </c>
      <c r="O44" s="253">
        <v>3.86795</v>
      </c>
      <c r="P44" s="253">
        <v>3.9072739999999997</v>
      </c>
      <c r="Q44" s="253">
        <v>3.9465969999999997</v>
      </c>
      <c r="R44" s="253">
        <v>3.9263029999999999</v>
      </c>
      <c r="S44" s="253">
        <v>3.8353979999999996</v>
      </c>
      <c r="T44" s="253"/>
      <c r="U44" s="253"/>
      <c r="V44" s="253"/>
      <c r="W44" s="253"/>
    </row>
    <row r="45" spans="1:26" x14ac:dyDescent="0.4">
      <c r="B45" s="46" t="s">
        <v>206</v>
      </c>
      <c r="C45" s="14"/>
      <c r="D45" s="253">
        <v>-2.2135657932845034</v>
      </c>
      <c r="E45" s="253">
        <v>-2.8062079681304199</v>
      </c>
      <c r="F45" s="253">
        <v>-2.5067619901395064</v>
      </c>
      <c r="G45" s="253">
        <v>-2.206873278489728</v>
      </c>
      <c r="H45" s="253">
        <v>-1.8633060345306278</v>
      </c>
      <c r="I45" s="253">
        <v>-1.7916966375158498</v>
      </c>
      <c r="J45" s="253">
        <v>-1.6925454978647463</v>
      </c>
      <c r="K45" s="253">
        <v>-1.5915530356665335</v>
      </c>
      <c r="L45" s="253">
        <v>-1.6101802145400299</v>
      </c>
      <c r="M45" s="253">
        <v>-1.6161592161060545</v>
      </c>
      <c r="N45" s="253">
        <v>-1.6085039236054168</v>
      </c>
      <c r="O45" s="253">
        <v>-1.5818452273346075</v>
      </c>
      <c r="P45" s="253">
        <v>-1.5412460252830995</v>
      </c>
      <c r="Q45" s="253">
        <v>-1.4769102267025542</v>
      </c>
      <c r="R45" s="253">
        <v>-1.3926660457021243</v>
      </c>
      <c r="S45" s="253">
        <v>-1.3042478692969754</v>
      </c>
      <c r="T45" s="253"/>
      <c r="U45" s="253"/>
      <c r="V45" s="253"/>
      <c r="W45" s="253"/>
    </row>
    <row r="46" spans="1:26" x14ac:dyDescent="0.4">
      <c r="B46" s="46" t="s">
        <v>3</v>
      </c>
      <c r="C46" s="14"/>
      <c r="D46" s="253">
        <v>-1.2598830000000001</v>
      </c>
      <c r="E46" s="253">
        <v>-1.362466</v>
      </c>
      <c r="F46" s="253">
        <v>-0.96246599999999993</v>
      </c>
      <c r="G46" s="253">
        <v>-0.56246599999999991</v>
      </c>
      <c r="H46" s="253">
        <v>-0.16246599999999989</v>
      </c>
      <c r="I46" s="253">
        <v>-0.16246599999999989</v>
      </c>
      <c r="J46" s="253">
        <v>-0.16246599999999989</v>
      </c>
      <c r="K46" s="253">
        <v>-0.16246599999999989</v>
      </c>
      <c r="L46" s="253">
        <v>-0.16246599999999989</v>
      </c>
      <c r="M46" s="253">
        <v>-0.16246599999999989</v>
      </c>
      <c r="N46" s="253">
        <v>-0.16246599999999989</v>
      </c>
      <c r="O46" s="253">
        <v>-0.16246599999999989</v>
      </c>
      <c r="P46" s="253">
        <v>-0.16246599999999989</v>
      </c>
      <c r="Q46" s="253">
        <v>-0.16246599999999989</v>
      </c>
      <c r="R46" s="253">
        <v>-0.16246599999999989</v>
      </c>
      <c r="S46" s="253">
        <v>-0.16246599999999989</v>
      </c>
      <c r="T46" s="253"/>
      <c r="U46" s="253"/>
      <c r="V46" s="253"/>
      <c r="W46" s="253"/>
    </row>
    <row r="47" spans="1:26" s="14" customFormat="1" x14ac:dyDescent="0.4">
      <c r="A47"/>
      <c r="B47" s="46" t="s">
        <v>1</v>
      </c>
      <c r="D47" s="253">
        <v>43.57443441662371</v>
      </c>
      <c r="E47" s="253">
        <v>44.530802034460706</v>
      </c>
      <c r="F47" s="253">
        <v>46.07468666579198</v>
      </c>
      <c r="G47" s="253">
        <v>46.609273528729865</v>
      </c>
      <c r="H47" s="253">
        <v>46.913196864360586</v>
      </c>
      <c r="I47" s="253">
        <v>46.995070407048942</v>
      </c>
      <c r="J47" s="253">
        <v>46.930563469050668</v>
      </c>
      <c r="K47" s="253">
        <v>46.732746137356571</v>
      </c>
      <c r="L47" s="253">
        <v>46.665196728822288</v>
      </c>
      <c r="M47" s="253">
        <v>46.57158616038403</v>
      </c>
      <c r="N47" s="253">
        <v>46.448703649292682</v>
      </c>
      <c r="O47" s="253">
        <v>46.286232845917183</v>
      </c>
      <c r="P47" s="253">
        <v>46.071857686662426</v>
      </c>
      <c r="Q47" s="253">
        <v>45.783976834477045</v>
      </c>
      <c r="R47" s="253">
        <v>45.431572278341648</v>
      </c>
      <c r="S47" s="253">
        <v>45.043240344023324</v>
      </c>
      <c r="T47" s="253"/>
      <c r="U47" s="253"/>
      <c r="V47" s="253"/>
      <c r="W47" s="253"/>
      <c r="X47"/>
      <c r="Y47"/>
      <c r="Z47"/>
    </row>
    <row r="48" spans="1:26" s="14" customFormat="1" x14ac:dyDescent="0.4">
      <c r="A48"/>
      <c r="B48" s="44" t="str">
        <f>"Debt sustainability assessment ("&amp;AdjustmentPeriod&amp;"-year adjustment period)"</f>
        <v>Debt sustainability assessment (4-year adjustment period)</v>
      </c>
      <c r="D48" s="165"/>
      <c r="E48" s="165"/>
      <c r="F48" s="165"/>
      <c r="G48" s="165"/>
      <c r="H48" s="165"/>
      <c r="I48" s="165"/>
      <c r="J48" s="165"/>
      <c r="K48" s="165"/>
      <c r="L48" s="165"/>
      <c r="M48" s="165"/>
      <c r="N48" s="165"/>
      <c r="O48" s="165"/>
      <c r="P48" s="165"/>
      <c r="Q48" s="165"/>
      <c r="R48" s="165"/>
      <c r="S48" s="165"/>
      <c r="T48" s="165"/>
      <c r="U48" s="165"/>
      <c r="V48" s="165"/>
      <c r="W48" s="165"/>
      <c r="X48"/>
    </row>
    <row r="49" spans="1:26" s="14" customFormat="1" x14ac:dyDescent="0.4">
      <c r="A49"/>
      <c r="B49" s="46" t="s">
        <v>285</v>
      </c>
      <c r="D49" s="119"/>
      <c r="E49" s="119"/>
      <c r="F49" s="119"/>
      <c r="G49" s="119"/>
      <c r="H49" s="119"/>
      <c r="I49" s="119"/>
      <c r="J49" s="119"/>
      <c r="K49" s="119"/>
      <c r="L49" s="119"/>
      <c r="M49" s="119"/>
      <c r="N49" s="119"/>
      <c r="O49" s="119"/>
      <c r="P49" s="119"/>
      <c r="Q49" s="119"/>
      <c r="R49" s="119"/>
      <c r="S49" s="119"/>
      <c r="T49" s="253"/>
      <c r="U49" s="253"/>
      <c r="V49" s="253"/>
      <c r="W49" s="253"/>
      <c r="X49"/>
    </row>
    <row r="50" spans="1:26" s="14" customFormat="1" ht="16.899999999999999" customHeight="1" x14ac:dyDescent="0.4">
      <c r="A50"/>
      <c r="B50" s="46" t="s">
        <v>286</v>
      </c>
      <c r="D50" s="119"/>
      <c r="E50" s="119"/>
      <c r="F50" s="119"/>
      <c r="G50" s="119"/>
      <c r="H50" s="119"/>
      <c r="I50" s="119"/>
      <c r="J50" s="119"/>
      <c r="K50" s="119"/>
      <c r="L50" s="119"/>
      <c r="M50" s="119"/>
      <c r="N50" s="119"/>
      <c r="O50" s="119"/>
      <c r="P50" s="119"/>
      <c r="Q50" s="119"/>
      <c r="R50" s="119"/>
      <c r="S50" s="119"/>
      <c r="T50" s="253"/>
      <c r="U50" s="253"/>
      <c r="V50" s="253"/>
      <c r="W50" s="253"/>
      <c r="X50"/>
    </row>
    <row r="51" spans="1:26" s="14" customFormat="1" x14ac:dyDescent="0.4">
      <c r="A51"/>
      <c r="B51" s="46" t="s">
        <v>287</v>
      </c>
      <c r="D51" s="119"/>
      <c r="E51" s="119"/>
      <c r="F51" s="119"/>
      <c r="G51" s="119"/>
      <c r="H51" s="119"/>
      <c r="I51" s="119"/>
      <c r="J51" s="119"/>
      <c r="K51" s="119"/>
      <c r="L51" s="119"/>
      <c r="M51" s="119"/>
      <c r="N51" s="119"/>
      <c r="O51" s="119"/>
      <c r="P51" s="119"/>
      <c r="Q51" s="119"/>
      <c r="R51" s="119"/>
      <c r="S51" s="119"/>
      <c r="T51" s="253"/>
      <c r="U51" s="253"/>
      <c r="V51" s="253"/>
      <c r="W51" s="253"/>
      <c r="X51"/>
    </row>
    <row r="52" spans="1:26" ht="20.25" customHeight="1" x14ac:dyDescent="0.4">
      <c r="B52" s="46" t="s">
        <v>288</v>
      </c>
      <c r="C52" s="14"/>
      <c r="D52" s="119"/>
      <c r="E52" s="119"/>
      <c r="F52" s="119"/>
      <c r="G52" s="119"/>
      <c r="H52" s="119"/>
      <c r="I52" s="119"/>
      <c r="J52" s="119"/>
      <c r="K52" s="119"/>
      <c r="L52" s="119"/>
      <c r="M52" s="119"/>
      <c r="N52" s="119"/>
      <c r="O52" s="119"/>
      <c r="P52" s="119"/>
      <c r="Q52" s="119"/>
      <c r="R52" s="119"/>
      <c r="S52" s="119"/>
      <c r="T52" s="253"/>
      <c r="U52" s="253"/>
      <c r="V52" s="253"/>
      <c r="W52" s="253"/>
      <c r="Y52" s="14"/>
      <c r="Z52" s="14"/>
    </row>
    <row r="53" spans="1:26" x14ac:dyDescent="0.4">
      <c r="B53" s="46" t="str">
        <f>"Stochastic debt projections, "&amp;AdjustmentPeriodEnd+1&amp;"-"&amp;StochasticLastYear</f>
        <v>Stochastic debt projections, 2029-2033</v>
      </c>
      <c r="C53" s="14"/>
      <c r="D53" s="253"/>
      <c r="E53" s="253"/>
      <c r="F53" s="253"/>
      <c r="G53" s="253"/>
      <c r="H53" s="253"/>
      <c r="I53" s="253"/>
      <c r="J53" s="253"/>
      <c r="K53" s="253"/>
      <c r="L53" s="253"/>
      <c r="M53" s="253"/>
      <c r="N53" s="253"/>
      <c r="O53" s="253"/>
      <c r="P53" s="253"/>
      <c r="Q53" s="253"/>
      <c r="R53" s="253"/>
      <c r="S53" s="253"/>
      <c r="T53" s="253"/>
      <c r="U53" s="253"/>
      <c r="V53" s="253"/>
      <c r="W53" s="253"/>
      <c r="Y53" s="14"/>
      <c r="Z53" s="14"/>
    </row>
    <row r="54" spans="1:26" x14ac:dyDescent="0.4">
      <c r="B54" s="82" t="s">
        <v>317</v>
      </c>
      <c r="C54" s="14"/>
      <c r="D54" s="253"/>
      <c r="E54" s="253"/>
      <c r="F54" s="253"/>
      <c r="G54" s="253"/>
      <c r="H54" s="253"/>
      <c r="I54" s="253"/>
      <c r="J54" s="253"/>
      <c r="K54" s="253"/>
      <c r="L54" s="253"/>
      <c r="M54" s="253"/>
      <c r="N54" s="253"/>
      <c r="O54" s="253"/>
      <c r="P54" s="253"/>
      <c r="Q54" s="253"/>
      <c r="R54" s="253"/>
      <c r="S54" s="253"/>
      <c r="T54" s="253"/>
      <c r="U54" s="253"/>
      <c r="V54" s="253"/>
      <c r="W54" s="253"/>
      <c r="Y54" s="14"/>
      <c r="Z54" s="14"/>
    </row>
    <row r="55" spans="1:26" x14ac:dyDescent="0.4">
      <c r="B55" s="82" t="s">
        <v>318</v>
      </c>
      <c r="C55" s="14"/>
      <c r="D55" s="253"/>
      <c r="E55" s="253"/>
      <c r="F55" s="253"/>
      <c r="G55" s="253"/>
      <c r="H55" s="253"/>
      <c r="I55" s="253"/>
      <c r="J55" s="253"/>
      <c r="K55" s="253"/>
      <c r="L55" s="253"/>
      <c r="M55" s="253"/>
      <c r="N55" s="253"/>
      <c r="O55" s="253"/>
      <c r="P55" s="253"/>
      <c r="Q55" s="253"/>
      <c r="R55" s="253"/>
      <c r="S55" s="253"/>
      <c r="T55" s="253"/>
      <c r="U55" s="253"/>
      <c r="V55" s="253"/>
      <c r="W55" s="253"/>
      <c r="Y55" s="14"/>
      <c r="Z55" s="14"/>
    </row>
    <row r="56" spans="1:26" x14ac:dyDescent="0.4">
      <c r="B56" s="82" t="s">
        <v>319</v>
      </c>
      <c r="C56" s="14"/>
      <c r="D56" s="253"/>
      <c r="E56" s="253"/>
      <c r="F56" s="253"/>
      <c r="G56" s="253"/>
      <c r="H56" s="253"/>
      <c r="I56" s="253"/>
      <c r="J56" s="253"/>
      <c r="K56" s="253"/>
      <c r="L56" s="253"/>
      <c r="M56" s="253"/>
      <c r="N56" s="253"/>
      <c r="O56" s="253"/>
      <c r="P56" s="253"/>
      <c r="Q56" s="253"/>
      <c r="R56" s="253"/>
      <c r="S56" s="253"/>
      <c r="T56" s="253"/>
      <c r="U56" s="253"/>
      <c r="V56" s="253"/>
      <c r="W56" s="253"/>
      <c r="Y56" s="14"/>
      <c r="Z56" s="14"/>
    </row>
    <row r="57" spans="1:26" x14ac:dyDescent="0.4">
      <c r="B57" s="82" t="s">
        <v>320</v>
      </c>
      <c r="C57" s="14"/>
      <c r="D57" s="253"/>
      <c r="E57" s="253"/>
      <c r="F57" s="253"/>
      <c r="G57" s="253"/>
      <c r="H57" s="253"/>
      <c r="I57" s="253"/>
      <c r="J57" s="253"/>
      <c r="K57" s="253"/>
      <c r="L57" s="253"/>
      <c r="M57" s="253"/>
      <c r="N57" s="253"/>
      <c r="O57" s="253"/>
      <c r="P57" s="253"/>
      <c r="Q57" s="253"/>
      <c r="R57" s="253"/>
      <c r="S57" s="253"/>
      <c r="T57" s="253"/>
      <c r="U57" s="253"/>
      <c r="V57" s="253"/>
      <c r="W57" s="253"/>
      <c r="Y57" s="14"/>
      <c r="Z57" s="14"/>
    </row>
    <row r="58" spans="1:26" s="14" customFormat="1" ht="20.25" customHeight="1" x14ac:dyDescent="0.4">
      <c r="A58"/>
      <c r="B58" s="82" t="s">
        <v>321</v>
      </c>
      <c r="D58" s="253"/>
      <c r="E58" s="253"/>
      <c r="F58" s="253"/>
      <c r="G58" s="253"/>
      <c r="H58" s="253"/>
      <c r="I58" s="253"/>
      <c r="J58" s="253"/>
      <c r="K58" s="253"/>
      <c r="L58" s="253"/>
      <c r="M58" s="253"/>
      <c r="N58" s="253"/>
      <c r="O58" s="253"/>
      <c r="P58" s="253"/>
      <c r="Q58" s="253"/>
      <c r="R58" s="253"/>
      <c r="S58" s="253"/>
      <c r="T58" s="253"/>
      <c r="U58" s="253"/>
      <c r="V58" s="253"/>
      <c r="W58" s="253"/>
      <c r="X58"/>
    </row>
    <row r="59" spans="1:26" s="14" customFormat="1" x14ac:dyDescent="0.4">
      <c r="A59"/>
      <c r="B59" s="82" t="s">
        <v>317</v>
      </c>
      <c r="D59" s="253"/>
      <c r="E59" s="253"/>
      <c r="F59" s="253"/>
      <c r="G59" s="253"/>
      <c r="H59" s="253"/>
      <c r="I59" s="253"/>
      <c r="J59" s="253"/>
      <c r="K59" s="253"/>
      <c r="L59" s="253"/>
      <c r="M59" s="253"/>
      <c r="N59" s="253"/>
      <c r="O59" s="253"/>
      <c r="P59" s="253"/>
      <c r="Q59" s="253"/>
      <c r="R59" s="253"/>
      <c r="S59" s="253"/>
      <c r="T59" s="253"/>
      <c r="U59" s="253"/>
      <c r="V59" s="253"/>
      <c r="W59" s="253"/>
      <c r="X59"/>
    </row>
    <row r="60" spans="1:26" s="14" customFormat="1" x14ac:dyDescent="0.4">
      <c r="A60"/>
      <c r="B60" s="82" t="s">
        <v>322</v>
      </c>
      <c r="D60" s="253"/>
      <c r="E60" s="253"/>
      <c r="F60" s="253"/>
      <c r="G60" s="253"/>
      <c r="H60" s="253"/>
      <c r="I60" s="253"/>
      <c r="J60" s="253"/>
      <c r="K60" s="253"/>
      <c r="L60" s="253"/>
      <c r="M60" s="253"/>
      <c r="N60" s="253"/>
      <c r="O60" s="253"/>
      <c r="P60" s="253"/>
      <c r="Q60" s="253"/>
      <c r="R60" s="253"/>
      <c r="S60" s="253"/>
      <c r="T60" s="253"/>
      <c r="U60" s="253"/>
      <c r="V60" s="253"/>
      <c r="W60" s="253"/>
      <c r="X60" s="70"/>
      <c r="Y60"/>
      <c r="Z60"/>
    </row>
    <row r="61" spans="1:26" s="14" customFormat="1" x14ac:dyDescent="0.4">
      <c r="A61"/>
      <c r="B61" s="82" t="s">
        <v>323</v>
      </c>
      <c r="D61" s="253"/>
      <c r="E61" s="253"/>
      <c r="F61" s="253"/>
      <c r="G61" s="253"/>
      <c r="H61" s="253"/>
      <c r="I61" s="253"/>
      <c r="J61" s="253"/>
      <c r="K61" s="253"/>
      <c r="L61" s="253"/>
      <c r="M61" s="253"/>
      <c r="N61" s="253"/>
      <c r="O61" s="253"/>
      <c r="P61" s="253"/>
      <c r="Q61" s="253"/>
      <c r="R61" s="253"/>
      <c r="S61" s="253"/>
      <c r="T61" s="253"/>
      <c r="U61" s="253"/>
      <c r="V61" s="253"/>
      <c r="W61" s="253"/>
      <c r="X61" s="70"/>
      <c r="Y61"/>
      <c r="Z61"/>
    </row>
    <row r="62" spans="1:26" s="14" customFormat="1" x14ac:dyDescent="0.4">
      <c r="A62"/>
      <c r="B62" s="82" t="s">
        <v>324</v>
      </c>
      <c r="D62" s="253"/>
      <c r="E62" s="253"/>
      <c r="F62" s="253"/>
      <c r="G62" s="253"/>
      <c r="H62" s="253"/>
      <c r="I62" s="253"/>
      <c r="J62" s="253"/>
      <c r="K62" s="253"/>
      <c r="L62" s="253"/>
      <c r="M62" s="253"/>
      <c r="N62" s="253"/>
      <c r="O62" s="253"/>
      <c r="P62" s="253"/>
      <c r="Q62" s="253"/>
      <c r="R62" s="253"/>
      <c r="S62" s="253"/>
      <c r="T62" s="253"/>
      <c r="U62" s="253"/>
      <c r="V62" s="253"/>
      <c r="W62" s="253"/>
      <c r="X62" s="70"/>
      <c r="Y62"/>
      <c r="Z62"/>
    </row>
    <row r="63" spans="1:26" s="14" customFormat="1" x14ac:dyDescent="0.4">
      <c r="A63"/>
      <c r="B63" s="83" t="s">
        <v>325</v>
      </c>
      <c r="C63" s="19"/>
      <c r="D63" s="253"/>
      <c r="E63" s="253"/>
      <c r="F63" s="253"/>
      <c r="G63" s="253"/>
      <c r="H63" s="253"/>
      <c r="I63" s="253"/>
      <c r="J63" s="253"/>
      <c r="K63" s="253"/>
      <c r="L63" s="253"/>
      <c r="M63" s="253"/>
      <c r="N63" s="253"/>
      <c r="O63" s="253"/>
      <c r="P63" s="253"/>
      <c r="Q63" s="253"/>
      <c r="R63" s="253"/>
      <c r="S63" s="253"/>
      <c r="T63" s="253"/>
      <c r="U63" s="253"/>
      <c r="V63" s="253"/>
      <c r="W63" s="253"/>
      <c r="X63" s="70"/>
      <c r="Y63"/>
      <c r="Z63"/>
    </row>
    <row r="64" spans="1:26" s="14" customFormat="1" x14ac:dyDescent="0.4">
      <c r="A64"/>
      <c r="B64"/>
      <c r="C64"/>
      <c r="D64"/>
      <c r="E64"/>
      <c r="F64"/>
      <c r="G64"/>
      <c r="H64"/>
      <c r="I64"/>
      <c r="J64"/>
      <c r="K64"/>
      <c r="L64"/>
      <c r="M64"/>
      <c r="N64"/>
      <c r="O64"/>
      <c r="P64"/>
      <c r="Q64"/>
      <c r="R64"/>
      <c r="S64"/>
      <c r="T64"/>
      <c r="U64"/>
      <c r="V64"/>
      <c r="W64"/>
      <c r="X64"/>
      <c r="Y64"/>
      <c r="Z64"/>
    </row>
    <row r="65" spans="1:26" s="14" customFormat="1" x14ac:dyDescent="0.4">
      <c r="A65"/>
      <c r="B65"/>
      <c r="C65"/>
      <c r="D65"/>
      <c r="E65"/>
      <c r="F65"/>
      <c r="G65"/>
      <c r="H65"/>
      <c r="I65"/>
      <c r="J65"/>
      <c r="K65"/>
      <c r="L65"/>
      <c r="M65"/>
      <c r="N65"/>
      <c r="O65"/>
      <c r="P65"/>
      <c r="Q65"/>
      <c r="R65"/>
      <c r="S65"/>
      <c r="T65"/>
      <c r="U65"/>
      <c r="V65"/>
      <c r="W65"/>
      <c r="X65"/>
      <c r="Y65"/>
      <c r="Z65"/>
    </row>
    <row r="66" spans="1:26" s="14" customFormat="1" x14ac:dyDescent="0.4">
      <c r="A66"/>
      <c r="B66"/>
      <c r="C66"/>
      <c r="D66"/>
      <c r="E66"/>
      <c r="F66"/>
      <c r="G66"/>
      <c r="H66"/>
      <c r="I66"/>
      <c r="J66"/>
      <c r="K66"/>
      <c r="L66"/>
      <c r="M66"/>
      <c r="N66"/>
      <c r="O66"/>
      <c r="P66"/>
      <c r="Q66"/>
      <c r="R66"/>
      <c r="S66"/>
      <c r="T66"/>
      <c r="U66"/>
      <c r="V66"/>
      <c r="W66"/>
      <c r="X66"/>
      <c r="Y66"/>
      <c r="Z66"/>
    </row>
    <row r="67" spans="1:26" s="14" customFormat="1" x14ac:dyDescent="0.4">
      <c r="A67"/>
      <c r="B67"/>
      <c r="C67"/>
      <c r="D67"/>
      <c r="E67"/>
      <c r="F67"/>
      <c r="G67"/>
      <c r="H67"/>
      <c r="I67"/>
      <c r="J67"/>
      <c r="K67"/>
      <c r="L67"/>
      <c r="M67"/>
      <c r="N67"/>
      <c r="O67"/>
      <c r="P67"/>
      <c r="Q67"/>
      <c r="R67"/>
      <c r="S67"/>
      <c r="T67"/>
      <c r="U67"/>
      <c r="V67"/>
      <c r="W67"/>
      <c r="X67"/>
      <c r="Y67"/>
      <c r="Z67"/>
    </row>
    <row r="68" spans="1:26" s="14" customFormat="1" ht="18" x14ac:dyDescent="0.55000000000000004">
      <c r="A68" s="50" t="s">
        <v>952</v>
      </c>
      <c r="B68"/>
      <c r="C68"/>
      <c r="D68"/>
      <c r="E68"/>
      <c r="F68"/>
      <c r="G68"/>
      <c r="H68"/>
      <c r="I68"/>
      <c r="J68"/>
      <c r="K68"/>
      <c r="L68"/>
      <c r="M68"/>
      <c r="N68"/>
      <c r="O68"/>
      <c r="P68"/>
      <c r="Q68"/>
      <c r="R68"/>
      <c r="S68"/>
      <c r="T68"/>
      <c r="U68"/>
      <c r="V68"/>
      <c r="W68"/>
      <c r="X68"/>
      <c r="Y68"/>
      <c r="Z68"/>
    </row>
    <row r="69" spans="1:26" s="14" customFormat="1" ht="23.25" x14ac:dyDescent="0.7">
      <c r="A69" s="13" t="s">
        <v>802</v>
      </c>
      <c r="B69"/>
      <c r="C69"/>
      <c r="D69"/>
      <c r="E69"/>
      <c r="F69"/>
      <c r="G69"/>
      <c r="H69"/>
      <c r="I69"/>
      <c r="J69"/>
      <c r="K69"/>
      <c r="L69"/>
      <c r="M69"/>
      <c r="N69"/>
      <c r="O69"/>
      <c r="P69"/>
      <c r="Q69"/>
      <c r="R69"/>
      <c r="S69"/>
      <c r="T69"/>
      <c r="U69"/>
      <c r="V69"/>
      <c r="W69"/>
      <c r="X69"/>
      <c r="Y69"/>
      <c r="Z69"/>
    </row>
    <row r="70" spans="1:26" x14ac:dyDescent="0.4">
      <c r="A70" s="234"/>
      <c r="B70" s="234"/>
      <c r="C70" s="234"/>
      <c r="D70" s="234">
        <f>MTP_BaseYear</f>
        <v>2023</v>
      </c>
      <c r="E70" s="234" cm="1">
        <f t="array" ref="E70:J70">_xlfn.SEQUENCE(1, MTP_EndYear-MTP_BaseYear+1, MTP_BaseYear)</f>
        <v>2023</v>
      </c>
      <c r="F70" s="234">
        <v>2024</v>
      </c>
      <c r="G70" s="234">
        <v>2025</v>
      </c>
      <c r="H70" s="234">
        <v>2026</v>
      </c>
      <c r="I70" s="234">
        <v>2027</v>
      </c>
      <c r="J70" s="234">
        <v>2028</v>
      </c>
    </row>
    <row r="71" spans="1:26" x14ac:dyDescent="0.4">
      <c r="A71" s="212"/>
      <c r="B71" s="212" t="s">
        <v>30</v>
      </c>
      <c r="C71" s="212" t="s">
        <v>31</v>
      </c>
      <c r="D71" s="235" t="s">
        <v>6</v>
      </c>
      <c r="E71" s="235" t="str" cm="1">
        <f t="array" ref="E71:J71">IF(ISNUMBER(_xlfn.ANCHORARRAY(E$70)),"% of GDP","")</f>
        <v>% of GDP</v>
      </c>
      <c r="F71" s="235" t="str">
        <v>% of GDP</v>
      </c>
      <c r="G71" s="235" t="str">
        <v>% of GDP</v>
      </c>
      <c r="H71" s="235" t="str">
        <v>% of GDP</v>
      </c>
      <c r="I71" s="235" t="str">
        <v>% of GDP</v>
      </c>
      <c r="J71" s="235" t="str">
        <v>% of GDP</v>
      </c>
    </row>
    <row r="72" spans="1:26" x14ac:dyDescent="0.4">
      <c r="A72" s="212">
        <v>1</v>
      </c>
      <c r="B72" s="238" t="s">
        <v>32</v>
      </c>
      <c r="C72" s="238" t="s">
        <v>72</v>
      </c>
      <c r="D72" s="4">
        <v>5.5</v>
      </c>
      <c r="E72" s="4">
        <v>13.8</v>
      </c>
      <c r="F72" s="4">
        <v>14.3</v>
      </c>
      <c r="G72" s="4"/>
      <c r="H72" s="4"/>
      <c r="I72" s="4"/>
      <c r="J72" s="4"/>
    </row>
    <row r="73" spans="1:26" x14ac:dyDescent="0.4">
      <c r="A73" s="212">
        <v>2</v>
      </c>
      <c r="B73" s="238" t="s">
        <v>33</v>
      </c>
      <c r="C73" s="238" t="s">
        <v>73</v>
      </c>
      <c r="D73" s="4">
        <v>3.1</v>
      </c>
      <c r="E73" s="4">
        <v>7.8</v>
      </c>
      <c r="F73" s="4">
        <v>8.6</v>
      </c>
      <c r="G73" s="4"/>
      <c r="H73" s="4"/>
      <c r="I73" s="4"/>
      <c r="J73" s="4"/>
    </row>
    <row r="74" spans="1:26" x14ac:dyDescent="0.4">
      <c r="A74" s="212">
        <v>3</v>
      </c>
      <c r="B74" s="238" t="s">
        <v>34</v>
      </c>
      <c r="C74" s="238" t="s">
        <v>74</v>
      </c>
      <c r="D74" s="4">
        <v>4.3</v>
      </c>
      <c r="E74" s="4">
        <v>10.6</v>
      </c>
      <c r="F74" s="4">
        <v>11.2</v>
      </c>
      <c r="G74" s="4"/>
      <c r="H74" s="4"/>
      <c r="I74" s="4"/>
      <c r="J74" s="4"/>
    </row>
    <row r="75" spans="1:26" x14ac:dyDescent="0.4">
      <c r="A75" s="212">
        <v>4</v>
      </c>
      <c r="B75" s="238" t="s">
        <v>36</v>
      </c>
      <c r="C75" s="238" t="s">
        <v>75</v>
      </c>
      <c r="D75" s="4">
        <v>2.2999999999999998</v>
      </c>
      <c r="E75" s="4">
        <v>5.6</v>
      </c>
      <c r="F75" s="4">
        <v>6.6</v>
      </c>
      <c r="G75" s="4"/>
      <c r="H75" s="4"/>
      <c r="I75" s="4"/>
      <c r="J75" s="4"/>
    </row>
    <row r="76" spans="1:26" x14ac:dyDescent="0.4">
      <c r="A76" s="212">
        <v>5</v>
      </c>
      <c r="B76" s="238" t="s">
        <v>37</v>
      </c>
      <c r="C76" s="238" t="s">
        <v>76</v>
      </c>
      <c r="D76" s="4">
        <v>0</v>
      </c>
      <c r="E76" s="4">
        <v>0</v>
      </c>
      <c r="F76" s="4">
        <v>0</v>
      </c>
      <c r="G76" s="4"/>
      <c r="H76" s="4"/>
      <c r="I76" s="4"/>
      <c r="J76" s="4"/>
    </row>
    <row r="77" spans="1:26" x14ac:dyDescent="0.4">
      <c r="A77" s="212">
        <v>6</v>
      </c>
      <c r="B77" s="238" t="s">
        <v>38</v>
      </c>
      <c r="C77" s="238" t="s">
        <v>77</v>
      </c>
      <c r="D77" s="4">
        <v>0.4</v>
      </c>
      <c r="E77" s="4">
        <v>1</v>
      </c>
      <c r="F77" s="4">
        <v>1.4</v>
      </c>
      <c r="G77" s="4"/>
      <c r="H77" s="4"/>
      <c r="I77" s="4"/>
      <c r="J77" s="4"/>
    </row>
    <row r="78" spans="1:26" x14ac:dyDescent="0.4">
      <c r="A78" s="212">
        <v>7</v>
      </c>
      <c r="B78" s="238" t="s">
        <v>39</v>
      </c>
      <c r="C78" s="238" t="s">
        <v>78</v>
      </c>
      <c r="D78" s="238">
        <v>15.6</v>
      </c>
      <c r="E78" s="238">
        <v>38.700000000000003</v>
      </c>
      <c r="F78" s="238">
        <v>42.1</v>
      </c>
      <c r="G78" s="238"/>
      <c r="H78" s="238"/>
      <c r="I78" s="238"/>
      <c r="J78" s="238"/>
    </row>
    <row r="79" spans="1:26" x14ac:dyDescent="0.4">
      <c r="A79" s="212">
        <v>8</v>
      </c>
      <c r="B79" s="238" t="s">
        <v>40</v>
      </c>
      <c r="C79" s="238" t="s">
        <v>79</v>
      </c>
      <c r="D79" s="4">
        <v>0.6</v>
      </c>
      <c r="E79" s="4">
        <v>1.5</v>
      </c>
      <c r="F79" s="4">
        <v>1.9</v>
      </c>
      <c r="G79" s="4"/>
      <c r="H79" s="4"/>
      <c r="I79" s="4"/>
      <c r="J79" s="4"/>
    </row>
    <row r="80" spans="1:26" x14ac:dyDescent="0.4">
      <c r="A80" s="212">
        <v>9</v>
      </c>
      <c r="B80" s="238" t="s">
        <v>41</v>
      </c>
      <c r="C80" s="238"/>
      <c r="D80" s="238">
        <v>15</v>
      </c>
      <c r="E80" s="238">
        <v>37.200000000000003</v>
      </c>
      <c r="F80" s="238">
        <v>40.200000000000003</v>
      </c>
      <c r="G80" s="238"/>
      <c r="H80" s="238"/>
      <c r="I80" s="238"/>
      <c r="J80" s="238"/>
    </row>
    <row r="81" spans="1:10" x14ac:dyDescent="0.4">
      <c r="A81" s="212">
        <v>10</v>
      </c>
      <c r="B81" s="238" t="s">
        <v>42</v>
      </c>
      <c r="C81" s="238"/>
      <c r="D81" s="4">
        <v>-0.1</v>
      </c>
      <c r="E81" s="4">
        <v>-0.3</v>
      </c>
      <c r="F81" s="4">
        <v>0.8</v>
      </c>
      <c r="G81" s="4"/>
      <c r="H81" s="4"/>
      <c r="I81" s="4"/>
      <c r="J81" s="4"/>
    </row>
    <row r="82" spans="1:10" x14ac:dyDescent="0.4">
      <c r="A82" s="212">
        <v>11</v>
      </c>
      <c r="B82" s="238" t="s">
        <v>43</v>
      </c>
      <c r="C82" s="238"/>
      <c r="D82" s="4">
        <v>0</v>
      </c>
      <c r="E82" s="4">
        <v>0</v>
      </c>
      <c r="F82" s="4">
        <v>0</v>
      </c>
      <c r="G82" s="4"/>
      <c r="H82" s="4"/>
      <c r="I82" s="4"/>
      <c r="J82" s="4"/>
    </row>
    <row r="83" spans="1:10" x14ac:dyDescent="0.4">
      <c r="A83" s="212"/>
      <c r="B83" s="212" t="s">
        <v>29</v>
      </c>
      <c r="C83" s="212" t="s">
        <v>31</v>
      </c>
      <c r="D83" s="236" t="s">
        <v>6</v>
      </c>
      <c r="E83" s="236" t="str" cm="1">
        <f t="array" ref="E83:J83">IF(ISNUMBER(_xlfn.ANCHORARRAY(E$70)),"% of GDP","")</f>
        <v>% of GDP</v>
      </c>
      <c r="F83" s="236" t="str">
        <v>% of GDP</v>
      </c>
      <c r="G83" s="236" t="str">
        <v>% of GDP</v>
      </c>
      <c r="H83" s="236" t="str">
        <v>% of GDP</v>
      </c>
      <c r="I83" s="236" t="str">
        <v>% of GDP</v>
      </c>
      <c r="J83" s="236" t="str">
        <v>% of GDP</v>
      </c>
    </row>
    <row r="84" spans="1:10" x14ac:dyDescent="0.4">
      <c r="A84" s="212">
        <v>12</v>
      </c>
      <c r="B84" s="225" t="s">
        <v>44</v>
      </c>
      <c r="C84" s="225" t="s">
        <v>5</v>
      </c>
      <c r="D84" s="4">
        <v>4.7</v>
      </c>
      <c r="E84" s="4">
        <v>11.6</v>
      </c>
      <c r="F84" s="4">
        <v>12.7</v>
      </c>
      <c r="G84" s="4"/>
      <c r="H84" s="4"/>
      <c r="I84" s="4"/>
      <c r="J84" s="4"/>
    </row>
    <row r="85" spans="1:10" x14ac:dyDescent="0.4">
      <c r="A85" s="212">
        <v>13</v>
      </c>
      <c r="B85" s="225" t="s">
        <v>45</v>
      </c>
      <c r="C85" s="225" t="s">
        <v>80</v>
      </c>
      <c r="D85" s="4">
        <v>2.6</v>
      </c>
      <c r="E85" s="4">
        <v>6.3</v>
      </c>
      <c r="F85" s="4">
        <v>6.8</v>
      </c>
      <c r="G85" s="4"/>
      <c r="H85" s="4"/>
      <c r="I85" s="4"/>
      <c r="J85" s="4"/>
    </row>
    <row r="86" spans="1:10" x14ac:dyDescent="0.4">
      <c r="A86" s="212">
        <v>14</v>
      </c>
      <c r="B86" s="225" t="s">
        <v>46</v>
      </c>
      <c r="C86" s="225" t="s">
        <v>28</v>
      </c>
      <c r="D86" s="4">
        <v>0.3</v>
      </c>
      <c r="E86" s="4">
        <v>0.6</v>
      </c>
      <c r="F86" s="4">
        <v>1.1000000000000001</v>
      </c>
      <c r="G86" s="4">
        <v>1.2</v>
      </c>
      <c r="H86" s="4">
        <v>1.3</v>
      </c>
      <c r="I86" s="4">
        <v>1.4</v>
      </c>
      <c r="J86" s="4">
        <v>1.5</v>
      </c>
    </row>
    <row r="87" spans="1:10" x14ac:dyDescent="0.4">
      <c r="A87" s="212">
        <v>15</v>
      </c>
      <c r="B87" s="225" t="s">
        <v>47</v>
      </c>
      <c r="C87" s="225" t="s">
        <v>81</v>
      </c>
      <c r="D87" s="4">
        <v>4.8</v>
      </c>
      <c r="E87" s="4">
        <v>11.9</v>
      </c>
      <c r="F87" s="4">
        <v>12.9</v>
      </c>
      <c r="G87" s="4"/>
      <c r="H87" s="4"/>
      <c r="I87" s="4"/>
      <c r="J87" s="4"/>
    </row>
    <row r="88" spans="1:10" x14ac:dyDescent="0.4">
      <c r="A88" s="212">
        <v>16</v>
      </c>
      <c r="B88" s="225" t="s">
        <v>48</v>
      </c>
      <c r="C88" s="225" t="s">
        <v>82</v>
      </c>
      <c r="D88" s="4">
        <v>0.5</v>
      </c>
      <c r="E88" s="4">
        <v>1.3</v>
      </c>
      <c r="F88" s="4">
        <v>1.3</v>
      </c>
      <c r="G88" s="4"/>
      <c r="H88" s="4"/>
      <c r="I88" s="4"/>
      <c r="J88" s="4"/>
    </row>
    <row r="89" spans="1:10" x14ac:dyDescent="0.4">
      <c r="A89" s="212">
        <v>17</v>
      </c>
      <c r="B89" s="225" t="s">
        <v>49</v>
      </c>
      <c r="C89" s="225" t="s">
        <v>83</v>
      </c>
      <c r="D89" s="4">
        <v>0.6</v>
      </c>
      <c r="E89" s="4">
        <v>1.4</v>
      </c>
      <c r="F89" s="4">
        <v>0.8</v>
      </c>
      <c r="G89" s="4"/>
      <c r="H89" s="4"/>
      <c r="I89" s="4"/>
      <c r="J89" s="4"/>
    </row>
    <row r="90" spans="1:10" x14ac:dyDescent="0.4">
      <c r="A90" s="212">
        <v>18</v>
      </c>
      <c r="B90" s="225" t="s">
        <v>50</v>
      </c>
      <c r="C90" s="225" t="s">
        <v>84</v>
      </c>
      <c r="D90" s="4">
        <v>1.2</v>
      </c>
      <c r="E90" s="4">
        <v>3</v>
      </c>
      <c r="F90" s="4">
        <v>3.8</v>
      </c>
      <c r="G90" s="4"/>
      <c r="H90" s="4"/>
      <c r="I90" s="4"/>
      <c r="J90" s="4"/>
    </row>
    <row r="91" spans="1:10" x14ac:dyDescent="0.4">
      <c r="A91" s="212">
        <v>19</v>
      </c>
      <c r="B91" s="225" t="s">
        <v>10</v>
      </c>
      <c r="C91" s="225" t="s">
        <v>4</v>
      </c>
      <c r="D91" s="4">
        <v>1.7</v>
      </c>
      <c r="E91" s="4">
        <v>4.2</v>
      </c>
      <c r="F91" s="4">
        <v>5.0999999999999996</v>
      </c>
      <c r="G91" s="4"/>
      <c r="H91" s="4"/>
      <c r="I91" s="4"/>
      <c r="J91" s="4"/>
    </row>
    <row r="92" spans="1:10" x14ac:dyDescent="0.4">
      <c r="A92" s="212">
        <v>20</v>
      </c>
      <c r="B92" s="225" t="s">
        <v>51</v>
      </c>
      <c r="C92" s="225"/>
      <c r="D92" s="4">
        <v>1.3</v>
      </c>
      <c r="E92" s="4">
        <v>3.3</v>
      </c>
      <c r="F92" s="4">
        <v>3.9</v>
      </c>
      <c r="G92" s="4">
        <v>4</v>
      </c>
      <c r="H92" s="4">
        <v>4.5</v>
      </c>
      <c r="I92" s="4">
        <v>4.4000000000000004</v>
      </c>
      <c r="J92" s="4">
        <v>4.3</v>
      </c>
    </row>
    <row r="93" spans="1:10" x14ac:dyDescent="0.4">
      <c r="A93" s="212">
        <v>21</v>
      </c>
      <c r="B93" s="225" t="s">
        <v>52</v>
      </c>
      <c r="C93" s="225" t="s">
        <v>85</v>
      </c>
      <c r="D93" s="4">
        <v>0.2</v>
      </c>
      <c r="E93" s="4">
        <v>0.5</v>
      </c>
      <c r="F93" s="4">
        <v>0.1</v>
      </c>
      <c r="G93" s="4"/>
      <c r="H93" s="4"/>
      <c r="I93" s="4"/>
      <c r="J93" s="4"/>
    </row>
    <row r="94" spans="1:10" x14ac:dyDescent="0.4">
      <c r="A94" s="212">
        <v>22</v>
      </c>
      <c r="B94" s="225" t="s">
        <v>53</v>
      </c>
      <c r="C94" s="225" t="s">
        <v>86</v>
      </c>
      <c r="D94" s="4">
        <v>0</v>
      </c>
      <c r="E94" s="4">
        <v>0</v>
      </c>
      <c r="F94" s="4">
        <v>0.2</v>
      </c>
      <c r="G94" s="4"/>
      <c r="H94" s="4"/>
      <c r="I94" s="4"/>
      <c r="J94" s="4"/>
    </row>
    <row r="95" spans="1:10" x14ac:dyDescent="0.4">
      <c r="A95" s="212">
        <v>23</v>
      </c>
      <c r="B95" s="225" t="s">
        <v>54</v>
      </c>
      <c r="C95" s="225" t="s">
        <v>87</v>
      </c>
      <c r="D95" s="238">
        <v>16.5</v>
      </c>
      <c r="E95" s="238">
        <v>41</v>
      </c>
      <c r="F95" s="238">
        <v>44.7</v>
      </c>
      <c r="G95" s="238"/>
      <c r="H95" s="238"/>
      <c r="I95" s="238"/>
      <c r="J95" s="238"/>
    </row>
    <row r="96" spans="1:10" x14ac:dyDescent="0.4">
      <c r="A96" s="212">
        <v>24</v>
      </c>
      <c r="B96" s="225" t="s">
        <v>55</v>
      </c>
      <c r="C96" s="225" t="s">
        <v>79</v>
      </c>
      <c r="D96" s="4">
        <v>0.6</v>
      </c>
      <c r="E96" s="4">
        <v>1.5</v>
      </c>
      <c r="F96" s="4">
        <v>1.9</v>
      </c>
      <c r="G96" s="4"/>
      <c r="H96" s="4"/>
      <c r="I96" s="4"/>
      <c r="J96" s="4"/>
    </row>
    <row r="97" spans="1:10" x14ac:dyDescent="0.4">
      <c r="A97" s="212">
        <v>25</v>
      </c>
      <c r="B97" s="225" t="s">
        <v>56</v>
      </c>
      <c r="C97" s="225"/>
      <c r="D97" s="238">
        <v>15.9</v>
      </c>
      <c r="E97" s="238">
        <v>39.5</v>
      </c>
      <c r="F97" s="238">
        <v>42.8</v>
      </c>
      <c r="G97" s="238"/>
      <c r="H97" s="238"/>
      <c r="I97" s="238"/>
      <c r="J97" s="238"/>
    </row>
    <row r="98" spans="1:10" x14ac:dyDescent="0.4">
      <c r="A98" s="212">
        <v>26</v>
      </c>
      <c r="B98" s="225" t="s">
        <v>751</v>
      </c>
      <c r="C98" s="225"/>
      <c r="D98" s="4">
        <v>0.2</v>
      </c>
      <c r="E98" s="4">
        <v>0.4</v>
      </c>
      <c r="F98" s="4">
        <v>0.4</v>
      </c>
      <c r="G98" s="4"/>
      <c r="H98" s="4"/>
      <c r="I98" s="4"/>
      <c r="J98" s="4"/>
    </row>
    <row r="99" spans="1:10" x14ac:dyDescent="0.4">
      <c r="A99" s="212">
        <v>27</v>
      </c>
      <c r="B99" s="225" t="s">
        <v>57</v>
      </c>
      <c r="C99" s="225"/>
      <c r="D99" s="4">
        <v>0</v>
      </c>
      <c r="E99" s="4">
        <v>0</v>
      </c>
      <c r="F99" s="4">
        <v>0</v>
      </c>
      <c r="G99" s="4"/>
      <c r="H99" s="4"/>
      <c r="I99" s="4"/>
      <c r="J99" s="4"/>
    </row>
    <row r="100" spans="1:10" x14ac:dyDescent="0.4">
      <c r="A100" s="212">
        <v>28</v>
      </c>
      <c r="B100" s="225" t="s">
        <v>58</v>
      </c>
      <c r="C100" s="225"/>
      <c r="D100" s="4">
        <v>0</v>
      </c>
      <c r="E100" s="4">
        <v>0</v>
      </c>
      <c r="F100" s="4">
        <v>0</v>
      </c>
      <c r="G100" s="4"/>
      <c r="H100" s="4"/>
      <c r="I100" s="4"/>
      <c r="J100" s="4"/>
    </row>
    <row r="101" spans="1:10" x14ac:dyDescent="0.4">
      <c r="A101" s="212">
        <v>29</v>
      </c>
      <c r="B101" s="225" t="s">
        <v>59</v>
      </c>
      <c r="C101" s="225"/>
      <c r="D101" s="238">
        <v>15.5</v>
      </c>
      <c r="E101" s="238">
        <v>38.4</v>
      </c>
      <c r="F101" s="238">
        <v>41.2</v>
      </c>
      <c r="G101" s="238"/>
      <c r="H101" s="238"/>
      <c r="I101" s="238"/>
      <c r="J101" s="238"/>
    </row>
    <row r="102" spans="1:10" x14ac:dyDescent="0.4">
      <c r="A102" s="212"/>
      <c r="B102" s="212" t="s">
        <v>35</v>
      </c>
      <c r="C102" s="212"/>
      <c r="D102" s="237"/>
      <c r="E102" s="237" t="str" cm="1">
        <f t="array" ref="E102:J102">IF(ISNUMBER(_xlfn.ANCHORARRAY(E$70)),"growth rate","")</f>
        <v>growth rate</v>
      </c>
      <c r="F102" s="237" t="str">
        <v>growth rate</v>
      </c>
      <c r="G102" s="237" t="str">
        <v>growth rate</v>
      </c>
      <c r="H102" s="237" t="str">
        <v>growth rate</v>
      </c>
      <c r="I102" s="237" t="str">
        <v>growth rate</v>
      </c>
      <c r="J102" s="237" t="str">
        <v>growth rate</v>
      </c>
    </row>
    <row r="103" spans="1:10" ht="14.25" x14ac:dyDescent="0.45">
      <c r="A103" s="212">
        <v>30</v>
      </c>
      <c r="B103" s="225" t="s">
        <v>826</v>
      </c>
      <c r="C103" s="225" t="s">
        <v>752</v>
      </c>
      <c r="D103" s="244"/>
      <c r="E103" s="4"/>
      <c r="F103" s="4">
        <v>9.1</v>
      </c>
      <c r="G103" s="4">
        <v>5.8999999999999995</v>
      </c>
      <c r="H103" s="4">
        <v>3.5999999999999996</v>
      </c>
      <c r="I103" s="4">
        <v>3.4000000000000004</v>
      </c>
      <c r="J103" s="4">
        <v>3.3000000000000003</v>
      </c>
    </row>
    <row r="104" spans="1:10" x14ac:dyDescent="0.4">
      <c r="A104" s="212"/>
      <c r="B104" s="212" t="s">
        <v>60</v>
      </c>
      <c r="C104" s="212"/>
      <c r="D104" s="237" t="s">
        <v>6</v>
      </c>
      <c r="E104" s="237" t="str" cm="1">
        <f t="array" ref="E104:J104">IF(ISNUMBER(_xlfn.ANCHORARRAY(E$70)),"% of GDP","")</f>
        <v>% of GDP</v>
      </c>
      <c r="F104" s="237" t="str">
        <v>% of GDP</v>
      </c>
      <c r="G104" s="237" t="str">
        <v>% of GDP</v>
      </c>
      <c r="H104" s="237" t="str">
        <v>% of GDP</v>
      </c>
      <c r="I104" s="237" t="str">
        <v>% of GDP</v>
      </c>
      <c r="J104" s="237" t="str">
        <v>% of GDP</v>
      </c>
    </row>
    <row r="105" spans="1:10" x14ac:dyDescent="0.4">
      <c r="A105" s="212">
        <v>31</v>
      </c>
      <c r="B105" s="225" t="s">
        <v>61</v>
      </c>
      <c r="C105" s="225" t="s">
        <v>27</v>
      </c>
      <c r="D105" s="4">
        <v>-0.9</v>
      </c>
      <c r="E105" s="4">
        <v>-2.2000000000000002</v>
      </c>
      <c r="F105" s="4">
        <v>-2.6</v>
      </c>
      <c r="G105" s="4">
        <v>-2.9</v>
      </c>
      <c r="H105" s="4">
        <v>-2.9</v>
      </c>
      <c r="I105" s="4">
        <v>-2.9</v>
      </c>
      <c r="J105" s="4">
        <v>-2.9</v>
      </c>
    </row>
    <row r="106" spans="1:10" x14ac:dyDescent="0.4">
      <c r="A106" s="212">
        <v>32</v>
      </c>
      <c r="B106" s="225" t="s">
        <v>62</v>
      </c>
      <c r="C106" s="225" t="s">
        <v>88</v>
      </c>
      <c r="D106" s="4">
        <v>-0.6</v>
      </c>
      <c r="E106" s="4">
        <v>-1.6</v>
      </c>
      <c r="F106" s="4">
        <v>-1.5</v>
      </c>
      <c r="G106" s="4">
        <v>-1.7</v>
      </c>
      <c r="H106" s="4">
        <v>-1.6</v>
      </c>
      <c r="I106" s="4">
        <v>-1.5</v>
      </c>
      <c r="J106" s="4">
        <v>-1.4</v>
      </c>
    </row>
    <row r="107" spans="1:10" x14ac:dyDescent="0.4">
      <c r="A107" s="212"/>
      <c r="B107" s="212" t="s">
        <v>63</v>
      </c>
      <c r="C107" s="212"/>
      <c r="D107" s="237"/>
      <c r="E107" s="237" t="str" cm="1">
        <f t="array" ref="E107:J107">IF(ISNUMBER(_xlfn.ANCHORARRAY(E$70)),"% of GDP","")</f>
        <v>% of GDP</v>
      </c>
      <c r="F107" s="237" t="str">
        <v>% of GDP</v>
      </c>
      <c r="G107" s="237" t="str">
        <v>% of GDP</v>
      </c>
      <c r="H107" s="237" t="str">
        <v>% of GDP</v>
      </c>
      <c r="I107" s="237" t="str">
        <v>% of GDP</v>
      </c>
      <c r="J107" s="237" t="str">
        <v>% of GDP</v>
      </c>
    </row>
    <row r="108" spans="1:10" ht="14.25" x14ac:dyDescent="0.45">
      <c r="A108" s="212">
        <v>33</v>
      </c>
      <c r="B108" s="239" t="s">
        <v>0</v>
      </c>
      <c r="C108" s="239"/>
      <c r="D108" s="244"/>
      <c r="E108" s="4">
        <v>-1.8</v>
      </c>
      <c r="F108" s="4">
        <v>-1.9</v>
      </c>
      <c r="G108" s="4">
        <v>-2.5</v>
      </c>
      <c r="H108" s="4">
        <v>-2.6</v>
      </c>
      <c r="I108" s="4">
        <v>-2.7</v>
      </c>
      <c r="J108" s="4">
        <v>-2.7</v>
      </c>
    </row>
    <row r="109" spans="1:10" ht="14.25" x14ac:dyDescent="0.45">
      <c r="A109" s="212">
        <v>34</v>
      </c>
      <c r="B109" s="239" t="s">
        <v>3</v>
      </c>
      <c r="C109" s="239"/>
      <c r="D109" s="244"/>
      <c r="E109" s="4">
        <v>-1.2</v>
      </c>
      <c r="F109" s="4">
        <v>-0.8</v>
      </c>
      <c r="G109" s="4">
        <v>-1.3</v>
      </c>
      <c r="H109" s="4">
        <v>-1.3</v>
      </c>
      <c r="I109" s="4">
        <v>-1.3</v>
      </c>
      <c r="J109" s="4">
        <v>-1.3</v>
      </c>
    </row>
    <row r="110" spans="1:10" x14ac:dyDescent="0.4">
      <c r="A110" s="212"/>
      <c r="B110" s="212" t="s">
        <v>20</v>
      </c>
      <c r="C110" s="212"/>
      <c r="D110" s="237" t="s">
        <v>6</v>
      </c>
      <c r="E110" s="237" t="s">
        <v>603</v>
      </c>
      <c r="F110" s="237" t="s">
        <v>603</v>
      </c>
      <c r="G110" s="237" t="s">
        <v>603</v>
      </c>
      <c r="H110" s="237"/>
      <c r="I110" s="237"/>
      <c r="J110" s="237"/>
    </row>
    <row r="111" spans="1:10" x14ac:dyDescent="0.4">
      <c r="A111" s="212">
        <v>35</v>
      </c>
      <c r="B111" s="225" t="s">
        <v>1</v>
      </c>
      <c r="C111" s="225"/>
      <c r="D111" s="4">
        <v>17.600000000000001</v>
      </c>
      <c r="E111" s="4">
        <v>43.6</v>
      </c>
      <c r="F111" s="4">
        <v>45.8</v>
      </c>
      <c r="G111" s="4">
        <v>47.5</v>
      </c>
      <c r="H111" s="4">
        <v>48.5</v>
      </c>
      <c r="I111" s="4">
        <v>49.7</v>
      </c>
      <c r="J111" s="4">
        <v>50.8</v>
      </c>
    </row>
    <row r="112" spans="1:10" x14ac:dyDescent="0.4">
      <c r="A112" s="212">
        <v>36</v>
      </c>
      <c r="B112" s="225" t="s">
        <v>2</v>
      </c>
      <c r="C112" s="225"/>
      <c r="D112" s="4">
        <v>1.5</v>
      </c>
      <c r="E112" s="4">
        <v>1.8</v>
      </c>
      <c r="F112" s="4">
        <v>2.2999999999999998</v>
      </c>
      <c r="G112" s="4">
        <v>1.6</v>
      </c>
      <c r="H112" s="4">
        <v>1.1000000000000001</v>
      </c>
      <c r="I112" s="4">
        <v>1.2</v>
      </c>
      <c r="J112" s="4">
        <v>1.2</v>
      </c>
    </row>
    <row r="113" spans="1:13" x14ac:dyDescent="0.4">
      <c r="A113" s="212">
        <v>37</v>
      </c>
      <c r="B113" s="225" t="s">
        <v>64</v>
      </c>
      <c r="C113" s="225"/>
      <c r="D113" s="242"/>
      <c r="E113" s="242"/>
      <c r="F113" s="242"/>
      <c r="G113" s="242"/>
      <c r="H113" s="238"/>
      <c r="I113" s="238"/>
      <c r="J113" s="238"/>
    </row>
    <row r="114" spans="1:13" ht="14.25" x14ac:dyDescent="0.45">
      <c r="A114" s="212">
        <v>38</v>
      </c>
      <c r="B114" s="240" t="s">
        <v>753</v>
      </c>
      <c r="C114" s="225"/>
      <c r="D114" s="244"/>
      <c r="E114" s="4">
        <v>1.6</v>
      </c>
      <c r="F114" s="4">
        <v>1.5</v>
      </c>
      <c r="G114" s="4">
        <v>1.7</v>
      </c>
      <c r="H114" s="4">
        <v>1.6</v>
      </c>
      <c r="I114" s="4">
        <v>1.5</v>
      </c>
      <c r="J114" s="4">
        <v>1.4</v>
      </c>
    </row>
    <row r="115" spans="1:13" ht="14.25" x14ac:dyDescent="0.45">
      <c r="A115" s="212">
        <v>39</v>
      </c>
      <c r="B115" s="240" t="s">
        <v>754</v>
      </c>
      <c r="C115" s="225"/>
      <c r="D115" s="244"/>
      <c r="E115" s="4">
        <v>-1.4</v>
      </c>
      <c r="F115" s="4">
        <v>-0.5</v>
      </c>
      <c r="G115" s="4">
        <v>-1.2</v>
      </c>
      <c r="H115" s="4">
        <v>-0.5</v>
      </c>
      <c r="I115" s="4">
        <v>-0.3</v>
      </c>
      <c r="J115" s="4">
        <v>-0.2</v>
      </c>
    </row>
    <row r="116" spans="1:13" ht="14.25" x14ac:dyDescent="0.45">
      <c r="A116" s="212">
        <v>40</v>
      </c>
      <c r="B116" s="241" t="s">
        <v>755</v>
      </c>
      <c r="C116" s="225"/>
      <c r="D116" s="244"/>
      <c r="E116" s="4">
        <v>0.6</v>
      </c>
      <c r="F116" s="4">
        <v>1.1000000000000001</v>
      </c>
      <c r="G116" s="4">
        <v>1.2</v>
      </c>
      <c r="H116" s="4">
        <v>1.3</v>
      </c>
      <c r="I116" s="4">
        <v>1.4</v>
      </c>
      <c r="J116" s="4">
        <v>1.5</v>
      </c>
    </row>
    <row r="117" spans="1:13" ht="14.25" x14ac:dyDescent="0.45">
      <c r="A117" s="212">
        <v>41</v>
      </c>
      <c r="B117" s="241" t="s">
        <v>756</v>
      </c>
      <c r="C117" s="225"/>
      <c r="D117" s="244"/>
      <c r="E117" s="4">
        <v>0.1</v>
      </c>
      <c r="F117" s="4">
        <v>-0.6</v>
      </c>
      <c r="G117" s="4">
        <v>-1.3</v>
      </c>
      <c r="H117" s="4">
        <v>-0.7</v>
      </c>
      <c r="I117" s="4">
        <v>-0.5</v>
      </c>
      <c r="J117" s="4">
        <v>-0.5</v>
      </c>
    </row>
    <row r="118" spans="1:13" ht="14.25" x14ac:dyDescent="0.45">
      <c r="A118" s="212">
        <v>42</v>
      </c>
      <c r="B118" s="241" t="s">
        <v>757</v>
      </c>
      <c r="C118" s="225"/>
      <c r="D118" s="244"/>
      <c r="E118" s="4">
        <v>-2.1</v>
      </c>
      <c r="F118" s="4">
        <v>-1</v>
      </c>
      <c r="G118" s="4">
        <v>-1.1000000000000001</v>
      </c>
      <c r="H118" s="4">
        <v>-1.1000000000000001</v>
      </c>
      <c r="I118" s="4">
        <v>-1.2</v>
      </c>
      <c r="J118" s="4">
        <v>-1.2</v>
      </c>
    </row>
    <row r="119" spans="1:13" ht="14.25" x14ac:dyDescent="0.45">
      <c r="A119" s="212">
        <v>43</v>
      </c>
      <c r="B119" s="240" t="s">
        <v>758</v>
      </c>
      <c r="C119" s="225"/>
      <c r="D119" s="244"/>
      <c r="E119" s="4">
        <v>1.6</v>
      </c>
      <c r="F119" s="4">
        <v>1.3</v>
      </c>
      <c r="G119" s="4">
        <v>1</v>
      </c>
      <c r="H119" s="4">
        <v>0</v>
      </c>
      <c r="I119" s="4">
        <v>0</v>
      </c>
      <c r="J119" s="4">
        <v>0</v>
      </c>
    </row>
    <row r="120" spans="1:13" x14ac:dyDescent="0.4">
      <c r="A120" s="212"/>
      <c r="B120" s="212"/>
      <c r="C120" s="212"/>
      <c r="D120" s="237"/>
      <c r="E120" s="236" t="str" cm="1">
        <f t="array" ref="E120:J120">IF(ISNUMBER(_xlfn.ANCHORARRAY(E$70)),"%","")</f>
        <v>%</v>
      </c>
      <c r="F120" s="236" t="str">
        <v>%</v>
      </c>
      <c r="G120" s="236" t="str">
        <v>%</v>
      </c>
      <c r="H120" s="236" t="str">
        <v>%</v>
      </c>
      <c r="I120" s="236" t="str">
        <v>%</v>
      </c>
      <c r="J120" s="236" t="str">
        <v>%</v>
      </c>
    </row>
    <row r="121" spans="1:13" ht="14.25" x14ac:dyDescent="0.45">
      <c r="A121" s="212">
        <v>44</v>
      </c>
      <c r="B121" s="227" t="s">
        <v>71</v>
      </c>
      <c r="C121" s="227"/>
      <c r="D121" s="245"/>
      <c r="E121" s="4">
        <v>1.6</v>
      </c>
      <c r="F121" s="4">
        <v>2.6</v>
      </c>
      <c r="G121" s="4">
        <v>2.7</v>
      </c>
      <c r="H121" s="4">
        <v>2.9</v>
      </c>
      <c r="I121" s="4">
        <v>3</v>
      </c>
      <c r="J121" s="4">
        <v>3.1</v>
      </c>
      <c r="M121" s="4"/>
    </row>
    <row r="122" spans="1:13" x14ac:dyDescent="0.4">
      <c r="A122" s="212"/>
      <c r="B122" s="212"/>
      <c r="C122" s="212"/>
      <c r="D122" s="237"/>
      <c r="E122" s="237"/>
      <c r="F122" s="237"/>
      <c r="G122" s="237"/>
      <c r="H122" s="237"/>
      <c r="I122" s="237"/>
      <c r="J122" s="237"/>
    </row>
    <row r="123" spans="1:13" x14ac:dyDescent="0.4">
      <c r="A123" s="212">
        <v>45</v>
      </c>
      <c r="B123" s="239" t="s">
        <v>759</v>
      </c>
      <c r="C123" s="239" t="s">
        <v>760</v>
      </c>
      <c r="D123" s="4"/>
      <c r="E123" s="4"/>
      <c r="F123" s="4"/>
      <c r="G123" s="4"/>
      <c r="H123" s="4"/>
      <c r="I123" s="4"/>
      <c r="J123" s="4"/>
    </row>
    <row r="124" spans="1:13" x14ac:dyDescent="0.4">
      <c r="A124" s="212">
        <v>46</v>
      </c>
      <c r="B124" s="239" t="s">
        <v>761</v>
      </c>
      <c r="C124" s="239" t="s">
        <v>762</v>
      </c>
      <c r="D124" s="4"/>
      <c r="E124" s="4"/>
      <c r="F124" s="4"/>
      <c r="G124" s="4"/>
      <c r="H124" s="4"/>
      <c r="I124" s="4"/>
      <c r="J124" s="4"/>
    </row>
    <row r="127" spans="1:13" ht="23.25" x14ac:dyDescent="0.7">
      <c r="A127" s="13" t="s">
        <v>803</v>
      </c>
    </row>
    <row r="128" spans="1:13" x14ac:dyDescent="0.4">
      <c r="A128" s="234"/>
      <c r="B128" s="234" t="s">
        <v>8</v>
      </c>
      <c r="C128" s="234" t="s">
        <v>31</v>
      </c>
      <c r="D128" s="234">
        <f>MTP_BaseYear</f>
        <v>2023</v>
      </c>
      <c r="E128" s="234" cm="1">
        <f t="array" ref="E128:J128">_xlfn.SEQUENCE(1, MTP_EndYear-MTP_BaseYear+1, MTP_BaseYear)</f>
        <v>2023</v>
      </c>
      <c r="F128" s="234">
        <v>2024</v>
      </c>
      <c r="G128" s="234">
        <v>2025</v>
      </c>
      <c r="H128" s="234">
        <v>2026</v>
      </c>
      <c r="I128" s="234">
        <v>2027</v>
      </c>
      <c r="J128" s="234">
        <v>2028</v>
      </c>
    </row>
    <row r="129" spans="1:10" x14ac:dyDescent="0.4">
      <c r="A129" s="212"/>
      <c r="B129" s="212"/>
      <c r="C129" s="212"/>
      <c r="D129" s="235" t="s">
        <v>6</v>
      </c>
      <c r="E129" s="235" t="str" cm="1">
        <f t="array" ref="E129:J129">IF(ISNUMBER(_xlfn.ANCHORARRAY(E$70)),"growth rate","")</f>
        <v>growth rate</v>
      </c>
      <c r="F129" s="235" t="str">
        <v>growth rate</v>
      </c>
      <c r="G129" s="235" t="str">
        <v>growth rate</v>
      </c>
      <c r="H129" s="235" t="str">
        <v>growth rate</v>
      </c>
      <c r="I129" s="235" t="str">
        <v>growth rate</v>
      </c>
      <c r="J129" s="235" t="str">
        <v>growth rate</v>
      </c>
    </row>
    <row r="130" spans="1:10" ht="14.25" x14ac:dyDescent="0.45">
      <c r="A130" s="212">
        <v>1</v>
      </c>
      <c r="B130" s="225" t="s">
        <v>7</v>
      </c>
      <c r="C130" s="225" t="s">
        <v>763</v>
      </c>
      <c r="D130" s="246"/>
      <c r="E130">
        <v>-0.3</v>
      </c>
      <c r="F130">
        <v>1.4</v>
      </c>
      <c r="G130">
        <v>2.9</v>
      </c>
      <c r="H130" s="4">
        <v>1.6</v>
      </c>
      <c r="I130" s="4">
        <v>1.2</v>
      </c>
      <c r="J130" s="4">
        <v>1.1000000000000001</v>
      </c>
    </row>
    <row r="131" spans="1:10" ht="14.25" x14ac:dyDescent="0.45">
      <c r="A131" s="212">
        <v>2</v>
      </c>
      <c r="B131" s="225" t="s">
        <v>8</v>
      </c>
      <c r="C131" s="225"/>
      <c r="D131" s="246"/>
      <c r="E131">
        <v>5.4</v>
      </c>
      <c r="F131">
        <v>2.4</v>
      </c>
      <c r="G131">
        <v>2.5</v>
      </c>
      <c r="H131" s="4">
        <v>2.5</v>
      </c>
      <c r="I131" s="4">
        <v>2.5</v>
      </c>
      <c r="J131" s="4">
        <v>2.5</v>
      </c>
    </row>
    <row r="132" spans="1:10" x14ac:dyDescent="0.4">
      <c r="A132" s="212">
        <v>3</v>
      </c>
      <c r="B132" s="225" t="s">
        <v>9</v>
      </c>
      <c r="C132" s="225" t="s">
        <v>763</v>
      </c>
      <c r="D132" s="144">
        <v>40.299999999999997</v>
      </c>
      <c r="E132">
        <v>5.0999999999999996</v>
      </c>
      <c r="F132">
        <v>3.8</v>
      </c>
      <c r="G132">
        <v>5.5</v>
      </c>
      <c r="H132" s="4">
        <v>4.0999999999999996</v>
      </c>
      <c r="I132" s="4">
        <v>3.7</v>
      </c>
      <c r="J132" s="4">
        <v>3.6</v>
      </c>
    </row>
    <row r="133" spans="1:10" x14ac:dyDescent="0.4">
      <c r="A133" s="212"/>
      <c r="B133" s="212" t="s">
        <v>764</v>
      </c>
      <c r="C133" s="212"/>
      <c r="D133" s="235" t="s">
        <v>6</v>
      </c>
      <c r="E133" s="235" t="str" cm="1">
        <f t="array" ref="E133:J133">IF(ISNUMBER(_xlfn.ANCHORARRAY(E$70)),"growth rate","")</f>
        <v>growth rate</v>
      </c>
      <c r="F133" s="235" t="str">
        <v>growth rate</v>
      </c>
      <c r="G133" s="235" t="str">
        <v>growth rate</v>
      </c>
      <c r="H133" s="236" t="str">
        <v>growth rate</v>
      </c>
      <c r="I133" s="236" t="str">
        <v>growth rate</v>
      </c>
      <c r="J133" s="236" t="str">
        <v>growth rate</v>
      </c>
    </row>
    <row r="134" spans="1:10" ht="14.25" x14ac:dyDescent="0.45">
      <c r="A134" s="212">
        <v>4</v>
      </c>
      <c r="B134" s="225" t="s">
        <v>765</v>
      </c>
      <c r="C134" s="225" t="s">
        <v>766</v>
      </c>
      <c r="D134" s="246"/>
      <c r="E134">
        <v>-1.3</v>
      </c>
      <c r="F134">
        <v>1.6</v>
      </c>
      <c r="H134" s="4"/>
      <c r="I134" s="4"/>
      <c r="J134" s="4"/>
    </row>
    <row r="135" spans="1:10" ht="14.25" x14ac:dyDescent="0.45">
      <c r="A135" s="212">
        <v>5</v>
      </c>
      <c r="B135" s="225" t="s">
        <v>767</v>
      </c>
      <c r="C135" s="225" t="s">
        <v>766</v>
      </c>
      <c r="D135" s="246"/>
      <c r="E135">
        <v>7</v>
      </c>
      <c r="F135">
        <v>4.5999999999999996</v>
      </c>
      <c r="H135" s="4"/>
      <c r="I135" s="4"/>
      <c r="J135" s="4"/>
    </row>
    <row r="136" spans="1:10" ht="14.25" x14ac:dyDescent="0.45">
      <c r="A136" s="212">
        <v>6</v>
      </c>
      <c r="B136" s="225" t="s">
        <v>10</v>
      </c>
      <c r="C136" s="225" t="s">
        <v>4</v>
      </c>
      <c r="D136" s="246"/>
      <c r="E136">
        <v>4.0999999999999996</v>
      </c>
      <c r="F136">
        <v>0.2</v>
      </c>
      <c r="H136" s="4"/>
      <c r="I136" s="4"/>
      <c r="J136" s="4"/>
    </row>
    <row r="137" spans="1:10" ht="14.25" x14ac:dyDescent="0.45">
      <c r="A137" s="212">
        <v>7</v>
      </c>
      <c r="B137" s="225" t="s">
        <v>768</v>
      </c>
      <c r="C137" s="225" t="s">
        <v>769</v>
      </c>
      <c r="D137" s="246"/>
      <c r="E137" s="247"/>
      <c r="F137" s="247"/>
      <c r="G137" s="247"/>
      <c r="H137" s="248"/>
      <c r="I137" s="248"/>
      <c r="J137" s="248"/>
    </row>
    <row r="138" spans="1:10" ht="14.25" x14ac:dyDescent="0.45">
      <c r="A138" s="212">
        <v>8</v>
      </c>
      <c r="B138" s="225" t="s">
        <v>770</v>
      </c>
      <c r="C138" s="225" t="s">
        <v>771</v>
      </c>
      <c r="D138" s="246"/>
      <c r="E138">
        <v>-5.9</v>
      </c>
      <c r="F138">
        <v>0.3</v>
      </c>
      <c r="H138" s="4"/>
      <c r="I138" s="4"/>
      <c r="J138" s="4"/>
    </row>
    <row r="139" spans="1:10" ht="14.25" x14ac:dyDescent="0.45">
      <c r="A139" s="212">
        <v>9</v>
      </c>
      <c r="B139" s="225" t="s">
        <v>772</v>
      </c>
      <c r="C139" s="225" t="s">
        <v>773</v>
      </c>
      <c r="D139" s="246"/>
      <c r="E139">
        <v>-2.8</v>
      </c>
      <c r="F139">
        <v>1</v>
      </c>
      <c r="H139" s="4"/>
      <c r="I139" s="4"/>
      <c r="J139" s="4"/>
    </row>
    <row r="140" spans="1:10" x14ac:dyDescent="0.4">
      <c r="A140" s="212"/>
      <c r="B140" s="225" t="s">
        <v>774</v>
      </c>
      <c r="C140" s="225"/>
      <c r="D140" s="225"/>
      <c r="E140" s="225"/>
      <c r="F140" s="225"/>
      <c r="G140" s="225"/>
      <c r="H140" s="242"/>
      <c r="I140" s="242"/>
      <c r="J140" s="242"/>
    </row>
    <row r="141" spans="1:10" ht="14.25" x14ac:dyDescent="0.45">
      <c r="A141" s="212">
        <v>10</v>
      </c>
      <c r="B141" s="243" t="s">
        <v>775</v>
      </c>
      <c r="C141" s="225"/>
      <c r="D141" s="246"/>
      <c r="E141">
        <v>2.4</v>
      </c>
      <c r="F141">
        <v>2</v>
      </c>
      <c r="H141" s="4"/>
      <c r="I141" s="4"/>
      <c r="J141" s="4"/>
    </row>
    <row r="142" spans="1:10" ht="14.25" x14ac:dyDescent="0.45">
      <c r="A142" s="212">
        <v>11</v>
      </c>
      <c r="B142" s="243" t="s">
        <v>776</v>
      </c>
      <c r="C142" s="225" t="s">
        <v>769</v>
      </c>
      <c r="D142" s="246"/>
      <c r="E142">
        <v>-0.7</v>
      </c>
      <c r="F142">
        <v>0</v>
      </c>
      <c r="H142" s="4"/>
      <c r="I142" s="4"/>
      <c r="J142" s="4"/>
    </row>
    <row r="143" spans="1:10" ht="14.25" x14ac:dyDescent="0.45">
      <c r="A143" s="212">
        <v>12</v>
      </c>
      <c r="B143" s="243" t="s">
        <v>777</v>
      </c>
      <c r="C143" s="225" t="s">
        <v>778</v>
      </c>
      <c r="D143" s="246"/>
      <c r="E143">
        <v>-2</v>
      </c>
      <c r="F143">
        <v>-0.6</v>
      </c>
      <c r="H143" s="4"/>
      <c r="I143" s="4"/>
      <c r="J143" s="4"/>
    </row>
    <row r="144" spans="1:10" x14ac:dyDescent="0.4">
      <c r="A144" s="212"/>
      <c r="B144" s="212" t="s">
        <v>779</v>
      </c>
      <c r="C144" s="212"/>
      <c r="D144" s="235"/>
      <c r="E144" s="235" t="str" cm="1">
        <f t="array" ref="E144:J144">IF(ISNUMBER(_xlfn.ANCHORARRAY(E$70)),"growth rate","")</f>
        <v>growth rate</v>
      </c>
      <c r="F144" s="235" t="str">
        <v>growth rate</v>
      </c>
      <c r="G144" s="235" t="str">
        <v>growth rate</v>
      </c>
      <c r="H144" s="236" t="str">
        <v>growth rate</v>
      </c>
      <c r="I144" s="236" t="str">
        <v>growth rate</v>
      </c>
      <c r="J144" s="236" t="str">
        <v>growth rate</v>
      </c>
    </row>
    <row r="145" spans="1:10" ht="14.25" x14ac:dyDescent="0.45">
      <c r="A145" s="212">
        <v>13</v>
      </c>
      <c r="B145" s="225" t="s">
        <v>780</v>
      </c>
      <c r="C145" s="225"/>
      <c r="D145" s="246"/>
      <c r="E145">
        <v>8</v>
      </c>
      <c r="F145">
        <v>1</v>
      </c>
      <c r="H145" s="4"/>
      <c r="I145" s="4"/>
      <c r="J145" s="4"/>
    </row>
    <row r="146" spans="1:10" ht="14.25" x14ac:dyDescent="0.45">
      <c r="A146" s="212">
        <v>14</v>
      </c>
      <c r="B146" s="240" t="s">
        <v>781</v>
      </c>
      <c r="C146" s="225"/>
      <c r="D146" s="246"/>
      <c r="E146">
        <v>8.9</v>
      </c>
      <c r="F146">
        <v>1.2</v>
      </c>
      <c r="H146" s="4"/>
      <c r="I146" s="4"/>
      <c r="J146" s="4"/>
    </row>
    <row r="147" spans="1:10" ht="14.25" x14ac:dyDescent="0.45">
      <c r="A147" s="212">
        <v>15</v>
      </c>
      <c r="B147" s="225" t="s">
        <v>782</v>
      </c>
      <c r="C147" s="225"/>
      <c r="D147" s="246"/>
      <c r="E147">
        <v>0.6</v>
      </c>
      <c r="F147">
        <v>3.6</v>
      </c>
      <c r="H147" s="4"/>
      <c r="I147" s="4"/>
      <c r="J147" s="4"/>
    </row>
    <row r="148" spans="1:10" ht="14.25" x14ac:dyDescent="0.45">
      <c r="A148" s="212">
        <v>16</v>
      </c>
      <c r="B148" s="225" t="s">
        <v>783</v>
      </c>
      <c r="C148" s="225"/>
      <c r="D148" s="246"/>
      <c r="E148">
        <v>6.4</v>
      </c>
      <c r="F148">
        <v>3</v>
      </c>
      <c r="H148" s="4"/>
      <c r="I148" s="4"/>
      <c r="J148" s="4"/>
    </row>
    <row r="149" spans="1:10" ht="14.25" x14ac:dyDescent="0.45">
      <c r="A149" s="212">
        <v>17</v>
      </c>
      <c r="B149" s="225" t="s">
        <v>784</v>
      </c>
      <c r="C149" s="225"/>
      <c r="D149" s="246"/>
      <c r="E149">
        <v>-1.8</v>
      </c>
      <c r="F149">
        <v>1.5</v>
      </c>
      <c r="H149" s="4"/>
      <c r="I149" s="4"/>
      <c r="J149" s="4"/>
    </row>
    <row r="150" spans="1:10" ht="14.25" x14ac:dyDescent="0.45">
      <c r="A150" s="212">
        <v>18</v>
      </c>
      <c r="B150" s="225" t="s">
        <v>785</v>
      </c>
      <c r="C150" s="225"/>
      <c r="D150" s="246"/>
      <c r="E150">
        <v>-5.2</v>
      </c>
      <c r="F150">
        <v>0.7</v>
      </c>
      <c r="H150" s="4"/>
      <c r="I150" s="4"/>
      <c r="J150" s="4"/>
    </row>
    <row r="151" spans="1:10" x14ac:dyDescent="0.4">
      <c r="A151" s="212"/>
      <c r="B151" s="212" t="s">
        <v>786</v>
      </c>
      <c r="C151" s="212" t="s">
        <v>26</v>
      </c>
      <c r="D151" s="235" t="s">
        <v>787</v>
      </c>
      <c r="E151" s="235" t="str" cm="1">
        <f t="array" ref="E151:J151">IF(ISNUMBER(_xlfn.ANCHORARRAY(E$70)),"growth rate","")</f>
        <v>growth rate</v>
      </c>
      <c r="F151" s="235" t="str">
        <v>growth rate</v>
      </c>
      <c r="G151" s="235" t="str">
        <v>growth rate</v>
      </c>
      <c r="H151" s="236" t="str">
        <v>growth rate</v>
      </c>
      <c r="I151" s="236" t="str">
        <v>growth rate</v>
      </c>
      <c r="J151" s="236" t="str">
        <v>growth rate</v>
      </c>
    </row>
    <row r="152" spans="1:10" x14ac:dyDescent="0.4">
      <c r="A152" s="212">
        <v>19</v>
      </c>
      <c r="B152" s="225" t="s">
        <v>788</v>
      </c>
      <c r="C152" s="225"/>
      <c r="D152" s="144">
        <v>884</v>
      </c>
      <c r="E152" s="3">
        <v>-0.2</v>
      </c>
      <c r="F152">
        <v>0</v>
      </c>
      <c r="G152" s="3"/>
      <c r="H152" s="64"/>
      <c r="I152" s="64"/>
      <c r="J152" s="64"/>
    </row>
    <row r="153" spans="1:10" x14ac:dyDescent="0.4">
      <c r="A153" s="212">
        <v>20</v>
      </c>
      <c r="B153" s="225" t="s">
        <v>789</v>
      </c>
      <c r="C153" s="225"/>
      <c r="D153" s="144">
        <v>1862</v>
      </c>
      <c r="E153">
        <v>-0.4</v>
      </c>
      <c r="F153">
        <v>0</v>
      </c>
      <c r="H153" s="4"/>
      <c r="I153" s="4"/>
      <c r="J153" s="4"/>
    </row>
    <row r="154" spans="1:10" ht="14.25" x14ac:dyDescent="0.45">
      <c r="A154" s="212">
        <v>21</v>
      </c>
      <c r="B154" s="225" t="s">
        <v>790</v>
      </c>
      <c r="C154" s="225"/>
      <c r="D154" s="246"/>
      <c r="E154">
        <v>-0.1</v>
      </c>
      <c r="F154">
        <v>1.4</v>
      </c>
      <c r="H154" s="4"/>
      <c r="I154" s="4"/>
      <c r="J154" s="4"/>
    </row>
    <row r="155" spans="1:10" ht="14.25" x14ac:dyDescent="0.45">
      <c r="A155" s="212">
        <v>22</v>
      </c>
      <c r="B155" s="225" t="s">
        <v>791</v>
      </c>
      <c r="C155" s="225"/>
      <c r="D155" s="246"/>
      <c r="E155">
        <v>0.3</v>
      </c>
      <c r="F155">
        <v>1.4</v>
      </c>
      <c r="H155" s="4"/>
      <c r="I155" s="4"/>
      <c r="J155" s="4"/>
    </row>
    <row r="156" spans="1:10" x14ac:dyDescent="0.4">
      <c r="A156" s="212">
        <v>23</v>
      </c>
      <c r="B156" s="225" t="s">
        <v>792</v>
      </c>
      <c r="C156" s="225" t="s">
        <v>5</v>
      </c>
      <c r="D156" s="144">
        <v>20.6</v>
      </c>
      <c r="E156">
        <v>12.7</v>
      </c>
      <c r="F156">
        <v>6.7</v>
      </c>
      <c r="H156" s="4"/>
      <c r="I156" s="4"/>
      <c r="J156" s="4"/>
    </row>
    <row r="157" spans="1:10" x14ac:dyDescent="0.4">
      <c r="A157" s="212">
        <v>24</v>
      </c>
      <c r="B157" s="225" t="s">
        <v>793</v>
      </c>
      <c r="C157" s="225"/>
      <c r="D157">
        <v>23298</v>
      </c>
      <c r="E157">
        <v>13</v>
      </c>
      <c r="F157">
        <v>6.7</v>
      </c>
      <c r="H157" s="4"/>
      <c r="I157" s="4"/>
      <c r="J157" s="4"/>
    </row>
    <row r="158" spans="1:10" x14ac:dyDescent="0.4">
      <c r="A158" s="212"/>
      <c r="B158" s="212"/>
      <c r="C158" s="212"/>
      <c r="D158" s="235"/>
      <c r="E158" s="235" t="str" cm="1">
        <f t="array" ref="E158:J158">IF(ISNUMBER(_xlfn.ANCHORARRAY(E$70)),"%","")</f>
        <v>%</v>
      </c>
      <c r="F158" s="235" t="str">
        <v>%</v>
      </c>
      <c r="G158" s="235" t="str">
        <v>%</v>
      </c>
      <c r="H158" s="236" t="str">
        <v>%</v>
      </c>
      <c r="I158" s="236" t="str">
        <v>%</v>
      </c>
      <c r="J158" s="236" t="str">
        <v>%</v>
      </c>
    </row>
    <row r="159" spans="1:10" ht="14.25" x14ac:dyDescent="0.45">
      <c r="A159" s="212">
        <v>25</v>
      </c>
      <c r="B159" s="225" t="s">
        <v>794</v>
      </c>
      <c r="C159" s="225"/>
      <c r="D159" s="246"/>
      <c r="E159">
        <v>6.5</v>
      </c>
      <c r="F159">
        <v>6.7</v>
      </c>
      <c r="H159" s="4"/>
      <c r="I159" s="4"/>
      <c r="J159" s="4"/>
    </row>
    <row r="160" spans="1:10" x14ac:dyDescent="0.4">
      <c r="A160" s="212"/>
      <c r="B160" s="212" t="s">
        <v>795</v>
      </c>
      <c r="C160" s="212"/>
      <c r="D160" s="235"/>
      <c r="E160" s="235" t="str" cm="1">
        <f t="array" ref="E160:J160">IF(ISNUMBER(_xlfn.ANCHORARRAY(E$70)),"growth rate","")</f>
        <v>growth rate</v>
      </c>
      <c r="F160" s="235" t="str">
        <v>growth rate</v>
      </c>
      <c r="G160" s="235" t="str">
        <v>growth rate</v>
      </c>
      <c r="H160" s="236" t="str">
        <v>growth rate</v>
      </c>
      <c r="I160" s="236" t="str">
        <v>growth rate</v>
      </c>
      <c r="J160" s="236" t="str">
        <v>growth rate</v>
      </c>
    </row>
    <row r="161" spans="1:26" ht="14.25" x14ac:dyDescent="0.45">
      <c r="A161" s="212">
        <v>26</v>
      </c>
      <c r="B161" s="225" t="s">
        <v>796</v>
      </c>
      <c r="C161" s="225"/>
      <c r="D161" s="246"/>
      <c r="E161">
        <v>2.2999999999999998</v>
      </c>
      <c r="F161">
        <v>2.2000000000000002</v>
      </c>
      <c r="G161">
        <v>2.1</v>
      </c>
      <c r="H161" s="4">
        <v>1.2</v>
      </c>
      <c r="I161" s="4">
        <v>0.9</v>
      </c>
      <c r="J161" s="4">
        <v>0.9</v>
      </c>
    </row>
    <row r="162" spans="1:26" x14ac:dyDescent="0.4">
      <c r="A162" s="212"/>
      <c r="B162" s="225" t="s">
        <v>797</v>
      </c>
      <c r="C162" s="225"/>
      <c r="D162" s="225"/>
      <c r="E162" s="225"/>
      <c r="F162" s="225"/>
      <c r="G162" s="225"/>
      <c r="H162" s="242"/>
      <c r="I162" s="242"/>
      <c r="J162" s="242"/>
    </row>
    <row r="163" spans="1:26" ht="14.25" x14ac:dyDescent="0.45">
      <c r="A163" s="212">
        <v>27</v>
      </c>
      <c r="B163" s="240" t="s">
        <v>798</v>
      </c>
      <c r="C163" s="225"/>
      <c r="D163" s="246"/>
      <c r="E163">
        <v>0</v>
      </c>
      <c r="F163">
        <v>0.1</v>
      </c>
      <c r="H163" s="4"/>
      <c r="I163" s="4"/>
      <c r="J163" s="4"/>
    </row>
    <row r="164" spans="1:26" ht="14.25" x14ac:dyDescent="0.45">
      <c r="A164" s="212">
        <v>28</v>
      </c>
      <c r="B164" s="240" t="s">
        <v>799</v>
      </c>
      <c r="C164" s="225"/>
      <c r="D164" s="246"/>
      <c r="E164">
        <v>0.9</v>
      </c>
      <c r="F164">
        <v>0.8</v>
      </c>
      <c r="H164" s="4"/>
      <c r="I164" s="4"/>
      <c r="J164" s="4"/>
    </row>
    <row r="165" spans="1:26" ht="14.25" x14ac:dyDescent="0.45">
      <c r="A165" s="212">
        <v>29</v>
      </c>
      <c r="B165" s="240" t="s">
        <v>800</v>
      </c>
      <c r="C165" s="225"/>
      <c r="D165" s="246"/>
      <c r="E165">
        <v>1.4</v>
      </c>
      <c r="F165">
        <v>1.4</v>
      </c>
      <c r="H165" s="4"/>
      <c r="I165" s="4"/>
      <c r="J165" s="4"/>
    </row>
    <row r="166" spans="1:26" x14ac:dyDescent="0.4">
      <c r="A166" s="212"/>
      <c r="B166" s="212"/>
      <c r="C166" s="212"/>
      <c r="D166" s="235"/>
      <c r="E166" s="63" t="str" cm="1">
        <f t="array" ref="E166:J166">IF(ISNUMBER(_xlfn.ANCHORARRAY(E$70)),"% pot. GDP","")</f>
        <v>% pot. GDP</v>
      </c>
      <c r="F166" s="235" t="str">
        <v>% pot. GDP</v>
      </c>
      <c r="G166" s="235" t="str">
        <v>% pot. GDP</v>
      </c>
      <c r="H166" s="236" t="str">
        <v>% pot. GDP</v>
      </c>
      <c r="I166" s="236" t="str">
        <v>% pot. GDP</v>
      </c>
      <c r="J166" s="236" t="str">
        <v>% pot. GDP</v>
      </c>
    </row>
    <row r="167" spans="1:26" ht="14.25" x14ac:dyDescent="0.45">
      <c r="A167" s="212">
        <v>30</v>
      </c>
      <c r="B167" s="225" t="s">
        <v>89</v>
      </c>
      <c r="C167" s="225"/>
      <c r="D167" s="246"/>
      <c r="E167" s="4">
        <v>-1</v>
      </c>
      <c r="F167">
        <v>-1.8</v>
      </c>
      <c r="G167">
        <v>-1</v>
      </c>
      <c r="H167" s="4">
        <v>-0.7</v>
      </c>
      <c r="I167" s="4">
        <v>-0.5</v>
      </c>
      <c r="J167" s="4">
        <v>-0.4</v>
      </c>
    </row>
    <row r="170" spans="1:26" ht="23.25" x14ac:dyDescent="0.6">
      <c r="A170" s="187" t="s">
        <v>833</v>
      </c>
      <c r="B170" s="188"/>
      <c r="C170" s="188"/>
      <c r="D170" s="188"/>
      <c r="E170" s="188"/>
      <c r="F170" s="188"/>
      <c r="G170" s="188"/>
      <c r="H170" s="188"/>
      <c r="I170" s="188"/>
      <c r="J170" s="189"/>
      <c r="K170" s="189"/>
      <c r="L170" s="189"/>
      <c r="M170" s="189"/>
      <c r="N170" s="189"/>
      <c r="O170" s="189"/>
      <c r="P170" s="189"/>
      <c r="Q170" s="189"/>
      <c r="R170" s="189"/>
      <c r="S170" s="189"/>
      <c r="T170" s="189"/>
      <c r="U170" s="189"/>
      <c r="V170" s="189"/>
      <c r="W170" s="189"/>
      <c r="X170" s="189"/>
      <c r="Y170" s="189"/>
      <c r="Z170" s="189"/>
    </row>
    <row r="171" spans="1:26" x14ac:dyDescent="0.4">
      <c r="A171" s="190"/>
      <c r="B171" s="191"/>
      <c r="C171" s="192" t="s">
        <v>834</v>
      </c>
      <c r="D171" s="193"/>
      <c r="E171" s="193" cm="1">
        <f t="array" ref="E171:T171">_xlfn.SEQUENCE(1, AdjustmentPeriodEnd+10-MTP_BaseYear+1, MTP_BaseYear)</f>
        <v>2023</v>
      </c>
      <c r="F171" s="193">
        <v>2024</v>
      </c>
      <c r="G171" s="193">
        <v>2025</v>
      </c>
      <c r="H171" s="193">
        <v>2026</v>
      </c>
      <c r="I171" s="193">
        <v>2027</v>
      </c>
      <c r="J171" s="193">
        <v>2028</v>
      </c>
      <c r="K171" s="193">
        <v>2029</v>
      </c>
      <c r="L171" s="193">
        <v>2030</v>
      </c>
      <c r="M171" s="193">
        <v>2031</v>
      </c>
      <c r="N171" s="193">
        <v>2032</v>
      </c>
      <c r="O171" s="193">
        <v>2033</v>
      </c>
      <c r="P171" s="193">
        <v>2034</v>
      </c>
      <c r="Q171" s="193">
        <v>2035</v>
      </c>
      <c r="R171" s="193">
        <v>2036</v>
      </c>
      <c r="S171" s="193">
        <v>2037</v>
      </c>
      <c r="T171" s="193">
        <v>2038</v>
      </c>
      <c r="U171" s="193"/>
      <c r="V171" s="193"/>
      <c r="W171" s="193"/>
    </row>
    <row r="172" spans="1:26" x14ac:dyDescent="0.4">
      <c r="A172" s="194">
        <v>1</v>
      </c>
      <c r="B172" s="195" t="s">
        <v>1</v>
      </c>
      <c r="C172" s="196" t="s">
        <v>835</v>
      </c>
      <c r="D172" s="196"/>
      <c r="E172" s="197">
        <v>43.6</v>
      </c>
      <c r="F172" s="197">
        <v>45.8</v>
      </c>
      <c r="G172" s="197">
        <v>47.5</v>
      </c>
      <c r="H172" s="197">
        <v>48.5</v>
      </c>
      <c r="I172" s="197">
        <v>49.7</v>
      </c>
      <c r="J172" s="197">
        <v>50.8</v>
      </c>
      <c r="K172" s="198">
        <v>51.9</v>
      </c>
      <c r="L172" s="198">
        <v>53</v>
      </c>
      <c r="M172" s="198">
        <v>53.9</v>
      </c>
      <c r="N172" s="198">
        <v>54.9</v>
      </c>
      <c r="O172" s="198">
        <v>55.9</v>
      </c>
      <c r="P172" s="198">
        <v>56.8</v>
      </c>
      <c r="Q172" s="198">
        <v>57.7</v>
      </c>
      <c r="R172" s="198">
        <v>58.5</v>
      </c>
      <c r="S172" s="198">
        <v>59.2</v>
      </c>
      <c r="T172" s="198">
        <v>59.9</v>
      </c>
      <c r="U172" s="198"/>
      <c r="V172" s="198"/>
      <c r="W172" s="198"/>
    </row>
    <row r="173" spans="1:26" x14ac:dyDescent="0.4">
      <c r="A173" s="194">
        <v>2</v>
      </c>
      <c r="B173" s="195" t="s">
        <v>836</v>
      </c>
      <c r="C173" s="196" t="s">
        <v>837</v>
      </c>
      <c r="D173" s="196"/>
      <c r="E173" s="197">
        <v>-2.2000000000000002</v>
      </c>
      <c r="F173" s="197">
        <v>-2.6</v>
      </c>
      <c r="G173" s="197">
        <v>-2.9</v>
      </c>
      <c r="H173" s="197">
        <v>-2.9</v>
      </c>
      <c r="I173" s="197">
        <v>-2.9</v>
      </c>
      <c r="J173" s="197">
        <v>-2.9</v>
      </c>
      <c r="K173" s="198">
        <v>-2.9</v>
      </c>
      <c r="L173" s="198">
        <v>-2.9</v>
      </c>
      <c r="M173" s="198">
        <v>-2.9</v>
      </c>
      <c r="N173" s="198">
        <v>-3</v>
      </c>
      <c r="O173" s="198">
        <v>-3</v>
      </c>
      <c r="P173" s="198">
        <v>-3</v>
      </c>
      <c r="Q173" s="198">
        <v>-3</v>
      </c>
      <c r="R173" s="198">
        <v>-3</v>
      </c>
      <c r="S173" s="198">
        <v>-3</v>
      </c>
      <c r="T173" s="198">
        <v>-2.9</v>
      </c>
      <c r="U173" s="198"/>
      <c r="V173" s="198"/>
      <c r="W173" s="198"/>
    </row>
    <row r="174" spans="1:26" x14ac:dyDescent="0.4">
      <c r="A174" s="194">
        <v>3</v>
      </c>
      <c r="B174" s="195" t="s">
        <v>3</v>
      </c>
      <c r="C174" s="196" t="s">
        <v>838</v>
      </c>
      <c r="D174" s="196"/>
      <c r="E174" s="197">
        <v>-1.2</v>
      </c>
      <c r="F174" s="197">
        <v>-0.8</v>
      </c>
      <c r="G174" s="197">
        <v>-1.3</v>
      </c>
      <c r="H174" s="197">
        <v>-1.3</v>
      </c>
      <c r="I174" s="197">
        <v>-1.3</v>
      </c>
      <c r="J174" s="197">
        <v>-1.3</v>
      </c>
      <c r="K174" s="198">
        <v>-1.3</v>
      </c>
      <c r="L174" s="198">
        <v>-1.3</v>
      </c>
      <c r="M174" s="198">
        <v>-1.3</v>
      </c>
      <c r="N174" s="198">
        <v>-1.3</v>
      </c>
      <c r="O174" s="198">
        <v>-1.3</v>
      </c>
      <c r="P174" s="198">
        <v>-1.3</v>
      </c>
      <c r="Q174" s="198">
        <v>-1.3</v>
      </c>
      <c r="R174" s="198">
        <v>-1.3</v>
      </c>
      <c r="S174" s="198">
        <v>-1.3</v>
      </c>
      <c r="T174" s="198">
        <v>-1.3</v>
      </c>
      <c r="U174" s="198"/>
      <c r="V174" s="198"/>
      <c r="W174" s="198"/>
    </row>
    <row r="175" spans="1:26" x14ac:dyDescent="0.4">
      <c r="A175" s="194">
        <v>4</v>
      </c>
      <c r="B175" s="195" t="s">
        <v>839</v>
      </c>
      <c r="C175" s="196"/>
      <c r="D175" s="196"/>
      <c r="E175" s="197">
        <v>0.4</v>
      </c>
      <c r="F175" s="197">
        <v>0.7</v>
      </c>
      <c r="G175" s="197">
        <v>0.4</v>
      </c>
      <c r="H175" s="197">
        <v>0.3</v>
      </c>
      <c r="I175" s="197">
        <v>0.2</v>
      </c>
      <c r="J175" s="197">
        <v>0.1</v>
      </c>
      <c r="K175" s="198">
        <v>0.1</v>
      </c>
      <c r="L175" s="198">
        <v>0</v>
      </c>
      <c r="M175" s="198">
        <v>0</v>
      </c>
      <c r="N175" s="198">
        <v>0</v>
      </c>
      <c r="O175" s="198">
        <v>0</v>
      </c>
      <c r="P175" s="198">
        <v>0</v>
      </c>
      <c r="Q175" s="198">
        <v>0</v>
      </c>
      <c r="R175" s="198">
        <v>0</v>
      </c>
      <c r="S175" s="198">
        <v>0</v>
      </c>
      <c r="T175" s="198">
        <v>0</v>
      </c>
      <c r="U175" s="198"/>
      <c r="V175" s="198"/>
      <c r="W175" s="198"/>
    </row>
    <row r="176" spans="1:26" x14ac:dyDescent="0.4">
      <c r="A176" s="194">
        <v>5</v>
      </c>
      <c r="B176" s="195" t="s">
        <v>840</v>
      </c>
      <c r="C176" s="196"/>
      <c r="D176" s="196"/>
      <c r="E176" s="197">
        <v>0</v>
      </c>
      <c r="F176" s="197">
        <v>0</v>
      </c>
      <c r="G176" s="197">
        <v>0</v>
      </c>
      <c r="H176" s="197">
        <v>0</v>
      </c>
      <c r="I176" s="197">
        <v>0</v>
      </c>
      <c r="J176" s="197">
        <v>0</v>
      </c>
      <c r="K176" s="197">
        <v>0</v>
      </c>
      <c r="L176" s="197">
        <v>0</v>
      </c>
      <c r="M176" s="197">
        <v>0</v>
      </c>
      <c r="N176" s="197">
        <v>0</v>
      </c>
      <c r="O176" s="197">
        <v>0</v>
      </c>
      <c r="P176" s="197">
        <v>0</v>
      </c>
      <c r="Q176" s="197">
        <v>0</v>
      </c>
      <c r="R176" s="197">
        <v>0</v>
      </c>
      <c r="S176" s="197">
        <v>0</v>
      </c>
      <c r="T176" s="197">
        <v>0</v>
      </c>
      <c r="U176" s="197"/>
      <c r="V176" s="197"/>
      <c r="W176" s="197"/>
    </row>
    <row r="177" spans="1:26" x14ac:dyDescent="0.4">
      <c r="A177" s="194">
        <v>6</v>
      </c>
      <c r="B177" s="195" t="s">
        <v>25</v>
      </c>
      <c r="C177" s="196" t="s">
        <v>841</v>
      </c>
      <c r="D177" s="196"/>
      <c r="E177" s="197">
        <v>0.6</v>
      </c>
      <c r="F177" s="197">
        <v>1.1000000000000001</v>
      </c>
      <c r="G177" s="197">
        <v>1.2</v>
      </c>
      <c r="H177" s="197">
        <v>1.3</v>
      </c>
      <c r="I177" s="197">
        <v>1.4</v>
      </c>
      <c r="J177" s="197">
        <v>1.5</v>
      </c>
      <c r="K177" s="198">
        <v>1.6</v>
      </c>
      <c r="L177" s="198">
        <v>1.6</v>
      </c>
      <c r="M177" s="198">
        <v>1.7</v>
      </c>
      <c r="N177" s="198">
        <v>1.8</v>
      </c>
      <c r="O177" s="198">
        <v>1.9</v>
      </c>
      <c r="P177" s="198">
        <v>1.9</v>
      </c>
      <c r="Q177" s="198">
        <v>2</v>
      </c>
      <c r="R177" s="198">
        <v>2</v>
      </c>
      <c r="S177" s="198">
        <v>2.1</v>
      </c>
      <c r="T177" s="198">
        <v>2.1</v>
      </c>
      <c r="U177" s="198"/>
      <c r="V177" s="198"/>
      <c r="W177" s="198"/>
    </row>
    <row r="178" spans="1:26" x14ac:dyDescent="0.4">
      <c r="A178" s="194">
        <v>7</v>
      </c>
      <c r="B178" s="199" t="s">
        <v>842</v>
      </c>
      <c r="C178" s="196" t="s">
        <v>843</v>
      </c>
      <c r="D178" s="196"/>
      <c r="E178" s="197">
        <v>3.9</v>
      </c>
      <c r="F178" s="197">
        <v>3.5</v>
      </c>
      <c r="G178" s="197">
        <v>3.6</v>
      </c>
      <c r="H178" s="197">
        <v>3.7</v>
      </c>
      <c r="I178" s="197">
        <v>3.7</v>
      </c>
      <c r="J178" s="197">
        <v>3.8</v>
      </c>
      <c r="K178" s="198">
        <v>3.8</v>
      </c>
      <c r="L178" s="198">
        <v>3.8</v>
      </c>
      <c r="M178" s="198">
        <v>3.9</v>
      </c>
      <c r="N178" s="198">
        <v>3.9</v>
      </c>
      <c r="O178" s="198">
        <v>4</v>
      </c>
      <c r="P178" s="198">
        <v>4</v>
      </c>
      <c r="Q178" s="198">
        <v>4</v>
      </c>
      <c r="R178" s="198">
        <v>4</v>
      </c>
      <c r="S178" s="198">
        <v>4</v>
      </c>
      <c r="T178" s="198">
        <v>4</v>
      </c>
      <c r="U178" s="198"/>
      <c r="V178" s="198"/>
      <c r="W178" s="198"/>
    </row>
    <row r="179" spans="1:26" x14ac:dyDescent="0.4">
      <c r="A179" s="194">
        <v>8</v>
      </c>
      <c r="B179" s="199" t="s">
        <v>844</v>
      </c>
      <c r="C179" s="196" t="s">
        <v>845</v>
      </c>
      <c r="D179" s="196"/>
      <c r="E179" s="197">
        <v>3.8</v>
      </c>
      <c r="F179" s="197">
        <v>3.5</v>
      </c>
      <c r="G179" s="197">
        <v>2.8</v>
      </c>
      <c r="H179" s="197">
        <v>2.8</v>
      </c>
      <c r="I179" s="197">
        <v>2.8</v>
      </c>
      <c r="J179" s="197">
        <v>2.8</v>
      </c>
      <c r="K179" s="198">
        <v>2.8</v>
      </c>
      <c r="L179" s="198">
        <v>2.8</v>
      </c>
      <c r="M179" s="198">
        <v>2.7</v>
      </c>
      <c r="N179" s="198">
        <v>2.7</v>
      </c>
      <c r="O179" s="198">
        <v>2.7</v>
      </c>
      <c r="P179" s="198">
        <v>2.7</v>
      </c>
      <c r="Q179" s="198">
        <v>2.7</v>
      </c>
      <c r="R179" s="198">
        <v>2.6</v>
      </c>
      <c r="S179" s="198">
        <v>2.6</v>
      </c>
      <c r="T179" s="198">
        <v>2.5</v>
      </c>
      <c r="U179" s="198"/>
      <c r="V179" s="198"/>
      <c r="W179" s="198"/>
    </row>
    <row r="180" spans="1:26" s="189" customFormat="1" ht="16.5" x14ac:dyDescent="0.6">
      <c r="A180" s="194">
        <v>9</v>
      </c>
      <c r="B180" s="195" t="s">
        <v>846</v>
      </c>
      <c r="C180" s="196" t="s">
        <v>847</v>
      </c>
      <c r="D180" s="196"/>
      <c r="E180" s="197">
        <v>1.6</v>
      </c>
      <c r="F180" s="197">
        <v>2.6</v>
      </c>
      <c r="G180" s="197">
        <v>2.7</v>
      </c>
      <c r="H180" s="197">
        <v>2.9</v>
      </c>
      <c r="I180" s="197">
        <v>3</v>
      </c>
      <c r="J180" s="197">
        <v>3.1</v>
      </c>
      <c r="K180" s="197">
        <v>3.2</v>
      </c>
      <c r="L180" s="197">
        <v>3.3</v>
      </c>
      <c r="M180" s="197">
        <v>3.4</v>
      </c>
      <c r="N180" s="197">
        <v>3.4</v>
      </c>
      <c r="O180" s="197">
        <v>3.5</v>
      </c>
      <c r="P180" s="197">
        <v>3.6</v>
      </c>
      <c r="Q180" s="197">
        <v>3.6</v>
      </c>
      <c r="R180" s="197">
        <v>3.7</v>
      </c>
      <c r="S180" s="197">
        <v>3.7</v>
      </c>
      <c r="T180" s="197">
        <v>3.7</v>
      </c>
      <c r="U180" s="197"/>
      <c r="V180" s="197"/>
      <c r="W180" s="197"/>
      <c r="X180"/>
      <c r="Y180"/>
      <c r="Z180"/>
    </row>
    <row r="181" spans="1:26" x14ac:dyDescent="0.4">
      <c r="A181" s="194">
        <v>10</v>
      </c>
      <c r="B181" s="195" t="s">
        <v>848</v>
      </c>
      <c r="C181" s="196" t="s">
        <v>849</v>
      </c>
      <c r="D181" s="196"/>
      <c r="E181" s="197">
        <v>1.6</v>
      </c>
      <c r="F181" s="197">
        <v>1.3</v>
      </c>
      <c r="G181" s="197">
        <v>1</v>
      </c>
      <c r="H181" s="197">
        <v>0</v>
      </c>
      <c r="I181" s="197">
        <v>0</v>
      </c>
      <c r="J181" s="197">
        <v>0</v>
      </c>
      <c r="K181" s="198">
        <v>0</v>
      </c>
      <c r="L181" s="198">
        <v>0</v>
      </c>
      <c r="M181" s="198">
        <v>0</v>
      </c>
      <c r="N181" s="198">
        <v>0</v>
      </c>
      <c r="O181" s="198">
        <v>0</v>
      </c>
      <c r="P181" s="198">
        <v>0</v>
      </c>
      <c r="Q181" s="198">
        <v>0</v>
      </c>
      <c r="R181" s="198">
        <v>0</v>
      </c>
      <c r="S181" s="198">
        <v>0</v>
      </c>
      <c r="T181" s="198">
        <v>0</v>
      </c>
      <c r="U181" s="198"/>
      <c r="V181" s="198"/>
      <c r="W181" s="198"/>
    </row>
    <row r="182" spans="1:26" x14ac:dyDescent="0.4">
      <c r="A182" s="194">
        <v>11</v>
      </c>
      <c r="B182" s="200" t="s">
        <v>850</v>
      </c>
      <c r="C182" s="196" t="s">
        <v>851</v>
      </c>
      <c r="D182" s="196"/>
      <c r="E182" s="197">
        <v>2.2999999999999998</v>
      </c>
      <c r="F182" s="197">
        <v>2.2000000000000002</v>
      </c>
      <c r="G182" s="197">
        <v>2.1</v>
      </c>
      <c r="H182" s="197">
        <v>1.2</v>
      </c>
      <c r="I182" s="197">
        <v>0.9</v>
      </c>
      <c r="J182" s="197">
        <v>0.9</v>
      </c>
      <c r="K182" s="198">
        <v>1</v>
      </c>
      <c r="L182" s="198">
        <v>1.1000000000000001</v>
      </c>
      <c r="M182" s="198">
        <v>1.2</v>
      </c>
      <c r="N182" s="198">
        <v>1.2</v>
      </c>
      <c r="O182" s="198">
        <v>1.3</v>
      </c>
      <c r="P182" s="198">
        <v>1.3</v>
      </c>
      <c r="Q182" s="198">
        <v>1.4</v>
      </c>
      <c r="R182" s="198">
        <v>1.5</v>
      </c>
      <c r="S182" s="198">
        <v>1.5</v>
      </c>
      <c r="T182" s="198">
        <v>1.4</v>
      </c>
      <c r="U182" s="198"/>
      <c r="V182" s="198"/>
      <c r="W182" s="198"/>
    </row>
    <row r="183" spans="1:26" x14ac:dyDescent="0.4">
      <c r="A183" s="194">
        <v>12</v>
      </c>
      <c r="B183" s="200" t="s">
        <v>7</v>
      </c>
      <c r="C183" s="196" t="s">
        <v>852</v>
      </c>
      <c r="D183" s="196"/>
      <c r="E183" s="197">
        <v>-0.3</v>
      </c>
      <c r="F183" s="197">
        <v>1.4</v>
      </c>
      <c r="G183" s="197">
        <v>2.9</v>
      </c>
      <c r="H183" s="197">
        <v>1.6</v>
      </c>
      <c r="I183" s="197">
        <v>1.2</v>
      </c>
      <c r="J183" s="197">
        <v>1.1000000000000001</v>
      </c>
      <c r="K183" s="198">
        <v>1.2</v>
      </c>
      <c r="L183" s="198">
        <v>1.2</v>
      </c>
      <c r="M183" s="198">
        <v>1.3</v>
      </c>
      <c r="N183" s="198">
        <v>1.2</v>
      </c>
      <c r="O183" s="198">
        <v>1.3</v>
      </c>
      <c r="P183" s="198">
        <v>1.3</v>
      </c>
      <c r="Q183" s="198">
        <v>1.4</v>
      </c>
      <c r="R183" s="198">
        <v>1.5</v>
      </c>
      <c r="S183" s="198">
        <v>1.5</v>
      </c>
      <c r="T183" s="198">
        <v>1.4</v>
      </c>
      <c r="U183" s="198"/>
      <c r="V183" s="198"/>
      <c r="W183" s="198"/>
    </row>
    <row r="184" spans="1:26" x14ac:dyDescent="0.4">
      <c r="A184" s="194">
        <v>13</v>
      </c>
      <c r="B184" s="201" t="s">
        <v>8</v>
      </c>
      <c r="C184" s="196" t="s">
        <v>853</v>
      </c>
      <c r="D184" s="196"/>
      <c r="E184" s="197">
        <v>5.4</v>
      </c>
      <c r="F184" s="197">
        <v>2.4</v>
      </c>
      <c r="G184" s="197">
        <v>2.5</v>
      </c>
      <c r="H184" s="197">
        <v>2.5</v>
      </c>
      <c r="I184" s="197">
        <v>2.5</v>
      </c>
      <c r="J184" s="197">
        <v>2.5</v>
      </c>
      <c r="K184" s="198">
        <v>2.5</v>
      </c>
      <c r="L184" s="198">
        <v>2.5</v>
      </c>
      <c r="M184" s="198">
        <v>2.5</v>
      </c>
      <c r="N184" s="198">
        <v>2.5</v>
      </c>
      <c r="O184" s="198">
        <v>2.6</v>
      </c>
      <c r="P184" s="198">
        <v>2.5</v>
      </c>
      <c r="Q184" s="198">
        <v>2.5</v>
      </c>
      <c r="R184" s="198">
        <v>2.5</v>
      </c>
      <c r="S184" s="198">
        <v>2.4</v>
      </c>
      <c r="T184" s="198">
        <v>2.4</v>
      </c>
      <c r="U184" s="198"/>
      <c r="V184" s="198"/>
      <c r="W184" s="198"/>
    </row>
    <row r="185" spans="1:26" x14ac:dyDescent="0.4">
      <c r="A185" s="202">
        <v>14</v>
      </c>
      <c r="B185" s="203" t="s">
        <v>9</v>
      </c>
      <c r="C185" s="204" t="s">
        <v>854</v>
      </c>
      <c r="D185" s="204"/>
      <c r="E185" s="205">
        <v>5.0999999999999996</v>
      </c>
      <c r="F185" s="205">
        <v>3.8</v>
      </c>
      <c r="G185" s="205">
        <v>5.5</v>
      </c>
      <c r="H185" s="205">
        <v>4.0999999999999996</v>
      </c>
      <c r="I185" s="205">
        <v>3.7</v>
      </c>
      <c r="J185" s="205">
        <v>3.6</v>
      </c>
      <c r="K185" s="205">
        <v>3.7</v>
      </c>
      <c r="L185" s="205">
        <v>3.8</v>
      </c>
      <c r="M185" s="205">
        <v>3.8</v>
      </c>
      <c r="N185" s="205">
        <v>3.8</v>
      </c>
      <c r="O185" s="205">
        <v>3.9</v>
      </c>
      <c r="P185" s="205">
        <v>3.9</v>
      </c>
      <c r="Q185" s="205">
        <v>3.9</v>
      </c>
      <c r="R185" s="205">
        <v>4</v>
      </c>
      <c r="S185" s="205">
        <v>4</v>
      </c>
      <c r="T185" s="205">
        <v>3.9</v>
      </c>
      <c r="U185" s="205"/>
      <c r="V185" s="205"/>
      <c r="W185" s="205"/>
    </row>
    <row r="186" spans="1:26" x14ac:dyDescent="0.4">
      <c r="H186" s="206"/>
      <c r="I186" s="206"/>
      <c r="J186" s="207"/>
      <c r="K186" s="207"/>
      <c r="L186" s="207"/>
      <c r="M186" s="207"/>
      <c r="N186" s="207"/>
      <c r="O186" s="207"/>
      <c r="P186" s="207"/>
      <c r="Q186" s="207"/>
      <c r="R186" s="207"/>
      <c r="S186" s="207"/>
      <c r="T186" s="207"/>
      <c r="U186" s="207"/>
      <c r="V186" s="207"/>
      <c r="W186" s="207"/>
    </row>
    <row r="187" spans="1:26" ht="23.25" x14ac:dyDescent="0.4">
      <c r="A187" s="187" t="s">
        <v>855</v>
      </c>
      <c r="B187" s="206"/>
      <c r="C187" s="206"/>
      <c r="D187" s="206"/>
      <c r="E187" s="206"/>
      <c r="F187" s="206"/>
      <c r="G187" s="206"/>
      <c r="H187" s="206"/>
      <c r="I187" s="206"/>
      <c r="J187" s="207"/>
      <c r="K187" s="207"/>
      <c r="L187" s="207"/>
      <c r="M187" s="207"/>
      <c r="N187" s="207"/>
      <c r="O187" s="207"/>
      <c r="P187" s="207"/>
      <c r="Q187" s="207"/>
      <c r="R187" s="207"/>
      <c r="S187" s="207"/>
      <c r="T187" s="207"/>
      <c r="U187" s="207"/>
      <c r="V187" s="207"/>
      <c r="W187" s="207"/>
    </row>
    <row r="188" spans="1:26" x14ac:dyDescent="0.4">
      <c r="A188" s="190"/>
      <c r="B188" s="191" t="s">
        <v>207</v>
      </c>
      <c r="C188" s="191"/>
      <c r="D188" s="193"/>
      <c r="E188" s="193" cm="1">
        <f t="array" ref="E188:T188">_xlfn.SEQUENCE(1, AdjustmentPeriodEnd+10-MTP_BaseYear+1, MTP_BaseYear)</f>
        <v>2023</v>
      </c>
      <c r="F188" s="193">
        <v>2024</v>
      </c>
      <c r="G188" s="193">
        <v>2025</v>
      </c>
      <c r="H188" s="193">
        <v>2026</v>
      </c>
      <c r="I188" s="193">
        <v>2027</v>
      </c>
      <c r="J188" s="193">
        <v>2028</v>
      </c>
      <c r="K188" s="193">
        <v>2029</v>
      </c>
      <c r="L188" s="193">
        <v>2030</v>
      </c>
      <c r="M188" s="193">
        <v>2031</v>
      </c>
      <c r="N188" s="193">
        <v>2032</v>
      </c>
      <c r="O188" s="193">
        <v>2033</v>
      </c>
      <c r="P188" s="193">
        <v>2034</v>
      </c>
      <c r="Q188" s="193">
        <v>2035</v>
      </c>
      <c r="R188" s="193">
        <v>2036</v>
      </c>
      <c r="S188" s="193">
        <v>2037</v>
      </c>
      <c r="T188" s="193">
        <v>2038</v>
      </c>
      <c r="U188" s="193"/>
      <c r="V188" s="193"/>
      <c r="W188" s="193"/>
    </row>
    <row r="189" spans="1:26" x14ac:dyDescent="0.4">
      <c r="A189" s="194">
        <v>1</v>
      </c>
      <c r="B189" s="195" t="s">
        <v>1</v>
      </c>
      <c r="C189" s="196" t="s">
        <v>835</v>
      </c>
      <c r="D189" s="196"/>
      <c r="E189" s="208"/>
      <c r="F189" s="208"/>
      <c r="G189" s="208"/>
      <c r="H189" s="208"/>
      <c r="I189" s="208"/>
      <c r="J189" s="208"/>
      <c r="K189" s="208"/>
      <c r="L189" s="208"/>
      <c r="M189" s="208"/>
      <c r="N189" s="208"/>
      <c r="O189" s="208"/>
      <c r="P189" s="208"/>
      <c r="Q189" s="208"/>
      <c r="R189" s="208"/>
      <c r="S189" s="208"/>
      <c r="T189" s="208"/>
      <c r="U189" s="197"/>
      <c r="V189" s="197"/>
      <c r="W189" s="197"/>
    </row>
    <row r="190" spans="1:26" x14ac:dyDescent="0.4">
      <c r="A190" s="194">
        <v>2</v>
      </c>
      <c r="B190" s="195" t="s">
        <v>842</v>
      </c>
      <c r="C190" s="196" t="s">
        <v>843</v>
      </c>
      <c r="D190" s="196"/>
      <c r="E190" s="208"/>
      <c r="F190" s="208"/>
      <c r="G190" s="208"/>
      <c r="H190" s="208"/>
      <c r="I190" s="208"/>
      <c r="J190" s="208"/>
      <c r="K190" s="208"/>
      <c r="L190" s="208"/>
      <c r="M190" s="208"/>
      <c r="N190" s="208"/>
      <c r="O190" s="208"/>
      <c r="P190" s="208"/>
      <c r="Q190" s="208"/>
      <c r="R190" s="208"/>
      <c r="S190" s="208"/>
      <c r="T190" s="208"/>
      <c r="U190" s="197"/>
      <c r="V190" s="197"/>
      <c r="W190" s="197"/>
    </row>
    <row r="191" spans="1:26" x14ac:dyDescent="0.4">
      <c r="A191" s="194">
        <v>3</v>
      </c>
      <c r="B191" s="195" t="s">
        <v>844</v>
      </c>
      <c r="C191" s="196" t="s">
        <v>845</v>
      </c>
      <c r="D191" s="196"/>
      <c r="E191" s="208"/>
      <c r="F191" s="208"/>
      <c r="G191" s="208"/>
      <c r="H191" s="208"/>
      <c r="I191" s="208"/>
      <c r="J191" s="208"/>
      <c r="K191" s="208"/>
      <c r="L191" s="208"/>
      <c r="M191" s="208"/>
      <c r="N191" s="208"/>
      <c r="O191" s="208"/>
      <c r="P191" s="208"/>
      <c r="Q191" s="208"/>
      <c r="R191" s="208"/>
      <c r="S191" s="208"/>
      <c r="T191" s="208"/>
      <c r="U191" s="197"/>
      <c r="V191" s="197"/>
      <c r="W191" s="197"/>
    </row>
    <row r="192" spans="1:26" x14ac:dyDescent="0.4">
      <c r="A192" s="194"/>
      <c r="B192" s="209" t="s">
        <v>208</v>
      </c>
      <c r="C192" s="209"/>
      <c r="D192" s="210"/>
      <c r="E192" s="210" cm="1">
        <f t="array" ref="E192:T192">_xlfn.SEQUENCE(1, AdjustmentPeriodEnd+10-MTP_BaseYear+1, MTP_BaseYear)</f>
        <v>2023</v>
      </c>
      <c r="F192" s="210">
        <v>2024</v>
      </c>
      <c r="G192" s="210">
        <v>2025</v>
      </c>
      <c r="H192" s="210">
        <v>2026</v>
      </c>
      <c r="I192" s="210">
        <v>2027</v>
      </c>
      <c r="J192" s="210">
        <v>2028</v>
      </c>
      <c r="K192" s="210">
        <v>2029</v>
      </c>
      <c r="L192" s="210">
        <v>2030</v>
      </c>
      <c r="M192" s="210">
        <v>2031</v>
      </c>
      <c r="N192" s="210">
        <v>2032</v>
      </c>
      <c r="O192" s="210">
        <v>2033</v>
      </c>
      <c r="P192" s="210">
        <v>2034</v>
      </c>
      <c r="Q192" s="210">
        <v>2035</v>
      </c>
      <c r="R192" s="210">
        <v>2036</v>
      </c>
      <c r="S192" s="210">
        <v>2037</v>
      </c>
      <c r="T192" s="210">
        <v>2038</v>
      </c>
      <c r="U192" s="210"/>
      <c r="V192" s="210"/>
      <c r="W192" s="210"/>
    </row>
    <row r="193" spans="1:23" x14ac:dyDescent="0.4">
      <c r="A193" s="194">
        <v>4</v>
      </c>
      <c r="B193" s="195" t="s">
        <v>1</v>
      </c>
      <c r="C193" s="196" t="s">
        <v>835</v>
      </c>
      <c r="D193" s="196"/>
      <c r="E193" s="208"/>
      <c r="F193" s="208"/>
      <c r="G193" s="208"/>
      <c r="H193" s="208"/>
      <c r="I193" s="208"/>
      <c r="J193" s="208"/>
      <c r="K193" s="208"/>
      <c r="L193" s="208"/>
      <c r="M193" s="208"/>
      <c r="N193" s="208"/>
      <c r="O193" s="208"/>
      <c r="P193" s="208"/>
      <c r="Q193" s="208"/>
      <c r="R193" s="208"/>
      <c r="S193" s="208"/>
      <c r="T193" s="208"/>
      <c r="U193" s="197"/>
      <c r="V193" s="197"/>
      <c r="W193" s="197"/>
    </row>
    <row r="194" spans="1:23" x14ac:dyDescent="0.4">
      <c r="A194" s="194">
        <v>5</v>
      </c>
      <c r="B194" s="195" t="s">
        <v>3</v>
      </c>
      <c r="C194" s="196" t="s">
        <v>838</v>
      </c>
      <c r="D194" s="196"/>
      <c r="E194" s="208"/>
      <c r="F194" s="208"/>
      <c r="G194" s="208"/>
      <c r="H194" s="208"/>
      <c r="I194" s="208"/>
      <c r="J194" s="208"/>
      <c r="K194" s="208"/>
      <c r="L194" s="208"/>
      <c r="M194" s="208"/>
      <c r="N194" s="208"/>
      <c r="O194" s="208"/>
      <c r="P194" s="208"/>
      <c r="Q194" s="208"/>
      <c r="R194" s="208"/>
      <c r="S194" s="208"/>
      <c r="T194" s="208"/>
      <c r="U194" s="197"/>
      <c r="V194" s="197"/>
      <c r="W194" s="197"/>
    </row>
    <row r="195" spans="1:23" x14ac:dyDescent="0.4">
      <c r="A195" s="194"/>
      <c r="B195" s="209" t="s">
        <v>209</v>
      </c>
      <c r="C195" s="209"/>
      <c r="D195" s="210"/>
      <c r="E195" s="210" cm="1">
        <f t="array" ref="E195:T195">_xlfn.SEQUENCE(1, AdjustmentPeriodEnd+10-MTP_BaseYear+1, MTP_BaseYear)</f>
        <v>2023</v>
      </c>
      <c r="F195" s="210">
        <v>2024</v>
      </c>
      <c r="G195" s="210">
        <v>2025</v>
      </c>
      <c r="H195" s="210">
        <v>2026</v>
      </c>
      <c r="I195" s="210">
        <v>2027</v>
      </c>
      <c r="J195" s="210">
        <v>2028</v>
      </c>
      <c r="K195" s="210">
        <v>2029</v>
      </c>
      <c r="L195" s="210">
        <v>2030</v>
      </c>
      <c r="M195" s="210">
        <v>2031</v>
      </c>
      <c r="N195" s="210">
        <v>2032</v>
      </c>
      <c r="O195" s="210">
        <v>2033</v>
      </c>
      <c r="P195" s="210">
        <v>2034</v>
      </c>
      <c r="Q195" s="210">
        <v>2035</v>
      </c>
      <c r="R195" s="210">
        <v>2036</v>
      </c>
      <c r="S195" s="210">
        <v>2037</v>
      </c>
      <c r="T195" s="210">
        <v>2038</v>
      </c>
      <c r="U195" s="210"/>
      <c r="V195" s="210"/>
      <c r="W195" s="210"/>
    </row>
    <row r="196" spans="1:23" x14ac:dyDescent="0.4">
      <c r="A196" s="194">
        <v>6</v>
      </c>
      <c r="B196" s="195" t="s">
        <v>1</v>
      </c>
      <c r="C196" s="196" t="s">
        <v>835</v>
      </c>
      <c r="D196" s="196"/>
      <c r="E196" s="208"/>
      <c r="F196" s="208"/>
      <c r="G196" s="208"/>
      <c r="H196" s="208"/>
      <c r="I196" s="208"/>
      <c r="J196" s="208"/>
      <c r="K196" s="208"/>
      <c r="L196" s="208"/>
      <c r="M196" s="208"/>
      <c r="N196" s="208"/>
      <c r="O196" s="208"/>
      <c r="P196" s="208"/>
      <c r="Q196" s="208"/>
      <c r="R196" s="208"/>
      <c r="S196" s="208"/>
      <c r="T196" s="208"/>
      <c r="U196" s="197"/>
      <c r="V196" s="197"/>
      <c r="W196" s="197"/>
    </row>
    <row r="197" spans="1:23" x14ac:dyDescent="0.4">
      <c r="A197" s="194">
        <v>7</v>
      </c>
      <c r="B197" s="195" t="s">
        <v>842</v>
      </c>
      <c r="C197" s="196" t="s">
        <v>843</v>
      </c>
      <c r="D197" s="196"/>
      <c r="E197" s="208"/>
      <c r="F197" s="208"/>
      <c r="G197" s="208"/>
      <c r="H197" s="208"/>
      <c r="I197" s="208"/>
      <c r="J197" s="208"/>
      <c r="K197" s="208"/>
      <c r="L197" s="208"/>
      <c r="M197" s="208"/>
      <c r="N197" s="208"/>
      <c r="O197" s="208"/>
      <c r="P197" s="208"/>
      <c r="Q197" s="208"/>
      <c r="R197" s="208"/>
      <c r="S197" s="208"/>
      <c r="T197" s="208"/>
      <c r="U197" s="197"/>
      <c r="V197" s="197"/>
      <c r="W197" s="197"/>
    </row>
    <row r="198" spans="1:23" x14ac:dyDescent="0.4">
      <c r="A198" s="194">
        <v>8</v>
      </c>
      <c r="B198" s="195" t="s">
        <v>844</v>
      </c>
      <c r="C198" s="196" t="s">
        <v>845</v>
      </c>
      <c r="D198" s="196"/>
      <c r="E198" s="208"/>
      <c r="F198" s="208"/>
      <c r="G198" s="208"/>
      <c r="H198" s="208"/>
      <c r="I198" s="208"/>
      <c r="J198" s="208"/>
      <c r="K198" s="208"/>
      <c r="L198" s="208"/>
      <c r="M198" s="208"/>
      <c r="N198" s="208"/>
      <c r="O198" s="208"/>
      <c r="P198" s="208"/>
      <c r="Q198" s="208"/>
      <c r="R198" s="208"/>
      <c r="S198" s="208"/>
      <c r="T198" s="208"/>
      <c r="U198" s="197"/>
      <c r="V198" s="197"/>
      <c r="W198" s="197"/>
    </row>
    <row r="199" spans="1:23" x14ac:dyDescent="0.4">
      <c r="A199" s="194">
        <v>9</v>
      </c>
      <c r="B199" s="200" t="s">
        <v>7</v>
      </c>
      <c r="C199" s="196" t="s">
        <v>852</v>
      </c>
      <c r="D199" s="196"/>
      <c r="E199" s="208"/>
      <c r="F199" s="208"/>
      <c r="G199" s="208"/>
      <c r="H199" s="208"/>
      <c r="I199" s="208"/>
      <c r="J199" s="208"/>
      <c r="K199" s="208"/>
      <c r="L199" s="208"/>
      <c r="M199" s="208"/>
      <c r="N199" s="208"/>
      <c r="O199" s="208"/>
      <c r="P199" s="208"/>
      <c r="Q199" s="208"/>
      <c r="R199" s="208"/>
      <c r="S199" s="208"/>
      <c r="T199" s="208"/>
      <c r="U199" s="197"/>
      <c r="V199" s="197"/>
      <c r="W199" s="197"/>
    </row>
    <row r="200" spans="1:23" x14ac:dyDescent="0.4">
      <c r="A200" s="194">
        <v>10</v>
      </c>
      <c r="B200" s="200" t="s">
        <v>850</v>
      </c>
      <c r="C200" s="196" t="s">
        <v>851</v>
      </c>
      <c r="D200" s="196"/>
      <c r="E200" s="208"/>
      <c r="F200" s="208"/>
      <c r="G200" s="208"/>
      <c r="H200" s="208"/>
      <c r="I200" s="208"/>
      <c r="J200" s="208"/>
      <c r="K200" s="208"/>
      <c r="L200" s="208"/>
      <c r="M200" s="208"/>
      <c r="N200" s="208"/>
      <c r="O200" s="208"/>
      <c r="P200" s="208"/>
      <c r="Q200" s="208"/>
      <c r="R200" s="208"/>
      <c r="S200" s="208"/>
      <c r="T200" s="208"/>
      <c r="U200" s="197"/>
      <c r="V200" s="197"/>
      <c r="W200" s="197"/>
    </row>
    <row r="201" spans="1:23" x14ac:dyDescent="0.4">
      <c r="A201" s="194"/>
      <c r="B201" s="209" t="s">
        <v>210</v>
      </c>
      <c r="C201" s="209"/>
      <c r="D201" s="210"/>
      <c r="E201" s="211">
        <f>StochasticLastYear</f>
        <v>2033</v>
      </c>
      <c r="F201" s="212"/>
      <c r="G201" s="212"/>
      <c r="H201" s="212"/>
      <c r="I201" s="212"/>
      <c r="J201" s="212"/>
      <c r="K201" s="212"/>
      <c r="L201" s="212"/>
      <c r="M201" s="212"/>
      <c r="N201" s="212"/>
      <c r="O201" s="212"/>
      <c r="P201" s="212"/>
      <c r="Q201" s="212"/>
      <c r="R201" s="212"/>
      <c r="S201" s="212"/>
      <c r="T201" s="212"/>
      <c r="U201" s="212"/>
      <c r="V201" s="212"/>
      <c r="W201" s="212"/>
    </row>
    <row r="202" spans="1:23" x14ac:dyDescent="0.4">
      <c r="A202" s="202">
        <v>11</v>
      </c>
      <c r="B202" s="213" t="s">
        <v>856</v>
      </c>
      <c r="C202" s="204"/>
      <c r="D202" s="204"/>
      <c r="E202" s="214"/>
      <c r="F202" s="215"/>
      <c r="G202" s="214"/>
      <c r="H202" s="216"/>
      <c r="I202" s="216"/>
      <c r="J202" s="214"/>
      <c r="K202" s="216"/>
      <c r="L202" s="214"/>
      <c r="M202" s="214"/>
      <c r="N202" s="216"/>
      <c r="O202" s="216"/>
      <c r="P202" s="214"/>
      <c r="Q202" s="216"/>
      <c r="R202" s="214"/>
      <c r="S202" s="217"/>
      <c r="T202" s="215"/>
      <c r="U202" s="218"/>
      <c r="V202" s="219"/>
      <c r="W202" s="218"/>
    </row>
    <row r="203" spans="1:23" x14ac:dyDescent="0.4">
      <c r="A203" s="220"/>
      <c r="B203" s="206"/>
      <c r="C203" s="206"/>
      <c r="D203" s="206"/>
      <c r="E203" s="206"/>
      <c r="F203" s="206"/>
      <c r="G203" s="206"/>
      <c r="H203" s="206"/>
      <c r="I203" s="206"/>
      <c r="J203" s="207"/>
      <c r="K203" s="207"/>
      <c r="L203" s="207"/>
      <c r="M203" s="207"/>
      <c r="N203" s="207"/>
      <c r="O203" s="207"/>
      <c r="P203" s="221"/>
      <c r="Q203" s="221"/>
      <c r="R203" s="221"/>
      <c r="S203" s="221"/>
      <c r="T203" s="221"/>
      <c r="U203" s="221"/>
      <c r="V203" s="207"/>
      <c r="W203" s="207"/>
    </row>
    <row r="204" spans="1:23" ht="23.25" x14ac:dyDescent="0.4">
      <c r="A204" s="187" t="s">
        <v>857</v>
      </c>
      <c r="B204" s="206"/>
      <c r="C204" s="206"/>
      <c r="D204" s="206"/>
      <c r="E204" s="206"/>
      <c r="F204" s="206"/>
      <c r="G204" s="206"/>
      <c r="H204" s="206"/>
      <c r="I204" s="206"/>
      <c r="J204" s="207"/>
      <c r="K204" s="207"/>
      <c r="L204" s="207"/>
      <c r="M204" s="207"/>
      <c r="N204" s="207"/>
      <c r="O204" s="207"/>
      <c r="P204" s="207"/>
      <c r="Q204" s="207"/>
      <c r="R204" s="207"/>
      <c r="S204" s="207"/>
      <c r="T204" s="207"/>
      <c r="U204" s="207"/>
      <c r="V204" s="207"/>
      <c r="W204" s="207"/>
    </row>
    <row r="205" spans="1:23" x14ac:dyDescent="0.4">
      <c r="A205" s="222"/>
      <c r="B205" s="223"/>
      <c r="C205" s="223"/>
      <c r="D205" s="223"/>
      <c r="E205" s="223" cm="1">
        <f t="array" ref="E205:T205">_xlfn.SEQUENCE(1, AdjustmentPeriodEnd+10-MTP_BaseYear+1, MTP_BaseYear)</f>
        <v>2023</v>
      </c>
      <c r="F205" s="223">
        <v>2024</v>
      </c>
      <c r="G205" s="223">
        <v>2025</v>
      </c>
      <c r="H205" s="223">
        <v>2026</v>
      </c>
      <c r="I205" s="223">
        <v>2027</v>
      </c>
      <c r="J205" s="223">
        <v>2028</v>
      </c>
      <c r="K205" s="223">
        <v>2029</v>
      </c>
      <c r="L205" s="223">
        <v>2030</v>
      </c>
      <c r="M205" s="223">
        <v>2031</v>
      </c>
      <c r="N205" s="223">
        <v>2032</v>
      </c>
      <c r="O205" s="223">
        <v>2033</v>
      </c>
      <c r="P205" s="223">
        <v>2034</v>
      </c>
      <c r="Q205" s="223">
        <v>2035</v>
      </c>
      <c r="R205" s="223">
        <v>2036</v>
      </c>
      <c r="S205" s="223">
        <v>2037</v>
      </c>
      <c r="T205" s="223">
        <v>2038</v>
      </c>
      <c r="U205" s="223"/>
      <c r="V205" s="223"/>
      <c r="W205" s="223"/>
    </row>
    <row r="206" spans="1:23" x14ac:dyDescent="0.4">
      <c r="A206" s="224">
        <v>1</v>
      </c>
      <c r="B206" s="225" t="s">
        <v>1</v>
      </c>
      <c r="C206" s="225" t="s">
        <v>835</v>
      </c>
      <c r="D206" s="225"/>
    </row>
    <row r="207" spans="1:23" x14ac:dyDescent="0.4">
      <c r="A207" s="224">
        <v>2</v>
      </c>
      <c r="B207" s="225" t="s">
        <v>836</v>
      </c>
      <c r="C207" s="225" t="s">
        <v>837</v>
      </c>
      <c r="D207" s="225"/>
    </row>
    <row r="208" spans="1:23" x14ac:dyDescent="0.4">
      <c r="A208" s="224">
        <v>3</v>
      </c>
      <c r="B208" s="225" t="s">
        <v>3</v>
      </c>
      <c r="C208" s="225" t="s">
        <v>838</v>
      </c>
      <c r="D208" s="225"/>
    </row>
    <row r="209" spans="1:23" x14ac:dyDescent="0.4">
      <c r="A209" s="224">
        <v>4</v>
      </c>
      <c r="B209" s="225" t="s">
        <v>839</v>
      </c>
      <c r="C209" s="225"/>
      <c r="D209" s="225"/>
    </row>
    <row r="210" spans="1:23" x14ac:dyDescent="0.4">
      <c r="A210" s="224">
        <v>5</v>
      </c>
      <c r="B210" s="225" t="s">
        <v>25</v>
      </c>
      <c r="C210" s="225" t="s">
        <v>841</v>
      </c>
      <c r="D210" s="225"/>
    </row>
    <row r="211" spans="1:23" x14ac:dyDescent="0.4">
      <c r="A211" s="224">
        <v>6</v>
      </c>
      <c r="B211" s="225" t="s">
        <v>842</v>
      </c>
      <c r="C211" s="225" t="s">
        <v>843</v>
      </c>
      <c r="D211" s="225"/>
    </row>
    <row r="212" spans="1:23" x14ac:dyDescent="0.4">
      <c r="A212" s="224">
        <v>7</v>
      </c>
      <c r="B212" s="225" t="s">
        <v>844</v>
      </c>
      <c r="C212" s="225" t="s">
        <v>845</v>
      </c>
      <c r="D212" s="225"/>
    </row>
    <row r="213" spans="1:23" x14ac:dyDescent="0.4">
      <c r="A213" s="224">
        <v>8</v>
      </c>
      <c r="B213" s="225" t="s">
        <v>846</v>
      </c>
      <c r="C213" s="225" t="s">
        <v>847</v>
      </c>
      <c r="D213" s="225"/>
    </row>
    <row r="214" spans="1:23" x14ac:dyDescent="0.4">
      <c r="A214" s="224">
        <v>9</v>
      </c>
      <c r="B214" s="225" t="s">
        <v>850</v>
      </c>
      <c r="C214" s="225" t="s">
        <v>851</v>
      </c>
      <c r="D214" s="225"/>
    </row>
    <row r="215" spans="1:23" x14ac:dyDescent="0.4">
      <c r="A215" s="224">
        <v>10</v>
      </c>
      <c r="B215" s="225" t="s">
        <v>7</v>
      </c>
      <c r="C215" s="225" t="s">
        <v>852</v>
      </c>
      <c r="D215" s="225"/>
    </row>
    <row r="216" spans="1:23" x14ac:dyDescent="0.4">
      <c r="A216" s="224">
        <v>11</v>
      </c>
      <c r="B216" s="225" t="s">
        <v>8</v>
      </c>
      <c r="C216" s="225" t="s">
        <v>853</v>
      </c>
      <c r="D216" s="225"/>
    </row>
    <row r="217" spans="1:23" x14ac:dyDescent="0.4">
      <c r="A217" s="224">
        <v>12</v>
      </c>
      <c r="B217" s="225" t="s">
        <v>9</v>
      </c>
      <c r="C217" s="225" t="s">
        <v>854</v>
      </c>
      <c r="D217" s="225"/>
    </row>
    <row r="218" spans="1:23" x14ac:dyDescent="0.4">
      <c r="A218" s="226">
        <v>13</v>
      </c>
      <c r="B218" s="227" t="s">
        <v>858</v>
      </c>
      <c r="C218" s="227"/>
      <c r="D218" s="227"/>
      <c r="E218" s="228"/>
      <c r="F218" s="228"/>
      <c r="G218" s="228"/>
      <c r="H218" s="228"/>
      <c r="I218" s="228"/>
      <c r="J218" s="228"/>
      <c r="K218" s="228"/>
      <c r="L218" s="228"/>
      <c r="M218" s="228"/>
      <c r="N218" s="228"/>
      <c r="O218" s="228"/>
      <c r="P218" s="228"/>
      <c r="Q218" s="228"/>
      <c r="R218" s="228"/>
      <c r="S218" s="228"/>
      <c r="T218" s="228"/>
      <c r="U218" s="228"/>
      <c r="V218" s="228"/>
      <c r="W218" s="228"/>
    </row>
    <row r="219" spans="1:23" x14ac:dyDescent="0.4">
      <c r="A219" s="220"/>
      <c r="B219" s="206"/>
      <c r="C219" s="206"/>
      <c r="D219" s="206"/>
      <c r="E219" s="206"/>
      <c r="F219" s="206"/>
      <c r="G219" s="206"/>
      <c r="H219" s="206"/>
      <c r="I219" s="206"/>
      <c r="J219" s="207"/>
      <c r="K219" s="207"/>
      <c r="L219" s="207"/>
      <c r="M219" s="207"/>
      <c r="N219" s="207"/>
      <c r="O219" s="207"/>
      <c r="P219" s="207"/>
      <c r="Q219" s="207"/>
      <c r="R219" s="207"/>
      <c r="S219" s="207"/>
      <c r="T219" s="207"/>
      <c r="U219" s="207"/>
      <c r="V219" s="207"/>
      <c r="W219" s="207"/>
    </row>
    <row r="220" spans="1:23" ht="23.25" x14ac:dyDescent="0.4">
      <c r="A220" s="187" t="s">
        <v>859</v>
      </c>
      <c r="B220" s="206"/>
      <c r="C220" s="206"/>
      <c r="D220" s="206"/>
      <c r="E220" s="206"/>
      <c r="F220" s="206"/>
      <c r="G220" s="206"/>
      <c r="H220" s="206"/>
      <c r="I220" s="206"/>
      <c r="J220" s="207"/>
      <c r="K220" s="207"/>
      <c r="L220" s="207"/>
      <c r="M220" s="207"/>
      <c r="N220" s="207"/>
      <c r="O220" s="207"/>
      <c r="P220" s="207"/>
      <c r="Q220" s="207"/>
      <c r="R220" s="207"/>
      <c r="S220" s="207"/>
      <c r="T220" s="207"/>
      <c r="U220" s="207"/>
      <c r="V220" s="207"/>
      <c r="W220" s="207"/>
    </row>
    <row r="221" spans="1:23" x14ac:dyDescent="0.4">
      <c r="A221" s="190"/>
      <c r="B221" s="191"/>
      <c r="C221" s="191"/>
      <c r="D221" s="193"/>
      <c r="E221" s="193" cm="1">
        <f t="array" ref="E221:T221">_xlfn.SEQUENCE(1, AdjustmentPeriodEnd+10-MTP_BaseYear+1, MTP_BaseYear)</f>
        <v>2023</v>
      </c>
      <c r="F221" s="193">
        <v>2024</v>
      </c>
      <c r="G221" s="193">
        <v>2025</v>
      </c>
      <c r="H221" s="193">
        <v>2026</v>
      </c>
      <c r="I221" s="193">
        <v>2027</v>
      </c>
      <c r="J221" s="193">
        <v>2028</v>
      </c>
      <c r="K221" s="193">
        <v>2029</v>
      </c>
      <c r="L221" s="193">
        <v>2030</v>
      </c>
      <c r="M221" s="193">
        <v>2031</v>
      </c>
      <c r="N221" s="193">
        <v>2032</v>
      </c>
      <c r="O221" s="193">
        <v>2033</v>
      </c>
      <c r="P221" s="193">
        <v>2034</v>
      </c>
      <c r="Q221" s="193">
        <v>2035</v>
      </c>
      <c r="R221" s="193">
        <v>2036</v>
      </c>
      <c r="S221" s="193">
        <v>2037</v>
      </c>
      <c r="T221" s="193">
        <v>2038</v>
      </c>
      <c r="U221" s="193"/>
      <c r="V221" s="193"/>
      <c r="W221" s="193"/>
    </row>
    <row r="222" spans="1:23" x14ac:dyDescent="0.4">
      <c r="A222" s="194">
        <v>1</v>
      </c>
      <c r="B222" s="195" t="s">
        <v>1</v>
      </c>
      <c r="C222" s="196" t="s">
        <v>835</v>
      </c>
      <c r="D222" s="196"/>
      <c r="E222" s="197"/>
      <c r="F222" s="197"/>
      <c r="G222" s="197"/>
      <c r="H222" s="197"/>
      <c r="I222" s="197"/>
      <c r="J222" s="197"/>
      <c r="K222" s="198"/>
      <c r="L222" s="198"/>
      <c r="M222" s="198"/>
      <c r="N222" s="198"/>
      <c r="O222" s="198"/>
      <c r="P222" s="198"/>
      <c r="Q222" s="198"/>
      <c r="R222" s="198"/>
      <c r="S222" s="198"/>
      <c r="T222" s="198"/>
      <c r="U222" s="198"/>
      <c r="V222" s="198"/>
      <c r="W222" s="198"/>
    </row>
    <row r="223" spans="1:23" x14ac:dyDescent="0.4">
      <c r="A223" s="194">
        <v>2</v>
      </c>
      <c r="B223" s="229" t="s">
        <v>860</v>
      </c>
      <c r="C223" s="230"/>
      <c r="D223" s="196"/>
      <c r="E223" s="197"/>
      <c r="F223" s="197"/>
      <c r="G223" s="197"/>
      <c r="H223" s="197"/>
      <c r="I223" s="197"/>
      <c r="J223" s="197"/>
      <c r="K223" s="198"/>
      <c r="L223" s="198"/>
      <c r="M223" s="198"/>
      <c r="N223" s="198"/>
      <c r="O223" s="198"/>
      <c r="P223" s="198"/>
      <c r="Q223" s="198"/>
      <c r="R223" s="198"/>
      <c r="S223" s="198"/>
      <c r="T223" s="198"/>
      <c r="U223" s="198"/>
      <c r="V223" s="198"/>
      <c r="W223" s="198"/>
    </row>
    <row r="224" spans="1:23" x14ac:dyDescent="0.4">
      <c r="A224" s="194">
        <v>3</v>
      </c>
      <c r="B224" s="229" t="s">
        <v>861</v>
      </c>
      <c r="C224" s="230"/>
      <c r="D224" s="196"/>
      <c r="E224" s="197"/>
      <c r="F224" s="197"/>
      <c r="G224" s="197"/>
      <c r="H224" s="197"/>
      <c r="I224" s="197"/>
      <c r="J224" s="197"/>
      <c r="K224" s="198"/>
      <c r="L224" s="198"/>
      <c r="M224" s="198"/>
      <c r="N224" s="198"/>
      <c r="O224" s="198"/>
      <c r="P224" s="198"/>
      <c r="Q224" s="198"/>
      <c r="R224" s="198"/>
      <c r="S224" s="198"/>
      <c r="T224" s="198"/>
      <c r="U224" s="198"/>
      <c r="V224" s="198"/>
      <c r="W224" s="198"/>
    </row>
    <row r="225" spans="1:23" x14ac:dyDescent="0.4">
      <c r="A225" s="194">
        <v>4</v>
      </c>
      <c r="B225" s="229" t="s">
        <v>862</v>
      </c>
      <c r="C225" s="230"/>
      <c r="D225" s="196"/>
      <c r="E225" s="197"/>
      <c r="F225" s="197"/>
      <c r="G225" s="197"/>
      <c r="H225" s="197"/>
      <c r="I225" s="197"/>
      <c r="J225" s="197"/>
      <c r="K225" s="198"/>
      <c r="L225" s="198"/>
      <c r="M225" s="198"/>
      <c r="N225" s="198"/>
      <c r="O225" s="198"/>
      <c r="P225" s="198"/>
      <c r="Q225" s="198"/>
      <c r="R225" s="198"/>
      <c r="S225" s="198"/>
      <c r="T225" s="198"/>
      <c r="U225" s="198"/>
      <c r="V225" s="198"/>
      <c r="W225" s="198"/>
    </row>
    <row r="226" spans="1:23" x14ac:dyDescent="0.4">
      <c r="A226" s="202">
        <v>5</v>
      </c>
      <c r="B226" s="231" t="s">
        <v>863</v>
      </c>
      <c r="C226" s="232"/>
      <c r="D226" s="204"/>
      <c r="E226" s="205"/>
      <c r="F226" s="205"/>
      <c r="G226" s="205"/>
      <c r="H226" s="205"/>
      <c r="I226" s="205"/>
      <c r="J226" s="205"/>
      <c r="K226" s="233"/>
      <c r="L226" s="233"/>
      <c r="M226" s="233"/>
      <c r="N226" s="233"/>
      <c r="O226" s="233"/>
      <c r="P226" s="233"/>
      <c r="Q226" s="233"/>
      <c r="R226" s="233"/>
      <c r="S226" s="233"/>
      <c r="T226" s="233"/>
      <c r="U226" s="233"/>
      <c r="V226" s="233"/>
      <c r="W226" s="233"/>
    </row>
    <row r="228" spans="1:23" ht="24.4" customHeight="1" x14ac:dyDescent="0.55000000000000004">
      <c r="A228" s="50"/>
    </row>
  </sheetData>
  <dataConsolidate/>
  <conditionalFormatting sqref="D5:N6">
    <cfRule type="expression" dxfId="129" priority="20">
      <formula>ISNUMBER(D4)</formula>
    </cfRule>
  </conditionalFormatting>
  <conditionalFormatting sqref="D4:N4">
    <cfRule type="expression" dxfId="128" priority="19">
      <formula>ISNUMBER(D4)</formula>
    </cfRule>
  </conditionalFormatting>
  <conditionalFormatting sqref="D19:K19">
    <cfRule type="expression" dxfId="127" priority="18">
      <formula>ISNUMBER(D$4)</formula>
    </cfRule>
  </conditionalFormatting>
  <conditionalFormatting sqref="D63:W63">
    <cfRule type="expression" dxfId="126" priority="17">
      <formula>ISNUMBER(D37)</formula>
    </cfRule>
  </conditionalFormatting>
  <conditionalFormatting sqref="D37:W37">
    <cfRule type="expression" dxfId="125" priority="16">
      <formula>ISNUMBER(D37)</formula>
    </cfRule>
  </conditionalFormatting>
  <conditionalFormatting sqref="D22:W22 D38:W38">
    <cfRule type="expression" dxfId="124" priority="15">
      <formula>ISNUMBER(D21)</formula>
    </cfRule>
  </conditionalFormatting>
  <conditionalFormatting sqref="D21:W21">
    <cfRule type="expression" dxfId="123" priority="14">
      <formula>ISNUMBER(D21)</formula>
    </cfRule>
  </conditionalFormatting>
  <conditionalFormatting sqref="D33:W33">
    <cfRule type="expression" dxfId="122" priority="13">
      <formula>ISNUMBER(D$21)</formula>
    </cfRule>
  </conditionalFormatting>
  <conditionalFormatting sqref="D40:Z41">
    <cfRule type="expression" dxfId="121" priority="12">
      <formula>AND(D$37=AdjustmentPeriodEnd, Receives_reference_trajectory=FALSE)</formula>
    </cfRule>
  </conditionalFormatting>
  <conditionalFormatting sqref="D25:Z25 D27:Z27 D44:Z47">
    <cfRule type="expression" dxfId="120" priority="11">
      <formula>AND(D$37&lt;&gt;"", Receives_reference_trajectory=FALSE)</formula>
    </cfRule>
  </conditionalFormatting>
  <conditionalFormatting sqref="D33">
    <cfRule type="expression" dxfId="119" priority="8">
      <formula>AND(Receives_reference_trajectory=TRUE,D$21&lt;&gt;"")</formula>
    </cfRule>
  </conditionalFormatting>
  <conditionalFormatting sqref="D25:Z25 D29:Z32 D27:Z27">
    <cfRule type="expression" dxfId="118" priority="7">
      <formula>AND(Receives_reference_trajectory=TRUE,D$21&lt;&gt;"")</formula>
    </cfRule>
  </conditionalFormatting>
  <conditionalFormatting sqref="D49:Z52 D29:S32 D44:Z47">
    <cfRule type="expression" dxfId="117" priority="6">
      <formula>AND(Receives_reference_trajectory,D$37&lt;&gt;"")</formula>
    </cfRule>
  </conditionalFormatting>
  <conditionalFormatting sqref="F39:L39">
    <cfRule type="expression" dxfId="116" priority="5">
      <formula>AND(Receives_reference_trajectory,F$38&lt;&gt;"")</formula>
    </cfRule>
  </conditionalFormatting>
  <conditionalFormatting sqref="D54:Z62">
    <cfRule type="expression" dxfId="115" priority="4">
      <formula>AND(D$37&gt;AdjustmentPeriodEnd,D$37&lt;=StochasticLastYear,Receives_reference_trajectory)</formula>
    </cfRule>
  </conditionalFormatting>
  <conditionalFormatting sqref="D63:Z63">
    <cfRule type="expression" dxfId="114" priority="3">
      <formula>AND(D$37&gt;AdjustmentPeriodEnd,D$37&lt;=StochasticLastYear,Receives_reference_trajectory)</formula>
    </cfRule>
  </conditionalFormatting>
  <conditionalFormatting sqref="O6">
    <cfRule type="expression" dxfId="113" priority="759">
      <formula>ISNUMBER(AA14)</formula>
    </cfRule>
  </conditionalFormatting>
  <conditionalFormatting sqref="D29:W33">
    <cfRule type="expression" dxfId="112" priority="1">
      <formula>NOT(Receives_reference_trajectory)</formula>
    </cfRule>
  </conditionalFormatting>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E46"/>
  <sheetViews>
    <sheetView showGridLines="0" zoomScaleNormal="100" workbookViewId="0"/>
  </sheetViews>
  <sheetFormatPr defaultRowHeight="13.15" outlineLevelCol="1" x14ac:dyDescent="0.4"/>
  <cols>
    <col min="1" max="1" width="5.28515625" customWidth="1"/>
    <col min="2" max="2" width="214.140625" customWidth="1"/>
    <col min="3" max="3" width="33.85546875" bestFit="1" customWidth="1" outlineLevel="1"/>
    <col min="4" max="4" width="12.42578125" customWidth="1"/>
    <col min="5" max="5" width="4" customWidth="1"/>
  </cols>
  <sheetData>
    <row r="2" spans="2:5" ht="18" x14ac:dyDescent="0.55000000000000004">
      <c r="B2" s="50" t="s">
        <v>643</v>
      </c>
      <c r="D2" s="3"/>
    </row>
    <row r="3" spans="2:5" ht="15" customHeight="1" x14ac:dyDescent="0.4">
      <c r="B3" t="s">
        <v>328</v>
      </c>
      <c r="C3" t="s">
        <v>329</v>
      </c>
      <c r="D3" s="52" t="s">
        <v>23</v>
      </c>
      <c r="E3" s="10" t="str">
        <f t="shared" ref="E3:E5" si="0">HYPERLINK("#"&amp;ADDRESS(ROW(),COLUMN()-1),CHAR(128))</f>
        <v>€</v>
      </c>
    </row>
    <row r="4" spans="2:5" x14ac:dyDescent="0.4">
      <c r="B4" t="s">
        <v>889</v>
      </c>
      <c r="D4" s="52" t="s">
        <v>23</v>
      </c>
      <c r="E4" s="10" t="str">
        <f t="shared" si="0"/>
        <v>€</v>
      </c>
    </row>
    <row r="5" spans="2:5" x14ac:dyDescent="0.4">
      <c r="B5" t="s">
        <v>896</v>
      </c>
      <c r="D5" s="52" t="s">
        <v>23</v>
      </c>
      <c r="E5" s="10" t="str">
        <f t="shared" si="0"/>
        <v>€</v>
      </c>
    </row>
    <row r="6" spans="2:5" x14ac:dyDescent="0.4">
      <c r="D6" s="53"/>
    </row>
    <row r="7" spans="2:5" ht="18" x14ac:dyDescent="0.55000000000000004">
      <c r="B7" s="50" t="s">
        <v>644</v>
      </c>
      <c r="D7" s="53"/>
    </row>
    <row r="8" spans="2:5" ht="15" customHeight="1" x14ac:dyDescent="0.4">
      <c r="B8" t="s">
        <v>178</v>
      </c>
      <c r="C8" t="s">
        <v>179</v>
      </c>
      <c r="D8" s="52" t="b">
        <v>1</v>
      </c>
      <c r="E8" s="10" t="str">
        <f t="shared" ref="E8:E28" si="1">HYPERLINK("#"&amp;ADDRESS(ROW(),COLUMN()-1),CHAR(128))</f>
        <v>€</v>
      </c>
    </row>
    <row r="9" spans="2:5" x14ac:dyDescent="0.4">
      <c r="B9" s="12" t="s">
        <v>180</v>
      </c>
      <c r="C9" t="s">
        <v>181</v>
      </c>
      <c r="D9" s="52" t="b">
        <v>1</v>
      </c>
      <c r="E9" s="10" t="str">
        <f t="shared" si="1"/>
        <v>€</v>
      </c>
    </row>
    <row r="10" spans="2:5" x14ac:dyDescent="0.4">
      <c r="B10" s="12" t="s">
        <v>182</v>
      </c>
      <c r="C10" t="s">
        <v>181</v>
      </c>
      <c r="D10" s="52" t="b">
        <v>1</v>
      </c>
      <c r="E10" s="10" t="str">
        <f t="shared" si="1"/>
        <v>€</v>
      </c>
    </row>
    <row r="11" spans="2:5" x14ac:dyDescent="0.4">
      <c r="B11" t="s">
        <v>183</v>
      </c>
      <c r="C11" t="s">
        <v>184</v>
      </c>
      <c r="D11" s="52" t="b">
        <v>1</v>
      </c>
      <c r="E11" s="10" t="str">
        <f t="shared" si="1"/>
        <v>€</v>
      </c>
    </row>
    <row r="12" spans="2:5" x14ac:dyDescent="0.4">
      <c r="B12" t="s">
        <v>185</v>
      </c>
      <c r="C12" t="s">
        <v>184</v>
      </c>
      <c r="D12" s="52" t="b">
        <v>1</v>
      </c>
      <c r="E12" s="10" t="str">
        <f t="shared" si="1"/>
        <v>€</v>
      </c>
    </row>
    <row r="13" spans="2:5" x14ac:dyDescent="0.4">
      <c r="B13" t="s">
        <v>186</v>
      </c>
      <c r="C13" t="s">
        <v>187</v>
      </c>
      <c r="D13" s="52" t="b">
        <v>1</v>
      </c>
      <c r="E13" s="10" t="str">
        <f t="shared" si="1"/>
        <v>€</v>
      </c>
    </row>
    <row r="14" spans="2:5" x14ac:dyDescent="0.4">
      <c r="B14" t="s">
        <v>188</v>
      </c>
      <c r="C14" t="s">
        <v>189</v>
      </c>
      <c r="D14" s="52" t="b">
        <v>1</v>
      </c>
      <c r="E14" s="10" t="str">
        <f t="shared" si="1"/>
        <v>€</v>
      </c>
    </row>
    <row r="15" spans="2:5" x14ac:dyDescent="0.4">
      <c r="B15" t="s">
        <v>190</v>
      </c>
      <c r="C15" t="s">
        <v>191</v>
      </c>
      <c r="D15" s="52" t="b">
        <v>1</v>
      </c>
      <c r="E15" s="10" t="str">
        <f t="shared" si="1"/>
        <v>€</v>
      </c>
    </row>
    <row r="16" spans="2:5" x14ac:dyDescent="0.4">
      <c r="B16" t="s">
        <v>192</v>
      </c>
      <c r="C16" t="s">
        <v>341</v>
      </c>
      <c r="D16" s="52" t="b">
        <v>1</v>
      </c>
      <c r="E16" s="10" t="str">
        <f t="shared" si="1"/>
        <v>€</v>
      </c>
    </row>
    <row r="17" spans="2:5" x14ac:dyDescent="0.4">
      <c r="B17" s="2" t="s">
        <v>193</v>
      </c>
      <c r="C17" t="s">
        <v>342</v>
      </c>
      <c r="D17" s="52" t="b">
        <v>1</v>
      </c>
      <c r="E17" s="10" t="str">
        <f t="shared" si="1"/>
        <v>€</v>
      </c>
    </row>
    <row r="18" spans="2:5" x14ac:dyDescent="0.4">
      <c r="B18" s="2" t="s">
        <v>336</v>
      </c>
      <c r="C18" t="s">
        <v>343</v>
      </c>
      <c r="D18" s="52" t="s">
        <v>271</v>
      </c>
      <c r="E18" s="10" t="str">
        <f t="shared" si="1"/>
        <v>€</v>
      </c>
    </row>
    <row r="19" spans="2:5" x14ac:dyDescent="0.4">
      <c r="B19" s="2" t="s">
        <v>337</v>
      </c>
      <c r="C19" t="s">
        <v>344</v>
      </c>
      <c r="D19" s="52" t="b">
        <v>1</v>
      </c>
      <c r="E19" s="10" t="str">
        <f t="shared" si="1"/>
        <v>€</v>
      </c>
    </row>
    <row r="20" spans="2:5" x14ac:dyDescent="0.4">
      <c r="B20" s="2" t="s">
        <v>338</v>
      </c>
      <c r="C20" t="s">
        <v>345</v>
      </c>
      <c r="D20" s="52" t="b">
        <v>1</v>
      </c>
      <c r="E20" s="10" t="str">
        <f t="shared" si="1"/>
        <v>€</v>
      </c>
    </row>
    <row r="21" spans="2:5" x14ac:dyDescent="0.4">
      <c r="B21" s="2" t="s">
        <v>334</v>
      </c>
      <c r="C21" t="s">
        <v>335</v>
      </c>
      <c r="D21" s="52" t="b">
        <v>1</v>
      </c>
      <c r="E21" s="10" t="str">
        <f t="shared" si="1"/>
        <v>€</v>
      </c>
    </row>
    <row r="22" spans="2:5" x14ac:dyDescent="0.4">
      <c r="B22" s="2" t="s">
        <v>339</v>
      </c>
      <c r="C22" t="s">
        <v>340</v>
      </c>
      <c r="D22" s="52" t="b">
        <v>1</v>
      </c>
      <c r="E22" s="10" t="str">
        <f t="shared" si="1"/>
        <v>€</v>
      </c>
    </row>
    <row r="23" spans="2:5" x14ac:dyDescent="0.4">
      <c r="B23" t="s">
        <v>194</v>
      </c>
      <c r="C23" t="s">
        <v>195</v>
      </c>
      <c r="D23" s="52" t="b">
        <v>1</v>
      </c>
      <c r="E23" s="10" t="str">
        <f t="shared" si="1"/>
        <v>€</v>
      </c>
    </row>
    <row r="24" spans="2:5" x14ac:dyDescent="0.4">
      <c r="B24" t="s">
        <v>196</v>
      </c>
      <c r="C24" t="s">
        <v>197</v>
      </c>
      <c r="D24" s="52" t="b">
        <v>1</v>
      </c>
      <c r="E24" s="10" t="str">
        <f t="shared" si="1"/>
        <v>€</v>
      </c>
    </row>
    <row r="25" spans="2:5" x14ac:dyDescent="0.4">
      <c r="B25" s="2" t="s">
        <v>198</v>
      </c>
      <c r="C25" t="s">
        <v>205</v>
      </c>
      <c r="D25" s="52" t="b">
        <v>1</v>
      </c>
      <c r="E25" s="10" t="str">
        <f t="shared" si="1"/>
        <v>€</v>
      </c>
    </row>
    <row r="26" spans="2:5" x14ac:dyDescent="0.4">
      <c r="B26" t="s">
        <v>199</v>
      </c>
      <c r="C26" t="s">
        <v>200</v>
      </c>
      <c r="D26" s="52" t="b">
        <v>1</v>
      </c>
      <c r="E26" s="10" t="str">
        <f t="shared" si="1"/>
        <v>€</v>
      </c>
    </row>
    <row r="27" spans="2:5" x14ac:dyDescent="0.4">
      <c r="B27" t="s">
        <v>201</v>
      </c>
      <c r="C27" t="s">
        <v>202</v>
      </c>
      <c r="D27" s="52" t="b">
        <v>1</v>
      </c>
      <c r="E27" s="10" t="str">
        <f t="shared" si="1"/>
        <v>€</v>
      </c>
    </row>
    <row r="28" spans="2:5" x14ac:dyDescent="0.4">
      <c r="B28" t="s">
        <v>203</v>
      </c>
      <c r="C28" t="s">
        <v>204</v>
      </c>
      <c r="D28" s="52" t="b">
        <v>1</v>
      </c>
      <c r="E28" s="10" t="str">
        <f t="shared" si="1"/>
        <v>€</v>
      </c>
    </row>
    <row r="30" spans="2:5" ht="18" x14ac:dyDescent="0.55000000000000004">
      <c r="B30" s="50" t="s">
        <v>645</v>
      </c>
    </row>
    <row r="31" spans="2:5" ht="15" customHeight="1" x14ac:dyDescent="0.4">
      <c r="B31" s="133" t="s">
        <v>531</v>
      </c>
      <c r="C31" s="133" t="s">
        <v>532</v>
      </c>
      <c r="D31" s="52" t="b">
        <v>0</v>
      </c>
      <c r="E31" s="10" t="str">
        <f t="shared" ref="E31:E43" si="2">HYPERLINK("#"&amp;ADDRESS(ROW(),COLUMN()-1),CHAR(128))</f>
        <v>€</v>
      </c>
    </row>
    <row r="32" spans="2:5" x14ac:dyDescent="0.4">
      <c r="B32" s="133" t="s">
        <v>533</v>
      </c>
      <c r="C32" s="133" t="s">
        <v>534</v>
      </c>
      <c r="D32" s="52" t="s">
        <v>271</v>
      </c>
      <c r="E32" s="10" t="str">
        <f t="shared" si="2"/>
        <v>€</v>
      </c>
    </row>
    <row r="33" spans="2:5" x14ac:dyDescent="0.4">
      <c r="B33" s="133" t="s">
        <v>535</v>
      </c>
      <c r="C33" s="133" t="s">
        <v>536</v>
      </c>
      <c r="D33" s="52" t="s">
        <v>271</v>
      </c>
      <c r="E33" s="10" t="str">
        <f t="shared" si="2"/>
        <v>€</v>
      </c>
    </row>
    <row r="34" spans="2:5" x14ac:dyDescent="0.4">
      <c r="B34" s="133" t="s">
        <v>537</v>
      </c>
      <c r="C34" s="133" t="s">
        <v>538</v>
      </c>
      <c r="D34" s="52" t="s">
        <v>271</v>
      </c>
      <c r="E34" s="10" t="str">
        <f t="shared" si="2"/>
        <v>€</v>
      </c>
    </row>
    <row r="35" spans="2:5" x14ac:dyDescent="0.4">
      <c r="B35" s="133" t="s">
        <v>539</v>
      </c>
      <c r="C35" s="133" t="s">
        <v>540</v>
      </c>
      <c r="D35" s="52" t="s">
        <v>271</v>
      </c>
      <c r="E35" s="10" t="str">
        <f t="shared" si="2"/>
        <v>€</v>
      </c>
    </row>
    <row r="36" spans="2:5" x14ac:dyDescent="0.4">
      <c r="B36" s="133" t="s">
        <v>541</v>
      </c>
      <c r="C36" s="133" t="s">
        <v>542</v>
      </c>
      <c r="D36" s="52" t="s">
        <v>271</v>
      </c>
      <c r="E36" s="10" t="str">
        <f t="shared" si="2"/>
        <v>€</v>
      </c>
    </row>
    <row r="37" spans="2:5" x14ac:dyDescent="0.4">
      <c r="B37" s="133" t="s">
        <v>543</v>
      </c>
      <c r="C37" s="133" t="s">
        <v>544</v>
      </c>
      <c r="D37" s="52" t="s">
        <v>271</v>
      </c>
      <c r="E37" s="10" t="str">
        <f t="shared" si="2"/>
        <v>€</v>
      </c>
    </row>
    <row r="38" spans="2:5" x14ac:dyDescent="0.4">
      <c r="B38" s="133" t="s">
        <v>545</v>
      </c>
      <c r="C38" s="133" t="s">
        <v>546</v>
      </c>
      <c r="D38" s="52" t="s">
        <v>271</v>
      </c>
      <c r="E38" s="10" t="str">
        <f t="shared" si="2"/>
        <v>€</v>
      </c>
    </row>
    <row r="39" spans="2:5" x14ac:dyDescent="0.4">
      <c r="B39" s="133" t="s">
        <v>547</v>
      </c>
      <c r="C39" s="133" t="s">
        <v>548</v>
      </c>
      <c r="D39" s="52" t="s">
        <v>271</v>
      </c>
      <c r="E39" s="10" t="str">
        <f t="shared" si="2"/>
        <v>€</v>
      </c>
    </row>
    <row r="40" spans="2:5" x14ac:dyDescent="0.4">
      <c r="B40" s="133" t="s">
        <v>549</v>
      </c>
      <c r="C40" s="133" t="s">
        <v>550</v>
      </c>
      <c r="D40" s="52" t="s">
        <v>271</v>
      </c>
      <c r="E40" s="10" t="str">
        <f t="shared" si="2"/>
        <v>€</v>
      </c>
    </row>
    <row r="41" spans="2:5" x14ac:dyDescent="0.4">
      <c r="B41" s="133" t="s">
        <v>551</v>
      </c>
      <c r="C41" s="133" t="s">
        <v>552</v>
      </c>
      <c r="D41" s="52" t="s">
        <v>271</v>
      </c>
      <c r="E41" s="10" t="str">
        <f t="shared" si="2"/>
        <v>€</v>
      </c>
    </row>
    <row r="42" spans="2:5" x14ac:dyDescent="0.4">
      <c r="B42" s="133" t="s">
        <v>553</v>
      </c>
      <c r="C42" s="133" t="s">
        <v>552</v>
      </c>
      <c r="D42" s="52" t="s">
        <v>271</v>
      </c>
      <c r="E42" s="10" t="str">
        <f t="shared" si="2"/>
        <v>€</v>
      </c>
    </row>
    <row r="43" spans="2:5" x14ac:dyDescent="0.4">
      <c r="B43" s="133" t="s">
        <v>554</v>
      </c>
      <c r="C43" s="133" t="s">
        <v>555</v>
      </c>
      <c r="D43" s="52" t="s">
        <v>271</v>
      </c>
      <c r="E43" s="10" t="str">
        <f t="shared" si="2"/>
        <v>€</v>
      </c>
    </row>
    <row r="44" spans="2:5" ht="18" x14ac:dyDescent="0.55000000000000004">
      <c r="B44" s="50"/>
    </row>
    <row r="45" spans="2:5" ht="18" x14ac:dyDescent="0.55000000000000004">
      <c r="B45" s="50" t="s">
        <v>646</v>
      </c>
    </row>
    <row r="46" spans="2:5" x14ac:dyDescent="0.4">
      <c r="B46" s="137" t="s">
        <v>460</v>
      </c>
      <c r="D46" s="52" t="s">
        <v>23</v>
      </c>
      <c r="E46" s="10" t="str">
        <f t="shared" ref="E46" si="3">HYPERLINK("#"&amp;ADDRESS(ROW(),COLUMN()-1),CHAR(128))</f>
        <v>€</v>
      </c>
    </row>
  </sheetData>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D46 D3:D5</xm:sqref>
        </x14:dataValidation>
        <x14:dataValidation type="list" allowBlank="1" showInputMessage="1" showErrorMessage="1" xr:uid="{84432622-41E7-4A98-B45C-0CE41F521885}">
          <x14:formula1>
            <xm:f>Validation!$F$3:$F$4</xm:f>
          </x14:formula1>
          <xm:sqref>D31 D8:D17 D19:D28</xm:sqref>
        </x14:dataValidation>
        <x14:dataValidation type="list" allowBlank="1" showInputMessage="1" showErrorMessage="1" xr:uid="{DC58A366-AE19-438B-9E43-813774766B98}">
          <x14:formula1>
            <xm:f>Validation!$F$3:$F$5</xm:f>
          </x14:formula1>
          <xm:sqref>D32:D43 D18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H42"/>
  <sheetViews>
    <sheetView showGridLines="0" zoomScaleNormal="100" zoomScalePageLayoutView="55" workbookViewId="0"/>
  </sheetViews>
  <sheetFormatPr defaultColWidth="9" defaultRowHeight="14.25" x14ac:dyDescent="0.45"/>
  <cols>
    <col min="1" max="1" width="7.42578125" style="22" customWidth="1"/>
    <col min="2" max="2" width="68.7109375" style="22" customWidth="1"/>
    <col min="3" max="3" width="19.0703125" style="22" customWidth="1"/>
    <col min="4" max="4" width="5.640625" style="22" customWidth="1"/>
    <col min="5" max="5" width="15.140625" style="22" customWidth="1"/>
    <col min="6" max="7" width="10.5703125" style="22" customWidth="1"/>
    <col min="8" max="20" width="9.7109375" style="22" customWidth="1"/>
    <col min="21" max="16384" width="9" style="22"/>
  </cols>
  <sheetData>
    <row r="1" spans="1:27" ht="48.75" customHeight="1" x14ac:dyDescent="1">
      <c r="A1" s="20"/>
      <c r="B1" s="77" t="str">
        <f>Country&amp;"'s adherence to Regulation (EU) 2024/1263 and associated guidance"</f>
        <v>Latvia's adherence to Regulation (EU) 2024/1263 and associated guidance</v>
      </c>
      <c r="C1" s="77"/>
      <c r="D1" s="34"/>
      <c r="F1" s="34"/>
      <c r="G1" s="113"/>
      <c r="H1" s="34"/>
      <c r="I1"/>
      <c r="J1"/>
      <c r="K1"/>
      <c r="L1"/>
      <c r="M1"/>
      <c r="N1"/>
      <c r="O1"/>
      <c r="P1"/>
      <c r="Q1"/>
      <c r="R1"/>
      <c r="S1"/>
      <c r="T1"/>
      <c r="U1"/>
      <c r="V1"/>
      <c r="W1"/>
      <c r="X1"/>
      <c r="Y1"/>
      <c r="Z1"/>
      <c r="AA1" s="3"/>
    </row>
    <row r="2" spans="1:27" ht="18" x14ac:dyDescent="0.55000000000000004">
      <c r="A2" s="25"/>
      <c r="Q2" s="23"/>
      <c r="R2" s="23"/>
      <c r="S2" s="23"/>
      <c r="T2" s="23"/>
      <c r="U2" s="23"/>
      <c r="V2" s="21"/>
      <c r="W2" s="21"/>
      <c r="X2" s="21"/>
      <c r="Y2" s="21"/>
      <c r="Z2"/>
      <c r="AA2" s="3"/>
    </row>
    <row r="3" spans="1:27" ht="23.25" x14ac:dyDescent="0.7">
      <c r="A3" s="20"/>
      <c r="B3" s="13" t="str">
        <f>"Assessing a new or revised MTP"&amp;IF(Receives_reference_trajectory," under Article 5 pathway (receiving a reference trajectory)","under Article 9(3) pathway (receiving technical information)")</f>
        <v>Assessing a new or revised MTPunder Article 9(3) pathway (receiving technical information)</v>
      </c>
      <c r="C3" s="13"/>
      <c r="Q3" s="26"/>
      <c r="R3" s="26"/>
      <c r="S3" s="26"/>
      <c r="T3" s="26"/>
      <c r="U3" s="26"/>
      <c r="V3" s="28"/>
      <c r="W3" s="28"/>
      <c r="X3" s="28"/>
    </row>
    <row r="4" spans="1:27" x14ac:dyDescent="0.45">
      <c r="A4" s="21"/>
      <c r="B4" s="134" t="str">
        <f>CHAR(149)&amp;IF(AssessmentRound="Implementation of an endorsed MTP"," The net expenditure path in the Medium-Term Plan under assessment was endorsed by the European Council; the below is for information only"," A new or revised MTP has been submitted for assessment")</f>
        <v>• The net expenditure path in the Medium-Term Plan under assessment was endorsed by the European Council; the below is for information only</v>
      </c>
      <c r="C4" s="134"/>
      <c r="L4" s="158"/>
    </row>
    <row r="5" spans="1:27" x14ac:dyDescent="0.45">
      <c r="A5" s="20"/>
      <c r="B5" s="134" t="str">
        <f>CHAR(149)&amp;" "&amp;MTP_Requirement</f>
        <v>• Latvia does not receive a reference trajectory but its MTP must contain a net expenditure path that complies with TFEU general government debt and deficit sustainability requirements.</v>
      </c>
      <c r="C5" s="134"/>
      <c r="D5" s="31"/>
      <c r="E5" s="31"/>
      <c r="F5" s="31"/>
      <c r="G5" s="31"/>
      <c r="H5" s="31"/>
      <c r="I5" s="31"/>
      <c r="J5" s="31"/>
      <c r="K5" s="31"/>
      <c r="L5" s="173"/>
      <c r="M5" s="20"/>
      <c r="Q5" s="26"/>
      <c r="R5" s="26"/>
      <c r="S5" s="26"/>
      <c r="T5" s="26"/>
      <c r="U5" s="26"/>
      <c r="V5" s="26"/>
      <c r="W5" s="26"/>
      <c r="X5" s="26"/>
      <c r="Y5" s="21"/>
      <c r="Z5" s="21"/>
    </row>
    <row r="6" spans="1:27" x14ac:dyDescent="0.45">
      <c r="A6" s="20"/>
      <c r="B6" s="134" t="str">
        <f>CHAR(149)&amp;" "&amp;Country&amp;IF(AdjustmentPeriod=4," has not requested an extension of the adjustment period; the adjustment period is the four years "&amp;MTP_YearT+1&amp;" to "&amp;AdjustmentPeriodEnd&amp;"."," has requested an extension of the adjustment period; the adjustment period is the seven years "&amp;MTP_YearT+1&amp;" to "&amp;AdjustmentPeriodEnd&amp;".")</f>
        <v>• Latvia has not requested an extension of the adjustment period; the adjustment period is the four years 2025 to 2028.</v>
      </c>
      <c r="C6" s="134"/>
      <c r="D6" s="31"/>
      <c r="E6" s="31"/>
      <c r="F6" s="31"/>
      <c r="G6" s="31"/>
      <c r="H6" s="31"/>
      <c r="I6" s="31"/>
      <c r="J6" s="31"/>
      <c r="K6" s="31"/>
      <c r="L6" s="173"/>
      <c r="M6" s="20"/>
      <c r="Q6" s="26"/>
      <c r="R6" s="26"/>
      <c r="S6" s="26"/>
      <c r="T6" s="26"/>
      <c r="U6" s="26"/>
      <c r="V6" s="26"/>
      <c r="W6" s="26"/>
      <c r="X6" s="26"/>
      <c r="Y6" s="21"/>
      <c r="Z6" s="21"/>
    </row>
    <row r="7" spans="1:27" x14ac:dyDescent="0.45">
      <c r="A7" s="20"/>
      <c r="B7" s="134" t="str" cm="1">
        <f t="array" ref="B7">CHAR(149)&amp;" "&amp;
_xlfn.LET(
  _xlpm.rng, 'Step 1 - Set global parameters'!B22:H22,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C7" s="134"/>
      <c r="D7" s="31"/>
      <c r="E7" s="31"/>
      <c r="F7" s="31"/>
      <c r="G7" s="31"/>
      <c r="H7" s="31"/>
      <c r="I7" s="31"/>
      <c r="J7" s="31"/>
      <c r="K7" s="31"/>
      <c r="L7" s="173"/>
      <c r="M7" s="20"/>
      <c r="Q7" s="26"/>
      <c r="R7" s="26"/>
      <c r="S7" s="26"/>
      <c r="T7" s="26"/>
      <c r="U7" s="26"/>
      <c r="V7" s="26"/>
      <c r="W7" s="26"/>
      <c r="X7" s="26"/>
      <c r="Y7" s="21"/>
      <c r="Z7" s="21"/>
    </row>
    <row r="8" spans="1:27" x14ac:dyDescent="0.45">
      <c r="A8" s="21"/>
      <c r="B8" s="134" t="str">
        <f>CHAR(149)&amp;" "&amp;IF('Step 1 - Set global parameters'!B30,
  IF('Step 1 - Set global parameters'!B32,
    Country&amp;" is subject to both an excessive deficit procedure and an excessive debt procedure.",
    Country&amp;" is subject to an excessive deficit procedure."),
  IF('Step 1 - Set global parameters'!B32,
    Country&amp;" is subject to an excessive debt procedure.",
    Country&amp;" is not currently subject to any excessive deficit or debt procedure."))</f>
        <v>• Latvia is not currently subject to any excessive deficit or debt procedure.</v>
      </c>
    </row>
    <row r="9" spans="1:27" ht="25.9" customHeight="1" x14ac:dyDescent="0.7">
      <c r="A9" s="112"/>
      <c r="B9" s="50" t="s">
        <v>906</v>
      </c>
      <c r="C9" s="50"/>
      <c r="D9" s="75"/>
      <c r="E9" s="27"/>
    </row>
    <row r="10" spans="1:27" ht="19.149999999999999" customHeight="1" x14ac:dyDescent="0.7">
      <c r="A10" s="112" t="s">
        <v>394</v>
      </c>
      <c r="B10" s="78" t="s">
        <v>887</v>
      </c>
      <c r="C10" s="78" t="s">
        <v>903</v>
      </c>
      <c r="D10" s="75" t="str">
        <f>IF(E10="At risk","⚠",IF(E10="Compliant","☑",IF(E10="Breach","⮽","☐")))</f>
        <v>☑</v>
      </c>
      <c r="E10" s="27" t="str">
        <f>IF(Assessment!$C$216,"Compliant","Breach")</f>
        <v>Compliant</v>
      </c>
      <c r="F10" s="22" t="str">
        <f>Assessment!C217</f>
        <v>The Fiscal Discipline Council has concluded that the MTP's alternative macroeconomic assumptions are based on sound and data-driven arguments and are plausible.</v>
      </c>
    </row>
    <row r="11" spans="1:27" ht="19.149999999999999" customHeight="1" x14ac:dyDescent="0.7">
      <c r="A11" s="112" t="s">
        <v>395</v>
      </c>
      <c r="B11" s="78" t="s">
        <v>518</v>
      </c>
      <c r="C11" s="78" t="s">
        <v>901</v>
      </c>
      <c r="D11" s="75" t="str">
        <f>IF(E11="At risk","⚠",IF(E11="Compliant","☑",IF(E11="Breach","⮽","☐")))</f>
        <v>☑</v>
      </c>
      <c r="E11" s="27" t="str">
        <f>IF(Assessment!$C$220,"Compliant","Breach")</f>
        <v>Compliant</v>
      </c>
      <c r="F11" s="22" t="str">
        <f>Assessment!C221</f>
        <v>The Fiscal Discipline Council has concluded that the plan contains all information required by Article 13 of Regulation (EU) 2024/1263.</v>
      </c>
    </row>
    <row r="12" spans="1:27" ht="19.149999999999999" customHeight="1" x14ac:dyDescent="0.7">
      <c r="A12" s="112" t="s">
        <v>396</v>
      </c>
      <c r="B12" s="78" t="s">
        <v>530</v>
      </c>
      <c r="C12" s="78" t="s">
        <v>902</v>
      </c>
      <c r="D12" s="75" t="str">
        <f>IF(E12="At risk","⚠",IF(E12="Compliant","☑",IF(E12="Breach","⮽","☐")))</f>
        <v>☐</v>
      </c>
      <c r="E12" s="27" t="str">
        <f>IF(
  AdjustmentPeriod=7,
  IF(Assessment!C225, "Compliant", "Breach"),
  "N/A"
)</f>
        <v>N/A</v>
      </c>
      <c r="F12" s="22" t="str">
        <f>Assessment!C226</f>
        <v>Not applicable. Latvia has not requested an extension of the adjustment period.</v>
      </c>
    </row>
    <row r="13" spans="1:27" ht="19.149999999999999" customHeight="1" x14ac:dyDescent="0.7">
      <c r="A13" s="112"/>
      <c r="B13" s="250" t="s">
        <v>921</v>
      </c>
      <c r="D13" s="75"/>
      <c r="E13" s="27"/>
    </row>
    <row r="14" spans="1:27" ht="19.149999999999999" customHeight="1" x14ac:dyDescent="0.7">
      <c r="A14" s="112" t="s">
        <v>397</v>
      </c>
      <c r="B14" s="78" t="s">
        <v>517</v>
      </c>
      <c r="C14" s="78" t="s">
        <v>922</v>
      </c>
      <c r="D14" s="75" t="str">
        <f>IF(E14="At risk","⚠",IF(E14="Compliant","☑",IF(E14="Breach","⮽","☐")))</f>
        <v>☐</v>
      </c>
      <c r="E14" s="27" t="str">
        <f>_xlfn.IFNA(
  IF(
    NOT(Receives_reference_trajectory),
    "N/A",
    IF(
      NOT(Assessment!$C$234),
      "Compliant",
      IF(
        Assessment!$C$235,
        "Compliant",
        "Breach"
      )
    )
  ),
  "N/A"
)</f>
        <v>N/A</v>
      </c>
      <c r="F14" s="22" t="str">
        <f>Assessment!C236</f>
        <v>The average net expenditure growth reported in Latvia's plan over the adjustment period (2025–2028) is higher than the technical information path transmitted by the Commission on Enter date. but remaining below the technical information path is not required.</v>
      </c>
    </row>
    <row r="15" spans="1:27" ht="19.149999999999999" customHeight="1" x14ac:dyDescent="0.7">
      <c r="A15" s="112" t="s">
        <v>398</v>
      </c>
      <c r="B15" s="78" t="s">
        <v>916</v>
      </c>
      <c r="C15" s="78" t="s">
        <v>922</v>
      </c>
      <c r="D15" s="75" t="str">
        <f>IF(E15="At risk","⚠",IF(E15="Compliant","☑",IF(E15="Breach","⮽","☐")))</f>
        <v>☑</v>
      </c>
      <c r="E15" s="27" t="str">
        <f>IF(Receives_reference_trajectory,IF(Assessment!C242,"Compliant","Breach"),IF(Assessment!C252,"Compliant","Breach"))</f>
        <v>Compliant</v>
      </c>
      <c r="F15" s="22" t="str">
        <f>IF(Receives_reference_trajectory,Assessment!C243,Assessment!C253)</f>
        <v>The net expenditure path in Latvia's latest MTP ensures the primary structural balance is above the minimum level of the Commission's prior guidance at the end of the adjustment period.</v>
      </c>
    </row>
    <row r="16" spans="1:27" ht="19.149999999999999" customHeight="1" x14ac:dyDescent="0.7">
      <c r="A16" s="112" t="s">
        <v>399</v>
      </c>
      <c r="B16" s="78" t="s">
        <v>583</v>
      </c>
      <c r="C16" s="78" t="s">
        <v>917</v>
      </c>
      <c r="D16" s="75" t="str">
        <f t="shared" ref="D16:D19" si="0">IF(E16="At risk","⚠",IF(E16="Compliant","☑",IF(E16="Breach","⮽","☐")))</f>
        <v>☑</v>
      </c>
      <c r="E16" s="27" t="str">
        <f>IF(Receives_reference_trajectory,IF(Assessment!C265,"Compliant","Breach"),IF(Assessment!C269,"Compliant","Breach"))</f>
        <v>Compliant</v>
      </c>
      <c r="F16" s="22" t="str">
        <f>IF(Receives_reference_trajectory,Assessment!$C$266,Assessment!$C$270)</f>
        <v>Latvia's debt remains below the TFEU debt reference level in each of the ten years following the adjustment period.</v>
      </c>
    </row>
    <row r="17" spans="1:34" ht="19.149999999999999" customHeight="1" x14ac:dyDescent="0.7">
      <c r="A17" s="112" t="s">
        <v>400</v>
      </c>
      <c r="B17" s="78" t="s">
        <v>584</v>
      </c>
      <c r="C17" s="78" t="s">
        <v>917</v>
      </c>
      <c r="D17" s="75" t="str">
        <f t="shared" si="0"/>
        <v>☑</v>
      </c>
      <c r="E17" s="27" t="str">
        <f>IF(Receives_reference_trajectory,IF(Assessment!C275,"Compliant","Breach"),IF(Assessment!C279,"Compliant","Breach"))</f>
        <v>Compliant</v>
      </c>
      <c r="F17" s="22" t="str">
        <f>IF(Receives_reference_trajectory,Assessment!$C$276,Assessment!$C$283)</f>
        <v>Latvia's deficit remains below the TFEU reference level in the final year of the adjustment period and throughout the following ten years.</v>
      </c>
    </row>
    <row r="18" spans="1:34" ht="19.149999999999999" customHeight="1" x14ac:dyDescent="0.7">
      <c r="A18" s="112" t="s">
        <v>401</v>
      </c>
      <c r="B18" s="78" t="s">
        <v>500</v>
      </c>
      <c r="C18" s="78" t="s">
        <v>923</v>
      </c>
      <c r="D18" s="75" t="str">
        <f t="shared" si="0"/>
        <v>☐</v>
      </c>
      <c r="E18" s="27" t="str">
        <f>IF(Receives_reference_trajectory,IF(Assessment!C294,"Compliant","Breach"),"N/A")</f>
        <v>N/A</v>
      </c>
      <c r="F18" s="22" t="str">
        <f>Assessment!C296</f>
        <v>Not applicable - Latvia is not required to comply with a reference trajectory.</v>
      </c>
    </row>
    <row r="19" spans="1:34" ht="19.149999999999999" customHeight="1" x14ac:dyDescent="0.7">
      <c r="A19" s="112" t="s">
        <v>402</v>
      </c>
      <c r="B19" s="78" t="s">
        <v>290</v>
      </c>
      <c r="C19" s="78" t="s">
        <v>918</v>
      </c>
      <c r="D19" s="75" t="str">
        <f t="shared" si="0"/>
        <v>☐</v>
      </c>
      <c r="E19" s="78" t="str">
        <f>_xlfn.IFNA(IF(Assessment!C307,"Compliant",IF(NOT(Assessment!C316),"Breach")),"N/A")</f>
        <v>N/A</v>
      </c>
      <c r="F19" s="22" t="str">
        <f>Assessment!C308</f>
        <v>The Council has not opened an excessive deficit procedure against Latvia.</v>
      </c>
    </row>
    <row r="20" spans="1:34" ht="19.149999999999999" customHeight="1" x14ac:dyDescent="0.7">
      <c r="A20" s="112"/>
      <c r="B20" s="250" t="s">
        <v>888</v>
      </c>
      <c r="C20" s="250"/>
      <c r="D20" s="75"/>
      <c r="E20" s="78"/>
    </row>
    <row r="21" spans="1:34" ht="19.149999999999999" customHeight="1" x14ac:dyDescent="0.7">
      <c r="A21" s="112" t="s">
        <v>403</v>
      </c>
      <c r="B21" s="78" t="s">
        <v>459</v>
      </c>
      <c r="C21" s="78" t="s">
        <v>919</v>
      </c>
      <c r="D21" s="75" t="str">
        <f t="shared" ref="D21:D22" si="1">IF(E21="At risk","⚠",IF(E21="Compliant","☑",IF(E21="Breach","⮽","☐")))</f>
        <v>☐</v>
      </c>
      <c r="E21" s="27" t="str">
        <f>IF(
  NOT(Receives_reference_trajectory),
  "N/A",
  IF(
    OR(Assessment!C313, Assessment!C314),
    IF(
      OR(
        IF(Assessment!C313,NOT(Assessment!C315), FALSE),
        IF(Assessment!C314,NOT(Assessment!C316), FALSE)
      ),
      "Breach",
      "Compliant"
    ),
    "The debt sustainability safeguard does not apply."
  )
)</f>
        <v>N/A</v>
      </c>
      <c r="F21" s="22" t="str">
        <f>Assessment!C319</f>
        <v>Latvia does not receive a reference trajectory and its MTP is not assessed against the debt sustainability safeguard.</v>
      </c>
    </row>
    <row r="22" spans="1:34" ht="19.149999999999999" customHeight="1" x14ac:dyDescent="0.7">
      <c r="A22" s="112" t="s">
        <v>404</v>
      </c>
      <c r="B22" s="78" t="s">
        <v>592</v>
      </c>
      <c r="C22" s="78" t="s">
        <v>920</v>
      </c>
      <c r="D22" s="75" t="str">
        <f t="shared" si="1"/>
        <v>☐</v>
      </c>
      <c r="E22" s="27" t="str">
        <f>IF(
  NOT(Receives_reference_trajectory),
  "N/A",
  IF(
    OR(Assessment!C328=FALSE, ISNA(Assessment!C330)),
    "N/A",
    IF(Assessment!C330, "Compliant", "Breach")
  )
)</f>
        <v>N/A</v>
      </c>
      <c r="F22" s="22" t="str">
        <f>Assessment!C332</f>
        <v>Latvia does not receive a reference trajectory and its MTP is not assessed against the deficit resilience safeguard.</v>
      </c>
    </row>
    <row r="23" spans="1:34" ht="19.149999999999999" customHeight="1" x14ac:dyDescent="0.7">
      <c r="A23" s="112" t="s">
        <v>461</v>
      </c>
      <c r="B23" s="78" t="s">
        <v>704</v>
      </c>
      <c r="C23" s="78" t="s">
        <v>924</v>
      </c>
      <c r="D23" s="75" t="str">
        <f>IF(E23="At risk","⚠",IF(E23="Compliant","☑",IF(E23="Breach","⮽","☐")))</f>
        <v>☑</v>
      </c>
      <c r="E23" s="78" t="str">
        <f>IF(
  Receives_reference_trajectory,
  IF(
    OR(ISNA(Assessment!C336), ISNA(Assessment!C337)),
    "N/A",
    IF(
      Assessment!C337 &gt;= Assessment!C336,
      "Compliant",
      IF(
        EscapeClauseActivated,
        "At risk",
        "At risk"
      )
    )
  ),
  IF(
    ISNA(Assessment!$C$348),
    "N/A",
    IF(
      Assessment!$C$348,
      "Compliant",
      "Breach"
    )
  )
)</f>
        <v>Compliant</v>
      </c>
      <c r="F23" s="22" t="str">
        <f>_xlfn.IFNA(IF(Receives_reference_trajectory,Assessment!C342,Assessment!C351),"N/A")</f>
        <v>Latvia is required to meet the structural primary balance condition without a safeguard. This condition is met, although the safeguard threshold is not.</v>
      </c>
    </row>
    <row r="24" spans="1:34" ht="19.149999999999999" customHeight="1" x14ac:dyDescent="0.7">
      <c r="A24" s="112"/>
      <c r="B24" s="250" t="s">
        <v>897</v>
      </c>
      <c r="C24" s="250"/>
      <c r="D24" s="75"/>
      <c r="E24" s="78"/>
    </row>
    <row r="25" spans="1:34" ht="23.65" thickBot="1" x14ac:dyDescent="0.75">
      <c r="A25" s="112"/>
      <c r="B25" s="73" t="s">
        <v>509</v>
      </c>
      <c r="C25" s="73"/>
      <c r="D25" s="74" t="str">
        <f>IF(E23="At risk","⚠",IF(E23="Compliant","☑",IF(E23="Breach","⮽","☐")))</f>
        <v>☑</v>
      </c>
      <c r="E25" s="73" t="str">
        <f>IF(COUNTIF(E11:E22,"Breach")&gt;0,"Breach",IF(COUNTIF(E14:E22,"At risk")&gt;0,"At risk","Compliant"))</f>
        <v>Compliant</v>
      </c>
      <c r="F25" s="73" t="str">
        <f>IF(Receives_reference_trajectory,Assessment!C356,Assessment!C360)</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G25" s="73"/>
      <c r="H25" s="73"/>
      <c r="I25" s="73"/>
      <c r="J25" s="73"/>
      <c r="K25" s="73"/>
      <c r="L25" s="73"/>
      <c r="M25" s="73"/>
      <c r="N25" s="73"/>
      <c r="O25" s="73"/>
      <c r="P25" s="73"/>
      <c r="Q25" s="73"/>
      <c r="R25" s="73"/>
      <c r="S25" s="73"/>
      <c r="T25" s="73"/>
      <c r="U25" s="73"/>
      <c r="V25" s="73"/>
      <c r="W25" s="73"/>
      <c r="X25" s="73"/>
      <c r="Y25" s="73"/>
      <c r="Z25" s="73"/>
      <c r="AA25" s="73"/>
      <c r="AB25" s="73"/>
      <c r="AC25" s="73"/>
      <c r="AD25" s="73"/>
      <c r="AE25" s="73"/>
      <c r="AF25" s="73"/>
      <c r="AG25" s="73"/>
      <c r="AH25" s="73"/>
    </row>
    <row r="26" spans="1:34" customFormat="1" ht="19.149999999999999" customHeight="1" thickTop="1" x14ac:dyDescent="0.4"/>
    <row r="27" spans="1:34" customFormat="1" ht="19.149999999999999" customHeight="1" x14ac:dyDescent="0.45">
      <c r="J27" s="22"/>
      <c r="K27" s="22"/>
      <c r="L27" s="22"/>
      <c r="M27" s="22"/>
      <c r="N27" s="22"/>
      <c r="O27" s="22"/>
      <c r="P27" s="22"/>
      <c r="Q27" s="22"/>
      <c r="R27" s="22"/>
      <c r="S27" s="22"/>
      <c r="T27" s="22"/>
      <c r="U27" s="22"/>
      <c r="V27" s="22"/>
    </row>
    <row r="28" spans="1:34" customFormat="1" ht="19.149999999999999" customHeight="1" x14ac:dyDescent="0.45">
      <c r="B28" s="22"/>
      <c r="C28" s="22"/>
      <c r="J28" s="22"/>
      <c r="K28" s="22"/>
      <c r="L28" s="22"/>
      <c r="M28" s="22"/>
      <c r="N28" s="22"/>
      <c r="O28" s="22"/>
      <c r="P28" s="22"/>
      <c r="Q28" s="22"/>
      <c r="R28" s="22"/>
      <c r="S28" s="22"/>
      <c r="T28" s="22"/>
      <c r="U28" s="22"/>
      <c r="V28" s="22"/>
    </row>
    <row r="29" spans="1:34" customFormat="1" ht="19.149999999999999" customHeight="1" x14ac:dyDescent="0.45">
      <c r="J29" s="22"/>
      <c r="K29" s="22"/>
      <c r="L29" s="22"/>
      <c r="M29" s="22"/>
      <c r="N29" s="22"/>
      <c r="O29" s="22"/>
      <c r="P29" s="22"/>
      <c r="Q29" s="22"/>
      <c r="R29" s="22"/>
      <c r="S29" s="22"/>
      <c r="T29" s="22"/>
      <c r="U29" s="22"/>
      <c r="V29" s="22"/>
    </row>
    <row r="30" spans="1:34" customFormat="1" ht="19.149999999999999" customHeight="1" x14ac:dyDescent="0.45">
      <c r="J30" s="22"/>
      <c r="K30" s="22"/>
      <c r="L30" s="22"/>
      <c r="M30" s="22"/>
      <c r="N30" s="22"/>
      <c r="O30" s="22"/>
      <c r="P30" s="22"/>
      <c r="Q30" s="22"/>
      <c r="R30" s="22"/>
      <c r="S30" s="22"/>
      <c r="T30" s="22"/>
      <c r="U30" s="22"/>
      <c r="V30" s="22"/>
    </row>
    <row r="31" spans="1:34" customFormat="1" ht="19.149999999999999" customHeight="1" x14ac:dyDescent="0.45">
      <c r="J31" s="22"/>
      <c r="K31" s="22"/>
      <c r="L31" s="22"/>
      <c r="M31" s="22"/>
      <c r="N31" s="22"/>
      <c r="O31" s="22"/>
      <c r="P31" s="22"/>
      <c r="Q31" s="22"/>
      <c r="R31" s="22"/>
      <c r="S31" s="22"/>
      <c r="T31" s="22"/>
      <c r="U31" s="22"/>
      <c r="V31" s="22"/>
    </row>
    <row r="32" spans="1:34" customFormat="1" ht="19.149999999999999" customHeight="1" x14ac:dyDescent="0.45">
      <c r="J32" s="22"/>
      <c r="K32" s="22"/>
      <c r="L32" s="22"/>
      <c r="M32" s="22"/>
      <c r="N32" s="22"/>
      <c r="O32" s="22"/>
      <c r="P32" s="22"/>
      <c r="Q32" s="22"/>
      <c r="R32" s="22"/>
      <c r="S32" s="22"/>
      <c r="T32" s="22"/>
      <c r="U32" s="22"/>
      <c r="V32" s="22"/>
    </row>
    <row r="33" spans="2:22" customFormat="1" ht="19.149999999999999" customHeight="1" x14ac:dyDescent="0.45">
      <c r="J33" s="22"/>
      <c r="K33" s="22"/>
      <c r="L33" s="22"/>
      <c r="M33" s="22"/>
      <c r="N33" s="22"/>
      <c r="O33" s="22"/>
      <c r="P33" s="22"/>
      <c r="Q33" s="22"/>
      <c r="R33" s="22"/>
      <c r="S33" s="22"/>
      <c r="T33" s="22"/>
      <c r="U33" s="22"/>
      <c r="V33" s="22"/>
    </row>
    <row r="34" spans="2:22" customFormat="1" ht="19.350000000000001" customHeight="1" x14ac:dyDescent="0.45">
      <c r="J34" s="22"/>
      <c r="K34" s="22"/>
      <c r="L34" s="22"/>
      <c r="M34" s="22"/>
      <c r="N34" s="22"/>
      <c r="O34" s="22"/>
      <c r="P34" s="22"/>
      <c r="Q34" s="22"/>
      <c r="R34" s="22"/>
      <c r="S34" s="22"/>
      <c r="T34" s="22"/>
      <c r="U34" s="22"/>
      <c r="V34" s="22"/>
    </row>
    <row r="35" spans="2:22" customFormat="1" x14ac:dyDescent="0.45">
      <c r="J35" s="22"/>
      <c r="K35" s="22"/>
      <c r="L35" s="22"/>
      <c r="M35" s="22"/>
      <c r="N35" s="22"/>
      <c r="O35" s="22"/>
      <c r="P35" s="22"/>
      <c r="Q35" s="22"/>
      <c r="R35" s="22"/>
      <c r="S35" s="22"/>
      <c r="T35" s="22"/>
      <c r="U35" s="22"/>
      <c r="V35" s="22"/>
    </row>
    <row r="36" spans="2:22" customFormat="1" ht="19.350000000000001" customHeight="1" x14ac:dyDescent="0.45">
      <c r="B36" s="22"/>
      <c r="C36" s="22"/>
      <c r="D36" s="22"/>
      <c r="E36" s="22"/>
      <c r="F36" s="22"/>
      <c r="G36" s="22"/>
      <c r="H36" s="22"/>
      <c r="I36" s="22"/>
      <c r="J36" s="22"/>
      <c r="K36" s="22"/>
      <c r="L36" s="22"/>
      <c r="M36" s="22"/>
      <c r="N36" s="22"/>
      <c r="O36" s="22"/>
      <c r="P36" s="22"/>
      <c r="Q36" s="22"/>
      <c r="R36" s="22"/>
      <c r="S36" s="22"/>
      <c r="T36" s="22"/>
      <c r="U36" s="22"/>
      <c r="V36" s="22"/>
    </row>
    <row r="37" spans="2:22" customFormat="1" ht="14.65" customHeight="1" x14ac:dyDescent="0.45">
      <c r="B37" s="22"/>
      <c r="C37" s="22"/>
      <c r="D37" s="22"/>
      <c r="E37" s="22"/>
      <c r="F37" s="22"/>
      <c r="G37" s="22"/>
      <c r="H37" s="22"/>
      <c r="I37" s="22"/>
      <c r="J37" s="22"/>
      <c r="K37" s="22"/>
      <c r="L37" s="22"/>
      <c r="M37" s="22"/>
      <c r="N37" s="22"/>
      <c r="O37" s="22"/>
      <c r="P37" s="22"/>
      <c r="Q37" s="22"/>
      <c r="R37" s="22"/>
      <c r="S37" s="22"/>
      <c r="T37" s="22"/>
      <c r="U37" s="22"/>
      <c r="V37" s="22"/>
    </row>
    <row r="38" spans="2:22" customFormat="1" ht="14.65" customHeight="1" x14ac:dyDescent="0.45">
      <c r="B38" s="22"/>
      <c r="C38" s="22"/>
      <c r="D38" s="22"/>
      <c r="E38" s="22"/>
      <c r="F38" s="22"/>
      <c r="G38" s="22"/>
      <c r="H38" s="22"/>
      <c r="I38" s="22"/>
      <c r="J38" s="22"/>
      <c r="K38" s="22"/>
      <c r="L38" s="22"/>
      <c r="M38" s="22"/>
      <c r="N38" s="22"/>
      <c r="O38" s="22"/>
      <c r="P38" s="22"/>
      <c r="Q38" s="22"/>
      <c r="R38" s="22"/>
      <c r="S38" s="22"/>
      <c r="T38" s="22"/>
      <c r="U38" s="22"/>
      <c r="V38" s="22"/>
    </row>
    <row r="39" spans="2:22" customFormat="1" ht="16.149999999999999" customHeight="1" x14ac:dyDescent="0.45">
      <c r="B39" s="22"/>
      <c r="C39" s="22"/>
      <c r="D39" s="22"/>
      <c r="E39" s="22"/>
      <c r="F39" s="22"/>
      <c r="G39" s="22"/>
      <c r="H39" s="22"/>
      <c r="I39" s="22"/>
      <c r="J39" s="22"/>
      <c r="K39" s="22"/>
      <c r="L39" s="22"/>
      <c r="M39" s="22"/>
      <c r="N39" s="22"/>
      <c r="O39" s="22"/>
      <c r="P39" s="22"/>
      <c r="Q39" s="22"/>
      <c r="R39" s="22"/>
      <c r="S39" s="22"/>
      <c r="T39" s="22"/>
      <c r="U39" s="22"/>
      <c r="V39" s="22"/>
    </row>
    <row r="40" spans="2:22" customFormat="1" ht="14.65" customHeight="1" x14ac:dyDescent="0.45">
      <c r="B40" s="22"/>
      <c r="C40" s="22"/>
      <c r="D40" s="22"/>
      <c r="E40" s="22"/>
      <c r="F40" s="22"/>
      <c r="G40" s="22"/>
      <c r="H40" s="22"/>
      <c r="I40" s="22"/>
      <c r="J40" s="22"/>
      <c r="K40" s="22"/>
      <c r="L40" s="22"/>
      <c r="M40" s="22"/>
      <c r="N40" s="22"/>
      <c r="O40" s="22"/>
      <c r="P40" s="22"/>
      <c r="Q40" s="22"/>
      <c r="R40" s="22"/>
      <c r="S40" s="22"/>
      <c r="T40" s="22"/>
      <c r="U40" s="22"/>
      <c r="V40" s="22"/>
    </row>
    <row r="41" spans="2:22" customFormat="1" ht="14.65" customHeight="1" x14ac:dyDescent="0.45">
      <c r="B41" s="22"/>
      <c r="C41" s="22"/>
      <c r="D41" s="22"/>
      <c r="E41" s="22"/>
      <c r="F41" s="22"/>
      <c r="G41" s="22"/>
      <c r="H41" s="22"/>
      <c r="I41" s="22"/>
      <c r="J41" s="22"/>
      <c r="K41" s="22"/>
      <c r="L41" s="22"/>
      <c r="M41" s="22"/>
      <c r="N41" s="22"/>
      <c r="O41" s="22"/>
      <c r="P41" s="22"/>
      <c r="Q41" s="22"/>
      <c r="R41" s="22"/>
      <c r="S41" s="22"/>
      <c r="T41" s="22"/>
      <c r="U41" s="22"/>
      <c r="V41" s="22"/>
    </row>
    <row r="42" spans="2:22" customFormat="1" ht="26.25" customHeight="1" x14ac:dyDescent="0.45">
      <c r="B42" s="22"/>
      <c r="C42" s="22"/>
      <c r="D42" s="22"/>
      <c r="E42" s="22"/>
      <c r="F42" s="22"/>
      <c r="G42" s="22"/>
      <c r="H42" s="22"/>
      <c r="I42" s="22"/>
      <c r="J42" s="22"/>
      <c r="K42" s="22"/>
      <c r="L42" s="22"/>
      <c r="M42" s="22"/>
      <c r="N42" s="22"/>
      <c r="O42" s="22"/>
      <c r="P42" s="22"/>
      <c r="Q42" s="22"/>
      <c r="R42" s="22"/>
      <c r="S42" s="22"/>
      <c r="T42" s="22"/>
      <c r="U42" s="22"/>
      <c r="V42" s="22"/>
    </row>
  </sheetData>
  <phoneticPr fontId="5" type="noConversion"/>
  <conditionalFormatting sqref="D10:D24">
    <cfRule type="expression" dxfId="111" priority="782">
      <formula>E10="Caution"</formula>
    </cfRule>
    <cfRule type="expression" dxfId="110" priority="783">
      <formula>E10="Breach"</formula>
    </cfRule>
    <cfRule type="expression" dxfId="109" priority="784">
      <formula>E10="Compliant"</formula>
    </cfRule>
    <cfRule type="expression" dxfId="108" priority="785">
      <formula>AND(E10&lt;&gt;"Compliant", E10&lt;&gt;"Caution", E10&lt;&gt;"Breach")</formula>
    </cfRule>
  </conditionalFormatting>
  <conditionalFormatting sqref="B25:AH25">
    <cfRule type="expression" dxfId="107" priority="790">
      <formula>$E$25="Compliant"</formula>
    </cfRule>
    <cfRule type="expression" dxfId="106" priority="791">
      <formula>$E$25="Caution"</formula>
    </cfRule>
    <cfRule type="expression" dxfId="105" priority="792">
      <formula>$E$25="Breach"</formula>
    </cfRule>
  </conditionalFormatting>
  <conditionalFormatting sqref="D9:D10">
    <cfRule type="expression" dxfId="104" priority="848">
      <formula>#REF!="No"</formula>
    </cfRule>
    <cfRule type="expression" dxfId="103" priority="849">
      <formula>#REF!="Yes"</formula>
    </cfRule>
  </conditionalFormatting>
  <pageMargins left="0.23622047244094491" right="0.23622047244094491" top="0" bottom="0" header="0.31496062992125984" footer="0.31496062992125984"/>
  <pageSetup paperSize="9" scale="45" fitToHeight="0" orientation="landscape" r:id="rId1"/>
  <colBreaks count="1" manualBreakCount="1">
    <brk id="24"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770FA-E9DB-4FA8-A18C-7725FF5DC06B}">
  <sheetPr codeName="Sheet10">
    <tabColor rgb="FF007635"/>
  </sheetPr>
  <dimension ref="A1:N102"/>
  <sheetViews>
    <sheetView showGridLines="0" zoomScaleNormal="100" workbookViewId="0"/>
  </sheetViews>
  <sheetFormatPr defaultRowHeight="13.15" x14ac:dyDescent="0.4"/>
  <cols>
    <col min="2" max="2" width="63.2109375" customWidth="1"/>
    <col min="15" max="15" width="9.140625" customWidth="1"/>
  </cols>
  <sheetData>
    <row r="1" spans="1:14" ht="31.9" x14ac:dyDescent="1">
      <c r="A1" s="77" t="s">
        <v>813</v>
      </c>
      <c r="C1" s="7"/>
    </row>
    <row r="2" spans="1:14" x14ac:dyDescent="0.4">
      <c r="B2" s="3" t="s">
        <v>954</v>
      </c>
      <c r="C2" s="179">
        <v>2023</v>
      </c>
    </row>
    <row r="4" spans="1:14" ht="23.25" x14ac:dyDescent="0.7">
      <c r="A4" s="13" t="s">
        <v>802</v>
      </c>
    </row>
    <row r="5" spans="1:14" x14ac:dyDescent="0.4">
      <c r="A5" s="234"/>
      <c r="B5" s="234"/>
      <c r="C5" s="234"/>
      <c r="D5" s="272">
        <f>C2</f>
        <v>2023</v>
      </c>
      <c r="E5" s="272" cm="1">
        <f t="array" ref="E5:H5">_xlfn.SEQUENCE(1, AssessmentEnd-C2+1, C2)</f>
        <v>2023</v>
      </c>
      <c r="F5" s="272">
        <v>2024</v>
      </c>
      <c r="G5" s="272">
        <v>2025</v>
      </c>
      <c r="H5" s="272">
        <v>2026</v>
      </c>
      <c r="I5" s="272"/>
      <c r="J5" s="272"/>
      <c r="K5" s="272"/>
      <c r="L5" s="272"/>
      <c r="M5" s="272"/>
    </row>
    <row r="6" spans="1:14" x14ac:dyDescent="0.4">
      <c r="A6" s="212"/>
      <c r="B6" s="212" t="s">
        <v>30</v>
      </c>
      <c r="C6" s="212" t="s">
        <v>31</v>
      </c>
      <c r="D6" s="272" t="s">
        <v>6</v>
      </c>
      <c r="E6" s="272" t="str" cm="1">
        <f t="array" ref="E6:H6">IF(ISNUMBER(_xlfn.ANCHORARRAY(E$5)),"% of GDP","")</f>
        <v>% of GDP</v>
      </c>
      <c r="F6" s="272" t="str">
        <v>% of GDP</v>
      </c>
      <c r="G6" s="272" t="str">
        <v>% of GDP</v>
      </c>
      <c r="H6" s="272" t="str">
        <v>% of GDP</v>
      </c>
      <c r="I6" s="272"/>
      <c r="J6" s="272"/>
      <c r="K6" s="272"/>
      <c r="L6" s="272"/>
      <c r="M6" s="272"/>
    </row>
    <row r="7" spans="1:14" x14ac:dyDescent="0.4">
      <c r="A7" s="212">
        <v>1</v>
      </c>
      <c r="B7" s="238" t="s">
        <v>32</v>
      </c>
      <c r="C7" s="238" t="s">
        <v>72</v>
      </c>
      <c r="D7" s="271"/>
      <c r="E7" s="271"/>
      <c r="F7" s="271"/>
      <c r="G7" s="271"/>
      <c r="H7" s="271"/>
      <c r="I7" s="271"/>
      <c r="J7" s="271"/>
      <c r="K7" s="271"/>
      <c r="L7" s="271"/>
      <c r="M7" s="271"/>
    </row>
    <row r="8" spans="1:14" x14ac:dyDescent="0.4">
      <c r="A8" s="212">
        <v>2</v>
      </c>
      <c r="B8" s="238" t="s">
        <v>33</v>
      </c>
      <c r="C8" s="238" t="s">
        <v>73</v>
      </c>
      <c r="D8" s="271"/>
      <c r="E8" s="271"/>
      <c r="F8" s="271"/>
      <c r="G8" s="271"/>
      <c r="H8" s="271"/>
      <c r="I8" s="271"/>
      <c r="J8" s="271"/>
      <c r="K8" s="271"/>
      <c r="L8" s="271"/>
      <c r="M8" s="271"/>
    </row>
    <row r="9" spans="1:14" x14ac:dyDescent="0.4">
      <c r="A9" s="212">
        <v>3</v>
      </c>
      <c r="B9" s="238" t="s">
        <v>34</v>
      </c>
      <c r="C9" s="238" t="s">
        <v>74</v>
      </c>
      <c r="D9" s="271"/>
      <c r="E9" s="271"/>
      <c r="F9" s="271"/>
      <c r="G9" s="271"/>
      <c r="H9" s="271"/>
      <c r="I9" s="271"/>
      <c r="J9" s="271"/>
      <c r="K9" s="271"/>
      <c r="L9" s="271"/>
      <c r="M9" s="271"/>
    </row>
    <row r="10" spans="1:14" x14ac:dyDescent="0.4">
      <c r="A10" s="212">
        <v>4</v>
      </c>
      <c r="B10" s="238" t="s">
        <v>36</v>
      </c>
      <c r="C10" s="238" t="s">
        <v>75</v>
      </c>
      <c r="D10" s="271"/>
      <c r="E10" s="271"/>
      <c r="F10" s="271"/>
      <c r="G10" s="271"/>
      <c r="H10" s="271"/>
      <c r="I10" s="271"/>
      <c r="J10" s="271"/>
      <c r="K10" s="271"/>
      <c r="L10" s="271"/>
      <c r="M10" s="271"/>
    </row>
    <row r="11" spans="1:14" x14ac:dyDescent="0.4">
      <c r="A11" s="212">
        <v>5</v>
      </c>
      <c r="B11" s="238" t="s">
        <v>37</v>
      </c>
      <c r="C11" s="238" t="s">
        <v>76</v>
      </c>
      <c r="D11" s="271"/>
      <c r="E11" s="271"/>
      <c r="F11" s="271"/>
      <c r="G11" s="271"/>
      <c r="H11" s="271"/>
      <c r="I11" s="271"/>
      <c r="J11" s="271"/>
      <c r="K11" s="271"/>
      <c r="L11" s="271"/>
      <c r="M11" s="271"/>
    </row>
    <row r="12" spans="1:14" x14ac:dyDescent="0.4">
      <c r="A12" s="212">
        <v>6</v>
      </c>
      <c r="B12" s="238" t="s">
        <v>38</v>
      </c>
      <c r="C12" s="238" t="s">
        <v>77</v>
      </c>
      <c r="D12" s="271"/>
      <c r="E12" s="271"/>
      <c r="F12" s="271"/>
      <c r="G12" s="271"/>
      <c r="H12" s="271"/>
      <c r="I12" s="271"/>
      <c r="J12" s="271"/>
      <c r="K12" s="271"/>
      <c r="L12" s="271"/>
      <c r="M12" s="271"/>
    </row>
    <row r="13" spans="1:14" x14ac:dyDescent="0.4">
      <c r="A13" s="212">
        <v>7</v>
      </c>
      <c r="B13" s="238" t="s">
        <v>39</v>
      </c>
      <c r="C13" s="238" t="s">
        <v>78</v>
      </c>
      <c r="D13" s="275">
        <f>D7+D8+D9+D10+D11+D12</f>
        <v>0</v>
      </c>
      <c r="E13" s="275">
        <f t="shared" ref="E13:J13" si="0">E7+E8+E9+E10+E11+E12</f>
        <v>0</v>
      </c>
      <c r="F13" s="275">
        <f t="shared" si="0"/>
        <v>0</v>
      </c>
      <c r="G13" s="275">
        <f t="shared" si="0"/>
        <v>0</v>
      </c>
      <c r="H13" s="275">
        <f t="shared" si="0"/>
        <v>0</v>
      </c>
      <c r="I13" s="275">
        <f t="shared" si="0"/>
        <v>0</v>
      </c>
      <c r="J13" s="275">
        <f t="shared" si="0"/>
        <v>0</v>
      </c>
      <c r="K13" s="275">
        <f t="shared" ref="K13" si="1">K7+K8+K9+K10+K11+K12</f>
        <v>0</v>
      </c>
      <c r="L13" s="275">
        <f t="shared" ref="L13" si="2">L7+L8+L9+L10+L11+L12</f>
        <v>0</v>
      </c>
      <c r="M13" s="275">
        <f t="shared" ref="M13" si="3">M7+M8+M9+M10+M11+M12</f>
        <v>0</v>
      </c>
      <c r="N13" s="44"/>
    </row>
    <row r="14" spans="1:14" x14ac:dyDescent="0.4">
      <c r="A14" s="212">
        <v>8</v>
      </c>
      <c r="B14" s="238" t="s">
        <v>40</v>
      </c>
      <c r="C14" s="238" t="s">
        <v>79</v>
      </c>
      <c r="D14" s="271"/>
      <c r="E14" s="271"/>
      <c r="F14" s="271"/>
      <c r="G14" s="271"/>
      <c r="H14" s="271"/>
      <c r="I14" s="271"/>
      <c r="J14" s="271"/>
      <c r="K14" s="271"/>
      <c r="L14" s="271"/>
      <c r="M14" s="271"/>
    </row>
    <row r="15" spans="1:14" x14ac:dyDescent="0.4">
      <c r="A15" s="212">
        <v>9</v>
      </c>
      <c r="B15" s="238" t="s">
        <v>41</v>
      </c>
      <c r="C15" s="238"/>
      <c r="D15" s="275">
        <f>D13-D14</f>
        <v>0</v>
      </c>
      <c r="E15" s="275">
        <f t="shared" ref="E15:J15" si="4">E13-E14</f>
        <v>0</v>
      </c>
      <c r="F15" s="275">
        <f t="shared" si="4"/>
        <v>0</v>
      </c>
      <c r="G15" s="275">
        <f t="shared" si="4"/>
        <v>0</v>
      </c>
      <c r="H15" s="275">
        <f t="shared" si="4"/>
        <v>0</v>
      </c>
      <c r="I15" s="275">
        <f t="shared" si="4"/>
        <v>0</v>
      </c>
      <c r="J15" s="275">
        <f t="shared" si="4"/>
        <v>0</v>
      </c>
      <c r="K15" s="275">
        <f t="shared" ref="K15" si="5">K13-K14</f>
        <v>0</v>
      </c>
      <c r="L15" s="275">
        <f t="shared" ref="L15" si="6">L13-L14</f>
        <v>0</v>
      </c>
      <c r="M15" s="275">
        <f t="shared" ref="M15" si="7">M13-M14</f>
        <v>0</v>
      </c>
    </row>
    <row r="16" spans="1:14" x14ac:dyDescent="0.4">
      <c r="A16" s="212">
        <v>10</v>
      </c>
      <c r="B16" s="238" t="s">
        <v>42</v>
      </c>
      <c r="C16" s="238"/>
      <c r="D16" s="271"/>
      <c r="E16" s="271"/>
      <c r="F16" s="271"/>
      <c r="G16" s="271"/>
      <c r="H16" s="271"/>
      <c r="I16" s="271"/>
      <c r="J16" s="271"/>
      <c r="K16" s="271"/>
      <c r="L16" s="271"/>
      <c r="M16" s="271"/>
    </row>
    <row r="17" spans="1:13" x14ac:dyDescent="0.4">
      <c r="A17" s="212">
        <v>11</v>
      </c>
      <c r="B17" s="238" t="s">
        <v>43</v>
      </c>
      <c r="C17" s="238"/>
      <c r="D17" s="271"/>
      <c r="E17" s="271"/>
      <c r="F17" s="271"/>
      <c r="G17" s="271"/>
      <c r="H17" s="271"/>
      <c r="I17" s="271"/>
      <c r="J17" s="271"/>
      <c r="K17" s="271"/>
      <c r="L17" s="271"/>
      <c r="M17" s="271"/>
    </row>
    <row r="18" spans="1:13" x14ac:dyDescent="0.4">
      <c r="A18" s="212"/>
      <c r="B18" s="212" t="s">
        <v>29</v>
      </c>
      <c r="C18" s="212" t="s">
        <v>31</v>
      </c>
      <c r="D18" s="272" t="s">
        <v>6</v>
      </c>
      <c r="E18" s="272" t="str" cm="1">
        <f t="array" ref="E18:H18">IF(ISNUMBER(_xlfn.ANCHORARRAY(E$5)),"% of GDP","")</f>
        <v>% of GDP</v>
      </c>
      <c r="F18" s="272" t="str">
        <v>% of GDP</v>
      </c>
      <c r="G18" s="272" t="str">
        <v>% of GDP</v>
      </c>
      <c r="H18" s="272" t="str">
        <v>% of GDP</v>
      </c>
      <c r="I18" s="272"/>
      <c r="J18" s="272"/>
      <c r="K18" s="272"/>
      <c r="L18" s="272"/>
      <c r="M18" s="272"/>
    </row>
    <row r="19" spans="1:13" x14ac:dyDescent="0.4">
      <c r="A19" s="212">
        <v>12</v>
      </c>
      <c r="B19" s="225" t="s">
        <v>44</v>
      </c>
      <c r="C19" s="225" t="s">
        <v>5</v>
      </c>
      <c r="D19" s="271"/>
      <c r="E19" s="271"/>
      <c r="F19" s="271"/>
      <c r="G19" s="271"/>
      <c r="H19" s="271"/>
      <c r="I19" s="271"/>
      <c r="J19" s="271"/>
      <c r="K19" s="271"/>
      <c r="L19" s="271"/>
      <c r="M19" s="271"/>
    </row>
    <row r="20" spans="1:13" x14ac:dyDescent="0.4">
      <c r="A20" s="212">
        <v>13</v>
      </c>
      <c r="B20" s="225" t="s">
        <v>45</v>
      </c>
      <c r="C20" s="225" t="s">
        <v>80</v>
      </c>
      <c r="D20" s="271"/>
      <c r="E20" s="271"/>
      <c r="F20" s="271"/>
      <c r="G20" s="271"/>
      <c r="H20" s="271"/>
      <c r="I20" s="271"/>
      <c r="J20" s="271"/>
      <c r="K20" s="271"/>
      <c r="L20" s="271"/>
      <c r="M20" s="271"/>
    </row>
    <row r="21" spans="1:13" x14ac:dyDescent="0.4">
      <c r="A21" s="212">
        <v>14</v>
      </c>
      <c r="B21" s="225" t="s">
        <v>46</v>
      </c>
      <c r="C21" s="225" t="s">
        <v>28</v>
      </c>
      <c r="D21" s="271"/>
      <c r="E21" s="271"/>
      <c r="F21" s="271"/>
      <c r="G21" s="271"/>
      <c r="H21" s="271"/>
      <c r="I21" s="271"/>
      <c r="J21" s="271"/>
      <c r="K21" s="271"/>
      <c r="L21" s="271"/>
      <c r="M21" s="271"/>
    </row>
    <row r="22" spans="1:13" x14ac:dyDescent="0.4">
      <c r="A22" s="212">
        <v>15</v>
      </c>
      <c r="B22" s="225" t="s">
        <v>47</v>
      </c>
      <c r="C22" s="225" t="s">
        <v>81</v>
      </c>
      <c r="D22" s="271"/>
      <c r="E22" s="271"/>
      <c r="F22" s="271"/>
      <c r="G22" s="271"/>
      <c r="H22" s="271"/>
      <c r="I22" s="271"/>
      <c r="J22" s="271"/>
      <c r="K22" s="271"/>
      <c r="L22" s="271"/>
      <c r="M22" s="271"/>
    </row>
    <row r="23" spans="1:13" x14ac:dyDescent="0.4">
      <c r="A23" s="212">
        <v>16</v>
      </c>
      <c r="B23" s="225" t="s">
        <v>48</v>
      </c>
      <c r="C23" s="225" t="s">
        <v>82</v>
      </c>
      <c r="D23" s="271"/>
      <c r="E23" s="271"/>
      <c r="F23" s="271"/>
      <c r="G23" s="271"/>
      <c r="H23" s="271"/>
      <c r="I23" s="271"/>
      <c r="J23" s="271"/>
      <c r="K23" s="271"/>
      <c r="L23" s="271"/>
      <c r="M23" s="271"/>
    </row>
    <row r="24" spans="1:13" x14ac:dyDescent="0.4">
      <c r="A24" s="212">
        <v>17</v>
      </c>
      <c r="B24" s="225" t="s">
        <v>49</v>
      </c>
      <c r="C24" s="225" t="s">
        <v>83</v>
      </c>
      <c r="D24" s="271"/>
      <c r="E24" s="271"/>
      <c r="F24" s="271"/>
      <c r="G24" s="271"/>
      <c r="H24" s="271"/>
      <c r="I24" s="271"/>
      <c r="J24" s="271"/>
      <c r="K24" s="271"/>
      <c r="L24" s="271"/>
      <c r="M24" s="271"/>
    </row>
    <row r="25" spans="1:13" x14ac:dyDescent="0.4">
      <c r="A25" s="212">
        <v>18</v>
      </c>
      <c r="B25" s="225" t="s">
        <v>50</v>
      </c>
      <c r="C25" s="225" t="s">
        <v>84</v>
      </c>
      <c r="D25" s="271"/>
      <c r="E25" s="271"/>
      <c r="F25" s="271"/>
      <c r="G25" s="271"/>
      <c r="H25" s="271"/>
      <c r="I25" s="271"/>
      <c r="J25" s="271"/>
      <c r="K25" s="271"/>
      <c r="L25" s="271"/>
      <c r="M25" s="271"/>
    </row>
    <row r="26" spans="1:13" x14ac:dyDescent="0.4">
      <c r="A26" s="212">
        <v>19</v>
      </c>
      <c r="B26" s="225" t="s">
        <v>10</v>
      </c>
      <c r="C26" s="225" t="s">
        <v>4</v>
      </c>
      <c r="D26" s="271"/>
      <c r="E26" s="271"/>
      <c r="F26" s="271"/>
      <c r="G26" s="271"/>
      <c r="H26" s="271"/>
      <c r="I26" s="271"/>
      <c r="J26" s="271"/>
      <c r="K26" s="271"/>
      <c r="L26" s="271"/>
      <c r="M26" s="271"/>
    </row>
    <row r="27" spans="1:13" x14ac:dyDescent="0.4">
      <c r="A27" s="212">
        <v>20</v>
      </c>
      <c r="B27" s="225" t="s">
        <v>51</v>
      </c>
      <c r="C27" s="225"/>
      <c r="D27" s="271"/>
      <c r="E27" s="271"/>
      <c r="F27" s="271"/>
      <c r="G27" s="271"/>
      <c r="H27" s="271"/>
      <c r="I27" s="271"/>
      <c r="J27" s="271"/>
      <c r="K27" s="271"/>
      <c r="L27" s="271"/>
      <c r="M27" s="271"/>
    </row>
    <row r="28" spans="1:13" x14ac:dyDescent="0.4">
      <c r="A28" s="212">
        <v>21</v>
      </c>
      <c r="B28" s="225" t="s">
        <v>52</v>
      </c>
      <c r="C28" s="225" t="s">
        <v>85</v>
      </c>
      <c r="D28" s="271"/>
      <c r="E28" s="271"/>
      <c r="F28" s="271"/>
      <c r="G28" s="271"/>
      <c r="H28" s="271"/>
      <c r="I28" s="271"/>
      <c r="J28" s="271"/>
      <c r="K28" s="271"/>
      <c r="L28" s="271"/>
      <c r="M28" s="271"/>
    </row>
    <row r="29" spans="1:13" x14ac:dyDescent="0.4">
      <c r="A29" s="212">
        <v>22</v>
      </c>
      <c r="B29" s="225" t="s">
        <v>53</v>
      </c>
      <c r="C29" s="225" t="s">
        <v>86</v>
      </c>
      <c r="D29" s="271"/>
      <c r="E29" s="271"/>
      <c r="F29" s="271"/>
      <c r="G29" s="271"/>
      <c r="H29" s="271"/>
      <c r="I29" s="271"/>
      <c r="J29" s="271"/>
      <c r="K29" s="271"/>
      <c r="L29" s="271"/>
      <c r="M29" s="271"/>
    </row>
    <row r="30" spans="1:13" x14ac:dyDescent="0.4">
      <c r="A30" s="212">
        <v>23</v>
      </c>
      <c r="B30" s="225" t="s">
        <v>54</v>
      </c>
      <c r="C30" s="225" t="s">
        <v>87</v>
      </c>
      <c r="D30" s="275">
        <f>D19+D20+D21+D22+D23+D24+D25+D26+D28+D29</f>
        <v>0</v>
      </c>
      <c r="E30" s="275">
        <f t="shared" ref="E30:J30" si="8">E19+E20+E21+E22+E23+E24+E25+E26+E28+E29</f>
        <v>0</v>
      </c>
      <c r="F30" s="275">
        <f t="shared" si="8"/>
        <v>0</v>
      </c>
      <c r="G30" s="275">
        <f t="shared" si="8"/>
        <v>0</v>
      </c>
      <c r="H30" s="275">
        <f t="shared" si="8"/>
        <v>0</v>
      </c>
      <c r="I30" s="275">
        <f t="shared" si="8"/>
        <v>0</v>
      </c>
      <c r="J30" s="275">
        <f t="shared" si="8"/>
        <v>0</v>
      </c>
      <c r="K30" s="275">
        <f t="shared" ref="K30" si="9">K19+K20+K21+K22+K23+K24+K25+K26+K28+K29</f>
        <v>0</v>
      </c>
      <c r="L30" s="275">
        <f t="shared" ref="L30" si="10">L19+L20+L21+L22+L23+L24+L25+L26+L28+L29</f>
        <v>0</v>
      </c>
      <c r="M30" s="275">
        <f t="shared" ref="M30" si="11">M19+M20+M21+M22+M23+M24+M25+M26+M28+M29</f>
        <v>0</v>
      </c>
    </row>
    <row r="31" spans="1:13" x14ac:dyDescent="0.4">
      <c r="A31" s="212">
        <v>24</v>
      </c>
      <c r="B31" s="225" t="s">
        <v>55</v>
      </c>
      <c r="C31" s="225" t="s">
        <v>79</v>
      </c>
      <c r="D31" s="271"/>
      <c r="E31" s="271"/>
      <c r="F31" s="271"/>
      <c r="G31" s="271"/>
      <c r="H31" s="271"/>
      <c r="I31" s="271"/>
      <c r="J31" s="271"/>
      <c r="K31" s="271"/>
      <c r="L31" s="271"/>
      <c r="M31" s="271"/>
    </row>
    <row r="32" spans="1:13" x14ac:dyDescent="0.4">
      <c r="A32" s="212">
        <v>25</v>
      </c>
      <c r="B32" s="225" t="s">
        <v>56</v>
      </c>
      <c r="C32" s="225"/>
      <c r="D32" s="275">
        <f>D30-D31</f>
        <v>0</v>
      </c>
      <c r="E32" s="275">
        <f t="shared" ref="E32:J32" si="12">E30-E31</f>
        <v>0</v>
      </c>
      <c r="F32" s="275">
        <f t="shared" si="12"/>
        <v>0</v>
      </c>
      <c r="G32" s="275">
        <f t="shared" si="12"/>
        <v>0</v>
      </c>
      <c r="H32" s="275">
        <f t="shared" si="12"/>
        <v>0</v>
      </c>
      <c r="I32" s="275">
        <f t="shared" si="12"/>
        <v>0</v>
      </c>
      <c r="J32" s="275">
        <f t="shared" si="12"/>
        <v>0</v>
      </c>
      <c r="K32" s="275">
        <f t="shared" ref="K32" si="13">K30-K31</f>
        <v>0</v>
      </c>
      <c r="L32" s="275">
        <f t="shared" ref="L32" si="14">L30-L31</f>
        <v>0</v>
      </c>
      <c r="M32" s="275">
        <f t="shared" ref="M32" si="15">M30-M31</f>
        <v>0</v>
      </c>
    </row>
    <row r="33" spans="1:13" x14ac:dyDescent="0.4">
      <c r="A33" s="212">
        <v>26</v>
      </c>
      <c r="B33" s="225" t="s">
        <v>751</v>
      </c>
      <c r="C33" s="225"/>
      <c r="D33" s="4">
        <f>D14</f>
        <v>0</v>
      </c>
      <c r="E33" s="4">
        <f t="shared" ref="E33:J33" si="16">E14</f>
        <v>0</v>
      </c>
      <c r="F33" s="4">
        <f t="shared" si="16"/>
        <v>0</v>
      </c>
      <c r="G33" s="4">
        <f t="shared" si="16"/>
        <v>0</v>
      </c>
      <c r="H33" s="4">
        <f t="shared" si="16"/>
        <v>0</v>
      </c>
      <c r="I33" s="4">
        <f t="shared" si="16"/>
        <v>0</v>
      </c>
      <c r="J33" s="4">
        <f t="shared" si="16"/>
        <v>0</v>
      </c>
      <c r="K33" s="4">
        <f t="shared" ref="K33:M33" si="17">K14</f>
        <v>0</v>
      </c>
      <c r="L33" s="4">
        <f t="shared" si="17"/>
        <v>0</v>
      </c>
      <c r="M33" s="4">
        <f t="shared" si="17"/>
        <v>0</v>
      </c>
    </row>
    <row r="34" spans="1:13" x14ac:dyDescent="0.4">
      <c r="A34" s="212">
        <v>27</v>
      </c>
      <c r="B34" s="225" t="s">
        <v>57</v>
      </c>
      <c r="C34" s="225"/>
      <c r="D34" s="271"/>
      <c r="E34" s="271"/>
      <c r="F34" s="271"/>
      <c r="G34" s="271"/>
      <c r="H34" s="271"/>
      <c r="I34" s="271"/>
      <c r="J34" s="271"/>
      <c r="K34" s="271"/>
      <c r="L34" s="271"/>
      <c r="M34" s="271"/>
    </row>
    <row r="35" spans="1:13" x14ac:dyDescent="0.4">
      <c r="A35" s="212">
        <v>28</v>
      </c>
      <c r="B35" s="225" t="s">
        <v>58</v>
      </c>
      <c r="C35" s="225"/>
      <c r="D35" s="271"/>
      <c r="E35" s="271"/>
      <c r="F35" s="271"/>
      <c r="G35" s="271"/>
      <c r="H35" s="271"/>
      <c r="I35" s="271"/>
      <c r="J35" s="271"/>
      <c r="K35" s="271"/>
      <c r="L35" s="271"/>
      <c r="M35" s="271"/>
    </row>
    <row r="36" spans="1:13" x14ac:dyDescent="0.4">
      <c r="A36" s="212">
        <v>29</v>
      </c>
      <c r="B36" s="225" t="s">
        <v>59</v>
      </c>
      <c r="C36" s="225"/>
      <c r="D36" s="275">
        <f>D32-D33-D34-D35-D21</f>
        <v>0</v>
      </c>
      <c r="E36" s="275">
        <f t="shared" ref="E36:J36" si="18">E32-E33-E34-E35-E21</f>
        <v>0</v>
      </c>
      <c r="F36" s="275">
        <f t="shared" si="18"/>
        <v>0</v>
      </c>
      <c r="G36" s="275">
        <f t="shared" si="18"/>
        <v>0</v>
      </c>
      <c r="H36" s="275">
        <f t="shared" si="18"/>
        <v>0</v>
      </c>
      <c r="I36" s="275">
        <f t="shared" si="18"/>
        <v>0</v>
      </c>
      <c r="J36" s="275">
        <f t="shared" si="18"/>
        <v>0</v>
      </c>
      <c r="K36" s="275">
        <f t="shared" ref="K36" si="19">K32-K33-K34-K35-K21</f>
        <v>0</v>
      </c>
      <c r="L36" s="275">
        <f t="shared" ref="L36" si="20">L32-L33-L34-L35-L21</f>
        <v>0</v>
      </c>
      <c r="M36" s="275">
        <f t="shared" ref="M36" si="21">M32-M33-M34-M35-M21</f>
        <v>0</v>
      </c>
    </row>
    <row r="37" spans="1:13" x14ac:dyDescent="0.4">
      <c r="A37" s="212"/>
      <c r="B37" s="212" t="s">
        <v>35</v>
      </c>
      <c r="C37" s="212"/>
      <c r="D37" s="272"/>
      <c r="E37" s="272" t="str" cm="1">
        <f t="array" ref="E37:H37">IF(ISNUMBER(_xlfn.ANCHORARRAY(E$5)),"growth rate","")</f>
        <v>growth rate</v>
      </c>
      <c r="F37" s="272" t="str">
        <v>growth rate</v>
      </c>
      <c r="G37" s="272" t="str">
        <v>growth rate</v>
      </c>
      <c r="H37" s="272" t="str">
        <v>growth rate</v>
      </c>
      <c r="I37" s="272"/>
      <c r="J37" s="272"/>
      <c r="K37" s="272"/>
      <c r="L37" s="272"/>
      <c r="M37" s="272"/>
    </row>
    <row r="38" spans="1:13" ht="14.25" x14ac:dyDescent="0.45">
      <c r="A38" s="212">
        <v>30</v>
      </c>
      <c r="B38" s="225" t="s">
        <v>826</v>
      </c>
      <c r="C38" s="225" t="s">
        <v>752</v>
      </c>
      <c r="D38" s="268"/>
      <c r="E38" s="271"/>
      <c r="F38" s="271"/>
      <c r="G38" s="271"/>
      <c r="H38" s="271"/>
      <c r="I38" s="271"/>
      <c r="J38" s="271"/>
      <c r="K38" s="271"/>
      <c r="L38" s="271"/>
      <c r="M38" s="271"/>
    </row>
    <row r="39" spans="1:13" x14ac:dyDescent="0.4">
      <c r="A39" s="212"/>
      <c r="B39" s="212" t="s">
        <v>60</v>
      </c>
      <c r="C39" s="212"/>
      <c r="D39" s="272" t="s">
        <v>6</v>
      </c>
      <c r="E39" s="272" t="s">
        <v>603</v>
      </c>
      <c r="F39" s="272" t="s">
        <v>603</v>
      </c>
      <c r="G39" s="272" t="s">
        <v>603</v>
      </c>
      <c r="H39" s="272" t="s">
        <v>603</v>
      </c>
      <c r="I39" s="272" t="s">
        <v>603</v>
      </c>
      <c r="J39" s="272" t="s">
        <v>603</v>
      </c>
      <c r="K39" s="272" t="s">
        <v>603</v>
      </c>
      <c r="L39" s="272" t="s">
        <v>603</v>
      </c>
      <c r="M39" s="272" t="s">
        <v>603</v>
      </c>
    </row>
    <row r="40" spans="1:13" x14ac:dyDescent="0.4">
      <c r="A40" s="212">
        <v>31</v>
      </c>
      <c r="B40" s="225" t="s">
        <v>61</v>
      </c>
      <c r="C40" s="225" t="s">
        <v>27</v>
      </c>
      <c r="D40" s="4">
        <f>D13-D30</f>
        <v>0</v>
      </c>
      <c r="E40" s="4">
        <f t="shared" ref="E40:J40" si="22">E13-E30</f>
        <v>0</v>
      </c>
      <c r="F40" s="4">
        <f t="shared" si="22"/>
        <v>0</v>
      </c>
      <c r="G40" s="4">
        <f t="shared" si="22"/>
        <v>0</v>
      </c>
      <c r="H40" s="4">
        <f t="shared" si="22"/>
        <v>0</v>
      </c>
      <c r="I40" s="4">
        <f t="shared" si="22"/>
        <v>0</v>
      </c>
      <c r="J40" s="4">
        <f t="shared" si="22"/>
        <v>0</v>
      </c>
      <c r="K40" s="4">
        <f t="shared" ref="K40:M40" si="23">K13-K30</f>
        <v>0</v>
      </c>
      <c r="L40" s="4">
        <f t="shared" si="23"/>
        <v>0</v>
      </c>
      <c r="M40" s="4">
        <f t="shared" si="23"/>
        <v>0</v>
      </c>
    </row>
    <row r="41" spans="1:13" x14ac:dyDescent="0.4">
      <c r="A41" s="212">
        <v>32</v>
      </c>
      <c r="B41" s="225" t="s">
        <v>62</v>
      </c>
      <c r="C41" s="225" t="s">
        <v>88</v>
      </c>
      <c r="D41" s="4">
        <f>D40-D21</f>
        <v>0</v>
      </c>
      <c r="E41" s="4">
        <f t="shared" ref="E41:J41" si="24">E40-E21</f>
        <v>0</v>
      </c>
      <c r="F41" s="4">
        <f t="shared" si="24"/>
        <v>0</v>
      </c>
      <c r="G41" s="4">
        <f t="shared" si="24"/>
        <v>0</v>
      </c>
      <c r="H41" s="4">
        <f t="shared" si="24"/>
        <v>0</v>
      </c>
      <c r="I41" s="4">
        <f t="shared" si="24"/>
        <v>0</v>
      </c>
      <c r="J41" s="4">
        <f t="shared" si="24"/>
        <v>0</v>
      </c>
      <c r="K41" s="4">
        <f t="shared" ref="K41" si="25">K40-K21</f>
        <v>0</v>
      </c>
      <c r="L41" s="4">
        <f t="shared" ref="L41" si="26">L40-L21</f>
        <v>0</v>
      </c>
      <c r="M41" s="4">
        <f t="shared" ref="M41" si="27">M40-M21</f>
        <v>0</v>
      </c>
    </row>
    <row r="42" spans="1:13" x14ac:dyDescent="0.4">
      <c r="A42" s="212"/>
      <c r="B42" s="212" t="s">
        <v>63</v>
      </c>
      <c r="C42" s="212"/>
      <c r="D42" s="272"/>
      <c r="E42" s="272" t="s">
        <v>603</v>
      </c>
      <c r="F42" s="272" t="s">
        <v>603</v>
      </c>
      <c r="G42" s="272" t="s">
        <v>603</v>
      </c>
      <c r="H42" s="272" t="s">
        <v>603</v>
      </c>
      <c r="I42" s="272" t="s">
        <v>603</v>
      </c>
      <c r="J42" s="272" t="s">
        <v>603</v>
      </c>
      <c r="K42" s="272" t="s">
        <v>603</v>
      </c>
      <c r="L42" s="272" t="s">
        <v>603</v>
      </c>
      <c r="M42" s="272" t="s">
        <v>603</v>
      </c>
    </row>
    <row r="43" spans="1:13" ht="14.25" x14ac:dyDescent="0.45">
      <c r="A43" s="212">
        <v>33</v>
      </c>
      <c r="B43" s="239" t="s">
        <v>0</v>
      </c>
      <c r="C43" s="239"/>
      <c r="D43" s="268"/>
      <c r="E43" s="271"/>
      <c r="F43" s="271"/>
      <c r="G43" s="271"/>
      <c r="H43" s="271"/>
      <c r="I43" s="271"/>
      <c r="J43" s="271"/>
      <c r="K43" s="271"/>
      <c r="L43" s="271"/>
      <c r="M43" s="271"/>
    </row>
    <row r="44" spans="1:13" ht="14.25" x14ac:dyDescent="0.45">
      <c r="A44" s="212">
        <v>34</v>
      </c>
      <c r="B44" s="239" t="s">
        <v>3</v>
      </c>
      <c r="C44" s="239"/>
      <c r="D44" s="268"/>
      <c r="E44" s="271"/>
      <c r="F44" s="271"/>
      <c r="G44" s="271"/>
      <c r="H44" s="271"/>
      <c r="I44" s="271"/>
      <c r="J44" s="271"/>
      <c r="K44" s="271"/>
      <c r="L44" s="271"/>
      <c r="M44" s="271"/>
    </row>
    <row r="45" spans="1:13" x14ac:dyDescent="0.4">
      <c r="A45" s="212"/>
      <c r="B45" s="212" t="s">
        <v>20</v>
      </c>
      <c r="C45" s="212"/>
      <c r="D45" s="272" t="s">
        <v>6</v>
      </c>
      <c r="E45" s="272" t="s">
        <v>603</v>
      </c>
      <c r="F45" s="272" t="s">
        <v>603</v>
      </c>
      <c r="G45" s="272" t="s">
        <v>603</v>
      </c>
      <c r="H45" s="272" t="s">
        <v>603</v>
      </c>
      <c r="I45" s="272" t="s">
        <v>603</v>
      </c>
      <c r="J45" s="272" t="s">
        <v>603</v>
      </c>
      <c r="K45" s="272" t="s">
        <v>603</v>
      </c>
      <c r="L45" s="272" t="s">
        <v>603</v>
      </c>
      <c r="M45" s="272" t="s">
        <v>603</v>
      </c>
    </row>
    <row r="46" spans="1:13" x14ac:dyDescent="0.4">
      <c r="A46" s="212">
        <v>35</v>
      </c>
      <c r="B46" s="225" t="s">
        <v>1</v>
      </c>
      <c r="C46" s="225"/>
      <c r="D46" s="271"/>
      <c r="E46" s="271"/>
      <c r="F46" s="271"/>
      <c r="G46" s="271"/>
      <c r="H46" s="271"/>
      <c r="I46" s="271"/>
      <c r="J46" s="271"/>
      <c r="K46" s="271"/>
      <c r="L46" s="271"/>
      <c r="M46" s="271"/>
    </row>
    <row r="47" spans="1:13" x14ac:dyDescent="0.4">
      <c r="A47" s="212">
        <v>36</v>
      </c>
      <c r="B47" s="225" t="s">
        <v>2</v>
      </c>
      <c r="C47" s="225"/>
      <c r="D47" s="271"/>
      <c r="E47" s="271"/>
      <c r="F47" s="271"/>
      <c r="G47" s="271"/>
      <c r="H47" s="271"/>
      <c r="I47" s="271"/>
      <c r="J47" s="271"/>
      <c r="K47" s="271"/>
      <c r="L47" s="271"/>
      <c r="M47" s="271"/>
    </row>
    <row r="48" spans="1:13" x14ac:dyDescent="0.4">
      <c r="A48" s="212">
        <v>37</v>
      </c>
      <c r="B48" s="225" t="s">
        <v>64</v>
      </c>
      <c r="C48" s="225"/>
      <c r="D48" s="273"/>
      <c r="E48" s="273"/>
      <c r="F48" s="273"/>
      <c r="G48" s="273"/>
      <c r="H48" s="274"/>
      <c r="I48" s="274"/>
      <c r="J48" s="274"/>
      <c r="K48" s="274"/>
      <c r="L48" s="274"/>
      <c r="M48" s="274"/>
    </row>
    <row r="49" spans="1:13" ht="14.25" x14ac:dyDescent="0.45">
      <c r="A49" s="212">
        <v>38</v>
      </c>
      <c r="B49" s="240" t="s">
        <v>753</v>
      </c>
      <c r="C49" s="225"/>
      <c r="D49" s="244">
        <f>D41</f>
        <v>0</v>
      </c>
      <c r="E49" s="4">
        <f t="shared" ref="E49:M49" si="28">E41</f>
        <v>0</v>
      </c>
      <c r="F49" s="4">
        <f t="shared" si="28"/>
        <v>0</v>
      </c>
      <c r="G49" s="4">
        <f t="shared" si="28"/>
        <v>0</v>
      </c>
      <c r="H49" s="4">
        <f t="shared" si="28"/>
        <v>0</v>
      </c>
      <c r="I49" s="4">
        <f t="shared" si="28"/>
        <v>0</v>
      </c>
      <c r="J49" s="4">
        <f t="shared" si="28"/>
        <v>0</v>
      </c>
      <c r="K49" s="4">
        <f t="shared" si="28"/>
        <v>0</v>
      </c>
      <c r="L49" s="4">
        <f t="shared" si="28"/>
        <v>0</v>
      </c>
      <c r="M49" s="4">
        <f t="shared" si="28"/>
        <v>0</v>
      </c>
    </row>
    <row r="50" spans="1:13" ht="14.25" x14ac:dyDescent="0.45">
      <c r="A50" s="212">
        <v>39</v>
      </c>
      <c r="B50" s="240" t="s">
        <v>754</v>
      </c>
      <c r="C50" s="225"/>
      <c r="D50" s="268"/>
      <c r="E50" s="271"/>
      <c r="F50" s="271"/>
      <c r="G50" s="271"/>
      <c r="H50" s="271"/>
      <c r="I50" s="271"/>
      <c r="J50" s="271"/>
      <c r="K50" s="271"/>
      <c r="L50" s="271"/>
      <c r="M50" s="271"/>
    </row>
    <row r="51" spans="1:13" ht="14.25" x14ac:dyDescent="0.45">
      <c r="A51" s="212">
        <v>40</v>
      </c>
      <c r="B51" s="241" t="s">
        <v>755</v>
      </c>
      <c r="C51" s="225"/>
      <c r="D51" s="244">
        <f>D21</f>
        <v>0</v>
      </c>
      <c r="E51" s="4">
        <f t="shared" ref="E51:M51" si="29">E21</f>
        <v>0</v>
      </c>
      <c r="F51" s="4">
        <f t="shared" si="29"/>
        <v>0</v>
      </c>
      <c r="G51" s="4">
        <f t="shared" si="29"/>
        <v>0</v>
      </c>
      <c r="H51" s="4">
        <f t="shared" si="29"/>
        <v>0</v>
      </c>
      <c r="I51" s="4">
        <f t="shared" si="29"/>
        <v>0</v>
      </c>
      <c r="J51" s="4">
        <f t="shared" si="29"/>
        <v>0</v>
      </c>
      <c r="K51" s="4">
        <f t="shared" si="29"/>
        <v>0</v>
      </c>
      <c r="L51" s="4">
        <f t="shared" si="29"/>
        <v>0</v>
      </c>
      <c r="M51" s="4">
        <f t="shared" si="29"/>
        <v>0</v>
      </c>
    </row>
    <row r="52" spans="1:13" ht="14.25" x14ac:dyDescent="0.45">
      <c r="A52" s="212">
        <v>41</v>
      </c>
      <c r="B52" s="241" t="s">
        <v>756</v>
      </c>
      <c r="C52" s="225"/>
      <c r="D52" s="268"/>
      <c r="E52" s="271"/>
      <c r="F52" s="271"/>
      <c r="G52" s="271"/>
      <c r="H52" s="271"/>
      <c r="I52" s="271"/>
      <c r="J52" s="271"/>
      <c r="K52" s="271"/>
      <c r="L52" s="271"/>
      <c r="M52" s="271"/>
    </row>
    <row r="53" spans="1:13" ht="14.25" x14ac:dyDescent="0.45">
      <c r="A53" s="212">
        <v>42</v>
      </c>
      <c r="B53" s="241" t="s">
        <v>757</v>
      </c>
      <c r="C53" s="225"/>
      <c r="D53" s="268"/>
      <c r="E53" s="271"/>
      <c r="F53" s="271"/>
      <c r="G53" s="271"/>
      <c r="H53" s="271"/>
      <c r="I53" s="271"/>
      <c r="J53" s="271"/>
      <c r="K53" s="271"/>
      <c r="L53" s="271"/>
      <c r="M53" s="271"/>
    </row>
    <row r="54" spans="1:13" ht="14.25" x14ac:dyDescent="0.45">
      <c r="A54" s="212">
        <v>43</v>
      </c>
      <c r="B54" s="240" t="s">
        <v>758</v>
      </c>
      <c r="C54" s="225"/>
      <c r="D54" s="244">
        <f>D47-D49-D50</f>
        <v>0</v>
      </c>
      <c r="E54" s="4">
        <f t="shared" ref="E54:M54" si="30">E47-E49-E50</f>
        <v>0</v>
      </c>
      <c r="F54" s="4">
        <f t="shared" si="30"/>
        <v>0</v>
      </c>
      <c r="G54" s="4">
        <f t="shared" si="30"/>
        <v>0</v>
      </c>
      <c r="H54" s="4">
        <f t="shared" si="30"/>
        <v>0</v>
      </c>
      <c r="I54" s="4">
        <f t="shared" si="30"/>
        <v>0</v>
      </c>
      <c r="J54" s="4">
        <f t="shared" si="30"/>
        <v>0</v>
      </c>
      <c r="K54" s="4">
        <f t="shared" si="30"/>
        <v>0</v>
      </c>
      <c r="L54" s="4">
        <f t="shared" si="30"/>
        <v>0</v>
      </c>
      <c r="M54" s="4">
        <f t="shared" si="30"/>
        <v>0</v>
      </c>
    </row>
    <row r="55" spans="1:13" x14ac:dyDescent="0.4">
      <c r="A55" s="212"/>
      <c r="B55" s="212"/>
      <c r="C55" s="212"/>
      <c r="D55" s="272"/>
      <c r="E55" s="272" t="str" cm="1">
        <f t="array" ref="E55:H55">IF(ISNUMBER(_xlfn.ANCHORARRAY(E$37)),"%","")</f>
        <v/>
      </c>
      <c r="F55" s="272" t="str">
        <v/>
      </c>
      <c r="G55" s="272" t="str">
        <v/>
      </c>
      <c r="H55" s="272" t="str">
        <v/>
      </c>
      <c r="I55" s="272"/>
      <c r="J55" s="272"/>
      <c r="K55" s="272"/>
      <c r="L55" s="272"/>
      <c r="M55" s="272"/>
    </row>
    <row r="56" spans="1:13" ht="14.25" x14ac:dyDescent="0.45">
      <c r="A56" s="212">
        <v>44</v>
      </c>
      <c r="B56" s="227" t="s">
        <v>71</v>
      </c>
      <c r="C56" s="227"/>
      <c r="D56" s="269"/>
      <c r="E56" s="271"/>
      <c r="F56" s="271"/>
      <c r="G56" s="271"/>
      <c r="H56" s="271"/>
      <c r="I56" s="271"/>
      <c r="J56" s="271"/>
      <c r="K56" s="271"/>
      <c r="L56" s="271"/>
      <c r="M56" s="271"/>
    </row>
    <row r="57" spans="1:13" x14ac:dyDescent="0.4">
      <c r="A57" s="212"/>
      <c r="B57" s="212"/>
      <c r="C57" s="212"/>
      <c r="D57" s="272"/>
      <c r="E57" s="272" t="s">
        <v>603</v>
      </c>
      <c r="F57" s="272" t="s">
        <v>603</v>
      </c>
      <c r="G57" s="272" t="s">
        <v>603</v>
      </c>
      <c r="H57" s="272" t="s">
        <v>603</v>
      </c>
      <c r="I57" s="272" t="s">
        <v>603</v>
      </c>
      <c r="J57" s="272" t="s">
        <v>603</v>
      </c>
      <c r="K57" s="272" t="s">
        <v>603</v>
      </c>
      <c r="L57" s="272" t="s">
        <v>603</v>
      </c>
      <c r="M57" s="272" t="s">
        <v>603</v>
      </c>
    </row>
    <row r="58" spans="1:13" x14ac:dyDescent="0.4">
      <c r="A58" s="212">
        <v>45</v>
      </c>
      <c r="B58" s="239" t="s">
        <v>759</v>
      </c>
      <c r="C58" s="239" t="s">
        <v>760</v>
      </c>
      <c r="D58" s="271"/>
      <c r="E58" s="271"/>
      <c r="F58" s="271"/>
      <c r="G58" s="271"/>
      <c r="H58" s="271"/>
      <c r="I58" s="271"/>
      <c r="J58" s="271"/>
      <c r="K58" s="271"/>
      <c r="L58" s="271"/>
      <c r="M58" s="271"/>
    </row>
    <row r="59" spans="1:13" x14ac:dyDescent="0.4">
      <c r="A59" s="212">
        <v>46</v>
      </c>
      <c r="B59" s="239" t="s">
        <v>761</v>
      </c>
      <c r="C59" s="239" t="s">
        <v>762</v>
      </c>
      <c r="D59" s="271"/>
      <c r="E59" s="271"/>
      <c r="F59" s="271"/>
      <c r="G59" s="271"/>
      <c r="H59" s="271"/>
      <c r="I59" s="271"/>
      <c r="J59" s="271"/>
      <c r="K59" s="271"/>
      <c r="L59" s="271"/>
      <c r="M59" s="271"/>
    </row>
    <row r="60" spans="1:13" x14ac:dyDescent="0.4">
      <c r="D60" s="271"/>
      <c r="E60" s="271"/>
      <c r="F60" s="271"/>
      <c r="G60" s="271"/>
      <c r="H60" s="271"/>
      <c r="I60" s="271"/>
      <c r="J60" s="271"/>
      <c r="K60" s="271"/>
      <c r="L60" s="271"/>
      <c r="M60" s="271"/>
    </row>
    <row r="61" spans="1:13" x14ac:dyDescent="0.4">
      <c r="D61" s="271"/>
      <c r="E61" s="271"/>
      <c r="F61" s="271"/>
      <c r="G61" s="271"/>
      <c r="H61" s="271"/>
      <c r="I61" s="271"/>
      <c r="J61" s="271"/>
      <c r="K61" s="271"/>
      <c r="L61" s="271"/>
      <c r="M61" s="271"/>
    </row>
    <row r="62" spans="1:13" ht="23.25" x14ac:dyDescent="0.7">
      <c r="A62" s="13" t="s">
        <v>803</v>
      </c>
      <c r="D62" s="271"/>
      <c r="E62" s="271"/>
      <c r="F62" s="271"/>
      <c r="G62" s="271"/>
      <c r="H62" s="271"/>
      <c r="I62" s="271"/>
      <c r="J62" s="271"/>
      <c r="K62" s="271"/>
      <c r="L62" s="271"/>
      <c r="M62" s="271"/>
    </row>
    <row r="63" spans="1:13" x14ac:dyDescent="0.4">
      <c r="A63" s="234"/>
      <c r="B63" s="234" t="s">
        <v>8</v>
      </c>
      <c r="C63" s="234" t="s">
        <v>31</v>
      </c>
      <c r="D63" s="272">
        <f>C2</f>
        <v>2023</v>
      </c>
      <c r="E63" s="272" cm="1">
        <f t="array" ref="E63:H63">_xlfn.SEQUENCE(1, AssessmentEnd-C2+1, C2)</f>
        <v>2023</v>
      </c>
      <c r="F63" s="272">
        <v>2024</v>
      </c>
      <c r="G63" s="272">
        <v>2025</v>
      </c>
      <c r="H63" s="272">
        <v>2026</v>
      </c>
      <c r="I63" s="272"/>
      <c r="J63" s="272"/>
      <c r="K63" s="272"/>
      <c r="L63" s="272"/>
      <c r="M63" s="272"/>
    </row>
    <row r="64" spans="1:13" x14ac:dyDescent="0.4">
      <c r="A64" s="212"/>
      <c r="B64" s="212"/>
      <c r="C64" s="212"/>
      <c r="D64" s="272" t="s">
        <v>6</v>
      </c>
      <c r="E64" s="272" t="str" cm="1">
        <f t="array" ref="E64:H64">IF(ISNUMBER(_xlfn.ANCHORARRAY(E$37)),"growth rate","")</f>
        <v/>
      </c>
      <c r="F64" s="272" t="str">
        <v/>
      </c>
      <c r="G64" s="272" t="str">
        <v/>
      </c>
      <c r="H64" s="272" t="str">
        <v/>
      </c>
      <c r="I64" s="272"/>
      <c r="J64" s="272"/>
      <c r="K64" s="272"/>
      <c r="L64" s="272"/>
      <c r="M64" s="272"/>
    </row>
    <row r="65" spans="1:13" ht="14.25" x14ac:dyDescent="0.45">
      <c r="A65" s="212">
        <v>1</v>
      </c>
      <c r="B65" s="225" t="s">
        <v>7</v>
      </c>
      <c r="C65" s="225" t="s">
        <v>763</v>
      </c>
      <c r="D65" s="270"/>
      <c r="E65" s="271"/>
      <c r="F65" s="271"/>
      <c r="G65" s="271"/>
      <c r="H65" s="271"/>
      <c r="I65" s="271"/>
      <c r="J65" s="271"/>
      <c r="K65" s="271"/>
      <c r="L65" s="271"/>
      <c r="M65" s="271"/>
    </row>
    <row r="66" spans="1:13" ht="14.25" x14ac:dyDescent="0.45">
      <c r="A66" s="212">
        <v>2</v>
      </c>
      <c r="B66" s="225" t="s">
        <v>8</v>
      </c>
      <c r="C66" s="225"/>
      <c r="D66" s="270"/>
      <c r="E66" s="271"/>
      <c r="F66" s="271"/>
      <c r="G66" s="271"/>
      <c r="H66" s="271"/>
      <c r="I66" s="271"/>
      <c r="J66" s="271"/>
      <c r="K66" s="271"/>
      <c r="L66" s="271"/>
      <c r="M66" s="271"/>
    </row>
    <row r="67" spans="1:13" x14ac:dyDescent="0.4">
      <c r="A67" s="212">
        <v>3</v>
      </c>
      <c r="B67" s="225" t="s">
        <v>9</v>
      </c>
      <c r="C67" s="225" t="s">
        <v>763</v>
      </c>
      <c r="D67" s="271"/>
      <c r="E67" s="271"/>
      <c r="F67" s="271"/>
      <c r="G67" s="271"/>
      <c r="H67" s="271"/>
      <c r="I67" s="271"/>
      <c r="J67" s="271"/>
      <c r="K67" s="271"/>
      <c r="L67" s="271"/>
      <c r="M67" s="271"/>
    </row>
    <row r="68" spans="1:13" x14ac:dyDescent="0.4">
      <c r="A68" s="212"/>
      <c r="B68" s="212" t="s">
        <v>764</v>
      </c>
      <c r="C68" s="212"/>
      <c r="D68" s="272" t="s">
        <v>6</v>
      </c>
      <c r="E68" s="272" t="str" cm="1">
        <f t="array" ref="E68:H68">IF(ISNUMBER(_xlfn.ANCHORARRAY(E$37)),"growth rate","")</f>
        <v/>
      </c>
      <c r="F68" s="272" t="str">
        <v/>
      </c>
      <c r="G68" s="272" t="str">
        <v/>
      </c>
      <c r="H68" s="272" t="str">
        <v/>
      </c>
      <c r="I68" s="272"/>
      <c r="J68" s="272"/>
      <c r="K68" s="272"/>
      <c r="L68" s="272"/>
      <c r="M68" s="272"/>
    </row>
    <row r="69" spans="1:13" ht="14.25" x14ac:dyDescent="0.45">
      <c r="A69" s="212">
        <v>4</v>
      </c>
      <c r="B69" s="225" t="s">
        <v>765</v>
      </c>
      <c r="C69" s="225" t="s">
        <v>766</v>
      </c>
      <c r="D69" s="270"/>
      <c r="E69" s="271"/>
      <c r="F69" s="271"/>
      <c r="G69" s="271"/>
      <c r="H69" s="271"/>
      <c r="I69" s="271"/>
      <c r="J69" s="271"/>
      <c r="K69" s="271"/>
      <c r="L69" s="271"/>
      <c r="M69" s="271"/>
    </row>
    <row r="70" spans="1:13" ht="14.25" x14ac:dyDescent="0.45">
      <c r="A70" s="212">
        <v>5</v>
      </c>
      <c r="B70" s="225" t="s">
        <v>767</v>
      </c>
      <c r="C70" s="225" t="s">
        <v>766</v>
      </c>
      <c r="D70" s="270"/>
      <c r="E70" s="271"/>
      <c r="F70" s="271"/>
      <c r="G70" s="271"/>
      <c r="H70" s="271"/>
      <c r="I70" s="271"/>
      <c r="J70" s="271"/>
      <c r="K70" s="271"/>
      <c r="L70" s="271"/>
      <c r="M70" s="271"/>
    </row>
    <row r="71" spans="1:13" ht="14.25" x14ac:dyDescent="0.45">
      <c r="A71" s="212">
        <v>6</v>
      </c>
      <c r="B71" s="225" t="s">
        <v>10</v>
      </c>
      <c r="C71" s="225" t="s">
        <v>4</v>
      </c>
      <c r="D71" s="270"/>
      <c r="E71" s="271"/>
      <c r="F71" s="271"/>
      <c r="G71" s="271"/>
      <c r="H71" s="271"/>
      <c r="I71" s="271"/>
      <c r="J71" s="271"/>
      <c r="K71" s="271"/>
      <c r="L71" s="271"/>
      <c r="M71" s="271"/>
    </row>
    <row r="72" spans="1:13" ht="14.25" x14ac:dyDescent="0.45">
      <c r="A72" s="212">
        <v>7</v>
      </c>
      <c r="B72" s="225" t="s">
        <v>768</v>
      </c>
      <c r="C72" s="225" t="s">
        <v>769</v>
      </c>
      <c r="D72" s="270"/>
      <c r="E72" s="276"/>
      <c r="F72" s="276"/>
      <c r="G72" s="276"/>
      <c r="H72" s="277"/>
      <c r="I72" s="277"/>
      <c r="J72" s="277"/>
      <c r="K72" s="277"/>
      <c r="L72" s="277"/>
      <c r="M72" s="277"/>
    </row>
    <row r="73" spans="1:13" ht="14.25" x14ac:dyDescent="0.45">
      <c r="A73" s="212">
        <v>8</v>
      </c>
      <c r="B73" s="225" t="s">
        <v>770</v>
      </c>
      <c r="C73" s="225" t="s">
        <v>771</v>
      </c>
      <c r="D73" s="270"/>
      <c r="E73" s="271"/>
      <c r="F73" s="271"/>
      <c r="G73" s="271"/>
      <c r="H73" s="271"/>
      <c r="I73" s="271"/>
      <c r="J73" s="271"/>
      <c r="K73" s="271"/>
      <c r="L73" s="271"/>
      <c r="M73" s="271"/>
    </row>
    <row r="74" spans="1:13" ht="14.25" x14ac:dyDescent="0.45">
      <c r="A74" s="212">
        <v>9</v>
      </c>
      <c r="B74" s="225" t="s">
        <v>772</v>
      </c>
      <c r="C74" s="225" t="s">
        <v>773</v>
      </c>
      <c r="D74" s="270"/>
      <c r="E74" s="271"/>
      <c r="F74" s="271"/>
      <c r="G74" s="271"/>
      <c r="H74" s="271"/>
      <c r="I74" s="271"/>
      <c r="J74" s="271"/>
      <c r="K74" s="271"/>
      <c r="L74" s="271"/>
      <c r="M74" s="271"/>
    </row>
    <row r="75" spans="1:13" x14ac:dyDescent="0.4">
      <c r="A75" s="212"/>
      <c r="B75" s="225" t="s">
        <v>774</v>
      </c>
      <c r="C75" s="225"/>
      <c r="D75" s="273"/>
      <c r="E75" s="273"/>
      <c r="F75" s="273"/>
      <c r="G75" s="273"/>
      <c r="H75" s="274"/>
      <c r="I75" s="274"/>
      <c r="J75" s="274"/>
      <c r="K75" s="274"/>
      <c r="L75" s="274"/>
      <c r="M75" s="274"/>
    </row>
    <row r="76" spans="1:13" ht="14.25" x14ac:dyDescent="0.45">
      <c r="A76" s="212">
        <v>10</v>
      </c>
      <c r="B76" s="243" t="s">
        <v>775</v>
      </c>
      <c r="C76" s="225"/>
      <c r="D76" s="270"/>
      <c r="E76" s="271"/>
      <c r="F76" s="271"/>
      <c r="G76" s="271"/>
      <c r="H76" s="271"/>
      <c r="I76" s="271"/>
      <c r="J76" s="271"/>
      <c r="K76" s="271"/>
      <c r="L76" s="271"/>
      <c r="M76" s="271"/>
    </row>
    <row r="77" spans="1:13" ht="14.25" x14ac:dyDescent="0.45">
      <c r="A77" s="212">
        <v>11</v>
      </c>
      <c r="B77" s="243" t="s">
        <v>776</v>
      </c>
      <c r="C77" s="225" t="s">
        <v>769</v>
      </c>
      <c r="D77" s="270"/>
      <c r="E77" s="271"/>
      <c r="F77" s="271"/>
      <c r="G77" s="271"/>
      <c r="H77" s="271"/>
      <c r="I77" s="271"/>
      <c r="J77" s="271"/>
      <c r="K77" s="271"/>
      <c r="L77" s="271"/>
      <c r="M77" s="271"/>
    </row>
    <row r="78" spans="1:13" ht="14.25" x14ac:dyDescent="0.45">
      <c r="A78" s="212">
        <v>12</v>
      </c>
      <c r="B78" s="243" t="s">
        <v>777</v>
      </c>
      <c r="C78" s="225" t="s">
        <v>778</v>
      </c>
      <c r="D78" s="270"/>
      <c r="E78" s="271"/>
      <c r="F78" s="271"/>
      <c r="G78" s="271"/>
      <c r="H78" s="271"/>
      <c r="I78" s="271"/>
      <c r="J78" s="271"/>
      <c r="K78" s="271"/>
      <c r="L78" s="271"/>
      <c r="M78" s="271"/>
    </row>
    <row r="79" spans="1:13" x14ac:dyDescent="0.4">
      <c r="A79" s="212"/>
      <c r="B79" s="212" t="s">
        <v>779</v>
      </c>
      <c r="C79" s="212"/>
      <c r="D79" s="272"/>
      <c r="E79" s="272" t="str" cm="1">
        <f t="array" ref="E79:H79">IF(ISNUMBER(_xlfn.ANCHORARRAY(E$37)),"growth rate","")</f>
        <v/>
      </c>
      <c r="F79" s="272" t="str">
        <v/>
      </c>
      <c r="G79" s="272" t="str">
        <v/>
      </c>
      <c r="H79" s="272" t="str">
        <v/>
      </c>
      <c r="I79" s="272"/>
      <c r="J79" s="272"/>
      <c r="K79" s="272"/>
      <c r="L79" s="272"/>
      <c r="M79" s="272"/>
    </row>
    <row r="80" spans="1:13" ht="14.25" x14ac:dyDescent="0.45">
      <c r="A80" s="212">
        <v>13</v>
      </c>
      <c r="B80" s="225" t="s">
        <v>780</v>
      </c>
      <c r="C80" s="225"/>
      <c r="D80" s="270"/>
      <c r="E80" s="271"/>
      <c r="F80" s="271"/>
      <c r="G80" s="271"/>
      <c r="H80" s="271"/>
      <c r="I80" s="271"/>
      <c r="J80" s="271"/>
      <c r="K80" s="271"/>
      <c r="L80" s="271"/>
      <c r="M80" s="271"/>
    </row>
    <row r="81" spans="1:13" ht="14.25" x14ac:dyDescent="0.45">
      <c r="A81" s="212">
        <v>14</v>
      </c>
      <c r="B81" s="240" t="s">
        <v>781</v>
      </c>
      <c r="C81" s="225"/>
      <c r="D81" s="270"/>
      <c r="E81" s="271"/>
      <c r="F81" s="271"/>
      <c r="G81" s="271"/>
      <c r="H81" s="271"/>
      <c r="I81" s="271"/>
      <c r="J81" s="271"/>
      <c r="K81" s="271"/>
      <c r="L81" s="271"/>
      <c r="M81" s="271"/>
    </row>
    <row r="82" spans="1:13" ht="14.25" x14ac:dyDescent="0.45">
      <c r="A82" s="212">
        <v>15</v>
      </c>
      <c r="B82" s="225" t="s">
        <v>782</v>
      </c>
      <c r="C82" s="225"/>
      <c r="D82" s="270"/>
      <c r="E82" s="271"/>
      <c r="F82" s="271"/>
      <c r="G82" s="271"/>
      <c r="H82" s="271"/>
      <c r="I82" s="271"/>
      <c r="J82" s="271"/>
      <c r="K82" s="271"/>
      <c r="L82" s="271"/>
      <c r="M82" s="271"/>
    </row>
    <row r="83" spans="1:13" ht="14.25" x14ac:dyDescent="0.45">
      <c r="A83" s="212">
        <v>16</v>
      </c>
      <c r="B83" s="225" t="s">
        <v>783</v>
      </c>
      <c r="C83" s="225"/>
      <c r="D83" s="270"/>
      <c r="E83" s="271"/>
      <c r="F83" s="271"/>
      <c r="G83" s="271"/>
      <c r="H83" s="271"/>
      <c r="I83" s="271"/>
      <c r="J83" s="271"/>
      <c r="K83" s="271"/>
      <c r="L83" s="271"/>
      <c r="M83" s="271"/>
    </row>
    <row r="84" spans="1:13" ht="14.25" x14ac:dyDescent="0.45">
      <c r="A84" s="212">
        <v>17</v>
      </c>
      <c r="B84" s="225" t="s">
        <v>784</v>
      </c>
      <c r="C84" s="225"/>
      <c r="D84" s="270"/>
      <c r="E84" s="271"/>
      <c r="F84" s="271"/>
      <c r="G84" s="271"/>
      <c r="H84" s="271"/>
      <c r="I84" s="271"/>
      <c r="J84" s="271"/>
      <c r="K84" s="271"/>
      <c r="L84" s="271"/>
      <c r="M84" s="271"/>
    </row>
    <row r="85" spans="1:13" ht="14.25" x14ac:dyDescent="0.45">
      <c r="A85" s="212">
        <v>18</v>
      </c>
      <c r="B85" s="225" t="s">
        <v>785</v>
      </c>
      <c r="C85" s="225"/>
      <c r="D85" s="270"/>
      <c r="E85" s="271"/>
      <c r="F85" s="271"/>
      <c r="G85" s="271"/>
      <c r="H85" s="271"/>
      <c r="I85" s="271"/>
      <c r="J85" s="271"/>
      <c r="K85" s="271"/>
      <c r="L85" s="271"/>
      <c r="M85" s="271"/>
    </row>
    <row r="86" spans="1:13" x14ac:dyDescent="0.4">
      <c r="A86" s="212"/>
      <c r="B86" s="212" t="s">
        <v>786</v>
      </c>
      <c r="C86" s="212" t="s">
        <v>26</v>
      </c>
      <c r="D86" s="272" t="s">
        <v>787</v>
      </c>
      <c r="E86" s="272" t="str" cm="1">
        <f t="array" ref="E86:H86">IF(ISNUMBER(_xlfn.ANCHORARRAY(E$37)),"growth rate","")</f>
        <v/>
      </c>
      <c r="F86" s="272" t="str">
        <v/>
      </c>
      <c r="G86" s="272" t="str">
        <v/>
      </c>
      <c r="H86" s="272" t="str">
        <v/>
      </c>
      <c r="I86" s="272"/>
      <c r="J86" s="272"/>
      <c r="K86" s="272"/>
      <c r="L86" s="272"/>
      <c r="M86" s="272"/>
    </row>
    <row r="87" spans="1:13" x14ac:dyDescent="0.4">
      <c r="A87" s="212">
        <v>19</v>
      </c>
      <c r="B87" s="225" t="s">
        <v>788</v>
      </c>
      <c r="C87" s="225"/>
      <c r="D87" s="279"/>
      <c r="E87" s="271"/>
      <c r="F87" s="271"/>
      <c r="G87" s="271"/>
      <c r="H87" s="271"/>
      <c r="I87" s="271"/>
      <c r="J87" s="271"/>
      <c r="K87" s="271"/>
      <c r="L87" s="271"/>
      <c r="M87" s="271"/>
    </row>
    <row r="88" spans="1:13" x14ac:dyDescent="0.4">
      <c r="A88" s="212">
        <v>20</v>
      </c>
      <c r="B88" s="225" t="s">
        <v>789</v>
      </c>
      <c r="C88" s="225"/>
      <c r="D88" s="279"/>
      <c r="E88" s="271"/>
      <c r="F88" s="271"/>
      <c r="G88" s="271"/>
      <c r="H88" s="271"/>
      <c r="I88" s="271"/>
      <c r="J88" s="271"/>
      <c r="K88" s="271"/>
      <c r="L88" s="271"/>
      <c r="M88" s="271"/>
    </row>
    <row r="89" spans="1:13" ht="14.25" x14ac:dyDescent="0.45">
      <c r="A89" s="212">
        <v>21</v>
      </c>
      <c r="B89" s="225" t="s">
        <v>790</v>
      </c>
      <c r="C89" s="225"/>
      <c r="D89" s="270"/>
      <c r="E89" s="271"/>
      <c r="F89" s="271"/>
      <c r="G89" s="271"/>
      <c r="H89" s="271"/>
      <c r="I89" s="271"/>
      <c r="J89" s="271"/>
      <c r="K89" s="271"/>
      <c r="L89" s="271"/>
      <c r="M89" s="271"/>
    </row>
    <row r="90" spans="1:13" ht="14.25" x14ac:dyDescent="0.45">
      <c r="A90" s="212">
        <v>22</v>
      </c>
      <c r="B90" s="225" t="s">
        <v>791</v>
      </c>
      <c r="C90" s="225"/>
      <c r="D90" s="270"/>
      <c r="E90" s="271"/>
      <c r="F90" s="271"/>
      <c r="G90" s="271"/>
      <c r="H90" s="271"/>
      <c r="I90" s="271"/>
      <c r="J90" s="271"/>
      <c r="K90" s="271"/>
      <c r="L90" s="271"/>
      <c r="M90" s="271"/>
    </row>
    <row r="91" spans="1:13" x14ac:dyDescent="0.4">
      <c r="A91" s="212">
        <v>23</v>
      </c>
      <c r="B91" s="225" t="s">
        <v>792</v>
      </c>
      <c r="C91" s="225" t="s">
        <v>5</v>
      </c>
      <c r="D91" s="271"/>
      <c r="E91" s="271"/>
      <c r="F91" s="271"/>
      <c r="G91" s="271"/>
      <c r="H91" s="271"/>
      <c r="I91" s="271"/>
      <c r="J91" s="271"/>
      <c r="K91" s="271"/>
      <c r="L91" s="271"/>
      <c r="M91" s="271"/>
    </row>
    <row r="92" spans="1:13" x14ac:dyDescent="0.4">
      <c r="A92" s="212">
        <v>24</v>
      </c>
      <c r="B92" s="225" t="s">
        <v>793</v>
      </c>
      <c r="C92" s="225"/>
      <c r="D92" s="271"/>
      <c r="E92" s="271"/>
      <c r="F92" s="271"/>
      <c r="G92" s="271"/>
      <c r="H92" s="271"/>
      <c r="I92" s="271"/>
      <c r="J92" s="271"/>
      <c r="K92" s="271"/>
      <c r="L92" s="271"/>
      <c r="M92" s="271"/>
    </row>
    <row r="93" spans="1:13" x14ac:dyDescent="0.4">
      <c r="A93" s="212"/>
      <c r="B93" s="212"/>
      <c r="C93" s="212"/>
      <c r="D93" s="272"/>
      <c r="E93" s="272" t="str" cm="1">
        <f t="array" ref="E93:H93">IF(ISNUMBER(_xlfn.ANCHORARRAY(E$37)),"%","")</f>
        <v/>
      </c>
      <c r="F93" s="272" t="str">
        <v/>
      </c>
      <c r="G93" s="272" t="str">
        <v/>
      </c>
      <c r="H93" s="272" t="str">
        <v/>
      </c>
      <c r="I93" s="272"/>
      <c r="J93" s="272"/>
      <c r="K93" s="272"/>
      <c r="L93" s="272"/>
      <c r="M93" s="272"/>
    </row>
    <row r="94" spans="1:13" ht="14.25" x14ac:dyDescent="0.45">
      <c r="A94" s="212">
        <v>25</v>
      </c>
      <c r="B94" s="225" t="s">
        <v>794</v>
      </c>
      <c r="C94" s="225"/>
      <c r="D94" s="270"/>
      <c r="E94" s="271"/>
      <c r="F94" s="271"/>
      <c r="G94" s="271"/>
      <c r="H94" s="271"/>
      <c r="I94" s="271"/>
      <c r="J94" s="271"/>
      <c r="K94" s="271"/>
      <c r="L94" s="271"/>
      <c r="M94" s="271"/>
    </row>
    <row r="95" spans="1:13" x14ac:dyDescent="0.4">
      <c r="A95" s="212"/>
      <c r="B95" s="212" t="s">
        <v>795</v>
      </c>
      <c r="C95" s="212"/>
      <c r="D95" s="272"/>
      <c r="E95" s="272" t="str" cm="1">
        <f t="array" ref="E95:H95">IF(ISNUMBER(_xlfn.ANCHORARRAY(E$37)),"growth rate","")</f>
        <v/>
      </c>
      <c r="F95" s="272" t="str">
        <v/>
      </c>
      <c r="G95" s="272" t="str">
        <v/>
      </c>
      <c r="H95" s="272" t="str">
        <v/>
      </c>
      <c r="I95" s="272"/>
      <c r="J95" s="272"/>
      <c r="K95" s="272"/>
      <c r="L95" s="272"/>
      <c r="M95" s="272"/>
    </row>
    <row r="96" spans="1:13" ht="14.25" x14ac:dyDescent="0.45">
      <c r="A96" s="212">
        <v>26</v>
      </c>
      <c r="B96" s="225" t="s">
        <v>796</v>
      </c>
      <c r="C96" s="225"/>
      <c r="D96" s="270"/>
      <c r="E96" s="271"/>
      <c r="F96" s="271"/>
      <c r="G96" s="271"/>
      <c r="H96" s="271"/>
      <c r="I96" s="271"/>
      <c r="J96" s="271"/>
      <c r="K96" s="271"/>
      <c r="L96" s="271"/>
      <c r="M96" s="271"/>
    </row>
    <row r="97" spans="1:13" x14ac:dyDescent="0.4">
      <c r="A97" s="212"/>
      <c r="B97" s="225" t="s">
        <v>797</v>
      </c>
      <c r="C97" s="225"/>
      <c r="D97" s="273"/>
      <c r="E97" s="273"/>
      <c r="F97" s="273"/>
      <c r="G97" s="273"/>
      <c r="H97" s="274"/>
      <c r="I97" s="274"/>
      <c r="J97" s="274"/>
      <c r="K97" s="274"/>
      <c r="L97" s="274"/>
      <c r="M97" s="274"/>
    </row>
    <row r="98" spans="1:13" ht="14.25" x14ac:dyDescent="0.45">
      <c r="A98" s="212">
        <v>27</v>
      </c>
      <c r="B98" s="240" t="s">
        <v>798</v>
      </c>
      <c r="C98" s="225"/>
      <c r="D98" s="270"/>
      <c r="E98" s="271"/>
      <c r="F98" s="271"/>
      <c r="G98" s="271"/>
      <c r="H98" s="271"/>
      <c r="I98" s="271"/>
      <c r="J98" s="271"/>
      <c r="K98" s="271"/>
      <c r="L98" s="271"/>
      <c r="M98" s="271"/>
    </row>
    <row r="99" spans="1:13" ht="14.25" x14ac:dyDescent="0.45">
      <c r="A99" s="212">
        <v>28</v>
      </c>
      <c r="B99" s="240" t="s">
        <v>799</v>
      </c>
      <c r="C99" s="225"/>
      <c r="D99" s="270"/>
      <c r="E99" s="271"/>
      <c r="F99" s="271"/>
      <c r="G99" s="271"/>
      <c r="H99" s="271"/>
      <c r="I99" s="271"/>
      <c r="J99" s="271"/>
      <c r="K99" s="271"/>
      <c r="L99" s="271"/>
      <c r="M99" s="271"/>
    </row>
    <row r="100" spans="1:13" ht="14.25" x14ac:dyDescent="0.45">
      <c r="A100" s="212">
        <v>29</v>
      </c>
      <c r="B100" s="240" t="s">
        <v>800</v>
      </c>
      <c r="C100" s="225"/>
      <c r="D100" s="270"/>
      <c r="E100" s="271"/>
      <c r="F100" s="271"/>
      <c r="G100" s="271"/>
      <c r="H100" s="271"/>
      <c r="I100" s="271"/>
      <c r="J100" s="271"/>
      <c r="K100" s="271"/>
      <c r="L100" s="271"/>
      <c r="M100" s="271"/>
    </row>
    <row r="101" spans="1:13" x14ac:dyDescent="0.4">
      <c r="A101" s="212"/>
      <c r="B101" s="212"/>
      <c r="C101" s="212"/>
      <c r="D101" s="272"/>
      <c r="E101" s="272" t="str" cm="1">
        <f t="array" ref="E101:H101">IF(ISNUMBER(_xlfn.ANCHORARRAY(E$37)),"% pot. GDP","")</f>
        <v/>
      </c>
      <c r="F101" s="272" t="str">
        <v/>
      </c>
      <c r="G101" s="272" t="str">
        <v/>
      </c>
      <c r="H101" s="272" t="str">
        <v/>
      </c>
      <c r="I101" s="272"/>
      <c r="J101" s="272"/>
      <c r="K101" s="272"/>
      <c r="L101" s="272"/>
      <c r="M101" s="272"/>
    </row>
    <row r="102" spans="1:13" ht="14.25" x14ac:dyDescent="0.45">
      <c r="A102" s="212">
        <v>30</v>
      </c>
      <c r="B102" s="225" t="s">
        <v>89</v>
      </c>
      <c r="C102" s="225"/>
      <c r="D102" s="270"/>
      <c r="E102" s="271"/>
      <c r="F102" s="271"/>
      <c r="G102" s="271"/>
      <c r="H102" s="271"/>
      <c r="I102" s="271"/>
      <c r="J102" s="271"/>
      <c r="K102" s="271"/>
      <c r="L102" s="271"/>
      <c r="M102" s="271"/>
    </row>
  </sheetData>
  <conditionalFormatting sqref="D7:M12">
    <cfRule type="expression" dxfId="102" priority="95">
      <formula>ISNUMBER(D$5)</formula>
    </cfRule>
  </conditionalFormatting>
  <conditionalFormatting sqref="D14:M14">
    <cfRule type="expression" dxfId="101" priority="69">
      <formula>ISNUMBER(D$5)</formula>
    </cfRule>
  </conditionalFormatting>
  <conditionalFormatting sqref="D16:M17">
    <cfRule type="expression" dxfId="100" priority="68">
      <formula>ISNUMBER(D$5)</formula>
    </cfRule>
  </conditionalFormatting>
  <conditionalFormatting sqref="D19:M29">
    <cfRule type="expression" dxfId="99" priority="67">
      <formula>ISNUMBER(D$5)</formula>
    </cfRule>
  </conditionalFormatting>
  <conditionalFormatting sqref="D31:M31">
    <cfRule type="expression" dxfId="98" priority="66">
      <formula>ISNUMBER(D$5)</formula>
    </cfRule>
  </conditionalFormatting>
  <conditionalFormatting sqref="D34:M35">
    <cfRule type="expression" dxfId="97" priority="65">
      <formula>ISNUMBER(D$5)</formula>
    </cfRule>
  </conditionalFormatting>
  <conditionalFormatting sqref="E38:M38">
    <cfRule type="expression" dxfId="96" priority="64">
      <formula>ISNUMBER(E$5)</formula>
    </cfRule>
  </conditionalFormatting>
  <conditionalFormatting sqref="E43:M44">
    <cfRule type="expression" dxfId="95" priority="63">
      <formula>ISNUMBER(E$5)</formula>
    </cfRule>
  </conditionalFormatting>
  <conditionalFormatting sqref="D46:M47">
    <cfRule type="expression" dxfId="94" priority="62">
      <formula>ISNUMBER(D$5)</formula>
    </cfRule>
  </conditionalFormatting>
  <conditionalFormatting sqref="E50:M50">
    <cfRule type="expression" dxfId="93" priority="61">
      <formula>ISNUMBER(E$5)</formula>
    </cfRule>
  </conditionalFormatting>
  <conditionalFormatting sqref="E52:M53">
    <cfRule type="expression" dxfId="92" priority="60">
      <formula>ISNUMBER(E$5)</formula>
    </cfRule>
  </conditionalFormatting>
  <conditionalFormatting sqref="E56:M56">
    <cfRule type="expression" dxfId="91" priority="59">
      <formula>ISNUMBER(E$5)</formula>
    </cfRule>
  </conditionalFormatting>
  <conditionalFormatting sqref="D58:M59 J60:M62">
    <cfRule type="expression" dxfId="90" priority="58">
      <formula>ISNUMBER(D$5)</formula>
    </cfRule>
  </conditionalFormatting>
  <conditionalFormatting sqref="E65:M67">
    <cfRule type="expression" dxfId="89" priority="57">
      <formula>ISNUMBER(E$5)</formula>
    </cfRule>
  </conditionalFormatting>
  <conditionalFormatting sqref="D67">
    <cfRule type="expression" dxfId="88" priority="56">
      <formula>ISNUMBER(D$5)</formula>
    </cfRule>
  </conditionalFormatting>
  <conditionalFormatting sqref="E69:M71">
    <cfRule type="expression" dxfId="87" priority="55">
      <formula>ISNUMBER(E$5)</formula>
    </cfRule>
  </conditionalFormatting>
  <conditionalFormatting sqref="E73:M74">
    <cfRule type="expression" dxfId="86" priority="54">
      <formula>ISNUMBER(E$5)</formula>
    </cfRule>
  </conditionalFormatting>
  <conditionalFormatting sqref="E76:M78">
    <cfRule type="expression" dxfId="85" priority="53">
      <formula>ISNUMBER(E$5)</formula>
    </cfRule>
  </conditionalFormatting>
  <conditionalFormatting sqref="E80:M85">
    <cfRule type="expression" dxfId="84" priority="52">
      <formula>ISNUMBER(E$5)</formula>
    </cfRule>
  </conditionalFormatting>
  <conditionalFormatting sqref="D87:M88">
    <cfRule type="expression" dxfId="83" priority="51">
      <formula>ISNUMBER(D$5)</formula>
    </cfRule>
  </conditionalFormatting>
  <conditionalFormatting sqref="E89:M90">
    <cfRule type="expression" dxfId="82" priority="50">
      <formula>ISNUMBER(E$5)</formula>
    </cfRule>
  </conditionalFormatting>
  <conditionalFormatting sqref="D91:M92">
    <cfRule type="expression" dxfId="81" priority="49">
      <formula>ISNUMBER(D$5)</formula>
    </cfRule>
  </conditionalFormatting>
  <conditionalFormatting sqref="E94:M94">
    <cfRule type="expression" dxfId="80" priority="48">
      <formula>ISNUMBER(E$5)</formula>
    </cfRule>
  </conditionalFormatting>
  <conditionalFormatting sqref="E96:M96">
    <cfRule type="expression" dxfId="79" priority="47">
      <formula>ISNUMBER(E$5)</formula>
    </cfRule>
  </conditionalFormatting>
  <conditionalFormatting sqref="E98:M100">
    <cfRule type="expression" dxfId="78" priority="46">
      <formula>ISNUMBER(E$5)</formula>
    </cfRule>
  </conditionalFormatting>
  <conditionalFormatting sqref="E102:M102">
    <cfRule type="expression" dxfId="77" priority="45">
      <formula>ISNUMBER(E$5)</formula>
    </cfRule>
  </conditionalFormatting>
  <conditionalFormatting sqref="D5:J6 K6:M6">
    <cfRule type="expression" dxfId="76" priority="44">
      <formula>ISNUMBER(D$5)</formula>
    </cfRule>
  </conditionalFormatting>
  <conditionalFormatting sqref="D18:M18">
    <cfRule type="expression" dxfId="75" priority="43">
      <formula>ISNUMBER(D$5)</formula>
    </cfRule>
  </conditionalFormatting>
  <conditionalFormatting sqref="D37:M37">
    <cfRule type="expression" dxfId="74" priority="42">
      <formula>ISNUMBER(D$5)</formula>
    </cfRule>
  </conditionalFormatting>
  <conditionalFormatting sqref="D39:M39">
    <cfRule type="expression" dxfId="73" priority="40">
      <formula>ISNUMBER(D$5)</formula>
    </cfRule>
  </conditionalFormatting>
  <conditionalFormatting sqref="D42:M42">
    <cfRule type="expression" dxfId="72" priority="39">
      <formula>ISNUMBER(D$5)</formula>
    </cfRule>
  </conditionalFormatting>
  <conditionalFormatting sqref="D45:M45">
    <cfRule type="expression" dxfId="71" priority="38">
      <formula>ISNUMBER(D$5)</formula>
    </cfRule>
  </conditionalFormatting>
  <conditionalFormatting sqref="D55:M55">
    <cfRule type="expression" dxfId="70" priority="37">
      <formula>ISNUMBER(D$5)</formula>
    </cfRule>
  </conditionalFormatting>
  <conditionalFormatting sqref="D57:M57">
    <cfRule type="expression" dxfId="69" priority="36">
      <formula>ISNUMBER(D$5)</formula>
    </cfRule>
  </conditionalFormatting>
  <conditionalFormatting sqref="D63:J64">
    <cfRule type="expression" dxfId="68" priority="35">
      <formula>ISNUMBER(D$5)</formula>
    </cfRule>
  </conditionalFormatting>
  <conditionalFormatting sqref="D68:M68">
    <cfRule type="expression" dxfId="67" priority="34">
      <formula>ISNUMBER(D$5)</formula>
    </cfRule>
  </conditionalFormatting>
  <conditionalFormatting sqref="D79:M79">
    <cfRule type="expression" dxfId="66" priority="33">
      <formula>ISNUMBER(D$5)</formula>
    </cfRule>
  </conditionalFormatting>
  <conditionalFormatting sqref="D86:M86">
    <cfRule type="expression" dxfId="65" priority="32">
      <formula>ISNUMBER(D$5)</formula>
    </cfRule>
  </conditionalFormatting>
  <conditionalFormatting sqref="D93:M93">
    <cfRule type="expression" dxfId="64" priority="31">
      <formula>ISNUMBER(D$5)</formula>
    </cfRule>
  </conditionalFormatting>
  <conditionalFormatting sqref="D95:M95">
    <cfRule type="expression" dxfId="63" priority="30">
      <formula>ISNUMBER(D$5)</formula>
    </cfRule>
  </conditionalFormatting>
  <conditionalFormatting sqref="D101:M101">
    <cfRule type="expression" dxfId="62" priority="29">
      <formula>ISNUMBER(D$5)</formula>
    </cfRule>
  </conditionalFormatting>
  <conditionalFormatting sqref="D97:M97">
    <cfRule type="expression" dxfId="61" priority="28">
      <formula>ISNUMBER(D$5)</formula>
    </cfRule>
  </conditionalFormatting>
  <conditionalFormatting sqref="D75:M75">
    <cfRule type="expression" dxfId="60" priority="27">
      <formula>ISNUMBER(D$5)</formula>
    </cfRule>
  </conditionalFormatting>
  <conditionalFormatting sqref="D48:M48">
    <cfRule type="expression" dxfId="59" priority="26">
      <formula>ISNUMBER(D$5)</formula>
    </cfRule>
  </conditionalFormatting>
  <conditionalFormatting sqref="D13:M13">
    <cfRule type="expression" dxfId="58" priority="15">
      <formula>NOT(ISNUMBER(D$5))</formula>
    </cfRule>
    <cfRule type="expression" dxfId="57" priority="21">
      <formula>ISNUMBER(D$5)</formula>
    </cfRule>
  </conditionalFormatting>
  <conditionalFormatting sqref="K5:M5">
    <cfRule type="expression" dxfId="56" priority="20">
      <formula>ISNUMBER(K$5)</formula>
    </cfRule>
  </conditionalFormatting>
  <conditionalFormatting sqref="K63:M64">
    <cfRule type="expression" dxfId="55" priority="19">
      <formula>ISNUMBER(K$5)</formula>
    </cfRule>
  </conditionalFormatting>
  <conditionalFormatting sqref="D72:M72">
    <cfRule type="expression" dxfId="54" priority="17">
      <formula>ISNUMBER(D$5)</formula>
    </cfRule>
  </conditionalFormatting>
  <conditionalFormatting sqref="D15:M15">
    <cfRule type="expression" dxfId="53" priority="13">
      <formula>NOT(ISNUMBER(D$5))</formula>
    </cfRule>
    <cfRule type="expression" dxfId="52" priority="14">
      <formula>ISNUMBER(D$5)</formula>
    </cfRule>
  </conditionalFormatting>
  <conditionalFormatting sqref="D30:M30">
    <cfRule type="expression" dxfId="51" priority="11">
      <formula>NOT(ISNUMBER(D$5))</formula>
    </cfRule>
    <cfRule type="expression" dxfId="50" priority="12">
      <formula>ISNUMBER(D$5)</formula>
    </cfRule>
  </conditionalFormatting>
  <conditionalFormatting sqref="D32:M32">
    <cfRule type="expression" dxfId="49" priority="9">
      <formula>NOT(ISNUMBER(D$5))</formula>
    </cfRule>
    <cfRule type="expression" dxfId="48" priority="10">
      <formula>ISNUMBER(D$5)</formula>
    </cfRule>
  </conditionalFormatting>
  <conditionalFormatting sqref="D36:M36">
    <cfRule type="expression" dxfId="47" priority="7">
      <formula>NOT(ISNUMBER(D$5))</formula>
    </cfRule>
    <cfRule type="expression" dxfId="46" priority="8">
      <formula>ISNUMBER(D$5)</formula>
    </cfRule>
  </conditionalFormatting>
  <conditionalFormatting sqref="D33:M33">
    <cfRule type="expression" dxfId="45" priority="5">
      <formula>NOT(ISNUMBER(D$5))</formula>
    </cfRule>
  </conditionalFormatting>
  <conditionalFormatting sqref="D40:M41">
    <cfRule type="expression" dxfId="44" priority="4">
      <formula>NOT(ISNUMBER(D$5))</formula>
    </cfRule>
  </conditionalFormatting>
  <conditionalFormatting sqref="D49:M49">
    <cfRule type="expression" dxfId="43" priority="3">
      <formula>NOT(ISNUMBER(D$5))</formula>
    </cfRule>
  </conditionalFormatting>
  <conditionalFormatting sqref="D51:M51">
    <cfRule type="expression" dxfId="42" priority="2">
      <formula>NOT(ISNUMBER(D$5))</formula>
    </cfRule>
  </conditionalFormatting>
  <conditionalFormatting sqref="D54:M54">
    <cfRule type="expression" dxfId="41" priority="1">
      <formula>NOT(ISNUMBER(D$5))</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60"/>
  <sheetViews>
    <sheetView showGridLines="0" zoomScaleNormal="100" workbookViewId="0"/>
  </sheetViews>
  <sheetFormatPr defaultColWidth="9" defaultRowHeight="13.15" x14ac:dyDescent="0.4"/>
  <cols>
    <col min="1" max="1" width="5.7109375" customWidth="1"/>
    <col min="2" max="2" width="70.5703125" style="14" customWidth="1"/>
    <col min="3" max="3" width="30.28515625" style="14" customWidth="1"/>
    <col min="4" max="4" width="9" style="14" customWidth="1"/>
    <col min="5" max="5" width="9.5703125" style="14" bestFit="1" customWidth="1"/>
    <col min="6" max="16384" width="9" style="14"/>
  </cols>
  <sheetData>
    <row r="1" spans="2:23" customFormat="1" ht="28.5" customHeight="1" x14ac:dyDescent="0.4">
      <c r="B1" s="98" t="s">
        <v>831</v>
      </c>
    </row>
    <row r="2" spans="2:23" customFormat="1" ht="23.25" x14ac:dyDescent="0.7">
      <c r="B2" s="13" t="str">
        <f>"Latest outturn data to "&amp;OutturnThrough&amp;IF(OutturnThrough=AssessmentEnd,""," and "&amp;ScenarioName)</f>
        <v>Latest outturn data to 2025 and Annual Progress Report 2026</v>
      </c>
    </row>
    <row r="3" spans="2:23" customFormat="1" ht="15.75" x14ac:dyDescent="0.5">
      <c r="B3" s="79"/>
    </row>
    <row r="4" spans="2:23" customFormat="1" ht="14.65" customHeight="1" x14ac:dyDescent="0.4">
      <c r="B4" s="39" t="s">
        <v>251</v>
      </c>
      <c r="C4" s="94"/>
      <c r="D4" s="44" cm="1">
        <f t="array" ref="D4:G4">_xlfn.SEQUENCE(1, AssessmentEnd-MTP_BaseYear+1, MTP_BaseYear)</f>
        <v>2023</v>
      </c>
      <c r="E4" s="44">
        <v>2024</v>
      </c>
      <c r="F4" s="44">
        <v>2025</v>
      </c>
      <c r="G4" s="44">
        <v>2026</v>
      </c>
      <c r="H4" s="44"/>
      <c r="I4" s="44"/>
      <c r="J4" s="44"/>
      <c r="K4" s="44"/>
      <c r="L4" s="44"/>
      <c r="M4" s="44"/>
      <c r="N4" s="44"/>
      <c r="O4" s="44"/>
      <c r="P4" s="44"/>
      <c r="Q4" s="44"/>
      <c r="R4" s="44"/>
      <c r="S4" s="44"/>
      <c r="T4" s="44"/>
      <c r="U4" s="44"/>
      <c r="V4" s="44"/>
      <c r="W4" s="44"/>
    </row>
    <row r="5" spans="2:23" customFormat="1" ht="14.65" customHeight="1" x14ac:dyDescent="0.4">
      <c r="B5" s="41" t="s">
        <v>274</v>
      </c>
      <c r="C5" s="19"/>
      <c r="D5" s="47" t="str" cm="1">
        <f t="array" ref="D5:G5">IF(
  AND(_xlfn.ANCHORARRAY(D4)&gt;=MTP_YearT-1,_xlfn.ANCHORARRAY( D4)&lt;=MTP_EndYear),
  CHOOSE(SIGN(_xlfn.ANCHORARRAY(D4)-MTP_YearT)+2, "T-1", "T", "T+"&amp;(_xlfn.ANCHORARRAY(D4)-MTP_YearT)),
  ""
)</f>
        <v>T-1</v>
      </c>
      <c r="E5" s="47" t="str">
        <v>T</v>
      </c>
      <c r="F5" s="47" t="str">
        <v>T+1</v>
      </c>
      <c r="G5" s="47" t="str">
        <v>T+2</v>
      </c>
      <c r="H5" s="47"/>
      <c r="I5" s="47"/>
      <c r="J5" s="47"/>
      <c r="K5" s="47"/>
      <c r="L5" s="47"/>
      <c r="M5" s="47"/>
      <c r="N5" s="47"/>
      <c r="O5" s="47"/>
      <c r="P5" s="47"/>
      <c r="Q5" s="47"/>
      <c r="R5" s="47"/>
      <c r="S5" s="47"/>
      <c r="T5" s="47"/>
      <c r="U5" s="47"/>
      <c r="V5" s="47"/>
      <c r="W5" s="47"/>
    </row>
    <row r="6" spans="2:23" customFormat="1" ht="14.65" customHeight="1" x14ac:dyDescent="0.4">
      <c r="B6" s="59" t="s">
        <v>257</v>
      </c>
      <c r="C6" s="44" t="s">
        <v>6</v>
      </c>
      <c r="D6" s="155">
        <f>IF(D$4&lt;=OutturnThrough,IF(ISNUMBER('Step 2 - Update outturn data'!E6),'Step 2 - Update outturn data'!E6,""),IF(ISNUMBER('Step 3 (IMPL) - Enter outlook'!D8),'Step 3 (IMPL) - Enter outlook'!D8,""))</f>
        <v>17.182600000000001</v>
      </c>
      <c r="E6" s="155">
        <f>IF(E$4&lt;=OutturnThrough,IF(ISNUMBER('Step 2 - Update outturn data'!F6),'Step 2 - Update outturn data'!F6,""),IF(ISNUMBER('Step 3 (IMPL) - Enter outlook'!E8),'Step 3 (IMPL) - Enter outlook'!E8,""))</f>
        <v>18.413499999999999</v>
      </c>
      <c r="F6" s="155">
        <f>IF(F$4&lt;=OutturnThrough,IF(ISNUMBER('Step 2 - Update outturn data'!G6),'Step 2 - Update outturn data'!G6,""),IF(ISNUMBER('Step 3 (IMPL) - Enter outlook'!F8),'Step 3 (IMPL) - Enter outlook'!F8,""))</f>
        <v>19.8324</v>
      </c>
      <c r="G6" s="155">
        <f>IF(G$4&lt;=OutturnThrough,IF(ISNUMBER('Step 2 - Update outturn data'!H6),'Step 2 - Update outturn data'!H6,""),IF(ISNUMBER('Step 3 (IMPL) - Enter outlook'!G8),'Step 3 (IMPL) - Enter outlook'!G8,""))</f>
        <v>20.588509988199995</v>
      </c>
      <c r="H6" s="155" t="str">
        <f>IF(H$4&lt;=OutturnThrough,IF(ISNUMBER('Step 2 - Update outturn data'!I6),'Step 2 - Update outturn data'!I6,""),IF(ISNUMBER('Step 3 (IMPL) - Enter outlook'!H8),'Step 3 (IMPL) - Enter outlook'!H8,""))</f>
        <v/>
      </c>
      <c r="I6" s="155" t="str">
        <f>IF(I$4&lt;=OutturnThrough,IF(ISNUMBER('Step 2 - Update outturn data'!J6),'Step 2 - Update outturn data'!J6,""),IF(ISNUMBER('Step 3 (IMPL) - Enter outlook'!I8),'Step 3 (IMPL) - Enter outlook'!I8,""))</f>
        <v/>
      </c>
      <c r="J6" s="155" t="str">
        <f>IF(J$4&lt;=OutturnThrough,IF(ISNUMBER('Step 2 - Update outturn data'!K6),'Step 2 - Update outturn data'!K6,""),IF(ISNUMBER('Step 3 (IMPL) - Enter outlook'!J8),'Step 3 (IMPL) - Enter outlook'!J8,""))</f>
        <v/>
      </c>
      <c r="K6" s="155" t="str">
        <f>IF(K$4&lt;=OutturnThrough,IF(ISNUMBER('Step 2 - Update outturn data'!L6),'Step 2 - Update outturn data'!L6,""),IF(ISNUMBER('Step 3 (IMPL) - Enter outlook'!K8),'Step 3 (IMPL) - Enter outlook'!K8,""))</f>
        <v/>
      </c>
      <c r="L6" s="69"/>
      <c r="M6" s="69"/>
      <c r="N6" s="62"/>
      <c r="O6" s="62"/>
      <c r="P6" s="62"/>
      <c r="Q6" s="62"/>
      <c r="R6" s="62"/>
      <c r="S6" s="62"/>
      <c r="T6" s="62"/>
      <c r="U6" s="62"/>
      <c r="V6" s="62"/>
      <c r="W6" s="62"/>
    </row>
    <row r="7" spans="2:23" customFormat="1" ht="14.65" customHeight="1" x14ac:dyDescent="0.4">
      <c r="B7" s="59" t="s">
        <v>25</v>
      </c>
      <c r="C7" s="44" t="s">
        <v>6</v>
      </c>
      <c r="D7" s="155">
        <f>IF(D$4&lt;=OutturnThrough,IF(ISNUMBER('Step 2 - Update outturn data'!E7),'Step 2 - Update outturn data'!E7,""),IF(ISNUMBER('Step 3 (IMPL) - Enter outlook'!D9),'Step 3 (IMPL) - Enter outlook'!D9,""))</f>
        <v>0.28689999999999999</v>
      </c>
      <c r="E7" s="155">
        <f>IF(E$4&lt;=OutturnThrough,IF(ISNUMBER('Step 2 - Update outturn data'!F7),'Step 2 - Update outturn data'!F7,""),IF(ISNUMBER('Step 3 (IMPL) - Enter outlook'!E9),'Step 3 (IMPL) - Enter outlook'!E9,""))</f>
        <v>0.44330000000000003</v>
      </c>
      <c r="F7" s="155">
        <f>IF(F$4&lt;=OutturnThrough,IF(ISNUMBER('Step 2 - Update outturn data'!G7),'Step 2 - Update outturn data'!G7,""),IF(ISNUMBER('Step 3 (IMPL) - Enter outlook'!F9),'Step 3 (IMPL) - Enter outlook'!F9,""))</f>
        <v>0.4758</v>
      </c>
      <c r="G7" s="155">
        <f>IF(G$4&lt;=OutturnThrough,IF(ISNUMBER('Step 2 - Update outturn data'!H7),'Step 2 - Update outturn data'!H7,""),IF(ISNUMBER('Step 3 (IMPL) - Enter outlook'!G9),'Step 3 (IMPL) - Enter outlook'!G9,""))</f>
        <v>0.59346037659999995</v>
      </c>
      <c r="H7" s="155" t="str">
        <f>IF(H$4&lt;=OutturnThrough,IF(ISNUMBER('Step 2 - Update outturn data'!I7),'Step 2 - Update outturn data'!I7,""),IF(ISNUMBER('Step 3 (IMPL) - Enter outlook'!H9),'Step 3 (IMPL) - Enter outlook'!H9,""))</f>
        <v/>
      </c>
      <c r="I7" s="155" t="str">
        <f>IF(I$4&lt;=OutturnThrough,IF(ISNUMBER('Step 2 - Update outturn data'!J7),'Step 2 - Update outturn data'!J7,""),IF(ISNUMBER('Step 3 (IMPL) - Enter outlook'!I9),'Step 3 (IMPL) - Enter outlook'!I9,""))</f>
        <v/>
      </c>
      <c r="J7" s="155" t="str">
        <f>IF(J$4&lt;=OutturnThrough,IF(ISNUMBER('Step 2 - Update outturn data'!K7),'Step 2 - Update outturn data'!K7,""),IF(ISNUMBER('Step 3 (IMPL) - Enter outlook'!J9),'Step 3 (IMPL) - Enter outlook'!J9,""))</f>
        <v/>
      </c>
      <c r="K7" s="155" t="str">
        <f>IF(K$4&lt;=OutturnThrough,IF(ISNUMBER('Step 2 - Update outturn data'!L7),'Step 2 - Update outturn data'!L7,""),IF(ISNUMBER('Step 3 (IMPL) - Enter outlook'!K9),'Step 3 (IMPL) - Enter outlook'!K9,""))</f>
        <v/>
      </c>
      <c r="L7" s="69"/>
      <c r="M7" s="69"/>
      <c r="N7" s="62"/>
      <c r="O7" s="62"/>
      <c r="P7" s="62"/>
      <c r="Q7" s="62"/>
      <c r="R7" s="62"/>
      <c r="S7" s="62"/>
      <c r="T7" s="62"/>
      <c r="U7" s="62"/>
      <c r="V7" s="62"/>
      <c r="W7" s="62"/>
    </row>
    <row r="8" spans="2:23" customFormat="1" ht="14.65" customHeight="1" x14ac:dyDescent="0.4">
      <c r="B8" s="59" t="s">
        <v>276</v>
      </c>
      <c r="C8" s="44" t="s">
        <v>6</v>
      </c>
      <c r="D8" s="155">
        <f>IF(D$4&lt;=OutturnThrough,IF(ISNUMBER('Step 2 - Update outturn data'!E8),'Step 2 - Update outturn data'!E8,""),IF(ISNUMBER('Step 3 (IMPL) - Enter outlook'!D10),'Step 3 (IMPL) - Enter outlook'!D10,""))</f>
        <v>-2.3600000000000001E-3</v>
      </c>
      <c r="E8" s="155">
        <f>IF(E$4&lt;=OutturnThrough,IF(ISNUMBER('Step 2 - Update outturn data'!F8),'Step 2 - Update outturn data'!F8,""),IF(ISNUMBER('Step 3 (IMPL) - Enter outlook'!E10),'Step 3 (IMPL) - Enter outlook'!E10,""))</f>
        <v>3.14E-3</v>
      </c>
      <c r="F8" s="155">
        <f>IF(F$4&lt;=OutturnThrough,IF(ISNUMBER('Step 2 - Update outturn data'!G8),'Step 2 - Update outturn data'!G8,""),IF(ISNUMBER('Step 3 (IMPL) - Enter outlook'!F10),'Step 3 (IMPL) - Enter outlook'!F10,""))</f>
        <v>6.7000000000000002E-3</v>
      </c>
      <c r="G8" s="155">
        <f>IF(G$4&lt;=OutturnThrough,IF(ISNUMBER('Step 2 - Update outturn data'!H8),'Step 2 - Update outturn data'!H8,""),IF(ISNUMBER('Step 3 (IMPL) - Enter outlook'!G10),'Step 3 (IMPL) - Enter outlook'!G10,""))</f>
        <v>9.130159639999998E-3</v>
      </c>
      <c r="H8" s="155" t="str">
        <f>IF(H$4&lt;=OutturnThrough,IF(ISNUMBER('Step 2 - Update outturn data'!I8),'Step 2 - Update outturn data'!I8,""),IF(ISNUMBER('Step 3 (IMPL) - Enter outlook'!H10),'Step 3 (IMPL) - Enter outlook'!H10,""))</f>
        <v/>
      </c>
      <c r="I8" s="155" t="str">
        <f>IF(I$4&lt;=OutturnThrough,IF(ISNUMBER('Step 2 - Update outturn data'!J8),'Step 2 - Update outturn data'!J8,""),IF(ISNUMBER('Step 3 (IMPL) - Enter outlook'!I10),'Step 3 (IMPL) - Enter outlook'!I10,""))</f>
        <v/>
      </c>
      <c r="J8" s="155" t="str">
        <f>IF(J$4&lt;=OutturnThrough,IF(ISNUMBER('Step 2 - Update outturn data'!K8),'Step 2 - Update outturn data'!K8,""),IF(ISNUMBER('Step 3 (IMPL) - Enter outlook'!J10),'Step 3 (IMPL) - Enter outlook'!J10,""))</f>
        <v/>
      </c>
      <c r="K8" s="155" t="str">
        <f>IF(K$4&lt;=OutturnThrough,IF(ISNUMBER('Step 2 - Update outturn data'!L8),'Step 2 - Update outturn data'!L8,""),IF(ISNUMBER('Step 3 (IMPL) - Enter outlook'!K10),'Step 3 (IMPL) - Enter outlook'!K10,""))</f>
        <v/>
      </c>
      <c r="L8" s="69"/>
      <c r="M8" s="69"/>
      <c r="N8" s="62"/>
      <c r="O8" s="62"/>
      <c r="P8" s="62"/>
      <c r="Q8" s="62"/>
      <c r="R8" s="62"/>
      <c r="S8" s="62"/>
      <c r="T8" s="62"/>
      <c r="U8" s="62"/>
      <c r="V8" s="62"/>
      <c r="W8" s="62"/>
    </row>
    <row r="9" spans="2:23" customFormat="1" ht="14.65" customHeight="1" x14ac:dyDescent="0.4">
      <c r="B9" s="59" t="s">
        <v>277</v>
      </c>
      <c r="C9" s="44" t="s">
        <v>6</v>
      </c>
      <c r="D9" s="155">
        <f>IF(D$4&lt;=OutturnThrough,IF(ISNUMBER('Step 2 - Update outturn data'!E9),'Step 2 - Update outturn data'!E9,""),IF(ISNUMBER('Step 3 (IMPL) - Enter outlook'!D11),'Step 3 (IMPL) - Enter outlook'!D11,""))</f>
        <v>0.8</v>
      </c>
      <c r="E9" s="155">
        <f>IF(E$4&lt;=OutturnThrough,IF(ISNUMBER('Step 2 - Update outturn data'!F9),'Step 2 - Update outturn data'!F9,""),IF(ISNUMBER('Step 3 (IMPL) - Enter outlook'!E11),'Step 3 (IMPL) - Enter outlook'!E11,""))</f>
        <v>0.8</v>
      </c>
      <c r="F9" s="155">
        <f>IF(F$4&lt;=OutturnThrough,IF(ISNUMBER('Step 2 - Update outturn data'!G9),'Step 2 - Update outturn data'!G9,""),IF(ISNUMBER('Step 3 (IMPL) - Enter outlook'!F11),'Step 3 (IMPL) - Enter outlook'!F11,""))</f>
        <v>0.8</v>
      </c>
      <c r="G9" s="155">
        <f>IF(G$4&lt;=OutturnThrough,IF(ISNUMBER('Step 2 - Update outturn data'!H9),'Step 2 - Update outturn data'!H9,""),IF(ISNUMBER('Step 3 (IMPL) - Enter outlook'!G11),'Step 3 (IMPL) - Enter outlook'!G11,""))</f>
        <v>0.91301596399999985</v>
      </c>
      <c r="H9" s="155" t="str">
        <f>IF(H$4&lt;=OutturnThrough,IF(ISNUMBER('Step 2 - Update outturn data'!I9),'Step 2 - Update outturn data'!I9,""),IF(ISNUMBER('Step 3 (IMPL) - Enter outlook'!H11),'Step 3 (IMPL) - Enter outlook'!H11,""))</f>
        <v/>
      </c>
      <c r="I9" s="155" t="str">
        <f>IF(I$4&lt;=OutturnThrough,IF(ISNUMBER('Step 2 - Update outturn data'!J9),'Step 2 - Update outturn data'!J9,""),IF(ISNUMBER('Step 3 (IMPL) - Enter outlook'!I11),'Step 3 (IMPL) - Enter outlook'!I11,""))</f>
        <v/>
      </c>
      <c r="J9" s="155" t="str">
        <f>IF(J$4&lt;=OutturnThrough,IF(ISNUMBER('Step 2 - Update outturn data'!K9),'Step 2 - Update outturn data'!K9,""),IF(ISNUMBER('Step 3 (IMPL) - Enter outlook'!J11),'Step 3 (IMPL) - Enter outlook'!J11,""))</f>
        <v/>
      </c>
      <c r="K9" s="155" t="str">
        <f>IF(K$4&lt;=OutturnThrough,IF(ISNUMBER('Step 2 - Update outturn data'!L9),'Step 2 - Update outturn data'!L9,""),IF(ISNUMBER('Step 3 (IMPL) - Enter outlook'!K11),'Step 3 (IMPL) - Enter outlook'!K11,""))</f>
        <v/>
      </c>
      <c r="L9" s="69"/>
      <c r="M9" s="69"/>
      <c r="N9" s="62"/>
      <c r="O9" s="62"/>
      <c r="P9" s="62"/>
      <c r="Q9" s="62"/>
      <c r="R9" s="62"/>
      <c r="S9" s="62"/>
      <c r="T9" s="62"/>
      <c r="U9" s="62"/>
      <c r="V9" s="62"/>
      <c r="W9" s="62"/>
    </row>
    <row r="10" spans="2:23" customFormat="1" ht="14.65" customHeight="1" x14ac:dyDescent="0.4">
      <c r="B10" s="59" t="s">
        <v>278</v>
      </c>
      <c r="C10" s="44" t="s">
        <v>6</v>
      </c>
      <c r="D10" s="155">
        <f>IF(D$4&lt;=OutturnThrough,IF(ISNUMBER('Step 2 - Update outturn data'!E10),'Step 2 - Update outturn data'!E10,""),IF(ISNUMBER('Step 3 (IMPL) - Enter outlook'!D12),'Step 3 (IMPL) - Enter outlook'!D12,""))</f>
        <v>0.15825</v>
      </c>
      <c r="E10" s="155">
        <f>IF(E$4&lt;=OutturnThrough,IF(ISNUMBER('Step 2 - Update outturn data'!F10),'Step 2 - Update outturn data'!F10,""),IF(ISNUMBER('Step 3 (IMPL) - Enter outlook'!E12),'Step 3 (IMPL) - Enter outlook'!E12,""))</f>
        <v>0.13764999999999999</v>
      </c>
      <c r="F10" s="155">
        <f>IF(F$4&lt;=OutturnThrough,IF(ISNUMBER('Step 2 - Update outturn data'!G10),'Step 2 - Update outturn data'!G10,""),IF(ISNUMBER('Step 3 (IMPL) - Enter outlook'!F12),'Step 3 (IMPL) - Enter outlook'!F12,""))</f>
        <v>0.19919999999999999</v>
      </c>
      <c r="G10" s="155">
        <f>IF(G$4&lt;=OutturnThrough,IF(ISNUMBER('Step 2 - Update outturn data'!H10),'Step 2 - Update outturn data'!H10,""),IF(ISNUMBER('Step 3 (IMPL) - Enter outlook'!G12),'Step 3 (IMPL) - Enter outlook'!G12,""))</f>
        <v>0.22825399099999996</v>
      </c>
      <c r="H10" s="155" t="str">
        <f>IF(H$4&lt;=OutturnThrough,IF(ISNUMBER('Step 2 - Update outturn data'!I10),'Step 2 - Update outturn data'!I10,""),IF(ISNUMBER('Step 3 (IMPL) - Enter outlook'!H12),'Step 3 (IMPL) - Enter outlook'!H12,""))</f>
        <v/>
      </c>
      <c r="I10" s="155" t="str">
        <f>IF(I$4&lt;=OutturnThrough,IF(ISNUMBER('Step 2 - Update outturn data'!J10),'Step 2 - Update outturn data'!J10,""),IF(ISNUMBER('Step 3 (IMPL) - Enter outlook'!I12),'Step 3 (IMPL) - Enter outlook'!I12,""))</f>
        <v/>
      </c>
      <c r="J10" s="155" t="str">
        <f>IF(J$4&lt;=OutturnThrough,IF(ISNUMBER('Step 2 - Update outturn data'!K10),'Step 2 - Update outturn data'!K10,""),IF(ISNUMBER('Step 3 (IMPL) - Enter outlook'!J12),'Step 3 (IMPL) - Enter outlook'!J12,""))</f>
        <v/>
      </c>
      <c r="K10" s="155" t="str">
        <f>IF(K$4&lt;=OutturnThrough,IF(ISNUMBER('Step 2 - Update outturn data'!L10),'Step 2 - Update outturn data'!L10,""),IF(ISNUMBER('Step 3 (IMPL) - Enter outlook'!K12),'Step 3 (IMPL) - Enter outlook'!K12,""))</f>
        <v/>
      </c>
      <c r="L10" s="69"/>
      <c r="M10" s="69"/>
      <c r="N10" s="62"/>
      <c r="O10" s="62"/>
      <c r="P10" s="62"/>
      <c r="Q10" s="62"/>
      <c r="R10" s="62"/>
      <c r="S10" s="62"/>
      <c r="T10" s="62"/>
      <c r="U10" s="62"/>
      <c r="V10" s="62"/>
      <c r="W10" s="62"/>
    </row>
    <row r="11" spans="2:23" customFormat="1" ht="14.65" customHeight="1" x14ac:dyDescent="0.4">
      <c r="B11" s="59" t="s">
        <v>386</v>
      </c>
      <c r="C11" s="44" t="s">
        <v>6</v>
      </c>
      <c r="D11" s="155">
        <f>IF(D$4&lt;=OutturnThrough,IF(ISNUMBER('Step 2 - Update outturn data'!E11),'Step 2 - Update outturn data'!E11,""),IF(ISNUMBER('Step 3 (IMPL) - Enter outlook'!D13),'Step 3 (IMPL) - Enter outlook'!D13,""))</f>
        <v>0</v>
      </c>
      <c r="E11" s="155">
        <f>IF(E$4&lt;=OutturnThrough,IF(ISNUMBER('Step 2 - Update outturn data'!F11),'Step 2 - Update outturn data'!F11,""),IF(ISNUMBER('Step 3 (IMPL) - Enter outlook'!E13),'Step 3 (IMPL) - Enter outlook'!E13,""))</f>
        <v>0</v>
      </c>
      <c r="F11" s="155">
        <f>IF(F$4&lt;=OutturnThrough,IF(ISNUMBER('Step 2 - Update outturn data'!G11),'Step 2 - Update outturn data'!G11,""),IF(ISNUMBER('Step 3 (IMPL) - Enter outlook'!F13),'Step 3 (IMPL) - Enter outlook'!F13,""))</f>
        <v>0</v>
      </c>
      <c r="G11" s="155">
        <f>IF(G$4&lt;=OutturnThrough,IF(ISNUMBER('Step 2 - Update outturn data'!H11),'Step 2 - Update outturn data'!H11,""),IF(ISNUMBER('Step 3 (IMPL) - Enter outlook'!G13),'Step 3 (IMPL) - Enter outlook'!G13,""))</f>
        <v>0</v>
      </c>
      <c r="H11" s="155" t="str">
        <f>IF(H$4&lt;=OutturnThrough,IF(ISNUMBER('Step 2 - Update outturn data'!I11),'Step 2 - Update outturn data'!I11,""),IF(ISNUMBER('Step 3 (IMPL) - Enter outlook'!H13),'Step 3 (IMPL) - Enter outlook'!H13,""))</f>
        <v/>
      </c>
      <c r="I11" s="155" t="str">
        <f>IF(I$4&lt;=OutturnThrough,IF(ISNUMBER('Step 2 - Update outturn data'!J11),'Step 2 - Update outturn data'!J11,""),IF(ISNUMBER('Step 3 (IMPL) - Enter outlook'!I13),'Step 3 (IMPL) - Enter outlook'!I13,""))</f>
        <v/>
      </c>
      <c r="J11" s="155" t="str">
        <f>IF(J$4&lt;=OutturnThrough,IF(ISNUMBER('Step 2 - Update outturn data'!K11),'Step 2 - Update outturn data'!K11,""),IF(ISNUMBER('Step 3 (IMPL) - Enter outlook'!J13),'Step 3 (IMPL) - Enter outlook'!J13,""))</f>
        <v/>
      </c>
      <c r="K11" s="155" t="str">
        <f>IF(K$4&lt;=OutturnThrough,IF(ISNUMBER('Step 2 - Update outturn data'!L11),'Step 2 - Update outturn data'!L11,""),IF(ISNUMBER('Step 3 (IMPL) - Enter outlook'!K13),'Step 3 (IMPL) - Enter outlook'!K13,""))</f>
        <v/>
      </c>
      <c r="L11" s="69"/>
      <c r="M11" s="69"/>
      <c r="N11" s="62"/>
      <c r="O11" s="62"/>
      <c r="P11" s="62"/>
      <c r="Q11" s="62"/>
      <c r="R11" s="62"/>
      <c r="S11" s="62"/>
      <c r="T11" s="62"/>
      <c r="U11" s="62"/>
      <c r="V11" s="62"/>
      <c r="W11" s="62"/>
    </row>
    <row r="12" spans="2:23" customFormat="1" ht="14.65" customHeight="1" x14ac:dyDescent="0.4">
      <c r="B12" s="59" t="s">
        <v>307</v>
      </c>
      <c r="C12" s="44" t="s">
        <v>6</v>
      </c>
      <c r="D12" s="155">
        <f>IF(D$4&lt;=OutturnThrough,IF(ISNUMBER('Step 2 - Update outturn data'!E12),'Step 2 - Update outturn data'!E12,""),IF(ISNUMBER('Step 3 (IMPL) - Enter outlook'!D14),'Step 3 (IMPL) - Enter outlook'!D14,""))</f>
        <v>16.005510000000005</v>
      </c>
      <c r="E12" s="155">
        <f>IF(E$4&lt;=OutturnThrough,IF(ISNUMBER('Step 2 - Update outturn data'!F12),'Step 2 - Update outturn data'!F12,""),IF(ISNUMBER('Step 3 (IMPL) - Enter outlook'!E14),'Step 3 (IMPL) - Enter outlook'!E14,""))</f>
        <v>17.073910000000001</v>
      </c>
      <c r="F12" s="155">
        <f>IF(F$4&lt;=OutturnThrough,IF(ISNUMBER('Step 2 - Update outturn data'!G12),'Step 2 - Update outturn data'!G12,""),IF(ISNUMBER('Step 3 (IMPL) - Enter outlook'!F14),'Step 3 (IMPL) - Enter outlook'!F14,""))</f>
        <v>17.899699999999999</v>
      </c>
      <c r="G12" s="155">
        <f>IF(G$4&lt;=OutturnThrough,IF(ISNUMBER('Step 2 - Update outturn data'!H12),'Step 2 - Update outturn data'!H12,""),IF(ISNUMBER('Step 3 (IMPL) - Enter outlook'!G14),'Step 3 (IMPL) - Enter outlook'!G14,""))</f>
        <v>18.853779656599993</v>
      </c>
      <c r="H12" s="155" t="str">
        <f>IF(H$4&lt;=OutturnThrough,IF(ISNUMBER('Step 2 - Update outturn data'!I12),'Step 2 - Update outturn data'!I12,""),IF(ISNUMBER('Step 3 (IMPL) - Enter outlook'!H14),'Step 3 (IMPL) - Enter outlook'!H14,""))</f>
        <v/>
      </c>
      <c r="I12" s="155" t="str">
        <f>IF(I$4&lt;=OutturnThrough,IF(ISNUMBER('Step 2 - Update outturn data'!J12),'Step 2 - Update outturn data'!J12,""),IF(ISNUMBER('Step 3 (IMPL) - Enter outlook'!I14),'Step 3 (IMPL) - Enter outlook'!I14,""))</f>
        <v/>
      </c>
      <c r="J12" s="155" t="str">
        <f>IF(J$4&lt;=OutturnThrough,IF(ISNUMBER('Step 2 - Update outturn data'!K12),'Step 2 - Update outturn data'!K12,""),IF(ISNUMBER('Step 3 (IMPL) - Enter outlook'!J14),'Step 3 (IMPL) - Enter outlook'!J14,""))</f>
        <v/>
      </c>
      <c r="K12" s="155" t="str">
        <f>IF(K$4&lt;=OutturnThrough,IF(ISNUMBER('Step 2 - Update outturn data'!L12),'Step 2 - Update outturn data'!L12,""),IF(ISNUMBER('Step 3 (IMPL) - Enter outlook'!K14),'Step 3 (IMPL) - Enter outlook'!K14,""))</f>
        <v/>
      </c>
      <c r="L12" s="69"/>
      <c r="M12" s="69"/>
      <c r="N12" s="62"/>
      <c r="O12" s="62"/>
      <c r="P12" s="62"/>
      <c r="Q12" s="62"/>
      <c r="R12" s="62"/>
      <c r="S12" s="62"/>
      <c r="T12" s="62"/>
      <c r="U12" s="62"/>
      <c r="V12" s="62"/>
      <c r="W12" s="62"/>
    </row>
    <row r="13" spans="2:23" customFormat="1" ht="14.65" customHeight="1" x14ac:dyDescent="0.4">
      <c r="B13" s="59" t="s">
        <v>596</v>
      </c>
      <c r="C13" s="44" t="s">
        <v>6</v>
      </c>
      <c r="D13" s="155">
        <f>IF(D$4&lt;=OutturnThrough,IF(ISNUMBER('Step 2 - Update outturn data'!E13),'Step 2 - Update outturn data'!E13,""),IF(ISNUMBER('Step 3 (IMPL) - Enter outlook'!D15),'Step 3 (IMPL) - Enter outlook'!D15,""))</f>
        <v>0</v>
      </c>
      <c r="E13" s="155">
        <f>IF(E$4&lt;=OutturnThrough,IF(ISNUMBER('Step 2 - Update outturn data'!F13),'Step 2 - Update outturn data'!F13,""),IF(ISNUMBER('Step 3 (IMPL) - Enter outlook'!E15),'Step 3 (IMPL) - Enter outlook'!E15,""))</f>
        <v>0.27381</v>
      </c>
      <c r="F13" s="155">
        <f>IF(F$4&lt;=OutturnThrough,IF(ISNUMBER('Step 2 - Update outturn data'!G13),'Step 2 - Update outturn data'!G13,""),IF(ISNUMBER('Step 3 (IMPL) - Enter outlook'!F15),'Step 3 (IMPL) - Enter outlook'!F15,""))</f>
        <v>0</v>
      </c>
      <c r="G13" s="155">
        <f>IF(G$4&lt;=OutturnThrough,IF(ISNUMBER('Step 2 - Update outturn data'!H13),'Step 2 - Update outturn data'!H13,""),IF(ISNUMBER('Step 3 (IMPL) - Enter outlook'!G15),'Step 3 (IMPL) - Enter outlook'!G15,""))</f>
        <v>-9.1301596399999976E-2</v>
      </c>
      <c r="H13" s="155" t="str">
        <f>IF(H$4&lt;=OutturnThrough,IF(ISNUMBER('Step 2 - Update outturn data'!I13),'Step 2 - Update outturn data'!I13,""),IF(ISNUMBER('Step 3 (IMPL) - Enter outlook'!H15),'Step 3 (IMPL) - Enter outlook'!H15,""))</f>
        <v/>
      </c>
      <c r="I13" s="155" t="str">
        <f>IF(I$4&lt;=OutturnThrough,IF(ISNUMBER('Step 2 - Update outturn data'!J13),'Step 2 - Update outturn data'!J13,""),IF(ISNUMBER('Step 3 (IMPL) - Enter outlook'!I15),'Step 3 (IMPL) - Enter outlook'!I15,""))</f>
        <v/>
      </c>
      <c r="J13" s="155" t="str">
        <f>IF(J$4&lt;=OutturnThrough,IF(ISNUMBER('Step 2 - Update outturn data'!K13),'Step 2 - Update outturn data'!K13,""),IF(ISNUMBER('Step 3 (IMPL) - Enter outlook'!J15),'Step 3 (IMPL) - Enter outlook'!J15,""))</f>
        <v/>
      </c>
      <c r="K13" s="155" t="str">
        <f>IF(K$4&lt;=OutturnThrough,IF(ISNUMBER('Step 2 - Update outturn data'!L13),'Step 2 - Update outturn data'!L13,""),IF(ISNUMBER('Step 3 (IMPL) - Enter outlook'!K15),'Step 3 (IMPL) - Enter outlook'!K15,""))</f>
        <v/>
      </c>
      <c r="L13" s="69"/>
      <c r="M13" s="69"/>
      <c r="N13" s="62"/>
      <c r="O13" s="62"/>
      <c r="P13" s="62"/>
      <c r="Q13" s="62"/>
      <c r="R13" s="62"/>
      <c r="S13" s="62"/>
      <c r="T13" s="62"/>
      <c r="U13" s="62"/>
      <c r="V13" s="62"/>
      <c r="W13" s="62"/>
    </row>
    <row r="14" spans="2:23" customFormat="1" ht="14.65" customHeight="1" x14ac:dyDescent="0.4">
      <c r="B14" s="59" t="s">
        <v>598</v>
      </c>
      <c r="C14" s="44" t="s">
        <v>6</v>
      </c>
      <c r="D14" s="155">
        <f>IF(D$4&lt;=OutturnThrough,IF(ISNUMBER('Step 2 - Update outturn data'!E14),'Step 2 - Update outturn data'!E14,""),IF(ISNUMBER('Step 3 (IMPL) - Enter outlook'!D16),'Step 3 (IMPL) - Enter outlook'!D16,""))</f>
        <v>1</v>
      </c>
      <c r="E14" s="155">
        <f>IF(E$4&lt;=OutturnThrough,IF(ISNUMBER('Step 2 - Update outturn data'!F14),'Step 2 - Update outturn data'!F14,""),IF(ISNUMBER('Step 3 (IMPL) - Enter outlook'!E16),'Step 3 (IMPL) - Enter outlook'!E16,""))</f>
        <v>1.1000000000000001</v>
      </c>
      <c r="F14" s="155">
        <f>IF(F$4&lt;=OutturnThrough,IF(ISNUMBER('Step 2 - Update outturn data'!G14),'Step 2 - Update outturn data'!G14,""),IF(ISNUMBER('Step 3 (IMPL) - Enter outlook'!F16),'Step 3 (IMPL) - Enter outlook'!F16,""))</f>
        <v>1.3</v>
      </c>
      <c r="G14" s="155">
        <f>IF(G$4&lt;=OutturnThrough,IF(ISNUMBER('Step 2 - Update outturn data'!H14),'Step 2 - Update outturn data'!H14,""),IF(ISNUMBER('Step 3 (IMPL) - Enter outlook'!G16),'Step 3 (IMPL) - Enter outlook'!G16,""))</f>
        <v>1.8716827261999993</v>
      </c>
      <c r="H14" s="155" t="str">
        <f>IF(H$4&lt;=OutturnThrough,IF(ISNUMBER('Step 2 - Update outturn data'!I14),'Step 2 - Update outturn data'!I14,""),IF(ISNUMBER('Step 3 (IMPL) - Enter outlook'!H16),'Step 3 (IMPL) - Enter outlook'!H16,""))</f>
        <v/>
      </c>
      <c r="I14" s="155" t="str">
        <f>IF(I$4&lt;=OutturnThrough,IF(ISNUMBER('Step 2 - Update outturn data'!J14),'Step 2 - Update outturn data'!J14,""),IF(ISNUMBER('Step 3 (IMPL) - Enter outlook'!I16),'Step 3 (IMPL) - Enter outlook'!I16,""))</f>
        <v/>
      </c>
      <c r="J14" s="155" t="str">
        <f>IF(J$4&lt;=OutturnThrough,IF(ISNUMBER('Step 2 - Update outturn data'!K14),'Step 2 - Update outturn data'!K14,""),IF(ISNUMBER('Step 3 (IMPL) - Enter outlook'!J16),'Step 3 (IMPL) - Enter outlook'!J16,""))</f>
        <v/>
      </c>
      <c r="K14" s="155" t="str">
        <f>IF(K$4&lt;=OutturnThrough,IF(ISNUMBER('Step 2 - Update outturn data'!L14),'Step 2 - Update outturn data'!L14,""),IF(ISNUMBER('Step 3 (IMPL) - Enter outlook'!K16),'Step 3 (IMPL) - Enter outlook'!K16,""))</f>
        <v/>
      </c>
      <c r="L14" s="69"/>
      <c r="M14" s="69"/>
      <c r="N14" s="62"/>
      <c r="O14" s="62"/>
      <c r="P14" s="62"/>
      <c r="Q14" s="62"/>
      <c r="R14" s="62"/>
      <c r="S14" s="62"/>
      <c r="T14" s="62"/>
      <c r="U14" s="62"/>
      <c r="V14" s="62"/>
      <c r="W14" s="62"/>
    </row>
    <row r="15" spans="2:23" customFormat="1" ht="20.25" customHeight="1" x14ac:dyDescent="0.4">
      <c r="B15" s="59" t="s">
        <v>309</v>
      </c>
      <c r="C15" s="44" t="s">
        <v>634</v>
      </c>
      <c r="D15" s="155" t="str">
        <f>IF(D$4&lt;=OutturnThrough,IF(ISNUMBER('Step 2 - Update outturn data'!E15),'Step 2 - Update outturn data'!E15,""),IF(ISNUMBER('Step 3 (IMPL) - Enter outlook'!D17),'Step 3 (IMPL) - Enter outlook'!D17,""))</f>
        <v/>
      </c>
      <c r="E15" s="155">
        <f>IF(E$4&lt;=OutturnThrough,IF(ISNUMBER('Step 2 - Update outturn data'!F15),'Step 2 - Update outturn data'!F15,""),IF(ISNUMBER('Step 3 (IMPL) - Enter outlook'!E17),'Step 3 (IMPL) - Enter outlook'!E17,""))</f>
        <v>4.9644778579376547</v>
      </c>
      <c r="F15" s="155">
        <f>IF(F$4&lt;=OutturnThrough,IF(ISNUMBER('Step 2 - Update outturn data'!G15),'Step 2 - Update outturn data'!G15,""),IF(ISNUMBER('Step 3 (IMPL) - Enter outlook'!F17),'Step 3 (IMPL) - Enter outlook'!F17,""))</f>
        <v>4.836560576927007</v>
      </c>
      <c r="G15" s="155">
        <f>IF(G$4&lt;=OutturnThrough,IF(ISNUMBER('Step 2 - Update outturn data'!H15),'Step 2 - Update outturn data'!H15,""),IF(ISNUMBER('Step 3 (IMPL) - Enter outlook'!G17),'Step 3 (IMPL) - Enter outlook'!G17,""))</f>
        <v>5.3</v>
      </c>
      <c r="H15" s="155" t="str">
        <f>IF(H$4&lt;=OutturnThrough,IF(ISNUMBER('Step 2 - Update outturn data'!I15),'Step 2 - Update outturn data'!I15,""),IF(ISNUMBER('Step 3 (IMPL) - Enter outlook'!H17),'Step 3 (IMPL) - Enter outlook'!H17,""))</f>
        <v/>
      </c>
      <c r="I15" s="155" t="str">
        <f>IF(I$4&lt;=OutturnThrough,IF(ISNUMBER('Step 2 - Update outturn data'!J15),'Step 2 - Update outturn data'!J15,""),IF(ISNUMBER('Step 3 (IMPL) - Enter outlook'!I17),'Step 3 (IMPL) - Enter outlook'!I17,""))</f>
        <v/>
      </c>
      <c r="J15" s="155" t="str">
        <f>IF(J$4&lt;=OutturnThrough,IF(ISNUMBER('Step 2 - Update outturn data'!K15),'Step 2 - Update outturn data'!K15,""),IF(ISNUMBER('Step 3 (IMPL) - Enter outlook'!J17),'Step 3 (IMPL) - Enter outlook'!J17,""))</f>
        <v/>
      </c>
      <c r="K15" s="155" t="str">
        <f>IF(K$4&lt;=OutturnThrough,IF(ISNUMBER('Step 2 - Update outturn data'!L15),'Step 2 - Update outturn data'!L15,""),IF(ISNUMBER('Step 3 (IMPL) - Enter outlook'!K17),'Step 3 (IMPL) - Enter outlook'!K17,""))</f>
        <v/>
      </c>
      <c r="L15" s="155"/>
      <c r="M15" s="69"/>
      <c r="N15" s="62"/>
      <c r="O15" s="62"/>
      <c r="P15" s="62"/>
      <c r="Q15" s="62"/>
      <c r="R15" s="62"/>
      <c r="S15" s="62"/>
      <c r="T15" s="62"/>
      <c r="U15" s="62"/>
      <c r="V15" s="62"/>
      <c r="W15" s="62"/>
    </row>
    <row r="16" spans="2:23" customFormat="1" ht="14.65" customHeight="1" x14ac:dyDescent="0.4">
      <c r="B16" s="59" t="s">
        <v>308</v>
      </c>
      <c r="C16" s="44" t="s">
        <v>634</v>
      </c>
      <c r="D16" s="155" t="str">
        <f>IF(D$4&lt;=OutturnThrough,IF(ISNUMBER('Step 2 - Update outturn data'!E16),'Step 2 - Update outturn data'!E16,""),IF(ISNUMBER('Step 3 (IMPL) - Enter outlook'!D18),'Step 3 (IMPL) - Enter outlook'!D18,""))</f>
        <v/>
      </c>
      <c r="E16" s="155">
        <f>IF(E$4&lt;=OutturnThrough,IF(ISNUMBER('Step 2 - Update outturn data'!F16),'Step 2 - Update outturn data'!F16,""),IF(ISNUMBER('Step 3 (IMPL) - Enter outlook'!E18),'Step 3 (IMPL) - Enter outlook'!E18,""))</f>
        <v>4.9644778579376547</v>
      </c>
      <c r="F16" s="155">
        <f>IF(F$4&lt;=OutturnThrough,IF(ISNUMBER('Step 2 - Update outturn data'!G16),'Step 2 - Update outturn data'!G16,""),IF(ISNUMBER('Step 3 (IMPL) - Enter outlook'!F18),'Step 3 (IMPL) - Enter outlook'!F18,""))</f>
        <v>10.041148413791934</v>
      </c>
      <c r="G16" s="155">
        <f>IF(G$4&lt;=OutturnThrough,IF(ISNUMBER('Step 2 - Update outturn data'!H16),'Step 2 - Update outturn data'!H16,""),IF(ISNUMBER('Step 3 (IMPL) - Enter outlook'!G18),'Step 3 (IMPL) - Enter outlook'!G18,""))</f>
        <v>15.873329279722892</v>
      </c>
      <c r="H16" s="155" t="str">
        <f>IF(H$4&lt;=OutturnThrough,IF(ISNUMBER('Step 2 - Update outturn data'!I16),'Step 2 - Update outturn data'!I16,""),IF(ISNUMBER('Step 3 (IMPL) - Enter outlook'!H18),'Step 3 (IMPL) - Enter outlook'!H18,""))</f>
        <v/>
      </c>
      <c r="I16" s="155" t="str">
        <f>IF(I$4&lt;=OutturnThrough,IF(ISNUMBER('Step 2 - Update outturn data'!J16),'Step 2 - Update outturn data'!J16,""),IF(ISNUMBER('Step 3 (IMPL) - Enter outlook'!I18),'Step 3 (IMPL) - Enter outlook'!I18,""))</f>
        <v/>
      </c>
      <c r="J16" s="155" t="str">
        <f>IF(J$4&lt;=OutturnThrough,IF(ISNUMBER('Step 2 - Update outturn data'!K16),'Step 2 - Update outturn data'!K16,""),IF(ISNUMBER('Step 3 (IMPL) - Enter outlook'!J18),'Step 3 (IMPL) - Enter outlook'!J18,""))</f>
        <v/>
      </c>
      <c r="K16" s="155" t="str">
        <f>IF(K$4&lt;=OutturnThrough,IF(ISNUMBER('Step 2 - Update outturn data'!L16),'Step 2 - Update outturn data'!L16,""),IF(ISNUMBER('Step 3 (IMPL) - Enter outlook'!K18),'Step 3 (IMPL) - Enter outlook'!K18,""))</f>
        <v/>
      </c>
      <c r="L16" s="69"/>
      <c r="M16" s="69"/>
      <c r="N16" s="62"/>
      <c r="O16" s="62"/>
      <c r="P16" s="62"/>
      <c r="Q16" s="62"/>
      <c r="R16" s="62"/>
      <c r="S16" s="62"/>
      <c r="T16" s="62"/>
      <c r="U16" s="62"/>
      <c r="V16" s="62"/>
      <c r="W16" s="62"/>
    </row>
    <row r="17" spans="2:23" customFormat="1" ht="20.25" customHeight="1" x14ac:dyDescent="0.4">
      <c r="B17" s="55" t="s">
        <v>206</v>
      </c>
      <c r="C17" s="44" t="s">
        <v>603</v>
      </c>
      <c r="D17" s="155">
        <f>IF(D$4&lt;=OutturnThrough,IF(ISNUMBER('Step 2 - Update outturn data'!E17),'Step 2 - Update outturn data'!E17,""),IF(ISNUMBER('Step 3 (IMPL) - Enter outlook'!D19),'Step 3 (IMPL) - Enter outlook'!D19,""))</f>
        <v>-2.342774528487884</v>
      </c>
      <c r="E17" s="155">
        <f>IF(E$4&lt;=OutturnThrough,IF(ISNUMBER('Step 2 - Update outturn data'!F17),'Step 2 - Update outturn data'!F17,""),IF(ISNUMBER('Step 3 (IMPL) - Enter outlook'!E19),'Step 3 (IMPL) - Enter outlook'!E19,""))</f>
        <v>-1.7868607680254289</v>
      </c>
      <c r="F17" s="155">
        <f>IF(F$4&lt;=OutturnThrough,IF(ISNUMBER('Step 2 - Update outturn data'!G17),'Step 2 - Update outturn data'!G17,""),IF(ISNUMBER('Step 3 (IMPL) - Enter outlook'!F19),'Step 3 (IMPL) - Enter outlook'!F19,""))</f>
        <v>-2.5407774797681517</v>
      </c>
      <c r="G17" s="155">
        <f>IF(G$4&lt;=OutturnThrough,IF(ISNUMBER('Step 2 - Update outturn data'!H17),'Step 2 - Update outturn data'!H17,""),IF(ISNUMBER('Step 3 (IMPL) - Enter outlook'!G19),'Step 3 (IMPL) - Enter outlook'!G19,""))</f>
        <v>-3</v>
      </c>
      <c r="H17" s="155" t="str">
        <f>IF(H$4&lt;=OutturnThrough,IF(ISNUMBER('Step 2 - Update outturn data'!I17),'Step 2 - Update outturn data'!I17,""),IF(ISNUMBER('Step 3 (IMPL) - Enter outlook'!H19),'Step 3 (IMPL) - Enter outlook'!H19,""))</f>
        <v/>
      </c>
      <c r="I17" s="155" t="str">
        <f>IF(I$4&lt;=OutturnThrough,IF(ISNUMBER('Step 2 - Update outturn data'!J17),'Step 2 - Update outturn data'!J17,""),IF(ISNUMBER('Step 3 (IMPL) - Enter outlook'!I19),'Step 3 (IMPL) - Enter outlook'!I19,""))</f>
        <v/>
      </c>
      <c r="J17" s="155" t="str">
        <f>IF(J$4&lt;=OutturnThrough,IF(ISNUMBER('Step 2 - Update outturn data'!K17),'Step 2 - Update outturn data'!K17,""),IF(ISNUMBER('Step 3 (IMPL) - Enter outlook'!J19),'Step 3 (IMPL) - Enter outlook'!J19,""))</f>
        <v/>
      </c>
      <c r="K17" s="155" t="str">
        <f>IF(K$4&lt;=OutturnThrough,IF(ISNUMBER('Step 2 - Update outturn data'!L17),'Step 2 - Update outturn data'!L17,""),IF(ISNUMBER('Step 3 (IMPL) - Enter outlook'!K19),'Step 3 (IMPL) - Enter outlook'!K19,""))</f>
        <v/>
      </c>
      <c r="L17" s="69"/>
      <c r="M17" s="69"/>
      <c r="N17" s="62"/>
      <c r="O17" s="62"/>
      <c r="P17" s="62"/>
      <c r="Q17" s="62"/>
      <c r="R17" s="62"/>
      <c r="S17" s="62"/>
      <c r="T17" s="62"/>
      <c r="U17" s="62"/>
      <c r="V17" s="62"/>
      <c r="W17" s="62"/>
    </row>
    <row r="18" spans="2:23" customFormat="1" ht="14.65" customHeight="1" x14ac:dyDescent="0.4">
      <c r="B18" s="55" t="s">
        <v>0</v>
      </c>
      <c r="C18" s="44" t="s">
        <v>603</v>
      </c>
      <c r="D18" s="155">
        <f>IF(D$4&lt;=OutturnThrough,IF(ISNUMBER('Step 2 - Update outturn data'!E18),'Step 2 - Update outturn data'!E18,""),IF(ISNUMBER('Step 3 (IMPL) - Enter outlook'!D20),'Step 3 (IMPL) - Enter outlook'!D20,""))</f>
        <v>-2.0901399999999999</v>
      </c>
      <c r="E18" s="155">
        <f>IF(E$4&lt;=OutturnThrough,IF(ISNUMBER('Step 2 - Update outturn data'!F18),'Step 2 - Update outturn data'!F18,""),IF(ISNUMBER('Step 3 (IMPL) - Enter outlook'!E20),'Step 3 (IMPL) - Enter outlook'!E20,""))</f>
        <v>-1.3087</v>
      </c>
      <c r="F18" s="155">
        <f>IF(F$4&lt;=OutturnThrough,IF(ISNUMBER('Step 2 - Update outturn data'!G18),'Step 2 - Update outturn data'!G18,""),IF(ISNUMBER('Step 3 (IMPL) - Enter outlook'!F20),'Step 3 (IMPL) - Enter outlook'!F20,""))</f>
        <v>-2.5189499999999998</v>
      </c>
      <c r="G18" s="155">
        <f>IF(G$4&lt;=OutturnThrough,IF(ISNUMBER('Step 2 - Update outturn data'!H18),'Step 2 - Update outturn data'!H18,""),IF(ISNUMBER('Step 3 (IMPL) - Enter outlook'!G20),'Step 3 (IMPL) - Enter outlook'!G20,""))</f>
        <v>-2.6</v>
      </c>
      <c r="H18" s="155" t="str">
        <f>IF(H$4&lt;=OutturnThrough,IF(ISNUMBER('Step 2 - Update outturn data'!I18),'Step 2 - Update outturn data'!I18,""),IF(ISNUMBER('Step 3 (IMPL) - Enter outlook'!H20),'Step 3 (IMPL) - Enter outlook'!H20,""))</f>
        <v/>
      </c>
      <c r="I18" s="155" t="str">
        <f>IF(I$4&lt;=OutturnThrough,IF(ISNUMBER('Step 2 - Update outturn data'!J18),'Step 2 - Update outturn data'!J18,""),IF(ISNUMBER('Step 3 (IMPL) - Enter outlook'!I20),'Step 3 (IMPL) - Enter outlook'!I20,""))</f>
        <v/>
      </c>
      <c r="J18" s="155" t="str">
        <f>IF(J$4&lt;=OutturnThrough,IF(ISNUMBER('Step 2 - Update outturn data'!K18),'Step 2 - Update outturn data'!K18,""),IF(ISNUMBER('Step 3 (IMPL) - Enter outlook'!J20),'Step 3 (IMPL) - Enter outlook'!J20,""))</f>
        <v/>
      </c>
      <c r="K18" s="155" t="str">
        <f>IF(K$4&lt;=OutturnThrough,IF(ISNUMBER('Step 2 - Update outturn data'!L18),'Step 2 - Update outturn data'!L18,""),IF(ISNUMBER('Step 3 (IMPL) - Enter outlook'!K20),'Step 3 (IMPL) - Enter outlook'!K20,""))</f>
        <v/>
      </c>
      <c r="L18" s="69"/>
      <c r="M18" s="69"/>
      <c r="N18" s="62"/>
      <c r="O18" s="62"/>
      <c r="P18" s="62"/>
      <c r="Q18" s="62"/>
      <c r="R18" s="62"/>
      <c r="S18" s="62"/>
      <c r="T18" s="62"/>
      <c r="U18" s="62"/>
      <c r="V18" s="62"/>
      <c r="W18" s="62"/>
    </row>
    <row r="19" spans="2:23" customFormat="1" ht="14.65" customHeight="1" x14ac:dyDescent="0.4">
      <c r="B19" s="55" t="s">
        <v>3</v>
      </c>
      <c r="C19" s="44" t="s">
        <v>603</v>
      </c>
      <c r="D19" s="155">
        <f>IF(D$4&lt;=OutturnThrough,IF(ISNUMBER('Step 2 - Update outturn data'!E19),'Step 2 - Update outturn data'!E19,""),IF(ISNUMBER('Step 3 (IMPL) - Enter outlook'!D21),'Step 3 (IMPL) - Enter outlook'!D21,""))</f>
        <v>-1.3650599999999999</v>
      </c>
      <c r="E19" s="155">
        <f>IF(E$4&lt;=OutturnThrough,IF(ISNUMBER('Step 2 - Update outturn data'!F19),'Step 2 - Update outturn data'!F19,""),IF(ISNUMBER('Step 3 (IMPL) - Enter outlook'!E21),'Step 3 (IMPL) - Enter outlook'!E21,""))</f>
        <v>-0.21811</v>
      </c>
      <c r="F19" s="155">
        <f>IF(F$4&lt;=OutturnThrough,IF(ISNUMBER('Step 2 - Update outturn data'!G19),'Step 2 - Update outturn data'!G19,""),IF(ISNUMBER('Step 3 (IMPL) - Enter outlook'!F21),'Step 3 (IMPL) - Enter outlook'!F21,""))</f>
        <v>-1.41309</v>
      </c>
      <c r="G19" s="155">
        <f>IF(G$4&lt;=OutturnThrough,IF(ISNUMBER('Step 2 - Update outturn data'!H19),'Step 2 - Update outturn data'!H19,""),IF(ISNUMBER('Step 3 (IMPL) - Enter outlook'!G21),'Step 3 (IMPL) - Enter outlook'!G21,""))</f>
        <v>-1.3</v>
      </c>
      <c r="H19" s="155" t="str">
        <f>IF(H$4&lt;=OutturnThrough,IF(ISNUMBER('Step 2 - Update outturn data'!I19),'Step 2 - Update outturn data'!I19,""),IF(ISNUMBER('Step 3 (IMPL) - Enter outlook'!H21),'Step 3 (IMPL) - Enter outlook'!H21,""))</f>
        <v/>
      </c>
      <c r="I19" s="155" t="str">
        <f>IF(I$4&lt;=OutturnThrough,IF(ISNUMBER('Step 2 - Update outturn data'!J19),'Step 2 - Update outturn data'!J19,""),IF(ISNUMBER('Step 3 (IMPL) - Enter outlook'!I21),'Step 3 (IMPL) - Enter outlook'!I21,""))</f>
        <v/>
      </c>
      <c r="J19" s="155" t="str">
        <f>IF(J$4&lt;=OutturnThrough,IF(ISNUMBER('Step 2 - Update outturn data'!K19),'Step 2 - Update outturn data'!K19,""),IF(ISNUMBER('Step 3 (IMPL) - Enter outlook'!J21),'Step 3 (IMPL) - Enter outlook'!J21,""))</f>
        <v/>
      </c>
      <c r="K19" s="155" t="str">
        <f>IF(K$4&lt;=OutturnThrough,IF(ISNUMBER('Step 2 - Update outturn data'!L19),'Step 2 - Update outturn data'!L19,""),IF(ISNUMBER('Step 3 (IMPL) - Enter outlook'!K21),'Step 3 (IMPL) - Enter outlook'!K21,""))</f>
        <v/>
      </c>
      <c r="L19" s="69"/>
      <c r="M19" s="69"/>
      <c r="N19" s="62"/>
      <c r="O19" s="62"/>
      <c r="P19" s="62"/>
      <c r="Q19" s="62"/>
      <c r="R19" s="62"/>
      <c r="S19" s="62"/>
      <c r="T19" s="62"/>
      <c r="U19" s="62"/>
      <c r="V19" s="62"/>
      <c r="W19" s="62"/>
    </row>
    <row r="20" spans="2:23" customFormat="1" ht="14.65" customHeight="1" x14ac:dyDescent="0.4">
      <c r="B20" s="55" t="s">
        <v>1</v>
      </c>
      <c r="C20" s="44" t="s">
        <v>603</v>
      </c>
      <c r="D20" s="155">
        <f>IF(D$4&lt;=OutturnThrough,IF(ISNUMBER('Step 2 - Update outturn data'!E20),'Step 2 - Update outturn data'!E20,""),IF(ISNUMBER('Step 3 (IMPL) - Enter outlook'!D22),'Step 3 (IMPL) - Enter outlook'!D22,""))</f>
        <v>44.430318318075436</v>
      </c>
      <c r="E20" s="155">
        <f>IF(E$4&lt;=OutturnThrough,IF(ISNUMBER('Step 2 - Update outturn data'!F20),'Step 2 - Update outturn data'!F20,""),IF(ISNUMBER('Step 3 (IMPL) - Enter outlook'!E22),'Step 3 (IMPL) - Enter outlook'!E22,""))</f>
        <v>46.249535696627248</v>
      </c>
      <c r="F20" s="155">
        <f>IF(F$4&lt;=OutturnThrough,IF(ISNUMBER('Step 2 - Update outturn data'!G20),'Step 2 - Update outturn data'!G20,""),IF(ISNUMBER('Step 3 (IMPL) - Enter outlook'!F22),'Step 3 (IMPL) - Enter outlook'!F22,""))</f>
        <v>46.887477862325753</v>
      </c>
      <c r="G20" s="155">
        <f>IF(G$4&lt;=OutturnThrough,IF(ISNUMBER('Step 2 - Update outturn data'!H20),'Step 2 - Update outturn data'!H20,""),IF(ISNUMBER('Step 3 (IMPL) - Enter outlook'!G22),'Step 3 (IMPL) - Enter outlook'!G22,""))</f>
        <v>47.9</v>
      </c>
      <c r="H20" s="155" t="str">
        <f>IF(H$4&lt;=OutturnThrough,IF(ISNUMBER('Step 2 - Update outturn data'!I20),'Step 2 - Update outturn data'!I20,""),IF(ISNUMBER('Step 3 (IMPL) - Enter outlook'!H22),'Step 3 (IMPL) - Enter outlook'!H22,""))</f>
        <v/>
      </c>
      <c r="I20" s="155" t="str">
        <f>IF(I$4&lt;=OutturnThrough,IF(ISNUMBER('Step 2 - Update outturn data'!J20),'Step 2 - Update outturn data'!J20,""),IF(ISNUMBER('Step 3 (IMPL) - Enter outlook'!I22),'Step 3 (IMPL) - Enter outlook'!I22,""))</f>
        <v/>
      </c>
      <c r="J20" s="155" t="str">
        <f>IF(J$4&lt;=OutturnThrough,IF(ISNUMBER('Step 2 - Update outturn data'!K20),'Step 2 - Update outturn data'!K20,""),IF(ISNUMBER('Step 3 (IMPL) - Enter outlook'!J22),'Step 3 (IMPL) - Enter outlook'!J22,""))</f>
        <v/>
      </c>
      <c r="K20" s="155" t="str">
        <f>IF(K$4&lt;=OutturnThrough,IF(ISNUMBER('Step 2 - Update outturn data'!L20),'Step 2 - Update outturn data'!L20,""),IF(ISNUMBER('Step 3 (IMPL) - Enter outlook'!K22),'Step 3 (IMPL) - Enter outlook'!K22,""))</f>
        <v/>
      </c>
      <c r="L20" s="69"/>
      <c r="M20" s="69"/>
      <c r="N20" s="62"/>
      <c r="O20" s="62"/>
      <c r="P20" s="62"/>
      <c r="Q20" s="62"/>
      <c r="R20" s="62"/>
      <c r="S20" s="62"/>
      <c r="T20" s="62"/>
      <c r="U20" s="62"/>
      <c r="V20" s="62"/>
      <c r="W20" s="62"/>
    </row>
    <row r="21" spans="2:23" customFormat="1" ht="14.65" customHeight="1" x14ac:dyDescent="0.4">
      <c r="B21" s="55" t="s">
        <v>2</v>
      </c>
      <c r="C21" s="44" t="s">
        <v>603</v>
      </c>
      <c r="D21" s="155">
        <f>IF(D$4&lt;=OutturnThrough,IF(ISNUMBER('Step 2 - Update outturn data'!E21),'Step 2 - Update outturn data'!E21,""),IF(ISNUMBER('Step 3 (IMPL) - Enter outlook'!D23),'Step 3 (IMPL) - Enter outlook'!D23,""))</f>
        <v>3.8913967677850185</v>
      </c>
      <c r="E21" s="155">
        <f>IF(E$4&lt;=OutturnThrough,IF(ISNUMBER('Step 2 - Update outturn data'!F21),'Step 2 - Update outturn data'!F21,""),IF(ISNUMBER('Step 3 (IMPL) - Enter outlook'!E23),'Step 3 (IMPL) - Enter outlook'!E23,""))</f>
        <v>3.0084398668710008</v>
      </c>
      <c r="F21" s="155">
        <f>IF(F$4&lt;=OutturnThrough,IF(ISNUMBER('Step 2 - Update outturn data'!G21),'Step 2 - Update outturn data'!G21,""),IF(ISNUMBER('Step 3 (IMPL) - Enter outlook'!F23),'Step 3 (IMPL) - Enter outlook'!F23,""))</f>
        <v>3.1896844248388225</v>
      </c>
      <c r="G21" s="155">
        <f>IF(G$4&lt;=OutturnThrough,IF(ISNUMBER('Step 2 - Update outturn data'!H21),'Step 2 - Update outturn data'!H21,""),IF(ISNUMBER('Step 3 (IMPL) - Enter outlook'!G23),'Step 3 (IMPL) - Enter outlook'!G23,""))</f>
        <v>0.9</v>
      </c>
      <c r="H21" s="155" t="str">
        <f>IF(H$4&lt;=OutturnThrough,IF(ISNUMBER('Step 2 - Update outturn data'!I21),'Step 2 - Update outturn data'!I21,""),IF(ISNUMBER('Step 3 (IMPL) - Enter outlook'!H23),'Step 3 (IMPL) - Enter outlook'!H23,""))</f>
        <v/>
      </c>
      <c r="I21" s="155" t="str">
        <f>IF(I$4&lt;=OutturnThrough,IF(ISNUMBER('Step 2 - Update outturn data'!J21),'Step 2 - Update outturn data'!J21,""),IF(ISNUMBER('Step 3 (IMPL) - Enter outlook'!I23),'Step 3 (IMPL) - Enter outlook'!I23,""))</f>
        <v/>
      </c>
      <c r="J21" s="155" t="str">
        <f>IF(J$4&lt;=OutturnThrough,IF(ISNUMBER('Step 2 - Update outturn data'!K21),'Step 2 - Update outturn data'!K21,""),IF(ISNUMBER('Step 3 (IMPL) - Enter outlook'!J23),'Step 3 (IMPL) - Enter outlook'!J23,""))</f>
        <v/>
      </c>
      <c r="K21" s="155" t="str">
        <f>IF(K$4&lt;=OutturnThrough,IF(ISNUMBER('Step 2 - Update outturn data'!L21),'Step 2 - Update outturn data'!L21,""),IF(ISNUMBER('Step 3 (IMPL) - Enter outlook'!K23),'Step 3 (IMPL) - Enter outlook'!K23,""))</f>
        <v/>
      </c>
      <c r="L21" s="69"/>
      <c r="M21" s="69"/>
      <c r="N21" s="62"/>
      <c r="O21" s="62"/>
      <c r="P21" s="62"/>
      <c r="Q21" s="62"/>
      <c r="R21" s="62"/>
      <c r="S21" s="62"/>
      <c r="T21" s="62"/>
      <c r="U21" s="62"/>
      <c r="V21" s="62"/>
      <c r="W21" s="62"/>
    </row>
    <row r="22" spans="2:23" customFormat="1" ht="20.25" customHeight="1" x14ac:dyDescent="0.4">
      <c r="B22" s="55" t="s">
        <v>280</v>
      </c>
      <c r="C22" s="44" t="s">
        <v>633</v>
      </c>
      <c r="D22" s="155">
        <f>IF(D$4&lt;=OutturnThrough,IF(ISNUMBER('Step 2 - Update outturn data'!E22),'Step 2 - Update outturn data'!E22,""),IF(ISNUMBER('Step 3 (IMPL) - Enter outlook'!D24),'Step 3 (IMPL) - Enter outlook'!D24,""))</f>
        <v>-0.9414574313402313</v>
      </c>
      <c r="E22" s="155">
        <f>IF(E$4&lt;=OutturnThrough,IF(ISNUMBER('Step 2 - Update outturn data'!F22),'Step 2 - Update outturn data'!F22,""),IF(ISNUMBER('Step 3 (IMPL) - Enter outlook'!E24),'Step 3 (IMPL) - Enter outlook'!E24,""))</f>
        <v>-3.7310985009997299E-2</v>
      </c>
      <c r="F22" s="155">
        <f>IF(F$4&lt;=OutturnThrough,IF(ISNUMBER('Step 2 - Update outturn data'!G22),'Step 2 - Update outturn data'!G22,""),IF(ISNUMBER('Step 3 (IMPL) - Enter outlook'!F24),'Step 3 (IMPL) - Enter outlook'!F24,""))</f>
        <v>2.1381842045897326</v>
      </c>
      <c r="G22" s="155">
        <f>IF(G$4&lt;=OutturnThrough,IF(ISNUMBER('Step 2 - Update outturn data'!H22),'Step 2 - Update outturn data'!H22,""),IF(ISNUMBER('Step 3 (IMPL) - Enter outlook'!G24),'Step 3 (IMPL) - Enter outlook'!G24,""))</f>
        <v>2.6</v>
      </c>
      <c r="H22" s="155" t="str">
        <f>IF(H$4&lt;=OutturnThrough,IF(ISNUMBER('Step 2 - Update outturn data'!I22),'Step 2 - Update outturn data'!I22,""),IF(ISNUMBER('Step 3 (IMPL) - Enter outlook'!H24),'Step 3 (IMPL) - Enter outlook'!H24,""))</f>
        <v/>
      </c>
      <c r="I22" s="155" t="str">
        <f>IF(I$4&lt;=OutturnThrough,IF(ISNUMBER('Step 2 - Update outturn data'!J22),'Step 2 - Update outturn data'!J22,""),IF(ISNUMBER('Step 3 (IMPL) - Enter outlook'!I24),'Step 3 (IMPL) - Enter outlook'!I24,""))</f>
        <v/>
      </c>
      <c r="J22" s="155" t="str">
        <f>IF(J$4&lt;=OutturnThrough,IF(ISNUMBER('Step 2 - Update outturn data'!K22),'Step 2 - Update outturn data'!K22,""),IF(ISNUMBER('Step 3 (IMPL) - Enter outlook'!J24),'Step 3 (IMPL) - Enter outlook'!J24,""))</f>
        <v/>
      </c>
      <c r="K22" s="155" t="str">
        <f>IF(K$4&lt;=OutturnThrough,IF(ISNUMBER('Step 2 - Update outturn data'!L22),'Step 2 - Update outturn data'!L22,""),IF(ISNUMBER('Step 3 (IMPL) - Enter outlook'!K24),'Step 3 (IMPL) - Enter outlook'!K24,""))</f>
        <v/>
      </c>
      <c r="L22" s="69"/>
      <c r="M22" s="69"/>
      <c r="N22" s="62"/>
      <c r="O22" s="62"/>
      <c r="P22" s="62"/>
      <c r="Q22" s="62"/>
      <c r="R22" s="62"/>
      <c r="S22" s="62"/>
      <c r="T22" s="62"/>
      <c r="U22" s="62"/>
      <c r="V22" s="62"/>
      <c r="W22" s="62"/>
    </row>
    <row r="23" spans="2:23" customFormat="1" ht="14.65" customHeight="1" x14ac:dyDescent="0.4">
      <c r="B23" s="55" t="s">
        <v>281</v>
      </c>
      <c r="C23" s="44" t="s">
        <v>633</v>
      </c>
      <c r="D23" s="155">
        <f>IF(D$4&lt;=OutturnThrough,IF(ISNUMBER('Step 2 - Update outturn data'!E23),'Step 2 - Update outturn data'!E23,""),IF(ISNUMBER('Step 3 (IMPL) - Enter outlook'!D25),'Step 3 (IMPL) - Enter outlook'!D25,""))</f>
        <v>10.672371603556009</v>
      </c>
      <c r="E23" s="155">
        <f>IF(E$4&lt;=OutturnThrough,IF(ISNUMBER('Step 2 - Update outturn data'!F23),'Step 2 - Update outturn data'!F23,""),IF(ISNUMBER('Step 3 (IMPL) - Enter outlook'!E25),'Step 3 (IMPL) - Enter outlook'!E25,""))</f>
        <v>2.7885650030008202</v>
      </c>
      <c r="F23" s="155">
        <f>IF(F$4&lt;=OutturnThrough,IF(ISNUMBER('Step 2 - Update outturn data'!G23),'Step 2 - Update outturn data'!G23,""),IF(ISNUMBER('Step 3 (IMPL) - Enter outlook'!F25),'Step 3 (IMPL) - Enter outlook'!F25,""))</f>
        <v>3.623853135142574</v>
      </c>
      <c r="G23" s="155">
        <f>IF(G$4&lt;=OutturnThrough,IF(ISNUMBER('Step 2 - Update outturn data'!H23),'Step 2 - Update outturn data'!H23,""),IF(ISNUMBER('Step 3 (IMPL) - Enter outlook'!G25),'Step 3 (IMPL) - Enter outlook'!G25,""))</f>
        <v>3.3</v>
      </c>
      <c r="H23" s="155" t="str">
        <f>IF(H$4&lt;=OutturnThrough,IF(ISNUMBER('Step 2 - Update outturn data'!I23),'Step 2 - Update outturn data'!I23,""),IF(ISNUMBER('Step 3 (IMPL) - Enter outlook'!H25),'Step 3 (IMPL) - Enter outlook'!H25,""))</f>
        <v/>
      </c>
      <c r="I23" s="155" t="str">
        <f>IF(I$4&lt;=OutturnThrough,IF(ISNUMBER('Step 2 - Update outturn data'!J23),'Step 2 - Update outturn data'!J23,""),IF(ISNUMBER('Step 3 (IMPL) - Enter outlook'!I25),'Step 3 (IMPL) - Enter outlook'!I25,""))</f>
        <v/>
      </c>
      <c r="J23" s="155" t="str">
        <f>IF(J$4&lt;=OutturnThrough,IF(ISNUMBER('Step 2 - Update outturn data'!K23),'Step 2 - Update outturn data'!K23,""),IF(ISNUMBER('Step 3 (IMPL) - Enter outlook'!J25),'Step 3 (IMPL) - Enter outlook'!J25,""))</f>
        <v/>
      </c>
      <c r="K23" s="155" t="str">
        <f>IF(K$4&lt;=OutturnThrough,IF(ISNUMBER('Step 2 - Update outturn data'!L23),'Step 2 - Update outturn data'!L23,""),IF(ISNUMBER('Step 3 (IMPL) - Enter outlook'!K25),'Step 3 (IMPL) - Enter outlook'!K25,""))</f>
        <v/>
      </c>
      <c r="L23" s="69"/>
      <c r="M23" s="69"/>
      <c r="N23" s="62"/>
      <c r="O23" s="62"/>
      <c r="P23" s="62"/>
      <c r="Q23" s="62"/>
      <c r="R23" s="62"/>
      <c r="S23" s="62"/>
      <c r="T23" s="62"/>
      <c r="U23" s="62"/>
      <c r="V23" s="62"/>
      <c r="W23" s="62"/>
    </row>
    <row r="24" spans="2:23" customFormat="1" ht="14.65" customHeight="1" x14ac:dyDescent="0.4">
      <c r="B24" s="55" t="s">
        <v>282</v>
      </c>
      <c r="C24" s="44" t="s">
        <v>633</v>
      </c>
      <c r="D24" s="155">
        <f>IF(D$4&lt;=OutturnThrough,IF(ISNUMBER('Step 2 - Update outturn data'!E24),'Step 2 - Update outturn data'!E24,""),IF(ISNUMBER('Step 3 (IMPL) - Enter outlook'!D26),'Step 3 (IMPL) - Enter outlook'!D26,""))</f>
        <v>9.630438336653846</v>
      </c>
      <c r="E24" s="155">
        <f>IF(E$4&lt;=OutturnThrough,IF(ISNUMBER('Step 2 - Update outturn data'!F24),'Step 2 - Update outturn data'!F24,""),IF(ISNUMBER('Step 3 (IMPL) - Enter outlook'!E26),'Step 3 (IMPL) - Enter outlook'!E26,""))</f>
        <v>2.7502135769205571</v>
      </c>
      <c r="F24" s="155">
        <f>IF(F$4&lt;=OutturnThrough,IF(ISNUMBER('Step 2 - Update outturn data'!G24),'Step 2 - Update outturn data'!G24,""),IF(ISNUMBER('Step 3 (IMPL) - Enter outlook'!F26),'Step 3 (IMPL) - Enter outlook'!F26,""))</f>
        <v>5.8395219950654553</v>
      </c>
      <c r="G24" s="155">
        <f>IF(G$4&lt;=OutturnThrough,IF(ISNUMBER('Step 2 - Update outturn data'!H24),'Step 2 - Update outturn data'!H24,""),IF(ISNUMBER('Step 3 (IMPL) - Enter outlook'!G26),'Step 3 (IMPL) - Enter outlook'!G26,""))</f>
        <v>6.1</v>
      </c>
      <c r="H24" s="155" t="str">
        <f>IF(H$4&lt;=OutturnThrough,IF(ISNUMBER('Step 2 - Update outturn data'!I24),'Step 2 - Update outturn data'!I24,""),IF(ISNUMBER('Step 3 (IMPL) - Enter outlook'!H26),'Step 3 (IMPL) - Enter outlook'!H26,""))</f>
        <v/>
      </c>
      <c r="I24" s="155" t="str">
        <f>IF(I$4&lt;=OutturnThrough,IF(ISNUMBER('Step 2 - Update outturn data'!J24),'Step 2 - Update outturn data'!J24,""),IF(ISNUMBER('Step 3 (IMPL) - Enter outlook'!I26),'Step 3 (IMPL) - Enter outlook'!I26,""))</f>
        <v/>
      </c>
      <c r="J24" s="155" t="str">
        <f>IF(J$4&lt;=OutturnThrough,IF(ISNUMBER('Step 2 - Update outturn data'!K24),'Step 2 - Update outturn data'!K24,""),IF(ISNUMBER('Step 3 (IMPL) - Enter outlook'!J26),'Step 3 (IMPL) - Enter outlook'!J26,""))</f>
        <v/>
      </c>
      <c r="K24" s="155" t="str">
        <f>IF(K$4&lt;=OutturnThrough,IF(ISNUMBER('Step 2 - Update outturn data'!L24),'Step 2 - Update outturn data'!L24,""),IF(ISNUMBER('Step 3 (IMPL) - Enter outlook'!K26),'Step 3 (IMPL) - Enter outlook'!K26,""))</f>
        <v/>
      </c>
      <c r="L24" s="69"/>
      <c r="M24" s="69"/>
      <c r="N24" s="62"/>
      <c r="O24" s="62"/>
      <c r="P24" s="62"/>
      <c r="Q24" s="62"/>
      <c r="R24" s="62"/>
      <c r="S24" s="62"/>
      <c r="T24" s="62"/>
      <c r="U24" s="62"/>
      <c r="V24" s="62"/>
      <c r="W24" s="62"/>
    </row>
    <row r="25" spans="2:23" customFormat="1" ht="14.65" customHeight="1" x14ac:dyDescent="0.4">
      <c r="B25" s="55" t="s">
        <v>283</v>
      </c>
      <c r="C25" s="44" t="s">
        <v>633</v>
      </c>
      <c r="D25" s="155">
        <f>IF(D$4&lt;=OutturnThrough,IF(ISNUMBER('Step 2 - Update outturn data'!E25),'Step 2 - Update outturn data'!E25,""),IF(ISNUMBER('Step 3 (IMPL) - Enter outlook'!D27),'Step 3 (IMPL) - Enter outlook'!D27,""))</f>
        <v>1.0494115850457675</v>
      </c>
      <c r="E25" s="155">
        <f>IF(E$4&lt;=OutturnThrough,IF(ISNUMBER('Step 2 - Update outturn data'!F25),'Step 2 - Update outturn data'!F25,""),IF(ISNUMBER('Step 3 (IMPL) - Enter outlook'!E27),'Step 3 (IMPL) - Enter outlook'!E27,""))</f>
        <v>0.56895479625649337</v>
      </c>
      <c r="F25" s="155">
        <f>IF(F$4&lt;=OutturnThrough,IF(ISNUMBER('Step 2 - Update outturn data'!G25),'Step 2 - Update outturn data'!G25,""),IF(ISNUMBER('Step 3 (IMPL) - Enter outlook'!F27),'Step 3 (IMPL) - Enter outlook'!F27,""))</f>
        <v>0.90465793805487582</v>
      </c>
      <c r="G25" s="155">
        <f>IF(G$4&lt;=OutturnThrough,IF(ISNUMBER('Step 2 - Update outturn data'!H25),'Step 2 - Update outturn data'!H25,""),IF(ISNUMBER('Step 3 (IMPL) - Enter outlook'!G27),'Step 3 (IMPL) - Enter outlook'!G27,""))</f>
        <v>1.9</v>
      </c>
      <c r="H25" s="155" t="str">
        <f>IF(H$4&lt;=OutturnThrough,IF(ISNUMBER('Step 2 - Update outturn data'!I25),'Step 2 - Update outturn data'!I25,""),IF(ISNUMBER('Step 3 (IMPL) - Enter outlook'!H27),'Step 3 (IMPL) - Enter outlook'!H27,""))</f>
        <v/>
      </c>
      <c r="I25" s="155" t="str">
        <f>IF(I$4&lt;=OutturnThrough,IF(ISNUMBER('Step 2 - Update outturn data'!J25),'Step 2 - Update outturn data'!J25,""),IF(ISNUMBER('Step 3 (IMPL) - Enter outlook'!I27),'Step 3 (IMPL) - Enter outlook'!I27,""))</f>
        <v/>
      </c>
      <c r="J25" s="155" t="str">
        <f>IF(J$4&lt;=OutturnThrough,IF(ISNUMBER('Step 2 - Update outturn data'!K25),'Step 2 - Update outturn data'!K25,""),IF(ISNUMBER('Step 3 (IMPL) - Enter outlook'!J27),'Step 3 (IMPL) - Enter outlook'!J27,""))</f>
        <v/>
      </c>
      <c r="K25" s="155" t="str">
        <f>IF(K$4&lt;=OutturnThrough,IF(ISNUMBER('Step 2 - Update outturn data'!L25),'Step 2 - Update outturn data'!L25,""),IF(ISNUMBER('Step 3 (IMPL) - Enter outlook'!K27),'Step 3 (IMPL) - Enter outlook'!K27,""))</f>
        <v/>
      </c>
      <c r="L25" s="69"/>
      <c r="M25" s="69"/>
      <c r="N25" s="62"/>
      <c r="O25" s="62"/>
      <c r="P25" s="62"/>
      <c r="Q25" s="62"/>
      <c r="R25" s="62"/>
      <c r="S25" s="62"/>
      <c r="T25" s="62"/>
      <c r="U25" s="62"/>
      <c r="V25" s="62"/>
      <c r="W25" s="62"/>
    </row>
    <row r="26" spans="2:23" customFormat="1" ht="14.65" customHeight="1" x14ac:dyDescent="0.4">
      <c r="B26" s="55" t="s">
        <v>272</v>
      </c>
      <c r="C26" s="44" t="s">
        <v>599</v>
      </c>
      <c r="D26" s="155">
        <f>IF(D$4&lt;=OutturnThrough,IF(ISNUMBER('Step 2 - Update outturn data'!E26),'Step 2 - Update outturn data'!E26,""),IF(ISNUMBER('Step 3 (IMPL) - Enter outlook'!D28),'Step 3 (IMPL) - Enter outlook'!D28,""))</f>
        <v>-0.6672176438640709</v>
      </c>
      <c r="E26" s="155">
        <f>IF(E$4&lt;=OutturnThrough,IF(ISNUMBER('Step 2 - Update outturn data'!F26),'Step 2 - Update outturn data'!F26,""),IF(ISNUMBER('Step 3 (IMPL) - Enter outlook'!E28),'Step 3 (IMPL) - Enter outlook'!E28,""))</f>
        <v>-1.2657760235122772</v>
      </c>
      <c r="F26" s="155">
        <f>IF(F$4&lt;=OutturnThrough,IF(ISNUMBER('Step 2 - Update outturn data'!G26),'Step 2 - Update outturn data'!G26,""),IF(ISNUMBER('Step 3 (IMPL) - Enter outlook'!F28),'Step 3 (IMPL) - Enter outlook'!F28,""))</f>
        <v>-5.9072774617829893E-2</v>
      </c>
      <c r="G26" s="155">
        <f>IF(G$4&lt;=OutturnThrough,IF(ISNUMBER('Step 2 - Update outturn data'!H26),'Step 2 - Update outturn data'!H26,""),IF(ISNUMBER('Step 3 (IMPL) - Enter outlook'!G28),'Step 3 (IMPL) - Enter outlook'!G28,""))</f>
        <v>-1</v>
      </c>
      <c r="H26" s="155" t="str">
        <f>IF(H$4&lt;=OutturnThrough,IF(ISNUMBER('Step 2 - Update outturn data'!I26),'Step 2 - Update outturn data'!I26,""),IF(ISNUMBER('Step 3 (IMPL) - Enter outlook'!H28),'Step 3 (IMPL) - Enter outlook'!H28,""))</f>
        <v/>
      </c>
      <c r="I26" s="155" t="str">
        <f>IF(I$4&lt;=OutturnThrough,IF(ISNUMBER('Step 2 - Update outturn data'!J26),'Step 2 - Update outturn data'!J26,""),IF(ISNUMBER('Step 3 (IMPL) - Enter outlook'!I28),'Step 3 (IMPL) - Enter outlook'!I28,""))</f>
        <v/>
      </c>
      <c r="J26" s="155" t="str">
        <f>IF(J$4&lt;=OutturnThrough,IF(ISNUMBER('Step 2 - Update outturn data'!K26),'Step 2 - Update outturn data'!K26,""),IF(ISNUMBER('Step 3 (IMPL) - Enter outlook'!J28),'Step 3 (IMPL) - Enter outlook'!J28,""))</f>
        <v/>
      </c>
      <c r="K26" s="155" t="str">
        <f>IF(K$4&lt;=OutturnThrough,IF(ISNUMBER('Step 2 - Update outturn data'!L26),'Step 2 - Update outturn data'!L26,""),IF(ISNUMBER('Step 3 (IMPL) - Enter outlook'!K28),'Step 3 (IMPL) - Enter outlook'!K28,""))</f>
        <v/>
      </c>
      <c r="L26" s="69"/>
      <c r="M26" s="69"/>
      <c r="N26" s="62"/>
      <c r="O26" s="62"/>
      <c r="P26" s="62"/>
      <c r="Q26" s="62"/>
      <c r="R26" s="62"/>
      <c r="S26" s="62"/>
      <c r="T26" s="62"/>
      <c r="U26" s="62"/>
      <c r="V26" s="62"/>
      <c r="W26" s="62"/>
    </row>
    <row r="27" spans="2:23" customFormat="1" ht="14.65" customHeight="1" x14ac:dyDescent="0.4">
      <c r="B27" s="61" t="s">
        <v>289</v>
      </c>
      <c r="C27" s="42" t="s">
        <v>635</v>
      </c>
      <c r="D27" s="156">
        <f>IF(D$4&lt;=OutturnThrough,IF(ISNUMBER('Step 2 - Update outturn data'!E27),'Step 2 - Update outturn data'!E27,""),IF(ISNUMBER('Step 3 (IMPL) - Enter outlook'!D29),'Step 3 (IMPL) - Enter outlook'!D29,""))</f>
        <v>39.5642</v>
      </c>
      <c r="E27" s="156">
        <f>IF(E$4&lt;=OutturnThrough,IF(ISNUMBER('Step 2 - Update outturn data'!F27),'Step 2 - Update outturn data'!F27,""),IF(ISNUMBER('Step 3 (IMPL) - Enter outlook'!E29),'Step 3 (IMPL) - Enter outlook'!E29,""))</f>
        <v>40.652300000000004</v>
      </c>
      <c r="F27" s="156">
        <f>IF(F$4&lt;=OutturnThrough,IF(ISNUMBER('Step 2 - Update outturn data'!G27),'Step 2 - Update outturn data'!G27,""),IF(ISNUMBER('Step 3 (IMPL) - Enter outlook'!F29),'Step 3 (IMPL) - Enter outlook'!F29,""))</f>
        <v>43.026199999999996</v>
      </c>
      <c r="G27" s="156">
        <f>IF(G$4&lt;=OutturnThrough,IF(ISNUMBER('Step 2 - Update outturn data'!H27),'Step 2 - Update outturn data'!H27,""),IF(ISNUMBER('Step 3 (IMPL) - Enter outlook'!G29),'Step 3 (IMPL) - Enter outlook'!G29,""))</f>
        <v>45.65079819999999</v>
      </c>
      <c r="H27" s="156" t="str">
        <f>IF(H$4&lt;=OutturnThrough,IF(ISNUMBER('Step 2 - Update outturn data'!I27),'Step 2 - Update outturn data'!I27,""),IF(ISNUMBER('Step 3 (IMPL) - Enter outlook'!H29),'Step 3 (IMPL) - Enter outlook'!H29,""))</f>
        <v/>
      </c>
      <c r="I27" s="156" t="str">
        <f>IF(I$4&lt;=OutturnThrough,IF(ISNUMBER('Step 2 - Update outturn data'!J27),'Step 2 - Update outturn data'!J27,""),IF(ISNUMBER('Step 3 (IMPL) - Enter outlook'!I29),'Step 3 (IMPL) - Enter outlook'!I29,""))</f>
        <v/>
      </c>
      <c r="J27" s="156" t="str">
        <f>IF(J$4&lt;=OutturnThrough,IF(ISNUMBER('Step 2 - Update outturn data'!K27),'Step 2 - Update outturn data'!K27,""),IF(ISNUMBER('Step 3 (IMPL) - Enter outlook'!J29),'Step 3 (IMPL) - Enter outlook'!J29,""))</f>
        <v/>
      </c>
      <c r="K27" s="156" t="str">
        <f>IF(K$4&lt;=OutturnThrough,IF(ISNUMBER('Step 2 - Update outturn data'!L27),'Step 2 - Update outturn data'!L27,""),IF(ISNUMBER('Step 3 (IMPL) - Enter outlook'!K29),'Step 3 (IMPL) - Enter outlook'!K29,""))</f>
        <v/>
      </c>
      <c r="L27" s="99"/>
      <c r="M27" s="99"/>
      <c r="N27" s="99"/>
      <c r="O27" s="99"/>
      <c r="P27" s="99"/>
      <c r="Q27" s="99"/>
      <c r="R27" s="99"/>
      <c r="S27" s="99"/>
      <c r="T27" s="99"/>
      <c r="U27" s="99"/>
      <c r="V27" s="99"/>
      <c r="W27" s="99"/>
    </row>
    <row r="28" spans="2:23" customFormat="1" x14ac:dyDescent="0.4">
      <c r="C28" s="14"/>
    </row>
    <row r="29" spans="2:23" customFormat="1" ht="23.25" x14ac:dyDescent="0.7">
      <c r="B29" s="13"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4"/>
    </row>
    <row r="30" spans="2:23" customFormat="1" ht="18" x14ac:dyDescent="0.55000000000000004">
      <c r="B30" s="50" t="s">
        <v>312</v>
      </c>
      <c r="C30" s="14"/>
    </row>
    <row r="31" spans="2:23" customFormat="1" ht="15.75" x14ac:dyDescent="0.5">
      <c r="B31" s="79" t="s">
        <v>310</v>
      </c>
      <c r="C31" s="14"/>
      <c r="D31" s="44"/>
      <c r="E31" s="44"/>
      <c r="F31" s="44"/>
      <c r="G31" s="44"/>
      <c r="H31" s="44"/>
      <c r="I31" s="44"/>
      <c r="J31" s="44"/>
      <c r="K31" s="44"/>
      <c r="L31" s="44"/>
      <c r="M31" s="44"/>
      <c r="N31" s="44"/>
      <c r="O31" s="44"/>
      <c r="P31" s="44"/>
      <c r="Q31" s="44"/>
      <c r="R31" s="44"/>
      <c r="S31" s="44"/>
      <c r="T31" s="44"/>
      <c r="U31" s="44"/>
    </row>
    <row r="32" spans="2:23" customFormat="1" x14ac:dyDescent="0.4">
      <c r="B32" s="39" t="s">
        <v>251</v>
      </c>
      <c r="C32" s="94"/>
      <c r="D32" s="44" cm="1">
        <f t="array" ref="D32:I32">_xlfn.SEQUENCE(1, MTP_EndYear-MTP_BaseYear+1, MTP_BaseYear)</f>
        <v>2023</v>
      </c>
      <c r="E32" s="44">
        <v>2024</v>
      </c>
      <c r="F32" s="44">
        <v>2025</v>
      </c>
      <c r="G32" s="44">
        <v>2026</v>
      </c>
      <c r="H32" s="44">
        <v>2027</v>
      </c>
      <c r="I32" s="44">
        <v>2028</v>
      </c>
      <c r="J32" s="44"/>
      <c r="K32" s="44"/>
      <c r="L32" s="44"/>
      <c r="M32" s="44"/>
      <c r="N32" s="44"/>
      <c r="O32" s="44"/>
      <c r="P32" s="44"/>
      <c r="Q32" s="44"/>
      <c r="R32" s="44"/>
      <c r="S32" s="44"/>
      <c r="T32" s="44"/>
      <c r="U32" s="44"/>
    </row>
    <row r="33" spans="2:23" customFormat="1" x14ac:dyDescent="0.4">
      <c r="B33" s="41" t="s">
        <v>274</v>
      </c>
      <c r="C33" s="19"/>
      <c r="D33" s="47" t="str" cm="1">
        <f t="array" ref="D33:I33">CHOOSE(
  SIGN(_xlfn.SEQUENCE(1, MTP_PlanningHorizon+2, -1)) + 2,
  "T" &amp; _xlfn.SEQUENCE(1, MTP_PlanningHorizon+2, -1),
  "T",
  "T+" &amp; _xlfn.SEQUENCE(1, MTP_PlanningHorizon+2, -1)
)</f>
        <v>T-1</v>
      </c>
      <c r="E33" s="47" t="str">
        <v>T</v>
      </c>
      <c r="F33" s="47" t="str">
        <v>T+1</v>
      </c>
      <c r="G33" s="47" t="str">
        <v>T+2</v>
      </c>
      <c r="H33" s="47" t="str">
        <v>T+3</v>
      </c>
      <c r="I33" s="47" t="str">
        <v>T+4</v>
      </c>
      <c r="J33" s="47"/>
      <c r="K33" s="47"/>
      <c r="L33" s="47"/>
      <c r="M33" s="47"/>
      <c r="N33" s="47"/>
      <c r="O33" s="44"/>
      <c r="P33" s="44"/>
      <c r="Q33" s="44"/>
      <c r="R33" s="44"/>
      <c r="S33" s="44"/>
      <c r="T33" s="44"/>
      <c r="U33" s="44"/>
    </row>
    <row r="34" spans="2:23" customFormat="1" x14ac:dyDescent="0.4">
      <c r="B34" s="44" t="s">
        <v>213</v>
      </c>
      <c r="C34" s="14"/>
      <c r="D34" s="44" t="str">
        <f>IF(ISNUMBER('Step 3 (MTP) - Plan and prior'!D6),'Step 3 (MTP) - Plan and prior'!D6,"")</f>
        <v/>
      </c>
      <c r="E34" s="44">
        <f>IF(ISNUMBER('Step 3 (MTP) - Plan and prior'!E6),'Step 3 (MTP) - Plan and prior'!E6,"")</f>
        <v>9.1</v>
      </c>
      <c r="F34" s="44">
        <f>IF(ISNUMBER('Step 3 (MTP) - Plan and prior'!F6),'Step 3 (MTP) - Plan and prior'!F6,"")</f>
        <v>5.8999999999999995</v>
      </c>
      <c r="G34" s="44">
        <f>IF(ISNUMBER('Step 3 (MTP) - Plan and prior'!G6),'Step 3 (MTP) - Plan and prior'!G6,"")</f>
        <v>3.5999999999999996</v>
      </c>
      <c r="H34" s="44">
        <f>IF(ISNUMBER('Step 3 (MTP) - Plan and prior'!H6),'Step 3 (MTP) - Plan and prior'!H6,"")</f>
        <v>3.4000000000000004</v>
      </c>
      <c r="I34" s="44">
        <f>IF(ISNUMBER('Step 3 (MTP) - Plan and prior'!I6),'Step 3 (MTP) - Plan and prior'!I6,"")</f>
        <v>3.3000000000000003</v>
      </c>
      <c r="J34" s="44" t="str">
        <f>IF(ISNUMBER('Step 3 (MTP) - Plan and prior'!J6),'Step 3 (MTP) - Plan and prior'!J6,"")</f>
        <v/>
      </c>
      <c r="K34" s="44" t="str">
        <f>IF(ISNUMBER('Step 3 (MTP) - Plan and prior'!K6),'Step 3 (MTP) - Plan and prior'!K6,"")</f>
        <v/>
      </c>
      <c r="L34" s="44" t="str">
        <f>IF(ISNUMBER('Step 3 (MTP) - Plan and prior'!L6),'Step 3 (MTP) - Plan and prior'!L6,"")</f>
        <v/>
      </c>
      <c r="M34" s="44" t="str">
        <f>IF(ISNUMBER('Step 3 (MTP) - Plan and prior'!M6),'Step 3 (MTP) - Plan and prior'!M6,"")</f>
        <v/>
      </c>
      <c r="N34" s="44" t="str">
        <f>IF(ISNUMBER('Step 3 (MTP) - Plan and prior'!N6),'Step 3 (MTP) - Plan and prior'!N6,"")</f>
        <v/>
      </c>
      <c r="O34" s="44"/>
      <c r="P34" s="44"/>
      <c r="Q34" s="44"/>
      <c r="R34" s="44"/>
      <c r="S34" s="44"/>
      <c r="T34" s="44"/>
      <c r="U34" s="44"/>
      <c r="V34" s="44"/>
      <c r="W34" s="44"/>
    </row>
    <row r="35" spans="2:23" customFormat="1" ht="20.25" customHeight="1" x14ac:dyDescent="0.4">
      <c r="B35" s="55" t="s">
        <v>206</v>
      </c>
      <c r="C35" s="14"/>
      <c r="D35" s="58">
        <f>IF(ISNUMBER('Step 3 (MTP) - Plan and prior'!D7),'Step 3 (MTP) - Plan and prior'!D7,"")</f>
        <v>-2.2000000000000002</v>
      </c>
      <c r="E35" s="58">
        <f>IF(ISNUMBER('Step 3 (MTP) - Plan and prior'!E7),'Step 3 (MTP) - Plan and prior'!E7,"")</f>
        <v>-2.6</v>
      </c>
      <c r="F35" s="58">
        <f>IF(ISNUMBER('Step 3 (MTP) - Plan and prior'!F7),'Step 3 (MTP) - Plan and prior'!F7,"")</f>
        <v>-2.9</v>
      </c>
      <c r="G35" s="58">
        <f>IF(ISNUMBER('Step 3 (MTP) - Plan and prior'!G7),'Step 3 (MTP) - Plan and prior'!G7,"")</f>
        <v>-2.9</v>
      </c>
      <c r="H35" s="58">
        <f>IF(ISNUMBER('Step 3 (MTP) - Plan and prior'!H7),'Step 3 (MTP) - Plan and prior'!H7,"")</f>
        <v>-2.9</v>
      </c>
      <c r="I35" s="58">
        <f>IF(ISNUMBER('Step 3 (MTP) - Plan and prior'!I7),'Step 3 (MTP) - Plan and prior'!I7,"")</f>
        <v>-2.9</v>
      </c>
      <c r="J35" s="58" t="str">
        <f>IF(ISNUMBER('Step 3 (MTP) - Plan and prior'!J7),'Step 3 (MTP) - Plan and prior'!J7,"")</f>
        <v/>
      </c>
      <c r="K35" s="58" t="str">
        <f>IF(ISNUMBER('Step 3 (MTP) - Plan and prior'!K7),'Step 3 (MTP) - Plan and prior'!K7,"")</f>
        <v/>
      </c>
      <c r="L35" s="58" t="str">
        <f>IF(ISNUMBER('Step 3 (MTP) - Plan and prior'!L7),'Step 3 (MTP) - Plan and prior'!L7,"")</f>
        <v/>
      </c>
      <c r="M35" s="58" t="str">
        <f>IF(ISNUMBER('Step 3 (MTP) - Plan and prior'!M7),'Step 3 (MTP) - Plan and prior'!M7,"")</f>
        <v/>
      </c>
      <c r="N35" s="58" t="str">
        <f>IF(ISNUMBER('Step 3 (MTP) - Plan and prior'!N7),'Step 3 (MTP) - Plan and prior'!N7,"")</f>
        <v/>
      </c>
      <c r="O35" s="58"/>
      <c r="P35" s="58"/>
      <c r="Q35" s="58"/>
      <c r="R35" s="58"/>
      <c r="S35" s="58"/>
      <c r="T35" s="58"/>
      <c r="U35" s="58"/>
      <c r="V35" s="58"/>
      <c r="W35" s="58"/>
    </row>
    <row r="36" spans="2:23" customFormat="1" x14ac:dyDescent="0.4">
      <c r="B36" s="55" t="s">
        <v>0</v>
      </c>
      <c r="C36" s="14"/>
      <c r="D36" s="58">
        <f>IF(ISNUMBER('Step 3 (MTP) - Plan and prior'!D8),'Step 3 (MTP) - Plan and prior'!D8,"")</f>
        <v>-1.8</v>
      </c>
      <c r="E36" s="58">
        <f>IF(ISNUMBER('Step 3 (MTP) - Plan and prior'!E8),'Step 3 (MTP) - Plan and prior'!E8,"")</f>
        <v>-1.9</v>
      </c>
      <c r="F36" s="58">
        <f>IF(ISNUMBER('Step 3 (MTP) - Plan and prior'!F8),'Step 3 (MTP) - Plan and prior'!F8,"")</f>
        <v>-2.5</v>
      </c>
      <c r="G36" s="58">
        <f>IF(ISNUMBER('Step 3 (MTP) - Plan and prior'!G8),'Step 3 (MTP) - Plan and prior'!G8,"")</f>
        <v>-2.6</v>
      </c>
      <c r="H36" s="58">
        <f>IF(ISNUMBER('Step 3 (MTP) - Plan and prior'!H8),'Step 3 (MTP) - Plan and prior'!H8,"")</f>
        <v>-2.7</v>
      </c>
      <c r="I36" s="58">
        <f>IF(ISNUMBER('Step 3 (MTP) - Plan and prior'!I8),'Step 3 (MTP) - Plan and prior'!I8,"")</f>
        <v>-2.7</v>
      </c>
      <c r="J36" s="58" t="str">
        <f>IF(ISNUMBER('Step 3 (MTP) - Plan and prior'!J8),'Step 3 (MTP) - Plan and prior'!J8,"")</f>
        <v/>
      </c>
      <c r="K36" s="58" t="str">
        <f>IF(ISNUMBER('Step 3 (MTP) - Plan and prior'!K8),'Step 3 (MTP) - Plan and prior'!K8,"")</f>
        <v/>
      </c>
      <c r="L36" s="58" t="str">
        <f>IF(ISNUMBER('Step 3 (MTP) - Plan and prior'!L8),'Step 3 (MTP) - Plan and prior'!L8,"")</f>
        <v/>
      </c>
      <c r="M36" s="58" t="str">
        <f>IF(ISNUMBER('Step 3 (MTP) - Plan and prior'!M8),'Step 3 (MTP) - Plan and prior'!M8,"")</f>
        <v/>
      </c>
      <c r="N36" s="58" t="str">
        <f>IF(ISNUMBER('Step 3 (MTP) - Plan and prior'!N8),'Step 3 (MTP) - Plan and prior'!N8,"")</f>
        <v/>
      </c>
      <c r="O36" s="58"/>
      <c r="P36" s="58"/>
      <c r="Q36" s="58"/>
      <c r="R36" s="58"/>
      <c r="S36" s="58"/>
      <c r="T36" s="58"/>
      <c r="U36" s="58"/>
      <c r="V36" s="58"/>
      <c r="W36" s="58"/>
    </row>
    <row r="37" spans="2:23" customFormat="1" x14ac:dyDescent="0.4">
      <c r="B37" s="55" t="s">
        <v>3</v>
      </c>
      <c r="C37" s="14"/>
      <c r="D37" s="58">
        <f>IF(ISNUMBER('Step 3 (MTP) - Plan and prior'!D9),'Step 3 (MTP) - Plan and prior'!D9,"")</f>
        <v>-1.2</v>
      </c>
      <c r="E37" s="58">
        <f>IF(ISNUMBER('Step 3 (MTP) - Plan and prior'!E9),'Step 3 (MTP) - Plan and prior'!E9,"")</f>
        <v>-0.8</v>
      </c>
      <c r="F37" s="58">
        <f>IF(ISNUMBER('Step 3 (MTP) - Plan and prior'!F9),'Step 3 (MTP) - Plan and prior'!F9,"")</f>
        <v>-1.3</v>
      </c>
      <c r="G37" s="58">
        <f>IF(ISNUMBER('Step 3 (MTP) - Plan and prior'!G9),'Step 3 (MTP) - Plan and prior'!G9,"")</f>
        <v>-1.3</v>
      </c>
      <c r="H37" s="58">
        <f>IF(ISNUMBER('Step 3 (MTP) - Plan and prior'!H9),'Step 3 (MTP) - Plan and prior'!H9,"")</f>
        <v>-1.3</v>
      </c>
      <c r="I37" s="58">
        <f>IF(ISNUMBER('Step 3 (MTP) - Plan and prior'!I9),'Step 3 (MTP) - Plan and prior'!I9,"")</f>
        <v>-1.3</v>
      </c>
      <c r="J37" s="58" t="str">
        <f>IF(ISNUMBER('Step 3 (MTP) - Plan and prior'!J9),'Step 3 (MTP) - Plan and prior'!J9,"")</f>
        <v/>
      </c>
      <c r="K37" s="58" t="str">
        <f>IF(ISNUMBER('Step 3 (MTP) - Plan and prior'!K9),'Step 3 (MTP) - Plan and prior'!K9,"")</f>
        <v/>
      </c>
      <c r="L37" s="58" t="str">
        <f>IF(ISNUMBER('Step 3 (MTP) - Plan and prior'!L9),'Step 3 (MTP) - Plan and prior'!L9,"")</f>
        <v/>
      </c>
      <c r="M37" s="58" t="str">
        <f>IF(ISNUMBER('Step 3 (MTP) - Plan and prior'!M9),'Step 3 (MTP) - Plan and prior'!M9,"")</f>
        <v/>
      </c>
      <c r="N37" s="58" t="str">
        <f>IF(ISNUMBER('Step 3 (MTP) - Plan and prior'!N9),'Step 3 (MTP) - Plan and prior'!N9,"")</f>
        <v/>
      </c>
      <c r="O37" s="58"/>
      <c r="P37" s="58"/>
      <c r="Q37" s="58"/>
      <c r="R37" s="58"/>
      <c r="S37" s="58"/>
      <c r="T37" s="58"/>
      <c r="U37" s="58"/>
      <c r="V37" s="58"/>
      <c r="W37" s="58"/>
    </row>
    <row r="38" spans="2:23" customFormat="1" x14ac:dyDescent="0.4">
      <c r="B38" s="55" t="s">
        <v>1</v>
      </c>
      <c r="C38" s="14"/>
      <c r="D38" s="58">
        <f>IF(ISNUMBER('Step 3 (MTP) - Plan and prior'!D10),'Step 3 (MTP) - Plan and prior'!D10,"")</f>
        <v>43.6</v>
      </c>
      <c r="E38" s="58">
        <f>IF(ISNUMBER('Step 3 (MTP) - Plan and prior'!E10),'Step 3 (MTP) - Plan and prior'!E10,"")</f>
        <v>45.8</v>
      </c>
      <c r="F38" s="58">
        <f>IF(ISNUMBER('Step 3 (MTP) - Plan and prior'!F10),'Step 3 (MTP) - Plan and prior'!F10,"")</f>
        <v>47.5</v>
      </c>
      <c r="G38" s="58">
        <f>IF(ISNUMBER('Step 3 (MTP) - Plan and prior'!G10),'Step 3 (MTP) - Plan and prior'!G10,"")</f>
        <v>48.5</v>
      </c>
      <c r="H38" s="58">
        <f>IF(ISNUMBER('Step 3 (MTP) - Plan and prior'!H10),'Step 3 (MTP) - Plan and prior'!H10,"")</f>
        <v>49.7</v>
      </c>
      <c r="I38" s="58">
        <f>IF(ISNUMBER('Step 3 (MTP) - Plan and prior'!I10),'Step 3 (MTP) - Plan and prior'!I10,"")</f>
        <v>50.8</v>
      </c>
      <c r="J38" s="58" t="str">
        <f>IF(ISNUMBER('Step 3 (MTP) - Plan and prior'!J10),'Step 3 (MTP) - Plan and prior'!J10,"")</f>
        <v/>
      </c>
      <c r="K38" s="58" t="str">
        <f>IF(ISNUMBER('Step 3 (MTP) - Plan and prior'!K10),'Step 3 (MTP) - Plan and prior'!K10,"")</f>
        <v/>
      </c>
      <c r="L38" s="58" t="str">
        <f>IF(ISNUMBER('Step 3 (MTP) - Plan and prior'!L10),'Step 3 (MTP) - Plan and prior'!L10,"")</f>
        <v/>
      </c>
      <c r="M38" s="58" t="str">
        <f>IF(ISNUMBER('Step 3 (MTP) - Plan and prior'!M10),'Step 3 (MTP) - Plan and prior'!M10,"")</f>
        <v/>
      </c>
      <c r="N38" s="58" t="str">
        <f>IF(ISNUMBER('Step 3 (MTP) - Plan and prior'!N10),'Step 3 (MTP) - Plan and prior'!N10,"")</f>
        <v/>
      </c>
      <c r="O38" s="58"/>
      <c r="P38" s="58"/>
      <c r="Q38" s="58"/>
      <c r="R38" s="58"/>
      <c r="S38" s="58"/>
      <c r="T38" s="58"/>
      <c r="U38" s="58"/>
      <c r="V38" s="58"/>
      <c r="W38" s="58"/>
    </row>
    <row r="39" spans="2:23" customFormat="1" x14ac:dyDescent="0.4">
      <c r="B39" s="55" t="s">
        <v>2</v>
      </c>
      <c r="C39" s="14"/>
      <c r="D39" s="58">
        <f>IF(ISNUMBER('Step 3 (MTP) - Plan and prior'!D11),'Step 3 (MTP) - Plan and prior'!D11,"")</f>
        <v>1.8</v>
      </c>
      <c r="E39" s="58">
        <f>IF(ISNUMBER('Step 3 (MTP) - Plan and prior'!E11),'Step 3 (MTP) - Plan and prior'!E11,"")</f>
        <v>2.2999999999999998</v>
      </c>
      <c r="F39" s="58">
        <f>IF(ISNUMBER('Step 3 (MTP) - Plan and prior'!F11),'Step 3 (MTP) - Plan and prior'!F11,"")</f>
        <v>1.6</v>
      </c>
      <c r="G39" s="58">
        <f>IF(ISNUMBER('Step 3 (MTP) - Plan and prior'!G11),'Step 3 (MTP) - Plan and prior'!G11,"")</f>
        <v>1.1000000000000001</v>
      </c>
      <c r="H39" s="58">
        <f>IF(ISNUMBER('Step 3 (MTP) - Plan and prior'!H11),'Step 3 (MTP) - Plan and prior'!H11,"")</f>
        <v>1.2</v>
      </c>
      <c r="I39" s="58">
        <f>IF(ISNUMBER('Step 3 (MTP) - Plan and prior'!I11),'Step 3 (MTP) - Plan and prior'!I11,"")</f>
        <v>1.2</v>
      </c>
      <c r="J39" s="58" t="str">
        <f>IF(ISNUMBER('Step 3 (MTP) - Plan and prior'!J11),'Step 3 (MTP) - Plan and prior'!J11,"")</f>
        <v/>
      </c>
      <c r="K39" s="58" t="str">
        <f>IF(ISNUMBER('Step 3 (MTP) - Plan and prior'!K11),'Step 3 (MTP) - Plan and prior'!K11,"")</f>
        <v/>
      </c>
      <c r="L39" s="58" t="str">
        <f>IF(ISNUMBER('Step 3 (MTP) - Plan and prior'!L11),'Step 3 (MTP) - Plan and prior'!L11,"")</f>
        <v/>
      </c>
      <c r="M39" s="58" t="str">
        <f>IF(ISNUMBER('Step 3 (MTP) - Plan and prior'!M11),'Step 3 (MTP) - Plan and prior'!M11,"")</f>
        <v/>
      </c>
      <c r="N39" s="58" t="str">
        <f>IF(ISNUMBER('Step 3 (MTP) - Plan and prior'!N11),'Step 3 (MTP) - Plan and prior'!N11,"")</f>
        <v/>
      </c>
      <c r="O39" s="58"/>
      <c r="P39" s="58"/>
      <c r="Q39" s="58"/>
      <c r="R39" s="58"/>
      <c r="S39" s="58"/>
      <c r="T39" s="58"/>
      <c r="U39" s="58"/>
      <c r="V39" s="58"/>
      <c r="W39" s="58"/>
    </row>
    <row r="40" spans="2:23" customFormat="1" ht="20.25" customHeight="1" x14ac:dyDescent="0.4">
      <c r="B40" s="55" t="s">
        <v>7</v>
      </c>
      <c r="C40" s="14"/>
      <c r="D40" s="58">
        <f>IF(ISNUMBER('Step 3 (MTP) - Plan and prior'!D12),'Step 3 (MTP) - Plan and prior'!D12,"")</f>
        <v>-0.3</v>
      </c>
      <c r="E40" s="58">
        <f>IF(ISNUMBER('Step 3 (MTP) - Plan and prior'!E12),'Step 3 (MTP) - Plan and prior'!E12,"")</f>
        <v>1.4</v>
      </c>
      <c r="F40" s="58">
        <f>IF(ISNUMBER('Step 3 (MTP) - Plan and prior'!F12),'Step 3 (MTP) - Plan and prior'!F12,"")</f>
        <v>2.9</v>
      </c>
      <c r="G40" s="58">
        <f>IF(ISNUMBER('Step 3 (MTP) - Plan and prior'!G12),'Step 3 (MTP) - Plan and prior'!G12,"")</f>
        <v>1.6</v>
      </c>
      <c r="H40" s="58">
        <f>IF(ISNUMBER('Step 3 (MTP) - Plan and prior'!H12),'Step 3 (MTP) - Plan and prior'!H12,"")</f>
        <v>1.2</v>
      </c>
      <c r="I40" s="58">
        <f>IF(ISNUMBER('Step 3 (MTP) - Plan and prior'!I12),'Step 3 (MTP) - Plan and prior'!I12,"")</f>
        <v>1.1000000000000001</v>
      </c>
      <c r="J40" s="58" t="str">
        <f>IF(ISNUMBER('Step 3 (MTP) - Plan and prior'!J12),'Step 3 (MTP) - Plan and prior'!J12,"")</f>
        <v/>
      </c>
      <c r="K40" s="58" t="str">
        <f>IF(ISNUMBER('Step 3 (MTP) - Plan and prior'!K12),'Step 3 (MTP) - Plan and prior'!K12,"")</f>
        <v/>
      </c>
      <c r="L40" s="58" t="str">
        <f>IF(ISNUMBER('Step 3 (MTP) - Plan and prior'!L12),'Step 3 (MTP) - Plan and prior'!L12,"")</f>
        <v/>
      </c>
      <c r="M40" s="58" t="str">
        <f>IF(ISNUMBER('Step 3 (MTP) - Plan and prior'!M12),'Step 3 (MTP) - Plan and prior'!M12,"")</f>
        <v/>
      </c>
      <c r="N40" s="58" t="str">
        <f>IF(ISNUMBER('Step 3 (MTP) - Plan and prior'!N12),'Step 3 (MTP) - Plan and prior'!N12,"")</f>
        <v/>
      </c>
      <c r="O40" s="58"/>
      <c r="P40" s="58"/>
      <c r="Q40" s="58"/>
      <c r="R40" s="58"/>
      <c r="S40" s="58"/>
      <c r="T40" s="58"/>
      <c r="U40" s="58"/>
      <c r="V40" s="58"/>
      <c r="W40" s="58"/>
    </row>
    <row r="41" spans="2:23" customFormat="1" x14ac:dyDescent="0.4">
      <c r="B41" s="55" t="s">
        <v>8</v>
      </c>
      <c r="C41" s="14"/>
      <c r="D41" s="58">
        <f>IF(ISNUMBER('Step 3 (MTP) - Plan and prior'!D13),'Step 3 (MTP) - Plan and prior'!D13,"")</f>
        <v>5.4</v>
      </c>
      <c r="E41" s="58">
        <f>IF(ISNUMBER('Step 3 (MTP) - Plan and prior'!E13),'Step 3 (MTP) - Plan and prior'!E13,"")</f>
        <v>2.4</v>
      </c>
      <c r="F41" s="58">
        <f>IF(ISNUMBER('Step 3 (MTP) - Plan and prior'!F13),'Step 3 (MTP) - Plan and prior'!F13,"")</f>
        <v>2.5</v>
      </c>
      <c r="G41" s="58">
        <f>IF(ISNUMBER('Step 3 (MTP) - Plan and prior'!G13),'Step 3 (MTP) - Plan and prior'!G13,"")</f>
        <v>2.5</v>
      </c>
      <c r="H41" s="58">
        <f>IF(ISNUMBER('Step 3 (MTP) - Plan and prior'!H13),'Step 3 (MTP) - Plan and prior'!H13,"")</f>
        <v>2.5</v>
      </c>
      <c r="I41" s="58">
        <f>IF(ISNUMBER('Step 3 (MTP) - Plan and prior'!I13),'Step 3 (MTP) - Plan and prior'!I13,"")</f>
        <v>2.5</v>
      </c>
      <c r="J41" s="58" t="str">
        <f>IF(ISNUMBER('Step 3 (MTP) - Plan and prior'!J13),'Step 3 (MTP) - Plan and prior'!J13,"")</f>
        <v/>
      </c>
      <c r="K41" s="58" t="str">
        <f>IF(ISNUMBER('Step 3 (MTP) - Plan and prior'!K13),'Step 3 (MTP) - Plan and prior'!K13,"")</f>
        <v/>
      </c>
      <c r="L41" s="58" t="str">
        <f>IF(ISNUMBER('Step 3 (MTP) - Plan and prior'!L13),'Step 3 (MTP) - Plan and prior'!L13,"")</f>
        <v/>
      </c>
      <c r="M41" s="58" t="str">
        <f>IF(ISNUMBER('Step 3 (MTP) - Plan and prior'!M13),'Step 3 (MTP) - Plan and prior'!M13,"")</f>
        <v/>
      </c>
      <c r="N41" s="58" t="str">
        <f>IF(ISNUMBER('Step 3 (MTP) - Plan and prior'!N13),'Step 3 (MTP) - Plan and prior'!N13,"")</f>
        <v/>
      </c>
      <c r="O41" s="58"/>
      <c r="P41" s="58"/>
      <c r="Q41" s="58"/>
      <c r="R41" s="58"/>
      <c r="S41" s="58"/>
      <c r="T41" s="58"/>
      <c r="U41" s="58"/>
      <c r="V41" s="58"/>
      <c r="W41" s="58"/>
    </row>
    <row r="42" spans="2:23" customFormat="1" x14ac:dyDescent="0.4">
      <c r="B42" s="55" t="s">
        <v>9</v>
      </c>
      <c r="C42" s="14"/>
      <c r="D42" s="58">
        <f>IF(ISNUMBER('Step 3 (MTP) - Plan and prior'!D14),'Step 3 (MTP) - Plan and prior'!D14,"")</f>
        <v>5.0999999999999996</v>
      </c>
      <c r="E42" s="58">
        <f>IF(ISNUMBER('Step 3 (MTP) - Plan and prior'!E14),'Step 3 (MTP) - Plan and prior'!E14,"")</f>
        <v>3.8</v>
      </c>
      <c r="F42" s="58">
        <f>IF(ISNUMBER('Step 3 (MTP) - Plan and prior'!F14),'Step 3 (MTP) - Plan and prior'!F14,"")</f>
        <v>5.5</v>
      </c>
      <c r="G42" s="58">
        <f>IF(ISNUMBER('Step 3 (MTP) - Plan and prior'!G14),'Step 3 (MTP) - Plan and prior'!G14,"")</f>
        <v>4.0999999999999996</v>
      </c>
      <c r="H42" s="58">
        <f>IF(ISNUMBER('Step 3 (MTP) - Plan and prior'!H14),'Step 3 (MTP) - Plan and prior'!H14,"")</f>
        <v>3.7</v>
      </c>
      <c r="I42" s="58">
        <f>IF(ISNUMBER('Step 3 (MTP) - Plan and prior'!I14),'Step 3 (MTP) - Plan and prior'!I14,"")</f>
        <v>3.6</v>
      </c>
      <c r="J42" s="58" t="str">
        <f>IF(ISNUMBER('Step 3 (MTP) - Plan and prior'!J14),'Step 3 (MTP) - Plan and prior'!J14,"")</f>
        <v/>
      </c>
      <c r="K42" s="58" t="str">
        <f>IF(ISNUMBER('Step 3 (MTP) - Plan and prior'!K14),'Step 3 (MTP) - Plan and prior'!K14,"")</f>
        <v/>
      </c>
      <c r="L42" s="58" t="str">
        <f>IF(ISNUMBER('Step 3 (MTP) - Plan and prior'!L14),'Step 3 (MTP) - Plan and prior'!L14,"")</f>
        <v/>
      </c>
      <c r="M42" s="58" t="str">
        <f>IF(ISNUMBER('Step 3 (MTP) - Plan and prior'!M14),'Step 3 (MTP) - Plan and prior'!M14,"")</f>
        <v/>
      </c>
      <c r="N42" s="58" t="str">
        <f>IF(ISNUMBER('Step 3 (MTP) - Plan and prior'!N14),'Step 3 (MTP) - Plan and prior'!N14,"")</f>
        <v/>
      </c>
      <c r="O42" s="58"/>
      <c r="P42" s="58"/>
      <c r="Q42" s="58"/>
      <c r="R42" s="58"/>
      <c r="S42" s="58"/>
      <c r="T42" s="58"/>
      <c r="U42" s="58"/>
      <c r="V42" s="58"/>
      <c r="W42" s="58"/>
    </row>
    <row r="43" spans="2:23" customFormat="1" x14ac:dyDescent="0.4">
      <c r="B43" s="55" t="s">
        <v>275</v>
      </c>
      <c r="C43" s="14"/>
      <c r="D43" s="44">
        <f>IF(ISNUMBER('Step 3 (MTP) - Plan and prior'!D15),'Step 3 (MTP) - Plan and prior'!D15,"")</f>
        <v>2.2999999999999998</v>
      </c>
      <c r="E43" s="44">
        <f>IF(ISNUMBER('Step 3 (MTP) - Plan and prior'!E15),'Step 3 (MTP) - Plan and prior'!E15,"")</f>
        <v>2.2000000000000002</v>
      </c>
      <c r="F43" s="44">
        <f>IF(ISNUMBER('Step 3 (MTP) - Plan and prior'!F15),'Step 3 (MTP) - Plan and prior'!F15,"")</f>
        <v>2.1</v>
      </c>
      <c r="G43" s="44">
        <f>IF(ISNUMBER('Step 3 (MTP) - Plan and prior'!G15),'Step 3 (MTP) - Plan and prior'!G15,"")</f>
        <v>1.2</v>
      </c>
      <c r="H43" s="44">
        <f>IF(ISNUMBER('Step 3 (MTP) - Plan and prior'!H15),'Step 3 (MTP) - Plan and prior'!H15,"")</f>
        <v>0.9</v>
      </c>
      <c r="I43" s="44">
        <f>IF(ISNUMBER('Step 3 (MTP) - Plan and prior'!I15),'Step 3 (MTP) - Plan and prior'!I15,"")</f>
        <v>0.9</v>
      </c>
      <c r="J43" s="44" t="str">
        <f>IF(ISNUMBER('Step 3 (MTP) - Plan and prior'!J15),'Step 3 (MTP) - Plan and prior'!J15,"")</f>
        <v/>
      </c>
      <c r="K43" s="44" t="str">
        <f>IF(ISNUMBER('Step 3 (MTP) - Plan and prior'!K15),'Step 3 (MTP) - Plan and prior'!K15,"")</f>
        <v/>
      </c>
      <c r="L43" s="44" t="str">
        <f>IF(ISNUMBER('Step 3 (MTP) - Plan and prior'!L15),'Step 3 (MTP) - Plan and prior'!L15,"")</f>
        <v/>
      </c>
      <c r="M43" s="44" t="str">
        <f>IF(ISNUMBER('Step 3 (MTP) - Plan and prior'!M15),'Step 3 (MTP) - Plan and prior'!M15,"")</f>
        <v/>
      </c>
      <c r="N43" s="44" t="str">
        <f>IF(ISNUMBER('Step 3 (MTP) - Plan and prior'!N15),'Step 3 (MTP) - Plan and prior'!N15,"")</f>
        <v/>
      </c>
      <c r="O43" s="44"/>
      <c r="P43" s="44"/>
      <c r="Q43" s="44"/>
      <c r="R43" s="44"/>
      <c r="S43" s="44"/>
      <c r="T43" s="44"/>
      <c r="U43" s="44"/>
      <c r="V43" s="44"/>
      <c r="W43" s="44"/>
    </row>
    <row r="44" spans="2:23" customFormat="1" x14ac:dyDescent="0.4">
      <c r="B44" s="61" t="s">
        <v>89</v>
      </c>
      <c r="C44" s="14"/>
      <c r="D44" s="48">
        <f>IF(ISNUMBER('Step 3 (MTP) - Plan and prior'!D16),'Step 3 (MTP) - Plan and prior'!D16,"")</f>
        <v>-1</v>
      </c>
      <c r="E44" s="48">
        <f>IF(ISNUMBER('Step 3 (MTP) - Plan and prior'!E16),'Step 3 (MTP) - Plan and prior'!E16,"")</f>
        <v>-1.8</v>
      </c>
      <c r="F44" s="48">
        <f>IF(ISNUMBER('Step 3 (MTP) - Plan and prior'!F16),'Step 3 (MTP) - Plan and prior'!F16,"")</f>
        <v>-1</v>
      </c>
      <c r="G44" s="48">
        <f>IF(ISNUMBER('Step 3 (MTP) - Plan and prior'!G16),'Step 3 (MTP) - Plan and prior'!G16,"")</f>
        <v>-0.7</v>
      </c>
      <c r="H44" s="48">
        <f>IF(ISNUMBER('Step 3 (MTP) - Plan and prior'!H16),'Step 3 (MTP) - Plan and prior'!H16,"")</f>
        <v>-0.5</v>
      </c>
      <c r="I44" s="48">
        <f>IF(ISNUMBER('Step 3 (MTP) - Plan and prior'!I16),'Step 3 (MTP) - Plan and prior'!I16,"")</f>
        <v>-0.4</v>
      </c>
      <c r="J44" s="48" t="str">
        <f>IF(ISNUMBER('Step 3 (MTP) - Plan and prior'!J16),'Step 3 (MTP) - Plan and prior'!J16,"")</f>
        <v/>
      </c>
      <c r="K44" s="48" t="str">
        <f>IF(ISNUMBER('Step 3 (MTP) - Plan and prior'!K16),'Step 3 (MTP) - Plan and prior'!K16,"")</f>
        <v/>
      </c>
      <c r="L44" s="48" t="str">
        <f>IF(ISNUMBER('Step 3 (MTP) - Plan and prior'!L16),'Step 3 (MTP) - Plan and prior'!L16,"")</f>
        <v/>
      </c>
      <c r="M44" s="48" t="str">
        <f>IF(ISNUMBER('Step 3 (MTP) - Plan and prior'!M16),'Step 3 (MTP) - Plan and prior'!M16,"")</f>
        <v/>
      </c>
      <c r="N44" s="48" t="str">
        <f>IF(ISNUMBER('Step 3 (MTP) - Plan and prior'!N16),'Step 3 (MTP) - Plan and prior'!N16,"")</f>
        <v/>
      </c>
      <c r="O44" s="48"/>
      <c r="P44" s="48"/>
      <c r="Q44" s="48"/>
      <c r="R44" s="48"/>
      <c r="S44" s="48"/>
      <c r="T44" s="48"/>
      <c r="U44" s="48"/>
      <c r="V44" s="48"/>
      <c r="W44" s="48"/>
    </row>
    <row r="45" spans="2:23" customFormat="1" x14ac:dyDescent="0.4">
      <c r="B45" s="55"/>
      <c r="C45" s="116"/>
      <c r="D45" s="48"/>
      <c r="E45" s="48"/>
      <c r="F45" s="48"/>
      <c r="G45" s="48"/>
      <c r="H45" s="48"/>
      <c r="I45" s="48"/>
      <c r="J45" s="48"/>
      <c r="K45" s="48"/>
      <c r="L45" s="48"/>
      <c r="M45" s="48"/>
      <c r="N45" s="48"/>
      <c r="O45" s="48"/>
      <c r="P45" s="48"/>
      <c r="Q45" s="48"/>
      <c r="R45" s="48"/>
      <c r="S45" s="48"/>
      <c r="T45" s="48"/>
      <c r="U45" s="48"/>
      <c r="V45" s="48"/>
      <c r="W45" s="48"/>
    </row>
    <row r="46" spans="2:23" x14ac:dyDescent="0.4">
      <c r="B46" s="39" t="s">
        <v>251</v>
      </c>
      <c r="D46" s="44" cm="1">
        <f t="array" ref="D46:S46">_xlfn.SEQUENCE(1, AdjustmentPeriodEnd+10-MTP_BaseYear+1, MTP_BaseYear)</f>
        <v>2023</v>
      </c>
      <c r="E46" s="60">
        <v>2024</v>
      </c>
      <c r="F46" s="60">
        <v>2025</v>
      </c>
      <c r="G46" s="60">
        <v>2026</v>
      </c>
      <c r="H46" s="60">
        <v>2027</v>
      </c>
      <c r="I46" s="60">
        <v>2028</v>
      </c>
      <c r="J46" s="60">
        <v>2029</v>
      </c>
      <c r="K46" s="60">
        <v>2030</v>
      </c>
      <c r="L46" s="60">
        <v>2031</v>
      </c>
      <c r="M46" s="60">
        <v>2032</v>
      </c>
      <c r="N46" s="60">
        <v>2033</v>
      </c>
      <c r="O46" s="60">
        <v>2034</v>
      </c>
      <c r="P46" s="60">
        <v>2035</v>
      </c>
      <c r="Q46" s="60">
        <v>2036</v>
      </c>
      <c r="R46" s="60">
        <v>2037</v>
      </c>
      <c r="S46" s="60">
        <v>2038</v>
      </c>
      <c r="T46" s="60"/>
      <c r="U46" s="60"/>
      <c r="V46" s="60"/>
      <c r="W46" s="60"/>
    </row>
    <row r="47" spans="2:23" x14ac:dyDescent="0.4">
      <c r="B47" s="41" t="s">
        <v>274</v>
      </c>
      <c r="C47" s="19"/>
      <c r="D47" s="47" t="str">
        <f t="shared" ref="D47:W47" si="0">IF(AND(D$46&gt;=MTP_YearT-1, D$46&lt;=AdjustmentPeriodEnd), IF(D$46=MTP_YearT-1, "T-1", IF(D$46=MTP_YearT, "T", "T+"&amp;(D$46-MTP_YearT))), "")</f>
        <v>T-1</v>
      </c>
      <c r="E47" s="47" t="str">
        <f t="shared" si="0"/>
        <v>T</v>
      </c>
      <c r="F47" s="47" t="str">
        <f t="shared" si="0"/>
        <v>T+1</v>
      </c>
      <c r="G47" s="47" t="str">
        <f t="shared" si="0"/>
        <v>T+2</v>
      </c>
      <c r="H47" s="47" t="str">
        <f t="shared" si="0"/>
        <v>T+3</v>
      </c>
      <c r="I47" s="47" t="str">
        <f t="shared" si="0"/>
        <v>T+4</v>
      </c>
      <c r="J47" s="47" t="str">
        <f t="shared" si="0"/>
        <v/>
      </c>
      <c r="K47" s="47" t="str">
        <f t="shared" si="0"/>
        <v/>
      </c>
      <c r="L47" s="47" t="str">
        <f t="shared" si="0"/>
        <v/>
      </c>
      <c r="M47" s="47" t="str">
        <f t="shared" si="0"/>
        <v/>
      </c>
      <c r="N47" s="47" t="str">
        <f t="shared" si="0"/>
        <v/>
      </c>
      <c r="O47" s="47" t="str">
        <f t="shared" si="0"/>
        <v/>
      </c>
      <c r="P47" s="47" t="str">
        <f t="shared" si="0"/>
        <v/>
      </c>
      <c r="Q47" s="47" t="str">
        <f t="shared" si="0"/>
        <v/>
      </c>
      <c r="R47" s="47" t="str">
        <f t="shared" si="0"/>
        <v/>
      </c>
      <c r="S47" s="47" t="str">
        <f t="shared" si="0"/>
        <v/>
      </c>
      <c r="T47" s="47" t="str">
        <f t="shared" si="0"/>
        <v/>
      </c>
      <c r="U47" s="47" t="str">
        <f t="shared" si="0"/>
        <v/>
      </c>
      <c r="V47" s="47" t="str">
        <f t="shared" si="0"/>
        <v/>
      </c>
      <c r="W47" s="47" t="str">
        <f t="shared" si="0"/>
        <v/>
      </c>
    </row>
    <row r="48" spans="2:23" customFormat="1" x14ac:dyDescent="0.4">
      <c r="B48" s="55" t="str">
        <f>'Step 3 (MTP) - Plan and prior'!B43</f>
        <v>Main budgetary variables (4-year adjustment period)</v>
      </c>
      <c r="C48" s="14"/>
    </row>
    <row r="49" spans="2:24" customFormat="1" x14ac:dyDescent="0.4">
      <c r="B49" s="46" t="s">
        <v>311</v>
      </c>
      <c r="C49" s="14"/>
      <c r="D49" s="68" t="str">
        <f>IF(ISNUMBER('Step 3 (MTP) - Plan and prior'!D24),'Step 3 (MTP) - Plan and prior'!D24,"")</f>
        <v/>
      </c>
      <c r="E49" s="68" t="str">
        <f>IF(ISNUMBER('Step 3 (MTP) - Plan and prior'!E24),'Step 3 (MTP) - Plan and prior'!E24,"")</f>
        <v/>
      </c>
      <c r="F49" s="68" t="str">
        <f>IF(ISNUMBER('Step 3 (MTP) - Plan and prior'!F24),'Step 3 (MTP) - Plan and prior'!F24,"")</f>
        <v/>
      </c>
      <c r="G49" s="68" t="str">
        <f>IF(ISNUMBER('Step 3 (MTP) - Plan and prior'!G24),'Step 3 (MTP) - Plan and prior'!G24,"")</f>
        <v/>
      </c>
      <c r="H49" s="68" t="str">
        <f>IF(ISNUMBER('Step 3 (MTP) - Plan and prior'!H24),'Step 3 (MTP) - Plan and prior'!H24,"")</f>
        <v/>
      </c>
      <c r="I49" s="68" t="str">
        <f>IF(ISNUMBER('Step 3 (MTP) - Plan and prior'!I24),'Step 3 (MTP) - Plan and prior'!I24,"")</f>
        <v/>
      </c>
      <c r="J49" s="68" t="str">
        <f>IF(ISNUMBER('Step 3 (MTP) - Plan and prior'!J24),'Step 3 (MTP) - Plan and prior'!J24,"")</f>
        <v/>
      </c>
      <c r="K49" s="68" t="str">
        <f>IF(ISNUMBER('Step 3 (MTP) - Plan and prior'!K24),'Step 3 (MTP) - Plan and prior'!K24,"")</f>
        <v/>
      </c>
      <c r="L49" s="68" t="str">
        <f>IF(ISNUMBER('Step 3 (MTP) - Plan and prior'!L24),'Step 3 (MTP) - Plan and prior'!L24,"")</f>
        <v/>
      </c>
      <c r="M49" s="68" t="str">
        <f>IF(ISNUMBER('Step 3 (MTP) - Plan and prior'!M24),'Step 3 (MTP) - Plan and prior'!M24,"")</f>
        <v/>
      </c>
      <c r="N49" s="68" t="str">
        <f>IF(ISNUMBER('Step 3 (MTP) - Plan and prior'!N24),'Step 3 (MTP) - Plan and prior'!N24,"")</f>
        <v/>
      </c>
      <c r="O49" s="68" t="str">
        <f>IF(ISNUMBER('Step 3 (MTP) - Plan and prior'!O24),'Step 3 (MTP) - Plan and prior'!O24,"")</f>
        <v/>
      </c>
      <c r="P49" s="68" t="str">
        <f>IF(ISNUMBER('Step 3 (MTP) - Plan and prior'!P24),'Step 3 (MTP) - Plan and prior'!P24,"")</f>
        <v/>
      </c>
      <c r="Q49" s="68" t="str">
        <f>IF(ISNUMBER('Step 3 (MTP) - Plan and prior'!Q24),'Step 3 (MTP) - Plan and prior'!Q24,"")</f>
        <v/>
      </c>
      <c r="R49" s="68" t="str">
        <f>IF(ISNUMBER('Step 3 (MTP) - Plan and prior'!R24),'Step 3 (MTP) - Plan and prior'!R24,"")</f>
        <v/>
      </c>
      <c r="S49" s="68" t="str">
        <f>IF(ISNUMBER('Step 3 (MTP) - Plan and prior'!S24),'Step 3 (MTP) - Plan and prior'!S24,"")</f>
        <v/>
      </c>
      <c r="T49" s="68" t="str">
        <f>IF(ISNUMBER('Step 3 (MTP) - Plan and prior'!T24),'Step 3 (MTP) - Plan and prior'!T24,"")</f>
        <v/>
      </c>
      <c r="U49" s="68" t="str">
        <f>IF(ISNUMBER('Step 3 (MTP) - Plan and prior'!U24),'Step 3 (MTP) - Plan and prior'!U24,"")</f>
        <v/>
      </c>
      <c r="V49" s="68" t="str">
        <f>IF(ISNUMBER('Step 3 (MTP) - Plan and prior'!V24),'Step 3 (MTP) - Plan and prior'!V24,"")</f>
        <v/>
      </c>
      <c r="W49" s="68" t="str">
        <f>IF(ISNUMBER('Step 3 (MTP) - Plan and prior'!W24),'Step 3 (MTP) - Plan and prior'!W24,"")</f>
        <v/>
      </c>
    </row>
    <row r="50" spans="2:24" customFormat="1" x14ac:dyDescent="0.4">
      <c r="B50" s="46" t="s">
        <v>206</v>
      </c>
      <c r="C50" s="14"/>
      <c r="D50" s="68">
        <f>IF(ISNUMBER('Step 3 (MTP) - Plan and prior'!D25),'Step 3 (MTP) - Plan and prior'!D25,"")</f>
        <v>-2.2000000000000002</v>
      </c>
      <c r="E50" s="68">
        <f>IF(ISNUMBER('Step 3 (MTP) - Plan and prior'!E25),'Step 3 (MTP) - Plan and prior'!E25,"")</f>
        <v>-2.6</v>
      </c>
      <c r="F50" s="68">
        <f>IF(ISNUMBER('Step 3 (MTP) - Plan and prior'!F25),'Step 3 (MTP) - Plan and prior'!F25,"")</f>
        <v>-2.9</v>
      </c>
      <c r="G50" s="68">
        <f>IF(ISNUMBER('Step 3 (MTP) - Plan and prior'!G25),'Step 3 (MTP) - Plan and prior'!G25,"")</f>
        <v>-2.9</v>
      </c>
      <c r="H50" s="68">
        <f>IF(ISNUMBER('Step 3 (MTP) - Plan and prior'!H25),'Step 3 (MTP) - Plan and prior'!H25,"")</f>
        <v>-2.9</v>
      </c>
      <c r="I50" s="68">
        <f>IF(ISNUMBER('Step 3 (MTP) - Plan and prior'!I25),'Step 3 (MTP) - Plan and prior'!I25,"")</f>
        <v>-2.9</v>
      </c>
      <c r="J50" s="68">
        <f>IF(ISNUMBER('Step 3 (MTP) - Plan and prior'!J25),'Step 3 (MTP) - Plan and prior'!J25,"")</f>
        <v>-2.9</v>
      </c>
      <c r="K50" s="68">
        <f>IF(ISNUMBER('Step 3 (MTP) - Plan and prior'!K25),'Step 3 (MTP) - Plan and prior'!K25,"")</f>
        <v>-2.9</v>
      </c>
      <c r="L50" s="68">
        <f>IF(ISNUMBER('Step 3 (MTP) - Plan and prior'!L25),'Step 3 (MTP) - Plan and prior'!L25,"")</f>
        <v>-2.9</v>
      </c>
      <c r="M50" s="68">
        <f>IF(ISNUMBER('Step 3 (MTP) - Plan and prior'!M25),'Step 3 (MTP) - Plan and prior'!M25,"")</f>
        <v>-3</v>
      </c>
      <c r="N50" s="68">
        <f>IF(ISNUMBER('Step 3 (MTP) - Plan and prior'!N25),'Step 3 (MTP) - Plan and prior'!N25,"")</f>
        <v>-3</v>
      </c>
      <c r="O50" s="68">
        <f>IF(ISNUMBER('Step 3 (MTP) - Plan and prior'!O25),'Step 3 (MTP) - Plan and prior'!O25,"")</f>
        <v>-3</v>
      </c>
      <c r="P50" s="68">
        <f>IF(ISNUMBER('Step 3 (MTP) - Plan and prior'!P25),'Step 3 (MTP) - Plan and prior'!P25,"")</f>
        <v>-3</v>
      </c>
      <c r="Q50" s="68">
        <f>IF(ISNUMBER('Step 3 (MTP) - Plan and prior'!Q25),'Step 3 (MTP) - Plan and prior'!Q25,"")</f>
        <v>-3</v>
      </c>
      <c r="R50" s="68">
        <f>IF(ISNUMBER('Step 3 (MTP) - Plan and prior'!R25),'Step 3 (MTP) - Plan and prior'!R25,"")</f>
        <v>-3</v>
      </c>
      <c r="S50" s="68">
        <f>IF(ISNUMBER('Step 3 (MTP) - Plan and prior'!S25),'Step 3 (MTP) - Plan and prior'!S25,"")</f>
        <v>-2.9</v>
      </c>
      <c r="T50" s="68" t="str">
        <f>IF(ISNUMBER('Step 3 (MTP) - Plan and prior'!T25),'Step 3 (MTP) - Plan and prior'!T25,"")</f>
        <v/>
      </c>
      <c r="U50" s="68" t="str">
        <f>IF(ISNUMBER('Step 3 (MTP) - Plan and prior'!U25),'Step 3 (MTP) - Plan and prior'!U25,"")</f>
        <v/>
      </c>
      <c r="V50" s="68" t="str">
        <f>IF(ISNUMBER('Step 3 (MTP) - Plan and prior'!V25),'Step 3 (MTP) - Plan and prior'!V25,"")</f>
        <v/>
      </c>
      <c r="W50" s="68" t="str">
        <f>IF(ISNUMBER('Step 3 (MTP) - Plan and prior'!W25),'Step 3 (MTP) - Plan and prior'!W25,"")</f>
        <v/>
      </c>
    </row>
    <row r="51" spans="2:24" customFormat="1" x14ac:dyDescent="0.4">
      <c r="B51" s="46" t="s">
        <v>0</v>
      </c>
      <c r="C51" s="14"/>
      <c r="D51" s="68" t="str">
        <f>IF(ISNUMBER('Step 3 (MTP) - Plan and prior'!D26),'Step 3 (MTP) - Plan and prior'!D26,"")</f>
        <v/>
      </c>
      <c r="E51" s="68" t="str">
        <f>IF(ISNUMBER('Step 3 (MTP) - Plan and prior'!E26),'Step 3 (MTP) - Plan and prior'!E26,"")</f>
        <v/>
      </c>
      <c r="F51" s="68" t="str">
        <f>IF(ISNUMBER('Step 3 (MTP) - Plan and prior'!F26),'Step 3 (MTP) - Plan and prior'!F26,"")</f>
        <v/>
      </c>
      <c r="G51" s="68" t="str">
        <f>IF(ISNUMBER('Step 3 (MTP) - Plan and prior'!G26),'Step 3 (MTP) - Plan and prior'!G26,"")</f>
        <v/>
      </c>
      <c r="H51" s="68" t="str">
        <f>IF(ISNUMBER('Step 3 (MTP) - Plan and prior'!H26),'Step 3 (MTP) - Plan and prior'!H26,"")</f>
        <v/>
      </c>
      <c r="I51" s="68" t="str">
        <f>IF(ISNUMBER('Step 3 (MTP) - Plan and prior'!I26),'Step 3 (MTP) - Plan and prior'!I26,"")</f>
        <v/>
      </c>
      <c r="J51" s="68" t="str">
        <f>IF(ISNUMBER('Step 3 (MTP) - Plan and prior'!J26),'Step 3 (MTP) - Plan and prior'!J26,"")</f>
        <v/>
      </c>
      <c r="K51" s="68" t="str">
        <f>IF(ISNUMBER('Step 3 (MTP) - Plan and prior'!K26),'Step 3 (MTP) - Plan and prior'!K26,"")</f>
        <v/>
      </c>
      <c r="L51" s="68" t="str">
        <f>IF(ISNUMBER('Step 3 (MTP) - Plan and prior'!L26),'Step 3 (MTP) - Plan and prior'!L26,"")</f>
        <v/>
      </c>
      <c r="M51" s="68" t="str">
        <f>IF(ISNUMBER('Step 3 (MTP) - Plan and prior'!M26),'Step 3 (MTP) - Plan and prior'!M26,"")</f>
        <v/>
      </c>
      <c r="N51" s="68" t="str">
        <f>IF(ISNUMBER('Step 3 (MTP) - Plan and prior'!N26),'Step 3 (MTP) - Plan and prior'!N26,"")</f>
        <v/>
      </c>
      <c r="O51" s="68" t="str">
        <f>IF(ISNUMBER('Step 3 (MTP) - Plan and prior'!O26),'Step 3 (MTP) - Plan and prior'!O26,"")</f>
        <v/>
      </c>
      <c r="P51" s="68" t="str">
        <f>IF(ISNUMBER('Step 3 (MTP) - Plan and prior'!P26),'Step 3 (MTP) - Plan and prior'!P26,"")</f>
        <v/>
      </c>
      <c r="Q51" s="68" t="str">
        <f>IF(ISNUMBER('Step 3 (MTP) - Plan and prior'!Q26),'Step 3 (MTP) - Plan and prior'!Q26,"")</f>
        <v/>
      </c>
      <c r="R51" s="68" t="str">
        <f>IF(ISNUMBER('Step 3 (MTP) - Plan and prior'!R26),'Step 3 (MTP) - Plan and prior'!R26,"")</f>
        <v/>
      </c>
      <c r="S51" s="68" t="str">
        <f>IF(ISNUMBER('Step 3 (MTP) - Plan and prior'!S26),'Step 3 (MTP) - Plan and prior'!S26,"")</f>
        <v/>
      </c>
      <c r="T51" s="68" t="str">
        <f>IF(ISNUMBER('Step 3 (MTP) - Plan and prior'!T26),'Step 3 (MTP) - Plan and prior'!T26,"")</f>
        <v/>
      </c>
      <c r="U51" s="68" t="str">
        <f>IF(ISNUMBER('Step 3 (MTP) - Plan and prior'!U26),'Step 3 (MTP) - Plan and prior'!U26,"")</f>
        <v/>
      </c>
      <c r="V51" s="68" t="str">
        <f>IF(ISNUMBER('Step 3 (MTP) - Plan and prior'!V26),'Step 3 (MTP) - Plan and prior'!V26,"")</f>
        <v/>
      </c>
      <c r="W51" s="68" t="str">
        <f>IF(ISNUMBER('Step 3 (MTP) - Plan and prior'!W26),'Step 3 (MTP) - Plan and prior'!W26,"")</f>
        <v/>
      </c>
    </row>
    <row r="52" spans="2:24" x14ac:dyDescent="0.4">
      <c r="B52" s="46" t="s">
        <v>1</v>
      </c>
      <c r="D52" s="68">
        <f>IF(ISNUMBER('Step 3 (MTP) - Plan and prior'!D27),'Step 3 (MTP) - Plan and prior'!D27,"")</f>
        <v>43.6</v>
      </c>
      <c r="E52" s="68">
        <f>IF(ISNUMBER('Step 3 (MTP) - Plan and prior'!E27),'Step 3 (MTP) - Plan and prior'!E27,"")</f>
        <v>45.8</v>
      </c>
      <c r="F52" s="68">
        <f>IF(ISNUMBER('Step 3 (MTP) - Plan and prior'!F27),'Step 3 (MTP) - Plan and prior'!F27,"")</f>
        <v>47.5</v>
      </c>
      <c r="G52" s="68">
        <f>IF(ISNUMBER('Step 3 (MTP) - Plan and prior'!G27),'Step 3 (MTP) - Plan and prior'!G27,"")</f>
        <v>48.5</v>
      </c>
      <c r="H52" s="68">
        <f>IF(ISNUMBER('Step 3 (MTP) - Plan and prior'!H27),'Step 3 (MTP) - Plan and prior'!H27,"")</f>
        <v>49.7</v>
      </c>
      <c r="I52" s="68">
        <f>IF(ISNUMBER('Step 3 (MTP) - Plan and prior'!I27),'Step 3 (MTP) - Plan and prior'!I27,"")</f>
        <v>50.8</v>
      </c>
      <c r="J52" s="68">
        <f>IF(ISNUMBER('Step 3 (MTP) - Plan and prior'!J27),'Step 3 (MTP) - Plan and prior'!J27,"")</f>
        <v>51.9</v>
      </c>
      <c r="K52" s="68">
        <f>IF(ISNUMBER('Step 3 (MTP) - Plan and prior'!K27),'Step 3 (MTP) - Plan and prior'!K27,"")</f>
        <v>53</v>
      </c>
      <c r="L52" s="68">
        <f>IF(ISNUMBER('Step 3 (MTP) - Plan and prior'!L27),'Step 3 (MTP) - Plan and prior'!L27,"")</f>
        <v>53.9</v>
      </c>
      <c r="M52" s="68">
        <f>IF(ISNUMBER('Step 3 (MTP) - Plan and prior'!M27),'Step 3 (MTP) - Plan and prior'!M27,"")</f>
        <v>54.9</v>
      </c>
      <c r="N52" s="68">
        <f>IF(ISNUMBER('Step 3 (MTP) - Plan and prior'!N27),'Step 3 (MTP) - Plan and prior'!N27,"")</f>
        <v>55.9</v>
      </c>
      <c r="O52" s="68">
        <f>IF(ISNUMBER('Step 3 (MTP) - Plan and prior'!O27),'Step 3 (MTP) - Plan and prior'!O27,"")</f>
        <v>56.8</v>
      </c>
      <c r="P52" s="68">
        <f>IF(ISNUMBER('Step 3 (MTP) - Plan and prior'!P27),'Step 3 (MTP) - Plan and prior'!P27,"")</f>
        <v>57.7</v>
      </c>
      <c r="Q52" s="68">
        <f>IF(ISNUMBER('Step 3 (MTP) - Plan and prior'!Q27),'Step 3 (MTP) - Plan and prior'!Q27,"")</f>
        <v>58.5</v>
      </c>
      <c r="R52" s="68">
        <f>IF(ISNUMBER('Step 3 (MTP) - Plan and prior'!R27),'Step 3 (MTP) - Plan and prior'!R27,"")</f>
        <v>59.2</v>
      </c>
      <c r="S52" s="68">
        <f>IF(ISNUMBER('Step 3 (MTP) - Plan and prior'!S27),'Step 3 (MTP) - Plan and prior'!S27,"")</f>
        <v>59.9</v>
      </c>
      <c r="T52" s="68" t="str">
        <f>IF(ISNUMBER('Step 3 (MTP) - Plan and prior'!T27),'Step 3 (MTP) - Plan and prior'!T27,"")</f>
        <v/>
      </c>
      <c r="U52" s="68" t="str">
        <f>IF(ISNUMBER('Step 3 (MTP) - Plan and prior'!U27),'Step 3 (MTP) - Plan and prior'!U27,"")</f>
        <v/>
      </c>
      <c r="V52" s="68" t="str">
        <f>IF(ISNUMBER('Step 3 (MTP) - Plan and prior'!V27),'Step 3 (MTP) - Plan and prior'!V27,"")</f>
        <v/>
      </c>
      <c r="W52" s="68" t="str">
        <f>IF(ISNUMBER('Step 3 (MTP) - Plan and prior'!W27),'Step 3 (MTP) - Plan and prior'!W27,"")</f>
        <v/>
      </c>
      <c r="X52"/>
    </row>
    <row r="53" spans="2:24" customFormat="1" x14ac:dyDescent="0.4">
      <c r="B53" s="55" t="s">
        <v>315</v>
      </c>
      <c r="C53" s="14"/>
      <c r="D53" s="48"/>
      <c r="E53" s="48"/>
      <c r="F53" s="48"/>
      <c r="G53" s="48"/>
      <c r="H53" s="48"/>
      <c r="I53" s="48"/>
      <c r="J53" s="48"/>
      <c r="K53" s="48"/>
      <c r="L53" s="48"/>
      <c r="M53" s="48"/>
      <c r="N53" s="48"/>
      <c r="O53" s="48"/>
      <c r="P53" s="48"/>
      <c r="Q53" s="48"/>
      <c r="R53" s="48"/>
      <c r="S53" s="48"/>
      <c r="T53" s="48"/>
      <c r="U53" s="48"/>
      <c r="V53" s="48"/>
      <c r="W53" s="48"/>
    </row>
    <row r="54" spans="2:24" x14ac:dyDescent="0.4">
      <c r="B54" s="46" t="s">
        <v>285</v>
      </c>
      <c r="D54" s="68" t="str">
        <f>IF(ISNUMBER('Step 3 (MTP) - Plan and prior'!#REF!),'Step 3 (MTP) - Plan and prior'!#REF!,"")</f>
        <v/>
      </c>
      <c r="E54" s="68" t="str">
        <f>IF(ISNUMBER('Step 3 (MTP) - Plan and prior'!#REF!),'Step 3 (MTP) - Plan and prior'!#REF!,"")</f>
        <v/>
      </c>
      <c r="F54" s="68" t="str">
        <f>IF(ISNUMBER('Step 3 (MTP) - Plan and prior'!#REF!),'Step 3 (MTP) - Plan and prior'!#REF!,"")</f>
        <v/>
      </c>
      <c r="G54" s="68" t="str">
        <f>IF(ISNUMBER('Step 3 (MTP) - Plan and prior'!#REF!),'Step 3 (MTP) - Plan and prior'!#REF!,"")</f>
        <v/>
      </c>
      <c r="H54" s="68" t="str">
        <f>IF(ISNUMBER('Step 3 (MTP) - Plan and prior'!#REF!),'Step 3 (MTP) - Plan and prior'!#REF!,"")</f>
        <v/>
      </c>
      <c r="I54" s="68" t="str">
        <f>IF(ISNUMBER('Step 3 (MTP) - Plan and prior'!#REF!),'Step 3 (MTP) - Plan and prior'!#REF!,"")</f>
        <v/>
      </c>
      <c r="J54" s="68" t="str">
        <f>IF(ISNUMBER('Step 3 (MTP) - Plan and prior'!#REF!),'Step 3 (MTP) - Plan and prior'!#REF!,"")</f>
        <v/>
      </c>
      <c r="K54" s="68" t="str">
        <f>IF(ISNUMBER('Step 3 (MTP) - Plan and prior'!#REF!),'Step 3 (MTP) - Plan and prior'!#REF!,"")</f>
        <v/>
      </c>
      <c r="L54" s="68" t="str">
        <f>IF(ISNUMBER('Step 3 (MTP) - Plan and prior'!#REF!),'Step 3 (MTP) - Plan and prior'!#REF!,"")</f>
        <v/>
      </c>
      <c r="M54" s="68" t="str">
        <f>IF(ISNUMBER('Step 3 (MTP) - Plan and prior'!#REF!),'Step 3 (MTP) - Plan and prior'!#REF!,"")</f>
        <v/>
      </c>
      <c r="N54" s="68" t="str">
        <f>IF(ISNUMBER('Step 3 (MTP) - Plan and prior'!#REF!),'Step 3 (MTP) - Plan and prior'!#REF!,"")</f>
        <v/>
      </c>
      <c r="O54" s="68" t="str">
        <f>IF(ISNUMBER('Step 3 (MTP) - Plan and prior'!#REF!),'Step 3 (MTP) - Plan and prior'!#REF!,"")</f>
        <v/>
      </c>
      <c r="P54" s="68" t="str">
        <f>IF(ISNUMBER('Step 3 (MTP) - Plan and prior'!#REF!),'Step 3 (MTP) - Plan and prior'!#REF!,"")</f>
        <v/>
      </c>
      <c r="Q54" s="68" t="str">
        <f>IF(ISNUMBER('Step 3 (MTP) - Plan and prior'!#REF!),'Step 3 (MTP) - Plan and prior'!#REF!,"")</f>
        <v/>
      </c>
      <c r="R54" s="68" t="str">
        <f>IF(ISNUMBER('Step 3 (MTP) - Plan and prior'!#REF!),'Step 3 (MTP) - Plan and prior'!#REF!,"")</f>
        <v/>
      </c>
      <c r="S54" s="68" t="str">
        <f>IF(ISNUMBER('Step 3 (MTP) - Plan and prior'!#REF!),'Step 3 (MTP) - Plan and prior'!#REF!,"")</f>
        <v/>
      </c>
      <c r="T54" s="68" t="str">
        <f>IF(ISNUMBER('Step 3 (MTP) - Plan and prior'!T29),'Step 3 (MTP) - Plan and prior'!T29,"")</f>
        <v/>
      </c>
      <c r="U54" s="68" t="str">
        <f>IF(ISNUMBER('Step 3 (MTP) - Plan and prior'!U29),'Step 3 (MTP) - Plan and prior'!U29,"")</f>
        <v/>
      </c>
      <c r="V54" s="68" t="str">
        <f>IF(ISNUMBER('Step 3 (MTP) - Plan and prior'!V29),'Step 3 (MTP) - Plan and prior'!V29,"")</f>
        <v/>
      </c>
      <c r="W54" s="68" t="str">
        <f>IF(ISNUMBER('Step 3 (MTP) - Plan and prior'!W29),'Step 3 (MTP) - Plan and prior'!W29,"")</f>
        <v/>
      </c>
      <c r="X54"/>
    </row>
    <row r="55" spans="2:24" x14ac:dyDescent="0.4">
      <c r="B55" s="46" t="s">
        <v>286</v>
      </c>
      <c r="D55" s="68" t="str">
        <f>IF(ISNUMBER('Step 3 (MTP) - Plan and prior'!#REF!),'Step 3 (MTP) - Plan and prior'!#REF!,"")</f>
        <v/>
      </c>
      <c r="E55" s="68" t="str">
        <f>IF(ISNUMBER('Step 3 (MTP) - Plan and prior'!#REF!),'Step 3 (MTP) - Plan and prior'!#REF!,"")</f>
        <v/>
      </c>
      <c r="F55" s="68" t="str">
        <f>IF(ISNUMBER('Step 3 (MTP) - Plan and prior'!#REF!),'Step 3 (MTP) - Plan and prior'!#REF!,"")</f>
        <v/>
      </c>
      <c r="G55" s="68" t="str">
        <f>IF(ISNUMBER('Step 3 (MTP) - Plan and prior'!#REF!),'Step 3 (MTP) - Plan and prior'!#REF!,"")</f>
        <v/>
      </c>
      <c r="H55" s="68" t="str">
        <f>IF(ISNUMBER('Step 3 (MTP) - Plan and prior'!#REF!),'Step 3 (MTP) - Plan and prior'!#REF!,"")</f>
        <v/>
      </c>
      <c r="I55" s="68" t="str">
        <f>IF(ISNUMBER('Step 3 (MTP) - Plan and prior'!#REF!),'Step 3 (MTP) - Plan and prior'!#REF!,"")</f>
        <v/>
      </c>
      <c r="J55" s="68" t="str">
        <f>IF(ISNUMBER('Step 3 (MTP) - Plan and prior'!#REF!),'Step 3 (MTP) - Plan and prior'!#REF!,"")</f>
        <v/>
      </c>
      <c r="K55" s="68" t="str">
        <f>IF(ISNUMBER('Step 3 (MTP) - Plan and prior'!#REF!),'Step 3 (MTP) - Plan and prior'!#REF!,"")</f>
        <v/>
      </c>
      <c r="L55" s="68" t="str">
        <f>IF(ISNUMBER('Step 3 (MTP) - Plan and prior'!#REF!),'Step 3 (MTP) - Plan and prior'!#REF!,"")</f>
        <v/>
      </c>
      <c r="M55" s="68" t="str">
        <f>IF(ISNUMBER('Step 3 (MTP) - Plan and prior'!#REF!),'Step 3 (MTP) - Plan and prior'!#REF!,"")</f>
        <v/>
      </c>
      <c r="N55" s="68" t="str">
        <f>IF(ISNUMBER('Step 3 (MTP) - Plan and prior'!#REF!),'Step 3 (MTP) - Plan and prior'!#REF!,"")</f>
        <v/>
      </c>
      <c r="O55" s="68" t="str">
        <f>IF(ISNUMBER('Step 3 (MTP) - Plan and prior'!#REF!),'Step 3 (MTP) - Plan and prior'!#REF!,"")</f>
        <v/>
      </c>
      <c r="P55" s="68" t="str">
        <f>IF(ISNUMBER('Step 3 (MTP) - Plan and prior'!#REF!),'Step 3 (MTP) - Plan and prior'!#REF!,"")</f>
        <v/>
      </c>
      <c r="Q55" s="68" t="str">
        <f>IF(ISNUMBER('Step 3 (MTP) - Plan and prior'!#REF!),'Step 3 (MTP) - Plan and prior'!#REF!,"")</f>
        <v/>
      </c>
      <c r="R55" s="68" t="str">
        <f>IF(ISNUMBER('Step 3 (MTP) - Plan and prior'!#REF!),'Step 3 (MTP) - Plan and prior'!#REF!,"")</f>
        <v/>
      </c>
      <c r="S55" s="68" t="str">
        <f>IF(ISNUMBER('Step 3 (MTP) - Plan and prior'!#REF!),'Step 3 (MTP) - Plan and prior'!#REF!,"")</f>
        <v/>
      </c>
      <c r="T55" s="68" t="str">
        <f>IF(ISNUMBER('Step 3 (MTP) - Plan and prior'!T30),'Step 3 (MTP) - Plan and prior'!T30,"")</f>
        <v/>
      </c>
      <c r="U55" s="68" t="str">
        <f>IF(ISNUMBER('Step 3 (MTP) - Plan and prior'!U30),'Step 3 (MTP) - Plan and prior'!U30,"")</f>
        <v/>
      </c>
      <c r="V55" s="68" t="str">
        <f>IF(ISNUMBER('Step 3 (MTP) - Plan and prior'!V30),'Step 3 (MTP) - Plan and prior'!V30,"")</f>
        <v/>
      </c>
      <c r="W55" s="68" t="str">
        <f>IF(ISNUMBER('Step 3 (MTP) - Plan and prior'!W30),'Step 3 (MTP) - Plan and prior'!W30,"")</f>
        <v/>
      </c>
      <c r="X55"/>
    </row>
    <row r="56" spans="2:24" x14ac:dyDescent="0.4">
      <c r="B56" s="46" t="s">
        <v>287</v>
      </c>
      <c r="D56" s="68" t="str">
        <f>IF(ISNUMBER('Step 3 (MTP) - Plan and prior'!#REF!),'Step 3 (MTP) - Plan and prior'!#REF!,"")</f>
        <v/>
      </c>
      <c r="E56" s="68" t="str">
        <f>IF(ISNUMBER('Step 3 (MTP) - Plan and prior'!#REF!),'Step 3 (MTP) - Plan and prior'!#REF!,"")</f>
        <v/>
      </c>
      <c r="F56" s="68" t="str">
        <f>IF(ISNUMBER('Step 3 (MTP) - Plan and prior'!#REF!),'Step 3 (MTP) - Plan and prior'!#REF!,"")</f>
        <v/>
      </c>
      <c r="G56" s="68" t="str">
        <f>IF(ISNUMBER('Step 3 (MTP) - Plan and prior'!#REF!),'Step 3 (MTP) - Plan and prior'!#REF!,"")</f>
        <v/>
      </c>
      <c r="H56" s="68" t="str">
        <f>IF(ISNUMBER('Step 3 (MTP) - Plan and prior'!#REF!),'Step 3 (MTP) - Plan and prior'!#REF!,"")</f>
        <v/>
      </c>
      <c r="I56" s="68" t="str">
        <f>IF(ISNUMBER('Step 3 (MTP) - Plan and prior'!#REF!),'Step 3 (MTP) - Plan and prior'!#REF!,"")</f>
        <v/>
      </c>
      <c r="J56" s="68" t="str">
        <f>IF(ISNUMBER('Step 3 (MTP) - Plan and prior'!#REF!),'Step 3 (MTP) - Plan and prior'!#REF!,"")</f>
        <v/>
      </c>
      <c r="K56" s="68" t="str">
        <f>IF(ISNUMBER('Step 3 (MTP) - Plan and prior'!#REF!),'Step 3 (MTP) - Plan and prior'!#REF!,"")</f>
        <v/>
      </c>
      <c r="L56" s="68" t="str">
        <f>IF(ISNUMBER('Step 3 (MTP) - Plan and prior'!#REF!),'Step 3 (MTP) - Plan and prior'!#REF!,"")</f>
        <v/>
      </c>
      <c r="M56" s="68" t="str">
        <f>IF(ISNUMBER('Step 3 (MTP) - Plan and prior'!#REF!),'Step 3 (MTP) - Plan and prior'!#REF!,"")</f>
        <v/>
      </c>
      <c r="N56" s="68" t="str">
        <f>IF(ISNUMBER('Step 3 (MTP) - Plan and prior'!#REF!),'Step 3 (MTP) - Plan and prior'!#REF!,"")</f>
        <v/>
      </c>
      <c r="O56" s="68" t="str">
        <f>IF(ISNUMBER('Step 3 (MTP) - Plan and prior'!#REF!),'Step 3 (MTP) - Plan and prior'!#REF!,"")</f>
        <v/>
      </c>
      <c r="P56" s="68" t="str">
        <f>IF(ISNUMBER('Step 3 (MTP) - Plan and prior'!#REF!),'Step 3 (MTP) - Plan and prior'!#REF!,"")</f>
        <v/>
      </c>
      <c r="Q56" s="68" t="str">
        <f>IF(ISNUMBER('Step 3 (MTP) - Plan and prior'!#REF!),'Step 3 (MTP) - Plan and prior'!#REF!,"")</f>
        <v/>
      </c>
      <c r="R56" s="68" t="str">
        <f>IF(ISNUMBER('Step 3 (MTP) - Plan and prior'!#REF!),'Step 3 (MTP) - Plan and prior'!#REF!,"")</f>
        <v/>
      </c>
      <c r="S56" s="68" t="str">
        <f>IF(ISNUMBER('Step 3 (MTP) - Plan and prior'!#REF!),'Step 3 (MTP) - Plan and prior'!#REF!,"")</f>
        <v/>
      </c>
      <c r="T56" s="68" t="str">
        <f>IF(ISNUMBER('Step 3 (MTP) - Plan and prior'!T31),'Step 3 (MTP) - Plan and prior'!T31,"")</f>
        <v/>
      </c>
      <c r="U56" s="68" t="str">
        <f>IF(ISNUMBER('Step 3 (MTP) - Plan and prior'!U31),'Step 3 (MTP) - Plan and prior'!U31,"")</f>
        <v/>
      </c>
      <c r="V56" s="68" t="str">
        <f>IF(ISNUMBER('Step 3 (MTP) - Plan and prior'!V31),'Step 3 (MTP) - Plan and prior'!V31,"")</f>
        <v/>
      </c>
      <c r="W56" s="68" t="str">
        <f>IF(ISNUMBER('Step 3 (MTP) - Plan and prior'!W31),'Step 3 (MTP) - Plan and prior'!W31,"")</f>
        <v/>
      </c>
      <c r="X56"/>
    </row>
    <row r="57" spans="2:24" x14ac:dyDescent="0.4">
      <c r="B57" s="46" t="s">
        <v>288</v>
      </c>
      <c r="D57" s="68" t="str">
        <f>IF(ISNUMBER('Step 3 (MTP) - Plan and prior'!#REF!),'Step 3 (MTP) - Plan and prior'!#REF!,"")</f>
        <v/>
      </c>
      <c r="E57" s="68" t="str">
        <f>IF(ISNUMBER('Step 3 (MTP) - Plan and prior'!#REF!),'Step 3 (MTP) - Plan and prior'!#REF!,"")</f>
        <v/>
      </c>
      <c r="F57" s="68" t="str">
        <f>IF(ISNUMBER('Step 3 (MTP) - Plan and prior'!#REF!),'Step 3 (MTP) - Plan and prior'!#REF!,"")</f>
        <v/>
      </c>
      <c r="G57" s="68" t="str">
        <f>IF(ISNUMBER('Step 3 (MTP) - Plan and prior'!#REF!),'Step 3 (MTP) - Plan and prior'!#REF!,"")</f>
        <v/>
      </c>
      <c r="H57" s="68" t="str">
        <f>IF(ISNUMBER('Step 3 (MTP) - Plan and prior'!#REF!),'Step 3 (MTP) - Plan and prior'!#REF!,"")</f>
        <v/>
      </c>
      <c r="I57" s="68" t="str">
        <f>IF(ISNUMBER('Step 3 (MTP) - Plan and prior'!#REF!),'Step 3 (MTP) - Plan and prior'!#REF!,"")</f>
        <v/>
      </c>
      <c r="J57" s="68" t="str">
        <f>IF(ISNUMBER('Step 3 (MTP) - Plan and prior'!#REF!),'Step 3 (MTP) - Plan and prior'!#REF!,"")</f>
        <v/>
      </c>
      <c r="K57" s="68" t="str">
        <f>IF(ISNUMBER('Step 3 (MTP) - Plan and prior'!#REF!),'Step 3 (MTP) - Plan and prior'!#REF!,"")</f>
        <v/>
      </c>
      <c r="L57" s="68" t="str">
        <f>IF(ISNUMBER('Step 3 (MTP) - Plan and prior'!#REF!),'Step 3 (MTP) - Plan and prior'!#REF!,"")</f>
        <v/>
      </c>
      <c r="M57" s="68" t="str">
        <f>IF(ISNUMBER('Step 3 (MTP) - Plan and prior'!#REF!),'Step 3 (MTP) - Plan and prior'!#REF!,"")</f>
        <v/>
      </c>
      <c r="N57" s="68" t="str">
        <f>IF(ISNUMBER('Step 3 (MTP) - Plan and prior'!#REF!),'Step 3 (MTP) - Plan and prior'!#REF!,"")</f>
        <v/>
      </c>
      <c r="O57" s="68" t="str">
        <f>IF(ISNUMBER('Step 3 (MTP) - Plan and prior'!#REF!),'Step 3 (MTP) - Plan and prior'!#REF!,"")</f>
        <v/>
      </c>
      <c r="P57" s="68" t="str">
        <f>IF(ISNUMBER('Step 3 (MTP) - Plan and prior'!#REF!),'Step 3 (MTP) - Plan and prior'!#REF!,"")</f>
        <v/>
      </c>
      <c r="Q57" s="68" t="str">
        <f>IF(ISNUMBER('Step 3 (MTP) - Plan and prior'!#REF!),'Step 3 (MTP) - Plan and prior'!#REF!,"")</f>
        <v/>
      </c>
      <c r="R57" s="68" t="str">
        <f>IF(ISNUMBER('Step 3 (MTP) - Plan and prior'!#REF!),'Step 3 (MTP) - Plan and prior'!#REF!,"")</f>
        <v/>
      </c>
      <c r="S57" s="68" t="str">
        <f>IF(ISNUMBER('Step 3 (MTP) - Plan and prior'!#REF!),'Step 3 (MTP) - Plan and prior'!#REF!,"")</f>
        <v/>
      </c>
      <c r="T57" s="68" t="str">
        <f>IF(ISNUMBER('Step 3 (MTP) - Plan and prior'!T32),'Step 3 (MTP) - Plan and prior'!T32,"")</f>
        <v/>
      </c>
      <c r="U57" s="68" t="str">
        <f>IF(ISNUMBER('Step 3 (MTP) - Plan and prior'!U32),'Step 3 (MTP) - Plan and prior'!U32,"")</f>
        <v/>
      </c>
      <c r="V57" s="68" t="str">
        <f>IF(ISNUMBER('Step 3 (MTP) - Plan and prior'!V32),'Step 3 (MTP) - Plan and prior'!V32,"")</f>
        <v/>
      </c>
      <c r="W57" s="68" t="str">
        <f>IF(ISNUMBER('Step 3 (MTP) - Plan and prior'!W32),'Step 3 (MTP) - Plan and prior'!W32,"")</f>
        <v/>
      </c>
      <c r="X57"/>
    </row>
    <row r="58" spans="2:24" ht="12.4" customHeight="1" x14ac:dyDescent="0.4">
      <c r="B58" s="61" t="s">
        <v>355</v>
      </c>
      <c r="C58" s="19"/>
      <c r="D58" s="48">
        <f>IF(ISNUMBER('Step 3 (MTP) - Plan and prior'!D33),'Step 3 (MTP) - Plan and prior'!D33,"")</f>
        <v>0</v>
      </c>
      <c r="E58" s="48" t="str">
        <f>IF(ISNUMBER('Step 3 (MTP) - Plan and prior'!E33),'Step 3 (MTP) - Plan and prior'!E33,"")</f>
        <v/>
      </c>
      <c r="F58" s="48" t="str">
        <f>IF(ISNUMBER('Step 3 (MTP) - Plan and prior'!F33),'Step 3 (MTP) - Plan and prior'!F33,"")</f>
        <v/>
      </c>
      <c r="G58" s="48" t="str">
        <f>IF(ISNUMBER('Step 3 (MTP) - Plan and prior'!G33),'Step 3 (MTP) - Plan and prior'!G33,"")</f>
        <v/>
      </c>
      <c r="H58" s="48" t="str">
        <f>IF(ISNUMBER('Step 3 (MTP) - Plan and prior'!H33),'Step 3 (MTP) - Plan and prior'!H33,"")</f>
        <v/>
      </c>
      <c r="I58" s="48" t="str">
        <f>IF(ISNUMBER('Step 3 (MTP) - Plan and prior'!I33),'Step 3 (MTP) - Plan and prior'!I33,"")</f>
        <v/>
      </c>
      <c r="J58" s="48" t="str">
        <f>IF(ISNUMBER('Step 3 (MTP) - Plan and prior'!J33),'Step 3 (MTP) - Plan and prior'!J33,"")</f>
        <v/>
      </c>
      <c r="K58" s="48" t="str">
        <f>IF(ISNUMBER('Step 3 (MTP) - Plan and prior'!K33),'Step 3 (MTP) - Plan and prior'!K33,"")</f>
        <v/>
      </c>
      <c r="L58" s="48" t="str">
        <f>IF(ISNUMBER('Step 3 (MTP) - Plan and prior'!L33),'Step 3 (MTP) - Plan and prior'!L33,"")</f>
        <v/>
      </c>
      <c r="M58" s="48" t="str">
        <f>IF(ISNUMBER('Step 3 (MTP) - Plan and prior'!M33),'Step 3 (MTP) - Plan and prior'!M33,"")</f>
        <v/>
      </c>
      <c r="N58" s="48" t="str">
        <f>IF(ISNUMBER('Step 3 (MTP) - Plan and prior'!N33),'Step 3 (MTP) - Plan and prior'!N33,"")</f>
        <v/>
      </c>
      <c r="O58" s="48" t="str">
        <f>IF(ISNUMBER('Step 3 (MTP) - Plan and prior'!O33),'Step 3 (MTP) - Plan and prior'!O33,"")</f>
        <v/>
      </c>
      <c r="P58" s="48" t="str">
        <f>IF(ISNUMBER('Step 3 (MTP) - Plan and prior'!P33),'Step 3 (MTP) - Plan and prior'!P33,"")</f>
        <v/>
      </c>
      <c r="Q58" s="48" t="str">
        <f>IF(ISNUMBER('Step 3 (MTP) - Plan and prior'!Q33),'Step 3 (MTP) - Plan and prior'!Q33,"")</f>
        <v/>
      </c>
      <c r="R58" s="48" t="str">
        <f>IF(ISNUMBER('Step 3 (MTP) - Plan and prior'!R33),'Step 3 (MTP) - Plan and prior'!R33,"")</f>
        <v/>
      </c>
      <c r="S58" s="48" t="str">
        <f>IF(ISNUMBER('Step 3 (MTP) - Plan and prior'!S33),'Step 3 (MTP) - Plan and prior'!S33,"")</f>
        <v/>
      </c>
      <c r="T58" s="48" t="str">
        <f>IF(ISNUMBER('Step 3 (MTP) - Plan and prior'!T33),'Step 3 (MTP) - Plan and prior'!T33,"")</f>
        <v/>
      </c>
      <c r="U58" s="48" t="str">
        <f>IF(ISNUMBER('Step 3 (MTP) - Plan and prior'!U33),'Step 3 (MTP) - Plan and prior'!U33,"")</f>
        <v/>
      </c>
      <c r="V58" s="48" t="str">
        <f>IF(ISNUMBER('Step 3 (MTP) - Plan and prior'!V33),'Step 3 (MTP) - Plan and prior'!V33,"")</f>
        <v/>
      </c>
      <c r="W58" s="48" t="str">
        <f>IF(ISNUMBER('Step 3 (MTP) - Plan and prior'!W33),'Step 3 (MTP) - Plan and prior'!W33,"")</f>
        <v/>
      </c>
      <c r="X58"/>
    </row>
    <row r="59" spans="2:24" customFormat="1" x14ac:dyDescent="0.4">
      <c r="B59" s="55"/>
      <c r="C59" s="14"/>
      <c r="D59" s="48"/>
      <c r="E59" s="48"/>
      <c r="F59" s="48"/>
      <c r="G59" s="48"/>
      <c r="H59" s="48"/>
      <c r="I59" s="48"/>
      <c r="J59" s="48"/>
      <c r="K59" s="48"/>
      <c r="L59" s="48"/>
      <c r="M59" s="48"/>
      <c r="N59" s="48"/>
      <c r="O59" s="48"/>
      <c r="P59" s="48"/>
      <c r="Q59" s="48"/>
      <c r="R59" s="48"/>
      <c r="S59" s="48"/>
      <c r="T59" s="48"/>
      <c r="U59" s="48"/>
      <c r="V59" s="48"/>
      <c r="W59" s="48"/>
    </row>
    <row r="60" spans="2:24" customFormat="1" ht="18" x14ac:dyDescent="0.55000000000000004">
      <c r="B60" s="50" t="str">
        <f>IF(Receives_reference_trajectory,"Prior guidance: reference trajectory and DSA","Prior guidance: technical information and DSA")</f>
        <v>Prior guidance: technical information and DSA</v>
      </c>
      <c r="C60" s="14"/>
      <c r="D60" s="48"/>
      <c r="E60" s="48"/>
      <c r="F60" s="48"/>
      <c r="G60" s="48"/>
      <c r="H60" s="48"/>
      <c r="I60" s="48"/>
    </row>
    <row r="61" spans="2:24" customFormat="1" ht="15.75" x14ac:dyDescent="0.5">
      <c r="B61" s="79" t="s">
        <v>310</v>
      </c>
      <c r="C61" s="14"/>
      <c r="D61" s="48"/>
      <c r="E61" s="48"/>
      <c r="F61" s="48"/>
      <c r="G61" s="48"/>
      <c r="H61" s="48"/>
      <c r="I61" s="48"/>
    </row>
    <row r="62" spans="2:24" x14ac:dyDescent="0.4">
      <c r="B62" s="39" t="s">
        <v>251</v>
      </c>
      <c r="C62" s="94"/>
      <c r="D62" s="44" cm="1">
        <f t="array" ref="D62:S62">_xlfn.SEQUENCE(1, AdjustmentPeriodEnd+10-MTP_BaseYear+1, MTP_BaseYear)</f>
        <v>2023</v>
      </c>
      <c r="E62" s="60">
        <v>2024</v>
      </c>
      <c r="F62" s="60">
        <v>2025</v>
      </c>
      <c r="G62" s="60">
        <v>2026</v>
      </c>
      <c r="H62" s="60">
        <v>2027</v>
      </c>
      <c r="I62" s="60">
        <v>2028</v>
      </c>
      <c r="J62" s="60">
        <v>2029</v>
      </c>
      <c r="K62" s="60">
        <v>2030</v>
      </c>
      <c r="L62" s="60">
        <v>2031</v>
      </c>
      <c r="M62" s="60">
        <v>2032</v>
      </c>
      <c r="N62" s="60">
        <v>2033</v>
      </c>
      <c r="O62" s="60">
        <v>2034</v>
      </c>
      <c r="P62" s="60">
        <v>2035</v>
      </c>
      <c r="Q62" s="60">
        <v>2036</v>
      </c>
      <c r="R62" s="60">
        <v>2037</v>
      </c>
      <c r="S62" s="60">
        <v>2038</v>
      </c>
      <c r="T62" s="60"/>
      <c r="U62" s="60"/>
      <c r="V62" s="60"/>
      <c r="W62" s="60"/>
    </row>
    <row r="63" spans="2:24" x14ac:dyDescent="0.4">
      <c r="B63" s="41" t="s">
        <v>274</v>
      </c>
      <c r="C63" s="19"/>
      <c r="D63" s="47" t="str">
        <f t="shared" ref="D63:W63" si="1">IF(AND(D$62&gt;=MTP_YearT-1, D$62&lt;=AdjustmentPeriodEnd), IF(D$62=MTP_YearT-1, "T-1", IF(D$62=MTP_YearT, "T", "T+"&amp;(D$62-MTP_YearT))), "")</f>
        <v>T-1</v>
      </c>
      <c r="E63" s="47" t="str">
        <f t="shared" si="1"/>
        <v>T</v>
      </c>
      <c r="F63" s="47" t="str">
        <f t="shared" si="1"/>
        <v>T+1</v>
      </c>
      <c r="G63" s="47" t="str">
        <f t="shared" si="1"/>
        <v>T+2</v>
      </c>
      <c r="H63" s="47" t="str">
        <f t="shared" si="1"/>
        <v>T+3</v>
      </c>
      <c r="I63" s="47" t="str">
        <f t="shared" si="1"/>
        <v>T+4</v>
      </c>
      <c r="J63" s="47" t="str">
        <f t="shared" si="1"/>
        <v/>
      </c>
      <c r="K63" s="47" t="str">
        <f t="shared" si="1"/>
        <v/>
      </c>
      <c r="L63" s="47" t="str">
        <f t="shared" si="1"/>
        <v/>
      </c>
      <c r="M63" s="47" t="str">
        <f t="shared" si="1"/>
        <v/>
      </c>
      <c r="N63" s="47" t="str">
        <f t="shared" si="1"/>
        <v/>
      </c>
      <c r="O63" s="47" t="str">
        <f t="shared" si="1"/>
        <v/>
      </c>
      <c r="P63" s="47" t="str">
        <f t="shared" si="1"/>
        <v/>
      </c>
      <c r="Q63" s="47" t="str">
        <f t="shared" si="1"/>
        <v/>
      </c>
      <c r="R63" s="47" t="str">
        <f t="shared" si="1"/>
        <v/>
      </c>
      <c r="S63" s="47" t="str">
        <f t="shared" si="1"/>
        <v/>
      </c>
      <c r="T63" s="47" t="str">
        <f t="shared" si="1"/>
        <v/>
      </c>
      <c r="U63" s="47" t="str">
        <f t="shared" si="1"/>
        <v/>
      </c>
      <c r="V63" s="47" t="str">
        <f t="shared" si="1"/>
        <v/>
      </c>
      <c r="W63" s="47" t="str">
        <f t="shared" si="1"/>
        <v/>
      </c>
    </row>
    <row r="64" spans="2:24" x14ac:dyDescent="0.4">
      <c r="B64" s="55" t="str">
        <f>'Step 3 (MTP) - Plan and prior'!B39</f>
        <v>Reference trajectory provided by the Commission (not applicable)</v>
      </c>
      <c r="D64" s="84" t="str">
        <f>IF(ISNUMBER('Step 3 (MTP) - Plan and prior'!D39),'Step 3 (MTP) - Plan and prior'!D39,"")</f>
        <v/>
      </c>
      <c r="E64" s="84" t="str">
        <f>IF(ISNUMBER('Step 3 (MTP) - Plan and prior'!E39),'Step 3 (MTP) - Plan and prior'!E39,"")</f>
        <v/>
      </c>
      <c r="F64" s="84" t="str">
        <f>IF(ISNUMBER('Step 3 (MTP) - Plan and prior'!F39),'Step 3 (MTP) - Plan and prior'!F39,"")</f>
        <v/>
      </c>
      <c r="G64" s="84" t="str">
        <f>IF(ISNUMBER('Step 3 (MTP) - Plan and prior'!G39),'Step 3 (MTP) - Plan and prior'!G39,"")</f>
        <v/>
      </c>
      <c r="H64" s="84" t="str">
        <f>IF(ISNUMBER('Step 3 (MTP) - Plan and prior'!H39),'Step 3 (MTP) - Plan and prior'!H39,"")</f>
        <v/>
      </c>
      <c r="I64" s="84" t="str">
        <f>IF(ISNUMBER('Step 3 (MTP) - Plan and prior'!I39),'Step 3 (MTP) - Plan and prior'!I39,"")</f>
        <v/>
      </c>
      <c r="J64" s="84" t="str">
        <f>IF(ISNUMBER('Step 3 (MTP) - Plan and prior'!J39),'Step 3 (MTP) - Plan and prior'!J39,"")</f>
        <v/>
      </c>
      <c r="K64" s="84" t="str">
        <f>IF(ISNUMBER('Step 3 (MTP) - Plan and prior'!K39),'Step 3 (MTP) - Plan and prior'!K39,"")</f>
        <v/>
      </c>
      <c r="L64" s="84" t="str">
        <f>IF(ISNUMBER('Step 3 (MTP) - Plan and prior'!L39),'Step 3 (MTP) - Plan and prior'!L39,"")</f>
        <v/>
      </c>
      <c r="M64" s="84" t="str">
        <f>IF(ISNUMBER('Step 3 (MTP) - Plan and prior'!M39),'Step 3 (MTP) - Plan and prior'!M39,"")</f>
        <v/>
      </c>
      <c r="N64" s="84" t="str">
        <f>IF(ISNUMBER('Step 3 (MTP) - Plan and prior'!N39),'Step 3 (MTP) - Plan and prior'!N39,"")</f>
        <v/>
      </c>
      <c r="O64" s="84" t="str">
        <f>IF(ISNUMBER('Step 3 (MTP) - Plan and prior'!O39),'Step 3 (MTP) - Plan and prior'!O39,"")</f>
        <v/>
      </c>
      <c r="P64" s="84" t="str">
        <f>IF(ISNUMBER('Step 3 (MTP) - Plan and prior'!P39),'Step 3 (MTP) - Plan and prior'!P39,"")</f>
        <v/>
      </c>
      <c r="Q64" s="84" t="str">
        <f>IF(ISNUMBER('Step 3 (MTP) - Plan and prior'!Q39),'Step 3 (MTP) - Plan and prior'!Q39,"")</f>
        <v/>
      </c>
      <c r="R64" s="84" t="str">
        <f>IF(ISNUMBER('Step 3 (MTP) - Plan and prior'!R39),'Step 3 (MTP) - Plan and prior'!R39,"")</f>
        <v/>
      </c>
      <c r="S64" s="84" t="str">
        <f>IF(ISNUMBER('Step 3 (MTP) - Plan and prior'!S39),'Step 3 (MTP) - Plan and prior'!S39,"")</f>
        <v/>
      </c>
      <c r="T64" s="84" t="str">
        <f>IF(ISNUMBER('Step 3 (MTP) - Plan and prior'!T39),'Step 3 (MTP) - Plan and prior'!T39,"")</f>
        <v/>
      </c>
      <c r="U64" s="84" t="str">
        <f>IF(ISNUMBER('Step 3 (MTP) - Plan and prior'!U39),'Step 3 (MTP) - Plan and prior'!U39,"")</f>
        <v/>
      </c>
      <c r="V64" s="84" t="str">
        <f>IF(ISNUMBER('Step 3 (MTP) - Plan and prior'!V39),'Step 3 (MTP) - Plan and prior'!V39,"")</f>
        <v/>
      </c>
      <c r="W64" s="84" t="str">
        <f>IF(ISNUMBER('Step 3 (MTP) - Plan and prior'!W39),'Step 3 (MTP) - Plan and prior'!W39,"")</f>
        <v/>
      </c>
      <c r="X64" s="84" t="str">
        <f>IF(ISNUMBER('Step 3 (MTP) - Plan and prior'!X39),'Step 3 (MTP) - Plan and prior'!X39,"")</f>
        <v/>
      </c>
    </row>
    <row r="65" spans="2:24" ht="16.899999999999999" customHeight="1" x14ac:dyDescent="0.4">
      <c r="B65" s="55" t="str">
        <f>'Step 3 (MTP) - Plan and prior'!B40</f>
        <v>Minimum level for the structural primary balance in 2028, no safeguard</v>
      </c>
      <c r="D65" s="68" t="str">
        <f>IF(ISNUMBER('Step 3 (MTP) - Plan and prior'!D40),'Step 3 (MTP) - Plan and prior'!D40,"")</f>
        <v/>
      </c>
      <c r="E65" s="68" t="str">
        <f>IF(ISNUMBER('Step 3 (MTP) - Plan and prior'!E40),'Step 3 (MTP) - Plan and prior'!E40,"")</f>
        <v/>
      </c>
      <c r="F65" s="68" t="str">
        <f>IF(ISNUMBER('Step 3 (MTP) - Plan and prior'!F40),'Step 3 (MTP) - Plan and prior'!F40,"")</f>
        <v/>
      </c>
      <c r="G65" s="68" t="str">
        <f>IF(ISNUMBER('Step 3 (MTP) - Plan and prior'!G40),'Step 3 (MTP) - Plan and prior'!G40,"")</f>
        <v/>
      </c>
      <c r="H65" s="68" t="str">
        <f>IF(ISNUMBER('Step 3 (MTP) - Plan and prior'!H40),'Step 3 (MTP) - Plan and prior'!H40,"")</f>
        <v/>
      </c>
      <c r="I65" s="68">
        <f>IF(ISNUMBER('Step 3 (MTP) - Plan and prior'!I40),'Step 3 (MTP) - Plan and prior'!I40,"")</f>
        <v>-1.3</v>
      </c>
      <c r="J65" s="68" t="str">
        <f>IF(ISNUMBER('Step 3 (MTP) - Plan and prior'!J40),'Step 3 (MTP) - Plan and prior'!J40,"")</f>
        <v/>
      </c>
      <c r="K65" s="68" t="str">
        <f>IF(ISNUMBER('Step 3 (MTP) - Plan and prior'!K40),'Step 3 (MTP) - Plan and prior'!K40,"")</f>
        <v/>
      </c>
      <c r="L65" s="68" t="str">
        <f>IF(ISNUMBER('Step 3 (MTP) - Plan and prior'!L40),'Step 3 (MTP) - Plan and prior'!L40,"")</f>
        <v/>
      </c>
      <c r="M65" s="68" t="str">
        <f>IF(ISNUMBER('Step 3 (MTP) - Plan and prior'!M40),'Step 3 (MTP) - Plan and prior'!M40,"")</f>
        <v/>
      </c>
      <c r="N65" s="68" t="str">
        <f>IF(ISNUMBER('Step 3 (MTP) - Plan and prior'!N40),'Step 3 (MTP) - Plan and prior'!N40,"")</f>
        <v/>
      </c>
      <c r="O65" s="68" t="str">
        <f>IF(ISNUMBER('Step 3 (MTP) - Plan and prior'!O40),'Step 3 (MTP) - Plan and prior'!O40,"")</f>
        <v/>
      </c>
      <c r="P65" s="68" t="str">
        <f>IF(ISNUMBER('Step 3 (MTP) - Plan and prior'!P40),'Step 3 (MTP) - Plan and prior'!P40,"")</f>
        <v/>
      </c>
      <c r="Q65" s="68" t="str">
        <f>IF(ISNUMBER('Step 3 (MTP) - Plan and prior'!Q40),'Step 3 (MTP) - Plan and prior'!Q40,"")</f>
        <v/>
      </c>
      <c r="R65" s="68" t="str">
        <f>IF(ISNUMBER('Step 3 (MTP) - Plan and prior'!R40),'Step 3 (MTP) - Plan and prior'!R40,"")</f>
        <v/>
      </c>
      <c r="S65" s="68" t="str">
        <f>IF(ISNUMBER('Step 3 (MTP) - Plan and prior'!S40),'Step 3 (MTP) - Plan and prior'!S40,"")</f>
        <v/>
      </c>
      <c r="T65" s="68" t="str">
        <f>IF(ISNUMBER('Step 3 (MTP) - Plan and prior'!T40),'Step 3 (MTP) - Plan and prior'!T40,"")</f>
        <v/>
      </c>
      <c r="U65" s="68" t="str">
        <f>IF(ISNUMBER('Step 3 (MTP) - Plan and prior'!U40),'Step 3 (MTP) - Plan and prior'!U40,"")</f>
        <v/>
      </c>
      <c r="V65" s="68" t="str">
        <f>IF(ISNUMBER('Step 3 (MTP) - Plan and prior'!V40),'Step 3 (MTP) - Plan and prior'!V40,"")</f>
        <v/>
      </c>
      <c r="W65" s="68" t="str">
        <f>IF(ISNUMBER('Step 3 (MTP) - Plan and prior'!W40),'Step 3 (MTP) - Plan and prior'!W40,"")</f>
        <v/>
      </c>
      <c r="X65" s="14" t="str">
        <f>IF(ISNUMBER('Step 3 (MTP) - Plan and prior'!X40),'Step 3 (MTP) - Plan and prior'!X40,"")</f>
        <v/>
      </c>
    </row>
    <row r="66" spans="2:24" x14ac:dyDescent="0.4">
      <c r="B66" s="55" t="str">
        <f>'Step 3 (MTP) - Plan and prior'!B41</f>
        <v>Minimum level for the structural primary balance in 2028, with safeguard</v>
      </c>
      <c r="D66" s="68" t="str">
        <f>IF(ISNUMBER('Step 3 (MTP) - Plan and prior'!D41),'Step 3 (MTP) - Plan and prior'!D41,"")</f>
        <v/>
      </c>
      <c r="E66" s="68" t="str">
        <f>IF(ISNUMBER('Step 3 (MTP) - Plan and prior'!E41),'Step 3 (MTP) - Plan and prior'!E41,"")</f>
        <v/>
      </c>
      <c r="F66" s="68" t="str">
        <f>IF(ISNUMBER('Step 3 (MTP) - Plan and prior'!F41),'Step 3 (MTP) - Plan and prior'!F41,"")</f>
        <v/>
      </c>
      <c r="G66" s="68" t="str">
        <f>IF(ISNUMBER('Step 3 (MTP) - Plan and prior'!G41),'Step 3 (MTP) - Plan and prior'!G41,"")</f>
        <v/>
      </c>
      <c r="H66" s="68" t="str">
        <f>IF(ISNUMBER('Step 3 (MTP) - Plan and prior'!H41),'Step 3 (MTP) - Plan and prior'!H41,"")</f>
        <v/>
      </c>
      <c r="I66" s="68">
        <f>IF(ISNUMBER('Step 3 (MTP) - Plan and prior'!I41),'Step 3 (MTP) - Plan and prior'!I41,"")</f>
        <v>-0.1</v>
      </c>
      <c r="J66" s="68" t="str">
        <f>IF(ISNUMBER('Step 3 (MTP) - Plan and prior'!J41),'Step 3 (MTP) - Plan and prior'!J41,"")</f>
        <v/>
      </c>
      <c r="K66" s="68" t="str">
        <f>IF(ISNUMBER('Step 3 (MTP) - Plan and prior'!K41),'Step 3 (MTP) - Plan and prior'!K41,"")</f>
        <v/>
      </c>
      <c r="L66" s="68" t="str">
        <f>IF(ISNUMBER('Step 3 (MTP) - Plan and prior'!L41),'Step 3 (MTP) - Plan and prior'!L41,"")</f>
        <v/>
      </c>
      <c r="M66" s="68" t="str">
        <f>IF(ISNUMBER('Step 3 (MTP) - Plan and prior'!M41),'Step 3 (MTP) - Plan and prior'!M41,"")</f>
        <v/>
      </c>
      <c r="N66" s="68" t="str">
        <f>IF(ISNUMBER('Step 3 (MTP) - Plan and prior'!N41),'Step 3 (MTP) - Plan and prior'!N41,"")</f>
        <v/>
      </c>
      <c r="O66" s="68" t="str">
        <f>IF(ISNUMBER('Step 3 (MTP) - Plan and prior'!O41),'Step 3 (MTP) - Plan and prior'!O41,"")</f>
        <v/>
      </c>
      <c r="P66" s="68" t="str">
        <f>IF(ISNUMBER('Step 3 (MTP) - Plan and prior'!P41),'Step 3 (MTP) - Plan and prior'!P41,"")</f>
        <v/>
      </c>
      <c r="Q66" s="68" t="str">
        <f>IF(ISNUMBER('Step 3 (MTP) - Plan and prior'!Q41),'Step 3 (MTP) - Plan and prior'!Q41,"")</f>
        <v/>
      </c>
      <c r="R66" s="68" t="str">
        <f>IF(ISNUMBER('Step 3 (MTP) - Plan and prior'!R41),'Step 3 (MTP) - Plan and prior'!R41,"")</f>
        <v/>
      </c>
      <c r="S66" s="68" t="str">
        <f>IF(ISNUMBER('Step 3 (MTP) - Plan and prior'!S41),'Step 3 (MTP) - Plan and prior'!S41,"")</f>
        <v/>
      </c>
      <c r="T66" s="68" t="str">
        <f>IF(ISNUMBER('Step 3 (MTP) - Plan and prior'!T41),'Step 3 (MTP) - Plan and prior'!T41,"")</f>
        <v/>
      </c>
      <c r="U66" s="68" t="str">
        <f>IF(ISNUMBER('Step 3 (MTP) - Plan and prior'!U41),'Step 3 (MTP) - Plan and prior'!U41,"")</f>
        <v/>
      </c>
      <c r="V66" s="68" t="str">
        <f>IF(ISNUMBER('Step 3 (MTP) - Plan and prior'!V41),'Step 3 (MTP) - Plan and prior'!V41,"")</f>
        <v/>
      </c>
      <c r="W66" s="68" t="str">
        <f>IF(ISNUMBER('Step 3 (MTP) - Plan and prior'!W41),'Step 3 (MTP) - Plan and prior'!W41,"")</f>
        <v/>
      </c>
      <c r="X66" s="84" t="str">
        <f>IF(ISNUMBER('Step 3 (MTP) - Plan and prior'!X41),'Step 3 (MTP) - Plan and prior'!X41,"")</f>
        <v/>
      </c>
    </row>
    <row r="67" spans="2:24" customFormat="1" ht="20.25" customHeight="1" x14ac:dyDescent="0.4">
      <c r="B67" s="81" t="s">
        <v>699</v>
      </c>
      <c r="C67" s="14"/>
      <c r="D67" t="str">
        <f>IF(ISNUMBER('Step 3 (MTP) - Plan and prior'!D42),'Step 3 (MTP) - Plan and prior'!D42,"")</f>
        <v/>
      </c>
      <c r="E67" t="str">
        <f>IF(ISNUMBER('Step 3 (MTP) - Plan and prior'!E42),'Step 3 (MTP) - Plan and prior'!E42,"")</f>
        <v/>
      </c>
      <c r="F67" t="str">
        <f>IF(ISNUMBER('Step 3 (MTP) - Plan and prior'!F42),'Step 3 (MTP) - Plan and prior'!F42,"")</f>
        <v/>
      </c>
      <c r="G67" t="str">
        <f>IF(ISNUMBER('Step 3 (MTP) - Plan and prior'!G42),'Step 3 (MTP) - Plan and prior'!G42,"")</f>
        <v/>
      </c>
      <c r="H67" t="str">
        <f>IF(ISNUMBER('Step 3 (MTP) - Plan and prior'!H42),'Step 3 (MTP) - Plan and prior'!H42,"")</f>
        <v/>
      </c>
      <c r="I67" t="str">
        <f>IF(ISNUMBER('Step 3 (MTP) - Plan and prior'!I42),'Step 3 (MTP) - Plan and prior'!I42,"")</f>
        <v/>
      </c>
      <c r="J67" t="str">
        <f>IF(ISNUMBER('Step 3 (MTP) - Plan and prior'!J42),'Step 3 (MTP) - Plan and prior'!J42,"")</f>
        <v/>
      </c>
      <c r="K67" t="str">
        <f>IF(ISNUMBER('Step 3 (MTP) - Plan and prior'!K42),'Step 3 (MTP) - Plan and prior'!K42,"")</f>
        <v/>
      </c>
      <c r="L67" t="str">
        <f>IF(ISNUMBER('Step 3 (MTP) - Plan and prior'!L42),'Step 3 (MTP) - Plan and prior'!L42,"")</f>
        <v/>
      </c>
      <c r="M67" t="str">
        <f>IF(ISNUMBER('Step 3 (MTP) - Plan and prior'!M42),'Step 3 (MTP) - Plan and prior'!M42,"")</f>
        <v/>
      </c>
      <c r="N67" t="str">
        <f>IF(ISNUMBER('Step 3 (MTP) - Plan and prior'!N42),'Step 3 (MTP) - Plan and prior'!N42,"")</f>
        <v/>
      </c>
      <c r="O67" t="str">
        <f>IF(ISNUMBER('Step 3 (MTP) - Plan and prior'!O42),'Step 3 (MTP) - Plan and prior'!O42,"")</f>
        <v/>
      </c>
      <c r="P67" t="str">
        <f>IF(ISNUMBER('Step 3 (MTP) - Plan and prior'!P42),'Step 3 (MTP) - Plan and prior'!P42,"")</f>
        <v/>
      </c>
      <c r="Q67" t="str">
        <f>IF(ISNUMBER('Step 3 (MTP) - Plan and prior'!Q42),'Step 3 (MTP) - Plan and prior'!Q42,"")</f>
        <v/>
      </c>
      <c r="R67" t="str">
        <f>IF(ISNUMBER('Step 3 (MTP) - Plan and prior'!R42),'Step 3 (MTP) - Plan and prior'!R42,"")</f>
        <v/>
      </c>
      <c r="S67" t="str">
        <f>IF(ISNUMBER('Step 3 (MTP) - Plan and prior'!S42),'Step 3 (MTP) - Plan and prior'!S42,"")</f>
        <v/>
      </c>
      <c r="T67" t="str">
        <f>IF(ISNUMBER('Step 3 (MTP) - Plan and prior'!T42),'Step 3 (MTP) - Plan and prior'!T42,"")</f>
        <v/>
      </c>
      <c r="U67" t="str">
        <f>IF(ISNUMBER('Step 3 (MTP) - Plan and prior'!U42),'Step 3 (MTP) - Plan and prior'!U42,"")</f>
        <v/>
      </c>
      <c r="V67" t="str">
        <f>IF(ISNUMBER('Step 3 (MTP) - Plan and prior'!V42),'Step 3 (MTP) - Plan and prior'!V42,"")</f>
        <v/>
      </c>
      <c r="W67" t="str">
        <f>IF(ISNUMBER('Step 3 (MTP) - Plan and prior'!W42),'Step 3 (MTP) - Plan and prior'!W42,"")</f>
        <v/>
      </c>
      <c r="X67" t="str">
        <f>IF(ISNUMBER('Step 3 (MTP) - Plan and prior'!X42),'Step 3 (MTP) - Plan and prior'!X42,"")</f>
        <v/>
      </c>
    </row>
    <row r="68" spans="2:24" customFormat="1" x14ac:dyDescent="0.4">
      <c r="B68" s="55" t="str">
        <f>'Step 3 (MTP) - Plan and prior'!B43</f>
        <v>Main budgetary variables (4-year adjustment period)</v>
      </c>
      <c r="C68" s="14"/>
      <c r="D68" t="str">
        <f>IF(ISNUMBER('Step 3 (MTP) - Plan and prior'!D43),'Step 3 (MTP) - Plan and prior'!D43,"")</f>
        <v/>
      </c>
      <c r="E68" t="str">
        <f>IF(ISNUMBER('Step 3 (MTP) - Plan and prior'!E43),'Step 3 (MTP) - Plan and prior'!E43,"")</f>
        <v/>
      </c>
      <c r="F68" t="str">
        <f>IF(ISNUMBER('Step 3 (MTP) - Plan and prior'!F43),'Step 3 (MTP) - Plan and prior'!F43,"")</f>
        <v/>
      </c>
      <c r="G68" t="str">
        <f>IF(ISNUMBER('Step 3 (MTP) - Plan and prior'!G43),'Step 3 (MTP) - Plan and prior'!G43,"")</f>
        <v/>
      </c>
      <c r="H68" t="str">
        <f>IF(ISNUMBER('Step 3 (MTP) - Plan and prior'!H43),'Step 3 (MTP) - Plan and prior'!H43,"")</f>
        <v/>
      </c>
      <c r="I68" t="str">
        <f>IF(ISNUMBER('Step 3 (MTP) - Plan and prior'!I43),'Step 3 (MTP) - Plan and prior'!I43,"")</f>
        <v/>
      </c>
      <c r="J68" t="str">
        <f>IF(ISNUMBER('Step 3 (MTP) - Plan and prior'!J43),'Step 3 (MTP) - Plan and prior'!J43,"")</f>
        <v/>
      </c>
      <c r="K68" t="str">
        <f>IF(ISNUMBER('Step 3 (MTP) - Plan and prior'!K43),'Step 3 (MTP) - Plan and prior'!K43,"")</f>
        <v/>
      </c>
      <c r="L68" t="str">
        <f>IF(ISNUMBER('Step 3 (MTP) - Plan and prior'!L43),'Step 3 (MTP) - Plan and prior'!L43,"")</f>
        <v/>
      </c>
      <c r="M68" t="str">
        <f>IF(ISNUMBER('Step 3 (MTP) - Plan and prior'!M43),'Step 3 (MTP) - Plan and prior'!M43,"")</f>
        <v/>
      </c>
      <c r="N68" t="str">
        <f>IF(ISNUMBER('Step 3 (MTP) - Plan and prior'!N43),'Step 3 (MTP) - Plan and prior'!N43,"")</f>
        <v/>
      </c>
      <c r="O68" t="str">
        <f>IF(ISNUMBER('Step 3 (MTP) - Plan and prior'!O43),'Step 3 (MTP) - Plan and prior'!O43,"")</f>
        <v/>
      </c>
      <c r="P68" t="str">
        <f>IF(ISNUMBER('Step 3 (MTP) - Plan and prior'!P43),'Step 3 (MTP) - Plan and prior'!P43,"")</f>
        <v/>
      </c>
      <c r="Q68" t="str">
        <f>IF(ISNUMBER('Step 3 (MTP) - Plan and prior'!Q43),'Step 3 (MTP) - Plan and prior'!Q43,"")</f>
        <v/>
      </c>
      <c r="R68" t="str">
        <f>IF(ISNUMBER('Step 3 (MTP) - Plan and prior'!R43),'Step 3 (MTP) - Plan and prior'!R43,"")</f>
        <v/>
      </c>
      <c r="S68" t="str">
        <f>IF(ISNUMBER('Step 3 (MTP) - Plan and prior'!S43),'Step 3 (MTP) - Plan and prior'!S43,"")</f>
        <v/>
      </c>
      <c r="T68" t="str">
        <f>IF(ISNUMBER('Step 3 (MTP) - Plan and prior'!T43),'Step 3 (MTP) - Plan and prior'!T43,"")</f>
        <v/>
      </c>
      <c r="U68" t="str">
        <f>IF(ISNUMBER('Step 3 (MTP) - Plan and prior'!U43),'Step 3 (MTP) - Plan and prior'!U43,"")</f>
        <v/>
      </c>
      <c r="V68" t="str">
        <f>IF(ISNUMBER('Step 3 (MTP) - Plan and prior'!V43),'Step 3 (MTP) - Plan and prior'!V43,"")</f>
        <v/>
      </c>
      <c r="W68" t="str">
        <f>IF(ISNUMBER('Step 3 (MTP) - Plan and prior'!W43),'Step 3 (MTP) - Plan and prior'!W43,"")</f>
        <v/>
      </c>
      <c r="X68" t="str">
        <f>IF(ISNUMBER('Step 3 (MTP) - Plan and prior'!X43),'Step 3 (MTP) - Plan and prior'!X43,"")</f>
        <v/>
      </c>
    </row>
    <row r="69" spans="2:24" customFormat="1" x14ac:dyDescent="0.4">
      <c r="B69" s="46" t="s">
        <v>326</v>
      </c>
      <c r="C69" s="14"/>
      <c r="D69" s="68">
        <f>IF(ISNUMBER('Step 3 (MTP) - Plan and prior'!D44),'Step 3 (MTP) - Plan and prior'!D44,"")</f>
        <v>8.0055138637424594</v>
      </c>
      <c r="E69" s="68">
        <f>IF(ISNUMBER('Step 3 (MTP) - Plan and prior'!E44),'Step 3 (MTP) - Plan and prior'!E44,"")</f>
        <v>4.918973667178153</v>
      </c>
      <c r="F69" s="68">
        <f>IF(ISNUMBER('Step 3 (MTP) - Plan and prior'!F44),'Step 3 (MTP) - Plan and prior'!F44,"")</f>
        <v>3.6413061968341944</v>
      </c>
      <c r="G69" s="68">
        <f>IF(ISNUMBER('Step 3 (MTP) - Plan and prior'!G44),'Step 3 (MTP) - Plan and prior'!G44,"")</f>
        <v>2.7436451968341951</v>
      </c>
      <c r="H69" s="68">
        <f>IF(ISNUMBER('Step 3 (MTP) - Plan and prior'!H44),'Step 3 (MTP) - Plan and prior'!H44,"")</f>
        <v>2.461675896834195</v>
      </c>
      <c r="I69" s="68">
        <f>IF(ISNUMBER('Step 3 (MTP) - Plan and prior'!I44),'Step 3 (MTP) - Plan and prior'!I44,"")</f>
        <v>3.4330077000000001</v>
      </c>
      <c r="J69" s="68">
        <f>IF(ISNUMBER('Step 3 (MTP) - Plan and prior'!J44),'Step 3 (MTP) - Plan and prior'!J44,"")</f>
        <v>3.5328969999999997</v>
      </c>
      <c r="K69" s="68">
        <f>IF(ISNUMBER('Step 3 (MTP) - Plan and prior'!K44),'Step 3 (MTP) - Plan and prior'!K44,"")</f>
        <v>3.6117759999999999</v>
      </c>
      <c r="L69" s="68">
        <f>IF(ISNUMBER('Step 3 (MTP) - Plan and prior'!L44),'Step 3 (MTP) - Plan and prior'!L44,"")</f>
        <v>3.6942360000000001</v>
      </c>
      <c r="M69" s="68">
        <f>IF(ISNUMBER('Step 3 (MTP) - Plan and prior'!M44),'Step 3 (MTP) - Plan and prior'!M44,"")</f>
        <v>3.7719449999999997</v>
      </c>
      <c r="N69" s="68">
        <f>IF(ISNUMBER('Step 3 (MTP) - Plan and prior'!N44),'Step 3 (MTP) - Plan and prior'!N44,"")</f>
        <v>3.828627</v>
      </c>
      <c r="O69" s="68">
        <f>IF(ISNUMBER('Step 3 (MTP) - Plan and prior'!O44),'Step 3 (MTP) - Plan and prior'!O44,"")</f>
        <v>3.86795</v>
      </c>
      <c r="P69" s="68">
        <f>IF(ISNUMBER('Step 3 (MTP) - Plan and prior'!P44),'Step 3 (MTP) - Plan and prior'!P44,"")</f>
        <v>3.9072739999999997</v>
      </c>
      <c r="Q69" s="68">
        <f>IF(ISNUMBER('Step 3 (MTP) - Plan and prior'!Q44),'Step 3 (MTP) - Plan and prior'!Q44,"")</f>
        <v>3.9465969999999997</v>
      </c>
      <c r="R69" s="68">
        <f>IF(ISNUMBER('Step 3 (MTP) - Plan and prior'!R44),'Step 3 (MTP) - Plan and prior'!R44,"")</f>
        <v>3.9263029999999999</v>
      </c>
      <c r="S69" s="68">
        <f>IF(ISNUMBER('Step 3 (MTP) - Plan and prior'!S44),'Step 3 (MTP) - Plan and prior'!S44,"")</f>
        <v>3.8353979999999996</v>
      </c>
      <c r="T69" s="68" t="str">
        <f>IF(ISNUMBER('Step 3 (MTP) - Plan and prior'!T44),'Step 3 (MTP) - Plan and prior'!T44,"")</f>
        <v/>
      </c>
      <c r="U69" s="68" t="str">
        <f>IF(ISNUMBER('Step 3 (MTP) - Plan and prior'!U44),'Step 3 (MTP) - Plan and prior'!U44,"")</f>
        <v/>
      </c>
      <c r="V69" s="68" t="str">
        <f>IF(ISNUMBER('Step 3 (MTP) - Plan and prior'!V44),'Step 3 (MTP) - Plan and prior'!V44,"")</f>
        <v/>
      </c>
      <c r="W69" s="68" t="str">
        <f>IF(ISNUMBER('Step 3 (MTP) - Plan and prior'!W44),'Step 3 (MTP) - Plan and prior'!W44,"")</f>
        <v/>
      </c>
      <c r="X69" t="str">
        <f>IF(ISNUMBER('Step 3 (MTP) - Plan and prior'!X44),'Step 3 (MTP) - Plan and prior'!X44,"")</f>
        <v/>
      </c>
    </row>
    <row r="70" spans="2:24" customFormat="1" x14ac:dyDescent="0.4">
      <c r="B70" s="46" t="s">
        <v>0</v>
      </c>
      <c r="C70" s="14"/>
      <c r="D70" s="68" t="str">
        <f>IF(ISNUMBER('Step 3 (MTP) - Plan and prior'!#REF!),'Step 3 (MTP) - Plan and prior'!#REF!,"")</f>
        <v/>
      </c>
      <c r="E70" s="68" t="str">
        <f>IF(ISNUMBER('Step 3 (MTP) - Plan and prior'!#REF!),'Step 3 (MTP) - Plan and prior'!#REF!,"")</f>
        <v/>
      </c>
      <c r="F70" s="68" t="str">
        <f>IF(ISNUMBER('Step 3 (MTP) - Plan and prior'!#REF!),'Step 3 (MTP) - Plan and prior'!#REF!,"")</f>
        <v/>
      </c>
      <c r="G70" s="68" t="str">
        <f>IF(ISNUMBER('Step 3 (MTP) - Plan and prior'!#REF!),'Step 3 (MTP) - Plan and prior'!#REF!,"")</f>
        <v/>
      </c>
      <c r="H70" s="68" t="str">
        <f>IF(ISNUMBER('Step 3 (MTP) - Plan and prior'!#REF!),'Step 3 (MTP) - Plan and prior'!#REF!,"")</f>
        <v/>
      </c>
      <c r="I70" s="68" t="str">
        <f>IF(ISNUMBER('Step 3 (MTP) - Plan and prior'!#REF!),'Step 3 (MTP) - Plan and prior'!#REF!,"")</f>
        <v/>
      </c>
      <c r="J70" s="68" t="str">
        <f>IF(ISNUMBER('Step 3 (MTP) - Plan and prior'!#REF!),'Step 3 (MTP) - Plan and prior'!#REF!,"")</f>
        <v/>
      </c>
      <c r="K70" s="68" t="str">
        <f>IF(ISNUMBER('Step 3 (MTP) - Plan and prior'!#REF!),'Step 3 (MTP) - Plan and prior'!#REF!,"")</f>
        <v/>
      </c>
      <c r="L70" s="68" t="str">
        <f>IF(ISNUMBER('Step 3 (MTP) - Plan and prior'!#REF!),'Step 3 (MTP) - Plan and prior'!#REF!,"")</f>
        <v/>
      </c>
      <c r="M70" s="68" t="str">
        <f>IF(ISNUMBER('Step 3 (MTP) - Plan and prior'!#REF!),'Step 3 (MTP) - Plan and prior'!#REF!,"")</f>
        <v/>
      </c>
      <c r="N70" s="68" t="str">
        <f>IF(ISNUMBER('Step 3 (MTP) - Plan and prior'!#REF!),'Step 3 (MTP) - Plan and prior'!#REF!,"")</f>
        <v/>
      </c>
      <c r="O70" s="68" t="str">
        <f>IF(ISNUMBER('Step 3 (MTP) - Plan and prior'!#REF!),'Step 3 (MTP) - Plan and prior'!#REF!,"")</f>
        <v/>
      </c>
      <c r="P70" s="68" t="str">
        <f>IF(ISNUMBER('Step 3 (MTP) - Plan and prior'!#REF!),'Step 3 (MTP) - Plan and prior'!#REF!,"")</f>
        <v/>
      </c>
      <c r="Q70" s="68" t="str">
        <f>IF(ISNUMBER('Step 3 (MTP) - Plan and prior'!#REF!),'Step 3 (MTP) - Plan and prior'!#REF!,"")</f>
        <v/>
      </c>
      <c r="R70" s="68" t="str">
        <f>IF(ISNUMBER('Step 3 (MTP) - Plan and prior'!#REF!),'Step 3 (MTP) - Plan and prior'!#REF!,"")</f>
        <v/>
      </c>
      <c r="S70" s="68" t="str">
        <f>IF(ISNUMBER('Step 3 (MTP) - Plan and prior'!#REF!),'Step 3 (MTP) - Plan and prior'!#REF!,"")</f>
        <v/>
      </c>
      <c r="T70" s="68" t="str">
        <f>IF(ISNUMBER('Step 3 (MTP) - Plan and prior'!#REF!),'Step 3 (MTP) - Plan and prior'!#REF!,"")</f>
        <v/>
      </c>
      <c r="U70" s="68" t="str">
        <f>IF(ISNUMBER('Step 3 (MTP) - Plan and prior'!#REF!),'Step 3 (MTP) - Plan and prior'!#REF!,"")</f>
        <v/>
      </c>
      <c r="V70" s="68" t="str">
        <f>IF(ISNUMBER('Step 3 (MTP) - Plan and prior'!#REF!),'Step 3 (MTP) - Plan and prior'!#REF!,"")</f>
        <v/>
      </c>
      <c r="W70" s="68" t="str">
        <f>IF(ISNUMBER('Step 3 (MTP) - Plan and prior'!#REF!),'Step 3 (MTP) - Plan and prior'!#REF!,"")</f>
        <v/>
      </c>
      <c r="X70" t="str">
        <f>IF(ISNUMBER('Step 3 (MTP) - Plan and prior'!#REF!),'Step 3 (MTP) - Plan and prior'!#REF!,"")</f>
        <v/>
      </c>
    </row>
    <row r="71" spans="2:24" customFormat="1" x14ac:dyDescent="0.4">
      <c r="B71" s="46" t="s">
        <v>3</v>
      </c>
      <c r="C71" s="14"/>
      <c r="D71" s="68">
        <f>IF(ISNUMBER('Step 3 (MTP) - Plan and prior'!D46),'Step 3 (MTP) - Plan and prior'!D46,"")</f>
        <v>-1.2598830000000001</v>
      </c>
      <c r="E71" s="68">
        <f>IF(ISNUMBER('Step 3 (MTP) - Plan and prior'!E46),'Step 3 (MTP) - Plan and prior'!E46,"")</f>
        <v>-1.362466</v>
      </c>
      <c r="F71" s="68">
        <f>IF(ISNUMBER('Step 3 (MTP) - Plan and prior'!F46),'Step 3 (MTP) - Plan and prior'!F46,"")</f>
        <v>-0.96246599999999993</v>
      </c>
      <c r="G71" s="68">
        <f>IF(ISNUMBER('Step 3 (MTP) - Plan and prior'!G46),'Step 3 (MTP) - Plan and prior'!G46,"")</f>
        <v>-0.56246599999999991</v>
      </c>
      <c r="H71" s="68">
        <f>IF(ISNUMBER('Step 3 (MTP) - Plan and prior'!H46),'Step 3 (MTP) - Plan and prior'!H46,"")</f>
        <v>-0.16246599999999989</v>
      </c>
      <c r="I71" s="68">
        <f>IF(ISNUMBER('Step 3 (MTP) - Plan and prior'!I46),'Step 3 (MTP) - Plan and prior'!I46,"")</f>
        <v>-0.16246599999999989</v>
      </c>
      <c r="J71" s="68">
        <f>IF(ISNUMBER('Step 3 (MTP) - Plan and prior'!J46),'Step 3 (MTP) - Plan and prior'!J46,"")</f>
        <v>-0.16246599999999989</v>
      </c>
      <c r="K71" s="68">
        <f>IF(ISNUMBER('Step 3 (MTP) - Plan and prior'!K46),'Step 3 (MTP) - Plan and prior'!K46,"")</f>
        <v>-0.16246599999999989</v>
      </c>
      <c r="L71" s="68">
        <f>IF(ISNUMBER('Step 3 (MTP) - Plan and prior'!L46),'Step 3 (MTP) - Plan and prior'!L46,"")</f>
        <v>-0.16246599999999989</v>
      </c>
      <c r="M71" s="68">
        <f>IF(ISNUMBER('Step 3 (MTP) - Plan and prior'!M46),'Step 3 (MTP) - Plan and prior'!M46,"")</f>
        <v>-0.16246599999999989</v>
      </c>
      <c r="N71" s="68">
        <f>IF(ISNUMBER('Step 3 (MTP) - Plan and prior'!N46),'Step 3 (MTP) - Plan and prior'!N46,"")</f>
        <v>-0.16246599999999989</v>
      </c>
      <c r="O71" s="68">
        <f>IF(ISNUMBER('Step 3 (MTP) - Plan and prior'!O46),'Step 3 (MTP) - Plan and prior'!O46,"")</f>
        <v>-0.16246599999999989</v>
      </c>
      <c r="P71" s="68">
        <f>IF(ISNUMBER('Step 3 (MTP) - Plan and prior'!P46),'Step 3 (MTP) - Plan and prior'!P46,"")</f>
        <v>-0.16246599999999989</v>
      </c>
      <c r="Q71" s="68">
        <f>IF(ISNUMBER('Step 3 (MTP) - Plan and prior'!Q46),'Step 3 (MTP) - Plan and prior'!Q46,"")</f>
        <v>-0.16246599999999989</v>
      </c>
      <c r="R71" s="68">
        <f>IF(ISNUMBER('Step 3 (MTP) - Plan and prior'!R46),'Step 3 (MTP) - Plan and prior'!R46,"")</f>
        <v>-0.16246599999999989</v>
      </c>
      <c r="S71" s="68">
        <f>IF(ISNUMBER('Step 3 (MTP) - Plan and prior'!S46),'Step 3 (MTP) - Plan and prior'!S46,"")</f>
        <v>-0.16246599999999989</v>
      </c>
      <c r="T71" s="68" t="str">
        <f>IF(ISNUMBER('Step 3 (MTP) - Plan and prior'!T46),'Step 3 (MTP) - Plan and prior'!T46,"")</f>
        <v/>
      </c>
      <c r="U71" s="68" t="str">
        <f>IF(ISNUMBER('Step 3 (MTP) - Plan and prior'!U46),'Step 3 (MTP) - Plan and prior'!U46,"")</f>
        <v/>
      </c>
      <c r="V71" s="68" t="str">
        <f>IF(ISNUMBER('Step 3 (MTP) - Plan and prior'!V46),'Step 3 (MTP) - Plan and prior'!V46,"")</f>
        <v/>
      </c>
      <c r="W71" s="68" t="str">
        <f>IF(ISNUMBER('Step 3 (MTP) - Plan and prior'!W46),'Step 3 (MTP) - Plan and prior'!W46,"")</f>
        <v/>
      </c>
      <c r="X71" t="str">
        <f>IF(ISNUMBER('Step 3 (MTP) - Plan and prior'!X46),'Step 3 (MTP) - Plan and prior'!X46,"")</f>
        <v/>
      </c>
    </row>
    <row r="72" spans="2:24" customFormat="1" x14ac:dyDescent="0.4">
      <c r="B72" s="46" t="s">
        <v>1</v>
      </c>
      <c r="C72" s="14"/>
      <c r="D72" s="68">
        <f>IF(ISNUMBER('Step 3 (MTP) - Plan and prior'!D47),'Step 3 (MTP) - Plan and prior'!D47,"")</f>
        <v>43.57443441662371</v>
      </c>
      <c r="E72" s="68">
        <f>IF(ISNUMBER('Step 3 (MTP) - Plan and prior'!E47),'Step 3 (MTP) - Plan and prior'!E47,"")</f>
        <v>44.530802034460706</v>
      </c>
      <c r="F72" s="68">
        <f>IF(ISNUMBER('Step 3 (MTP) - Plan and prior'!F47),'Step 3 (MTP) - Plan and prior'!F47,"")</f>
        <v>46.07468666579198</v>
      </c>
      <c r="G72" s="68">
        <f>IF(ISNUMBER('Step 3 (MTP) - Plan and prior'!G47),'Step 3 (MTP) - Plan and prior'!G47,"")</f>
        <v>46.609273528729865</v>
      </c>
      <c r="H72" s="68">
        <f>IF(ISNUMBER('Step 3 (MTP) - Plan and prior'!H47),'Step 3 (MTP) - Plan and prior'!H47,"")</f>
        <v>46.913196864360586</v>
      </c>
      <c r="I72" s="68">
        <f>IF(ISNUMBER('Step 3 (MTP) - Plan and prior'!I47),'Step 3 (MTP) - Plan and prior'!I47,"")</f>
        <v>46.995070407048942</v>
      </c>
      <c r="J72" s="68">
        <f>IF(ISNUMBER('Step 3 (MTP) - Plan and prior'!J47),'Step 3 (MTP) - Plan and prior'!J47,"")</f>
        <v>46.930563469050668</v>
      </c>
      <c r="K72" s="68">
        <f>IF(ISNUMBER('Step 3 (MTP) - Plan and prior'!K47),'Step 3 (MTP) - Plan and prior'!K47,"")</f>
        <v>46.732746137356571</v>
      </c>
      <c r="L72" s="68">
        <f>IF(ISNUMBER('Step 3 (MTP) - Plan and prior'!L47),'Step 3 (MTP) - Plan and prior'!L47,"")</f>
        <v>46.665196728822288</v>
      </c>
      <c r="M72" s="68">
        <f>IF(ISNUMBER('Step 3 (MTP) - Plan and prior'!M47),'Step 3 (MTP) - Plan and prior'!M47,"")</f>
        <v>46.57158616038403</v>
      </c>
      <c r="N72" s="68">
        <f>IF(ISNUMBER('Step 3 (MTP) - Plan and prior'!N47),'Step 3 (MTP) - Plan and prior'!N47,"")</f>
        <v>46.448703649292682</v>
      </c>
      <c r="O72" s="68">
        <f>IF(ISNUMBER('Step 3 (MTP) - Plan and prior'!O47),'Step 3 (MTP) - Plan and prior'!O47,"")</f>
        <v>46.286232845917183</v>
      </c>
      <c r="P72" s="68">
        <f>IF(ISNUMBER('Step 3 (MTP) - Plan and prior'!P47),'Step 3 (MTP) - Plan and prior'!P47,"")</f>
        <v>46.071857686662426</v>
      </c>
      <c r="Q72" s="68">
        <f>IF(ISNUMBER('Step 3 (MTP) - Plan and prior'!Q47),'Step 3 (MTP) - Plan and prior'!Q47,"")</f>
        <v>45.783976834477045</v>
      </c>
      <c r="R72" s="68">
        <f>IF(ISNUMBER('Step 3 (MTP) - Plan and prior'!R47),'Step 3 (MTP) - Plan and prior'!R47,"")</f>
        <v>45.431572278341648</v>
      </c>
      <c r="S72" s="68">
        <f>IF(ISNUMBER('Step 3 (MTP) - Plan and prior'!S47),'Step 3 (MTP) - Plan and prior'!S47,"")</f>
        <v>45.043240344023324</v>
      </c>
      <c r="T72" s="68" t="str">
        <f>IF(ISNUMBER('Step 3 (MTP) - Plan and prior'!T47),'Step 3 (MTP) - Plan and prior'!T47,"")</f>
        <v/>
      </c>
      <c r="U72" s="68" t="str">
        <f>IF(ISNUMBER('Step 3 (MTP) - Plan and prior'!U47),'Step 3 (MTP) - Plan and prior'!U47,"")</f>
        <v/>
      </c>
      <c r="V72" s="68" t="str">
        <f>IF(ISNUMBER('Step 3 (MTP) - Plan and prior'!V47),'Step 3 (MTP) - Plan and prior'!V47,"")</f>
        <v/>
      </c>
      <c r="W72" s="68" t="str">
        <f>IF(ISNUMBER('Step 3 (MTP) - Plan and prior'!W47),'Step 3 (MTP) - Plan and prior'!W47,"")</f>
        <v/>
      </c>
      <c r="X72" t="str">
        <f>IF(ISNUMBER('Step 3 (MTP) - Plan and prior'!X47),'Step 3 (MTP) - Plan and prior'!X47,"")</f>
        <v/>
      </c>
    </row>
    <row r="73" spans="2:24" ht="20.25" customHeight="1" x14ac:dyDescent="0.4">
      <c r="B73" s="44" t="str">
        <f>'Step 3 (MTP) - Plan and prior'!B48</f>
        <v>Debt sustainability assessment (4-year adjustment period)</v>
      </c>
      <c r="D73" s="58" t="str">
        <f>IF(ISNUMBER('Step 3 (MTP) - Plan and prior'!D48),'Step 3 (MTP) - Plan and prior'!D48,"")</f>
        <v/>
      </c>
      <c r="E73" s="58" t="str">
        <f>IF(ISNUMBER('Step 3 (MTP) - Plan and prior'!E48),'Step 3 (MTP) - Plan and prior'!E48,"")</f>
        <v/>
      </c>
      <c r="F73" s="58" t="str">
        <f>IF(ISNUMBER('Step 3 (MTP) - Plan and prior'!F48),'Step 3 (MTP) - Plan and prior'!F48,"")</f>
        <v/>
      </c>
      <c r="G73" s="58" t="str">
        <f>IF(ISNUMBER('Step 3 (MTP) - Plan and prior'!G48),'Step 3 (MTP) - Plan and prior'!G48,"")</f>
        <v/>
      </c>
      <c r="H73" s="58" t="str">
        <f>IF(ISNUMBER('Step 3 (MTP) - Plan and prior'!H48),'Step 3 (MTP) - Plan and prior'!H48,"")</f>
        <v/>
      </c>
      <c r="I73" s="58" t="str">
        <f>IF(ISNUMBER('Step 3 (MTP) - Plan and prior'!I48),'Step 3 (MTP) - Plan and prior'!I48,"")</f>
        <v/>
      </c>
      <c r="J73" s="58" t="str">
        <f>IF(ISNUMBER('Step 3 (MTP) - Plan and prior'!J48),'Step 3 (MTP) - Plan and prior'!J48,"")</f>
        <v/>
      </c>
      <c r="K73" s="58" t="str">
        <f>IF(ISNUMBER('Step 3 (MTP) - Plan and prior'!K48),'Step 3 (MTP) - Plan and prior'!K48,"")</f>
        <v/>
      </c>
      <c r="L73" s="58" t="str">
        <f>IF(ISNUMBER('Step 3 (MTP) - Plan and prior'!L48),'Step 3 (MTP) - Plan and prior'!L48,"")</f>
        <v/>
      </c>
      <c r="M73" s="58" t="str">
        <f>IF(ISNUMBER('Step 3 (MTP) - Plan and prior'!M48),'Step 3 (MTP) - Plan and prior'!M48,"")</f>
        <v/>
      </c>
      <c r="N73" s="58" t="str">
        <f>IF(ISNUMBER('Step 3 (MTP) - Plan and prior'!N48),'Step 3 (MTP) - Plan and prior'!N48,"")</f>
        <v/>
      </c>
      <c r="O73" s="58" t="str">
        <f>IF(ISNUMBER('Step 3 (MTP) - Plan and prior'!O48),'Step 3 (MTP) - Plan and prior'!O48,"")</f>
        <v/>
      </c>
      <c r="P73" s="58" t="str">
        <f>IF(ISNUMBER('Step 3 (MTP) - Plan and prior'!P48),'Step 3 (MTP) - Plan and prior'!P48,"")</f>
        <v/>
      </c>
      <c r="Q73" s="58" t="str">
        <f>IF(ISNUMBER('Step 3 (MTP) - Plan and prior'!Q48),'Step 3 (MTP) - Plan and prior'!Q48,"")</f>
        <v/>
      </c>
      <c r="R73" s="58" t="str">
        <f>IF(ISNUMBER('Step 3 (MTP) - Plan and prior'!R48),'Step 3 (MTP) - Plan and prior'!R48,"")</f>
        <v/>
      </c>
      <c r="S73" s="58" t="str">
        <f>IF(ISNUMBER('Step 3 (MTP) - Plan and prior'!S48),'Step 3 (MTP) - Plan and prior'!S48,"")</f>
        <v/>
      </c>
      <c r="T73" s="58" t="str">
        <f>IF(ISNUMBER('Step 3 (MTP) - Plan and prior'!T48),'Step 3 (MTP) - Plan and prior'!T48,"")</f>
        <v/>
      </c>
      <c r="U73" s="58" t="str">
        <f>IF(ISNUMBER('Step 3 (MTP) - Plan and prior'!U48),'Step 3 (MTP) - Plan and prior'!U48,"")</f>
        <v/>
      </c>
      <c r="V73" s="58" t="str">
        <f>IF(ISNUMBER('Step 3 (MTP) - Plan and prior'!V48),'Step 3 (MTP) - Plan and prior'!V48,"")</f>
        <v/>
      </c>
      <c r="W73" s="58" t="str">
        <f>IF(ISNUMBER('Step 3 (MTP) - Plan and prior'!W48),'Step 3 (MTP) - Plan and prior'!W48,"")</f>
        <v/>
      </c>
      <c r="X73" t="str">
        <f>IF(ISNUMBER('Step 3 (MTP) - Plan and prior'!X48),'Step 3 (MTP) - Plan and prior'!X48,"")</f>
        <v/>
      </c>
    </row>
    <row r="74" spans="2:24" x14ac:dyDescent="0.4">
      <c r="B74" s="46" t="s">
        <v>285</v>
      </c>
      <c r="D74" s="68">
        <f>IF(ISNUMBER('Step 3 (MTP) - Plan and prior'!D29),'Step 3 (MTP) - Plan and prior'!D29,"")</f>
        <v>0</v>
      </c>
      <c r="E74" s="68">
        <f>IF(ISNUMBER('Step 3 (MTP) - Plan and prior'!E29),'Step 3 (MTP) - Plan and prior'!E29,"")</f>
        <v>0</v>
      </c>
      <c r="F74" s="68">
        <f>IF(ISNUMBER('Step 3 (MTP) - Plan and prior'!F29),'Step 3 (MTP) - Plan and prior'!F29,"")</f>
        <v>0</v>
      </c>
      <c r="G74" s="68">
        <f>IF(ISNUMBER('Step 3 (MTP) - Plan and prior'!G29),'Step 3 (MTP) - Plan and prior'!G29,"")</f>
        <v>0</v>
      </c>
      <c r="H74" s="68">
        <f>IF(ISNUMBER('Step 3 (MTP) - Plan and prior'!H29),'Step 3 (MTP) - Plan and prior'!H29,"")</f>
        <v>0</v>
      </c>
      <c r="I74" s="68">
        <f>IF(ISNUMBER('Step 3 (MTP) - Plan and prior'!I29),'Step 3 (MTP) - Plan and prior'!I29,"")</f>
        <v>0</v>
      </c>
      <c r="J74" s="68">
        <f>IF(ISNUMBER('Step 3 (MTP) - Plan and prior'!J29),'Step 3 (MTP) - Plan and prior'!J29,"")</f>
        <v>0</v>
      </c>
      <c r="K74" s="68">
        <f>IF(ISNUMBER('Step 3 (MTP) - Plan and prior'!K29),'Step 3 (MTP) - Plan and prior'!K29,"")</f>
        <v>0</v>
      </c>
      <c r="L74" s="68">
        <f>IF(ISNUMBER('Step 3 (MTP) - Plan and prior'!L29),'Step 3 (MTP) - Plan and prior'!L29,"")</f>
        <v>0</v>
      </c>
      <c r="M74" s="68">
        <f>IF(ISNUMBER('Step 3 (MTP) - Plan and prior'!M29),'Step 3 (MTP) - Plan and prior'!M29,"")</f>
        <v>0</v>
      </c>
      <c r="N74" s="68">
        <f>IF(ISNUMBER('Step 3 (MTP) - Plan and prior'!N29),'Step 3 (MTP) - Plan and prior'!N29,"")</f>
        <v>0</v>
      </c>
      <c r="O74" s="68">
        <f>IF(ISNUMBER('Step 3 (MTP) - Plan and prior'!O29),'Step 3 (MTP) - Plan and prior'!O29,"")</f>
        <v>0</v>
      </c>
      <c r="P74" s="68">
        <f>IF(ISNUMBER('Step 3 (MTP) - Plan and prior'!P29),'Step 3 (MTP) - Plan and prior'!P29,"")</f>
        <v>0</v>
      </c>
      <c r="Q74" s="68">
        <f>IF(ISNUMBER('Step 3 (MTP) - Plan and prior'!Q29),'Step 3 (MTP) - Plan and prior'!Q29,"")</f>
        <v>0</v>
      </c>
      <c r="R74" s="68">
        <f>IF(ISNUMBER('Step 3 (MTP) - Plan and prior'!R29),'Step 3 (MTP) - Plan and prior'!R29,"")</f>
        <v>0</v>
      </c>
      <c r="S74" s="68">
        <f>IF(ISNUMBER('Step 3 (MTP) - Plan and prior'!S29),'Step 3 (MTP) - Plan and prior'!S29,"")</f>
        <v>0</v>
      </c>
      <c r="T74" s="68" t="str">
        <f>IF(ISNUMBER('Step 3 (MTP) - Plan and prior'!T49),'Step 3 (MTP) - Plan and prior'!T49,"")</f>
        <v/>
      </c>
      <c r="U74" s="68" t="str">
        <f>IF(ISNUMBER('Step 3 (MTP) - Plan and prior'!U49),'Step 3 (MTP) - Plan and prior'!U49,"")</f>
        <v/>
      </c>
      <c r="V74" s="68" t="str">
        <f>IF(ISNUMBER('Step 3 (MTP) - Plan and prior'!V49),'Step 3 (MTP) - Plan and prior'!V49,"")</f>
        <v/>
      </c>
      <c r="W74" s="68" t="str">
        <f>IF(ISNUMBER('Step 3 (MTP) - Plan and prior'!W49),'Step 3 (MTP) - Plan and prior'!W49,"")</f>
        <v/>
      </c>
      <c r="X74" t="str">
        <f>IF(ISNUMBER('Step 3 (MTP) - Plan and prior'!X49),'Step 3 (MTP) - Plan and prior'!X49,"")</f>
        <v/>
      </c>
    </row>
    <row r="75" spans="2:24" x14ac:dyDescent="0.4">
      <c r="B75" s="46" t="s">
        <v>286</v>
      </c>
      <c r="D75" s="68">
        <f>IF(ISNUMBER('Step 3 (MTP) - Plan and prior'!D30),'Step 3 (MTP) - Plan and prior'!D30,"")</f>
        <v>0</v>
      </c>
      <c r="E75" s="68">
        <f>IF(ISNUMBER('Step 3 (MTP) - Plan and prior'!E30),'Step 3 (MTP) - Plan and prior'!E30,"")</f>
        <v>0</v>
      </c>
      <c r="F75" s="68">
        <f>IF(ISNUMBER('Step 3 (MTP) - Plan and prior'!F30),'Step 3 (MTP) - Plan and prior'!F30,"")</f>
        <v>0</v>
      </c>
      <c r="G75" s="68">
        <f>IF(ISNUMBER('Step 3 (MTP) - Plan and prior'!G30),'Step 3 (MTP) - Plan and prior'!G30,"")</f>
        <v>0</v>
      </c>
      <c r="H75" s="68">
        <f>IF(ISNUMBER('Step 3 (MTP) - Plan and prior'!H30),'Step 3 (MTP) - Plan and prior'!H30,"")</f>
        <v>0</v>
      </c>
      <c r="I75" s="68">
        <f>IF(ISNUMBER('Step 3 (MTP) - Plan and prior'!I30),'Step 3 (MTP) - Plan and prior'!I30,"")</f>
        <v>0</v>
      </c>
      <c r="J75" s="68">
        <f>IF(ISNUMBER('Step 3 (MTP) - Plan and prior'!J30),'Step 3 (MTP) - Plan and prior'!J30,"")</f>
        <v>0</v>
      </c>
      <c r="K75" s="68">
        <f>IF(ISNUMBER('Step 3 (MTP) - Plan and prior'!K30),'Step 3 (MTP) - Plan and prior'!K30,"")</f>
        <v>0</v>
      </c>
      <c r="L75" s="68">
        <f>IF(ISNUMBER('Step 3 (MTP) - Plan and prior'!L30),'Step 3 (MTP) - Plan and prior'!L30,"")</f>
        <v>0</v>
      </c>
      <c r="M75" s="68">
        <f>IF(ISNUMBER('Step 3 (MTP) - Plan and prior'!M30),'Step 3 (MTP) - Plan and prior'!M30,"")</f>
        <v>0</v>
      </c>
      <c r="N75" s="68">
        <f>IF(ISNUMBER('Step 3 (MTP) - Plan and prior'!N30),'Step 3 (MTP) - Plan and prior'!N30,"")</f>
        <v>0</v>
      </c>
      <c r="O75" s="68">
        <f>IF(ISNUMBER('Step 3 (MTP) - Plan and prior'!O30),'Step 3 (MTP) - Plan and prior'!O30,"")</f>
        <v>0</v>
      </c>
      <c r="P75" s="68">
        <f>IF(ISNUMBER('Step 3 (MTP) - Plan and prior'!P30),'Step 3 (MTP) - Plan and prior'!P30,"")</f>
        <v>0</v>
      </c>
      <c r="Q75" s="68">
        <f>IF(ISNUMBER('Step 3 (MTP) - Plan and prior'!Q30),'Step 3 (MTP) - Plan and prior'!Q30,"")</f>
        <v>0</v>
      </c>
      <c r="R75" s="68">
        <f>IF(ISNUMBER('Step 3 (MTP) - Plan and prior'!R30),'Step 3 (MTP) - Plan and prior'!R30,"")</f>
        <v>0</v>
      </c>
      <c r="S75" s="68">
        <f>IF(ISNUMBER('Step 3 (MTP) - Plan and prior'!S30),'Step 3 (MTP) - Plan and prior'!S30,"")</f>
        <v>0</v>
      </c>
      <c r="T75" s="68" t="str">
        <f>IF(ISNUMBER('Step 3 (MTP) - Plan and prior'!T50),'Step 3 (MTP) - Plan and prior'!T50,"")</f>
        <v/>
      </c>
      <c r="U75" s="68" t="str">
        <f>IF(ISNUMBER('Step 3 (MTP) - Plan and prior'!U50),'Step 3 (MTP) - Plan and prior'!U50,"")</f>
        <v/>
      </c>
      <c r="V75" s="68" t="str">
        <f>IF(ISNUMBER('Step 3 (MTP) - Plan and prior'!V50),'Step 3 (MTP) - Plan and prior'!V50,"")</f>
        <v/>
      </c>
      <c r="W75" s="68" t="str">
        <f>IF(ISNUMBER('Step 3 (MTP) - Plan and prior'!W50),'Step 3 (MTP) - Plan and prior'!W50,"")</f>
        <v/>
      </c>
      <c r="X75" t="str">
        <f>IF(ISNUMBER('Step 3 (MTP) - Plan and prior'!X50),'Step 3 (MTP) - Plan and prior'!X50,"")</f>
        <v/>
      </c>
    </row>
    <row r="76" spans="2:24" x14ac:dyDescent="0.4">
      <c r="B76" s="46" t="s">
        <v>287</v>
      </c>
      <c r="D76" s="68">
        <f>IF(ISNUMBER('Step 3 (MTP) - Plan and prior'!D31),'Step 3 (MTP) - Plan and prior'!D31,"")</f>
        <v>0</v>
      </c>
      <c r="E76" s="68">
        <f>IF(ISNUMBER('Step 3 (MTP) - Plan and prior'!E31),'Step 3 (MTP) - Plan and prior'!E31,"")</f>
        <v>0</v>
      </c>
      <c r="F76" s="68">
        <f>IF(ISNUMBER('Step 3 (MTP) - Plan and prior'!F31),'Step 3 (MTP) - Plan and prior'!F31,"")</f>
        <v>0</v>
      </c>
      <c r="G76" s="68">
        <f>IF(ISNUMBER('Step 3 (MTP) - Plan and prior'!G31),'Step 3 (MTP) - Plan and prior'!G31,"")</f>
        <v>0</v>
      </c>
      <c r="H76" s="68">
        <f>IF(ISNUMBER('Step 3 (MTP) - Plan and prior'!H31),'Step 3 (MTP) - Plan and prior'!H31,"")</f>
        <v>0</v>
      </c>
      <c r="I76" s="68">
        <f>IF(ISNUMBER('Step 3 (MTP) - Plan and prior'!I31),'Step 3 (MTP) - Plan and prior'!I31,"")</f>
        <v>0</v>
      </c>
      <c r="J76" s="68">
        <f>IF(ISNUMBER('Step 3 (MTP) - Plan and prior'!J31),'Step 3 (MTP) - Plan and prior'!J31,"")</f>
        <v>0</v>
      </c>
      <c r="K76" s="68">
        <f>IF(ISNUMBER('Step 3 (MTP) - Plan and prior'!K31),'Step 3 (MTP) - Plan and prior'!K31,"")</f>
        <v>0</v>
      </c>
      <c r="L76" s="68">
        <f>IF(ISNUMBER('Step 3 (MTP) - Plan and prior'!L31),'Step 3 (MTP) - Plan and prior'!L31,"")</f>
        <v>0</v>
      </c>
      <c r="M76" s="68">
        <f>IF(ISNUMBER('Step 3 (MTP) - Plan and prior'!M31),'Step 3 (MTP) - Plan and prior'!M31,"")</f>
        <v>0</v>
      </c>
      <c r="N76" s="68">
        <f>IF(ISNUMBER('Step 3 (MTP) - Plan and prior'!N31),'Step 3 (MTP) - Plan and prior'!N31,"")</f>
        <v>0</v>
      </c>
      <c r="O76" s="68">
        <f>IF(ISNUMBER('Step 3 (MTP) - Plan and prior'!O31),'Step 3 (MTP) - Plan and prior'!O31,"")</f>
        <v>0</v>
      </c>
      <c r="P76" s="68">
        <f>IF(ISNUMBER('Step 3 (MTP) - Plan and prior'!P31),'Step 3 (MTP) - Plan and prior'!P31,"")</f>
        <v>0</v>
      </c>
      <c r="Q76" s="68">
        <f>IF(ISNUMBER('Step 3 (MTP) - Plan and prior'!Q31),'Step 3 (MTP) - Plan and prior'!Q31,"")</f>
        <v>0</v>
      </c>
      <c r="R76" s="68">
        <f>IF(ISNUMBER('Step 3 (MTP) - Plan and prior'!R31),'Step 3 (MTP) - Plan and prior'!R31,"")</f>
        <v>0</v>
      </c>
      <c r="S76" s="68">
        <f>IF(ISNUMBER('Step 3 (MTP) - Plan and prior'!S31),'Step 3 (MTP) - Plan and prior'!S31,"")</f>
        <v>0</v>
      </c>
      <c r="T76" s="68" t="str">
        <f>IF(ISNUMBER('Step 3 (MTP) - Plan and prior'!T51),'Step 3 (MTP) - Plan and prior'!T51,"")</f>
        <v/>
      </c>
      <c r="U76" s="68" t="str">
        <f>IF(ISNUMBER('Step 3 (MTP) - Plan and prior'!U51),'Step 3 (MTP) - Plan and prior'!U51,"")</f>
        <v/>
      </c>
      <c r="V76" s="68" t="str">
        <f>IF(ISNUMBER('Step 3 (MTP) - Plan and prior'!V51),'Step 3 (MTP) - Plan and prior'!V51,"")</f>
        <v/>
      </c>
      <c r="W76" s="68" t="str">
        <f>IF(ISNUMBER('Step 3 (MTP) - Plan and prior'!W51),'Step 3 (MTP) - Plan and prior'!W51,"")</f>
        <v/>
      </c>
      <c r="X76" t="str">
        <f>IF(ISNUMBER('Step 3 (MTP) - Plan and prior'!X51),'Step 3 (MTP) - Plan and prior'!X51,"")</f>
        <v/>
      </c>
    </row>
    <row r="77" spans="2:24" x14ac:dyDescent="0.4">
      <c r="B77" s="46" t="s">
        <v>288</v>
      </c>
      <c r="D77" s="68">
        <f>IF(ISNUMBER('Step 3 (MTP) - Plan and prior'!D32),'Step 3 (MTP) - Plan and prior'!D32,"")</f>
        <v>0</v>
      </c>
      <c r="E77" s="68">
        <f>IF(ISNUMBER('Step 3 (MTP) - Plan and prior'!E32),'Step 3 (MTP) - Plan and prior'!E32,"")</f>
        <v>0</v>
      </c>
      <c r="F77" s="68">
        <f>IF(ISNUMBER('Step 3 (MTP) - Plan and prior'!F32),'Step 3 (MTP) - Plan and prior'!F32,"")</f>
        <v>0</v>
      </c>
      <c r="G77" s="68">
        <f>IF(ISNUMBER('Step 3 (MTP) - Plan and prior'!G32),'Step 3 (MTP) - Plan and prior'!G32,"")</f>
        <v>0</v>
      </c>
      <c r="H77" s="68">
        <f>IF(ISNUMBER('Step 3 (MTP) - Plan and prior'!H32),'Step 3 (MTP) - Plan and prior'!H32,"")</f>
        <v>0</v>
      </c>
      <c r="I77" s="68">
        <f>IF(ISNUMBER('Step 3 (MTP) - Plan and prior'!I32),'Step 3 (MTP) - Plan and prior'!I32,"")</f>
        <v>0</v>
      </c>
      <c r="J77" s="68">
        <f>IF(ISNUMBER('Step 3 (MTP) - Plan and prior'!J32),'Step 3 (MTP) - Plan and prior'!J32,"")</f>
        <v>0</v>
      </c>
      <c r="K77" s="68">
        <f>IF(ISNUMBER('Step 3 (MTP) - Plan and prior'!K32),'Step 3 (MTP) - Plan and prior'!K32,"")</f>
        <v>0</v>
      </c>
      <c r="L77" s="68">
        <f>IF(ISNUMBER('Step 3 (MTP) - Plan and prior'!L32),'Step 3 (MTP) - Plan and prior'!L32,"")</f>
        <v>0</v>
      </c>
      <c r="M77" s="68">
        <f>IF(ISNUMBER('Step 3 (MTP) - Plan and prior'!M32),'Step 3 (MTP) - Plan and prior'!M32,"")</f>
        <v>0</v>
      </c>
      <c r="N77" s="68">
        <f>IF(ISNUMBER('Step 3 (MTP) - Plan and prior'!N32),'Step 3 (MTP) - Plan and prior'!N32,"")</f>
        <v>0</v>
      </c>
      <c r="O77" s="68">
        <f>IF(ISNUMBER('Step 3 (MTP) - Plan and prior'!O32),'Step 3 (MTP) - Plan and prior'!O32,"")</f>
        <v>0</v>
      </c>
      <c r="P77" s="68">
        <f>IF(ISNUMBER('Step 3 (MTP) - Plan and prior'!P32),'Step 3 (MTP) - Plan and prior'!P32,"")</f>
        <v>0</v>
      </c>
      <c r="Q77" s="68">
        <f>IF(ISNUMBER('Step 3 (MTP) - Plan and prior'!Q32),'Step 3 (MTP) - Plan and prior'!Q32,"")</f>
        <v>0</v>
      </c>
      <c r="R77" s="68">
        <f>IF(ISNUMBER('Step 3 (MTP) - Plan and prior'!R32),'Step 3 (MTP) - Plan and prior'!R32,"")</f>
        <v>0</v>
      </c>
      <c r="S77" s="68">
        <f>IF(ISNUMBER('Step 3 (MTP) - Plan and prior'!S32),'Step 3 (MTP) - Plan and prior'!S32,"")</f>
        <v>0</v>
      </c>
      <c r="T77" s="68" t="str">
        <f>IF(ISNUMBER('Step 3 (MTP) - Plan and prior'!T52),'Step 3 (MTP) - Plan and prior'!T52,"")</f>
        <v/>
      </c>
      <c r="U77" s="68" t="str">
        <f>IF(ISNUMBER('Step 3 (MTP) - Plan and prior'!U52),'Step 3 (MTP) - Plan and prior'!U52,"")</f>
        <v/>
      </c>
      <c r="V77" s="68" t="str">
        <f>IF(ISNUMBER('Step 3 (MTP) - Plan and prior'!V52),'Step 3 (MTP) - Plan and prior'!V52,"")</f>
        <v/>
      </c>
      <c r="W77" s="68" t="str">
        <f>IF(ISNUMBER('Step 3 (MTP) - Plan and prior'!W52),'Step 3 (MTP) - Plan and prior'!W52,"")</f>
        <v/>
      </c>
      <c r="X77" t="str">
        <f>IF(ISNUMBER('Step 3 (MTP) - Plan and prior'!X52),'Step 3 (MTP) - Plan and prior'!X52,"")</f>
        <v/>
      </c>
    </row>
    <row r="78" spans="2:24" x14ac:dyDescent="0.4">
      <c r="B78" s="46" t="str">
        <f>'Step 3 (MTP) - Plan and prior'!B53</f>
        <v>Stochastic debt projections, 2029-2033</v>
      </c>
      <c r="D78" s="68" t="str">
        <f>IF(ISNUMBER('Step 3 (MTP) - Plan and prior'!D53),'Step 3 (MTP) - Plan and prior'!D53,"")</f>
        <v/>
      </c>
      <c r="E78" s="68" t="str">
        <f>IF(ISNUMBER('Step 3 (MTP) - Plan and prior'!E53),'Step 3 (MTP) - Plan and prior'!E53,"")</f>
        <v/>
      </c>
      <c r="F78" s="68" t="str">
        <f>IF(ISNUMBER('Step 3 (MTP) - Plan and prior'!F53),'Step 3 (MTP) - Plan and prior'!F53,"")</f>
        <v/>
      </c>
      <c r="G78" s="68" t="str">
        <f>IF(ISNUMBER('Step 3 (MTP) - Plan and prior'!G53),'Step 3 (MTP) - Plan and prior'!G53,"")</f>
        <v/>
      </c>
      <c r="H78" s="68" t="str">
        <f>IF(ISNUMBER('Step 3 (MTP) - Plan and prior'!H53),'Step 3 (MTP) - Plan and prior'!H53,"")</f>
        <v/>
      </c>
      <c r="I78" s="68" t="str">
        <f>IF(ISNUMBER('Step 3 (MTP) - Plan and prior'!I53),'Step 3 (MTP) - Plan and prior'!I53,"")</f>
        <v/>
      </c>
      <c r="J78" s="68" t="str">
        <f>IF(ISNUMBER('Step 3 (MTP) - Plan and prior'!J53),'Step 3 (MTP) - Plan and prior'!J53,"")</f>
        <v/>
      </c>
      <c r="K78" s="68" t="str">
        <f>IF(ISNUMBER('Step 3 (MTP) - Plan and prior'!K53),'Step 3 (MTP) - Plan and prior'!K53,"")</f>
        <v/>
      </c>
      <c r="L78" s="68" t="str">
        <f>IF(ISNUMBER('Step 3 (MTP) - Plan and prior'!L53),'Step 3 (MTP) - Plan and prior'!L53,"")</f>
        <v/>
      </c>
      <c r="M78" s="68" t="str">
        <f>IF(ISNUMBER('Step 3 (MTP) - Plan and prior'!M53),'Step 3 (MTP) - Plan and prior'!M53,"")</f>
        <v/>
      </c>
      <c r="N78" s="68" t="str">
        <f>IF(ISNUMBER('Step 3 (MTP) - Plan and prior'!N53),'Step 3 (MTP) - Plan and prior'!N53,"")</f>
        <v/>
      </c>
      <c r="O78" s="68" t="str">
        <f>IF(ISNUMBER('Step 3 (MTP) - Plan and prior'!O53),'Step 3 (MTP) - Plan and prior'!O53,"")</f>
        <v/>
      </c>
      <c r="P78" s="68" t="str">
        <f>IF(ISNUMBER('Step 3 (MTP) - Plan and prior'!P53),'Step 3 (MTP) - Plan and prior'!P53,"")</f>
        <v/>
      </c>
      <c r="Q78" s="68" t="str">
        <f>IF(ISNUMBER('Step 3 (MTP) - Plan and prior'!Q53),'Step 3 (MTP) - Plan and prior'!Q53,"")</f>
        <v/>
      </c>
      <c r="R78" s="68" t="str">
        <f>IF(ISNUMBER('Step 3 (MTP) - Plan and prior'!R53),'Step 3 (MTP) - Plan and prior'!R53,"")</f>
        <v/>
      </c>
      <c r="S78" s="68" t="str">
        <f>IF(ISNUMBER('Step 3 (MTP) - Plan and prior'!S53),'Step 3 (MTP) - Plan and prior'!S53,"")</f>
        <v/>
      </c>
      <c r="T78" s="68" t="str">
        <f>IF(ISNUMBER('Step 3 (MTP) - Plan and prior'!T53),'Step 3 (MTP) - Plan and prior'!T53,"")</f>
        <v/>
      </c>
      <c r="U78" s="68" t="str">
        <f>IF(ISNUMBER('Step 3 (MTP) - Plan and prior'!U53),'Step 3 (MTP) - Plan and prior'!U53,"")</f>
        <v/>
      </c>
      <c r="V78" s="68" t="str">
        <f>IF(ISNUMBER('Step 3 (MTP) - Plan and prior'!V53),'Step 3 (MTP) - Plan and prior'!V53,"")</f>
        <v/>
      </c>
      <c r="W78" s="68" t="str">
        <f>IF(ISNUMBER('Step 3 (MTP) - Plan and prior'!W53),'Step 3 (MTP) - Plan and prior'!W53,"")</f>
        <v/>
      </c>
      <c r="X78" t="str">
        <f>IF(ISNUMBER('Step 3 (MTP) - Plan and prior'!X53),'Step 3 (MTP) - Plan and prior'!X53,"")</f>
        <v/>
      </c>
    </row>
    <row r="79" spans="2:24" x14ac:dyDescent="0.4">
      <c r="B79" s="82" t="s">
        <v>317</v>
      </c>
      <c r="D79" s="68" t="str">
        <f>IF(ISNUMBER('Step 3 (MTP) - Plan and prior'!D54),'Step 3 (MTP) - Plan and prior'!D54,"")</f>
        <v/>
      </c>
      <c r="E79" s="68" t="str">
        <f>IF(ISNUMBER('Step 3 (MTP) - Plan and prior'!E54),'Step 3 (MTP) - Plan and prior'!E54,"")</f>
        <v/>
      </c>
      <c r="F79" s="68" t="str">
        <f>IF(ISNUMBER('Step 3 (MTP) - Plan and prior'!F54),'Step 3 (MTP) - Plan and prior'!F54,"")</f>
        <v/>
      </c>
      <c r="G79" s="68" t="str">
        <f>IF(ISNUMBER('Step 3 (MTP) - Plan and prior'!G54),'Step 3 (MTP) - Plan and prior'!G54,"")</f>
        <v/>
      </c>
      <c r="H79" s="68" t="str">
        <f>IF(ISNUMBER('Step 3 (MTP) - Plan and prior'!H54),'Step 3 (MTP) - Plan and prior'!H54,"")</f>
        <v/>
      </c>
      <c r="I79" s="68" t="str">
        <f>IF(ISNUMBER('Step 3 (MTP) - Plan and prior'!I54),'Step 3 (MTP) - Plan and prior'!I54,"")</f>
        <v/>
      </c>
      <c r="J79" s="68" t="str">
        <f>IF(ISNUMBER('Step 3 (MTP) - Plan and prior'!J54),'Step 3 (MTP) - Plan and prior'!J54,"")</f>
        <v/>
      </c>
      <c r="K79" s="68" t="str">
        <f>IF(ISNUMBER('Step 3 (MTP) - Plan and prior'!K54),'Step 3 (MTP) - Plan and prior'!K54,"")</f>
        <v/>
      </c>
      <c r="L79" s="68" t="str">
        <f>IF(ISNUMBER('Step 3 (MTP) - Plan and prior'!L54),'Step 3 (MTP) - Plan and prior'!L54,"")</f>
        <v/>
      </c>
      <c r="M79" s="68" t="str">
        <f>IF(ISNUMBER('Step 3 (MTP) - Plan and prior'!M54),'Step 3 (MTP) - Plan and prior'!M54,"")</f>
        <v/>
      </c>
      <c r="N79" s="68" t="str">
        <f>IF(ISNUMBER('Step 3 (MTP) - Plan and prior'!N54),'Step 3 (MTP) - Plan and prior'!N54,"")</f>
        <v/>
      </c>
      <c r="O79" s="68" t="str">
        <f>IF(ISNUMBER('Step 3 (MTP) - Plan and prior'!O54),'Step 3 (MTP) - Plan and prior'!O54,"")</f>
        <v/>
      </c>
      <c r="P79" s="68" t="str">
        <f>IF(ISNUMBER('Step 3 (MTP) - Plan and prior'!P54),'Step 3 (MTP) - Plan and prior'!P54,"")</f>
        <v/>
      </c>
      <c r="Q79" s="68" t="str">
        <f>IF(ISNUMBER('Step 3 (MTP) - Plan and prior'!Q54),'Step 3 (MTP) - Plan and prior'!Q54,"")</f>
        <v/>
      </c>
      <c r="R79" s="68" t="str">
        <f>IF(ISNUMBER('Step 3 (MTP) - Plan and prior'!R54),'Step 3 (MTP) - Plan and prior'!R54,"")</f>
        <v/>
      </c>
      <c r="S79" s="68" t="str">
        <f>IF(ISNUMBER('Step 3 (MTP) - Plan and prior'!S54),'Step 3 (MTP) - Plan and prior'!S54,"")</f>
        <v/>
      </c>
      <c r="T79" s="68" t="str">
        <f>IF(ISNUMBER('Step 3 (MTP) - Plan and prior'!T54),'Step 3 (MTP) - Plan and prior'!T54,"")</f>
        <v/>
      </c>
      <c r="U79" s="68" t="str">
        <f>IF(ISNUMBER('Step 3 (MTP) - Plan and prior'!U54),'Step 3 (MTP) - Plan and prior'!U54,"")</f>
        <v/>
      </c>
      <c r="V79" s="68" t="str">
        <f>IF(ISNUMBER('Step 3 (MTP) - Plan and prior'!V54),'Step 3 (MTP) - Plan and prior'!V54,"")</f>
        <v/>
      </c>
      <c r="W79" s="68" t="str">
        <f>IF(ISNUMBER('Step 3 (MTP) - Plan and prior'!W54),'Step 3 (MTP) - Plan and prior'!W54,"")</f>
        <v/>
      </c>
      <c r="X79" t="str">
        <f>IF(ISNUMBER('Step 3 (MTP) - Plan and prior'!X54),'Step 3 (MTP) - Plan and prior'!X54,"")</f>
        <v/>
      </c>
    </row>
    <row r="80" spans="2:24" x14ac:dyDescent="0.4">
      <c r="B80" s="82" t="s">
        <v>318</v>
      </c>
      <c r="D80" s="68" t="str">
        <f>IF(ISNUMBER('Step 3 (MTP) - Plan and prior'!D55),'Step 3 (MTP) - Plan and prior'!D55,"")</f>
        <v/>
      </c>
      <c r="E80" s="68" t="str">
        <f>IF(ISNUMBER('Step 3 (MTP) - Plan and prior'!E55),'Step 3 (MTP) - Plan and prior'!E55,"")</f>
        <v/>
      </c>
      <c r="F80" s="68" t="str">
        <f>IF(ISNUMBER('Step 3 (MTP) - Plan and prior'!F55),'Step 3 (MTP) - Plan and prior'!F55,"")</f>
        <v/>
      </c>
      <c r="G80" s="68" t="str">
        <f>IF(ISNUMBER('Step 3 (MTP) - Plan and prior'!G55),'Step 3 (MTP) - Plan and prior'!G55,"")</f>
        <v/>
      </c>
      <c r="H80" s="68" t="str">
        <f>IF(ISNUMBER('Step 3 (MTP) - Plan and prior'!H55),'Step 3 (MTP) - Plan and prior'!H55,"")</f>
        <v/>
      </c>
      <c r="I80" s="68" t="str">
        <f>IF(ISNUMBER('Step 3 (MTP) - Plan and prior'!I55),'Step 3 (MTP) - Plan and prior'!I55,"")</f>
        <v/>
      </c>
      <c r="J80" s="68" t="str">
        <f>IF(ISNUMBER('Step 3 (MTP) - Plan and prior'!J55),'Step 3 (MTP) - Plan and prior'!J55,"")</f>
        <v/>
      </c>
      <c r="K80" s="68" t="str">
        <f>IF(ISNUMBER('Step 3 (MTP) - Plan and prior'!K55),'Step 3 (MTP) - Plan and prior'!K55,"")</f>
        <v/>
      </c>
      <c r="L80" s="68" t="str">
        <f>IF(ISNUMBER('Step 3 (MTP) - Plan and prior'!L55),'Step 3 (MTP) - Plan and prior'!L55,"")</f>
        <v/>
      </c>
      <c r="M80" s="68" t="str">
        <f>IF(ISNUMBER('Step 3 (MTP) - Plan and prior'!M55),'Step 3 (MTP) - Plan and prior'!M55,"")</f>
        <v/>
      </c>
      <c r="N80" s="68" t="str">
        <f>IF(ISNUMBER('Step 3 (MTP) - Plan and prior'!N55),'Step 3 (MTP) - Plan and prior'!N55,"")</f>
        <v/>
      </c>
      <c r="O80" s="68" t="str">
        <f>IF(ISNUMBER('Step 3 (MTP) - Plan and prior'!O55),'Step 3 (MTP) - Plan and prior'!O55,"")</f>
        <v/>
      </c>
      <c r="P80" s="68" t="str">
        <f>IF(ISNUMBER('Step 3 (MTP) - Plan and prior'!P55),'Step 3 (MTP) - Plan and prior'!P55,"")</f>
        <v/>
      </c>
      <c r="Q80" s="68" t="str">
        <f>IF(ISNUMBER('Step 3 (MTP) - Plan and prior'!Q55),'Step 3 (MTP) - Plan and prior'!Q55,"")</f>
        <v/>
      </c>
      <c r="R80" s="68" t="str">
        <f>IF(ISNUMBER('Step 3 (MTP) - Plan and prior'!R55),'Step 3 (MTP) - Plan and prior'!R55,"")</f>
        <v/>
      </c>
      <c r="S80" s="68" t="str">
        <f>IF(ISNUMBER('Step 3 (MTP) - Plan and prior'!S55),'Step 3 (MTP) - Plan and prior'!S55,"")</f>
        <v/>
      </c>
      <c r="T80" s="68" t="str">
        <f>IF(ISNUMBER('Step 3 (MTP) - Plan and prior'!T55),'Step 3 (MTP) - Plan and prior'!T55,"")</f>
        <v/>
      </c>
      <c r="U80" s="68" t="str">
        <f>IF(ISNUMBER('Step 3 (MTP) - Plan and prior'!U55),'Step 3 (MTP) - Plan and prior'!U55,"")</f>
        <v/>
      </c>
      <c r="V80" s="68" t="str">
        <f>IF(ISNUMBER('Step 3 (MTP) - Plan and prior'!V55),'Step 3 (MTP) - Plan and prior'!V55,"")</f>
        <v/>
      </c>
      <c r="W80" s="68" t="str">
        <f>IF(ISNUMBER('Step 3 (MTP) - Plan and prior'!W55),'Step 3 (MTP) - Plan and prior'!W55,"")</f>
        <v/>
      </c>
      <c r="X80" t="str">
        <f>IF(ISNUMBER('Step 3 (MTP) - Plan and prior'!X55),'Step 3 (MTP) - Plan and prior'!X55,"")</f>
        <v/>
      </c>
    </row>
    <row r="81" spans="2:35" x14ac:dyDescent="0.4">
      <c r="B81" s="82" t="s">
        <v>319</v>
      </c>
      <c r="D81" s="68" t="str">
        <f>IF(ISNUMBER('Step 3 (MTP) - Plan and prior'!D56),'Step 3 (MTP) - Plan and prior'!D56,"")</f>
        <v/>
      </c>
      <c r="E81" s="68" t="str">
        <f>IF(ISNUMBER('Step 3 (MTP) - Plan and prior'!E56),'Step 3 (MTP) - Plan and prior'!E56,"")</f>
        <v/>
      </c>
      <c r="F81" s="68" t="str">
        <f>IF(ISNUMBER('Step 3 (MTP) - Plan and prior'!F56),'Step 3 (MTP) - Plan and prior'!F56,"")</f>
        <v/>
      </c>
      <c r="G81" s="68" t="str">
        <f>IF(ISNUMBER('Step 3 (MTP) - Plan and prior'!G56),'Step 3 (MTP) - Plan and prior'!G56,"")</f>
        <v/>
      </c>
      <c r="H81" s="68" t="str">
        <f>IF(ISNUMBER('Step 3 (MTP) - Plan and prior'!H56),'Step 3 (MTP) - Plan and prior'!H56,"")</f>
        <v/>
      </c>
      <c r="I81" s="68" t="str">
        <f>IF(ISNUMBER('Step 3 (MTP) - Plan and prior'!I56),'Step 3 (MTP) - Plan and prior'!I56,"")</f>
        <v/>
      </c>
      <c r="J81" s="68" t="str">
        <f>IF(ISNUMBER('Step 3 (MTP) - Plan and prior'!J56),'Step 3 (MTP) - Plan and prior'!J56,"")</f>
        <v/>
      </c>
      <c r="K81" s="68" t="str">
        <f>IF(ISNUMBER('Step 3 (MTP) - Plan and prior'!K56),'Step 3 (MTP) - Plan and prior'!K56,"")</f>
        <v/>
      </c>
      <c r="L81" s="68" t="str">
        <f>IF(ISNUMBER('Step 3 (MTP) - Plan and prior'!L56),'Step 3 (MTP) - Plan and prior'!L56,"")</f>
        <v/>
      </c>
      <c r="M81" s="68" t="str">
        <f>IF(ISNUMBER('Step 3 (MTP) - Plan and prior'!M56),'Step 3 (MTP) - Plan and prior'!M56,"")</f>
        <v/>
      </c>
      <c r="N81" s="68" t="str">
        <f>IF(ISNUMBER('Step 3 (MTP) - Plan and prior'!N56),'Step 3 (MTP) - Plan and prior'!N56,"")</f>
        <v/>
      </c>
      <c r="O81" s="68" t="str">
        <f>IF(ISNUMBER('Step 3 (MTP) - Plan and prior'!O56),'Step 3 (MTP) - Plan and prior'!O56,"")</f>
        <v/>
      </c>
      <c r="P81" s="68" t="str">
        <f>IF(ISNUMBER('Step 3 (MTP) - Plan and prior'!P56),'Step 3 (MTP) - Plan and prior'!P56,"")</f>
        <v/>
      </c>
      <c r="Q81" s="68" t="str">
        <f>IF(ISNUMBER('Step 3 (MTP) - Plan and prior'!Q56),'Step 3 (MTP) - Plan and prior'!Q56,"")</f>
        <v/>
      </c>
      <c r="R81" s="68" t="str">
        <f>IF(ISNUMBER('Step 3 (MTP) - Plan and prior'!R56),'Step 3 (MTP) - Plan and prior'!R56,"")</f>
        <v/>
      </c>
      <c r="S81" s="68" t="str">
        <f>IF(ISNUMBER('Step 3 (MTP) - Plan and prior'!S56),'Step 3 (MTP) - Plan and prior'!S56,"")</f>
        <v/>
      </c>
      <c r="T81" s="68" t="str">
        <f>IF(ISNUMBER('Step 3 (MTP) - Plan and prior'!T56),'Step 3 (MTP) - Plan and prior'!T56,"")</f>
        <v/>
      </c>
      <c r="U81" s="68" t="str">
        <f>IF(ISNUMBER('Step 3 (MTP) - Plan and prior'!U56),'Step 3 (MTP) - Plan and prior'!U56,"")</f>
        <v/>
      </c>
      <c r="V81" s="68" t="str">
        <f>IF(ISNUMBER('Step 3 (MTP) - Plan and prior'!V56),'Step 3 (MTP) - Plan and prior'!V56,"")</f>
        <v/>
      </c>
      <c r="W81" s="68" t="str">
        <f>IF(ISNUMBER('Step 3 (MTP) - Plan and prior'!W56),'Step 3 (MTP) - Plan and prior'!W56,"")</f>
        <v/>
      </c>
      <c r="X81" t="str">
        <f>IF(ISNUMBER('Step 3 (MTP) - Plan and prior'!X56),'Step 3 (MTP) - Plan and prior'!X56,"")</f>
        <v/>
      </c>
    </row>
    <row r="82" spans="2:35" x14ac:dyDescent="0.4">
      <c r="B82" s="82" t="s">
        <v>320</v>
      </c>
      <c r="D82" s="68" t="str">
        <f>IF(ISNUMBER('Step 3 (MTP) - Plan and prior'!D57),'Step 3 (MTP) - Plan and prior'!D57,"")</f>
        <v/>
      </c>
      <c r="E82" s="68" t="str">
        <f>IF(ISNUMBER('Step 3 (MTP) - Plan and prior'!E57),'Step 3 (MTP) - Plan and prior'!E57,"")</f>
        <v/>
      </c>
      <c r="F82" s="68" t="str">
        <f>IF(ISNUMBER('Step 3 (MTP) - Plan and prior'!F57),'Step 3 (MTP) - Plan and prior'!F57,"")</f>
        <v/>
      </c>
      <c r="G82" s="68" t="str">
        <f>IF(ISNUMBER('Step 3 (MTP) - Plan and prior'!G57),'Step 3 (MTP) - Plan and prior'!G57,"")</f>
        <v/>
      </c>
      <c r="H82" s="68" t="str">
        <f>IF(ISNUMBER('Step 3 (MTP) - Plan and prior'!H57),'Step 3 (MTP) - Plan and prior'!H57,"")</f>
        <v/>
      </c>
      <c r="I82" s="68" t="str">
        <f>IF(ISNUMBER('Step 3 (MTP) - Plan and prior'!I57),'Step 3 (MTP) - Plan and prior'!I57,"")</f>
        <v/>
      </c>
      <c r="J82" s="68" t="str">
        <f>IF(ISNUMBER('Step 3 (MTP) - Plan and prior'!J57),'Step 3 (MTP) - Plan and prior'!J57,"")</f>
        <v/>
      </c>
      <c r="K82" s="68" t="str">
        <f>IF(ISNUMBER('Step 3 (MTP) - Plan and prior'!K57),'Step 3 (MTP) - Plan and prior'!K57,"")</f>
        <v/>
      </c>
      <c r="L82" s="68" t="str">
        <f>IF(ISNUMBER('Step 3 (MTP) - Plan and prior'!L57),'Step 3 (MTP) - Plan and prior'!L57,"")</f>
        <v/>
      </c>
      <c r="M82" s="68" t="str">
        <f>IF(ISNUMBER('Step 3 (MTP) - Plan and prior'!M57),'Step 3 (MTP) - Plan and prior'!M57,"")</f>
        <v/>
      </c>
      <c r="N82" s="68" t="str">
        <f>IF(ISNUMBER('Step 3 (MTP) - Plan and prior'!N57),'Step 3 (MTP) - Plan and prior'!N57,"")</f>
        <v/>
      </c>
      <c r="O82" s="68" t="str">
        <f>IF(ISNUMBER('Step 3 (MTP) - Plan and prior'!O57),'Step 3 (MTP) - Plan and prior'!O57,"")</f>
        <v/>
      </c>
      <c r="P82" s="68" t="str">
        <f>IF(ISNUMBER('Step 3 (MTP) - Plan and prior'!P57),'Step 3 (MTP) - Plan and prior'!P57,"")</f>
        <v/>
      </c>
      <c r="Q82" s="68" t="str">
        <f>IF(ISNUMBER('Step 3 (MTP) - Plan and prior'!Q57),'Step 3 (MTP) - Plan and prior'!Q57,"")</f>
        <v/>
      </c>
      <c r="R82" s="68" t="str">
        <f>IF(ISNUMBER('Step 3 (MTP) - Plan and prior'!R57),'Step 3 (MTP) - Plan and prior'!R57,"")</f>
        <v/>
      </c>
      <c r="S82" s="68" t="str">
        <f>IF(ISNUMBER('Step 3 (MTP) - Plan and prior'!S57),'Step 3 (MTP) - Plan and prior'!S57,"")</f>
        <v/>
      </c>
      <c r="T82" s="68" t="str">
        <f>IF(ISNUMBER('Step 3 (MTP) - Plan and prior'!T57),'Step 3 (MTP) - Plan and prior'!T57,"")</f>
        <v/>
      </c>
      <c r="U82" s="68" t="str">
        <f>IF(ISNUMBER('Step 3 (MTP) - Plan and prior'!U57),'Step 3 (MTP) - Plan and prior'!U57,"")</f>
        <v/>
      </c>
      <c r="V82" s="68" t="str">
        <f>IF(ISNUMBER('Step 3 (MTP) - Plan and prior'!V57),'Step 3 (MTP) - Plan and prior'!V57,"")</f>
        <v/>
      </c>
      <c r="W82" s="68" t="str">
        <f>IF(ISNUMBER('Step 3 (MTP) - Plan and prior'!W57),'Step 3 (MTP) - Plan and prior'!W57,"")</f>
        <v/>
      </c>
      <c r="X82" t="str">
        <f>IF(ISNUMBER('Step 3 (MTP) - Plan and prior'!X57),'Step 3 (MTP) - Plan and prior'!X57,"")</f>
        <v/>
      </c>
    </row>
    <row r="83" spans="2:35" x14ac:dyDescent="0.4">
      <c r="B83" s="82" t="s">
        <v>321</v>
      </c>
      <c r="D83" s="68" t="str">
        <f>IF(ISNUMBER('Step 3 (MTP) - Plan and prior'!D58),'Step 3 (MTP) - Plan and prior'!D58,"")</f>
        <v/>
      </c>
      <c r="E83" s="68" t="str">
        <f>IF(ISNUMBER('Step 3 (MTP) - Plan and prior'!E58),'Step 3 (MTP) - Plan and prior'!E58,"")</f>
        <v/>
      </c>
      <c r="F83" s="68" t="str">
        <f>IF(ISNUMBER('Step 3 (MTP) - Plan and prior'!F58),'Step 3 (MTP) - Plan and prior'!F58,"")</f>
        <v/>
      </c>
      <c r="G83" s="68" t="str">
        <f>IF(ISNUMBER('Step 3 (MTP) - Plan and prior'!G58),'Step 3 (MTP) - Plan and prior'!G58,"")</f>
        <v/>
      </c>
      <c r="H83" s="68" t="str">
        <f>IF(ISNUMBER('Step 3 (MTP) - Plan and prior'!H58),'Step 3 (MTP) - Plan and prior'!H58,"")</f>
        <v/>
      </c>
      <c r="I83" s="68" t="str">
        <f>IF(ISNUMBER('Step 3 (MTP) - Plan and prior'!I58),'Step 3 (MTP) - Plan and prior'!I58,"")</f>
        <v/>
      </c>
      <c r="J83" s="68" t="str">
        <f>IF(ISNUMBER('Step 3 (MTP) - Plan and prior'!J58),'Step 3 (MTP) - Plan and prior'!J58,"")</f>
        <v/>
      </c>
      <c r="K83" s="68" t="str">
        <f>IF(ISNUMBER('Step 3 (MTP) - Plan and prior'!K58),'Step 3 (MTP) - Plan and prior'!K58,"")</f>
        <v/>
      </c>
      <c r="L83" s="68" t="str">
        <f>IF(ISNUMBER('Step 3 (MTP) - Plan and prior'!L58),'Step 3 (MTP) - Plan and prior'!L58,"")</f>
        <v/>
      </c>
      <c r="M83" s="68" t="str">
        <f>IF(ISNUMBER('Step 3 (MTP) - Plan and prior'!M58),'Step 3 (MTP) - Plan and prior'!M58,"")</f>
        <v/>
      </c>
      <c r="N83" s="68" t="str">
        <f>IF(ISNUMBER('Step 3 (MTP) - Plan and prior'!N58),'Step 3 (MTP) - Plan and prior'!N58,"")</f>
        <v/>
      </c>
      <c r="O83" s="68" t="str">
        <f>IF(ISNUMBER('Step 3 (MTP) - Plan and prior'!O58),'Step 3 (MTP) - Plan and prior'!O58,"")</f>
        <v/>
      </c>
      <c r="P83" s="68" t="str">
        <f>IF(ISNUMBER('Step 3 (MTP) - Plan and prior'!P58),'Step 3 (MTP) - Plan and prior'!P58,"")</f>
        <v/>
      </c>
      <c r="Q83" s="68" t="str">
        <f>IF(ISNUMBER('Step 3 (MTP) - Plan and prior'!Q58),'Step 3 (MTP) - Plan and prior'!Q58,"")</f>
        <v/>
      </c>
      <c r="R83" s="68" t="str">
        <f>IF(ISNUMBER('Step 3 (MTP) - Plan and prior'!R58),'Step 3 (MTP) - Plan and prior'!R58,"")</f>
        <v/>
      </c>
      <c r="S83" s="68" t="str">
        <f>IF(ISNUMBER('Step 3 (MTP) - Plan and prior'!S58),'Step 3 (MTP) - Plan and prior'!S58,"")</f>
        <v/>
      </c>
      <c r="T83" s="68" t="str">
        <f>IF(ISNUMBER('Step 3 (MTP) - Plan and prior'!T58),'Step 3 (MTP) - Plan and prior'!T58,"")</f>
        <v/>
      </c>
      <c r="U83" s="68" t="str">
        <f>IF(ISNUMBER('Step 3 (MTP) - Plan and prior'!U58),'Step 3 (MTP) - Plan and prior'!U58,"")</f>
        <v/>
      </c>
      <c r="V83" s="68" t="str">
        <f>IF(ISNUMBER('Step 3 (MTP) - Plan and prior'!V58),'Step 3 (MTP) - Plan and prior'!V58,"")</f>
        <v/>
      </c>
      <c r="W83" s="68" t="str">
        <f>IF(ISNUMBER('Step 3 (MTP) - Plan and prior'!W58),'Step 3 (MTP) - Plan and prior'!W58,"")</f>
        <v/>
      </c>
      <c r="X83" t="str">
        <f>IF(ISNUMBER('Step 3 (MTP) - Plan and prior'!X58),'Step 3 (MTP) - Plan and prior'!X58,"")</f>
        <v/>
      </c>
    </row>
    <row r="84" spans="2:35" x14ac:dyDescent="0.4">
      <c r="B84" s="82" t="s">
        <v>317</v>
      </c>
      <c r="D84" s="68" t="str">
        <f>IF(ISNUMBER('Step 3 (MTP) - Plan and prior'!D59),'Step 3 (MTP) - Plan and prior'!D59,"")</f>
        <v/>
      </c>
      <c r="E84" s="68" t="str">
        <f>IF(ISNUMBER('Step 3 (MTP) - Plan and prior'!E59),'Step 3 (MTP) - Plan and prior'!E59,"")</f>
        <v/>
      </c>
      <c r="F84" s="68" t="str">
        <f>IF(ISNUMBER('Step 3 (MTP) - Plan and prior'!F59),'Step 3 (MTP) - Plan and prior'!F59,"")</f>
        <v/>
      </c>
      <c r="G84" s="68" t="str">
        <f>IF(ISNUMBER('Step 3 (MTP) - Plan and prior'!G59),'Step 3 (MTP) - Plan and prior'!G59,"")</f>
        <v/>
      </c>
      <c r="H84" s="68" t="str">
        <f>IF(ISNUMBER('Step 3 (MTP) - Plan and prior'!H59),'Step 3 (MTP) - Plan and prior'!H59,"")</f>
        <v/>
      </c>
      <c r="I84" s="68" t="str">
        <f>IF(ISNUMBER('Step 3 (MTP) - Plan and prior'!I59),'Step 3 (MTP) - Plan and prior'!I59,"")</f>
        <v/>
      </c>
      <c r="J84" s="68" t="str">
        <f>IF(ISNUMBER('Step 3 (MTP) - Plan and prior'!J59),'Step 3 (MTP) - Plan and prior'!J59,"")</f>
        <v/>
      </c>
      <c r="K84" s="68" t="str">
        <f>IF(ISNUMBER('Step 3 (MTP) - Plan and prior'!K59),'Step 3 (MTP) - Plan and prior'!K59,"")</f>
        <v/>
      </c>
      <c r="L84" s="68" t="str">
        <f>IF(ISNUMBER('Step 3 (MTP) - Plan and prior'!L59),'Step 3 (MTP) - Plan and prior'!L59,"")</f>
        <v/>
      </c>
      <c r="M84" s="68" t="str">
        <f>IF(ISNUMBER('Step 3 (MTP) - Plan and prior'!M59),'Step 3 (MTP) - Plan and prior'!M59,"")</f>
        <v/>
      </c>
      <c r="N84" s="68" t="str">
        <f>IF(ISNUMBER('Step 3 (MTP) - Plan and prior'!N59),'Step 3 (MTP) - Plan and prior'!N59,"")</f>
        <v/>
      </c>
      <c r="O84" s="68" t="str">
        <f>IF(ISNUMBER('Step 3 (MTP) - Plan and prior'!O59),'Step 3 (MTP) - Plan and prior'!O59,"")</f>
        <v/>
      </c>
      <c r="P84" s="68" t="str">
        <f>IF(ISNUMBER('Step 3 (MTP) - Plan and prior'!P59),'Step 3 (MTP) - Plan and prior'!P59,"")</f>
        <v/>
      </c>
      <c r="Q84" s="68" t="str">
        <f>IF(ISNUMBER('Step 3 (MTP) - Plan and prior'!Q59),'Step 3 (MTP) - Plan and prior'!Q59,"")</f>
        <v/>
      </c>
      <c r="R84" s="68" t="str">
        <f>IF(ISNUMBER('Step 3 (MTP) - Plan and prior'!R59),'Step 3 (MTP) - Plan and prior'!R59,"")</f>
        <v/>
      </c>
      <c r="S84" s="68" t="str">
        <f>IF(ISNUMBER('Step 3 (MTP) - Plan and prior'!S59),'Step 3 (MTP) - Plan and prior'!S59,"")</f>
        <v/>
      </c>
      <c r="T84" s="68" t="str">
        <f>IF(ISNUMBER('Step 3 (MTP) - Plan and prior'!T59),'Step 3 (MTP) - Plan and prior'!T59,"")</f>
        <v/>
      </c>
      <c r="U84" s="68" t="str">
        <f>IF(ISNUMBER('Step 3 (MTP) - Plan and prior'!U59),'Step 3 (MTP) - Plan and prior'!U59,"")</f>
        <v/>
      </c>
      <c r="V84" s="68" t="str">
        <f>IF(ISNUMBER('Step 3 (MTP) - Plan and prior'!V59),'Step 3 (MTP) - Plan and prior'!V59,"")</f>
        <v/>
      </c>
      <c r="W84" s="68" t="str">
        <f>IF(ISNUMBER('Step 3 (MTP) - Plan and prior'!W59),'Step 3 (MTP) - Plan and prior'!W59,"")</f>
        <v/>
      </c>
      <c r="X84" t="str">
        <f>IF(ISNUMBER('Step 3 (MTP) - Plan and prior'!X59),'Step 3 (MTP) - Plan and prior'!X59,"")</f>
        <v/>
      </c>
    </row>
    <row r="85" spans="2:35" customFormat="1" x14ac:dyDescent="0.4">
      <c r="B85" s="82" t="s">
        <v>322</v>
      </c>
      <c r="C85" s="14"/>
      <c r="D85" s="68" t="str">
        <f>IF(ISNUMBER('Step 3 (MTP) - Plan and prior'!D60),'Step 3 (MTP) - Plan and prior'!D60,"")</f>
        <v/>
      </c>
      <c r="E85" s="68" t="str">
        <f>IF(ISNUMBER('Step 3 (MTP) - Plan and prior'!E60),'Step 3 (MTP) - Plan and prior'!E60,"")</f>
        <v/>
      </c>
      <c r="F85" s="68" t="str">
        <f>IF(ISNUMBER('Step 3 (MTP) - Plan and prior'!F60),'Step 3 (MTP) - Plan and prior'!F60,"")</f>
        <v/>
      </c>
      <c r="G85" s="68" t="str">
        <f>IF(ISNUMBER('Step 3 (MTP) - Plan and prior'!G60),'Step 3 (MTP) - Plan and prior'!G60,"")</f>
        <v/>
      </c>
      <c r="H85" s="68" t="str">
        <f>IF(ISNUMBER('Step 3 (MTP) - Plan and prior'!H60),'Step 3 (MTP) - Plan and prior'!H60,"")</f>
        <v/>
      </c>
      <c r="I85" s="68" t="str">
        <f>IF(ISNUMBER('Step 3 (MTP) - Plan and prior'!I60),'Step 3 (MTP) - Plan and prior'!I60,"")</f>
        <v/>
      </c>
      <c r="J85" s="68" t="str">
        <f>IF(ISNUMBER('Step 3 (MTP) - Plan and prior'!J60),'Step 3 (MTP) - Plan and prior'!J60,"")</f>
        <v/>
      </c>
      <c r="K85" s="68" t="str">
        <f>IF(ISNUMBER('Step 3 (MTP) - Plan and prior'!K60),'Step 3 (MTP) - Plan and prior'!K60,"")</f>
        <v/>
      </c>
      <c r="L85" s="68" t="str">
        <f>IF(ISNUMBER('Step 3 (MTP) - Plan and prior'!L60),'Step 3 (MTP) - Plan and prior'!L60,"")</f>
        <v/>
      </c>
      <c r="M85" s="68" t="str">
        <f>IF(ISNUMBER('Step 3 (MTP) - Plan and prior'!M60),'Step 3 (MTP) - Plan and prior'!M60,"")</f>
        <v/>
      </c>
      <c r="N85" s="68" t="str">
        <f>IF(ISNUMBER('Step 3 (MTP) - Plan and prior'!N60),'Step 3 (MTP) - Plan and prior'!N60,"")</f>
        <v/>
      </c>
      <c r="O85" s="68" t="str">
        <f>IF(ISNUMBER('Step 3 (MTP) - Plan and prior'!O60),'Step 3 (MTP) - Plan and prior'!O60,"")</f>
        <v/>
      </c>
      <c r="P85" s="68" t="str">
        <f>IF(ISNUMBER('Step 3 (MTP) - Plan and prior'!P60),'Step 3 (MTP) - Plan and prior'!P60,"")</f>
        <v/>
      </c>
      <c r="Q85" s="68" t="str">
        <f>IF(ISNUMBER('Step 3 (MTP) - Plan and prior'!Q60),'Step 3 (MTP) - Plan and prior'!Q60,"")</f>
        <v/>
      </c>
      <c r="R85" s="68" t="str">
        <f>IF(ISNUMBER('Step 3 (MTP) - Plan and prior'!R60),'Step 3 (MTP) - Plan and prior'!R60,"")</f>
        <v/>
      </c>
      <c r="S85" s="68" t="str">
        <f>IF(ISNUMBER('Step 3 (MTP) - Plan and prior'!S60),'Step 3 (MTP) - Plan and prior'!S60,"")</f>
        <v/>
      </c>
      <c r="T85" s="68" t="str">
        <f>IF(ISNUMBER('Step 3 (MTP) - Plan and prior'!T60),'Step 3 (MTP) - Plan and prior'!T60,"")</f>
        <v/>
      </c>
      <c r="U85" s="68" t="str">
        <f>IF(ISNUMBER('Step 3 (MTP) - Plan and prior'!U60),'Step 3 (MTP) - Plan and prior'!U60,"")</f>
        <v/>
      </c>
      <c r="V85" s="68" t="str">
        <f>IF(ISNUMBER('Step 3 (MTP) - Plan and prior'!V60),'Step 3 (MTP) - Plan and prior'!V60,"")</f>
        <v/>
      </c>
      <c r="W85" s="68" t="str">
        <f>IF(ISNUMBER('Step 3 (MTP) - Plan and prior'!W60),'Step 3 (MTP) - Plan and prior'!W60,"")</f>
        <v/>
      </c>
      <c r="X85" s="70" t="str">
        <f>IF(ISNUMBER('Step 3 (MTP) - Plan and prior'!X60),'Step 3 (MTP) - Plan and prior'!X60,"")</f>
        <v/>
      </c>
    </row>
    <row r="86" spans="2:35" customFormat="1" x14ac:dyDescent="0.4">
      <c r="B86" s="82" t="s">
        <v>323</v>
      </c>
      <c r="C86" s="14"/>
      <c r="D86" s="68" t="str">
        <f>IF(ISNUMBER('Step 3 (MTP) - Plan and prior'!D61),'Step 3 (MTP) - Plan and prior'!D61,"")</f>
        <v/>
      </c>
      <c r="E86" s="68" t="str">
        <f>IF(ISNUMBER('Step 3 (MTP) - Plan and prior'!E61),'Step 3 (MTP) - Plan and prior'!E61,"")</f>
        <v/>
      </c>
      <c r="F86" s="68" t="str">
        <f>IF(ISNUMBER('Step 3 (MTP) - Plan and prior'!F61),'Step 3 (MTP) - Plan and prior'!F61,"")</f>
        <v/>
      </c>
      <c r="G86" s="68" t="str">
        <f>IF(ISNUMBER('Step 3 (MTP) - Plan and prior'!G61),'Step 3 (MTP) - Plan and prior'!G61,"")</f>
        <v/>
      </c>
      <c r="H86" s="68" t="str">
        <f>IF(ISNUMBER('Step 3 (MTP) - Plan and prior'!H61),'Step 3 (MTP) - Plan and prior'!H61,"")</f>
        <v/>
      </c>
      <c r="I86" s="68" t="str">
        <f>IF(ISNUMBER('Step 3 (MTP) - Plan and prior'!I61),'Step 3 (MTP) - Plan and prior'!I61,"")</f>
        <v/>
      </c>
      <c r="J86" s="68" t="str">
        <f>IF(ISNUMBER('Step 3 (MTP) - Plan and prior'!J61),'Step 3 (MTP) - Plan and prior'!J61,"")</f>
        <v/>
      </c>
      <c r="K86" s="68" t="str">
        <f>IF(ISNUMBER('Step 3 (MTP) - Plan and prior'!K61),'Step 3 (MTP) - Plan and prior'!K61,"")</f>
        <v/>
      </c>
      <c r="L86" s="68" t="str">
        <f>IF(ISNUMBER('Step 3 (MTP) - Plan and prior'!L61),'Step 3 (MTP) - Plan and prior'!L61,"")</f>
        <v/>
      </c>
      <c r="M86" s="68" t="str">
        <f>IF(ISNUMBER('Step 3 (MTP) - Plan and prior'!M61),'Step 3 (MTP) - Plan and prior'!M61,"")</f>
        <v/>
      </c>
      <c r="N86" s="68" t="str">
        <f>IF(ISNUMBER('Step 3 (MTP) - Plan and prior'!N61),'Step 3 (MTP) - Plan and prior'!N61,"")</f>
        <v/>
      </c>
      <c r="O86" s="68" t="str">
        <f>IF(ISNUMBER('Step 3 (MTP) - Plan and prior'!O61),'Step 3 (MTP) - Plan and prior'!O61,"")</f>
        <v/>
      </c>
      <c r="P86" s="68" t="str">
        <f>IF(ISNUMBER('Step 3 (MTP) - Plan and prior'!P61),'Step 3 (MTP) - Plan and prior'!P61,"")</f>
        <v/>
      </c>
      <c r="Q86" s="68" t="str">
        <f>IF(ISNUMBER('Step 3 (MTP) - Plan and prior'!Q61),'Step 3 (MTP) - Plan and prior'!Q61,"")</f>
        <v/>
      </c>
      <c r="R86" s="68" t="str">
        <f>IF(ISNUMBER('Step 3 (MTP) - Plan and prior'!R61),'Step 3 (MTP) - Plan and prior'!R61,"")</f>
        <v/>
      </c>
      <c r="S86" s="68" t="str">
        <f>IF(ISNUMBER('Step 3 (MTP) - Plan and prior'!S61),'Step 3 (MTP) - Plan and prior'!S61,"")</f>
        <v/>
      </c>
      <c r="T86" s="68" t="str">
        <f>IF(ISNUMBER('Step 3 (MTP) - Plan and prior'!T61),'Step 3 (MTP) - Plan and prior'!T61,"")</f>
        <v/>
      </c>
      <c r="U86" s="68" t="str">
        <f>IF(ISNUMBER('Step 3 (MTP) - Plan and prior'!U61),'Step 3 (MTP) - Plan and prior'!U61,"")</f>
        <v/>
      </c>
      <c r="V86" s="68" t="str">
        <f>IF(ISNUMBER('Step 3 (MTP) - Plan and prior'!V61),'Step 3 (MTP) - Plan and prior'!V61,"")</f>
        <v/>
      </c>
      <c r="W86" s="68" t="str">
        <f>IF(ISNUMBER('Step 3 (MTP) - Plan and prior'!W61),'Step 3 (MTP) - Plan and prior'!W61,"")</f>
        <v/>
      </c>
      <c r="X86" s="70" t="str">
        <f>IF(ISNUMBER('Step 3 (MTP) - Plan and prior'!X61),'Step 3 (MTP) - Plan and prior'!X61,"")</f>
        <v/>
      </c>
    </row>
    <row r="87" spans="2:35" customFormat="1" x14ac:dyDescent="0.4">
      <c r="B87" s="82" t="s">
        <v>324</v>
      </c>
      <c r="C87" s="14"/>
      <c r="D87" s="68" t="str">
        <f>IF(ISNUMBER('Step 3 (MTP) - Plan and prior'!D62),'Step 3 (MTP) - Plan and prior'!D62,"")</f>
        <v/>
      </c>
      <c r="E87" s="68" t="str">
        <f>IF(ISNUMBER('Step 3 (MTP) - Plan and prior'!E62),'Step 3 (MTP) - Plan and prior'!E62,"")</f>
        <v/>
      </c>
      <c r="F87" s="68" t="str">
        <f>IF(ISNUMBER('Step 3 (MTP) - Plan and prior'!F62),'Step 3 (MTP) - Plan and prior'!F62,"")</f>
        <v/>
      </c>
      <c r="G87" s="68" t="str">
        <f>IF(ISNUMBER('Step 3 (MTP) - Plan and prior'!G62),'Step 3 (MTP) - Plan and prior'!G62,"")</f>
        <v/>
      </c>
      <c r="H87" s="68" t="str">
        <f>IF(ISNUMBER('Step 3 (MTP) - Plan and prior'!H62),'Step 3 (MTP) - Plan and prior'!H62,"")</f>
        <v/>
      </c>
      <c r="I87" s="68" t="str">
        <f>IF(ISNUMBER('Step 3 (MTP) - Plan and prior'!I62),'Step 3 (MTP) - Plan and prior'!I62,"")</f>
        <v/>
      </c>
      <c r="J87" s="68" t="str">
        <f>IF(ISNUMBER('Step 3 (MTP) - Plan and prior'!J62),'Step 3 (MTP) - Plan and prior'!J62,"")</f>
        <v/>
      </c>
      <c r="K87" s="68" t="str">
        <f>IF(ISNUMBER('Step 3 (MTP) - Plan and prior'!K62),'Step 3 (MTP) - Plan and prior'!K62,"")</f>
        <v/>
      </c>
      <c r="L87" s="68" t="str">
        <f>IF(ISNUMBER('Step 3 (MTP) - Plan and prior'!L62),'Step 3 (MTP) - Plan and prior'!L62,"")</f>
        <v/>
      </c>
      <c r="M87" s="68" t="str">
        <f>IF(ISNUMBER('Step 3 (MTP) - Plan and prior'!M62),'Step 3 (MTP) - Plan and prior'!M62,"")</f>
        <v/>
      </c>
      <c r="N87" s="68" t="str">
        <f>IF(ISNUMBER('Step 3 (MTP) - Plan and prior'!N62),'Step 3 (MTP) - Plan and prior'!N62,"")</f>
        <v/>
      </c>
      <c r="O87" s="68" t="str">
        <f>IF(ISNUMBER('Step 3 (MTP) - Plan and prior'!O62),'Step 3 (MTP) - Plan and prior'!O62,"")</f>
        <v/>
      </c>
      <c r="P87" s="68" t="str">
        <f>IF(ISNUMBER('Step 3 (MTP) - Plan and prior'!P62),'Step 3 (MTP) - Plan and prior'!P62,"")</f>
        <v/>
      </c>
      <c r="Q87" s="68" t="str">
        <f>IF(ISNUMBER('Step 3 (MTP) - Plan and prior'!Q62),'Step 3 (MTP) - Plan and prior'!Q62,"")</f>
        <v/>
      </c>
      <c r="R87" s="68" t="str">
        <f>IF(ISNUMBER('Step 3 (MTP) - Plan and prior'!R62),'Step 3 (MTP) - Plan and prior'!R62,"")</f>
        <v/>
      </c>
      <c r="S87" s="68" t="str">
        <f>IF(ISNUMBER('Step 3 (MTP) - Plan and prior'!S62),'Step 3 (MTP) - Plan and prior'!S62,"")</f>
        <v/>
      </c>
      <c r="T87" s="68" t="str">
        <f>IF(ISNUMBER('Step 3 (MTP) - Plan and prior'!T62),'Step 3 (MTP) - Plan and prior'!T62,"")</f>
        <v/>
      </c>
      <c r="U87" s="68" t="str">
        <f>IF(ISNUMBER('Step 3 (MTP) - Plan and prior'!U62),'Step 3 (MTP) - Plan and prior'!U62,"")</f>
        <v/>
      </c>
      <c r="V87" s="68" t="str">
        <f>IF(ISNUMBER('Step 3 (MTP) - Plan and prior'!V62),'Step 3 (MTP) - Plan and prior'!V62,"")</f>
        <v/>
      </c>
      <c r="W87" s="68" t="str">
        <f>IF(ISNUMBER('Step 3 (MTP) - Plan and prior'!W62),'Step 3 (MTP) - Plan and prior'!W62,"")</f>
        <v/>
      </c>
      <c r="X87" s="70" t="str">
        <f>IF(ISNUMBER('Step 3 (MTP) - Plan and prior'!X62),'Step 3 (MTP) - Plan and prior'!X62,"")</f>
        <v/>
      </c>
    </row>
    <row r="88" spans="2:35" customFormat="1" x14ac:dyDescent="0.4">
      <c r="B88" s="83" t="s">
        <v>325</v>
      </c>
      <c r="C88" s="19"/>
      <c r="D88" s="68" t="str">
        <f>IF(ISNUMBER('Step 3 (MTP) - Plan and prior'!D63),'Step 3 (MTP) - Plan and prior'!D63,"")</f>
        <v/>
      </c>
      <c r="E88" s="68" t="str">
        <f>IF(ISNUMBER('Step 3 (MTP) - Plan and prior'!E63),'Step 3 (MTP) - Plan and prior'!E63,"")</f>
        <v/>
      </c>
      <c r="F88" s="68" t="str">
        <f>IF(ISNUMBER('Step 3 (MTP) - Plan and prior'!F63),'Step 3 (MTP) - Plan and prior'!F63,"")</f>
        <v/>
      </c>
      <c r="G88" s="68" t="str">
        <f>IF(ISNUMBER('Step 3 (MTP) - Plan and prior'!G63),'Step 3 (MTP) - Plan and prior'!G63,"")</f>
        <v/>
      </c>
      <c r="H88" s="68" t="str">
        <f>IF(ISNUMBER('Step 3 (MTP) - Plan and prior'!H63),'Step 3 (MTP) - Plan and prior'!H63,"")</f>
        <v/>
      </c>
      <c r="I88" s="68" t="str">
        <f>IF(ISNUMBER('Step 3 (MTP) - Plan and prior'!I63),'Step 3 (MTP) - Plan and prior'!I63,"")</f>
        <v/>
      </c>
      <c r="J88" s="68" t="str">
        <f>IF(ISNUMBER('Step 3 (MTP) - Plan and prior'!J63),'Step 3 (MTP) - Plan and prior'!J63,"")</f>
        <v/>
      </c>
      <c r="K88" s="68" t="str">
        <f>IF(ISNUMBER('Step 3 (MTP) - Plan and prior'!K63),'Step 3 (MTP) - Plan and prior'!K63,"")</f>
        <v/>
      </c>
      <c r="L88" s="68" t="str">
        <f>IF(ISNUMBER('Step 3 (MTP) - Plan and prior'!L63),'Step 3 (MTP) - Plan and prior'!L63,"")</f>
        <v/>
      </c>
      <c r="M88" s="68" t="str">
        <f>IF(ISNUMBER('Step 3 (MTP) - Plan and prior'!M63),'Step 3 (MTP) - Plan and prior'!M63,"")</f>
        <v/>
      </c>
      <c r="N88" s="68" t="str">
        <f>IF(ISNUMBER('Step 3 (MTP) - Plan and prior'!N63),'Step 3 (MTP) - Plan and prior'!N63,"")</f>
        <v/>
      </c>
      <c r="O88" s="68" t="str">
        <f>IF(ISNUMBER('Step 3 (MTP) - Plan and prior'!O63),'Step 3 (MTP) - Plan and prior'!O63,"")</f>
        <v/>
      </c>
      <c r="P88" s="68" t="str">
        <f>IF(ISNUMBER('Step 3 (MTP) - Plan and prior'!P63),'Step 3 (MTP) - Plan and prior'!P63,"")</f>
        <v/>
      </c>
      <c r="Q88" s="68" t="str">
        <f>IF(ISNUMBER('Step 3 (MTP) - Plan and prior'!Q63),'Step 3 (MTP) - Plan and prior'!Q63,"")</f>
        <v/>
      </c>
      <c r="R88" s="68" t="str">
        <f>IF(ISNUMBER('Step 3 (MTP) - Plan and prior'!R63),'Step 3 (MTP) - Plan and prior'!R63,"")</f>
        <v/>
      </c>
      <c r="S88" s="68" t="str">
        <f>IF(ISNUMBER('Step 3 (MTP) - Plan and prior'!S63),'Step 3 (MTP) - Plan and prior'!S63,"")</f>
        <v/>
      </c>
      <c r="T88" s="68" t="str">
        <f>IF(ISNUMBER('Step 3 (MTP) - Plan and prior'!T63),'Step 3 (MTP) - Plan and prior'!T63,"")</f>
        <v/>
      </c>
      <c r="U88" s="68" t="str">
        <f>IF(ISNUMBER('Step 3 (MTP) - Plan and prior'!U63),'Step 3 (MTP) - Plan and prior'!U63,"")</f>
        <v/>
      </c>
      <c r="V88" s="68" t="str">
        <f>IF(ISNUMBER('Step 3 (MTP) - Plan and prior'!V63),'Step 3 (MTP) - Plan and prior'!V63,"")</f>
        <v/>
      </c>
      <c r="W88" s="68" t="str">
        <f>IF(ISNUMBER('Step 3 (MTP) - Plan and prior'!W63),'Step 3 (MTP) - Plan and prior'!W63,"")</f>
        <v/>
      </c>
      <c r="X88" s="70" t="str">
        <f>IF(ISNUMBER('Step 3 (MTP) - Plan and prior'!X63),'Step 3 (MTP) - Plan and prior'!X63,"")</f>
        <v/>
      </c>
    </row>
    <row r="89" spans="2:35" customFormat="1" x14ac:dyDescent="0.4">
      <c r="B89" s="46"/>
      <c r="F89" s="70"/>
      <c r="G89" s="70"/>
      <c r="H89" s="70"/>
      <c r="I89" s="70"/>
      <c r="J89" s="70"/>
      <c r="K89" s="70"/>
      <c r="L89" s="70"/>
      <c r="M89" s="70"/>
      <c r="N89" s="70"/>
      <c r="O89" s="70"/>
      <c r="P89" s="70"/>
      <c r="Q89" s="70"/>
      <c r="R89" s="70"/>
      <c r="S89" s="70"/>
      <c r="T89" s="70"/>
      <c r="U89" s="70"/>
      <c r="V89" s="70"/>
      <c r="W89" s="70"/>
    </row>
    <row r="90" spans="2:35" ht="31.9" x14ac:dyDescent="1">
      <c r="B90" s="77" t="s">
        <v>458</v>
      </c>
    </row>
    <row r="91" spans="2:35" ht="18" x14ac:dyDescent="0.55000000000000004">
      <c r="B91" s="50" t="s">
        <v>470</v>
      </c>
      <c r="D91" s="17"/>
      <c r="J91" s="71"/>
      <c r="K91" s="71"/>
      <c r="L91" s="71"/>
      <c r="M91" s="71"/>
      <c r="N91" s="71"/>
      <c r="O91" s="71"/>
      <c r="P91" s="71"/>
      <c r="Q91" s="71"/>
      <c r="R91" s="71"/>
      <c r="S91" s="71"/>
      <c r="T91" s="71"/>
      <c r="U91" s="71"/>
      <c r="V91" s="71"/>
      <c r="W91" s="71"/>
      <c r="X91" s="71"/>
      <c r="Y91" s="71"/>
      <c r="Z91" s="71"/>
      <c r="AA91" s="71"/>
      <c r="AB91" s="71"/>
      <c r="AC91" s="71"/>
      <c r="AD91" s="71"/>
      <c r="AE91" s="71"/>
      <c r="AF91" s="71"/>
      <c r="AG91" s="71"/>
      <c r="AH91" s="71"/>
      <c r="AI91" s="71"/>
    </row>
    <row r="92" spans="2:35" ht="15.75" x14ac:dyDescent="0.5">
      <c r="B92" s="79" t="s">
        <v>465</v>
      </c>
      <c r="D92" s="17"/>
      <c r="J92" s="71"/>
      <c r="K92" s="71"/>
      <c r="L92" s="71"/>
      <c r="M92" s="71"/>
      <c r="N92" s="71"/>
      <c r="O92" s="71"/>
      <c r="P92" s="71"/>
      <c r="Q92" s="71"/>
      <c r="R92" s="71"/>
      <c r="S92" s="71"/>
      <c r="T92" s="71"/>
      <c r="U92" s="71"/>
      <c r="V92" s="71"/>
      <c r="W92" s="71"/>
      <c r="X92" s="71"/>
      <c r="Y92" s="71"/>
      <c r="Z92" s="71"/>
      <c r="AA92" s="71"/>
      <c r="AB92" s="71"/>
      <c r="AC92" s="71"/>
      <c r="AD92" s="71"/>
      <c r="AE92" s="71"/>
      <c r="AF92" s="71"/>
      <c r="AG92" s="71"/>
      <c r="AH92" s="71"/>
      <c r="AI92" s="71"/>
    </row>
    <row r="93" spans="2:35" ht="14.25" x14ac:dyDescent="0.45">
      <c r="B93" t="s">
        <v>469</v>
      </c>
      <c r="C93" s="15" t="b" cm="1">
        <f t="array" ref="C93">IF(OutturnThrough&lt;MTP_YearT,"Not yet assessable", SUMPRODUCT(((4:4&gt;=MTP_YearT)*(4:4&lt;=OutturnThrough)*(34:34&lt;15:15)))=0)</f>
        <v>1</v>
      </c>
      <c r="E93" s="105" t="s">
        <v>467</v>
      </c>
      <c r="J93" s="71"/>
      <c r="K93" s="71"/>
      <c r="L93" s="71"/>
      <c r="M93" s="71"/>
      <c r="N93" s="71"/>
      <c r="O93" s="71"/>
      <c r="P93" s="71"/>
      <c r="Q93" s="71"/>
      <c r="R93" s="71"/>
      <c r="S93" s="71"/>
      <c r="T93" s="71"/>
      <c r="U93" s="71"/>
      <c r="V93" s="71"/>
      <c r="W93" s="71"/>
      <c r="X93" s="71"/>
      <c r="Y93" s="71"/>
      <c r="Z93" s="71"/>
      <c r="AA93" s="71"/>
      <c r="AB93" s="71"/>
      <c r="AC93" s="71" t="s">
        <v>259</v>
      </c>
      <c r="AD93" s="71"/>
      <c r="AE93" s="71"/>
      <c r="AF93" s="71"/>
      <c r="AG93" s="71"/>
      <c r="AH93" s="71"/>
      <c r="AI93" s="71"/>
    </row>
    <row r="94" spans="2:35" ht="14.25" x14ac:dyDescent="0.45">
      <c r="B94" t="s">
        <v>466</v>
      </c>
      <c r="C94" s="15" t="b" cm="1">
        <f t="array" ref="C94">IF(
   AssessmentEnd &lt;= OutturnThrough,
   NA(),
   SUMPRODUCT(
      (4:4 &gt;= OutturnThrough+1) *
      (4:4 &lt;= AssessmentEnd) *
      (34:34 &lt; 15:15)
   ) = 0
)</f>
        <v>0</v>
      </c>
      <c r="E94" s="105" t="s">
        <v>468</v>
      </c>
      <c r="J94" s="71"/>
      <c r="K94" s="71"/>
      <c r="L94" s="71"/>
      <c r="M94" s="71"/>
      <c r="N94" s="71"/>
      <c r="O94" s="71"/>
      <c r="P94" s="71"/>
      <c r="Q94" s="71"/>
      <c r="R94" s="71"/>
      <c r="S94" s="71"/>
      <c r="T94" s="71"/>
      <c r="U94" s="71"/>
      <c r="V94" s="71"/>
      <c r="W94" s="71"/>
      <c r="X94" s="71"/>
      <c r="Y94" s="71"/>
      <c r="Z94" s="71"/>
      <c r="AA94" s="71"/>
      <c r="AB94" s="71"/>
      <c r="AC94" s="71" t="s">
        <v>259</v>
      </c>
      <c r="AD94" s="71"/>
      <c r="AE94" s="71"/>
      <c r="AF94" s="71"/>
      <c r="AG94" s="71"/>
      <c r="AH94" s="71"/>
      <c r="AI94" s="71"/>
    </row>
    <row r="95" spans="2:35" x14ac:dyDescent="0.4">
      <c r="B95" t="s">
        <v>955</v>
      </c>
      <c r="C95" s="15" t="str" cm="1">
        <f t="array" ref="C95">IF(
  SUMPRODUCT(
    (4:4&gt;=MTP_YearT+1)*
    (4:4&lt;=OutturnThrough)*
    (34:34&lt;15:15)
  )=0,
  "Not applicable (all years adhere to the net expenditure path)",
  SUMPRODUCT(
    (4:4&gt;=MTP_YearT+1)*
    (4:4&lt;=OutturnThrough)*
    (34:34&lt;15:15)*
    (1-IFERROR(--INDEX('Step 1 - Set global parameters'!$21:$21, MATCH(4:4, 'Step 1 - Set global parameters'!$19:$19, 0)),0))
  )=0
)</f>
        <v>Not applicable (all years adhere to the net expenditure path)</v>
      </c>
      <c r="J95" s="71"/>
      <c r="K95" s="71"/>
      <c r="L95" s="71"/>
      <c r="M95" s="71"/>
      <c r="N95" s="71"/>
      <c r="O95" s="71"/>
      <c r="P95" s="71"/>
      <c r="Q95" s="71"/>
      <c r="R95" s="71"/>
      <c r="S95" s="71"/>
      <c r="T95" s="71"/>
      <c r="U95" s="71"/>
      <c r="V95" s="71"/>
      <c r="W95" s="71"/>
      <c r="X95" s="71"/>
      <c r="Y95" s="71"/>
      <c r="Z95" s="71"/>
      <c r="AA95" s="71"/>
      <c r="AB95" s="71"/>
      <c r="AC95" s="71"/>
      <c r="AD95" s="71"/>
      <c r="AE95" s="71"/>
      <c r="AF95" s="71"/>
      <c r="AG95" s="71"/>
      <c r="AH95" s="71"/>
      <c r="AI95" s="71"/>
    </row>
    <row r="96" spans="2:35" x14ac:dyDescent="0.4">
      <c r="B96" t="s">
        <v>957</v>
      </c>
      <c r="C96" s="15" t="b" cm="1">
        <f t="array" ref="C96">IF(
  OutturnThrough &lt;= MTP_YearT,
  NA(),
  SUMPRODUCT(
    (4:4 &gt;= MTP_YearT+1) *
    (4:4 &lt;= OutturnThrough)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1</v>
      </c>
      <c r="J96" s="71"/>
      <c r="K96" s="71"/>
      <c r="L96" s="71"/>
      <c r="M96" s="71"/>
      <c r="N96" s="71"/>
      <c r="O96" s="71"/>
      <c r="P96" s="71"/>
      <c r="Q96" s="71"/>
      <c r="R96" s="71"/>
      <c r="S96" s="71"/>
      <c r="T96" s="71"/>
      <c r="U96" s="71"/>
      <c r="V96" s="71"/>
      <c r="W96" s="71"/>
      <c r="X96" s="71"/>
      <c r="Y96" s="71"/>
      <c r="Z96" s="71"/>
      <c r="AA96" s="71"/>
      <c r="AB96" s="71"/>
      <c r="AC96" s="71"/>
      <c r="AD96" s="71"/>
      <c r="AE96" s="71"/>
      <c r="AF96" s="71"/>
      <c r="AG96" s="71"/>
      <c r="AH96" s="71"/>
      <c r="AI96" s="71"/>
    </row>
    <row r="97" spans="1:35" x14ac:dyDescent="0.4">
      <c r="B97" t="s">
        <v>956</v>
      </c>
      <c r="C97" s="15" t="b" cm="1">
        <f t="array" ref="C97">IF(
  SUMPRODUCT(
    (4:4&gt;=OutturnThrough+1)*
    (4:4&lt;=AssessmentEnd)*
    (34:34&lt;15:15)
  )=0,
  "Not applicable (all years adhere to the net expenditure path)",
  SUMPRODUCT(
    (4:4&gt;=OutturnThrough+1)*
    (4:4&lt;=AssessmentEnd)*
    (34:34&lt;15:15)*
    (1-IFERROR(--INDEX('Step 1 - Set global parameters'!$21:$21, MATCH(4:4, 'Step 1 - Set global parameters'!$19:$19, 0)),0))
  )=0
)</f>
        <v>1</v>
      </c>
      <c r="J97" s="71"/>
      <c r="K97" s="71"/>
      <c r="L97" s="71"/>
      <c r="M97" s="71"/>
      <c r="N97" s="71"/>
      <c r="O97" s="71"/>
      <c r="P97" s="71"/>
      <c r="Q97" s="71"/>
      <c r="R97" s="71"/>
      <c r="S97" s="71"/>
      <c r="T97" s="71"/>
      <c r="U97" s="71"/>
      <c r="V97" s="71"/>
      <c r="W97" s="71"/>
      <c r="X97" s="71"/>
      <c r="Y97" s="71"/>
      <c r="Z97" s="71"/>
      <c r="AA97" s="71"/>
      <c r="AB97" s="71"/>
      <c r="AC97" s="71"/>
      <c r="AD97" s="71"/>
      <c r="AE97" s="71"/>
      <c r="AF97" s="71"/>
      <c r="AG97" s="71"/>
      <c r="AH97" s="71"/>
      <c r="AI97" s="71"/>
    </row>
    <row r="98" spans="1:35" x14ac:dyDescent="0.4">
      <c r="B98" t="s">
        <v>958</v>
      </c>
      <c r="C98" s="15" t="b" cm="1">
        <f t="array" ref="C98">IF(
  AssessmentEnd &lt;= OutturnThrough,
  NA(),
  SUMPRODUCT(
    (4:4 &gt;= OutturnThrough+1) *
    (4:4 &lt;= AssessmentEnd) *
    (34:34 &lt; 15:15) *
    (1 - (
      IFERROR(--INDEX('Step 1 - Set global parameters'!$21:$21, MATCH(4:4, 'Step 1 - Set global parameters'!$19:$19, 0)),0) *
      IFERROR(--(INDEX('Step 1 - Set global parameters'!$22:$22, MATCH(4:4, 'Step 1 - Set global parameters'!$19:$19, 0)) = "Country"),0) *
      IFERROR(--(INDEX('Step 1 - Set global parameters'!$23:$23, MATCH(4:4, 'Step 1 - Set global parameters'!$19:$19, 0)) = "Defence"),0)
    ))
  ) = 0
)</f>
        <v>1</v>
      </c>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row>
    <row r="99" spans="1:35" x14ac:dyDescent="0.4">
      <c r="B99" t="s">
        <v>959</v>
      </c>
      <c r="C99" s="15" t="str">
        <f>IF(AssessmentRound="New or revised MTP","N/A",
  _xlfn.LET(
    _xlpm.outturnStatus,
      IF(ISTEXT(Assessment!C93), "Compliant",
        IF(Assessment!C93=TRUE, "Compliant",
          IF(Assessment!C95="Not applicable (all years adhere to the net expenditure path)", "Breach",
            IF(Assessment!C95=TRUE,
              IF(Assessment!C96=TRUE, Assessment!C159, "Compliant"),
              "Breach"
            )
          )
        )
      ),
    _xlpm.plannedStatus,
      IF(Assessment!C97="Not applicable (all years adhere to the net expenditure path)", "Compliant",
        IF(Assessment!C97=TRUE,
          IF(Assessment!C98=TRUE, Assessment!C159, "Compliant"),
          "At risk"
        )
      ),
    IF(OR(_xlpm.outturnStatus="Breach", _xlpm.plannedStatus="Breach"), "Breach",
      IF(OR(_xlpm.outturnStatus="At risk", _xlpm.plannedStatus="At risk"), "At risk",
        "Compliant"
      )
    )
  )
)</f>
        <v>Compliant</v>
      </c>
      <c r="J99" s="71"/>
      <c r="K99" s="71"/>
      <c r="L99" s="71"/>
      <c r="M99" s="71"/>
      <c r="N99" s="71"/>
      <c r="O99" s="71"/>
      <c r="P99" s="71"/>
      <c r="Q99" s="71"/>
      <c r="R99" s="71"/>
      <c r="S99" s="71"/>
      <c r="T99" s="71"/>
      <c r="U99" s="71"/>
      <c r="V99" s="71"/>
      <c r="W99" s="71"/>
      <c r="X99" s="71"/>
      <c r="Y99" s="71"/>
      <c r="Z99" s="71"/>
      <c r="AA99" s="71"/>
      <c r="AB99" s="71"/>
      <c r="AC99" s="71"/>
      <c r="AD99" s="71"/>
      <c r="AE99" s="71"/>
      <c r="AF99" s="71"/>
      <c r="AG99" s="71"/>
      <c r="AH99" s="71"/>
      <c r="AI99" s="71"/>
    </row>
    <row r="100" spans="1:35" x14ac:dyDescent="0.4">
      <c r="C100" s="15"/>
      <c r="J100" s="71"/>
      <c r="K100" s="71"/>
      <c r="L100" s="71"/>
      <c r="M100" s="71"/>
      <c r="N100" s="71"/>
      <c r="O100" s="71"/>
      <c r="P100" s="71"/>
      <c r="Q100" s="71"/>
      <c r="R100" s="71"/>
      <c r="S100" s="71"/>
      <c r="T100" s="71"/>
      <c r="U100" s="71"/>
      <c r="V100" s="71"/>
      <c r="W100" s="71"/>
      <c r="X100" s="71"/>
      <c r="Y100" s="71"/>
      <c r="Z100" s="71"/>
      <c r="AA100" s="71"/>
      <c r="AB100" s="71"/>
      <c r="AC100" s="71"/>
      <c r="AD100" s="71"/>
      <c r="AE100" s="71"/>
      <c r="AF100" s="71"/>
      <c r="AG100" s="71"/>
      <c r="AH100" s="71"/>
      <c r="AI100" s="71"/>
    </row>
    <row r="101" spans="1:35" x14ac:dyDescent="0.4">
      <c r="B101" s="14" t="s">
        <v>258</v>
      </c>
      <c r="C101" s="102" t="str" cm="1">
        <f t="array" ref="C101">_xlfn.LET(
  _xlpm.outturnEscapeText,
    IF(C95=TRUE,
      IF(C96=TRUE,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_xlpm.plannedEscapeText,
    IF(C97=TRUE,
      IF(C98=TRUE,
        " Deviations occur only in years covered by a country-specific escape clause related to defence spending. The augmented control account assessment is currently """ &amp; C159 &amp; """.",
        " Deviations occur only in years covered by an escape clause."
      ),
      " At least one year of deviation is not covered by an escape clause."
    ),
  _xlfn.IFS(
    ISTEXT(C93),
      Country &amp; "'s observed net expenditure cannot yet be assessed against its latest Council-endorsed MTP — no plan year has closed (most recent outturn year is " &amp; OutturnThrough &amp; "; first plan year is " &amp; MTP_YearT+1 &amp; "). " &amp;
      IF(ISNA(C94), "",
        IF(C94=TRUE,
          "Planned net expenditure to " &amp; AssessmentEnd &amp; " adheres to the net expenditure path in the MTP.",
          "Planned net expenditure to " &amp; AssessmentEnd &amp; " does not adhere to the net expenditure path in the MTP." &amp; _xlpm.plannedEscapeText
        )
      ),
    AND(C93=TRUE, OR(ISNA(C94), C94=TRUE)),
      Country &amp; "'s observed net expenditure to " &amp; OutturnThrough &amp;
        IF(ISNA(C94), "", " and planned net expenditure to " &amp; AssessmentEnd) &amp;
        " adheres to the net expenditure path in its latest Council-endorsed MTP.",
    AND(C93=TRUE, C94=FALSE),
      Country &amp; "'s observed net expenditure to " &amp; OutturnThrough &amp;
        " adheres to the net expenditure path in its latest Council-endorsed MTP," &amp;
        " but planned net expenditure to " &amp; AssessmentEnd &amp; " does not." &amp; _xlpm.plannedEscapeText,
    AND(C93=FALSE, C94=TRUE),
      Country &amp; "'s observed net expenditure to " &amp; OutturnThrough &amp;
        " does not adhere to the net expenditure path in its latest Council-endorsed MTP," &amp;
        " but planned net expenditure to " &amp; AssessmentEnd &amp; " does." &amp; _xlpm.outturnEscapeText,
    AND(C93=FALSE, ISNA(C94)),
      Country &amp; "'s observed net expenditure to " &amp; OutturnThrough &amp;
        " does not adhere to the net expenditure path in its latest Council-endorsed MTP." &amp; _xlpm.outturnEscapeText,
    AND(C93=FALSE, C94=FALSE),
      Country &amp; "'s observed net expenditure to " &amp; OutturnThrough &amp;
        " and planned net expenditure to " &amp; AssessmentEnd &amp;
        " do not adhere to the net expenditure path in its latest Council-endorsed MTP." &amp;
        _xlpm.outturnEscapeText &amp; _xlpm.plannedEscapeText,
    TRUE, ""
  )
)</f>
        <v>Latvia's observed net expenditure to 2025 adheres to the net expenditure path in its latest Council-endorsed MTP, but planned net expenditure to 2026 does not. Deviations occur only in years covered by a country-specific escape clause related to defence spending. The augmented control account assessment is currently "Compliant".</v>
      </c>
      <c r="J101" s="71"/>
      <c r="K101" s="71"/>
      <c r="L101" s="71"/>
      <c r="M101" s="71"/>
      <c r="N101" s="71"/>
      <c r="O101" s="71"/>
      <c r="P101" s="71"/>
      <c r="Q101" s="71"/>
      <c r="R101" s="71"/>
      <c r="S101" s="71"/>
      <c r="T101" s="71"/>
      <c r="U101" s="71"/>
      <c r="V101" s="71"/>
      <c r="W101" s="71"/>
      <c r="X101" s="71"/>
      <c r="Y101" s="71"/>
      <c r="Z101" s="71"/>
      <c r="AA101" s="71"/>
      <c r="AB101" s="71"/>
      <c r="AC101" s="71"/>
      <c r="AD101" s="71"/>
      <c r="AE101" s="71"/>
      <c r="AF101" s="71"/>
      <c r="AG101" s="71"/>
      <c r="AH101" s="71"/>
      <c r="AI101" s="71"/>
    </row>
    <row r="102" spans="1:35" x14ac:dyDescent="0.4">
      <c r="C102" s="102"/>
      <c r="J102" s="71"/>
      <c r="K102" s="71"/>
      <c r="L102" s="71"/>
      <c r="M102" s="71"/>
      <c r="N102" s="71"/>
      <c r="O102" s="71"/>
      <c r="P102" s="71"/>
      <c r="Q102" s="71"/>
      <c r="R102" s="71"/>
      <c r="S102" s="71"/>
      <c r="T102" s="71"/>
      <c r="U102" s="71"/>
      <c r="V102" s="71"/>
      <c r="W102" s="71"/>
      <c r="X102" s="71"/>
      <c r="Y102" s="71"/>
      <c r="Z102" s="71"/>
      <c r="AA102" s="71"/>
      <c r="AB102" s="71"/>
      <c r="AC102" s="71"/>
      <c r="AD102" s="71"/>
      <c r="AE102" s="71"/>
      <c r="AF102" s="71"/>
      <c r="AG102" s="71"/>
      <c r="AH102" s="71"/>
      <c r="AI102" s="71"/>
    </row>
    <row r="103" spans="1:35" ht="18" x14ac:dyDescent="0.55000000000000004">
      <c r="B103" s="50" t="s">
        <v>457</v>
      </c>
      <c r="D103" s="17"/>
      <c r="J103" s="71"/>
      <c r="K103" s="71"/>
      <c r="L103" s="71"/>
      <c r="M103" s="71"/>
      <c r="N103" s="71"/>
      <c r="O103" s="71"/>
      <c r="P103" s="71"/>
      <c r="Q103" s="71"/>
      <c r="R103" s="71"/>
      <c r="S103" s="71"/>
      <c r="T103" s="71"/>
      <c r="U103" s="71"/>
      <c r="V103" s="71"/>
      <c r="W103" s="71"/>
      <c r="X103" s="71"/>
      <c r="Y103" s="71"/>
      <c r="Z103" s="71"/>
      <c r="AA103" s="71"/>
      <c r="AB103" s="71"/>
      <c r="AC103" s="71"/>
      <c r="AD103" s="71"/>
      <c r="AE103" s="71"/>
      <c r="AF103" s="71"/>
      <c r="AG103" s="71"/>
      <c r="AH103" s="71"/>
      <c r="AI103" s="71"/>
    </row>
    <row r="104" spans="1:35" ht="14.25" x14ac:dyDescent="0.45">
      <c r="B104" s="105" t="s">
        <v>640</v>
      </c>
      <c r="D104" s="17"/>
      <c r="J104" s="71"/>
      <c r="K104" s="71"/>
      <c r="L104" s="71"/>
      <c r="M104" s="71"/>
      <c r="N104" s="71"/>
      <c r="O104" s="71"/>
      <c r="P104" s="71"/>
      <c r="Q104" s="71"/>
      <c r="R104" s="71"/>
      <c r="S104" s="71"/>
      <c r="T104" s="71"/>
      <c r="U104" s="71"/>
      <c r="V104" s="71"/>
      <c r="W104" s="71"/>
      <c r="X104" s="71"/>
      <c r="Y104" s="71"/>
      <c r="Z104" s="71"/>
      <c r="AA104" s="71"/>
      <c r="AB104" s="71"/>
      <c r="AC104" s="71"/>
      <c r="AD104" s="71"/>
      <c r="AE104" s="71"/>
      <c r="AF104" s="71"/>
      <c r="AG104" s="71"/>
      <c r="AH104" s="71"/>
      <c r="AI104" s="71"/>
    </row>
    <row r="105" spans="1:35" x14ac:dyDescent="0.4">
      <c r="B105" s="89"/>
      <c r="C105" s="89"/>
      <c r="D105" s="3" cm="1">
        <f t="array" ref="D105:G105">_xlfn.SEQUENCE(1, AssessmentEnd-MTP_BaseYear+1, MTP_BaseYear)</f>
        <v>2023</v>
      </c>
      <c r="E105" s="3">
        <v>2024</v>
      </c>
      <c r="F105" s="3">
        <v>2025</v>
      </c>
      <c r="G105" s="3">
        <v>2026</v>
      </c>
      <c r="H105" s="3"/>
      <c r="I105" s="3"/>
      <c r="J105" s="3"/>
      <c r="K105" s="3"/>
      <c r="L105"/>
      <c r="M105"/>
      <c r="N105"/>
      <c r="O105"/>
      <c r="P105"/>
      <c r="Q105"/>
      <c r="R105" s="71"/>
      <c r="S105" s="71"/>
      <c r="T105" s="71"/>
      <c r="U105" s="71"/>
      <c r="V105" s="71"/>
      <c r="W105" s="71"/>
      <c r="X105" s="71"/>
      <c r="Y105" s="71"/>
      <c r="Z105" s="71"/>
      <c r="AA105" s="71"/>
      <c r="AB105" s="71"/>
      <c r="AC105" s="71"/>
      <c r="AD105" s="71"/>
      <c r="AE105" s="71"/>
      <c r="AF105" s="71"/>
      <c r="AG105" s="71"/>
      <c r="AH105" s="71"/>
      <c r="AI105" s="71"/>
    </row>
    <row r="106" spans="1:35" x14ac:dyDescent="0.4">
      <c r="B106" s="7"/>
      <c r="C106" s="7"/>
      <c r="D106" s="3" t="str" cm="1">
        <f t="array" ref="D106:G106">IF(_xlfn.SEQUENCE(1,COLUMNS(_xlfn.ANCHORARRAY(D105)),-1)=-1,"T-1",IF(_xlfn.SEQUENCE(1,COLUMNS(_xlfn.ANCHORARRAY(D105)),-1)=0,"T","T+"&amp;_xlfn.SEQUENCE(1,COLUMNS(_xlfn.ANCHORARRAY(D105)),-1)))</f>
        <v>T-1</v>
      </c>
      <c r="E106" s="3" t="str">
        <v>T</v>
      </c>
      <c r="F106" s="3" t="str">
        <v>T+1</v>
      </c>
      <c r="G106" s="3" t="str">
        <v>T+2</v>
      </c>
      <c r="H106" s="3"/>
      <c r="I106" s="3"/>
      <c r="J106" s="3"/>
      <c r="K106" s="3"/>
      <c r="L106"/>
      <c r="M106"/>
      <c r="N106"/>
      <c r="O106"/>
      <c r="P106"/>
      <c r="Q106"/>
      <c r="R106" s="71"/>
      <c r="S106" s="71"/>
      <c r="T106" s="71"/>
      <c r="U106" s="71"/>
      <c r="V106" s="71"/>
      <c r="W106" s="71"/>
      <c r="X106" s="71"/>
      <c r="Y106" s="71"/>
      <c r="Z106" s="71"/>
      <c r="AA106" s="71"/>
      <c r="AB106" s="71"/>
      <c r="AC106" s="71"/>
      <c r="AD106" s="71"/>
      <c r="AE106" s="71"/>
      <c r="AF106" s="71"/>
      <c r="AG106" s="71"/>
      <c r="AH106" s="71"/>
      <c r="AI106" s="71"/>
    </row>
    <row r="107" spans="1:35" x14ac:dyDescent="0.4">
      <c r="B107" s="124" t="s">
        <v>624</v>
      </c>
      <c r="C107"/>
      <c r="D107"/>
      <c r="E107"/>
      <c r="F107"/>
      <c r="G107"/>
      <c r="H107"/>
      <c r="I107"/>
      <c r="J107"/>
      <c r="K107"/>
      <c r="L107"/>
      <c r="M107"/>
      <c r="N107"/>
      <c r="O107"/>
      <c r="P107"/>
      <c r="Q107"/>
      <c r="R107" s="71"/>
      <c r="S107" s="71"/>
      <c r="T107" s="71"/>
      <c r="U107" s="71"/>
      <c r="V107" s="71"/>
      <c r="W107" s="71"/>
      <c r="X107" s="71"/>
      <c r="Y107" s="71"/>
      <c r="Z107" s="71"/>
      <c r="AA107" s="71"/>
      <c r="AB107" s="71"/>
      <c r="AC107" s="71"/>
      <c r="AD107" s="71"/>
      <c r="AE107" s="71"/>
      <c r="AF107" s="71"/>
      <c r="AG107" s="71"/>
      <c r="AH107" s="71"/>
      <c r="AI107" s="71"/>
    </row>
    <row r="108" spans="1:35" x14ac:dyDescent="0.4">
      <c r="A108" s="3">
        <v>1</v>
      </c>
      <c r="B108" s="5" t="s">
        <v>257</v>
      </c>
      <c r="C108" t="s">
        <v>6</v>
      </c>
      <c r="D108" s="144">
        <f t="shared" ref="D108:J108" si="2">IF(ISNUMBER(D105),D6,"")</f>
        <v>17.182600000000001</v>
      </c>
      <c r="E108" s="144">
        <f t="shared" si="2"/>
        <v>18.413499999999999</v>
      </c>
      <c r="F108" s="144">
        <f t="shared" si="2"/>
        <v>19.8324</v>
      </c>
      <c r="G108" s="144">
        <f t="shared" si="2"/>
        <v>20.588509988199995</v>
      </c>
      <c r="H108" s="144" t="str">
        <f t="shared" si="2"/>
        <v/>
      </c>
      <c r="I108" s="144" t="str">
        <f t="shared" si="2"/>
        <v/>
      </c>
      <c r="J108" s="144" t="str">
        <f t="shared" si="2"/>
        <v/>
      </c>
      <c r="K108" s="144"/>
      <c r="L108"/>
      <c r="M108"/>
      <c r="N108"/>
      <c r="O108"/>
      <c r="P108"/>
      <c r="Q108"/>
      <c r="R108" s="71"/>
      <c r="S108" s="71"/>
      <c r="T108" s="71"/>
      <c r="U108" s="71"/>
      <c r="V108" s="71"/>
      <c r="W108" s="71"/>
      <c r="X108" s="71"/>
      <c r="Y108" s="71"/>
      <c r="Z108" s="71"/>
      <c r="AA108" s="71"/>
      <c r="AB108" s="71"/>
      <c r="AC108" s="71"/>
      <c r="AD108" s="71"/>
      <c r="AE108" s="71"/>
      <c r="AF108" s="71"/>
      <c r="AG108" s="71"/>
      <c r="AH108" s="71"/>
      <c r="AI108" s="71"/>
    </row>
    <row r="109" spans="1:35" x14ac:dyDescent="0.4">
      <c r="A109" s="3">
        <v>2</v>
      </c>
      <c r="B109" s="5" t="s">
        <v>25</v>
      </c>
      <c r="C109" t="s">
        <v>6</v>
      </c>
      <c r="D109" s="144">
        <f t="shared" ref="D109:J109" si="3">IF(ISNUMBER(D105),D7,"")</f>
        <v>0.28689999999999999</v>
      </c>
      <c r="E109" s="144">
        <f t="shared" si="3"/>
        <v>0.44330000000000003</v>
      </c>
      <c r="F109" s="144">
        <f t="shared" si="3"/>
        <v>0.4758</v>
      </c>
      <c r="G109" s="144">
        <f t="shared" si="3"/>
        <v>0.59346037659999995</v>
      </c>
      <c r="H109" s="144" t="str">
        <f t="shared" si="3"/>
        <v/>
      </c>
      <c r="I109" s="144" t="str">
        <f t="shared" si="3"/>
        <v/>
      </c>
      <c r="J109" s="144" t="str">
        <f t="shared" si="3"/>
        <v/>
      </c>
      <c r="K109" s="144"/>
      <c r="L109"/>
      <c r="M109"/>
      <c r="N109"/>
      <c r="O109"/>
      <c r="P109"/>
      <c r="Q109"/>
      <c r="R109" s="71"/>
      <c r="S109" s="71"/>
      <c r="T109" s="71"/>
      <c r="U109" s="71"/>
      <c r="V109" s="71"/>
      <c r="W109" s="71"/>
      <c r="X109" s="71"/>
      <c r="Y109" s="71"/>
      <c r="Z109" s="71"/>
      <c r="AA109" s="71"/>
      <c r="AB109" s="71"/>
      <c r="AC109" s="71"/>
      <c r="AD109" s="71"/>
      <c r="AE109" s="71"/>
      <c r="AF109" s="71"/>
      <c r="AG109" s="71"/>
      <c r="AH109" s="71"/>
      <c r="AI109" s="71"/>
    </row>
    <row r="110" spans="1:35" x14ac:dyDescent="0.4">
      <c r="A110" s="3">
        <v>3</v>
      </c>
      <c r="B110" s="5" t="s">
        <v>276</v>
      </c>
      <c r="C110" t="s">
        <v>6</v>
      </c>
      <c r="D110" s="144">
        <f t="shared" ref="D110:J110" si="4">IF(ISNUMBER(D105),D8,"")</f>
        <v>-2.3600000000000001E-3</v>
      </c>
      <c r="E110" s="144">
        <f t="shared" si="4"/>
        <v>3.14E-3</v>
      </c>
      <c r="F110" s="144">
        <f t="shared" si="4"/>
        <v>6.7000000000000002E-3</v>
      </c>
      <c r="G110" s="144">
        <f t="shared" si="4"/>
        <v>9.130159639999998E-3</v>
      </c>
      <c r="H110" s="144" t="str">
        <f t="shared" si="4"/>
        <v/>
      </c>
      <c r="I110" s="144" t="str">
        <f t="shared" si="4"/>
        <v/>
      </c>
      <c r="J110" s="144" t="str">
        <f t="shared" si="4"/>
        <v/>
      </c>
      <c r="K110" s="144"/>
      <c r="L110"/>
      <c r="M110"/>
      <c r="N110"/>
      <c r="O110"/>
      <c r="P110"/>
      <c r="Q110"/>
      <c r="R110" s="71"/>
      <c r="S110" s="71"/>
      <c r="T110" s="71"/>
      <c r="U110" s="71"/>
      <c r="V110" s="71"/>
      <c r="W110" s="71"/>
      <c r="X110" s="71"/>
      <c r="Y110" s="71"/>
      <c r="Z110" s="71"/>
      <c r="AA110" s="71"/>
      <c r="AB110" s="71"/>
      <c r="AC110" s="71"/>
      <c r="AD110" s="71"/>
      <c r="AE110" s="71"/>
      <c r="AF110" s="71"/>
      <c r="AG110" s="71"/>
      <c r="AH110" s="71"/>
      <c r="AI110" s="71"/>
    </row>
    <row r="111" spans="1:35" x14ac:dyDescent="0.4">
      <c r="A111" s="3">
        <v>4</v>
      </c>
      <c r="B111" s="5" t="s">
        <v>625</v>
      </c>
      <c r="C111" t="s">
        <v>6</v>
      </c>
      <c r="D111" s="144">
        <f t="shared" ref="D111:J111" si="5">IF(ISNUMBER(D105),D9,"")</f>
        <v>0.8</v>
      </c>
      <c r="E111" s="144">
        <f t="shared" si="5"/>
        <v>0.8</v>
      </c>
      <c r="F111" s="144">
        <f t="shared" si="5"/>
        <v>0.8</v>
      </c>
      <c r="G111" s="144">
        <f t="shared" si="5"/>
        <v>0.91301596399999985</v>
      </c>
      <c r="H111" s="144" t="str">
        <f t="shared" si="5"/>
        <v/>
      </c>
      <c r="I111" s="144" t="str">
        <f t="shared" si="5"/>
        <v/>
      </c>
      <c r="J111" s="144" t="str">
        <f t="shared" si="5"/>
        <v/>
      </c>
      <c r="K111" s="144"/>
      <c r="L111"/>
      <c r="M111"/>
      <c r="N111"/>
      <c r="O111"/>
      <c r="P111"/>
      <c r="Q111"/>
      <c r="R111" s="71"/>
      <c r="S111" s="71"/>
      <c r="T111" s="71"/>
      <c r="U111" s="71"/>
      <c r="V111" s="71"/>
      <c r="W111" s="71"/>
      <c r="X111" s="71"/>
      <c r="Y111" s="71"/>
      <c r="Z111" s="71"/>
      <c r="AA111" s="71"/>
      <c r="AB111" s="71"/>
      <c r="AC111" s="71"/>
      <c r="AD111" s="71"/>
      <c r="AE111" s="71"/>
      <c r="AF111" s="71"/>
      <c r="AG111" s="71"/>
      <c r="AH111" s="71"/>
      <c r="AI111" s="71"/>
    </row>
    <row r="112" spans="1:35" x14ac:dyDescent="0.4">
      <c r="A112" s="3">
        <v>5</v>
      </c>
      <c r="B112" s="5" t="s">
        <v>278</v>
      </c>
      <c r="C112" t="s">
        <v>6</v>
      </c>
      <c r="D112" s="144">
        <f t="shared" ref="D112:J112" si="6">IF(ISNUMBER(D105),D10,"")</f>
        <v>0.15825</v>
      </c>
      <c r="E112" s="144">
        <f t="shared" si="6"/>
        <v>0.13764999999999999</v>
      </c>
      <c r="F112" s="144">
        <f t="shared" si="6"/>
        <v>0.19919999999999999</v>
      </c>
      <c r="G112" s="144">
        <f t="shared" si="6"/>
        <v>0.22825399099999996</v>
      </c>
      <c r="H112" s="144" t="str">
        <f t="shared" si="6"/>
        <v/>
      </c>
      <c r="I112" s="144" t="str">
        <f t="shared" si="6"/>
        <v/>
      </c>
      <c r="J112" s="144" t="str">
        <f t="shared" si="6"/>
        <v/>
      </c>
      <c r="K112" s="144"/>
      <c r="L112"/>
      <c r="M112"/>
      <c r="N112"/>
      <c r="O112"/>
      <c r="P112"/>
      <c r="Q112"/>
      <c r="R112" s="71"/>
      <c r="S112" s="71"/>
      <c r="T112" s="71"/>
      <c r="U112" s="71"/>
      <c r="V112" s="71"/>
      <c r="W112" s="71"/>
      <c r="X112" s="71"/>
      <c r="Y112" s="71"/>
      <c r="Z112" s="71"/>
      <c r="AA112" s="71"/>
      <c r="AB112" s="71"/>
      <c r="AC112" s="71"/>
      <c r="AD112" s="71"/>
      <c r="AE112" s="71"/>
      <c r="AF112" s="71"/>
      <c r="AG112" s="71"/>
      <c r="AH112" s="71"/>
      <c r="AI112" s="71"/>
    </row>
    <row r="113" spans="1:35" x14ac:dyDescent="0.4">
      <c r="A113" s="3">
        <v>6</v>
      </c>
      <c r="B113" s="5" t="s">
        <v>626</v>
      </c>
      <c r="C113" t="s">
        <v>6</v>
      </c>
      <c r="D113" s="144">
        <f t="shared" ref="D113:J113" si="7">IF(ISNUMBER(D105),D11,"")</f>
        <v>0</v>
      </c>
      <c r="E113" s="144">
        <f t="shared" si="7"/>
        <v>0</v>
      </c>
      <c r="F113" s="144">
        <f t="shared" si="7"/>
        <v>0</v>
      </c>
      <c r="G113" s="144">
        <f t="shared" si="7"/>
        <v>0</v>
      </c>
      <c r="H113" s="144" t="str">
        <f t="shared" si="7"/>
        <v/>
      </c>
      <c r="I113" s="144" t="str">
        <f t="shared" si="7"/>
        <v/>
      </c>
      <c r="J113" s="144" t="str">
        <f t="shared" si="7"/>
        <v/>
      </c>
      <c r="K113" s="144"/>
      <c r="L113"/>
      <c r="M113"/>
      <c r="N113"/>
      <c r="O113"/>
      <c r="P113"/>
      <c r="Q113"/>
      <c r="R113" s="71"/>
      <c r="S113" s="71"/>
      <c r="T113" s="71"/>
      <c r="U113" s="71"/>
      <c r="V113" s="71"/>
      <c r="W113" s="71"/>
      <c r="X113" s="71"/>
      <c r="Y113" s="71"/>
      <c r="Z113" s="71"/>
      <c r="AA113" s="71"/>
      <c r="AB113" s="71"/>
      <c r="AC113" s="71"/>
      <c r="AD113" s="71"/>
      <c r="AE113" s="71"/>
      <c r="AF113" s="71"/>
      <c r="AG113" s="71"/>
      <c r="AH113" s="71"/>
      <c r="AI113" s="71"/>
    </row>
    <row r="114" spans="1:35" x14ac:dyDescent="0.4">
      <c r="A114" s="3">
        <v>7</v>
      </c>
      <c r="B114" s="5" t="s">
        <v>627</v>
      </c>
      <c r="C114" t="s">
        <v>6</v>
      </c>
      <c r="D114" s="144">
        <f t="shared" ref="D114:J114" si="8">IF(ISNUMBER(D105),D12,"")</f>
        <v>16.005510000000005</v>
      </c>
      <c r="E114" s="144">
        <f t="shared" si="8"/>
        <v>17.073910000000001</v>
      </c>
      <c r="F114" s="144">
        <f t="shared" si="8"/>
        <v>17.899699999999999</v>
      </c>
      <c r="G114" s="144">
        <f t="shared" si="8"/>
        <v>18.853779656599993</v>
      </c>
      <c r="H114" s="144" t="str">
        <f t="shared" si="8"/>
        <v/>
      </c>
      <c r="I114" s="144" t="str">
        <f t="shared" si="8"/>
        <v/>
      </c>
      <c r="J114" s="144" t="str">
        <f t="shared" si="8"/>
        <v/>
      </c>
      <c r="K114" s="144"/>
      <c r="L114"/>
      <c r="M114"/>
      <c r="N114"/>
      <c r="O114"/>
      <c r="P114"/>
      <c r="Q114"/>
      <c r="R114" s="71"/>
      <c r="S114" s="71"/>
      <c r="T114" s="71"/>
      <c r="U114" s="71"/>
      <c r="V114" s="71"/>
      <c r="W114" s="71"/>
      <c r="X114" s="71"/>
      <c r="Y114" s="71"/>
      <c r="Z114" s="71"/>
      <c r="AA114" s="71"/>
      <c r="AB114" s="71"/>
      <c r="AC114" s="71"/>
      <c r="AD114" s="71"/>
      <c r="AE114" s="71"/>
      <c r="AF114" s="71"/>
      <c r="AG114" s="71"/>
      <c r="AH114" s="71"/>
      <c r="AI114" s="71"/>
    </row>
    <row r="115" spans="1:35" x14ac:dyDescent="0.4">
      <c r="A115" s="3">
        <v>8</v>
      </c>
      <c r="B115" s="5" t="s">
        <v>628</v>
      </c>
      <c r="C115" t="s">
        <v>6</v>
      </c>
      <c r="E115" s="91">
        <f>IF(ISNUMBER(E105),E114-D114,"")</f>
        <v>1.0683999999999969</v>
      </c>
      <c r="F115" s="91">
        <f t="shared" ref="F115:J115" si="9">IF(ISNUMBER(F105),F114-E114,"")</f>
        <v>0.8257899999999978</v>
      </c>
      <c r="G115" s="91">
        <f t="shared" si="9"/>
        <v>0.95407965659999405</v>
      </c>
      <c r="H115" s="91" t="str">
        <f t="shared" si="9"/>
        <v/>
      </c>
      <c r="I115" s="91" t="str">
        <f t="shared" si="9"/>
        <v/>
      </c>
      <c r="J115" s="91" t="str">
        <f t="shared" si="9"/>
        <v/>
      </c>
      <c r="K115" s="91"/>
      <c r="L115" s="91"/>
      <c r="M115"/>
      <c r="N115"/>
      <c r="O115"/>
      <c r="P115"/>
      <c r="Q115"/>
      <c r="R115" s="71"/>
      <c r="S115" s="71"/>
      <c r="T115" s="71"/>
      <c r="U115" s="71"/>
      <c r="V115" s="71"/>
      <c r="W115" s="71"/>
      <c r="X115" s="71"/>
      <c r="Y115" s="71"/>
      <c r="Z115" s="71"/>
      <c r="AA115" s="71"/>
      <c r="AB115" s="71"/>
      <c r="AC115" s="71"/>
      <c r="AD115" s="71"/>
      <c r="AE115" s="71"/>
      <c r="AF115" s="71"/>
      <c r="AG115" s="71"/>
      <c r="AH115" s="71"/>
      <c r="AI115" s="71"/>
    </row>
    <row r="116" spans="1:35" x14ac:dyDescent="0.4">
      <c r="A116" s="3">
        <v>9</v>
      </c>
      <c r="B116" s="5" t="s">
        <v>629</v>
      </c>
      <c r="C116" t="s">
        <v>6</v>
      </c>
      <c r="D116" s="144"/>
      <c r="E116" s="144">
        <f t="shared" ref="E116:J116" si="10">IF(ISNUMBER(E105),E13,"")</f>
        <v>0.27381</v>
      </c>
      <c r="F116" s="144">
        <f t="shared" si="10"/>
        <v>0</v>
      </c>
      <c r="G116" s="144">
        <f t="shared" si="10"/>
        <v>-9.1301596399999976E-2</v>
      </c>
      <c r="H116" s="144" t="str">
        <f t="shared" si="10"/>
        <v/>
      </c>
      <c r="I116" s="144" t="str">
        <f t="shared" si="10"/>
        <v/>
      </c>
      <c r="J116" s="144" t="str">
        <f t="shared" si="10"/>
        <v/>
      </c>
      <c r="K116" s="144"/>
      <c r="L116"/>
      <c r="M116"/>
      <c r="N116"/>
      <c r="O116"/>
      <c r="P116"/>
      <c r="Q116"/>
      <c r="R116" s="71"/>
      <c r="S116" s="71"/>
      <c r="T116" s="71"/>
      <c r="U116" s="71"/>
      <c r="V116" s="71"/>
      <c r="W116" s="71"/>
      <c r="X116" s="71"/>
      <c r="Y116" s="71"/>
      <c r="Z116" s="71"/>
      <c r="AA116" s="71"/>
      <c r="AB116" s="71"/>
      <c r="AC116" s="71"/>
      <c r="AD116" s="71"/>
      <c r="AE116" s="71"/>
      <c r="AF116" s="71"/>
      <c r="AG116" s="71"/>
      <c r="AH116" s="71"/>
      <c r="AI116" s="71"/>
    </row>
    <row r="117" spans="1:35" x14ac:dyDescent="0.4">
      <c r="A117" s="3">
        <v>10</v>
      </c>
      <c r="B117" s="5" t="s">
        <v>630</v>
      </c>
      <c r="C117" t="s">
        <v>6</v>
      </c>
      <c r="D117" s="144"/>
      <c r="E117" s="144">
        <f>IF(ISNUMBER(E105),E115-E116,"")</f>
        <v>0.79458999999999691</v>
      </c>
      <c r="F117" s="144">
        <f t="shared" ref="F117:J117" si="11">IF(ISNUMBER(F105),F115-F116,"")</f>
        <v>0.8257899999999978</v>
      </c>
      <c r="G117" s="144">
        <f t="shared" si="11"/>
        <v>1.045381252999994</v>
      </c>
      <c r="H117" s="144" t="str">
        <f t="shared" si="11"/>
        <v/>
      </c>
      <c r="I117" s="144" t="str">
        <f t="shared" si="11"/>
        <v/>
      </c>
      <c r="J117" s="144" t="str">
        <f t="shared" si="11"/>
        <v/>
      </c>
      <c r="K117" s="144"/>
      <c r="L117"/>
      <c r="M117"/>
      <c r="N117"/>
      <c r="O117"/>
      <c r="P117"/>
      <c r="Q117"/>
      <c r="R117" s="71"/>
      <c r="S117" s="71"/>
      <c r="T117" s="71"/>
      <c r="U117" s="71"/>
      <c r="V117" s="71"/>
      <c r="W117" s="71"/>
      <c r="X117" s="71"/>
      <c r="Y117" s="71"/>
      <c r="Z117" s="71"/>
      <c r="AA117" s="71"/>
      <c r="AB117" s="71"/>
      <c r="AC117" s="71"/>
      <c r="AD117" s="71"/>
      <c r="AE117" s="71"/>
      <c r="AF117" s="71"/>
      <c r="AG117" s="71"/>
      <c r="AH117" s="71"/>
      <c r="AI117" s="71"/>
    </row>
    <row r="118" spans="1:35" x14ac:dyDescent="0.4">
      <c r="A118" s="3"/>
      <c r="B118" s="124" t="s">
        <v>928</v>
      </c>
      <c r="C118"/>
      <c r="D118" s="144"/>
      <c r="E118" s="144"/>
      <c r="F118" s="144"/>
      <c r="G118" s="144"/>
      <c r="H118" s="144"/>
      <c r="I118" s="144"/>
      <c r="J118" s="144"/>
      <c r="K118" s="144"/>
      <c r="L118"/>
      <c r="M118"/>
      <c r="N118"/>
      <c r="O118"/>
      <c r="P118"/>
      <c r="Q118"/>
      <c r="R118" s="71"/>
      <c r="S118" s="71"/>
      <c r="T118" s="71"/>
      <c r="U118" s="71"/>
      <c r="V118" s="71"/>
      <c r="W118" s="71"/>
      <c r="X118" s="71"/>
      <c r="Y118" s="71"/>
      <c r="Z118" s="71"/>
      <c r="AA118" s="71"/>
      <c r="AB118" s="71"/>
      <c r="AC118" s="71"/>
      <c r="AD118" s="71"/>
      <c r="AE118" s="71"/>
      <c r="AF118" s="71"/>
      <c r="AG118" s="71"/>
      <c r="AH118" s="71"/>
      <c r="AI118" s="71"/>
    </row>
    <row r="119" spans="1:35" x14ac:dyDescent="0.4">
      <c r="A119" s="3">
        <v>11</v>
      </c>
      <c r="B119" s="5" t="s">
        <v>632</v>
      </c>
      <c r="C119" t="s">
        <v>601</v>
      </c>
      <c r="D119" s="144"/>
      <c r="E119" s="144">
        <f>IF(ISNUMBER(E105),E117/D114*100,"")</f>
        <v>4.9644778579376521</v>
      </c>
      <c r="F119" s="144">
        <f t="shared" ref="F119:J119" si="12">IF(ISNUMBER(F105),F117/E114*100,"")</f>
        <v>4.8365605769270053</v>
      </c>
      <c r="G119" s="144">
        <f t="shared" si="12"/>
        <v>5.8402166125688924</v>
      </c>
      <c r="H119" s="144" t="str">
        <f t="shared" si="12"/>
        <v/>
      </c>
      <c r="I119" s="144" t="str">
        <f t="shared" si="12"/>
        <v/>
      </c>
      <c r="J119" s="144" t="str">
        <f t="shared" si="12"/>
        <v/>
      </c>
      <c r="K119" s="144"/>
      <c r="L119"/>
      <c r="M119"/>
      <c r="N119"/>
      <c r="O119"/>
      <c r="P119"/>
      <c r="Q119"/>
      <c r="R119" s="71"/>
      <c r="S119" s="71"/>
      <c r="T119" s="71"/>
      <c r="U119" s="71"/>
      <c r="V119" s="71"/>
      <c r="W119" s="71"/>
      <c r="X119" s="71"/>
      <c r="Y119" s="71"/>
      <c r="Z119" s="71"/>
      <c r="AA119" s="71"/>
      <c r="AB119" s="71"/>
      <c r="AC119" s="71"/>
      <c r="AD119" s="71"/>
      <c r="AE119" s="71"/>
      <c r="AF119" s="71"/>
      <c r="AG119" s="71"/>
      <c r="AH119" s="71"/>
      <c r="AI119" s="71"/>
    </row>
    <row r="120" spans="1:35" x14ac:dyDescent="0.4">
      <c r="A120" s="3">
        <v>12</v>
      </c>
      <c r="B120" s="5" t="s">
        <v>946</v>
      </c>
      <c r="C120" t="s">
        <v>601</v>
      </c>
      <c r="D120" s="144"/>
      <c r="E120" s="259">
        <f t="shared" ref="E120:J120" si="13">IF(ISNUMBER(E105),E34,"")</f>
        <v>9.1</v>
      </c>
      <c r="F120" s="144">
        <f t="shared" si="13"/>
        <v>5.8999999999999995</v>
      </c>
      <c r="G120" s="144">
        <f t="shared" si="13"/>
        <v>3.5999999999999996</v>
      </c>
      <c r="H120" s="144" t="str">
        <f t="shared" si="13"/>
        <v/>
      </c>
      <c r="I120" s="144" t="str">
        <f t="shared" si="13"/>
        <v/>
      </c>
      <c r="J120" s="144" t="str">
        <f t="shared" si="13"/>
        <v/>
      </c>
      <c r="K120" s="144"/>
      <c r="L120"/>
      <c r="M120"/>
      <c r="N120"/>
      <c r="O120"/>
      <c r="P120"/>
      <c r="Q120"/>
      <c r="R120" s="71"/>
      <c r="S120" s="71"/>
      <c r="T120" s="71"/>
      <c r="U120" s="71"/>
      <c r="V120" s="71"/>
      <c r="W120" s="71"/>
      <c r="X120" s="71"/>
      <c r="Y120" s="71"/>
      <c r="Z120" s="71"/>
      <c r="AA120" s="71"/>
      <c r="AB120" s="71"/>
      <c r="AC120" s="71"/>
      <c r="AD120" s="71"/>
      <c r="AE120" s="71"/>
      <c r="AF120" s="71"/>
      <c r="AG120" s="71"/>
      <c r="AH120" s="71"/>
      <c r="AI120" s="71"/>
    </row>
    <row r="121" spans="1:35" x14ac:dyDescent="0.4">
      <c r="A121" s="3">
        <v>13</v>
      </c>
      <c r="B121" s="5" t="s">
        <v>929</v>
      </c>
      <c r="C121" t="s">
        <v>6</v>
      </c>
      <c r="D121" s="144"/>
      <c r="E121" s="259">
        <f>IF(ISNUMBER(E105),((E119-E120)/100)*D114,"")</f>
        <v>-0.66191141000000342</v>
      </c>
      <c r="F121" s="144">
        <f t="shared" ref="F121:J121" si="14">IF(ISNUMBER(F105),((F119-F120)/100)*E114,"")</f>
        <v>-0.18157069000000228</v>
      </c>
      <c r="G121" s="144">
        <f t="shared" si="14"/>
        <v>0.40099205299999402</v>
      </c>
      <c r="H121" s="144" t="str">
        <f t="shared" si="14"/>
        <v/>
      </c>
      <c r="I121" s="144" t="str">
        <f t="shared" si="14"/>
        <v/>
      </c>
      <c r="J121" s="144" t="str">
        <f t="shared" si="14"/>
        <v/>
      </c>
      <c r="K121" s="144"/>
      <c r="L121"/>
      <c r="M121"/>
      <c r="N121"/>
      <c r="O121"/>
      <c r="P121"/>
      <c r="Q121"/>
      <c r="R121" s="71"/>
      <c r="S121" s="71"/>
      <c r="T121" s="71"/>
      <c r="U121" s="71"/>
      <c r="V121" s="71"/>
      <c r="W121" s="71"/>
      <c r="X121" s="71"/>
      <c r="Y121" s="71"/>
      <c r="Z121" s="71"/>
      <c r="AA121" s="71"/>
      <c r="AB121" s="71"/>
      <c r="AC121" s="71"/>
      <c r="AD121" s="71"/>
      <c r="AE121" s="71"/>
      <c r="AF121" s="71"/>
      <c r="AG121" s="71"/>
      <c r="AH121" s="71"/>
      <c r="AI121" s="71"/>
    </row>
    <row r="122" spans="1:35" x14ac:dyDescent="0.4">
      <c r="A122" s="3">
        <v>14</v>
      </c>
      <c r="B122" s="143" t="s">
        <v>930</v>
      </c>
      <c r="C122" s="7" t="s">
        <v>6</v>
      </c>
      <c r="D122" s="144"/>
      <c r="E122" s="259">
        <f>IF(ISNUMBER(E105),E121+IF(ISNUMBER(D105),D122,0),"")</f>
        <v>-0.66191141000000342</v>
      </c>
      <c r="F122" s="144">
        <f t="shared" ref="F122:J122" si="15">IF(ISNUMBER(F105),F121+IF(ISNUMBER(E105),E122,0),"")</f>
        <v>-0.84348210000000567</v>
      </c>
      <c r="G122" s="144">
        <f t="shared" si="15"/>
        <v>-0.44249004700001165</v>
      </c>
      <c r="H122" s="144" t="str">
        <f t="shared" si="15"/>
        <v/>
      </c>
      <c r="I122" s="144" t="str">
        <f t="shared" si="15"/>
        <v/>
      </c>
      <c r="J122" s="144" t="str">
        <f t="shared" si="15"/>
        <v/>
      </c>
      <c r="K122" s="144"/>
      <c r="L122"/>
      <c r="M122"/>
      <c r="N122"/>
      <c r="O122"/>
      <c r="P122"/>
      <c r="Q122"/>
      <c r="R122" s="71"/>
      <c r="S122" s="71"/>
      <c r="T122" s="71"/>
      <c r="U122" s="71"/>
      <c r="V122" s="71"/>
      <c r="W122" s="71"/>
      <c r="X122" s="71"/>
      <c r="Y122" s="71"/>
      <c r="Z122" s="71"/>
      <c r="AA122" s="71"/>
      <c r="AB122" s="71"/>
      <c r="AC122" s="71"/>
      <c r="AD122" s="71"/>
      <c r="AE122" s="71"/>
      <c r="AF122" s="71"/>
      <c r="AG122" s="71"/>
      <c r="AH122" s="71"/>
      <c r="AI122" s="71"/>
    </row>
    <row r="123" spans="1:35" x14ac:dyDescent="0.4">
      <c r="A123" s="3">
        <v>15</v>
      </c>
      <c r="B123" s="5" t="s">
        <v>9</v>
      </c>
      <c r="C123" t="s">
        <v>6</v>
      </c>
      <c r="D123" s="144">
        <f t="shared" ref="D123:J123" si="16">IF(ISNUMBER(D105),D27,"")</f>
        <v>39.5642</v>
      </c>
      <c r="E123" s="144">
        <f t="shared" si="16"/>
        <v>40.652300000000004</v>
      </c>
      <c r="F123" s="144">
        <f t="shared" si="16"/>
        <v>43.026199999999996</v>
      </c>
      <c r="G123" s="144">
        <f t="shared" si="16"/>
        <v>45.65079819999999</v>
      </c>
      <c r="H123" s="144" t="str">
        <f t="shared" si="16"/>
        <v/>
      </c>
      <c r="I123" s="144" t="str">
        <f t="shared" si="16"/>
        <v/>
      </c>
      <c r="J123" s="144" t="str">
        <f t="shared" si="16"/>
        <v/>
      </c>
      <c r="K123" s="144"/>
      <c r="L123" s="9"/>
      <c r="M123" s="9"/>
      <c r="N123"/>
      <c r="O123"/>
      <c r="P123"/>
      <c r="Q123"/>
      <c r="R123" s="71"/>
      <c r="S123" s="71"/>
      <c r="T123" s="71"/>
      <c r="U123" s="71"/>
      <c r="V123" s="71"/>
      <c r="W123" s="71"/>
      <c r="X123" s="71"/>
      <c r="Y123" s="71"/>
      <c r="Z123" s="71"/>
      <c r="AA123" s="71"/>
      <c r="AB123" s="71"/>
      <c r="AC123" s="71"/>
      <c r="AD123" s="71"/>
      <c r="AE123" s="71"/>
      <c r="AF123" s="71"/>
      <c r="AG123" s="71"/>
      <c r="AH123" s="71"/>
      <c r="AI123" s="71"/>
    </row>
    <row r="124" spans="1:35" ht="21.4" customHeight="1" x14ac:dyDescent="0.4">
      <c r="B124" s="7" t="s">
        <v>641</v>
      </c>
      <c r="C124" s="19"/>
      <c r="D124" s="3"/>
      <c r="E124" s="3"/>
      <c r="F124" s="3"/>
      <c r="G124" s="3"/>
      <c r="H124" s="3"/>
      <c r="I124" s="3"/>
      <c r="J124" s="3"/>
      <c r="K124" s="3"/>
      <c r="L124"/>
      <c r="M124"/>
      <c r="N124"/>
      <c r="O124"/>
      <c r="P124"/>
      <c r="Q124"/>
      <c r="R124" s="71"/>
      <c r="S124" s="71"/>
      <c r="T124" s="71"/>
      <c r="U124" s="71"/>
      <c r="V124" s="71"/>
      <c r="W124" s="71"/>
      <c r="X124" s="71"/>
      <c r="Y124" s="71"/>
      <c r="Z124" s="71"/>
      <c r="AA124" s="71"/>
      <c r="AB124" s="71"/>
      <c r="AC124" s="71"/>
      <c r="AD124" s="71"/>
      <c r="AE124" s="71"/>
      <c r="AF124" s="71"/>
      <c r="AG124" s="71"/>
      <c r="AH124" s="71"/>
      <c r="AI124" s="71"/>
    </row>
    <row r="125" spans="1:35" x14ac:dyDescent="0.4">
      <c r="A125" s="3">
        <v>16</v>
      </c>
      <c r="B125" s="5" t="s">
        <v>602</v>
      </c>
      <c r="C125" t="s">
        <v>603</v>
      </c>
      <c r="D125"/>
      <c r="E125" s="258">
        <f>IF(ISNUMBER(E105),E121/E$123*100,"")</f>
        <v>-1.6282262258224094</v>
      </c>
      <c r="F125" s="4">
        <f t="shared" ref="F125:J125" si="17">IF(ISNUMBER(F105),F121/F$123*100,"")</f>
        <v>-0.42200029284483015</v>
      </c>
      <c r="G125" s="4">
        <f t="shared" si="17"/>
        <v>0.87839001465694877</v>
      </c>
      <c r="H125" s="4" t="str">
        <f t="shared" si="17"/>
        <v/>
      </c>
      <c r="I125" s="4" t="str">
        <f t="shared" si="17"/>
        <v/>
      </c>
      <c r="J125" s="4" t="str">
        <f t="shared" si="17"/>
        <v/>
      </c>
      <c r="K125" s="4"/>
      <c r="L125"/>
      <c r="M125"/>
      <c r="N125"/>
      <c r="O125"/>
      <c r="P125"/>
      <c r="Q125"/>
      <c r="R125" s="71"/>
      <c r="S125" s="71"/>
      <c r="T125" s="71"/>
      <c r="U125" s="71"/>
      <c r="V125" s="71"/>
      <c r="W125" s="71"/>
      <c r="X125" s="71"/>
      <c r="Y125" s="71"/>
      <c r="Z125" s="71"/>
      <c r="AA125" s="71"/>
      <c r="AB125" s="71"/>
      <c r="AC125" s="71"/>
      <c r="AD125" s="71"/>
      <c r="AE125" s="71"/>
      <c r="AF125" s="71"/>
      <c r="AG125" s="71"/>
      <c r="AH125" s="71"/>
      <c r="AI125" s="71"/>
    </row>
    <row r="126" spans="1:35" x14ac:dyDescent="0.4">
      <c r="A126" s="3">
        <v>17</v>
      </c>
      <c r="B126" s="5" t="s">
        <v>945</v>
      </c>
      <c r="C126" t="s">
        <v>603</v>
      </c>
      <c r="D126"/>
      <c r="E126" s="258">
        <f>IF(ISNUMBER(E105),E122/E$123*100,"")</f>
        <v>-1.6282262258224094</v>
      </c>
      <c r="F126" s="4">
        <f t="shared" ref="F126:J126" si="18">IF(ISNUMBER(F105),F122/F$123*100,"")</f>
        <v>-1.9603918077822482</v>
      </c>
      <c r="G126" s="4">
        <f t="shared" si="18"/>
        <v>-0.96929312180134408</v>
      </c>
      <c r="H126" s="4" t="str">
        <f t="shared" si="18"/>
        <v/>
      </c>
      <c r="I126" s="4" t="str">
        <f t="shared" si="18"/>
        <v/>
      </c>
      <c r="J126" s="4" t="str">
        <f t="shared" si="18"/>
        <v/>
      </c>
      <c r="K126" s="4"/>
      <c r="L126"/>
      <c r="M126"/>
      <c r="N126"/>
      <c r="O126"/>
      <c r="P126"/>
      <c r="Q126"/>
      <c r="R126" s="71"/>
      <c r="S126" s="71"/>
      <c r="T126" s="71"/>
      <c r="U126" s="71"/>
      <c r="V126" s="71"/>
      <c r="W126" s="71"/>
      <c r="X126" s="71"/>
      <c r="Y126" s="71"/>
      <c r="Z126" s="71"/>
      <c r="AA126" s="71"/>
      <c r="AB126" s="71"/>
      <c r="AC126" s="71"/>
      <c r="AD126" s="71"/>
      <c r="AE126" s="71"/>
      <c r="AF126" s="71"/>
      <c r="AG126" s="71"/>
      <c r="AH126" s="71"/>
      <c r="AI126" s="71"/>
    </row>
    <row r="127" spans="1:35" ht="20.85" customHeight="1" x14ac:dyDescent="0.4">
      <c r="A127" s="3"/>
      <c r="B127" s="7" t="s">
        <v>931</v>
      </c>
      <c r="C127" s="19"/>
      <c r="D127" s="3"/>
      <c r="E127" s="3"/>
      <c r="F127" s="3"/>
      <c r="G127" s="3"/>
      <c r="H127" s="3"/>
      <c r="I127" s="3"/>
      <c r="J127" s="3"/>
      <c r="K127" s="3"/>
      <c r="L127"/>
      <c r="M127"/>
      <c r="N127"/>
      <c r="O127"/>
      <c r="P127"/>
      <c r="Q127"/>
      <c r="R127" s="71"/>
      <c r="S127" s="71"/>
      <c r="T127" s="71"/>
      <c r="U127" s="71"/>
      <c r="V127" s="71"/>
      <c r="W127" s="71"/>
      <c r="X127" s="71"/>
      <c r="Y127" s="71"/>
      <c r="Z127" s="71"/>
      <c r="AA127" s="71"/>
      <c r="AB127" s="71"/>
      <c r="AC127" s="71"/>
      <c r="AD127" s="71"/>
      <c r="AE127" s="71"/>
      <c r="AF127" s="71"/>
      <c r="AG127" s="71"/>
      <c r="AH127" s="71"/>
      <c r="AI127" s="71"/>
    </row>
    <row r="128" spans="1:35" x14ac:dyDescent="0.4">
      <c r="A128" s="3" t="s">
        <v>648</v>
      </c>
      <c r="B128" s="5" t="s">
        <v>602</v>
      </c>
      <c r="C128" t="s">
        <v>603</v>
      </c>
      <c r="D128"/>
      <c r="E128" s="4">
        <f>IF(ISNUMBER(E105),E121/E$123*100,"")</f>
        <v>-1.6282262258224094</v>
      </c>
      <c r="F128" s="4">
        <f t="shared" ref="F128:J128" si="19">IF(ISNUMBER(F105),F121/F$123*100,"")</f>
        <v>-0.42200029284483015</v>
      </c>
      <c r="G128" s="4">
        <f t="shared" si="19"/>
        <v>0.87839001465694877</v>
      </c>
      <c r="H128" s="4" t="str">
        <f t="shared" si="19"/>
        <v/>
      </c>
      <c r="I128" s="4" t="str">
        <f t="shared" si="19"/>
        <v/>
      </c>
      <c r="J128" s="4" t="str">
        <f t="shared" si="19"/>
        <v/>
      </c>
      <c r="K128" s="4"/>
      <c r="L128"/>
      <c r="M128"/>
      <c r="N128"/>
      <c r="O128"/>
      <c r="P128"/>
      <c r="Q128"/>
      <c r="R128" s="71"/>
      <c r="S128" s="71"/>
      <c r="T128" s="71"/>
      <c r="U128" s="71"/>
      <c r="V128" s="71"/>
      <c r="W128" s="71"/>
      <c r="X128" s="71"/>
      <c r="Y128" s="71"/>
      <c r="Z128" s="71"/>
      <c r="AA128" s="71"/>
      <c r="AB128" s="71"/>
      <c r="AC128" s="71"/>
      <c r="AD128" s="71"/>
      <c r="AE128" s="71"/>
      <c r="AF128" s="71"/>
      <c r="AG128" s="71"/>
      <c r="AH128" s="71"/>
      <c r="AI128" s="71"/>
    </row>
    <row r="129" spans="1:35" x14ac:dyDescent="0.4">
      <c r="A129" s="3"/>
      <c r="B129" s="5" t="s">
        <v>598</v>
      </c>
      <c r="C129" t="s">
        <v>6</v>
      </c>
      <c r="D129" s="144">
        <f t="shared" ref="D129:J129" si="20">IF(ISNUMBER(D105),D14,"")</f>
        <v>1</v>
      </c>
      <c r="E129" s="144">
        <f t="shared" si="20"/>
        <v>1.1000000000000001</v>
      </c>
      <c r="F129" s="144">
        <f t="shared" si="20"/>
        <v>1.3</v>
      </c>
      <c r="G129" s="144">
        <f>IF(ISNUMBER(G105),G14,"")</f>
        <v>1.8716827261999993</v>
      </c>
      <c r="H129" s="144" t="str">
        <f t="shared" si="20"/>
        <v/>
      </c>
      <c r="I129" s="144" t="str">
        <f t="shared" si="20"/>
        <v/>
      </c>
      <c r="J129" s="144" t="str">
        <f t="shared" si="20"/>
        <v/>
      </c>
      <c r="K129" s="144"/>
      <c r="L129"/>
      <c r="M129"/>
      <c r="N129"/>
      <c r="O129"/>
      <c r="P129"/>
      <c r="Q129"/>
      <c r="R129" s="71"/>
      <c r="S129" s="71"/>
      <c r="T129" s="71"/>
      <c r="U129" s="71"/>
      <c r="V129" s="71"/>
      <c r="W129" s="71"/>
      <c r="X129" s="71"/>
      <c r="Y129" s="71"/>
      <c r="Z129" s="71"/>
      <c r="AA129" s="71"/>
      <c r="AB129" s="71"/>
      <c r="AC129" s="71"/>
      <c r="AD129" s="71"/>
      <c r="AE129" s="71"/>
      <c r="AF129" s="71"/>
      <c r="AG129" s="71"/>
      <c r="AH129" s="71"/>
      <c r="AI129" s="71"/>
    </row>
    <row r="130" spans="1:35" x14ac:dyDescent="0.4">
      <c r="A130" s="3"/>
      <c r="B130" s="5" t="s">
        <v>598</v>
      </c>
      <c r="C130" t="s">
        <v>603</v>
      </c>
      <c r="D130" s="4">
        <f t="shared" ref="D130:J130" si="21">IF(ISNUMBER(D105),D14/D123*100,"")</f>
        <v>2.5275375212945037</v>
      </c>
      <c r="E130" s="4">
        <f t="shared" si="21"/>
        <v>2.705873960390925</v>
      </c>
      <c r="F130" s="4">
        <f t="shared" si="21"/>
        <v>3.0214148588534431</v>
      </c>
      <c r="G130" s="4">
        <f t="shared" si="21"/>
        <v>4.0999999999999996</v>
      </c>
      <c r="H130" s="4" t="str">
        <f t="shared" si="21"/>
        <v/>
      </c>
      <c r="I130" s="4" t="str">
        <f t="shared" si="21"/>
        <v/>
      </c>
      <c r="J130" s="4" t="str">
        <f t="shared" si="21"/>
        <v/>
      </c>
      <c r="K130" s="4"/>
      <c r="L130"/>
      <c r="M130"/>
      <c r="N130"/>
      <c r="O130"/>
      <c r="P130"/>
      <c r="Q130"/>
      <c r="R130" s="71"/>
      <c r="S130" s="71"/>
      <c r="T130" s="71"/>
      <c r="U130" s="71"/>
      <c r="V130" s="71"/>
      <c r="W130" s="71"/>
      <c r="X130" s="71"/>
      <c r="Y130" s="71"/>
      <c r="Z130" s="71"/>
      <c r="AA130" s="71"/>
      <c r="AB130" s="71"/>
      <c r="AC130" s="71"/>
      <c r="AD130" s="71"/>
      <c r="AE130" s="71"/>
      <c r="AF130" s="71"/>
      <c r="AG130" s="71"/>
      <c r="AH130" s="71"/>
      <c r="AI130" s="71"/>
    </row>
    <row r="131" spans="1:35" x14ac:dyDescent="0.4">
      <c r="A131" s="3"/>
      <c r="B131" s="5" t="s">
        <v>647</v>
      </c>
      <c r="C131" t="s">
        <v>6</v>
      </c>
      <c r="D131" s="4"/>
      <c r="E131" s="4">
        <f>IF(ISNUMBER(E105),E129-D129,"")</f>
        <v>0.10000000000000009</v>
      </c>
      <c r="F131" s="4">
        <f t="shared" ref="F131:J131" si="22">IF(ISNUMBER(F105),F129-E129,"")</f>
        <v>0.19999999999999996</v>
      </c>
      <c r="G131" s="4">
        <f t="shared" si="22"/>
        <v>0.57168272619999927</v>
      </c>
      <c r="H131" s="4" t="str">
        <f t="shared" si="22"/>
        <v/>
      </c>
      <c r="I131" s="4" t="str">
        <f t="shared" si="22"/>
        <v/>
      </c>
      <c r="J131" s="4" t="str">
        <f t="shared" si="22"/>
        <v/>
      </c>
      <c r="K131" s="4"/>
      <c r="L131"/>
      <c r="M131"/>
      <c r="N131"/>
      <c r="O131"/>
      <c r="P131"/>
      <c r="Q131"/>
      <c r="R131" s="71"/>
      <c r="S131" s="71"/>
      <c r="T131" s="71"/>
      <c r="U131" s="71"/>
      <c r="V131" s="71"/>
      <c r="W131" s="71"/>
      <c r="X131" s="71"/>
      <c r="Y131" s="71"/>
      <c r="Z131" s="71"/>
      <c r="AA131" s="71"/>
      <c r="AB131" s="71"/>
      <c r="AC131" s="71"/>
      <c r="AD131" s="71"/>
      <c r="AE131" s="71"/>
      <c r="AF131" s="71"/>
      <c r="AG131" s="71"/>
      <c r="AH131" s="71"/>
      <c r="AI131" s="71"/>
    </row>
    <row r="132" spans="1:35" x14ac:dyDescent="0.4">
      <c r="B132" s="5" t="s">
        <v>647</v>
      </c>
      <c r="C132" t="s">
        <v>603</v>
      </c>
      <c r="E132" s="4">
        <f>IF(ISNUMBER(E105),E131/E$27*100,"")</f>
        <v>0.24598854185372063</v>
      </c>
      <c r="F132" s="4">
        <f>IF(ISNUMBER(F105),F131/F$27*100,"")</f>
        <v>0.46483305520822193</v>
      </c>
      <c r="G132" s="4">
        <f t="shared" ref="G132:J132" si="23">IF(ISNUMBER(G105),G131/G$27*100,"")</f>
        <v>1.2522951377441618</v>
      </c>
      <c r="H132" s="4" t="str">
        <f t="shared" si="23"/>
        <v/>
      </c>
      <c r="I132" s="4" t="str">
        <f t="shared" si="23"/>
        <v/>
      </c>
      <c r="J132" s="4" t="str">
        <f t="shared" si="23"/>
        <v/>
      </c>
      <c r="K132" s="4"/>
    </row>
    <row r="133" spans="1:35" x14ac:dyDescent="0.4">
      <c r="B133" s="5" t="str">
        <f>"Growth of defence expenditure since "&amp;'Step 1 - Set global parameters'!B26&amp;""</f>
        <v>Growth of defence expenditure since 2021</v>
      </c>
      <c r="C133" t="s">
        <v>6</v>
      </c>
      <c r="E133" s="4">
        <f>IF(ISNUMBER(E105),E134/100*E$27,"")</f>
        <v>8.3692500000000003E-2</v>
      </c>
      <c r="F133" s="4">
        <f t="shared" ref="F133:G133" si="24">IF(ISNUMBER(F105),F134/100*F$27,"")</f>
        <v>0.2243450000000001</v>
      </c>
      <c r="G133" s="4">
        <f t="shared" si="24"/>
        <v>0.7304127711999997</v>
      </c>
      <c r="H133" s="4"/>
      <c r="I133" s="4"/>
      <c r="J133" s="4"/>
      <c r="K133" s="4"/>
    </row>
    <row r="134" spans="1:35" x14ac:dyDescent="0.4">
      <c r="B134" s="5" t="str">
        <f>"Growth of defence expenditure since "&amp;'Step 1 - Set global parameters'!B26&amp;""</f>
        <v>Growth of defence expenditure since 2021</v>
      </c>
      <c r="C134" t="s">
        <v>603</v>
      </c>
      <c r="E134" s="4">
        <f>IF(ISNUMBER(E105),E130-'Step 1 - Set global parameters'!$B$27,"")</f>
        <v>0.20587396039092498</v>
      </c>
      <c r="F134" s="4">
        <f>IF(ISNUMBER(F105),F130-'Step 1 - Set global parameters'!$B$27,"")</f>
        <v>0.52141485885344308</v>
      </c>
      <c r="G134" s="4">
        <f>IF(ISNUMBER(G105),G130-'Step 1 - Set global parameters'!$B$27,"")</f>
        <v>1.5999999999999996</v>
      </c>
      <c r="H134" s="4" t="str">
        <f>IF(ISNUMBER(H105),H130-'Step 1 - Set global parameters'!$B$27,"")</f>
        <v/>
      </c>
      <c r="I134" s="4" t="str">
        <f>IF(ISNUMBER(I105),I130-'Step 1 - Set global parameters'!$B$27,"")</f>
        <v/>
      </c>
      <c r="J134" s="4" t="str">
        <f>IF(ISNUMBER(J105),J130-'Step 1 - Set global parameters'!$B$27,"")</f>
        <v/>
      </c>
      <c r="K134" s="4"/>
    </row>
    <row r="135" spans="1:35" x14ac:dyDescent="0.4">
      <c r="B135" s="5" t="s">
        <v>650</v>
      </c>
      <c r="C135" s="14" t="s">
        <v>603</v>
      </c>
      <c r="E135" s="117">
        <f t="shared" ref="E135:J135" si="25">IF(ISNUMBER(E105),IF((E128-E134)&gt;0,E128-E134,0),"")</f>
        <v>0</v>
      </c>
      <c r="F135" s="117">
        <f t="shared" si="25"/>
        <v>0</v>
      </c>
      <c r="G135" s="117">
        <f t="shared" si="25"/>
        <v>0</v>
      </c>
      <c r="H135" s="117" t="str">
        <f t="shared" si="25"/>
        <v/>
      </c>
      <c r="I135" s="117" t="str">
        <f t="shared" si="25"/>
        <v/>
      </c>
      <c r="J135" s="117" t="str">
        <f t="shared" si="25"/>
        <v/>
      </c>
      <c r="K135" s="117"/>
    </row>
    <row r="136" spans="1:35" s="44" customFormat="1" x14ac:dyDescent="0.4">
      <c r="B136" s="82" t="s">
        <v>652</v>
      </c>
      <c r="C136" s="44" t="s">
        <v>651</v>
      </c>
      <c r="E136" s="48">
        <f>IF(ISNUMBER(E105),E121,"")</f>
        <v>-0.66191141000000342</v>
      </c>
      <c r="F136" s="48">
        <f t="shared" ref="F136:J136" si="26">IF(ISNUMBER(F105),F121,"")</f>
        <v>-0.18157069000000228</v>
      </c>
      <c r="G136" s="48">
        <f t="shared" si="26"/>
        <v>0.40099205299999402</v>
      </c>
      <c r="H136" s="48" t="str">
        <f t="shared" si="26"/>
        <v/>
      </c>
      <c r="I136" s="48" t="str">
        <f t="shared" si="26"/>
        <v/>
      </c>
      <c r="J136" s="48" t="str">
        <f t="shared" si="26"/>
        <v/>
      </c>
      <c r="K136" s="48"/>
    </row>
    <row r="137" spans="1:35" s="44" customFormat="1" x14ac:dyDescent="0.4">
      <c r="B137" s="90" t="s">
        <v>249</v>
      </c>
      <c r="C137" s="44" t="s">
        <v>651</v>
      </c>
      <c r="D137" s="48"/>
      <c r="E137" s="48">
        <f>IF(ISNUMBER(E105),IF(OR(E136="",ISNA(E136)),"",MAX(E136,0)),"")</f>
        <v>0</v>
      </c>
      <c r="F137" s="48">
        <f t="shared" ref="F137:J137" si="27">IF(ISNUMBER(F105),IF(OR(F136="",ISNA(F136)),"",MAX(F136,0)),"")</f>
        <v>0</v>
      </c>
      <c r="G137" s="48">
        <f t="shared" si="27"/>
        <v>0.40099205299999402</v>
      </c>
      <c r="H137" s="48" t="str">
        <f t="shared" si="27"/>
        <v/>
      </c>
      <c r="I137" s="48" t="str">
        <f t="shared" si="27"/>
        <v/>
      </c>
      <c r="J137" s="48" t="str">
        <f t="shared" si="27"/>
        <v/>
      </c>
      <c r="K137" s="48"/>
    </row>
    <row r="138" spans="1:35" s="44" customFormat="1" x14ac:dyDescent="0.4">
      <c r="B138" s="90" t="s">
        <v>649</v>
      </c>
      <c r="C138" s="44" t="s">
        <v>651</v>
      </c>
      <c r="E138" s="48">
        <f>IF(ISNUMBER(E105),IF((E137-MAX(E133,0))&gt;0,E137-MAX(E133,0),0),"")</f>
        <v>0</v>
      </c>
      <c r="F138" s="48">
        <f t="shared" ref="F138:G138" si="28">IF(ISNUMBER(F105),IF((F137-MAX(F133,0))&gt;0,F137-MAX(F133,0),0),"")</f>
        <v>0</v>
      </c>
      <c r="G138" s="48">
        <f t="shared" si="28"/>
        <v>0</v>
      </c>
      <c r="H138" s="48" t="str">
        <f t="shared" ref="H138:J138" si="29">IF(ISNUMBER(H105),IF((H137-MAX(H131,0))&gt;0,H137-MAX(H131,0),0),"")</f>
        <v/>
      </c>
      <c r="I138" s="48" t="str">
        <f t="shared" si="29"/>
        <v/>
      </c>
      <c r="J138" s="48" t="str">
        <f t="shared" si="29"/>
        <v/>
      </c>
      <c r="K138" s="48"/>
    </row>
    <row r="139" spans="1:35" s="44" customFormat="1" x14ac:dyDescent="0.4">
      <c r="B139" s="90" t="s">
        <v>250</v>
      </c>
      <c r="C139" s="44" t="s">
        <v>651</v>
      </c>
      <c r="D139" s="48"/>
      <c r="E139" s="48">
        <f>IF(ISNUMBER(E105),IF(OR(E136="",ISNA(E136)),"",ABS(MIN(E136,0))),"")</f>
        <v>0.66191141000000342</v>
      </c>
      <c r="F139" s="48">
        <f t="shared" ref="F139:J139" si="30">IF(ISNUMBER(F105),IF(OR(F136="",ISNA(F136)),"",ABS(MIN(F136,0))),"")</f>
        <v>0.18157069000000228</v>
      </c>
      <c r="G139" s="48">
        <f t="shared" si="30"/>
        <v>0</v>
      </c>
      <c r="H139" s="48" t="str">
        <f t="shared" si="30"/>
        <v/>
      </c>
      <c r="I139" s="48" t="str">
        <f t="shared" si="30"/>
        <v/>
      </c>
      <c r="J139" s="48" t="str">
        <f t="shared" si="30"/>
        <v/>
      </c>
      <c r="K139" s="48"/>
    </row>
    <row r="140" spans="1:35" s="44" customFormat="1" x14ac:dyDescent="0.4">
      <c r="B140" s="55" t="s">
        <v>653</v>
      </c>
      <c r="C140" s="44" t="s">
        <v>651</v>
      </c>
      <c r="E140" s="48">
        <f>IF(ISNUMBER(E105),IF(E145=FALSE,E137-E139,IF(E146=TRUE,E138-E139,E139)),"")</f>
        <v>-0.66191141000000342</v>
      </c>
      <c r="F140" s="48">
        <f t="shared" ref="F140:J140" si="31">IF(ISNUMBER(F105),IF(F145=FALSE,F137-F139,IF(F146=TRUE,F138-F139,F139)),"")</f>
        <v>-0.18157069000000228</v>
      </c>
      <c r="G140" s="48">
        <f t="shared" si="31"/>
        <v>0</v>
      </c>
      <c r="H140" s="48" t="str">
        <f t="shared" si="31"/>
        <v/>
      </c>
      <c r="I140" s="48" t="str">
        <f t="shared" si="31"/>
        <v/>
      </c>
      <c r="J140" s="48" t="str">
        <f t="shared" si="31"/>
        <v/>
      </c>
      <c r="K140" s="48"/>
    </row>
    <row r="141" spans="1:35" s="44" customFormat="1" x14ac:dyDescent="0.4">
      <c r="B141" s="55" t="s">
        <v>697</v>
      </c>
      <c r="C141" s="44" t="s">
        <v>651</v>
      </c>
      <c r="E141" s="48">
        <f>IF(ISNUMBER(E105),E140+IF(ISNUMBER(D105),D141,0),"")</f>
        <v>-0.66191141000000342</v>
      </c>
      <c r="F141" s="48">
        <f>IF(ISNUMBER(F105),F140+IF(ISNUMBER(E105),E141,0),"")</f>
        <v>-0.84348210000000567</v>
      </c>
      <c r="G141" s="48">
        <f>IF(ISNUMBER(G105),G140+IF(ISNUMBER(F105),F141,0),"")</f>
        <v>-0.84348210000000567</v>
      </c>
      <c r="H141" s="48" t="str">
        <f t="shared" ref="H141:J141" si="32">IF(ISNUMBER(H105),H140+IF(ISNUMBER(G105),G141,0),"")</f>
        <v/>
      </c>
      <c r="I141" s="48" t="str">
        <f t="shared" si="32"/>
        <v/>
      </c>
      <c r="J141" s="48" t="str">
        <f t="shared" si="32"/>
        <v/>
      </c>
      <c r="K141" s="48"/>
    </row>
    <row r="142" spans="1:35" x14ac:dyDescent="0.4">
      <c r="A142" s="3"/>
      <c r="B142" s="5" t="s">
        <v>653</v>
      </c>
      <c r="C142" t="s">
        <v>603</v>
      </c>
      <c r="D142"/>
      <c r="E142" s="4">
        <f>IF(ISNUMBER(E105),E140/E123*100,"")</f>
        <v>-1.6282262258224094</v>
      </c>
      <c r="F142" s="4">
        <f t="shared" ref="F142:J142" si="33">IF(ISNUMBER(F105),F140/F123*100,"")</f>
        <v>-0.42200029284483015</v>
      </c>
      <c r="G142" s="4">
        <f t="shared" si="33"/>
        <v>0</v>
      </c>
      <c r="H142" s="4" t="str">
        <f t="shared" si="33"/>
        <v/>
      </c>
      <c r="I142" s="4" t="str">
        <f t="shared" si="33"/>
        <v/>
      </c>
      <c r="J142" s="4" t="str">
        <f t="shared" si="33"/>
        <v/>
      </c>
      <c r="K142" s="4"/>
      <c r="L142"/>
      <c r="M142"/>
      <c r="N142"/>
      <c r="O142"/>
      <c r="P142"/>
      <c r="Q142"/>
      <c r="R142" s="71"/>
      <c r="S142" s="71"/>
      <c r="T142" s="71"/>
      <c r="U142" s="71"/>
      <c r="V142" s="71"/>
      <c r="W142" s="71"/>
      <c r="X142" s="71"/>
      <c r="Y142" s="71"/>
      <c r="Z142" s="71"/>
      <c r="AA142" s="71"/>
      <c r="AB142" s="71"/>
      <c r="AC142" s="71"/>
      <c r="AD142" s="71"/>
      <c r="AE142" s="71"/>
      <c r="AF142" s="71"/>
      <c r="AG142" s="71"/>
      <c r="AH142" s="71"/>
      <c r="AI142" s="71"/>
    </row>
    <row r="143" spans="1:35" x14ac:dyDescent="0.4">
      <c r="A143" s="3"/>
      <c r="B143" s="5" t="s">
        <v>936</v>
      </c>
      <c r="C143" t="s">
        <v>603</v>
      </c>
      <c r="D143"/>
      <c r="E143" s="4">
        <f>IF(ISNUMBER(E105),E141/E$123*100,"")</f>
        <v>-1.6282262258224094</v>
      </c>
      <c r="F143" s="4">
        <f t="shared" ref="F143:J143" si="34">IF(ISNUMBER(F105),F141/F$123*100,"")</f>
        <v>-1.9603918077822482</v>
      </c>
      <c r="G143" s="4">
        <f t="shared" si="34"/>
        <v>-1.8476831364582929</v>
      </c>
      <c r="H143" s="4" t="str">
        <f t="shared" si="34"/>
        <v/>
      </c>
      <c r="I143" s="4" t="str">
        <f t="shared" si="34"/>
        <v/>
      </c>
      <c r="J143" s="4" t="str">
        <f t="shared" si="34"/>
        <v/>
      </c>
      <c r="K143" s="4"/>
      <c r="L143"/>
      <c r="M143"/>
      <c r="N143"/>
      <c r="O143"/>
      <c r="P143"/>
      <c r="Q143"/>
      <c r="R143" s="71"/>
      <c r="S143" s="71"/>
      <c r="T143" s="71"/>
      <c r="U143" s="71"/>
      <c r="V143" s="71"/>
      <c r="W143" s="71"/>
      <c r="X143" s="71"/>
      <c r="Y143" s="71"/>
      <c r="Z143" s="71"/>
      <c r="AA143" s="71"/>
      <c r="AB143" s="71"/>
      <c r="AC143" s="71"/>
      <c r="AD143" s="71"/>
      <c r="AE143" s="71"/>
      <c r="AF143" s="71"/>
      <c r="AG143" s="71"/>
      <c r="AH143" s="71"/>
      <c r="AI143" s="71"/>
    </row>
    <row r="144" spans="1:35" x14ac:dyDescent="0.4">
      <c r="A144" s="3"/>
      <c r="B144" s="5" t="s">
        <v>937</v>
      </c>
      <c r="C144"/>
      <c r="D144"/>
      <c r="E144" s="4">
        <f>IF(ISNUMBER(E105),E126-E134,"")</f>
        <v>-1.8341001862133344</v>
      </c>
      <c r="F144" s="4">
        <f t="shared" ref="F144:J144" si="35">IF(ISNUMBER(F105),F126-F134,"")</f>
        <v>-2.4818066666356913</v>
      </c>
      <c r="G144" s="4">
        <f t="shared" si="35"/>
        <v>-2.5692931218013437</v>
      </c>
      <c r="H144" s="4" t="str">
        <f t="shared" si="35"/>
        <v/>
      </c>
      <c r="I144" s="4" t="str">
        <f t="shared" si="35"/>
        <v/>
      </c>
      <c r="J144" s="4" t="str">
        <f t="shared" si="35"/>
        <v/>
      </c>
      <c r="K144" s="4"/>
      <c r="L144"/>
      <c r="M144"/>
      <c r="N144"/>
      <c r="O144"/>
      <c r="P144"/>
      <c r="Q144"/>
      <c r="R144" s="71"/>
      <c r="S144" s="71"/>
      <c r="T144" s="71"/>
      <c r="U144" s="71"/>
      <c r="V144" s="71"/>
      <c r="W144" s="71"/>
      <c r="X144" s="71"/>
      <c r="Y144" s="71"/>
      <c r="Z144" s="71"/>
      <c r="AA144" s="71"/>
      <c r="AB144" s="71"/>
      <c r="AC144" s="71"/>
      <c r="AD144" s="71"/>
      <c r="AE144" s="71"/>
      <c r="AF144" s="71"/>
      <c r="AG144" s="71"/>
      <c r="AH144" s="71"/>
      <c r="AI144" s="71"/>
    </row>
    <row r="145" spans="1:35" x14ac:dyDescent="0.4">
      <c r="B145" s="55" t="str">
        <f>'Step 1 - Set global parameters'!A21</f>
        <v>Years for which an escape clause has been activated</v>
      </c>
      <c r="C145" s="44"/>
      <c r="D145" s="148"/>
      <c r="E145" s="148" t="b">
        <f>'Step 1 - Set global parameters'!B21</f>
        <v>0</v>
      </c>
      <c r="F145" s="148" t="b">
        <f>'Step 1 - Set global parameters'!C21</f>
        <v>1</v>
      </c>
      <c r="G145" s="148" t="b">
        <f>'Step 1 - Set global parameters'!D21</f>
        <v>1</v>
      </c>
      <c r="H145" s="148" t="b">
        <f>'Step 1 - Set global parameters'!E21</f>
        <v>1</v>
      </c>
      <c r="I145" s="148" t="b">
        <f>'Step 1 - Set global parameters'!F21</f>
        <v>1</v>
      </c>
      <c r="J145" s="148" t="b">
        <f>'Step 1 - Set global parameters'!G21</f>
        <v>0</v>
      </c>
      <c r="K145" s="148"/>
      <c r="L145" s="95"/>
      <c r="M145" s="95"/>
      <c r="N145" s="95"/>
      <c r="O145" s="95"/>
      <c r="P145" s="95"/>
      <c r="Q145" s="95"/>
      <c r="R145" s="58"/>
      <c r="S145" s="58"/>
    </row>
    <row r="146" spans="1:35" x14ac:dyDescent="0.4">
      <c r="B146" s="55" t="s">
        <v>638</v>
      </c>
      <c r="C146" s="44"/>
      <c r="D146" s="95"/>
      <c r="E146" s="148" t="e">
        <f>IF('Step 1 - Set global parameters'!B21,IF('Step 1 - Set global parameters'!B23="Defence", TRUE, FALSE),NA())</f>
        <v>#N/A</v>
      </c>
      <c r="F146" s="148" t="b">
        <f>IF('Step 1 - Set global parameters'!C21,IF('Step 1 - Set global parameters'!C23="Defence", TRUE, FALSE),NA())</f>
        <v>1</v>
      </c>
      <c r="G146" s="148" t="b">
        <f>IF('Step 1 - Set global parameters'!D21,IF('Step 1 - Set global parameters'!D23="Defence", TRUE, FALSE),NA())</f>
        <v>1</v>
      </c>
      <c r="H146" s="148" t="b">
        <f>IF('Step 1 - Set global parameters'!E21,IF('Step 1 - Set global parameters'!E23="Defence", TRUE, FALSE),NA())</f>
        <v>1</v>
      </c>
      <c r="I146" s="148" t="b">
        <f>IF('Step 1 - Set global parameters'!F21,IF('Step 1 - Set global parameters'!F23="Defence", TRUE, FALSE),NA())</f>
        <v>1</v>
      </c>
      <c r="J146" s="148" t="e">
        <f>IF('Step 1 - Set global parameters'!G21,IF('Step 1 - Set global parameters'!G23="Defence", TRUE, FALSE),NA())</f>
        <v>#N/A</v>
      </c>
      <c r="K146" s="148"/>
      <c r="L146" s="148"/>
      <c r="M146" s="148"/>
      <c r="N146" s="95"/>
      <c r="O146" s="95"/>
      <c r="P146" s="95"/>
      <c r="Q146" s="95"/>
      <c r="R146" s="58"/>
      <c r="S146" s="58"/>
    </row>
    <row r="147" spans="1:35" x14ac:dyDescent="0.4">
      <c r="B147" s="55" t="s">
        <v>934</v>
      </c>
      <c r="C147" s="44" t="s">
        <v>603</v>
      </c>
      <c r="D147" s="95"/>
      <c r="E147" s="148" t="e">
        <f>IF('Step 1 - Set global parameters'!B21,'Step 1 - Set global parameters'!B24,NA())</f>
        <v>#N/A</v>
      </c>
      <c r="F147" s="148">
        <f>IF('Step 1 - Set global parameters'!C21,'Step 1 - Set global parameters'!C24,NA())</f>
        <v>1.5</v>
      </c>
      <c r="G147" s="148">
        <f>IF('Step 1 - Set global parameters'!D21,'Step 1 - Set global parameters'!D24,NA())</f>
        <v>1.5</v>
      </c>
      <c r="H147" s="148">
        <f>IF('Step 1 - Set global parameters'!E21,'Step 1 - Set global parameters'!E24,NA())</f>
        <v>1.5</v>
      </c>
      <c r="I147" s="148">
        <f>IF('Step 1 - Set global parameters'!F21,'Step 1 - Set global parameters'!F24,NA())</f>
        <v>1.5</v>
      </c>
      <c r="J147" s="148" t="e">
        <f>IF('Step 1 - Set global parameters'!G21,'Step 1 - Set global parameters'!G24,NA())</f>
        <v>#N/A</v>
      </c>
      <c r="K147" s="148"/>
      <c r="L147" s="148"/>
      <c r="M147" s="148"/>
      <c r="N147" s="95"/>
      <c r="O147" s="95"/>
      <c r="P147" s="95"/>
      <c r="Q147" s="95"/>
      <c r="R147" s="58"/>
      <c r="S147" s="58"/>
    </row>
    <row r="148" spans="1:35" x14ac:dyDescent="0.4">
      <c r="B148" t="s">
        <v>471</v>
      </c>
      <c r="C148" s="37"/>
      <c r="D148" s="76"/>
      <c r="E148" s="76"/>
      <c r="F148" s="76" t="b">
        <f>F142 &gt; 0.3</f>
        <v>0</v>
      </c>
      <c r="G148" s="76" t="b">
        <f>G142 &gt; 0.3</f>
        <v>0</v>
      </c>
      <c r="H148" s="76" t="b">
        <f>H142 &gt; 0.3</f>
        <v>1</v>
      </c>
      <c r="I148" s="76" t="b">
        <f>I142 &gt; 0.3</f>
        <v>1</v>
      </c>
      <c r="J148" s="76" t="b">
        <f>J142 &gt; 0.3</f>
        <v>1</v>
      </c>
      <c r="K148" s="76"/>
      <c r="L148" s="76"/>
      <c r="M148" s="37"/>
      <c r="N148" s="37"/>
      <c r="O148" s="71"/>
      <c r="P148" s="71"/>
      <c r="Q148" s="71"/>
      <c r="R148" s="71"/>
      <c r="S148" s="71"/>
      <c r="T148" s="71"/>
      <c r="U148" s="71"/>
      <c r="V148" s="71"/>
      <c r="W148" s="71"/>
      <c r="X148" s="71"/>
      <c r="Y148" s="71"/>
      <c r="Z148" s="71"/>
      <c r="AA148" s="71"/>
      <c r="AB148" s="71"/>
      <c r="AC148" s="71"/>
      <c r="AD148" s="71"/>
      <c r="AE148" s="71"/>
      <c r="AF148" s="71"/>
      <c r="AG148" s="71"/>
      <c r="AH148" s="71"/>
      <c r="AI148" s="71"/>
    </row>
    <row r="149" spans="1:35" x14ac:dyDescent="0.4">
      <c r="B149" s="7" t="s">
        <v>472</v>
      </c>
      <c r="C149" s="93"/>
      <c r="D149" s="120"/>
      <c r="E149" s="119"/>
      <c r="F149" s="119" t="b">
        <f>IF(F143 &gt; 0.6, TRUE, FALSE)</f>
        <v>0</v>
      </c>
      <c r="G149" s="119" t="b">
        <f>IF(G143 &gt; 0.6, TRUE, FALSE)</f>
        <v>0</v>
      </c>
      <c r="H149" s="119" t="b">
        <f>IF(H143 &gt; 0.6, TRUE, FALSE)</f>
        <v>1</v>
      </c>
      <c r="I149" s="119" t="b">
        <f>IF(I143 &gt; 0.6, TRUE, FALSE)</f>
        <v>1</v>
      </c>
      <c r="J149" s="119" t="b">
        <f>IF(J143 &gt; 0.6, TRUE, FALSE)</f>
        <v>1</v>
      </c>
      <c r="K149" s="119"/>
      <c r="L149" s="119"/>
      <c r="M149" s="37"/>
      <c r="N149" s="37"/>
      <c r="O149" s="71"/>
      <c r="P149" s="71"/>
      <c r="Q149" s="71"/>
      <c r="R149" s="71"/>
      <c r="S149" s="71"/>
      <c r="T149" s="71"/>
      <c r="U149" s="71"/>
      <c r="V149" s="71"/>
      <c r="W149" s="71"/>
      <c r="X149" s="71"/>
      <c r="Y149" s="71"/>
      <c r="Z149" s="71"/>
      <c r="AA149" s="71"/>
      <c r="AB149" s="71"/>
      <c r="AC149" s="71"/>
      <c r="AD149" s="71"/>
      <c r="AE149" s="71"/>
      <c r="AF149" s="71"/>
      <c r="AG149" s="71"/>
      <c r="AH149" s="71"/>
      <c r="AI149" s="71"/>
    </row>
    <row r="150" spans="1:35" x14ac:dyDescent="0.4">
      <c r="A150" s="3"/>
      <c r="B150" s="5"/>
      <c r="D150"/>
      <c r="E150" s="4"/>
      <c r="F150" s="4"/>
      <c r="G150" s="4"/>
      <c r="H150" s="4"/>
      <c r="I150" s="4"/>
      <c r="J150"/>
      <c r="K150"/>
      <c r="L150"/>
      <c r="M150"/>
      <c r="N150"/>
      <c r="O150"/>
      <c r="P150"/>
      <c r="Q150"/>
      <c r="R150" s="71"/>
      <c r="S150" s="71"/>
      <c r="T150" s="71"/>
      <c r="U150" s="71"/>
      <c r="V150" s="71"/>
      <c r="W150" s="71"/>
      <c r="X150" s="71"/>
      <c r="Y150" s="71"/>
      <c r="Z150" s="71"/>
      <c r="AA150" s="71"/>
      <c r="AB150" s="71"/>
      <c r="AC150" s="71"/>
      <c r="AD150" s="71"/>
      <c r="AE150" s="71"/>
      <c r="AF150" s="71"/>
      <c r="AG150" s="71"/>
      <c r="AH150" s="71"/>
      <c r="AI150" s="71"/>
    </row>
    <row r="151" spans="1:35" x14ac:dyDescent="0.4">
      <c r="B151" s="46" t="s">
        <v>654</v>
      </c>
      <c r="C151" s="46" t="b">
        <f>MAX(INDEX(142:142,_xlfn.XMATCH(MTP_YearT,105:105,0)):INDEX(142:142,_xlfn.XMATCH(AssessmentEnd,105:105,0)))&gt;0.3</f>
        <v>0</v>
      </c>
      <c r="D151" s="58"/>
      <c r="E151" s="58"/>
      <c r="F151" s="58"/>
      <c r="G151" s="58"/>
      <c r="H151" s="58"/>
      <c r="I151" s="58"/>
      <c r="J151" s="58"/>
      <c r="K151" s="58"/>
      <c r="L151" s="58"/>
      <c r="M151" s="58"/>
      <c r="N151" s="58"/>
      <c r="O151" s="58"/>
      <c r="P151" s="58"/>
      <c r="Q151" s="58"/>
      <c r="R151" s="58"/>
      <c r="S151" s="58"/>
      <c r="T151" s="58"/>
    </row>
    <row r="152" spans="1:35" x14ac:dyDescent="0.4">
      <c r="B152" s="46" t="s">
        <v>661</v>
      </c>
      <c r="C152" s="46" t="b">
        <f>MAX(INDEX(143:143,_xlfn.XMATCH(MTP_YearT,105:105,0)):INDEX(143:143,_xlfn.XMATCH(AssessmentEnd,105:105,0)))&gt;0.6</f>
        <v>0</v>
      </c>
      <c r="D152" s="58"/>
      <c r="E152" s="58"/>
      <c r="F152" s="58"/>
      <c r="G152" s="58"/>
      <c r="H152" s="58"/>
      <c r="I152" s="58"/>
      <c r="J152" s="58"/>
      <c r="K152" s="58"/>
      <c r="L152" s="58"/>
      <c r="M152" s="58"/>
      <c r="N152" s="58"/>
      <c r="O152" s="58"/>
      <c r="P152" s="58"/>
      <c r="Q152" s="58"/>
      <c r="R152" s="58"/>
      <c r="S152" s="58"/>
      <c r="T152" s="58"/>
    </row>
    <row r="153" spans="1:35" x14ac:dyDescent="0.4">
      <c r="B153" s="46" t="s">
        <v>655</v>
      </c>
      <c r="C153" s="46" t="b">
        <f>MAX(INDEX(142:142,_xlfn.XMATCH(MTP_YearT,105:105,0)):INDEX(142:142,_xlfn.XMATCH(OutturnThrough,105:105,0)))&gt;0.3</f>
        <v>0</v>
      </c>
      <c r="D153" s="58"/>
      <c r="E153" s="58"/>
      <c r="F153" s="58"/>
      <c r="G153" s="58"/>
      <c r="H153" s="58"/>
      <c r="I153" s="58"/>
      <c r="J153" s="58"/>
      <c r="K153" s="58"/>
      <c r="L153" s="58"/>
      <c r="M153" s="58"/>
      <c r="N153" s="58"/>
      <c r="O153" s="58"/>
      <c r="P153" s="58"/>
      <c r="Q153" s="58"/>
      <c r="R153" s="58"/>
      <c r="S153" s="58"/>
      <c r="T153" s="58"/>
    </row>
    <row r="154" spans="1:35" x14ac:dyDescent="0.4">
      <c r="B154" s="46" t="s">
        <v>662</v>
      </c>
      <c r="C154" s="46" t="b">
        <f>MAX(INDEX(143:143,_xlfn.XMATCH(MTP_YearT,105:105,0)):INDEX(143:143,_xlfn.XMATCH(OutturnThrough,105:105,0)))&gt;0.6</f>
        <v>0</v>
      </c>
      <c r="D154" s="58"/>
      <c r="E154" s="58"/>
      <c r="F154" s="58"/>
      <c r="G154" s="58"/>
      <c r="H154" s="58"/>
      <c r="I154" s="58"/>
      <c r="J154" s="58"/>
      <c r="K154" s="58"/>
      <c r="L154" s="58"/>
      <c r="M154" s="58"/>
      <c r="N154" s="58"/>
      <c r="O154" s="58"/>
      <c r="P154" s="58"/>
      <c r="Q154" s="58"/>
      <c r="R154" s="58"/>
      <c r="S154" s="58"/>
      <c r="T154" s="58"/>
    </row>
    <row r="155" spans="1:35" x14ac:dyDescent="0.4">
      <c r="B155" s="46" t="s">
        <v>657</v>
      </c>
      <c r="C155" s="46" t="b" cm="1">
        <f t="array" ref="C155">IF(SUMPRODUCT((INDEX(145:145,_xlfn.XMATCH(MTP_YearT,105:105,0)+_xlfn.SEQUENCE(1,AssessmentEnd-MTP_YearT+1)-1)=TRUE)*1)=0,NA(),ISNUMBER(MATCH(TRUE,IF(INDEX(145:145,_xlfn.XMATCH(MTP_YearT,105:105,0)+_xlfn.SEQUENCE(1,AssessmentEnd-MTP_YearT+1)-1)=TRUE,INDEX(143:143,_xlfn.XMATCH(MTP_YearT,105:105,0)+_xlfn.SEQUENCE(1,AssessmentEnd-MTP_YearT+1)-1)&gt;INDEX(147:147,_xlfn.XMATCH(MTP_YearT,105:105,0)+_xlfn.SEQUENCE(1,AssessmentEnd-MTP_YearT+1)-1),FALSE),0)))</f>
        <v>0</v>
      </c>
      <c r="D155" s="58"/>
      <c r="E155" s="58"/>
      <c r="F155" s="58"/>
      <c r="G155" s="58"/>
      <c r="H155" s="58"/>
      <c r="I155" s="58"/>
      <c r="J155" s="58"/>
      <c r="K155" s="58"/>
      <c r="L155" s="58"/>
      <c r="M155" s="58"/>
      <c r="N155" s="58"/>
      <c r="O155" s="58"/>
      <c r="P155" s="58"/>
      <c r="Q155" s="58"/>
      <c r="R155" s="58"/>
      <c r="S155" s="58"/>
      <c r="T155" s="58"/>
    </row>
    <row r="156" spans="1:35" x14ac:dyDescent="0.4">
      <c r="B156" s="46" t="s">
        <v>658</v>
      </c>
      <c r="C156" s="46" t="b" cm="1">
        <f t="array" ref="C156">IF(SUMPRODUCT((INDEX(145:145,_xlfn.XMATCH(MTP_YearT,105:105,0)+_xlfn.SEQUENCE(1,OutturnThrough-MTP_YearT+1)-1)=TRUE)*1)=0,NA(),ISNUMBER(MATCH(TRUE,IF(INDEX(145:145,_xlfn.XMATCH(MTP_YearT,105:105,0)+_xlfn.SEQUENCE(1,OutturnThrough-MTP_YearT+1)-1)=TRUE,INDEX(125:125,_xlfn.XMATCH(MTP_YearT,105:105,0)+_xlfn.SEQUENCE(1,OutturnThrough-MTP_YearT+1)-1)&gt;INDEX(147:147,_xlfn.XMATCH(MTP_YearT,105:105,0)+_xlfn.SEQUENCE(1,OutturnThrough-MTP_YearT+1)-1),FALSE),0)))</f>
        <v>0</v>
      </c>
      <c r="D156" s="58"/>
      <c r="E156" s="58"/>
      <c r="F156" s="58"/>
      <c r="G156" s="58"/>
      <c r="H156" s="58"/>
      <c r="I156" s="58"/>
      <c r="J156" s="58"/>
      <c r="K156" s="58"/>
      <c r="L156" s="58"/>
      <c r="M156" s="58"/>
      <c r="N156" s="58"/>
      <c r="O156" s="58"/>
      <c r="P156" s="58"/>
      <c r="Q156" s="58"/>
      <c r="R156" s="58"/>
      <c r="S156" s="58"/>
      <c r="T156" s="58"/>
    </row>
    <row r="157" spans="1:35" x14ac:dyDescent="0.4">
      <c r="B157" s="46" t="s">
        <v>694</v>
      </c>
      <c r="C157" s="46" t="b" cm="1">
        <f t="array" ref="C157">IF(SUMPRODUCT(((INDEX(142:142,_xlfn.XMATCH(MTP_YearT,105:105,0)+_xlfn.SEQUENCE(1,AssessmentEnd-MTP_YearT+1)-1)&gt;0.3)+(INDEX(143:143,_xlfn.XMATCH(MTP_YearT,105:105,0)+_xlfn.SEQUENCE(1,AssessmentEnd-MTP_YearT+1)-1)&gt;0.6))*1)=0,FALSE,SUMPRODUCT(((INDEX(142:142,_xlfn.XMATCH(MTP_YearT,105:105,0)+_xlfn.SEQUENCE(1,AssessmentEnd-MTP_YearT+1)-1)&gt;0.3)+(INDEX(143:143,_xlfn.XMATCH(MTP_YearT,105:105,0)+_xlfn.SEQUENCE(1,AssessmentEnd-MTP_YearT+1)-1)&gt;0.6))*(INDEX(145:145,_xlfn.XMATCH(MTP_YearT,105:105,0)+_xlfn.SEQUENCE(1,AssessmentEnd-MTP_YearT+1)-1)=TRUE)*1)=SUMPRODUCT(((INDEX(142:142,_xlfn.XMATCH(MTP_YearT,105:105,0)+_xlfn.SEQUENCE(1,AssessmentEnd-MTP_YearT+1)-1)&gt;0.3)+(INDEX(143:143,_xlfn.XMATCH(MTP_YearT,105:105,0)+_xlfn.SEQUENCE(1,AssessmentEnd-MTP_YearT+1)-1)&gt;0.6))*1))</f>
        <v>0</v>
      </c>
      <c r="D157" s="58"/>
      <c r="E157" s="58"/>
      <c r="F157" s="58"/>
      <c r="G157" s="58"/>
      <c r="H157" s="58"/>
      <c r="I157" s="58"/>
      <c r="J157" s="58"/>
      <c r="K157" s="58"/>
      <c r="L157" s="58"/>
      <c r="M157" s="58"/>
      <c r="N157" s="58"/>
      <c r="O157" s="58"/>
      <c r="P157" s="58"/>
      <c r="Q157" s="58"/>
      <c r="R157" s="58"/>
      <c r="S157" s="58"/>
      <c r="T157" s="58"/>
    </row>
    <row r="158" spans="1:35" x14ac:dyDescent="0.4">
      <c r="B158" s="46" t="s">
        <v>695</v>
      </c>
      <c r="C158" s="46" t="b" cm="1">
        <f t="array" ref="C158">IF(SUMPRODUCT(((INDEX(142:142,_xlfn.XMATCH(MTP_YearT,105:105,0)+_xlfn.SEQUENCE(1,AssessmentEnd-MTP_YearT+1)-1)&gt;0.3)+(INDEX(143:143,_xlfn.XMATCH(MTP_YearT,105:105,0)+_xlfn.SEQUENCE(1,AssessmentEnd-MTP_YearT+1)-1)&gt;0.6))*(IFERROR(INDEX(146:146,_xlfn.XMATCH(MTP_YearT,105:105,0)+_xlfn.SEQUENCE(1,AssessmentEnd-MTP_YearT+1)-1)=TRUE,FALSE))*1)&gt;0,TRUE,FALSE)</f>
        <v>0</v>
      </c>
      <c r="D158" s="58"/>
      <c r="E158" s="58"/>
      <c r="F158" s="58"/>
      <c r="G158" s="58"/>
      <c r="H158" s="58"/>
      <c r="I158" s="58"/>
      <c r="J158" s="58"/>
      <c r="K158" s="58"/>
      <c r="L158" s="58"/>
      <c r="M158" s="58"/>
      <c r="N158" s="58"/>
      <c r="O158" s="58"/>
      <c r="P158" s="58"/>
      <c r="Q158" s="58"/>
      <c r="R158" s="58"/>
      <c r="S158" s="58"/>
      <c r="T158" s="58"/>
    </row>
    <row r="159" spans="1:35" x14ac:dyDescent="0.4">
      <c r="B159" s="46" t="s">
        <v>961</v>
      </c>
      <c r="C159" s="46" t="str">
        <f>IF(
  AssessmentRound="New or revised MTP",
  "N/A",
  IF(
    OR(IF(ISNA(Assessment!C155),FALSE,Assessment!C155),
       IF(ISNA(Assessment!C156),FALSE,Assessment!C156)),
    "Breach",
    IF(
      AND(OR(Assessment!C153,Assessment!C154),
          NOT(Assessment!C157)),
      "Breach",
      IF(
        AND(OR(Assessment!C151,Assessment!C152),
            NOT(Assessment!C157)),
        "At risk",
        "Compliant"
      )
    )
  )
)</f>
        <v>Compliant</v>
      </c>
      <c r="D159" s="58"/>
      <c r="E159" s="58"/>
      <c r="F159" s="58"/>
      <c r="G159" s="58"/>
      <c r="H159" s="58"/>
      <c r="I159" s="58"/>
      <c r="J159" s="58"/>
      <c r="K159" s="58"/>
      <c r="L159" s="58"/>
      <c r="M159" s="58"/>
      <c r="N159" s="58"/>
      <c r="O159" s="58"/>
      <c r="P159" s="58"/>
      <c r="Q159" s="58"/>
      <c r="R159" s="58"/>
      <c r="S159" s="58"/>
      <c r="T159" s="58"/>
    </row>
    <row r="160" spans="1:35" x14ac:dyDescent="0.4">
      <c r="B160" s="46"/>
      <c r="C160" s="44"/>
      <c r="D160" s="58"/>
      <c r="E160" s="58"/>
      <c r="F160" s="58"/>
      <c r="G160" s="58"/>
      <c r="H160" s="58"/>
      <c r="I160" s="58"/>
      <c r="J160" s="58"/>
      <c r="K160" s="58"/>
      <c r="L160" s="58"/>
      <c r="M160" s="58"/>
      <c r="N160" s="58"/>
      <c r="O160" s="58"/>
      <c r="P160" s="58"/>
      <c r="Q160" s="58"/>
      <c r="R160" s="58"/>
      <c r="S160" s="58"/>
      <c r="T160" s="58"/>
    </row>
    <row r="161" spans="2:35" x14ac:dyDescent="0.4">
      <c r="B161" s="14" t="s">
        <v>266</v>
      </c>
      <c r="C161" s="102" t="str">
        <f>_xlfn.LET(
  _xlpm.bal, INDEX(143:143, MATCH(AssessmentEnd,105:105,0)),
  _xlpm.balText,
    IF(_xlpm.bal&gt;0,
       "a debit (overspend) of " &amp; TEXT(_xlpm.bal,"0.0"),
       IF(_xlpm.bal&lt;0,
          "a credit (underspend) of " &amp; TEXT(-_xlpm.bal,"0.0"),
          "zero"
       )
    ),
  _xlpm.annOut, C153,
  _xlpm.cumOut, C154,
  _xlpm.threshOut, IF(ISNA(C156), FALSE, C156),
  _xlpm.threshPlan, IF(ISNA(C155), FALSE, AND(C155, NOT(_xlpm.threshOut))),
  _xlpm.escClause, C157,
  _xlpm.defenceClause, C158,
  _xlpm.annPlan, AND(C151, NOT(C153)),
  _xlpm.cumPlan, AND(C152, NOT(C154)),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annual caps apply; observed and planned deviations exceed this cap.",
                IF(_xlpm.threshOut,
                   " An escape clause is active in " &amp; _xlpm.escYears &amp; ". As this is a defence-related escape clause, annual caps apply; observed deviations do not exceed this cap.",
                   IF(_xlpm.threshPlan,
                      " An escape clause is active in " &amp; _xlpm.escYears &amp; ". As this is a defence-related escape clause, annual caps apply; planned deviations exceed these caps.",
                      " An escape clause is active in " &amp; _xlpm.escYears &amp; ". As this is a defence-related escape clause, annual caps apply; deviations do not exceed these caps."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Latvia's cumulative control account is a credit (underspend) of 1.8 percentage points of GDP. Observed annual and cumulative deviations do not exceed the respective 0.3 and 0.6 percentage points of GDP limits.</v>
      </c>
      <c r="D161" s="38"/>
      <c r="E161" s="17"/>
      <c r="J161" s="71"/>
      <c r="K161" s="71"/>
      <c r="L161" s="71"/>
      <c r="M161" s="71"/>
      <c r="N161" s="71"/>
      <c r="O161" s="71"/>
      <c r="P161" s="71"/>
      <c r="Q161" s="71"/>
      <c r="R161" s="71"/>
      <c r="S161" s="71"/>
      <c r="T161" s="71"/>
      <c r="U161" s="71"/>
      <c r="V161" s="71"/>
      <c r="W161" s="71"/>
      <c r="X161" s="71"/>
      <c r="Y161" s="71"/>
      <c r="Z161" s="71"/>
      <c r="AA161" s="71"/>
      <c r="AB161" s="71"/>
      <c r="AC161" s="71"/>
      <c r="AD161" s="71"/>
      <c r="AE161" s="71"/>
      <c r="AF161" s="71"/>
      <c r="AG161" s="71"/>
      <c r="AH161" s="71"/>
      <c r="AI161" s="71"/>
    </row>
    <row r="162" spans="2:35" x14ac:dyDescent="0.4">
      <c r="C162" s="102"/>
      <c r="D162" s="38"/>
      <c r="E162" s="17"/>
      <c r="J162" s="71"/>
      <c r="K162" s="71"/>
      <c r="L162" s="71"/>
      <c r="M162" s="71"/>
      <c r="N162" s="71"/>
      <c r="O162" s="71"/>
      <c r="P162" s="71"/>
      <c r="Q162" s="71"/>
      <c r="R162" s="71"/>
      <c r="S162" s="71"/>
      <c r="T162" s="71"/>
      <c r="U162" s="71"/>
      <c r="V162" s="71"/>
      <c r="W162" s="71"/>
      <c r="X162" s="71"/>
      <c r="Y162" s="71"/>
      <c r="Z162" s="71"/>
      <c r="AA162" s="71"/>
      <c r="AB162" s="71"/>
      <c r="AC162" s="71"/>
      <c r="AD162" s="71"/>
      <c r="AE162" s="71"/>
      <c r="AF162" s="71"/>
      <c r="AG162" s="71"/>
      <c r="AH162" s="71"/>
      <c r="AI162" s="71"/>
    </row>
    <row r="163" spans="2:35" ht="18" x14ac:dyDescent="0.55000000000000004">
      <c r="B163" s="50" t="s">
        <v>474</v>
      </c>
      <c r="D163" s="17"/>
      <c r="J163" s="71"/>
      <c r="K163" s="71"/>
      <c r="L163" s="71" t="s">
        <v>256</v>
      </c>
      <c r="M163" s="71"/>
      <c r="N163" s="71"/>
      <c r="O163" s="71"/>
      <c r="P163" s="71"/>
      <c r="Q163" s="71"/>
      <c r="R163" s="71"/>
      <c r="S163" s="71"/>
      <c r="T163" s="71"/>
      <c r="U163" s="71"/>
      <c r="V163" s="71"/>
      <c r="W163" s="71"/>
      <c r="X163" s="71"/>
      <c r="Y163" s="71"/>
      <c r="Z163" s="71"/>
      <c r="AA163" s="71"/>
      <c r="AB163" s="71"/>
      <c r="AC163" s="71"/>
      <c r="AD163" s="71"/>
      <c r="AE163" s="71"/>
      <c r="AF163" s="71"/>
      <c r="AG163" s="71"/>
      <c r="AH163" s="71"/>
      <c r="AI163" s="71"/>
    </row>
    <row r="164" spans="2:35" x14ac:dyDescent="0.4">
      <c r="B164" t="s">
        <v>381</v>
      </c>
      <c r="C164" s="15" t="b">
        <f>MAX(INDEX(20:20,1,COLUMN($D$4)):INDEX(20:20,1,COLUMN($D$4)+COLUMNS(_xlfn.ANCHORARRAY($D$4))-1))&gt;90</f>
        <v>0</v>
      </c>
      <c r="J164" s="71"/>
      <c r="K164" s="71"/>
      <c r="L164" s="71"/>
      <c r="M164" s="71"/>
      <c r="N164" s="71"/>
      <c r="O164" s="71"/>
      <c r="P164" s="71"/>
      <c r="Q164" s="71"/>
      <c r="R164" s="71"/>
      <c r="S164" s="71"/>
      <c r="T164" s="71"/>
      <c r="U164" s="71"/>
      <c r="V164" s="71"/>
      <c r="W164" s="71"/>
      <c r="X164" s="71"/>
      <c r="Y164" s="71"/>
      <c r="Z164" s="71"/>
      <c r="AA164" s="71"/>
      <c r="AB164" s="71"/>
      <c r="AC164" s="71"/>
      <c r="AD164" s="71"/>
      <c r="AE164" s="71"/>
      <c r="AF164" s="71"/>
      <c r="AG164" s="71"/>
      <c r="AH164" s="71"/>
      <c r="AI164" s="71"/>
    </row>
    <row r="165" spans="2:35" x14ac:dyDescent="0.4">
      <c r="B165" t="s">
        <v>382</v>
      </c>
      <c r="C165" s="121" t="b" cm="1">
        <f t="array" ref="C165">SUMPRODUCT(
  --(INDEX(20:20,1,COLUMN($D$4)):INDEX(20:20,1,COLUMN($D$4)+COLUMNS(_xlfn.ANCHORARRAY($D$4))-1)&gt;=60),
  --(INDEX(20:20,1,COLUMN($D$4)):INDEX(20:20,1,COLUMN($D$4)+COLUMNS(_xlfn.ANCHORARRAY($D$4))-1)&lt;=90)
)&gt;0</f>
        <v>0</v>
      </c>
      <c r="J165" s="71"/>
      <c r="K165" s="71"/>
      <c r="L165" s="71"/>
      <c r="M165" s="71"/>
      <c r="N165" s="71"/>
      <c r="O165" s="71"/>
      <c r="P165" s="71"/>
      <c r="Q165" s="71"/>
      <c r="R165" s="71"/>
      <c r="S165" s="71"/>
      <c r="T165" s="71"/>
      <c r="U165" s="71"/>
      <c r="V165" s="71"/>
      <c r="W165" s="71"/>
      <c r="X165" s="71"/>
      <c r="Y165" s="71"/>
      <c r="Z165" s="71"/>
      <c r="AA165" s="71"/>
      <c r="AB165" s="71"/>
      <c r="AC165" s="71"/>
      <c r="AD165" s="71"/>
      <c r="AE165" s="71"/>
      <c r="AF165" s="71"/>
      <c r="AG165" s="71"/>
      <c r="AH165" s="71"/>
      <c r="AI165" s="71"/>
    </row>
    <row r="166" spans="2:35" x14ac:dyDescent="0.4">
      <c r="B166" t="s">
        <v>267</v>
      </c>
      <c r="C166" s="121" t="e" cm="1">
        <f t="array" ref="C166">IF(C164,IFERROR(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 COLUMNS(_xlfn.ANCHORARRAY($D$4)), 0))&gt;90),_xlfn.ANCHORARRAY(
        $D$4))
      ),_xlfn.ANCHORARRAY(
      $D$4), 1)-1)
  )
  /
  (
    LOOKUP(9^9, IF(
      (_xlfn.ANCHORARRAY($D$4)&gt;=IF(OR('Step 1 - Set global parameters'!$B$30,'Step 1 - Set global parameters'!$B$32), Validation!$Q$6, MTP_BaseYear-1))*
      (_xlfn.ANCHORARRAY($D$4)&lt;=AssessmentEnd)*
      (INDEX(20:20, COLUMN($D$4)+_xlfn.SEQUENCE(1, COLUMNS(_xlfn.ANCHORARRAY($D$4)), 0))&gt;90),_xlfn.ANCHORARRAY(
      $D$4))
    )
    - IF(OR('Step 1 - Set global parameters'!$B$30,'Step 1 - Set global parameters'!$B$32), Validation!$Q$6, MTP_BaseYear-1)
  ) &gt;= 1,
  TRUE
),NA())</f>
        <v>#N/A</v>
      </c>
    </row>
    <row r="167" spans="2:35" x14ac:dyDescent="0.4">
      <c r="B167" t="s">
        <v>268</v>
      </c>
      <c r="C167" s="121" t="e" cm="1">
        <f t="array" ref="C167">IF(C165,IFERROR(
  (
    INDEX(20:20, COLUMN($D$4)+_xlfn.XMATCH(IF(OR('Step 1 - Set global parameters'!$B$30,'Step 1 - Set global parameters'!$B$32), Validation!$Q$6, MTP_BaseYear-1),_xlfn.ANCHORARRAY( $D$4), 1)-1)
    -
    INDEX(20:20, COLUMN($D$4)+_xlfn.XMATCH(
      LOOKUP(9^9, IF(
        (_xlfn.ANCHORARRAY($D$4)&gt;=IF(OR('Step 1 - Set global parameters'!$B$30,'Step 1 - Set global parameters'!$B$32), Validation!$Q$6, MTP_BaseYear-1))*
        (_xlfn.ANCHORARRAY($D$4)&lt;=AssessmentEnd)*
        (INDEX(20:20, COLUMN($D$4)+_xlfn.SEQUENCE(1,COLUMNS(_xlfn.ANCHORARRAY($D$4)),0))&gt;TFEU_Debt),_xlfn.ANCHORARRAY(
        $D$4))
      ),_xlfn.ANCHORARRAY(
      $D$4), 1)-1)
  ) /
  (
    LOOKUP(9^9, IF(
      (_xlfn.ANCHORARRAY($D$4)&gt;=IF(OR('Step 1 - Set global parameters'!$B$30,'Step 1 - Set global parameters'!$B$32), Validation!$Q$6, MTP_BaseYear-1))*
      (_xlfn.ANCHORARRAY($D$4)&lt;=AssessmentEnd)*
      (INDEX(20:20, COLUMN($D$4)+_xlfn.SEQUENCE(1,COLUMNS(_xlfn.ANCHORARRAY($D$4)),0))&gt;TFEU_Debt),_xlfn.ANCHORARRAY(
      $D$4))
    )
    - IF(OR('Step 1 - Set global parameters'!$B$30,'Step 1 - Set global parameters'!$B$32), Validation!$Q$6, MTP_BaseYear-1)
  )
  &gt;= 0.5,
  TRUE
),NA())</f>
        <v>#N/A</v>
      </c>
    </row>
    <row r="168" spans="2:35" x14ac:dyDescent="0.4">
      <c r="C168" s="17"/>
    </row>
    <row r="169" spans="2:35" x14ac:dyDescent="0.4">
      <c r="B169" s="14" t="s">
        <v>266</v>
      </c>
      <c r="C169" s="102" t="str">
        <f>IF(
  NOT(Receives_reference_trajectory),
  Country &amp; " does not receive a reference trajectory and is not assessed against the debt sustainability safeguard.",
  IF(
    OR(C164, C165),
    IF(
      OR(
        IF(C164, NOT(C166), FALSE),
        IF(C165, NOT(C167),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Latvia does not receive a reference trajectory and is not assessed against the debt sustainability safeguard.</v>
      </c>
      <c r="E169" s="17"/>
    </row>
    <row r="170" spans="2:35" x14ac:dyDescent="0.4">
      <c r="C170" s="56"/>
      <c r="E170" s="17"/>
    </row>
    <row r="171" spans="2:35" ht="23.25" x14ac:dyDescent="0.7">
      <c r="B171" s="50" t="s">
        <v>475</v>
      </c>
      <c r="C171" s="13"/>
      <c r="E171" s="17"/>
    </row>
    <row r="172" spans="2:35" customFormat="1" ht="23.25" x14ac:dyDescent="0.7">
      <c r="B172" s="103"/>
      <c r="C172" s="104"/>
      <c r="D172" s="14" cm="1">
        <f t="array" ref="D172:G172">_xlfn.SEQUENCE(1, AssessmentEnd-MTP_BaseYear+1, MTP_BaseYear)</f>
        <v>2023</v>
      </c>
      <c r="E172" s="14">
        <v>2024</v>
      </c>
      <c r="F172" s="17">
        <v>2025</v>
      </c>
      <c r="G172" s="14">
        <v>2026</v>
      </c>
      <c r="H172" s="14"/>
      <c r="I172" s="14"/>
    </row>
    <row r="173" spans="2:35" customFormat="1" x14ac:dyDescent="0.4">
      <c r="B173" t="s">
        <v>383</v>
      </c>
      <c r="C173" s="37"/>
      <c r="D173" s="91" cm="1">
        <f t="array" ref="D173:G173">INDEX(18:18, COLUMN($D$18) + _xlfn.SEQUENCE(1, COLUMNS(_xlfn.ANCHORARRAY(D4))) - 1)</f>
        <v>-2.0901399999999999</v>
      </c>
      <c r="E173" s="91">
        <v>-1.3087</v>
      </c>
      <c r="F173" s="91">
        <v>-2.5189499999999998</v>
      </c>
      <c r="G173" s="91">
        <v>-2.6</v>
      </c>
      <c r="H173" s="91"/>
      <c r="I173" s="91"/>
      <c r="J173" s="91"/>
      <c r="K173" s="91"/>
      <c r="L173" s="91"/>
      <c r="M173" s="91"/>
      <c r="N173" s="91"/>
    </row>
    <row r="174" spans="2:35" customFormat="1" x14ac:dyDescent="0.4">
      <c r="B174" t="s">
        <v>214</v>
      </c>
      <c r="C174" s="37"/>
      <c r="D174" s="91" cm="1">
        <f t="array" ref="D174:G174">INDEX(19:19, COLUMN($D$19) + _xlfn.SEQUENCE(1, COLUMNS(_xlfn.ANCHORARRAY(D4))) - 1)</f>
        <v>-1.3650599999999999</v>
      </c>
      <c r="E174" s="91">
        <v>-0.21811</v>
      </c>
      <c r="F174" s="91">
        <v>-1.41309</v>
      </c>
      <c r="G174" s="91">
        <v>-1.3</v>
      </c>
      <c r="H174" s="91"/>
      <c r="I174" s="91"/>
      <c r="J174" s="91"/>
      <c r="K174" s="91"/>
      <c r="L174" s="91"/>
      <c r="M174" s="91"/>
    </row>
    <row r="175" spans="2:35" customFormat="1" x14ac:dyDescent="0.4">
      <c r="B175" s="7" t="s">
        <v>384</v>
      </c>
      <c r="C175" s="93"/>
      <c r="D175" s="91"/>
      <c r="E175" s="117" cm="1">
        <f t="array" ref="E175:G175">_xlfn.DROP(_xlfn.ANCHORARRAY(D174),,1) - _xlfn.TAKE(_xlfn.ANCHORARRAY(D174),,COLUMNS(_xlfn.ANCHORARRAY(D172))-1)</f>
        <v>1.1469499999999999</v>
      </c>
      <c r="F175" s="91">
        <v>-1.1949799999999999</v>
      </c>
      <c r="G175" s="91">
        <v>0.11308999999999991</v>
      </c>
      <c r="H175" s="91"/>
      <c r="I175" s="91"/>
      <c r="J175" s="91"/>
      <c r="K175" s="91"/>
      <c r="L175" s="91"/>
    </row>
    <row r="176" spans="2:35" customFormat="1" x14ac:dyDescent="0.4">
      <c r="B176" t="s">
        <v>660</v>
      </c>
      <c r="D176" s="3" t="b">
        <f>IF(ISNUMBER(D172),D173&lt;-1.5,"")</f>
        <v>1</v>
      </c>
      <c r="E176" s="3" t="b">
        <f t="shared" ref="E176:K176" si="36">IF(ISNUMBER(E172),E173&lt;-1.5,"")</f>
        <v>0</v>
      </c>
      <c r="F176" s="3" t="b">
        <f t="shared" si="36"/>
        <v>1</v>
      </c>
      <c r="G176" s="3" t="b">
        <f t="shared" si="36"/>
        <v>1</v>
      </c>
      <c r="H176" s="3" t="str">
        <f t="shared" si="36"/>
        <v/>
      </c>
      <c r="I176" s="3" t="str">
        <f t="shared" si="36"/>
        <v/>
      </c>
      <c r="J176" s="3" t="str">
        <f t="shared" si="36"/>
        <v/>
      </c>
      <c r="K176" s="3" t="str">
        <f t="shared" si="36"/>
        <v/>
      </c>
      <c r="L176" s="3"/>
      <c r="M176" s="3"/>
      <c r="N176" s="3"/>
      <c r="O176" s="3"/>
      <c r="P176" s="3"/>
    </row>
    <row r="177" spans="2:35" customFormat="1" x14ac:dyDescent="0.4">
      <c r="B177" t="s">
        <v>385</v>
      </c>
      <c r="C177" s="2" t="e" cm="1">
        <f t="array" ref="C177">IF(
  Receives_reference_trajectory,
  SUMPRODUCT(
    --(
      INDEX(176:176,1,COLUMN($D$172)):
      INDEX(176:176,1,COLUMN($D$172)+COLUMNS(_xlfn.ANCHORARRAY($D$172))-1)
    )
  )&gt;0,
  NA()
)</f>
        <v>#N/A</v>
      </c>
    </row>
    <row r="178" spans="2:35" x14ac:dyDescent="0.4">
      <c r="B178" t="s">
        <v>306</v>
      </c>
      <c r="C178" s="15" t="str">
        <f>IF(Receives_reference_trajectory,IF(AdjustmentPeriod=4,0.4,0.25),"Not applicable")</f>
        <v>Not applicable</v>
      </c>
      <c r="E178" s="17"/>
    </row>
    <row r="179" spans="2:35" x14ac:dyDescent="0.4">
      <c r="B179" t="s">
        <v>960</v>
      </c>
      <c r="C179" s="121" t="e" cm="1">
        <f t="array" ref="C179">IF(
  Receives_reference_trajectory,
  IF(
    NOT(IFERROR(C177,FALSE)),
    NA(),
    SUMPRODUCT(
      --(_xlfn.TAKE(IFERROR(_xlfn.CHOOSECOLS(176:176, COLUMN($D$172)+_xlfn.SEQUENCE(1,COLUMNS(_xlfn.ANCHORARRAY($D$172)))-1), FALSE), , COLUMNS(_xlfn.ANCHORARRAY($D$172))-1)),
      --(_xlfn.DROP(_xlfn.CHOOSECOLS(175:175, COLUMN($D$172)+_xlfn.SEQUENCE(1,COLUMNS(_xlfn.ANCHORARRAY($D$172)))-1), , 1) &lt;= C178)
    )=0
  ),
  NA()
)</f>
        <v>#N/A</v>
      </c>
      <c r="E179" s="17"/>
    </row>
    <row r="180" spans="2:35" x14ac:dyDescent="0.4">
      <c r="B180"/>
      <c r="C180" s="15"/>
      <c r="E180" s="17"/>
    </row>
    <row r="181" spans="2:35" x14ac:dyDescent="0.4">
      <c r="B181" s="14" t="s">
        <v>266</v>
      </c>
      <c r="C181" s="102" t="str">
        <f>IF(
  NOT(Receives_reference_trajectory),
  Country &amp; " does not receive a reference trajectory and is not assessed against the deficit resilience safeguard.",IF(
  NOT(C177),
  "The deficit resilience safeguard does not apply, as "&amp;Country&amp;"'s structural deficit never exceeds 1.5 % of GDP over the adjustment period.",
  IF(
    ISNA(C179),
    "The deficit resilience safeguard does not apply, as "&amp;Country&amp;"'s structural deficit never exceeds 1.5 % of GDP over the adjustment period.",
    IF(
      C179,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Latvia does not receive a reference trajectory and is not assessed against the deficit resilience safeguard.</v>
      </c>
      <c r="E181" s="17"/>
    </row>
    <row r="182" spans="2:35" x14ac:dyDescent="0.4">
      <c r="C182" s="56"/>
      <c r="E182" s="17"/>
    </row>
    <row r="183" spans="2:35" ht="18" x14ac:dyDescent="0.55000000000000004">
      <c r="B183" s="128" t="s">
        <v>504</v>
      </c>
      <c r="D183" s="17"/>
      <c r="J183" s="71"/>
      <c r="K183" s="71"/>
      <c r="L183" s="71"/>
      <c r="M183" s="71"/>
      <c r="N183" s="71"/>
      <c r="O183" s="71"/>
      <c r="P183" s="71"/>
      <c r="Q183" s="71"/>
      <c r="R183" s="71"/>
      <c r="S183" s="71"/>
      <c r="T183" s="71"/>
      <c r="U183" s="71"/>
      <c r="V183" s="71"/>
      <c r="W183" s="71"/>
      <c r="X183" s="71"/>
      <c r="Y183" s="71"/>
      <c r="Z183" s="71"/>
      <c r="AA183" s="71"/>
      <c r="AB183" s="71"/>
      <c r="AC183" s="71"/>
      <c r="AD183" s="71"/>
      <c r="AE183" s="71"/>
      <c r="AF183" s="71"/>
      <c r="AG183" s="71"/>
      <c r="AH183" s="71"/>
      <c r="AI183" s="71"/>
    </row>
    <row r="184" spans="2:35" ht="14.25" x14ac:dyDescent="0.45">
      <c r="B184" s="129" t="s">
        <v>455</v>
      </c>
      <c r="D184" s="17"/>
      <c r="J184" s="71"/>
      <c r="K184" s="71"/>
      <c r="L184" s="71"/>
      <c r="M184" s="71"/>
      <c r="N184" s="71"/>
      <c r="O184" s="71"/>
      <c r="P184" s="71"/>
      <c r="Q184" s="71"/>
      <c r="R184" s="71"/>
      <c r="S184" s="71"/>
      <c r="T184" s="71"/>
      <c r="U184" s="71"/>
      <c r="V184" s="71"/>
      <c r="W184" s="71"/>
      <c r="X184" s="71"/>
      <c r="Y184" s="71"/>
      <c r="Z184" s="71"/>
      <c r="AA184" s="71"/>
      <c r="AB184" s="71"/>
      <c r="AC184" s="71"/>
      <c r="AD184" s="71"/>
      <c r="AE184" s="71"/>
      <c r="AF184" s="71"/>
      <c r="AG184" s="71"/>
      <c r="AH184" s="71"/>
      <c r="AI184" s="71"/>
    </row>
    <row r="185" spans="2:35" x14ac:dyDescent="0.4">
      <c r="B185"/>
      <c r="D185" s="17"/>
      <c r="J185" s="71"/>
      <c r="K185" s="71"/>
      <c r="L185" s="71"/>
      <c r="M185" s="71"/>
      <c r="N185" s="71"/>
      <c r="O185" s="71"/>
      <c r="P185" s="71"/>
      <c r="Q185" s="71"/>
      <c r="R185" s="71"/>
      <c r="S185" s="71"/>
      <c r="T185" s="71"/>
      <c r="U185" s="71"/>
      <c r="V185" s="71"/>
      <c r="W185" s="71"/>
      <c r="X185" s="71"/>
      <c r="Y185" s="71"/>
      <c r="Z185" s="71"/>
      <c r="AA185" s="71"/>
      <c r="AB185" s="71"/>
      <c r="AC185" s="71"/>
      <c r="AD185" s="71"/>
      <c r="AE185" s="71"/>
      <c r="AF185" s="71"/>
      <c r="AG185" s="71"/>
      <c r="AH185" s="71"/>
      <c r="AI185" s="71"/>
    </row>
    <row r="186" spans="2:35" x14ac:dyDescent="0.4">
      <c r="B186" t="s">
        <v>665</v>
      </c>
      <c r="C186" s="130" cm="1">
        <f t="array" ref="C186">IF(
  AdjustmentPeriodEnd &gt; OutturnThrough,
  INDEX($37:$37, _xlfn.XMATCH(AdjustmentPeriodEnd, $32:$32, 0)) -
  INDEX($19:$19, _xlfn.XMATCH(OutturnThrough, $4:$4, 0)),
  NA()
)</f>
        <v>0.11308999999999991</v>
      </c>
      <c r="D186" s="17"/>
      <c r="J186" s="71"/>
      <c r="K186" s="71"/>
      <c r="L186" s="71"/>
      <c r="M186" s="71"/>
      <c r="N186" s="71"/>
      <c r="O186" s="71"/>
      <c r="P186" s="71"/>
      <c r="Q186" s="71"/>
      <c r="R186" s="71"/>
      <c r="S186" s="71"/>
      <c r="T186" s="71"/>
      <c r="U186" s="71"/>
      <c r="V186" s="71"/>
      <c r="W186" s="71"/>
      <c r="X186" s="71"/>
      <c r="Y186" s="71"/>
      <c r="Z186" s="71"/>
      <c r="AA186" s="71"/>
      <c r="AB186" s="71"/>
      <c r="AC186" s="71"/>
      <c r="AD186" s="71"/>
      <c r="AE186" s="71"/>
      <c r="AF186" s="71"/>
      <c r="AG186" s="71"/>
      <c r="AH186" s="71"/>
      <c r="AI186" s="71"/>
    </row>
    <row r="187" spans="2:35" x14ac:dyDescent="0.4">
      <c r="B187" t="s">
        <v>664</v>
      </c>
      <c r="C187" s="130" cm="1">
        <f t="array" ref="C187">IF(
  AdjustmentPeriodEnd &gt; OutturnThrough,
  (
    INDEX($37:$37, _xlfn.XMATCH(AdjustmentPeriodEnd, $32:$32, 0)) -
    INDEX($19:$19, _xlfn.XMATCH(OutturnThrough, $4:$4, 0))
  ) / (AdjustmentPeriodEnd - OutturnThrough),
  NA()
)</f>
        <v>3.7696666666666635E-2</v>
      </c>
      <c r="D187" s="17"/>
      <c r="J187" s="71"/>
      <c r="K187" s="71"/>
      <c r="L187" s="71"/>
      <c r="M187" s="71"/>
      <c r="N187" s="71"/>
      <c r="O187" s="71"/>
      <c r="P187" s="71"/>
      <c r="Q187" s="71"/>
      <c r="R187" s="71"/>
      <c r="S187" s="71"/>
      <c r="T187" s="71"/>
      <c r="U187" s="71"/>
      <c r="V187" s="71"/>
      <c r="W187" s="71"/>
      <c r="X187" s="71"/>
      <c r="Y187" s="71"/>
      <c r="Z187" s="71"/>
      <c r="AA187" s="71"/>
      <c r="AB187" s="71"/>
      <c r="AC187" s="71"/>
      <c r="AD187" s="71"/>
      <c r="AE187" s="71"/>
      <c r="AF187" s="71"/>
      <c r="AG187" s="71"/>
      <c r="AH187" s="71"/>
      <c r="AI187" s="71"/>
    </row>
    <row r="188" spans="2:35" x14ac:dyDescent="0.4">
      <c r="B188" t="s">
        <v>663</v>
      </c>
      <c r="C188" s="130" cm="1">
        <f t="array" ref="C188">IF(
  AssessmentEnd &gt; OutturnThrough,
  (
    INDEX($19:$19, _xlfn.XMATCH(AssessmentEnd, $4:$4, 0))
    - INDEX($19:$19, _xlfn.XMATCH(OutturnThrough, $4:$4, 0))
  ) / (AssessmentEnd - OutturnThrough),
  NA()
)</f>
        <v>0.11308999999999991</v>
      </c>
      <c r="D188" s="17"/>
      <c r="J188" s="71"/>
      <c r="K188" s="71"/>
      <c r="L188" s="71"/>
      <c r="M188" s="71"/>
      <c r="N188" s="71"/>
      <c r="O188" s="71"/>
      <c r="P188" s="71"/>
      <c r="Q188" s="71"/>
      <c r="R188" s="71"/>
      <c r="S188" s="71"/>
      <c r="T188" s="71"/>
      <c r="U188" s="71"/>
      <c r="V188" s="71"/>
      <c r="W188" s="71"/>
      <c r="X188" s="71"/>
      <c r="Y188" s="71"/>
      <c r="Z188" s="71"/>
      <c r="AA188" s="71"/>
      <c r="AB188" s="71"/>
      <c r="AC188" s="71"/>
      <c r="AD188" s="71"/>
      <c r="AE188" s="71"/>
      <c r="AF188" s="71"/>
      <c r="AG188" s="71"/>
      <c r="AH188" s="71"/>
      <c r="AI188" s="71"/>
    </row>
    <row r="189" spans="2:35" x14ac:dyDescent="0.4">
      <c r="B189" t="s">
        <v>666</v>
      </c>
      <c r="C189" s="130" cm="1">
        <f t="array" ref="C189">IF(
  AssessmentEnd &gt; MTP_YearT,
  (
    INDEX($19:$19, _xlfn.XMATCH(AssessmentEnd, $4:$4, 0))
    - INDEX($19:$19, _xlfn.XMATCH(MTP_YearT, $4:$4, 0))
  ) / (AssessmentEnd - MTP_YearT),
  NA()
)</f>
        <v>-0.54094500000000001</v>
      </c>
      <c r="D189" s="17"/>
      <c r="J189" s="71"/>
      <c r="K189" s="71"/>
      <c r="L189" s="71"/>
      <c r="M189" s="71"/>
      <c r="N189" s="71"/>
      <c r="O189" s="71"/>
      <c r="P189" s="71"/>
      <c r="Q189" s="71"/>
      <c r="R189" s="71"/>
      <c r="S189" s="71"/>
      <c r="T189" s="71"/>
      <c r="U189" s="71"/>
      <c r="V189" s="71"/>
      <c r="W189" s="71"/>
      <c r="X189" s="71"/>
      <c r="Y189" s="71"/>
      <c r="Z189" s="71"/>
      <c r="AA189" s="71"/>
      <c r="AB189" s="71"/>
      <c r="AC189" s="71"/>
      <c r="AD189" s="71"/>
      <c r="AE189" s="71"/>
      <c r="AF189" s="71"/>
      <c r="AG189" s="71"/>
      <c r="AH189" s="71"/>
      <c r="AI189" s="71"/>
    </row>
    <row r="190" spans="2:35" x14ac:dyDescent="0.4">
      <c r="B190" t="s">
        <v>667</v>
      </c>
      <c r="C190" s="131" t="b">
        <f>IF(ISNA(C188), FALSE, AND(ISNUMBER(C188), C188 &gt;= C187))</f>
        <v>1</v>
      </c>
      <c r="D190" s="17"/>
      <c r="J190" s="71"/>
      <c r="K190" s="71"/>
      <c r="L190" s="71"/>
      <c r="M190" s="71"/>
      <c r="N190" s="71"/>
      <c r="O190" s="71"/>
      <c r="P190" s="71"/>
      <c r="Q190" s="71"/>
      <c r="R190" s="71"/>
      <c r="S190" s="71"/>
      <c r="T190" s="71"/>
      <c r="U190" s="71"/>
      <c r="V190" s="71"/>
      <c r="W190" s="71"/>
      <c r="X190" s="71"/>
      <c r="Y190" s="71"/>
      <c r="Z190" s="71"/>
      <c r="AA190" s="71"/>
      <c r="AB190" s="71"/>
      <c r="AC190" s="71"/>
      <c r="AD190" s="71"/>
      <c r="AE190" s="71"/>
      <c r="AF190" s="71"/>
      <c r="AG190" s="71"/>
      <c r="AH190" s="71"/>
      <c r="AI190" s="71"/>
    </row>
    <row r="191" spans="2:35" x14ac:dyDescent="0.4">
      <c r="B191"/>
      <c r="C191" s="2"/>
      <c r="D191" s="17"/>
      <c r="J191" s="71"/>
      <c r="K191" s="71"/>
      <c r="L191" s="71"/>
      <c r="M191" s="71"/>
      <c r="N191" s="71"/>
      <c r="O191" s="71"/>
      <c r="P191" s="71"/>
      <c r="Q191" s="71"/>
      <c r="R191" s="71"/>
      <c r="S191" s="71"/>
      <c r="T191" s="71"/>
      <c r="U191" s="71"/>
      <c r="V191" s="71"/>
      <c r="W191" s="71"/>
      <c r="X191" s="71"/>
      <c r="Y191" s="71"/>
      <c r="Z191" s="71"/>
      <c r="AA191" s="71"/>
      <c r="AB191" s="71"/>
      <c r="AC191" s="71"/>
      <c r="AD191" s="71"/>
      <c r="AE191" s="71"/>
      <c r="AF191" s="71"/>
      <c r="AG191" s="71"/>
      <c r="AH191" s="71"/>
      <c r="AI191" s="71"/>
    </row>
    <row r="192" spans="2:35" x14ac:dyDescent="0.4">
      <c r="B192" s="14" t="s">
        <v>258</v>
      </c>
      <c r="C192" s="102" t="str">
        <f>IFERROR(
  IF(
    AssessmentEnd &lt;= OutturnThrough,
    "Not applicable — the assessment period does not extend beyond the latest outturn year; there is no forward-looking SPB path to assess.",
    IF(
      OR(ISNA(C188), NOT(ISNUMBER(C188))),
      IF(
        C186 &lt; 0,
        Country &amp; "'s SPB already exceeds the target level by " &amp; TEXT(ABS(C186),"0.0") &amp;
          " pp of GDP at the end of the adjustment period. There is fiscal room to allow the SPB to decline while still meeting the target.",
        IF(
          C186 = 0,
          Country &amp; "'s SPB already meets the target level at the end of the adjustment period. No further consolidation is required.",
          Country &amp; "'s total SPB adjustment required over the remaining horizon is " &amp;
            TEXT(C186,"0.0") &amp; " pp of GDP, and the required average annual consolidation is " &amp;
            TEXT(C187,"0.0") &amp; " pp of GDP."
        )
      ),
      IF(
        C186 &lt;= 0,
        IF(
          C188 &lt; 0,
          IF(
            C186 &lt; 0,
            Country &amp; "'s SPB already exceeds the target level by " &amp; TEXT(ABS(C186),"0.0") &amp; " pp of GDP",
            Country &amp; "'s SPB currently meets the target level"
          ) &amp;
            ", but the planned path implies a deterioration of " &amp;
            TEXT(ABS(C188),"0.0") &amp; " pp of GDP per year on average over the assessment period." &amp;
            " Additional adjustment in later years may be needed to maintain the target, creating a risk of backloading." &amp;
            IF(EscapeClauseActivated, " However, an escape clause has been activated.", ""),
          IF(
            C186 &lt; 0,
            Country &amp; "'s SPB already exceeds the target level by " &amp; TEXT(ABS(C186),"0.0") &amp; " pp of GDP",
            Country &amp; "'s SPB already meets the target level"
          ) &amp;
            ". The planned average annual consolidation of " &amp;
            TEXT(C188,"0.0") &amp; " pp of GDP is consistent with maintaining that position."
        ),
        Country &amp; "'s total SPB adjustment required over the remaining horizon is " &amp;
          TEXT(C186,"0.0") &amp; " pp of GDP. The planned average annual consolidation of " &amp;
          TEXT(C188,"0.0") &amp; " pp " &amp;
          IF(
            C188 &gt;= C187,
            "meets or exceeds the required " &amp; TEXT(C187,"0.0") &amp;
              " pp, indicating that adjustment is consistent with achieving the target SPB by the end of the horizon. Adjustment is not backloaded.",
            "falls short of the required " &amp; TEXT(C187,"0.0") &amp;
              " pp, indicating that additional measures may be needed to reach the target SPB. Adjustment may be backloaded." &amp;
              IF(EscapeClauseActivated, " However, an escape clause has been activated.", "")
          )
      )
    )
  ),
  NA()
)</f>
        <v>Latvia's total SPB adjustment required over the remaining horizon is 0.1 pp of GDP. The planned average annual consolidation of 0.1 pp meets or exceeds the required 0.0 pp, indicating that adjustment is consistent with achieving the target SPB by the end of the horizon. Adjustment is not backloaded.</v>
      </c>
      <c r="D192" s="17"/>
      <c r="J192" s="71"/>
      <c r="K192" s="71"/>
      <c r="L192" s="71"/>
      <c r="M192" s="71"/>
      <c r="N192" s="71"/>
      <c r="O192" s="71"/>
      <c r="P192" s="71"/>
      <c r="Q192" s="71"/>
      <c r="R192" s="71"/>
      <c r="S192" s="71"/>
      <c r="T192" s="71"/>
      <c r="U192" s="71"/>
      <c r="V192" s="71"/>
      <c r="W192" s="71"/>
      <c r="X192" s="71"/>
      <c r="Y192" s="71"/>
      <c r="Z192" s="71"/>
      <c r="AA192" s="71"/>
      <c r="AB192" s="71"/>
      <c r="AC192" s="71"/>
      <c r="AD192" s="71"/>
      <c r="AE192" s="71"/>
      <c r="AF192" s="71"/>
      <c r="AG192" s="71"/>
      <c r="AH192" s="71"/>
      <c r="AI192" s="71"/>
    </row>
    <row r="193" spans="1:35" x14ac:dyDescent="0.4">
      <c r="B193"/>
      <c r="D193" s="17"/>
      <c r="J193" s="71"/>
      <c r="K193" s="71"/>
      <c r="L193" s="71"/>
      <c r="M193" s="71"/>
      <c r="N193" s="71"/>
      <c r="O193" s="71"/>
      <c r="P193" s="71"/>
      <c r="Q193" s="71"/>
      <c r="R193" s="71"/>
      <c r="S193" s="71"/>
      <c r="T193" s="71"/>
      <c r="U193" s="71"/>
      <c r="V193" s="71"/>
      <c r="W193" s="71"/>
      <c r="X193" s="71"/>
      <c r="Y193" s="71"/>
      <c r="Z193" s="71"/>
      <c r="AA193" s="71"/>
      <c r="AB193" s="71"/>
      <c r="AC193" s="71"/>
      <c r="AD193" s="71"/>
      <c r="AE193" s="71"/>
      <c r="AF193" s="71"/>
      <c r="AG193" s="71"/>
      <c r="AH193" s="71"/>
      <c r="AI193" s="71"/>
    </row>
    <row r="194" spans="1:35" ht="31.9" x14ac:dyDescent="1">
      <c r="B194" s="77" t="s">
        <v>488</v>
      </c>
    </row>
    <row r="195" spans="1:35" ht="25.15" customHeight="1" x14ac:dyDescent="0.7">
      <c r="B195" s="13" t="s">
        <v>893</v>
      </c>
    </row>
    <row r="196" spans="1:35" ht="14.25" x14ac:dyDescent="0.45">
      <c r="B196" s="105" t="str">
        <f>"That is, whether the Commission prepares and transmits a reference trajectory for net expenditure that "&amp;Country&amp;"'s MTP must not exceed (or "&amp;Country&amp;" must submit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Latvia's MTP must not exceed (or Latvia must submit an alternative net expenditure path meeting all requirements of Article 16(2) and (3) of Regulation (EU) 2024/1263 and sound and data-driven economic arguments explaining the difference)</v>
      </c>
    </row>
    <row r="197" spans="1:35" s="22" customFormat="1" ht="14.25" x14ac:dyDescent="0.45">
      <c r="A197"/>
      <c r="B197" s="54"/>
      <c r="C197" s="54"/>
      <c r="D197" s="54"/>
      <c r="E197" s="54"/>
      <c r="F197" s="54"/>
    </row>
    <row r="198" spans="1:35" ht="18" x14ac:dyDescent="0.55000000000000004">
      <c r="B198" s="50" t="s">
        <v>890</v>
      </c>
      <c r="C198" s="15"/>
      <c r="F198" s="37"/>
    </row>
    <row r="199" spans="1:35" x14ac:dyDescent="0.4">
      <c r="B199" t="s">
        <v>817</v>
      </c>
      <c r="C199" s="15" t="b">
        <f>INDEX(20:20, MATCH(MTP_PlanFirstYear, 4:4, 0)) &lt; TFEU_Debt</f>
        <v>1</v>
      </c>
      <c r="F199" s="37"/>
    </row>
    <row r="200" spans="1:35" x14ac:dyDescent="0.4">
      <c r="B200" t="s">
        <v>258</v>
      </c>
      <c r="C200" s="102" t="str">
        <f>IF(
  C199,
  Country &amp; "'s gross general government debt in " &amp; MTP_PlanFirstYear &amp; " was " &amp; TEXT(INDEX(20:20, MATCH(MTP_PlanFirstYear, 4:4, 0)), "0.0") &amp;"% of GDP"&amp; ", which does not exceed the 60% TFEU reference value.",
  Country &amp; "'s gross general government debt in " &amp; MTP_PlanFirstYear &amp; " was " &amp; TEXT(INDEX(20:20, MATCH(MTP_PlanFirstYear, 4:4, 0)), "0.0") &amp;"% of GDP"&amp; ", which does not exceed the 60% TFEU reference level."
)</f>
        <v>Latvia's gross general government debt in 2023 was 44.4% of GDP, which does not exceed the 60% TFEU reference value.</v>
      </c>
      <c r="F200" s="37"/>
    </row>
    <row r="201" spans="1:35" x14ac:dyDescent="0.4">
      <c r="B201"/>
      <c r="C201" s="102"/>
      <c r="E201" s="18"/>
      <c r="J201" s="16"/>
    </row>
    <row r="202" spans="1:35" ht="18" x14ac:dyDescent="0.55000000000000004">
      <c r="B202" s="50" t="s">
        <v>891</v>
      </c>
      <c r="F202" s="37"/>
    </row>
    <row r="203" spans="1:35" x14ac:dyDescent="0.4">
      <c r="B203" t="s">
        <v>818</v>
      </c>
      <c r="C203" s="15" t="b">
        <f>INDEX(17:17, MATCH(MTP_PlanFirstYear, 4:4, 0)) &gt; -TFEU_Deficit</f>
        <v>1</v>
      </c>
      <c r="F203" s="37"/>
    </row>
    <row r="204" spans="1:35" x14ac:dyDescent="0.4">
      <c r="B204" t="s">
        <v>258</v>
      </c>
      <c r="C204" s="102"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Latvia's net borrowing (general government deficit) in 2023 was 2.3% of GDP, which does not exceed the 3% TFEU deficit reference value.</v>
      </c>
      <c r="F204" s="37"/>
    </row>
    <row r="205" spans="1:35" x14ac:dyDescent="0.4">
      <c r="C205" s="102"/>
      <c r="F205" s="37"/>
    </row>
    <row r="206" spans="1:35" ht="18" x14ac:dyDescent="0.55000000000000004">
      <c r="B206" s="50" t="s">
        <v>892</v>
      </c>
      <c r="E206" s="18"/>
      <c r="J206" s="16"/>
    </row>
    <row r="207" spans="1:35" x14ac:dyDescent="0.4">
      <c r="B207" t="s">
        <v>451</v>
      </c>
      <c r="C207" s="15" t="b">
        <f>NOT(AND($C$199,$C$203))</f>
        <v>0</v>
      </c>
      <c r="E207" s="18"/>
      <c r="J207" s="16"/>
    </row>
    <row r="208" spans="1:35" x14ac:dyDescent="0.4">
      <c r="B208" t="s">
        <v>258</v>
      </c>
      <c r="C208" s="102" t="str">
        <f>IF(
  C207,
  IF(
    AND(NOT($C$199), $C$203),
    Country &amp; "'s gross debt was above 60% of GDP in "&amp; MTP_PlanFirstYear &amp; " (T" &amp; IF(MTP_BaseYearIsTminus2,"-2","-1") &amp; "), therefore ",
    IF(
      AND($C$199, NOT($C$203)),
      Country &amp; "'s general government deficit was above 3% of GDP in "&amp; MTP_PlanFirstYear &amp; " (T" &amp; IF(MTP_BaseYearIsTminus2,"-2","-1") &amp; "), therefore ",
      IF(
        AND(NOT($C$199), NOT($C$203)),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exceeds the reference trajectory,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Latvia does not receive a reference trajectory but its MTP must contain a net expenditure path that complies with TFEU general government debt and deficit sustainability requirements.</v>
      </c>
      <c r="E208" s="18"/>
      <c r="J208" s="16"/>
    </row>
    <row r="209" spans="2:10" x14ac:dyDescent="0.4">
      <c r="E209" s="18"/>
      <c r="J209" s="16"/>
    </row>
    <row r="210" spans="2:10" ht="25.15" customHeight="1" x14ac:dyDescent="0.7">
      <c r="B210" s="13" t="s">
        <v>529</v>
      </c>
    </row>
    <row r="211" spans="2:10" ht="14.25" x14ac:dyDescent="0.45">
      <c r="B211" s="105" t="s">
        <v>489</v>
      </c>
    </row>
    <row r="212" spans="2:10" ht="23.25" x14ac:dyDescent="0.7">
      <c r="B212" s="50" t="s">
        <v>904</v>
      </c>
      <c r="C212" s="13"/>
      <c r="E212" s="17"/>
    </row>
    <row r="213" spans="2:10" x14ac:dyDescent="0.4">
      <c r="B213" t="s">
        <v>895</v>
      </c>
      <c r="C213" s="15" t="b">
        <f>'Step 1 - Set global parameters'!B14</f>
        <v>1</v>
      </c>
    </row>
    <row r="214" spans="2:10" x14ac:dyDescent="0.4">
      <c r="B214" t="s">
        <v>898</v>
      </c>
      <c r="C214" s="15" t="b">
        <f>IF(C213,IF('Step 4 (MTP) - IFI scrutiny'!D4="Yes",TRUE,FALSE),NA())</f>
        <v>1</v>
      </c>
    </row>
    <row r="215" spans="2:10" x14ac:dyDescent="0.4">
      <c r="B215" t="s">
        <v>899</v>
      </c>
      <c r="C215" s="2" t="b">
        <f>IF(C214,IF('Step 4 (MTP) - IFI scrutiny'!D5="Yes",TRUE,NA()),NA())</f>
        <v>1</v>
      </c>
    </row>
    <row r="216" spans="2:10" x14ac:dyDescent="0.4">
      <c r="B216" t="s">
        <v>900</v>
      </c>
      <c r="C216" s="2" t="b">
        <f>IF(NOT(C213), TRUE, AND(C214, C215))</f>
        <v>1</v>
      </c>
    </row>
    <row r="217" spans="2:10" x14ac:dyDescent="0.4">
      <c r="B217" s="14" t="s">
        <v>258</v>
      </c>
      <c r="C217" s="102" t="str">
        <f>IF(NOT(C213),
  "The MTP uses the same macroeconomic assumptions as the EC's DSA framework.",
  IF(AND(C214,C215),
    "The "&amp;IFI_Name&amp;" has concluded that the MTP's alternative macroeconomic assumptions are based on sound and data-driven arguments and are plausible.",
    IF(AND(C214,NOT(C215)),
      "The "&amp;IFI_Name&amp;" found the rationale for using different assumptions satisfactory, but did not assess the alternative assumptions themselves as plausible.",
      IF(AND(NOT(C214),C215),
        "The "&amp;IFI_Name&amp;" did not find the rationale for using different assumptions satisfactory, though the alternative assumptions were independently assessed as plausible.",
        "The "&amp;IFI_Name&amp;" did not find the rationale for using different assumptions satisfactory, and the alternative macroeconomic assumptions were not assessed as plausible."))))</f>
        <v>The Fiscal Discipline Council has concluded that the MTP's alternative macroeconomic assumptions are based on sound and data-driven arguments and are plausible.</v>
      </c>
    </row>
    <row r="218" spans="2:10" customFormat="1" x14ac:dyDescent="0.4"/>
    <row r="219" spans="2:10" ht="23.25" x14ac:dyDescent="0.7">
      <c r="B219" s="50" t="s">
        <v>905</v>
      </c>
      <c r="C219" s="13"/>
      <c r="E219" s="17"/>
    </row>
    <row r="220" spans="2:10" x14ac:dyDescent="0.4">
      <c r="B220" t="s">
        <v>462</v>
      </c>
      <c r="C220" s="15" t="b">
        <f>AND('Step 4 (MTP) - IFI scrutiny'!D8:D28)</f>
        <v>1</v>
      </c>
    </row>
    <row r="221" spans="2:10" x14ac:dyDescent="0.4">
      <c r="B221" s="14" t="s">
        <v>258</v>
      </c>
      <c r="C221" s="102" t="str">
        <f>IF(C220,"The "&amp;IFI_Name&amp;" has concluded that the plan contains all information required by Article 13 of Regulation (EU) 2024/1263.","The "&amp;IFI_Name&amp;" has concluded that the plan is missing elements required by Article 13 of Regulation (EU) 2024/1263.")</f>
        <v>The Fiscal Discipline Council has concluded that the plan contains all information required by Article 13 of Regulation (EU) 2024/1263.</v>
      </c>
    </row>
    <row r="222" spans="2:10" customFormat="1" x14ac:dyDescent="0.4"/>
    <row r="223" spans="2:10" customFormat="1" ht="18" x14ac:dyDescent="0.55000000000000004">
      <c r="B223" s="50" t="s">
        <v>894</v>
      </c>
    </row>
    <row r="224" spans="2:10" customFormat="1" x14ac:dyDescent="0.4">
      <c r="B224" t="s">
        <v>591</v>
      </c>
      <c r="C224" s="2" t="b">
        <f>'Step 4 (MTP) - IFI scrutiny'!D31</f>
        <v>0</v>
      </c>
    </row>
    <row r="225" spans="2:35" customFormat="1" x14ac:dyDescent="0.4">
      <c r="B225" t="s">
        <v>659</v>
      </c>
      <c r="C225" s="15" t="e" cm="1">
        <f t="array" ref="C225">IF(
  NOT(C224),
  NA(),
  AND(
    'Step 4 (MTP) - IFI scrutiny'!D32:D43=TRUE,
    'Step 4 (MTP) - IFI scrutiny'!D32:D43&lt;&gt;"NA"
  )
)</f>
        <v>#N/A</v>
      </c>
    </row>
    <row r="226" spans="2:35" customFormat="1" x14ac:dyDescent="0.4">
      <c r="B226" s="14" t="s">
        <v>258</v>
      </c>
      <c r="C226" s="102" t="str">
        <f>IF(
  AdjustmentPeriod&lt;&gt;7,
  "Not applicable. " &amp; Country &amp; " has not requested an extension of the adjustment period.",
  IF(
    C225,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Latvia has not requested an extension of the adjustment period.</v>
      </c>
    </row>
    <row r="227" spans="2:35" customFormat="1" x14ac:dyDescent="0.4"/>
    <row r="228" spans="2:35" ht="23.25" x14ac:dyDescent="0.7">
      <c r="B228" s="13" t="s">
        <v>452</v>
      </c>
      <c r="E228" s="18"/>
      <c r="J228" s="16"/>
    </row>
    <row r="229" spans="2:35" ht="14.25" x14ac:dyDescent="0.45">
      <c r="B229" s="129" t="s">
        <v>373</v>
      </c>
      <c r="E229" s="18"/>
      <c r="J229" s="16"/>
    </row>
    <row r="230" spans="2:35" customFormat="1" x14ac:dyDescent="0.4"/>
    <row r="231" spans="2:35" customFormat="1" ht="18" x14ac:dyDescent="0.55000000000000004">
      <c r="B231" s="50" t="s">
        <v>907</v>
      </c>
    </row>
    <row r="232" spans="2:35" customFormat="1" x14ac:dyDescent="0.4">
      <c r="B232" t="s">
        <v>491</v>
      </c>
      <c r="C232" s="126">
        <f>IFERROR(
  AVERAGEIFS(
    69:69,
    32:32, "&gt;" &amp; MTP_YearT,
    32:32, "&lt;=" &amp; AdjustmentPeriodEnd
  ),
  NA()
)</f>
        <v>3.0699087476256466</v>
      </c>
    </row>
    <row r="233" spans="2:35" customFormat="1" x14ac:dyDescent="0.4">
      <c r="B233" t="s">
        <v>492</v>
      </c>
      <c r="C233" s="126">
        <f>AVERAGEIFS(
  34:34,
  32:32, "&gt;" &amp; MTP_YearT,
  32:32, "&lt;=" &amp; AdjustmentPeriodEnd
)</f>
        <v>4.05</v>
      </c>
    </row>
    <row r="234" spans="2:35" customFormat="1" x14ac:dyDescent="0.4">
      <c r="B234" t="s">
        <v>493</v>
      </c>
      <c r="C234" s="126" t="b">
        <f>IFERROR(C232-C233&lt;0, NA())</f>
        <v>1</v>
      </c>
    </row>
    <row r="235" spans="2:35" x14ac:dyDescent="0.4">
      <c r="B235" s="14" t="s">
        <v>494</v>
      </c>
      <c r="C235" s="15" t="str">
        <f>IF(Receives_reference_trajectory,'Step 4 (MTP) - IFI scrutiny'!D3="Yes","Not applicable")</f>
        <v>Not applicable</v>
      </c>
      <c r="J235" s="71"/>
      <c r="K235" s="71"/>
      <c r="L235" s="71"/>
      <c r="M235" s="71"/>
      <c r="N235" s="71"/>
      <c r="O235" s="71"/>
      <c r="P235" s="71"/>
      <c r="Q235" s="71"/>
      <c r="R235" s="71"/>
      <c r="S235" s="71"/>
      <c r="T235" s="71"/>
      <c r="U235" s="71"/>
      <c r="V235" s="71"/>
      <c r="W235" s="71"/>
      <c r="X235" s="71"/>
      <c r="Y235" s="71"/>
      <c r="Z235" s="71"/>
      <c r="AA235" s="71"/>
      <c r="AB235" s="71"/>
      <c r="AC235" s="71" t="s">
        <v>264</v>
      </c>
      <c r="AD235" s="71"/>
      <c r="AE235" s="71"/>
      <c r="AF235" s="71"/>
      <c r="AG235" s="71"/>
      <c r="AH235" s="71"/>
      <c r="AI235" s="71"/>
    </row>
    <row r="236" spans="2:35" customFormat="1" x14ac:dyDescent="0.4">
      <c r="B236" t="s">
        <v>258</v>
      </c>
      <c r="C236" s="127" t="str">
        <f>_xlfn.IFNA(
  IF(
    C234,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IF(AND(C234, C235&lt;&gt;"Not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AND(C234, NOT(Receives_reference_trajectory)),
    " but remaining below the technical information path is not required.",
    IF(
      AND(C234, C235&lt;&gt;"Not applicable"),
      IF(
        C235,
        ", but the " &amp; IFI_Name &amp; " deems the explanation and alternative assumptions to be satisfactory.",
        ", and the " &amp; IFI_Name &amp; " does not deem the explanation and alternative assumptions to be satisfactory."
      ),
      ""
    )
  ),
  "N/A"
)</f>
        <v>The average net expenditure growth reported in Latvia's plan over the adjustment period (2025–2028) is higher than the technical information path transmitted by the Commission on Enter date. but remaining below the technical information path is not required.</v>
      </c>
    </row>
    <row r="237" spans="2:35" customFormat="1" x14ac:dyDescent="0.4">
      <c r="C237" s="4"/>
    </row>
    <row r="238" spans="2:35" customFormat="1" ht="26.25" customHeight="1" x14ac:dyDescent="0.55000000000000004">
      <c r="B238" s="50" t="s">
        <v>915</v>
      </c>
    </row>
    <row r="239" spans="2:35" customFormat="1" ht="15.75" x14ac:dyDescent="0.5">
      <c r="B239" s="79" t="s">
        <v>511</v>
      </c>
    </row>
    <row r="240" spans="2:35" x14ac:dyDescent="0.4">
      <c r="B240" s="5" t="s">
        <v>510</v>
      </c>
      <c r="C240" s="15" t="e" cm="1">
        <f t="array" ref="C240">IF(Receives_reference_trajectory,SUMPRODUCT(((46:46&gt;=MTP_YearT)*(46:46&lt;=AdjustmentPeriodEnd)*(64:64&lt;=34:34)))=0,NA())</f>
        <v>#N/A</v>
      </c>
      <c r="E240" s="18"/>
      <c r="J240" s="16"/>
    </row>
    <row r="241" spans="2:35" x14ac:dyDescent="0.4">
      <c r="B241" s="14" t="s">
        <v>519</v>
      </c>
      <c r="C241" s="15" t="e">
        <f>IF(AND(Receives_reference_trajectory,NOT(C240)),'Step 4 (MTP) - IFI scrutiny'!D3="Yes",NA())</f>
        <v>#N/A</v>
      </c>
      <c r="J241" s="71"/>
      <c r="K241" s="71"/>
      <c r="L241" s="71"/>
      <c r="M241" s="71"/>
      <c r="N241" s="71"/>
      <c r="O241" s="71"/>
      <c r="P241" s="71"/>
      <c r="Q241" s="71"/>
      <c r="R241" s="71"/>
      <c r="S241" s="71"/>
      <c r="T241" s="71"/>
      <c r="U241" s="71"/>
      <c r="V241" s="71"/>
      <c r="W241" s="71"/>
      <c r="X241" s="71"/>
      <c r="Y241" s="71"/>
      <c r="Z241" s="71"/>
      <c r="AA241" s="71"/>
      <c r="AB241" s="71"/>
      <c r="AC241" s="71" t="s">
        <v>264</v>
      </c>
      <c r="AD241" s="71"/>
      <c r="AE241" s="71"/>
      <c r="AF241" s="71"/>
      <c r="AG241" s="71"/>
      <c r="AH241" s="71"/>
      <c r="AI241" s="71"/>
    </row>
    <row r="242" spans="2:35" x14ac:dyDescent="0.4">
      <c r="B242" s="14" t="s">
        <v>516</v>
      </c>
      <c r="C242" s="15" t="e">
        <f>IF(
  Receives_reference_trajectory,
  OR(C240, IFERROR(C241, TRUE)),
  NA()
)</f>
        <v>#N/A</v>
      </c>
      <c r="J242" s="71"/>
      <c r="K242" s="71"/>
      <c r="L242" s="71"/>
      <c r="M242" s="71"/>
      <c r="N242" s="71"/>
      <c r="O242" s="71"/>
      <c r="P242" s="71"/>
      <c r="Q242" s="71"/>
      <c r="R242" s="71"/>
      <c r="S242" s="71"/>
      <c r="T242" s="71"/>
      <c r="U242" s="71"/>
      <c r="V242" s="71"/>
      <c r="W242" s="71"/>
      <c r="X242" s="71"/>
      <c r="Y242" s="71"/>
      <c r="Z242" s="71"/>
      <c r="AA242" s="71"/>
      <c r="AB242" s="71"/>
      <c r="AC242" s="71"/>
      <c r="AD242" s="71"/>
      <c r="AE242" s="71"/>
      <c r="AF242" s="71"/>
      <c r="AG242" s="71"/>
      <c r="AH242" s="71"/>
      <c r="AI242" s="71"/>
    </row>
    <row r="243" spans="2:35" x14ac:dyDescent="0.4">
      <c r="B243" s="14" t="s">
        <v>258</v>
      </c>
      <c r="C243" s="102" t="str">
        <f>IF(
  Receives_reference_trajectory,
  IF(
    C240,
    "The net expenditure path in " &amp; Country &amp; "'s latest MTP adheres to the Commission's reference trajectory.",
    IF(
      C241,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Not applicable.</v>
      </c>
      <c r="J243" s="71"/>
      <c r="K243" s="71"/>
      <c r="L243" s="71"/>
      <c r="M243" s="71"/>
      <c r="N243" s="71"/>
      <c r="O243" s="71"/>
      <c r="P243" s="71"/>
      <c r="Q243" s="71"/>
      <c r="R243" s="71"/>
      <c r="S243" s="71"/>
      <c r="T243" s="71"/>
      <c r="U243" s="71"/>
      <c r="V243" s="71"/>
      <c r="W243" s="71"/>
      <c r="X243" s="71"/>
      <c r="Y243" s="71"/>
      <c r="Z243" s="71"/>
      <c r="AA243" s="71"/>
      <c r="AB243" s="71"/>
      <c r="AC243" s="71"/>
      <c r="AD243" s="71"/>
      <c r="AE243" s="71"/>
      <c r="AF243" s="71"/>
      <c r="AG243" s="71"/>
      <c r="AH243" s="71"/>
      <c r="AI243" s="71"/>
    </row>
    <row r="244" spans="2:35" x14ac:dyDescent="0.4">
      <c r="C244" s="97"/>
      <c r="J244" s="71"/>
      <c r="K244" s="71"/>
      <c r="L244" s="71"/>
      <c r="M244" s="71"/>
      <c r="N244" s="71"/>
      <c r="O244" s="71"/>
      <c r="P244" s="71"/>
      <c r="Q244" s="71"/>
      <c r="R244" s="71"/>
      <c r="S244" s="71"/>
      <c r="T244" s="71"/>
      <c r="U244" s="71"/>
      <c r="V244" s="71"/>
      <c r="W244" s="71"/>
      <c r="X244" s="71"/>
      <c r="Y244" s="71"/>
      <c r="Z244" s="71"/>
      <c r="AA244" s="71"/>
      <c r="AB244" s="71"/>
      <c r="AC244" s="71"/>
      <c r="AD244" s="71"/>
      <c r="AE244" s="71"/>
      <c r="AF244" s="71"/>
      <c r="AG244" s="71"/>
      <c r="AH244" s="71"/>
      <c r="AI244" s="71"/>
    </row>
    <row r="245" spans="2:35" ht="15.75" x14ac:dyDescent="0.5">
      <c r="B245" s="79" t="s">
        <v>454</v>
      </c>
      <c r="C245" s="37"/>
      <c r="J245" s="71"/>
      <c r="K245" s="71"/>
      <c r="L245" s="71"/>
      <c r="M245" s="71"/>
      <c r="N245" s="71"/>
      <c r="O245" s="71"/>
      <c r="P245" s="71"/>
      <c r="Q245" s="71"/>
      <c r="R245" s="71"/>
      <c r="S245" s="71"/>
      <c r="T245" s="71"/>
      <c r="U245" s="71"/>
      <c r="V245" s="71"/>
      <c r="W245" s="71"/>
      <c r="X245" s="71"/>
      <c r="Y245" s="71"/>
      <c r="Z245" s="71"/>
      <c r="AA245" s="71"/>
      <c r="AB245" s="71"/>
      <c r="AC245" s="71"/>
      <c r="AD245" s="71"/>
      <c r="AE245" s="71"/>
      <c r="AF245" s="71"/>
      <c r="AG245" s="71"/>
      <c r="AH245" s="71"/>
      <c r="AI245" s="71"/>
    </row>
    <row r="246" spans="2:35" x14ac:dyDescent="0.4">
      <c r="B246" t="str">
        <f>"Minimum level of the primary structural balance without safeguard, "&amp;AdjustmentPeriodEnd</f>
        <v>Minimum level of the primary structural balance without safeguard, 2028</v>
      </c>
      <c r="C246" s="138">
        <f>IF(
  Receives_reference_trajectory,
  NA(),
  INDEX($65:$65, MATCH(AdjustmentPeriodEnd, $62:$62, 0))
)</f>
        <v>-1.3</v>
      </c>
      <c r="J246" s="71"/>
      <c r="K246" s="71"/>
      <c r="L246" s="71"/>
      <c r="M246" s="71"/>
      <c r="N246" s="71"/>
      <c r="O246" s="71"/>
      <c r="P246" s="71"/>
      <c r="Q246" s="71"/>
      <c r="R246" s="71"/>
      <c r="S246" s="71"/>
      <c r="T246" s="71"/>
      <c r="U246" s="71"/>
      <c r="V246" s="71"/>
      <c r="W246" s="71"/>
      <c r="X246" s="71"/>
      <c r="Y246" s="71"/>
      <c r="Z246" s="71"/>
      <c r="AA246" s="71"/>
      <c r="AB246" s="71"/>
      <c r="AC246" s="71"/>
      <c r="AD246" s="71"/>
      <c r="AE246" s="71"/>
      <c r="AF246" s="71"/>
      <c r="AG246" s="71"/>
      <c r="AH246" s="71"/>
      <c r="AI246" s="71"/>
    </row>
    <row r="247" spans="2:35" x14ac:dyDescent="0.4">
      <c r="B247" t="str">
        <f>"Minimum level of the primary structural balance with safeguard, "&amp;AdjustmentPeriodEnd</f>
        <v>Minimum level of the primary structural balance with safeguard, 2028</v>
      </c>
      <c r="C247" s="138">
        <f>IF(
  Receives_reference_trajectory,
  NA(),
  INDEX($66:$66, MATCH(AdjustmentPeriodEnd, $62:$62, 0))
)</f>
        <v>-0.1</v>
      </c>
      <c r="J247" s="71"/>
      <c r="K247" s="71"/>
      <c r="L247" s="71"/>
      <c r="M247" s="71"/>
      <c r="N247" s="71"/>
      <c r="O247" s="71"/>
      <c r="P247" s="71"/>
      <c r="Q247" s="71"/>
      <c r="R247" s="71"/>
      <c r="S247" s="71"/>
      <c r="T247" s="71"/>
      <c r="U247" s="71"/>
      <c r="V247" s="71"/>
      <c r="W247" s="71"/>
      <c r="X247" s="71"/>
      <c r="Y247" s="71"/>
      <c r="Z247" s="71"/>
      <c r="AA247" s="71"/>
      <c r="AB247" s="71"/>
      <c r="AC247" s="71"/>
      <c r="AD247" s="71"/>
      <c r="AE247" s="71"/>
      <c r="AF247" s="71"/>
      <c r="AG247" s="71"/>
      <c r="AH247" s="71"/>
      <c r="AI247" s="71"/>
    </row>
    <row r="248" spans="2:35" x14ac:dyDescent="0.4">
      <c r="B248" t="str">
        <f>"Primary structural balance in MTP in "&amp;AdjustmentPeriodEnd</f>
        <v>Primary structural balance in MTP in 2028</v>
      </c>
      <c r="C248" s="97">
        <f>IF(
  Receives_reference_trajectory,
  NA(),
  INDEX(37:37, MATCH(AdjustmentPeriodEnd, 32:32, 0))
)</f>
        <v>-1.3</v>
      </c>
      <c r="J248" s="71"/>
      <c r="K248" s="71"/>
      <c r="L248" s="71"/>
      <c r="M248" s="71"/>
      <c r="N248" s="71"/>
      <c r="O248" s="71"/>
      <c r="P248" s="71"/>
      <c r="Q248" s="71"/>
      <c r="R248" s="71"/>
      <c r="S248" s="71"/>
      <c r="T248" s="71"/>
      <c r="U248" s="71"/>
      <c r="V248" s="71"/>
      <c r="W248" s="71"/>
      <c r="X248" s="71"/>
      <c r="Y248" s="71"/>
      <c r="Z248" s="71"/>
      <c r="AA248" s="71"/>
      <c r="AB248" s="71"/>
      <c r="AC248" s="71"/>
      <c r="AD248" s="71"/>
      <c r="AE248" s="71"/>
      <c r="AF248" s="71"/>
      <c r="AG248" s="71"/>
      <c r="AH248" s="71"/>
      <c r="AI248" s="71"/>
    </row>
    <row r="249" spans="2:35" x14ac:dyDescent="0.4">
      <c r="B249"/>
      <c r="C249" s="97"/>
      <c r="J249" s="71"/>
      <c r="K249" s="71"/>
      <c r="L249" s="71"/>
      <c r="M249" s="71"/>
      <c r="N249" s="71"/>
      <c r="O249" s="71"/>
      <c r="P249" s="71"/>
      <c r="Q249" s="71"/>
      <c r="R249" s="71"/>
      <c r="S249" s="71"/>
      <c r="T249" s="71"/>
      <c r="U249" s="71"/>
      <c r="V249" s="71"/>
      <c r="W249" s="71"/>
      <c r="X249" s="71"/>
      <c r="Y249" s="71"/>
      <c r="Z249" s="71"/>
      <c r="AA249" s="71"/>
      <c r="AB249" s="71"/>
      <c r="AC249" s="71"/>
      <c r="AD249" s="71"/>
      <c r="AE249" s="71"/>
      <c r="AF249" s="71"/>
      <c r="AG249" s="71"/>
      <c r="AH249" s="71"/>
      <c r="AI249" s="71"/>
    </row>
    <row r="250" spans="2:35" x14ac:dyDescent="0.4">
      <c r="B250" t="s">
        <v>512</v>
      </c>
      <c r="C250" s="97" t="b">
        <f>IF(
  Receives_reference_trajectory,
  NA(),
  C248 &gt;= C246
)</f>
        <v>1</v>
      </c>
      <c r="J250" s="71"/>
      <c r="K250" s="71"/>
      <c r="L250" s="71"/>
      <c r="M250" s="71"/>
      <c r="N250" s="71"/>
      <c r="O250" s="71"/>
      <c r="P250" s="71"/>
      <c r="Q250" s="71"/>
      <c r="R250" s="71"/>
      <c r="S250" s="71"/>
      <c r="T250" s="71"/>
      <c r="U250" s="71"/>
      <c r="V250" s="71"/>
      <c r="W250" s="71"/>
      <c r="X250" s="71"/>
      <c r="Y250" s="71"/>
      <c r="Z250" s="71"/>
      <c r="AA250" s="71"/>
      <c r="AB250" s="71"/>
      <c r="AC250" s="71"/>
      <c r="AD250" s="71"/>
      <c r="AE250" s="71"/>
      <c r="AF250" s="71"/>
      <c r="AG250" s="71"/>
      <c r="AH250" s="71"/>
      <c r="AI250" s="71"/>
    </row>
    <row r="251" spans="2:35" x14ac:dyDescent="0.4">
      <c r="B251" s="14" t="s">
        <v>270</v>
      </c>
      <c r="C251" s="15" t="e">
        <f>IF(Receives_reference_trajectory,NA(),IF(NOT(C250),'Step 4 (MTP) - IFI scrutiny'!D3,NA()))</f>
        <v>#N/A</v>
      </c>
      <c r="J251" s="71"/>
      <c r="K251" s="71"/>
      <c r="L251" s="71"/>
      <c r="M251" s="71"/>
      <c r="N251" s="71"/>
      <c r="O251" s="71"/>
      <c r="P251" s="71"/>
      <c r="Q251" s="71"/>
      <c r="R251" s="71"/>
      <c r="S251" s="71"/>
      <c r="T251" s="71"/>
      <c r="U251" s="71"/>
      <c r="V251" s="71"/>
      <c r="W251" s="71"/>
      <c r="X251" s="71"/>
      <c r="Y251" s="71"/>
      <c r="Z251" s="71"/>
      <c r="AA251" s="71"/>
      <c r="AB251" s="71"/>
      <c r="AC251" s="71" t="s">
        <v>264</v>
      </c>
      <c r="AD251" s="71"/>
      <c r="AE251" s="71"/>
      <c r="AF251" s="71"/>
      <c r="AG251" s="71"/>
      <c r="AH251" s="71"/>
      <c r="AI251" s="71"/>
    </row>
    <row r="252" spans="2:35" x14ac:dyDescent="0.4">
      <c r="B252" t="s">
        <v>582</v>
      </c>
      <c r="C252" s="15" t="b">
        <f>IF(
  Receives_reference_trajectory,
  NA(),
  OR(
    C250,
    IF(ISNA(C251), TRUE, C251)
  )
)</f>
        <v>1</v>
      </c>
      <c r="J252" s="71"/>
      <c r="K252" s="71"/>
      <c r="L252" s="71"/>
      <c r="M252" s="71"/>
      <c r="N252" s="71"/>
      <c r="O252" s="71"/>
      <c r="P252" s="71"/>
      <c r="Q252" s="71"/>
      <c r="R252" s="71"/>
      <c r="S252" s="71"/>
      <c r="T252" s="71"/>
      <c r="U252" s="71"/>
      <c r="V252" s="71"/>
      <c r="W252" s="71"/>
      <c r="X252" s="71"/>
      <c r="Y252" s="71"/>
      <c r="Z252" s="71"/>
      <c r="AA252" s="71"/>
      <c r="AB252" s="71"/>
      <c r="AC252" s="71"/>
      <c r="AD252" s="71"/>
      <c r="AE252" s="71"/>
      <c r="AF252" s="71"/>
      <c r="AG252" s="71"/>
      <c r="AH252" s="71"/>
      <c r="AI252" s="71"/>
    </row>
    <row r="253" spans="2:35" x14ac:dyDescent="0.4">
      <c r="B253" s="14" t="s">
        <v>258</v>
      </c>
      <c r="C253" s="102" t="str">
        <f>IF(
  NOT(Receives_reference_trajectory),
  IF(
    C250,
    "The net expenditure path in " &amp; Country &amp; "'s latest MTP ensures the primary structural balance is above the minimum level of the Commission's prior guidance at the end of the adjustment period.",
    IF(
      C251,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The net expenditure path in Latvia's latest MTP ensures the primary structural balance is above the minimum level of the Commission's prior guidance at the end of the adjustment period.</v>
      </c>
      <c r="J253" s="71"/>
      <c r="K253" s="71"/>
      <c r="L253" s="71"/>
      <c r="M253" s="71"/>
      <c r="N253" s="71"/>
      <c r="O253" s="71"/>
      <c r="P253" s="71"/>
      <c r="Q253" s="71"/>
      <c r="R253" s="71"/>
      <c r="S253" s="71"/>
      <c r="T253" s="71"/>
      <c r="U253" s="71"/>
      <c r="V253" s="71"/>
      <c r="W253" s="71"/>
      <c r="X253" s="71"/>
      <c r="Y253" s="71"/>
      <c r="Z253" s="71"/>
      <c r="AA253" s="71"/>
      <c r="AB253" s="71"/>
      <c r="AC253" s="71"/>
      <c r="AD253" s="71"/>
      <c r="AE253" s="71"/>
      <c r="AF253" s="71"/>
      <c r="AG253" s="71"/>
      <c r="AH253" s="71"/>
      <c r="AI253" s="71"/>
    </row>
    <row r="254" spans="2:35" ht="15.75" x14ac:dyDescent="0.5">
      <c r="B254" s="79"/>
      <c r="C254" s="102"/>
      <c r="J254" s="71"/>
      <c r="K254" s="71"/>
      <c r="L254" s="71"/>
      <c r="M254" s="71"/>
      <c r="N254" s="71"/>
      <c r="O254" s="71"/>
      <c r="P254" s="71"/>
      <c r="Q254" s="71"/>
      <c r="R254" s="71"/>
      <c r="S254" s="71"/>
      <c r="T254" s="71"/>
      <c r="U254" s="71"/>
      <c r="V254" s="71"/>
      <c r="W254" s="71"/>
      <c r="X254" s="71"/>
      <c r="Y254" s="71"/>
      <c r="Z254" s="71"/>
      <c r="AA254" s="71"/>
      <c r="AB254" s="71"/>
      <c r="AC254" s="71"/>
      <c r="AD254" s="71"/>
      <c r="AE254" s="71"/>
      <c r="AF254" s="71"/>
      <c r="AG254" s="71"/>
      <c r="AH254" s="71"/>
      <c r="AI254" s="71"/>
    </row>
    <row r="255" spans="2:35" ht="20.25" customHeight="1" x14ac:dyDescent="0.7">
      <c r="B255" s="13" t="s">
        <v>523</v>
      </c>
      <c r="C255" s="18"/>
      <c r="J255" s="71"/>
      <c r="K255" s="71"/>
      <c r="L255" s="71"/>
      <c r="M255" s="71"/>
      <c r="N255" s="71"/>
      <c r="O255" s="71"/>
      <c r="P255" s="71"/>
      <c r="Q255" s="71"/>
      <c r="R255" s="71"/>
      <c r="S255" s="71"/>
      <c r="T255" s="71"/>
      <c r="U255" s="71"/>
      <c r="V255" s="71"/>
      <c r="W255" s="71"/>
      <c r="X255" s="71"/>
      <c r="Y255" s="71"/>
      <c r="Z255" s="71"/>
      <c r="AA255" s="71"/>
      <c r="AB255" s="71"/>
      <c r="AC255" s="71"/>
      <c r="AD255" s="71"/>
      <c r="AE255" s="71"/>
      <c r="AF255" s="71"/>
      <c r="AG255" s="71"/>
      <c r="AH255" s="71"/>
      <c r="AI255" s="71"/>
    </row>
    <row r="256" spans="2:35" ht="18" x14ac:dyDescent="0.55000000000000004">
      <c r="B256" s="50" t="s">
        <v>908</v>
      </c>
      <c r="C256" s="18"/>
      <c r="J256" s="71"/>
      <c r="K256" s="71"/>
      <c r="L256" s="71"/>
      <c r="M256" s="71"/>
      <c r="N256" s="71"/>
      <c r="O256" s="71"/>
      <c r="P256" s="71"/>
      <c r="Q256" s="71"/>
      <c r="R256" s="71"/>
      <c r="S256" s="71"/>
      <c r="T256" s="71"/>
      <c r="U256" s="71"/>
      <c r="V256" s="71"/>
      <c r="W256" s="71"/>
      <c r="X256" s="71"/>
      <c r="Y256" s="71"/>
      <c r="Z256" s="71"/>
      <c r="AA256" s="71"/>
      <c r="AB256" s="71"/>
      <c r="AC256" s="71"/>
      <c r="AD256" s="71"/>
      <c r="AE256" s="71"/>
      <c r="AF256" s="71"/>
      <c r="AG256" s="71"/>
      <c r="AH256" s="71"/>
      <c r="AI256" s="71"/>
    </row>
    <row r="257" spans="2:35" customFormat="1" ht="15.75" x14ac:dyDescent="0.5">
      <c r="B257" s="79" t="s">
        <v>511</v>
      </c>
    </row>
    <row r="258" spans="2:35" x14ac:dyDescent="0.4">
      <c r="B258" t="s">
        <v>453</v>
      </c>
      <c r="C258" s="15" t="str">
        <f>IF(
  NOT(Receives_reference_trajectory),
  "Not applicable",
  MAX(
    _xlfn.CHOOSECOLS(
      52:52,
      _xlfn.SEQUENCE(
        1,
        _xlfn.XMATCH(AdjustmentPeriodEnd+10,46:46,1) - _xlfn.XMATCH(AdjustmentPeriodEnd,46:46,0),
        _xlfn.XMATCH(AdjustmentPeriodEnd,46:46,0) + 1
      )
    )
  ) &lt;= TFEU_Debt
)</f>
        <v>Not applicable</v>
      </c>
      <c r="J258" s="71"/>
      <c r="K258" s="71"/>
      <c r="L258" s="71"/>
      <c r="M258" s="71"/>
      <c r="N258" s="71"/>
      <c r="O258" s="71"/>
      <c r="P258" s="71"/>
      <c r="Q258" s="71"/>
      <c r="R258" s="71"/>
      <c r="S258" s="71"/>
      <c r="T258" s="71"/>
      <c r="U258" s="71"/>
      <c r="V258" s="71"/>
      <c r="W258" s="71"/>
      <c r="X258" s="71"/>
      <c r="Y258" s="71"/>
      <c r="Z258" s="71"/>
      <c r="AA258" s="71"/>
      <c r="AB258" s="71"/>
      <c r="AC258" s="71"/>
      <c r="AD258" s="71"/>
      <c r="AE258" s="71"/>
      <c r="AF258" s="71"/>
      <c r="AG258" s="71"/>
      <c r="AH258" s="71"/>
      <c r="AI258" s="71"/>
    </row>
    <row r="259" spans="2:35" ht="20.25" customHeight="1" x14ac:dyDescent="0.4">
      <c r="B259" t="s">
        <v>362</v>
      </c>
      <c r="C259" s="18"/>
      <c r="E259" s="18"/>
      <c r="J259" s="16"/>
    </row>
    <row r="260" spans="2:35" x14ac:dyDescent="0.4">
      <c r="B260" s="12" t="s">
        <v>356</v>
      </c>
      <c r="C260" s="15" t="str" cm="1">
        <f t="array" ref="C260">IF(OR(NOT(Receives_reference_trajectory),C258),"Not applicable",
 IF(_xlfn.XMATCH(AdjustmentPeriodEnd+10,46:46,1)-_xlfn.XMATCH(AdjustmentPeriodEnd,46:46,0)&lt;=0,TRUE,
   MAX(
     _xlfn.CHOOSECOLS(52:52,_xlfn.SEQUENCE(1,_xlfn.XMATCH(AdjustmentPeriodEnd+10,46:46,1)-_xlfn.XMATCH(AdjustmentPeriodEnd,46:46,0),_xlfn.XMATCH(AdjustmentPeriodEnd,46:46,0)+1)) -
     _xlfn.CHOOSECOLS(52:52,_xlfn.SEQUENCE(1,_xlfn.XMATCH(AdjustmentPeriodEnd+10,46:46,1)-_xlfn.XMATCH(AdjustmentPeriodEnd,46:46,0),_xlfn.XMATCH(AdjustmentPeriodEnd,46:46,0)))
   )&lt;=0
 ))</f>
        <v>Not applicable</v>
      </c>
      <c r="E260" s="18"/>
      <c r="J260" s="16"/>
    </row>
    <row r="261" spans="2:35" x14ac:dyDescent="0.4">
      <c r="B261" s="12" t="s">
        <v>357</v>
      </c>
      <c r="C261" s="15" t="str" cm="1">
        <f t="array" ref="C261">IF(OR(NOT(Receives_reference_trajectory),C258),"Not applicable",
 IF(_xlfn.XMATCH(AdjustmentPeriodEnd+10,46:46,1)-_xlfn.XMATCH(AdjustmentPeriodEnd,46:46,0)&lt;=0,TRUE,
   MAX(
     _xlfn.CHOOSECOLS(75:75,_xlfn.SEQUENCE(1,_xlfn.XMATCH(AdjustmentPeriodEnd+10,46:46,1)-_xlfn.XMATCH(AdjustmentPeriodEnd,46:46,0),_xlfn.XMATCH(AdjustmentPeriodEnd,46:46,0)+1)) -
     _xlfn.CHOOSECOLS(75:75,_xlfn.SEQUENCE(1,_xlfn.XMATCH(AdjustmentPeriodEnd+10,46:46,1)-_xlfn.XMATCH(AdjustmentPeriodEnd,46:46,0),_xlfn.XMATCH(AdjustmentPeriodEnd,46:46,0)))
   )&lt;=0
 ))</f>
        <v>Not applicable</v>
      </c>
      <c r="E261" s="18"/>
      <c r="J261" s="16"/>
    </row>
    <row r="262" spans="2:35" x14ac:dyDescent="0.4">
      <c r="B262" s="12" t="s">
        <v>358</v>
      </c>
      <c r="C262" s="15" t="str" cm="1">
        <f t="array" ref="C262">IF(OR(NOT(Receives_reference_trajectory),C258),"Not applicable",
 IF(_xlfn.XMATCH(AdjustmentPeriodEnd+10,46:46,1)-_xlfn.XMATCH(AdjustmentPeriodEnd,46:46,0)&lt;=0,TRUE,
   MAX(
     _xlfn.CHOOSECOLS(76:76,_xlfn.SEQUENCE(1,_xlfn.XMATCH(AdjustmentPeriodEnd+10,46:46,1)-_xlfn.XMATCH(AdjustmentPeriodEnd,46:46,0),_xlfn.XMATCH(AdjustmentPeriodEnd,46:46,0)+1)) -
     _xlfn.CHOOSECOLS(76:76,_xlfn.SEQUENCE(1,_xlfn.XMATCH(AdjustmentPeriodEnd+10,46:46,1)-_xlfn.XMATCH(AdjustmentPeriodEnd,46:46,0),_xlfn.XMATCH(AdjustmentPeriodEnd,46:46,0)))
   )&lt;=0
 ))</f>
        <v>Not applicable</v>
      </c>
      <c r="E262" s="18"/>
      <c r="J262" s="16"/>
    </row>
    <row r="263" spans="2:35" x14ac:dyDescent="0.4">
      <c r="B263" s="12" t="s">
        <v>359</v>
      </c>
      <c r="C263" s="15" t="str" cm="1">
        <f t="array" ref="C263">IF(OR(NOT(Receives_reference_trajectory),C258),"Not applicable",
 IF(_xlfn.XMATCH(AdjustmentPeriodEnd+10,46:46,1)-_xlfn.XMATCH(AdjustmentPeriodEnd,46:46,0)&lt;=0,TRUE,
   MAX(
     _xlfn.CHOOSECOLS(77:77,_xlfn.SEQUENCE(1,_xlfn.XMATCH(AdjustmentPeriodEnd+10,46:46,1)-_xlfn.XMATCH(AdjustmentPeriodEnd,46:46,0),_xlfn.XMATCH(AdjustmentPeriodEnd,46:46,0)+1)) -
     _xlfn.CHOOSECOLS(77:77,_xlfn.SEQUENCE(1,_xlfn.XMATCH(AdjustmentPeriodEnd+10,46:46,1)-_xlfn.XMATCH(AdjustmentPeriodEnd,46:46,0),_xlfn.XMATCH(AdjustmentPeriodEnd,46:46,0)))
   )&lt;=0
 ))</f>
        <v>Not applicable</v>
      </c>
      <c r="E263" s="18"/>
      <c r="J263" s="16"/>
    </row>
    <row r="264" spans="2:35" x14ac:dyDescent="0.4">
      <c r="B264" s="12" t="s">
        <v>360</v>
      </c>
      <c r="C264" s="15" t="str" cm="1">
        <f t="array" ref="C264">IF(OR(NOT(Receives_reference_trajectory),C258),"Not applicable",
 IF(_xlfn.XMATCH(AdjustmentPeriodEnd+5,46:46,1)-_xlfn.XMATCH(AdjustmentPeriodEnd,46:46,0)&lt;=0,TRUE,
   INDEX(87:87,_xlfn.XMATCH(AdjustmentPeriodEnd+5,46:46,1)) &lt; INDEX(87:87,_xlfn.XMATCH(AdjustmentPeriodEnd,46:46,0))
 ))</f>
        <v>Not applicable</v>
      </c>
      <c r="E264" s="18"/>
      <c r="J264" s="16"/>
    </row>
    <row r="265" spans="2:35" x14ac:dyDescent="0.4">
      <c r="B265" t="s">
        <v>361</v>
      </c>
      <c r="C265" s="15" t="str" cm="1">
        <f t="array" ref="C265">IF(
  NOT(Receives_reference_trajectory),
  "Not applicable",
  IF(
    C258,
    TRUE,
    AND(
      IF(_xlfn.XMATCH(AdjustmentPeriodEnd+10,46:46,1)-_xlfn.XMATCH(AdjustmentPeriodEnd,46:46,0)&lt;=0,TRUE,
         MAX(
           _xlfn.CHOOSECOLS(52:52,_xlfn.SEQUENCE(1,_xlfn.XMATCH(AdjustmentPeriodEnd+10,46:46,1)-_xlfn.XMATCH(AdjustmentPeriodEnd,46:46,0),_xlfn.XMATCH(AdjustmentPeriodEnd,46:46,0)+1))
           -_xlfn.CHOOSECOLS(52:52,_xlfn.SEQUENCE(1,_xlfn.XMATCH(AdjustmentPeriodEnd+10,46:46,1)-_xlfn.XMATCH(AdjustmentPeriodEnd,46:46,0),_xlfn.XMATCH(AdjustmentPeriodEnd,46:46,0)))
         )&lt;=0
      ),
      IF(_xlfn.XMATCH(AdjustmentPeriodEnd+10,46:46,1)-_xlfn.XMATCH(AdjustmentPeriodEnd,46:46,0)&lt;=0,TRUE,
         MAX(
           _xlfn.CHOOSECOLS(75:75,_xlfn.SEQUENCE(1,_xlfn.XMATCH(AdjustmentPeriodEnd+10,46:46,1)-_xlfn.XMATCH(AdjustmentPeriodEnd,46:46,0),_xlfn.XMATCH(AdjustmentPeriodEnd,46:46,0)+1))
           -_xlfn.CHOOSECOLS(75:75,_xlfn.SEQUENCE(1,_xlfn.XMATCH(AdjustmentPeriodEnd+10,46:46,1)-_xlfn.XMATCH(AdjustmentPeriodEnd,46:46,0),_xlfn.XMATCH(AdjustmentPeriodEnd,46:46,0)))
         )&lt;=0
      ),
      IF(_xlfn.XMATCH(AdjustmentPeriodEnd+10,46:46,1)-_xlfn.XMATCH(AdjustmentPeriodEnd,46:46,0)&lt;=0,TRUE,
         MAX(
           _xlfn.CHOOSECOLS(76:76,_xlfn.SEQUENCE(1,_xlfn.XMATCH(AdjustmentPeriodEnd+10,46:46,1)-_xlfn.XMATCH(AdjustmentPeriodEnd,46:46,0),_xlfn.XMATCH(AdjustmentPeriodEnd,46:46,0)+1))
           -_xlfn.CHOOSECOLS(76:76,_xlfn.SEQUENCE(1,_xlfn.XMATCH(AdjustmentPeriodEnd+10,46:46,1)-_xlfn.XMATCH(AdjustmentPeriodEnd,46:46,0),_xlfn.XMATCH(AdjustmentPeriodEnd,46:46,0)))
         )&lt;=0
      ),
      IF(_xlfn.XMATCH(AdjustmentPeriodEnd+10,46:46,1)-_xlfn.XMATCH(AdjustmentPeriodEnd,46:46,0)&lt;=0,TRUE,
         MAX(
           _xlfn.CHOOSECOLS(77:77,_xlfn.SEQUENCE(1,_xlfn.XMATCH(AdjustmentPeriodEnd+10,46:46,1)-_xlfn.XMATCH(AdjustmentPeriodEnd,46:46,0),_xlfn.XMATCH(AdjustmentPeriodEnd,46:46,0)+1))
           -_xlfn.CHOOSECOLS(77:77,_xlfn.SEQUENCE(1,_xlfn.XMATCH(AdjustmentPeriodEnd+10,46:46,1)-_xlfn.XMATCH(AdjustmentPeriodEnd,46:46,0),_xlfn.XMATCH(AdjustmentPeriodEnd,46:46,0)))
         )&lt;=0
      ),
      $D$58&gt;=70
    )
  )
)</f>
        <v>Not applicable</v>
      </c>
      <c r="E265" s="18"/>
      <c r="J265" s="16"/>
    </row>
    <row r="266" spans="2:35" ht="20.25" customHeight="1" x14ac:dyDescent="0.4">
      <c r="B266" s="14" t="s">
        <v>258</v>
      </c>
      <c r="C266" s="102" t="e">
        <f>IF(Receives_reference_trajectory,IF(C258,Country&amp;"'s planned net expenditure ensures gross government debt remains at prudent levels below 60% over the medium-term.",IF(C265,Country&amp;"'s planned net expenditure ensures gross government debt meets all risk-based debt requirements for a plausible downward path.",Country&amp;"'s planned net expenditure ensures gross government debt does not meet all risk-based debt requirements for a plausible downward path.")),NA())</f>
        <v>#N/A</v>
      </c>
      <c r="E266" s="18"/>
      <c r="J266" s="16"/>
    </row>
    <row r="267" spans="2:35" ht="20.25" customHeight="1" x14ac:dyDescent="0.4">
      <c r="C267" s="102"/>
      <c r="E267" s="18"/>
      <c r="J267" s="16"/>
    </row>
    <row r="268" spans="2:35" ht="15.75" x14ac:dyDescent="0.5">
      <c r="B268" s="79" t="s">
        <v>454</v>
      </c>
      <c r="C268" s="37"/>
      <c r="J268" s="71"/>
      <c r="K268" s="71"/>
      <c r="L268" s="71"/>
      <c r="M268" s="71"/>
      <c r="N268" s="71"/>
      <c r="O268" s="71"/>
      <c r="P268" s="71"/>
      <c r="Q268" s="71"/>
      <c r="R268" s="71"/>
      <c r="S268" s="71"/>
      <c r="T268" s="71"/>
      <c r="U268" s="71"/>
      <c r="V268" s="71"/>
      <c r="W268" s="71"/>
      <c r="X268" s="71"/>
      <c r="Y268" s="71"/>
      <c r="Z268" s="71"/>
      <c r="AA268" s="71"/>
      <c r="AB268" s="71"/>
      <c r="AC268" s="71"/>
      <c r="AD268" s="71"/>
      <c r="AE268" s="71"/>
      <c r="AF268" s="71"/>
      <c r="AG268" s="71"/>
      <c r="AH268" s="71"/>
      <c r="AI268" s="71"/>
    </row>
    <row r="269" spans="2:35" x14ac:dyDescent="0.4">
      <c r="B269" t="s">
        <v>513</v>
      </c>
      <c r="C269" s="15" t="b" cm="1">
        <f t="array" ref="C269">IF(
  Receives_reference_trajectory,
  NA(),
  MAX(IF((46:46&gt;AdjustmentPeriodEnd)*(46:46&lt;=AdjustmentPeriodEnd+10), 52:52)) &lt;= TFEU_Debt
)</f>
        <v>1</v>
      </c>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row>
    <row r="270" spans="2:35" ht="19.5" customHeight="1" x14ac:dyDescent="0.4">
      <c r="B270" s="14" t="s">
        <v>258</v>
      </c>
      <c r="C270" s="102" t="str">
        <f>IF(
  ISNA(C269),
  "Not applicable",
  IF(
    C269,
    Country &amp; "'s debt remains below the TFEU debt reference level in each of the ten years following the adjustment period.",
    Country &amp; "'s debt breaches the TFEU debt reference level in one or more of the ten years following the adjustment period."
  )
)</f>
        <v>Latvia's debt remains below the TFEU debt reference level in each of the ten years following the adjustment period.</v>
      </c>
      <c r="E270" s="18"/>
      <c r="J270" s="16"/>
    </row>
    <row r="271" spans="2:35" ht="19.5" customHeight="1" x14ac:dyDescent="0.4">
      <c r="C271" s="37"/>
      <c r="E271" s="18"/>
      <c r="J271" s="16"/>
    </row>
    <row r="272" spans="2:35" ht="18" x14ac:dyDescent="0.55000000000000004">
      <c r="B272" s="50" t="s">
        <v>909</v>
      </c>
      <c r="C272" s="92"/>
      <c r="E272" s="18"/>
      <c r="J272" s="16"/>
    </row>
    <row r="273" spans="2:35" customFormat="1" ht="15.75" x14ac:dyDescent="0.5">
      <c r="B273" s="79" t="s">
        <v>511</v>
      </c>
    </row>
    <row r="274" spans="2:35" x14ac:dyDescent="0.4">
      <c r="B274" t="s">
        <v>498</v>
      </c>
      <c r="C274" s="15" t="e" cm="1">
        <f t="array" ref="C274">IF(
  Receives_reference_trajectory,
  IFERROR(
    AND(
      _xlfn._xlws.FILTER(
        50:50,
        (46:46&gt;=MTP_YearT)*(46:46&lt;=AdjustmentPeriodEnd)
      ) &gt; -TFEU_Deficit
    ),
    NA()
  ),
  NA()
)</f>
        <v>#N/A</v>
      </c>
      <c r="E274" s="18"/>
      <c r="J274" s="16"/>
    </row>
    <row r="275" spans="2:35" x14ac:dyDescent="0.4">
      <c r="B275" t="s">
        <v>499</v>
      </c>
      <c r="C275" s="15" t="e" cm="1">
        <f t="array" ref="C275">IF(
  Receives_reference_trajectory,
  IFERROR(
    AND(
      _xlfn._xlws.FILTER(
        50:50,
        (46:46&gt;=AdjustmentPeriodEnd)*(46:46&lt;=AdjustmentPeriodEnd+10)
      ) &gt; -TFEU_Deficit
    ),
    NA()
  ),
  NA()
)</f>
        <v>#N/A</v>
      </c>
      <c r="E275" s="18"/>
      <c r="J275" s="16"/>
    </row>
    <row r="276" spans="2:35" ht="20.25" customHeight="1" x14ac:dyDescent="0.4">
      <c r="B276" s="14" t="s">
        <v>258</v>
      </c>
      <c r="C276" s="102" t="e">
        <f>IF(
  Receives_reference_trajectory,
  IF(
    C275,
    IF(
      C274,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#N/A</v>
      </c>
      <c r="E276" s="18"/>
      <c r="J276" s="16"/>
    </row>
    <row r="277" spans="2:35" ht="20.25" customHeight="1" x14ac:dyDescent="0.4">
      <c r="C277" s="102"/>
      <c r="E277" s="18"/>
      <c r="J277" s="16"/>
    </row>
    <row r="278" spans="2:35" ht="15.75" x14ac:dyDescent="0.5">
      <c r="B278" s="79" t="s">
        <v>454</v>
      </c>
      <c r="C278" s="37"/>
      <c r="J278" s="71"/>
      <c r="K278" s="71"/>
      <c r="L278" s="71"/>
      <c r="M278" s="71"/>
      <c r="N278" s="71"/>
      <c r="O278" s="71"/>
      <c r="P278" s="71"/>
      <c r="Q278" s="71"/>
      <c r="R278" s="71"/>
      <c r="S278" s="71"/>
      <c r="T278" s="71"/>
      <c r="U278" s="71"/>
      <c r="V278" s="71"/>
      <c r="W278" s="71"/>
      <c r="X278" s="71"/>
      <c r="Y278" s="71"/>
      <c r="Z278" s="71"/>
      <c r="AA278" s="71"/>
      <c r="AB278" s="71"/>
      <c r="AC278" s="71"/>
      <c r="AD278" s="71"/>
      <c r="AE278" s="71"/>
      <c r="AF278" s="71"/>
      <c r="AG278" s="71"/>
      <c r="AH278" s="71"/>
      <c r="AI278" s="71"/>
    </row>
    <row r="279" spans="2:35" x14ac:dyDescent="0.4">
      <c r="B279" t="s">
        <v>514</v>
      </c>
      <c r="C279" s="15" t="b" cm="1">
        <f t="array" ref="C279">IF(
  Receives_reference_trajectory,
  NA(),
  MIN(IF((46:46&gt;=AdjustmentPeriodEnd)*(46:46&lt;=AdjustmentPeriodEnd+10), 50:50)) &gt;= -TFEU_Deficit
)</f>
        <v>1</v>
      </c>
      <c r="J279" s="71"/>
      <c r="K279" s="71"/>
      <c r="L279" s="71"/>
      <c r="M279" s="71"/>
      <c r="N279" s="71"/>
      <c r="O279" s="71"/>
      <c r="P279" s="71"/>
      <c r="Q279" s="71"/>
      <c r="R279" s="71"/>
      <c r="S279" s="71"/>
      <c r="T279" s="71"/>
      <c r="U279" s="71"/>
      <c r="V279" s="71"/>
      <c r="W279" s="71"/>
      <c r="X279" s="71"/>
      <c r="Y279" s="71"/>
      <c r="Z279" s="71"/>
      <c r="AA279" s="71"/>
      <c r="AB279" s="71"/>
      <c r="AC279" s="71"/>
      <c r="AD279" s="71"/>
      <c r="AE279" s="71"/>
      <c r="AF279" s="71"/>
      <c r="AG279" s="71"/>
      <c r="AH279" s="71"/>
      <c r="AI279" s="71"/>
    </row>
    <row r="280" spans="2:35" x14ac:dyDescent="0.4">
      <c r="B280" s="2" t="s">
        <v>524</v>
      </c>
      <c r="C280" s="15" t="b" cm="1">
        <f t="array" ref="C280">IF(
  Receives_reference_trajectory,
  NA(),
  MIN(IF(46:46=AdjustmentPeriodEnd, 50:50)) &gt;= -TFEU_Deficit
)</f>
        <v>1</v>
      </c>
      <c r="E280" s="18"/>
      <c r="J280" s="16"/>
    </row>
    <row r="281" spans="2:35" x14ac:dyDescent="0.4">
      <c r="B281" s="2" t="s">
        <v>525</v>
      </c>
      <c r="C281" s="15" t="b" cm="1">
        <f t="array" ref="C281">IF(
  Receives_reference_trajectory,
  NA(),
  MIN(IF((46:46&gt;AdjustmentPeriodEnd)*(46:46&lt;=AdjustmentPeriodEnd+10), 50:50)) &gt;= -TFEU_Deficit
)</f>
        <v>1</v>
      </c>
      <c r="E281" s="18"/>
      <c r="J281" s="16"/>
    </row>
    <row r="282" spans="2:35" x14ac:dyDescent="0.4">
      <c r="B282"/>
      <c r="C282" s="15"/>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c r="AI282" s="71"/>
    </row>
    <row r="283" spans="2:35" ht="17.25" customHeight="1" x14ac:dyDescent="0.4">
      <c r="B283" s="14" t="s">
        <v>258</v>
      </c>
      <c r="C283" s="102" t="str">
        <f>IF(
  OR(ISNA(C280), ISNA(C281)),
  "Not applicable",
  IF(
    AND(C280, C281),
    Country &amp; "'s deficit remains below the TFEU reference level in the final year of the adjustment period and throughout the following ten years.",
    IF(
      AND(NOT(C280), C281),
      Country &amp; "'s deficit breaches the TFEU reference level in the final year of the adjustment period but remains below it in the following ten years.",
      IF(
        AND(C280, NOT(C281)),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Latvia's deficit remains below the TFEU reference level in the final year of the adjustment period and throughout the following ten years.</v>
      </c>
      <c r="J283" s="71"/>
      <c r="K283" s="71"/>
      <c r="L283" s="71"/>
      <c r="M283" s="71"/>
      <c r="N283" s="71"/>
      <c r="O283" s="71"/>
      <c r="P283" s="71"/>
      <c r="Q283" s="71"/>
      <c r="R283" s="71"/>
      <c r="S283" s="71"/>
      <c r="T283" s="71"/>
      <c r="U283" s="71"/>
      <c r="V283" s="71"/>
      <c r="W283" s="71"/>
      <c r="X283" s="71"/>
      <c r="Y283" s="71"/>
      <c r="Z283" s="71"/>
      <c r="AA283" s="71"/>
      <c r="AB283" s="71"/>
      <c r="AC283" s="71"/>
      <c r="AD283" s="71"/>
      <c r="AE283" s="71"/>
      <c r="AF283" s="71"/>
      <c r="AG283" s="71"/>
      <c r="AH283" s="71"/>
      <c r="AI283" s="71"/>
    </row>
    <row r="284" spans="2:35" x14ac:dyDescent="0.4">
      <c r="C284" s="102"/>
      <c r="J284" s="71"/>
      <c r="K284" s="71"/>
      <c r="L284" s="71"/>
      <c r="M284" s="71"/>
      <c r="N284" s="71"/>
      <c r="O284" s="71"/>
      <c r="P284" s="71"/>
      <c r="Q284" s="71"/>
      <c r="R284" s="71"/>
      <c r="S284" s="71"/>
      <c r="T284" s="71"/>
      <c r="U284" s="71"/>
      <c r="V284" s="71"/>
      <c r="W284" s="71"/>
      <c r="X284" s="71"/>
      <c r="Y284" s="71"/>
      <c r="Z284" s="71"/>
      <c r="AA284" s="71"/>
      <c r="AB284" s="71"/>
      <c r="AC284" s="71"/>
      <c r="AD284" s="71"/>
      <c r="AE284" s="71"/>
      <c r="AF284" s="71"/>
      <c r="AG284" s="71"/>
      <c r="AH284" s="71"/>
      <c r="AI284" s="71"/>
    </row>
    <row r="285" spans="2:35" ht="18" x14ac:dyDescent="0.55000000000000004">
      <c r="B285" s="50" t="s">
        <v>910</v>
      </c>
      <c r="C285" s="37"/>
      <c r="E285" s="17"/>
    </row>
    <row r="286" spans="2:35" ht="16.899999999999999" customHeight="1" x14ac:dyDescent="0.7">
      <c r="B286" s="103"/>
      <c r="C286" s="104"/>
      <c r="D286" s="14" cm="1">
        <f t="array" ref="D286:I286">_xlfn.SEQUENCE(1, AdjustmentPeriodEnd-MTP_BaseYear+1, MTP_BaseYear)</f>
        <v>2023</v>
      </c>
      <c r="E286" s="14">
        <v>2024</v>
      </c>
      <c r="F286" s="17">
        <v>2025</v>
      </c>
      <c r="G286" s="14">
        <v>2026</v>
      </c>
      <c r="H286" s="14">
        <v>2027</v>
      </c>
      <c r="I286" s="14">
        <v>2028</v>
      </c>
    </row>
    <row r="287" spans="2:35" ht="13.5" customHeight="1" x14ac:dyDescent="0.4">
      <c r="B287" t="s">
        <v>214</v>
      </c>
      <c r="C287" s="37"/>
      <c r="D287" s="91" cm="1">
        <f t="array" ref="D287:I287">INDEX(37:37, COLUMN($D$37) + _xlfn.SEQUENCE(1, COLUMNS(_xlfn.ANCHORARRAY(D286))) - 1)</f>
        <v>-1.2</v>
      </c>
      <c r="E287" s="91">
        <v>-0.8</v>
      </c>
      <c r="F287" s="91">
        <v>-1.3</v>
      </c>
      <c r="G287" s="91">
        <v>-1.3</v>
      </c>
      <c r="H287" s="91">
        <v>-1.3</v>
      </c>
      <c r="I287" s="91">
        <v>-1.3</v>
      </c>
    </row>
    <row r="288" spans="2:35" ht="13.5" customHeight="1" x14ac:dyDescent="0.4">
      <c r="B288" s="7" t="s">
        <v>346</v>
      </c>
      <c r="C288" s="93"/>
      <c r="E288" s="100">
        <f>IF(ISNUMBER(E287),E287-D287,"")</f>
        <v>0.39999999999999991</v>
      </c>
      <c r="F288" s="100">
        <f t="shared" ref="F288:M288" si="37">IF(ISNUMBER(F287),F287-E287,"")</f>
        <v>-0.5</v>
      </c>
      <c r="G288" s="100">
        <f t="shared" si="37"/>
        <v>0</v>
      </c>
      <c r="H288" s="100">
        <f t="shared" si="37"/>
        <v>0</v>
      </c>
      <c r="I288" s="100">
        <f t="shared" si="37"/>
        <v>0</v>
      </c>
      <c r="J288" s="100" t="str">
        <f t="shared" si="37"/>
        <v/>
      </c>
      <c r="K288" s="100" t="str">
        <f t="shared" si="37"/>
        <v/>
      </c>
      <c r="L288" s="100" t="str">
        <f t="shared" si="37"/>
        <v/>
      </c>
      <c r="M288" s="100" t="str">
        <f t="shared" si="37"/>
        <v/>
      </c>
      <c r="N288" s="100"/>
      <c r="O288" s="100"/>
    </row>
    <row r="289" spans="2:15" x14ac:dyDescent="0.4">
      <c r="B289"/>
      <c r="C289" s="37"/>
      <c r="E289" s="100"/>
      <c r="F289" s="100"/>
      <c r="G289" s="100"/>
      <c r="H289" s="100"/>
      <c r="I289" s="100"/>
      <c r="J289" s="100"/>
      <c r="K289" s="100"/>
      <c r="L289" s="100"/>
      <c r="M289" s="100"/>
      <c r="N289" s="100"/>
      <c r="O289" s="100"/>
    </row>
    <row r="290" spans="2:15" x14ac:dyDescent="0.4">
      <c r="B290" t="s">
        <v>375</v>
      </c>
      <c r="C290" s="97" t="e" cm="1">
        <f t="array" ref="C290">IF(
  Receives_reference_trajectory,
  MAX(ROUND(_xlfn._xlws.FILTER(288:288, ISNUMBER(286:286)*(286:286&gt;=MTP_YearT+1)*(286:286&lt;=AdjustmentPeriodEnd)), 1))
  =
  MIN(ROUND(_xlfn._xlws.FILTER(288:288, ISNUMBER(286:286)*(286:286&gt;=MTP_YearT+1)*(286:286&lt;=AdjustmentPeriodEnd)), 1)),
  NA()
)</f>
        <v>#N/A</v>
      </c>
      <c r="D290" s="51"/>
    </row>
    <row r="291" spans="2:15" x14ac:dyDescent="0.4">
      <c r="B291" t="s">
        <v>353</v>
      </c>
      <c r="C291" s="97" t="e" cm="1">
        <f t="array" ref="C291">IF(
  Receives_reference_trajectory,
  MAX(
    _xlfn.DROP(
      ROUND(
        _xlfn._xlws.FILTER(288:288, ISNUMBER(286:286)*(286:286&gt;=MTP_YearT+1)*(286:286&lt;=AdjustmentPeriodEnd)),
        1
      ),
      ,1
    )
    -
    _xlfn.DROP(
      ROUND(
        _xlfn._xlws.FILTER(288:288, ISNUMBER(286:286)*(286:286&gt;=MTP_YearT+1)*(286:286&lt;=AdjustmentPeriodEnd)),
        1
      ),
      ,-1
    )
  )&lt;=0,
  NA()
)</f>
        <v>#N/A</v>
      </c>
      <c r="D291" s="51"/>
    </row>
    <row r="292" spans="2:15" x14ac:dyDescent="0.4">
      <c r="B292" t="s">
        <v>354</v>
      </c>
      <c r="C292" s="97" t="e" cm="1">
        <f t="array" ref="C292">IF(
  Receives_reference_trajectory,
  AND(
    MAX(ROUND(_xlfn._xlws.FILTER(288:288,ISNUMBER(286:286)*(286:286&gt;=MTP_YearT+1)*(286:286&lt;=AdjustmentPeriodEnd)),1))=ROUND($C$293,1),
    MIN(ROUND(_xlfn._xlws.FILTER(288:288,ISNUMBER(286:286)*(286:286&gt;=MTP_YearT+1)*(286:286&lt;=AdjustmentPeriodEnd)),1))=ROUND($C$293,1)
  ),
  NA()
)</f>
        <v>#N/A</v>
      </c>
      <c r="D292" s="51"/>
    </row>
    <row r="293" spans="2:15" x14ac:dyDescent="0.4">
      <c r="B293" s="3" t="s">
        <v>347</v>
      </c>
      <c r="C293" s="97" t="e" cm="1">
        <f t="array" ref="C293">IF(
  Receives_reference_trajectory,
  AVERAGE(
    _xlfn.DROP(
      _xlfn._xlws.FILTER(287:287, ISNUMBER(286:286)*(286:286&gt;=MTP_YearT+1)*(286:286&lt;=AdjustmentPeriodEnd)),
      ,1
    )
    -
    _xlfn.DROP(
      _xlfn._xlws.FILTER(287:287, ISNUMBER(286:286)*(286:286&gt;=MTP_YearT+1)*(286:286&lt;=AdjustmentPeriodEnd)),
      ,-1
    )
  ),
  NA()
)</f>
        <v>#N/A</v>
      </c>
      <c r="D293" s="51"/>
    </row>
    <row r="294" spans="2:15" x14ac:dyDescent="0.4">
      <c r="B294" s="5" t="s">
        <v>348</v>
      </c>
      <c r="C294" s="97" t="e">
        <f>IF(Receives_reference_trajectory,AND(C290:C292),NA())</f>
        <v>#N/A</v>
      </c>
      <c r="D294" s="51"/>
    </row>
    <row r="295" spans="2:15" x14ac:dyDescent="0.4">
      <c r="B295" s="3"/>
      <c r="C295" s="101"/>
      <c r="D295" s="51"/>
    </row>
    <row r="296" spans="2:15" x14ac:dyDescent="0.4">
      <c r="B296" s="14" t="s">
        <v>258</v>
      </c>
      <c r="C296" s="102" t="str">
        <f>IF(
  NOT(Receives_reference_trajectory),
  "Not applicable - "&amp;Country&amp;" is not required to comply with a reference trajectory.",
  "The time profile of the fiscal adjustment, measured as the change in the structural primary balance, is " &amp;
  IF(C290,"linear","non-linear") &amp; ". " &amp;
  "The adjustment effort " &amp; IF(C291,"does not rise","rises") &amp; " over the adjustment period, and it is " &amp;
  IF(C292,"proportional","not proportional") &amp;
  " to the total effort over the adjustment period. " &amp;
  IF(AND(C290,C291,C292),
     "Therefore the net expenditure path put forward in "&amp;Country&amp;"'s latest MTP is consistent with the no backloading safeguard clause.",
     "Therefore the net expenditure path put forward in "&amp;Country&amp;"'s latest MTP is not consistent with the no backloading safeguard clause."
  )
)</f>
        <v>Not applicable - Latvia is not required to comply with a reference trajectory.</v>
      </c>
      <c r="D296" s="51"/>
    </row>
    <row r="297" spans="2:15" x14ac:dyDescent="0.4">
      <c r="C297" s="56"/>
      <c r="D297" s="51"/>
    </row>
    <row r="298" spans="2:15" ht="18" x14ac:dyDescent="0.55000000000000004">
      <c r="B298" s="50" t="s">
        <v>911</v>
      </c>
      <c r="C298" s="56"/>
      <c r="D298" s="51"/>
    </row>
    <row r="299" spans="2:15" x14ac:dyDescent="0.4">
      <c r="B299" t="s">
        <v>363</v>
      </c>
      <c r="C299" s="97" t="b">
        <f>'Step 1 - Set global parameters'!B30</f>
        <v>0</v>
      </c>
      <c r="D299" s="51"/>
    </row>
    <row r="300" spans="2:15" x14ac:dyDescent="0.4">
      <c r="B300" t="s">
        <v>368</v>
      </c>
      <c r="C300" s="97" t="e">
        <f>IF(ISNA('Step 1 - Set global parameters'!B31), NA(), 'Step 1 - Set global parameters'!B31)</f>
        <v>#N/A</v>
      </c>
      <c r="D300" s="51"/>
    </row>
    <row r="301" spans="2:15" x14ac:dyDescent="0.4">
      <c r="B301" t="s">
        <v>364</v>
      </c>
      <c r="C301" s="97" t="b">
        <f>'Step 1 - Set global parameters'!B32</f>
        <v>0</v>
      </c>
      <c r="D301" s="51"/>
    </row>
    <row r="302" spans="2:15" x14ac:dyDescent="0.4">
      <c r="B302" t="s">
        <v>749</v>
      </c>
      <c r="C302" s="97" t="e">
        <f>IF(ISNA('Step 1 - Set global parameters'!B33), NA(), 'Step 1 - Set global parameters'!B33)</f>
        <v>#N/A</v>
      </c>
      <c r="D302" s="51"/>
    </row>
    <row r="303" spans="2:15" x14ac:dyDescent="0.4">
      <c r="B303" t="s">
        <v>371</v>
      </c>
      <c r="C303" s="97" t="e" cm="1">
        <f t="array" ref="C303">IF(
  NOT(C299),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303" s="51"/>
    </row>
    <row r="304" spans="2:15" x14ac:dyDescent="0.4">
      <c r="B304" t="s">
        <v>365</v>
      </c>
      <c r="C304" s="97" t="e" cm="1">
        <f t="array" ref="C304">IF(
  ISNA($C$303),
  NA(),
  IF(
    $C$303=TRUE,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304" s="51"/>
    </row>
    <row r="305" spans="2:35" x14ac:dyDescent="0.4">
      <c r="B305" t="s">
        <v>372</v>
      </c>
      <c r="C305" s="97" t="e">
        <f>IF(NOT(C301),NA(),C240)</f>
        <v>#N/A</v>
      </c>
      <c r="D305" s="51"/>
    </row>
    <row r="306" spans="2:35" x14ac:dyDescent="0.4">
      <c r="B306" t="s">
        <v>374</v>
      </c>
      <c r="C306" s="97" t="e">
        <f>IF(
  NOT($C$301),
  NA(),
  IF(
    Debt_EDP_Deadline &gt; AdjustmentPeriodEnd,
    "Deadline year exceeds last year of reference trajectory.",
    "Requires manual review — test not implemented."
  )
)</f>
        <v>#N/A</v>
      </c>
      <c r="J306" s="71"/>
      <c r="K306" s="71"/>
      <c r="L306" s="71"/>
      <c r="M306" s="71"/>
      <c r="N306" s="71"/>
      <c r="O306" s="71"/>
      <c r="P306" s="71"/>
      <c r="Q306" s="71"/>
      <c r="R306" s="71"/>
      <c r="S306" s="71"/>
      <c r="T306" s="71"/>
      <c r="U306" s="71"/>
      <c r="V306" s="71"/>
      <c r="W306" s="71"/>
      <c r="X306" s="71"/>
      <c r="Y306" s="71"/>
      <c r="Z306" s="71"/>
      <c r="AA306" s="71"/>
      <c r="AB306" s="71"/>
      <c r="AC306" s="71"/>
      <c r="AD306" s="71"/>
      <c r="AE306" s="71"/>
      <c r="AF306" s="71"/>
      <c r="AG306" s="71"/>
      <c r="AH306" s="71"/>
      <c r="AI306" s="71"/>
    </row>
    <row r="307" spans="2:35" x14ac:dyDescent="0.4">
      <c r="B307" t="s">
        <v>379</v>
      </c>
      <c r="C307" s="97" t="e">
        <f>IF(
   OR(ISNA(C303), ISNA(C304), ISNA(C305), ISNA(C306), ISTEXT(C306)),
   NA(),
   AND(
      OR(
         AND(C299, OR(C303, C304)),
         AND(C301, C305, C306),
         AND(C299, NOT(C301), OR(C303, C304)),
         AND(C301, NOT(C299), C305, C306)
      )
   )
)</f>
        <v>#N/A</v>
      </c>
      <c r="J307" s="71"/>
      <c r="K307" s="71"/>
      <c r="L307" s="71"/>
      <c r="M307" s="71"/>
      <c r="N307" s="71"/>
      <c r="O307" s="71"/>
      <c r="P307" s="71"/>
      <c r="Q307" s="71"/>
      <c r="R307" s="71"/>
      <c r="S307" s="71"/>
      <c r="T307" s="71"/>
      <c r="U307" s="71"/>
      <c r="V307" s="71"/>
      <c r="W307" s="71"/>
      <c r="X307" s="71"/>
      <c r="Y307" s="71"/>
      <c r="Z307" s="71"/>
      <c r="AA307" s="71"/>
      <c r="AB307" s="71"/>
      <c r="AC307" s="71"/>
      <c r="AD307" s="71"/>
      <c r="AE307" s="71"/>
      <c r="AF307" s="71"/>
      <c r="AG307" s="71"/>
      <c r="AH307" s="71"/>
      <c r="AI307" s="71"/>
    </row>
    <row r="308" spans="2:35" x14ac:dyDescent="0.4">
      <c r="B308" s="14" t="s">
        <v>258</v>
      </c>
      <c r="C308" s="102" t="str">
        <f>IF(
  OR(C299,C301),
  IF(
    ISNA(C307),
    "The assessment of " &amp; Country &amp; "'s consistency with an excessive deficit procedure corrective path requires manual review.",
    IF(
      C307,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Latvia.</v>
      </c>
      <c r="J308" s="71"/>
      <c r="K308" s="71"/>
      <c r="L308" s="71"/>
      <c r="M308" s="71"/>
      <c r="N308" s="71"/>
      <c r="O308" s="71"/>
      <c r="P308" s="71"/>
      <c r="Q308" s="71"/>
      <c r="R308" s="71"/>
      <c r="S308" s="71"/>
      <c r="T308" s="71"/>
      <c r="U308" s="71"/>
      <c r="V308" s="71"/>
      <c r="W308" s="71"/>
      <c r="X308" s="71"/>
      <c r="Y308" s="71"/>
      <c r="Z308" s="71"/>
      <c r="AA308" s="71"/>
      <c r="AB308" s="71"/>
      <c r="AC308" s="71"/>
      <c r="AD308" s="71"/>
      <c r="AE308" s="71"/>
      <c r="AF308" s="71"/>
      <c r="AG308" s="71"/>
      <c r="AH308" s="71"/>
      <c r="AI308" s="71"/>
    </row>
    <row r="309" spans="2:35" x14ac:dyDescent="0.4">
      <c r="B309"/>
      <c r="C309" s="97"/>
      <c r="J309" s="71"/>
      <c r="K309" s="71"/>
      <c r="L309" s="71"/>
      <c r="M309" s="71"/>
      <c r="N309" s="71"/>
      <c r="O309" s="71"/>
      <c r="P309" s="71"/>
      <c r="Q309" s="71"/>
      <c r="R309" s="71"/>
      <c r="S309" s="71"/>
      <c r="T309" s="71"/>
      <c r="U309" s="71"/>
      <c r="V309" s="71"/>
      <c r="W309" s="71"/>
      <c r="X309" s="71"/>
      <c r="Y309" s="71"/>
      <c r="Z309" s="71"/>
      <c r="AA309" s="71"/>
      <c r="AB309" s="71"/>
      <c r="AC309" s="71"/>
      <c r="AD309" s="71"/>
      <c r="AE309" s="71"/>
      <c r="AF309" s="71"/>
      <c r="AG309" s="71"/>
      <c r="AH309" s="71"/>
      <c r="AI309" s="71"/>
    </row>
    <row r="310" spans="2:35" ht="20.25" customHeight="1" x14ac:dyDescent="0.7">
      <c r="B310" s="13" t="s">
        <v>522</v>
      </c>
      <c r="C310" s="18"/>
      <c r="J310" s="71"/>
      <c r="K310" s="71"/>
      <c r="L310" s="71"/>
      <c r="M310" s="71"/>
      <c r="N310" s="71"/>
      <c r="O310" s="71"/>
      <c r="P310" s="71"/>
      <c r="Q310" s="71"/>
      <c r="R310" s="71"/>
      <c r="S310" s="71"/>
      <c r="T310" s="71"/>
      <c r="U310" s="71"/>
      <c r="V310" s="71"/>
      <c r="W310" s="71"/>
      <c r="X310" s="71"/>
      <c r="Y310" s="71"/>
      <c r="Z310" s="71"/>
      <c r="AA310" s="71"/>
      <c r="AB310" s="71"/>
      <c r="AC310" s="71"/>
      <c r="AD310" s="71"/>
      <c r="AE310" s="71"/>
      <c r="AF310" s="71"/>
      <c r="AG310" s="71"/>
      <c r="AH310" s="71"/>
      <c r="AI310" s="71"/>
    </row>
    <row r="311" spans="2:35" ht="18" x14ac:dyDescent="0.55000000000000004">
      <c r="B311" s="50" t="s">
        <v>912</v>
      </c>
      <c r="D311" s="17"/>
      <c r="J311" s="71"/>
      <c r="K311" s="71"/>
      <c r="L311" s="71" t="s">
        <v>256</v>
      </c>
      <c r="M311" s="71"/>
      <c r="N311" s="71"/>
      <c r="O311" s="71"/>
      <c r="P311" s="71"/>
      <c r="Q311" s="71"/>
      <c r="R311" s="71"/>
      <c r="S311" s="71"/>
      <c r="T311" s="71"/>
      <c r="U311" s="71"/>
      <c r="V311" s="71"/>
      <c r="W311" s="71"/>
      <c r="X311" s="71"/>
      <c r="Y311" s="71"/>
      <c r="Z311" s="71"/>
      <c r="AA311" s="71"/>
      <c r="AB311" s="71"/>
      <c r="AC311" s="71"/>
      <c r="AD311" s="71"/>
      <c r="AE311" s="71"/>
      <c r="AF311" s="71"/>
      <c r="AG311" s="71"/>
      <c r="AH311" s="71"/>
      <c r="AI311" s="71"/>
    </row>
    <row r="312" spans="2:35" x14ac:dyDescent="0.4">
      <c r="B312" t="s">
        <v>585</v>
      </c>
      <c r="C312" s="121" t="b">
        <f>(Country="Greece")</f>
        <v>0</v>
      </c>
    </row>
    <row r="313" spans="2:35" x14ac:dyDescent="0.4">
      <c r="B313" t="s">
        <v>381</v>
      </c>
      <c r="C313" s="15" t="b">
        <f>MAX(INDEX(52:52,1,COLUMN($D$46)):INDEX(52:52,1,COLUMN($D$46)+COLUMNS(_xlfn.ANCHORARRAY($D$46))-1))&gt;90</f>
        <v>0</v>
      </c>
      <c r="J313" s="71"/>
      <c r="K313" s="71"/>
      <c r="L313" s="71"/>
      <c r="M313" s="71"/>
      <c r="N313" s="71"/>
      <c r="O313" s="71"/>
      <c r="P313" s="71"/>
      <c r="Q313" s="71"/>
      <c r="R313" s="71"/>
      <c r="S313" s="71"/>
      <c r="T313" s="71"/>
      <c r="U313" s="71"/>
      <c r="V313" s="71"/>
      <c r="W313" s="71"/>
      <c r="X313" s="71"/>
      <c r="Y313" s="71"/>
      <c r="Z313" s="71"/>
      <c r="AA313" s="71"/>
      <c r="AB313" s="71"/>
      <c r="AC313" s="71"/>
      <c r="AD313" s="71"/>
      <c r="AE313" s="71"/>
      <c r="AF313" s="71"/>
      <c r="AG313" s="71"/>
      <c r="AH313" s="71"/>
      <c r="AI313" s="71"/>
    </row>
    <row r="314" spans="2:35" x14ac:dyDescent="0.4">
      <c r="B314" t="s">
        <v>382</v>
      </c>
      <c r="C314" s="121" t="b" cm="1">
        <f t="array" ref="C314">SUMPRODUCT(
  --(INDEX(74:74,1,COLUMN($D$46)):INDEX(74:74,1,COLUMN($D$46)+COLUMNS(_xlfn.ANCHORARRAY($D$46))-1)&gt;=60),
  --(INDEX(74:74,1,COLUMN($D$46)):INDEX(74:74,1,COLUMN($D$46)+COLUMNS(_xlfn.ANCHORARRAY($D$46))-1)&lt;=90)
)&gt;0</f>
        <v>0</v>
      </c>
      <c r="J314" s="71"/>
      <c r="K314" s="71"/>
      <c r="L314" s="71"/>
      <c r="M314" s="71"/>
      <c r="N314" s="71"/>
      <c r="O314" s="71"/>
      <c r="P314" s="71"/>
      <c r="Q314" s="71"/>
      <c r="R314" s="71"/>
      <c r="S314" s="71"/>
      <c r="T314" s="71"/>
      <c r="U314" s="71"/>
      <c r="V314" s="71"/>
      <c r="W314" s="71"/>
      <c r="X314" s="71"/>
      <c r="Y314" s="71"/>
      <c r="Z314" s="71"/>
      <c r="AA314" s="71"/>
      <c r="AB314" s="71"/>
      <c r="AC314" s="71"/>
      <c r="AD314" s="71"/>
      <c r="AE314" s="71"/>
      <c r="AF314" s="71"/>
      <c r="AG314" s="71"/>
      <c r="AH314" s="71"/>
      <c r="AI314" s="71"/>
    </row>
    <row r="315" spans="2:35" x14ac:dyDescent="0.4">
      <c r="B315" t="s">
        <v>267</v>
      </c>
      <c r="C315" s="121" t="e" cm="1">
        <f t="array" ref="C315">IF(
  C313,
  IFERROR(
    _xlfn.LET(
      _xlpm.yrs,_xlfn.ANCHORARRAY( $D$46),
      _xlpm.startYr, IF(OR('Step 1 - Set global parameters'!$B$30,'Step 1 - Set global parameters'!$B$32), Validation!$Q$6, MTP_BaseYear-1),
      _xlpm.debt, INDEX(52:52, COLUMN($D$46)+_xlfn.SEQUENCE(1, COLUMNS(_xlfn.ANCHORARRAY($D$46)), 0)),
      _xlpm.elig,
        (_xlpm.yrs&gt;=_xlpm.startYr)*
        (_xlpm.yrs&lt;=AdjustmentPeriodEnd)*
        (_xlpm.debt&gt;90)*
        IF(C312, _xlpm.yrs&lt;&gt;2033, TRUE),
      _xlpm.lastYr, LOOKUP(9^9, IF(_xlpm.elig, _xlpm.yrs)),
      _xlpm.startDebt, _xlfn.XLOOKUP(_xlpm.startYr, _xlpm.yrs, _xlpm.debt,,0),
      _xlpm.endDebt,   _xlfn.XLOOKUP(_xlpm.lastYr,  _xlpm.yrs, _xlpm.debt,,0),
      ((_xlpm.startDebt-_xlpm.endDebt)/(_xlpm.lastYr-_xlpm.startYr))&gt;=1
    ),
    TRUE
  ),
  NA()
)</f>
        <v>#N/A</v>
      </c>
    </row>
    <row r="316" spans="2:35" x14ac:dyDescent="0.4">
      <c r="B316" t="s">
        <v>268</v>
      </c>
      <c r="C316" s="121" t="e" cm="1">
        <f t="array" ref="C316">IF(C314,IFERROR(
  (
    INDEX(52:52, COLUMN($D$46)+_xlfn.XMATCH(IF(OR('Step 1 - Set global parameters'!$B$30,'Step 1 - Set global parameters'!$B$32), Validation!$Q$6, MTP_BaseYear-1),_xlfn.ANCHORARRAY( $D$46), 1)-1)
    -
    INDEX(52:52, COLUMN($D$46)+_xlfn.XMATCH(
      LOOKUP(9^9, IF(
        (_xlfn.ANCHORARRAY($D$46)&gt;=IF(OR('Step 1 - Set global parameters'!$B$30,'Step 1 - Set global parameters'!$B$32), Validation!$Q$6, MTP_BaseYear-1))*
        (_xlfn.ANCHORARRAY($D$46)&lt;=AdjustmentPeriodEnd)*
        (INDEX(52:52, COLUMN($D$46)+_xlfn.SEQUENCE(1,COLUMNS(_xlfn.ANCHORARRAY($D$46)),0))&gt;TFEU_Debt),_xlfn.ANCHORARRAY(
        $D$46))
      ),_xlfn.ANCHORARRAY(
      $D$46), 1)-1)
  ) /
  (
    LOOKUP(9^9, IF(
      (_xlfn.ANCHORARRAY($D$46)&gt;=IF(OR('Step 1 - Set global parameters'!$B$30,'Step 1 - Set global parameters'!$B$32), Validation!$Q$6, MTP_BaseYear-1))*
      (_xlfn.ANCHORARRAY($D$46)&lt;=AdjustmentPeriodEnd)*
      (INDEX(52:52, COLUMN($D$46)+_xlfn.SEQUENCE(1,COLUMNS(_xlfn.ANCHORARRAY($D$46)),0))&gt;TFEU_Debt),_xlfn.ANCHORARRAY(
      $D$46))
    )
    - IF(OR('Step 1 - Set global parameters'!$B$30,'Step 1 - Set global parameters'!$B$32), Validation!$Q$6, MTP_BaseYear-1)
  )
  &gt;= 0.5,
  TRUE
),NA())</f>
        <v>#N/A</v>
      </c>
    </row>
    <row r="317" spans="2:35" x14ac:dyDescent="0.4">
      <c r="B317" s="14" t="s">
        <v>527</v>
      </c>
      <c r="C317" s="15" t="e">
        <f>IF(
  NOT(Receives_reference_trajectory),
  NA(),
  IF(
    OR(C313=TRUE, C314=TRUE),
    IF(
      OR(
        IF(C313=TRUE, C315=FALSE, FALSE),
        IF(C314=TRUE, C316=FALSE, FALSE)
      ),
      FALSE,
      TRUE
    ),
    NA()
  )
)</f>
        <v>#N/A</v>
      </c>
    </row>
    <row r="318" spans="2:35" x14ac:dyDescent="0.4">
      <c r="C318" s="17"/>
    </row>
    <row r="319" spans="2:35" x14ac:dyDescent="0.4">
      <c r="B319" s="14" t="s">
        <v>266</v>
      </c>
      <c r="C319" s="102" t="str">
        <f>IF(
  NOT(Receives_reference_trajectory),
  Country &amp; " does not receive a reference trajectory and its MTP is not assessed against the debt sustainability safeguard.",
  IF(
    OR(C313=TRUE, C314=TRUE),
    IF(
      OR(
        IF(C313=TRUE, C315=FALSE, FALSE),
        IF(C314=TRUE, C316=FALSE, FALSE)
      ),
      "The debt sustainability safeguard applies and "&amp;Country&amp;"'s fiscal path is not compliant.",
      "The debt sustainability safeguard applies and "&amp;Country&amp;"'s fiscal path is compliant."
    ),
    "The debt sustainability safeguard does not apply as "&amp;Country&amp;"'s debt is below 60%."
  )
)</f>
        <v>Latvia does not receive a reference trajectory and its MTP is not assessed against the debt sustainability safeguard.</v>
      </c>
      <c r="E319" s="17"/>
    </row>
    <row r="320" spans="2:35" x14ac:dyDescent="0.4">
      <c r="C320" s="56"/>
      <c r="E320" s="17"/>
    </row>
    <row r="321" spans="2:35" ht="23.25" x14ac:dyDescent="0.7">
      <c r="B321" s="50" t="s">
        <v>913</v>
      </c>
      <c r="C321" s="13"/>
      <c r="E321" s="17"/>
    </row>
    <row r="322" spans="2:35" customFormat="1" ht="23.25" x14ac:dyDescent="0.7">
      <c r="B322" s="103"/>
      <c r="C322" s="104"/>
      <c r="D322" s="14" cm="1">
        <f t="array" ref="D322:I322">_xlfn.SEQUENCE(1, AdjustmentPeriodEnd-MTP_BaseYear+1, MTP_BaseYear)</f>
        <v>2023</v>
      </c>
      <c r="E322" s="14">
        <v>2024</v>
      </c>
      <c r="F322" s="17">
        <v>2025</v>
      </c>
      <c r="G322" s="14">
        <v>2026</v>
      </c>
      <c r="H322" s="14">
        <v>2027</v>
      </c>
      <c r="I322" s="14">
        <v>2028</v>
      </c>
    </row>
    <row r="323" spans="2:35" customFormat="1" x14ac:dyDescent="0.4">
      <c r="B323" t="s">
        <v>383</v>
      </c>
      <c r="C323" s="37"/>
      <c r="D323" s="91" cm="1">
        <f t="array" ref="D323:I323">INDEX(36:36, COLUMN($D$36) + _xlfn.SEQUENCE(1, COLUMNS(_xlfn.ANCHORARRAY(D322))) - 1)</f>
        <v>-1.8</v>
      </c>
      <c r="E323" s="91">
        <v>-1.9</v>
      </c>
      <c r="F323" s="91">
        <v>-2.5</v>
      </c>
      <c r="G323" s="91">
        <v>-2.6</v>
      </c>
      <c r="H323" s="91">
        <v>-2.7</v>
      </c>
      <c r="I323" s="91">
        <v>-2.7</v>
      </c>
      <c r="J323" s="91"/>
      <c r="K323" s="91"/>
      <c r="L323" s="91"/>
      <c r="M323" s="91"/>
      <c r="N323" s="91"/>
    </row>
    <row r="324" spans="2:35" customFormat="1" x14ac:dyDescent="0.4">
      <c r="B324" t="s">
        <v>214</v>
      </c>
      <c r="C324" s="37"/>
      <c r="D324" s="91" cm="1">
        <f t="array" ref="D324:I324">INDEX(37:37, COLUMN($D$37) + _xlfn.SEQUENCE(1, COLUMNS(_xlfn.ANCHORARRAY(D322))) - 1)</f>
        <v>-1.2</v>
      </c>
      <c r="E324" s="91">
        <v>-0.8</v>
      </c>
      <c r="F324" s="91">
        <v>-1.3</v>
      </c>
      <c r="G324" s="91">
        <v>-1.3</v>
      </c>
      <c r="H324" s="91">
        <v>-1.3</v>
      </c>
      <c r="I324" s="91">
        <v>-1.3</v>
      </c>
      <c r="J324" s="91"/>
      <c r="K324" s="91"/>
      <c r="L324" s="91"/>
      <c r="M324" s="91"/>
    </row>
    <row r="325" spans="2:35" customFormat="1" x14ac:dyDescent="0.4">
      <c r="B325" s="7" t="s">
        <v>384</v>
      </c>
      <c r="C325" s="93"/>
      <c r="D325" s="91"/>
      <c r="E325" s="91"/>
      <c r="F325" s="91">
        <f>IF(COUNT(E324,F324)=2, F324-E324, "")</f>
        <v>-0.5</v>
      </c>
      <c r="G325" s="91">
        <f t="shared" ref="G325:L325" si="38">IF(COUNT(F324,G324)=2, G324-F324, "")</f>
        <v>0</v>
      </c>
      <c r="H325" s="91">
        <f t="shared" si="38"/>
        <v>0</v>
      </c>
      <c r="I325" s="91">
        <f t="shared" si="38"/>
        <v>0</v>
      </c>
      <c r="J325" s="91" t="str">
        <f t="shared" si="38"/>
        <v/>
      </c>
      <c r="K325" s="91" t="str">
        <f t="shared" si="38"/>
        <v/>
      </c>
      <c r="L325" s="91" t="str">
        <f t="shared" si="38"/>
        <v/>
      </c>
    </row>
    <row r="326" spans="2:35" customFormat="1" x14ac:dyDescent="0.4">
      <c r="B326" t="s">
        <v>660</v>
      </c>
      <c r="D326" s="3" t="b">
        <f>IF(ISNUMBER(D322),D323&lt;-1.5,"")</f>
        <v>1</v>
      </c>
      <c r="E326" s="3" t="b">
        <f>IF(ISNUMBER(E322),E323&lt;-1.5,"")</f>
        <v>1</v>
      </c>
      <c r="F326" s="3" t="b">
        <f>IF(ISNUMBER(F322),F323&lt;-1.5,"")</f>
        <v>1</v>
      </c>
      <c r="G326" s="3" t="b">
        <f t="shared" ref="G326:M326" si="39">IF(ISNUMBER(G322),G323&lt;-1.5,"")</f>
        <v>1</v>
      </c>
      <c r="H326" s="3" t="b">
        <f t="shared" si="39"/>
        <v>1</v>
      </c>
      <c r="I326" s="3" t="b">
        <f t="shared" si="39"/>
        <v>1</v>
      </c>
      <c r="J326" s="3" t="str">
        <f t="shared" si="39"/>
        <v/>
      </c>
      <c r="K326" s="3" t="str">
        <f t="shared" si="39"/>
        <v/>
      </c>
      <c r="L326" s="3" t="str">
        <f t="shared" si="39"/>
        <v/>
      </c>
      <c r="M326" s="3" t="str">
        <f t="shared" si="39"/>
        <v/>
      </c>
    </row>
    <row r="327" spans="2:35" customFormat="1" x14ac:dyDescent="0.4">
      <c r="D327" s="3"/>
      <c r="E327" s="3"/>
      <c r="F327" s="3"/>
      <c r="G327" s="3"/>
      <c r="H327" s="3"/>
      <c r="I327" s="3"/>
    </row>
    <row r="328" spans="2:35" customFormat="1" x14ac:dyDescent="0.4">
      <c r="B328" t="s">
        <v>385</v>
      </c>
      <c r="C328" s="2" t="e" cm="1">
        <f t="array" ref="C328">IF(
  NOT(Receives_reference_trajectory),
  NA(),
  SUMPRODUCT(
    --(
      INDEX(326:326,1,COLUMN($D$322)):
      INDEX(326:326,1,COLUMN($D$322)+COLUMNS(_xlfn.ANCHORARRAY($D$322))-1)
    )
  )&gt;0
)</f>
        <v>#N/A</v>
      </c>
    </row>
    <row r="329" spans="2:35" x14ac:dyDescent="0.4">
      <c r="B329" t="s">
        <v>306</v>
      </c>
      <c r="C329" s="15" t="e">
        <f>IF(Receives_reference_trajectory,IF(AdjustmentPeriod=4,0.4,0.25),NA())</f>
        <v>#N/A</v>
      </c>
      <c r="E329" s="17"/>
    </row>
    <row r="330" spans="2:35" x14ac:dyDescent="0.4">
      <c r="B330" t="s">
        <v>473</v>
      </c>
      <c r="C330" s="121" t="e" cm="1">
        <f t="array" ref="C330">IF(
  NOT(Receives_reference_trajectory),
  NA(),
  IF(
    NOT(C328),
    NA(),
    SUMPRODUCT(
      --(_xlfn.TAKE(IFERROR(_xlfn.CHOOSECOLS(326:326, COLUMN($D$322)+_xlfn.SEQUENCE(1,COLUMNS(_xlfn.ANCHORARRAY($D$322)))-1), FALSE), , COLUMNS(_xlfn.ANCHORARRAY($D$322))-1)),
      --(_xlfn.DROP(_xlfn.CHOOSECOLS(325:325, COLUMN($D$322)+_xlfn.SEQUENCE(1,COLUMNS(_xlfn.ANCHORARRAY($D$322)))-1), , 1) &lt;= C329)
    )=0
  )
)</f>
        <v>#N/A</v>
      </c>
      <c r="E330" s="17"/>
    </row>
    <row r="331" spans="2:35" x14ac:dyDescent="0.4">
      <c r="B331"/>
      <c r="C331" s="15"/>
      <c r="E331" s="17"/>
    </row>
    <row r="332" spans="2:35" x14ac:dyDescent="0.4">
      <c r="B332" s="14" t="s">
        <v>266</v>
      </c>
      <c r="C332" s="102" t="str">
        <f>IF(
  NOT(Receives_reference_trajectory),
  Country &amp; " does not receive a reference trajectory and its MTP is not assessed against the deficit resilience safeguard.",
  IF(
    OR(NOT(C328), ISNA(C330)),
    "The deficit resilience safeguard does not apply, as the structural deficit does not exceed 1.5% of GDP during the adjustment period.",
    IF(
      C330,
      "The deficit resilience safeguard applies and " &amp; Country &amp; "'s fiscal path is compliant.",
      "The deficit resilience safeguard applies and " &amp; Country &amp; "'s fiscal path is not compliant."
    )
  )
)</f>
        <v>Latvia does not receive a reference trajectory and its MTP is not assessed against the deficit resilience safeguard.</v>
      </c>
      <c r="E332" s="17"/>
    </row>
    <row r="333" spans="2:35" x14ac:dyDescent="0.4">
      <c r="C333" s="122"/>
      <c r="E333" s="17"/>
    </row>
    <row r="334" spans="2:35" ht="18" x14ac:dyDescent="0.55000000000000004">
      <c r="B334" s="128" t="s">
        <v>914</v>
      </c>
      <c r="D334" s="17"/>
      <c r="J334" s="71"/>
      <c r="K334" s="71"/>
      <c r="L334" s="71"/>
      <c r="M334" s="71"/>
      <c r="N334" s="71"/>
      <c r="O334" s="71"/>
      <c r="P334" s="71"/>
      <c r="Q334" s="71"/>
      <c r="R334" s="71"/>
      <c r="S334" s="71"/>
      <c r="T334" s="71"/>
      <c r="U334" s="71"/>
      <c r="V334" s="71"/>
      <c r="W334" s="71"/>
      <c r="X334" s="71"/>
      <c r="Y334" s="71"/>
      <c r="Z334" s="71"/>
      <c r="AA334" s="71"/>
      <c r="AB334" s="71"/>
      <c r="AC334" s="71"/>
      <c r="AD334" s="71"/>
      <c r="AE334" s="71"/>
      <c r="AF334" s="71"/>
      <c r="AG334" s="71"/>
      <c r="AH334" s="71"/>
      <c r="AI334" s="71"/>
    </row>
    <row r="335" spans="2:35" ht="14.25" x14ac:dyDescent="0.45">
      <c r="B335" s="129" t="s">
        <v>505</v>
      </c>
      <c r="D335" s="17"/>
      <c r="J335" s="71"/>
      <c r="K335" s="71"/>
      <c r="L335" s="71"/>
      <c r="M335" s="71"/>
      <c r="N335" s="71"/>
      <c r="O335" s="71"/>
      <c r="P335" s="71"/>
      <c r="Q335" s="71"/>
      <c r="R335" s="71"/>
      <c r="S335" s="71"/>
      <c r="T335" s="71"/>
      <c r="U335" s="71"/>
      <c r="V335" s="71"/>
      <c r="W335" s="71"/>
      <c r="X335" s="71"/>
      <c r="Y335" s="71"/>
      <c r="Z335" s="71"/>
      <c r="AA335" s="71"/>
      <c r="AB335" s="71"/>
      <c r="AC335" s="71"/>
      <c r="AD335" s="71"/>
      <c r="AE335" s="71"/>
      <c r="AF335" s="71"/>
      <c r="AG335" s="71"/>
      <c r="AH335" s="71"/>
      <c r="AI335" s="71"/>
    </row>
    <row r="336" spans="2:35" ht="14.25" x14ac:dyDescent="0.45">
      <c r="B336" s="129"/>
      <c r="D336" s="17"/>
      <c r="J336" s="71"/>
      <c r="K336" s="71"/>
      <c r="L336" s="71"/>
      <c r="M336" s="71"/>
      <c r="N336" s="71"/>
      <c r="O336" s="71"/>
      <c r="P336" s="71"/>
      <c r="Q336" s="71"/>
      <c r="R336" s="71"/>
      <c r="S336" s="71"/>
      <c r="T336" s="71"/>
      <c r="U336" s="71"/>
      <c r="V336" s="71"/>
      <c r="W336" s="71"/>
      <c r="X336" s="71"/>
      <c r="Y336" s="71"/>
      <c r="Z336" s="71"/>
      <c r="AA336" s="71"/>
      <c r="AB336" s="71"/>
      <c r="AC336" s="71"/>
      <c r="AD336" s="71"/>
      <c r="AE336" s="71"/>
      <c r="AF336" s="71"/>
      <c r="AG336" s="71"/>
      <c r="AH336" s="71"/>
      <c r="AI336" s="71"/>
    </row>
    <row r="337" spans="2:35" ht="15.75" x14ac:dyDescent="0.5">
      <c r="B337" s="132" t="s">
        <v>526</v>
      </c>
      <c r="D337" s="17"/>
      <c r="J337" s="71"/>
      <c r="K337" s="71"/>
      <c r="L337" s="71"/>
      <c r="M337" s="71"/>
      <c r="N337" s="71"/>
      <c r="O337" s="71"/>
      <c r="P337" s="71"/>
      <c r="Q337" s="71"/>
      <c r="R337" s="71"/>
      <c r="S337" s="71"/>
      <c r="T337" s="71"/>
      <c r="U337" s="71"/>
      <c r="V337" s="71"/>
      <c r="W337" s="71"/>
      <c r="X337" s="71"/>
      <c r="Y337" s="71"/>
      <c r="Z337" s="71"/>
      <c r="AA337" s="71"/>
      <c r="AB337" s="71"/>
      <c r="AC337" s="71"/>
      <c r="AD337" s="71"/>
      <c r="AE337" s="71"/>
      <c r="AF337" s="71"/>
      <c r="AG337" s="71"/>
      <c r="AH337" s="71"/>
      <c r="AI337" s="71"/>
    </row>
    <row r="338" spans="2:35" x14ac:dyDescent="0.4">
      <c r="B338" t="s">
        <v>506</v>
      </c>
      <c r="C338" s="130" t="e" cm="1">
        <f t="array" ref="C338">IF(
  Receives_reference_trajectory,
  IFERROR(
    INDEX(71:71, _xlfn.XMATCH(AdjustmentPeriodEnd, 62:62, 0)) -
    INDEX(71:71, _xlfn.XMATCH(MTP_YearT,        62:62, 0)),
    NA()
  ),
  NA()
)</f>
        <v>#N/A</v>
      </c>
      <c r="D338" s="17"/>
      <c r="J338" s="71"/>
      <c r="K338" s="71"/>
      <c r="L338" s="71"/>
      <c r="M338" s="71"/>
      <c r="N338" s="71"/>
      <c r="O338" s="71"/>
      <c r="P338" s="71"/>
      <c r="Q338" s="71"/>
      <c r="R338" s="71"/>
      <c r="S338" s="71"/>
      <c r="T338" s="71"/>
      <c r="U338" s="71"/>
      <c r="V338" s="71"/>
      <c r="W338" s="71"/>
      <c r="X338" s="71"/>
      <c r="Y338" s="71"/>
      <c r="Z338" s="71"/>
      <c r="AA338" s="71"/>
      <c r="AB338" s="71"/>
      <c r="AC338" s="71"/>
      <c r="AD338" s="71"/>
      <c r="AE338" s="71"/>
      <c r="AF338" s="71"/>
      <c r="AG338" s="71"/>
      <c r="AH338" s="71"/>
      <c r="AI338" s="71"/>
    </row>
    <row r="339" spans="2:35" x14ac:dyDescent="0.4">
      <c r="B339" t="s">
        <v>507</v>
      </c>
      <c r="C339" s="130" t="e" cm="1">
        <f t="array" ref="C339">IF(
  Receives_reference_trajectory,
  IFERROR(
    (
      INDEX(71:71, _xlfn.XMATCH(AdjustmentPeriodEnd, 62:62, 0)) -
      INDEX(71:71, _xlfn.XMATCH(MTP_YearT,        62:62, 0))
    ) / (AdjustmentPeriodEnd - MTP_YearT),
    NA()
  ),
  NA()
)</f>
        <v>#N/A</v>
      </c>
      <c r="D339" s="17"/>
      <c r="J339" s="71"/>
      <c r="K339" s="71"/>
      <c r="L339" s="71"/>
      <c r="M339" s="71"/>
      <c r="N339" s="71"/>
      <c r="O339" s="71"/>
      <c r="P339" s="71"/>
      <c r="Q339" s="71"/>
      <c r="R339" s="71"/>
      <c r="S339" s="71"/>
      <c r="T339" s="71"/>
      <c r="U339" s="71"/>
      <c r="V339" s="71"/>
      <c r="W339" s="71"/>
      <c r="X339" s="71"/>
      <c r="Y339" s="71"/>
      <c r="Z339" s="71"/>
      <c r="AA339" s="71"/>
      <c r="AB339" s="71"/>
      <c r="AC339" s="71"/>
      <c r="AD339" s="71"/>
      <c r="AE339" s="71"/>
      <c r="AF339" s="71"/>
      <c r="AG339" s="71"/>
      <c r="AH339" s="71"/>
      <c r="AI339" s="71"/>
    </row>
    <row r="340" spans="2:35" x14ac:dyDescent="0.4">
      <c r="B340" t="s">
        <v>456</v>
      </c>
      <c r="C340" s="130" t="e" cm="1">
        <f t="array" ref="C340">IF(
  Receives_reference_trajectory,
  IFERROR(
    INDEX(37:37, _xlfn.XMATCH(AdjustmentPeriodEnd, 32:32, 0)) -
    INDEX(37:37, _xlfn.XMATCH(MTP_YearT,        32:32, 0)),
    NA()
  ),
  NA()
)</f>
        <v>#N/A</v>
      </c>
      <c r="D340" s="17"/>
      <c r="J340" s="71"/>
      <c r="K340" s="71"/>
      <c r="L340" s="71"/>
      <c r="M340" s="71"/>
      <c r="N340" s="71"/>
      <c r="O340" s="71"/>
      <c r="P340" s="71"/>
      <c r="Q340" s="71"/>
      <c r="R340" s="71"/>
      <c r="S340" s="71"/>
      <c r="T340" s="71"/>
      <c r="U340" s="71"/>
      <c r="V340" s="71"/>
      <c r="W340" s="71"/>
      <c r="X340" s="71"/>
      <c r="Y340" s="71"/>
      <c r="Z340" s="71"/>
      <c r="AA340" s="71"/>
      <c r="AB340" s="71"/>
      <c r="AC340" s="71"/>
      <c r="AD340" s="71"/>
      <c r="AE340" s="71"/>
      <c r="AF340" s="71"/>
      <c r="AG340" s="71"/>
      <c r="AH340" s="71"/>
      <c r="AI340" s="71"/>
    </row>
    <row r="341" spans="2:35" x14ac:dyDescent="0.4">
      <c r="B341"/>
      <c r="C341" s="130"/>
      <c r="D341" s="17"/>
      <c r="J341" s="71"/>
      <c r="K341" s="71"/>
      <c r="L341" s="71"/>
      <c r="M341" s="71"/>
      <c r="N341" s="71"/>
      <c r="O341" s="71"/>
      <c r="P341" s="71"/>
      <c r="Q341" s="71"/>
      <c r="R341" s="71"/>
      <c r="S341" s="71"/>
      <c r="T341" s="71"/>
      <c r="U341" s="71"/>
      <c r="V341" s="71"/>
      <c r="W341" s="71"/>
      <c r="X341" s="71"/>
      <c r="Y341" s="71"/>
      <c r="Z341" s="71"/>
      <c r="AA341" s="71"/>
      <c r="AB341" s="71"/>
      <c r="AC341" s="71"/>
      <c r="AD341" s="71"/>
      <c r="AE341" s="71"/>
      <c r="AF341" s="71"/>
      <c r="AG341" s="71"/>
      <c r="AH341" s="71"/>
      <c r="AI341" s="71"/>
    </row>
    <row r="342" spans="2:35" x14ac:dyDescent="0.4">
      <c r="B342" s="14" t="s">
        <v>258</v>
      </c>
      <c r="C342" s="102" t="e">
        <f>IF(
  Receives_reference_trajectory,
  IF(
    OR(ISNA(C340),NOT(ISNUMBER(C340))),
    Country &amp; "'s total SPB adjustment required over the adjustment period is " &amp;
      TEXT(C338,"0.0") &amp; " pp of GDP, and the required average annual consolidation is " &amp;
      TEXT(C339,"0.0") &amp; " pp of GDP.",
    Country &amp; "'s total SPB adjustment required over the adjustment period is " &amp;
      TEXT(C338,"0.0") &amp; " pp of GDP. The planned average annual consolidation of " &amp;
      TEXT(C340,"0.0") &amp; " pp " &amp;
      IF(
        C340 &gt; C339 + 0.1,
        "exceeds the required " &amp; TEXT(C339,"0.0") &amp;
          " pp, indicating that the plan appears consistent with achieving the target SPB implied by the reference trajectory by the end of the horizon.",
        IF(
          C340 &lt; C339 - 0.1,
          "falls short of the required " &amp; TEXT(C339,"0.0") &amp;
            " pp, indicating that additional measures may be needed to reach the target SPB.",
          "is broadly in line with the required " &amp; TEXT(C339,"0.0") &amp; " pp."
        )
      )
  ),
  NA()
)</f>
        <v>#N/A</v>
      </c>
      <c r="D342" s="17"/>
      <c r="J342" s="71"/>
      <c r="K342" s="71"/>
      <c r="L342" s="71"/>
      <c r="M342" s="71"/>
      <c r="N342" s="71"/>
      <c r="O342" s="71"/>
      <c r="P342" s="71"/>
      <c r="Q342" s="71"/>
      <c r="R342" s="71"/>
      <c r="S342" s="71"/>
      <c r="T342" s="71"/>
      <c r="U342" s="71"/>
      <c r="V342" s="71"/>
      <c r="W342" s="71"/>
      <c r="X342" s="71"/>
      <c r="Y342" s="71"/>
      <c r="Z342" s="71"/>
      <c r="AA342" s="71"/>
      <c r="AB342" s="71"/>
      <c r="AC342" s="71"/>
      <c r="AD342" s="71"/>
      <c r="AE342" s="71"/>
      <c r="AF342" s="71"/>
      <c r="AG342" s="71"/>
      <c r="AH342" s="71"/>
      <c r="AI342" s="71"/>
    </row>
    <row r="343" spans="2:35" x14ac:dyDescent="0.4">
      <c r="C343" s="102"/>
      <c r="D343" s="17"/>
      <c r="J343" s="71"/>
      <c r="K343" s="71"/>
      <c r="L343" s="71"/>
      <c r="M343" s="71"/>
      <c r="N343" s="71"/>
      <c r="O343" s="71"/>
      <c r="P343" s="71"/>
      <c r="Q343" s="71"/>
      <c r="R343" s="71"/>
      <c r="S343" s="71"/>
      <c r="T343" s="71"/>
      <c r="U343" s="71"/>
      <c r="V343" s="71"/>
      <c r="W343" s="71"/>
      <c r="X343" s="71"/>
      <c r="Y343" s="71"/>
      <c r="Z343" s="71"/>
      <c r="AA343" s="71"/>
      <c r="AB343" s="71"/>
      <c r="AC343" s="71"/>
      <c r="AD343" s="71"/>
      <c r="AE343" s="71"/>
      <c r="AF343" s="71"/>
      <c r="AG343" s="71"/>
      <c r="AH343" s="71"/>
      <c r="AI343" s="71"/>
    </row>
    <row r="344" spans="2:35" ht="15.75" x14ac:dyDescent="0.5">
      <c r="B344" s="79" t="s">
        <v>508</v>
      </c>
      <c r="C344" s="92"/>
      <c r="E344" s="18"/>
      <c r="J344" s="16"/>
    </row>
    <row r="345" spans="2:35" customFormat="1" x14ac:dyDescent="0.4">
      <c r="B345" t="str">
        <f>"Minimum level of structural primary balance in "&amp;AdjustmentPeriodEnd&amp;", no safeguard"</f>
        <v>Minimum level of structural primary balance in 2028, no safeguard</v>
      </c>
      <c r="C345" s="2">
        <f>IF(Receives_reference_trajectory,NA(),INDEX(65:65, MATCH(AdjustmentPeriodEnd, 46:46, 0)))</f>
        <v>-1.3</v>
      </c>
    </row>
    <row r="346" spans="2:35" customFormat="1" x14ac:dyDescent="0.4">
      <c r="B346" t="str">
        <f>"Minimum level of structural primary balance in "&amp;AdjustmentPeriodEnd&amp;", with safeguard"</f>
        <v>Minimum level of structural primary balance in 2028, with safeguard</v>
      </c>
      <c r="C346" s="126">
        <f>IF(Receives_reference_trajectory,NA(),INDEX(66:66, MATCH(AdjustmentPeriodEnd, 46:46, 0)))</f>
        <v>-0.1</v>
      </c>
    </row>
    <row r="347" spans="2:35" customFormat="1" x14ac:dyDescent="0.4">
      <c r="B347" t="s">
        <v>378</v>
      </c>
      <c r="C347" s="2">
        <f>IF(Receives_reference_trajectory,NA(),INDEX(37:37, MATCH(AdjustmentPeriodEnd, 46:46, 0)))</f>
        <v>-1.3</v>
      </c>
    </row>
    <row r="348" spans="2:35" x14ac:dyDescent="0.4">
      <c r="B348" t="s">
        <v>376</v>
      </c>
      <c r="C348" s="15" t="b">
        <f>IF(Receives_reference_trajectory, NA(), C347 &gt;= C345)</f>
        <v>1</v>
      </c>
      <c r="E348" s="18"/>
      <c r="J348" s="16"/>
    </row>
    <row r="349" spans="2:35" x14ac:dyDescent="0.4">
      <c r="B349" t="s">
        <v>377</v>
      </c>
      <c r="C349" s="15" t="b">
        <f>IF(Receives_reference_trajectory, NA(), C347 &gt;= C346)</f>
        <v>0</v>
      </c>
      <c r="E349" s="18"/>
      <c r="J349" s="16"/>
    </row>
    <row r="350" spans="2:35" x14ac:dyDescent="0.4">
      <c r="C350" s="15"/>
      <c r="J350" s="71"/>
      <c r="K350" s="71"/>
      <c r="L350" s="71"/>
      <c r="M350" s="71"/>
      <c r="N350" s="71"/>
      <c r="O350" s="71"/>
      <c r="P350" s="71"/>
      <c r="Q350" s="71"/>
      <c r="R350" s="71"/>
      <c r="S350" s="71"/>
      <c r="T350" s="71"/>
      <c r="U350" s="71"/>
      <c r="V350" s="71"/>
      <c r="W350" s="71"/>
      <c r="X350" s="71"/>
      <c r="Y350" s="71"/>
      <c r="Z350" s="71"/>
      <c r="AA350" s="71"/>
      <c r="AB350" s="71"/>
      <c r="AC350" s="71"/>
      <c r="AD350" s="71"/>
      <c r="AE350" s="71"/>
      <c r="AF350" s="71"/>
      <c r="AG350" s="71"/>
      <c r="AH350" s="71"/>
      <c r="AI350" s="71"/>
    </row>
    <row r="351" spans="2:35" x14ac:dyDescent="0.4">
      <c r="B351" s="14" t="s">
        <v>266</v>
      </c>
      <c r="C351" s="102" t="str">
        <f>_xlfn.LET(
  _xlpm.nos, Assessment!$C$348,
  _xlpm.ws,  Assessment!$C$349,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Latvia is required to meet the structural primary balance condition without a safeguard. This condition is met, although the safeguard threshold is not.</v>
      </c>
      <c r="D351" s="17"/>
      <c r="E351" s="18"/>
      <c r="J351" s="71"/>
      <c r="K351" s="71"/>
      <c r="L351" s="71"/>
      <c r="M351" s="71"/>
      <c r="N351" s="71"/>
      <c r="O351" s="71" t="s">
        <v>269</v>
      </c>
      <c r="P351" s="71"/>
      <c r="Q351" s="71"/>
      <c r="R351" s="71"/>
      <c r="S351" s="71"/>
      <c r="T351" s="71"/>
      <c r="U351" s="71"/>
      <c r="V351" s="71"/>
      <c r="W351" s="71"/>
      <c r="X351" s="71"/>
      <c r="Y351" s="71"/>
      <c r="Z351" s="71"/>
      <c r="AA351" s="71"/>
      <c r="AB351" s="71"/>
      <c r="AC351" s="71"/>
      <c r="AD351" s="71"/>
      <c r="AE351" s="71"/>
      <c r="AF351" s="71"/>
      <c r="AG351" s="71"/>
      <c r="AH351" s="71"/>
      <c r="AI351" s="71"/>
    </row>
    <row r="352" spans="2:35" x14ac:dyDescent="0.4">
      <c r="J352" s="71"/>
      <c r="K352" s="71"/>
      <c r="L352" s="71"/>
      <c r="M352" s="71"/>
      <c r="N352" s="71"/>
      <c r="O352" s="71"/>
      <c r="P352" s="71"/>
      <c r="Q352" s="71"/>
      <c r="R352" s="71"/>
      <c r="S352" s="71"/>
      <c r="T352" s="71"/>
      <c r="U352" s="71"/>
      <c r="V352" s="71"/>
      <c r="W352" s="71"/>
      <c r="X352" s="71"/>
      <c r="Y352" s="71"/>
      <c r="Z352" s="71"/>
      <c r="AA352" s="71"/>
      <c r="AB352" s="71"/>
      <c r="AC352" s="71"/>
      <c r="AD352" s="71"/>
      <c r="AE352" s="71"/>
      <c r="AF352" s="71"/>
      <c r="AG352" s="71"/>
      <c r="AH352" s="71"/>
      <c r="AI352" s="71"/>
    </row>
    <row r="353" spans="2:35" ht="18" x14ac:dyDescent="0.55000000000000004">
      <c r="B353" s="50" t="s">
        <v>509</v>
      </c>
      <c r="C353" s="56"/>
      <c r="E353" s="17"/>
    </row>
    <row r="354" spans="2:35" customFormat="1" ht="15.75" x14ac:dyDescent="0.5">
      <c r="B354" s="79" t="s">
        <v>526</v>
      </c>
    </row>
    <row r="355" spans="2:35" x14ac:dyDescent="0.4">
      <c r="B355" t="s">
        <v>515</v>
      </c>
      <c r="C355" s="15" t="e">
        <f>IF(
  NOT(Receives_reference_trajectory),
  NA(),
  IFERROR(
    AND(
      C220,
      IF(AdjustmentPeriod=7, C225, TRUE),
      C242,
      C265,
      C275,
      C294,
      IF(ISNA(C307), TRUE, C307),
      IF(ISNA(C317), TRUE, C317),
      IF(ISNA(C330), TRUE, C330)
    ),
    NA()
  )
)</f>
        <v>#N/A</v>
      </c>
      <c r="J355" s="71"/>
      <c r="K355" s="71"/>
      <c r="L355" s="71"/>
      <c r="M355" s="71"/>
      <c r="N355" s="71"/>
      <c r="O355" s="71"/>
      <c r="P355" s="71"/>
      <c r="Q355" s="71"/>
      <c r="R355" s="71"/>
      <c r="S355" s="71"/>
      <c r="T355" s="71"/>
      <c r="U355" s="71"/>
      <c r="V355" s="71"/>
      <c r="W355" s="71"/>
      <c r="X355" s="71"/>
      <c r="Y355" s="71"/>
      <c r="Z355" s="71"/>
      <c r="AA355" s="71"/>
      <c r="AB355" s="71"/>
      <c r="AC355" s="71"/>
      <c r="AD355" s="71"/>
      <c r="AE355" s="71"/>
      <c r="AF355" s="71"/>
      <c r="AG355" s="71"/>
      <c r="AH355" s="71"/>
      <c r="AI355" s="71"/>
    </row>
    <row r="356" spans="2:35" x14ac:dyDescent="0.4">
      <c r="B356" s="14" t="s">
        <v>528</v>
      </c>
      <c r="C356" s="102" t="str">
        <f>IF(
  Receives_reference_trajectory,
  IF(
    C240,
    "The net expenditure path in " &amp; Country &amp; "'s latest MTP adheres to the Commission's reference trajectory" &amp;
    IF(
      ISNA(C355),
      ", but overall compliance with Regulation (EU) 2024/1263 cannot yet be assessed.",
      IF(C355,
        " and it meets all requirements of Regulation (EU) 2024/1263.",
        " but it does not meet all requirements of Regulation (EU) 2024/1263."
      )
    ),
    IF(
      C241,
      "The net expenditure path in " &amp; Country &amp; "'s latest MTP exceeds the Commission's reference trajectory but the " &amp; IFI_Name &amp;
      " deems the explanation and alternative assumptions to be satisfactory" &amp;
      IF(
        ISNA(C355),
        ", but overall compliance with Regulation (EU) 2024/1263 cannot yet be assessed.",
        IF(C355,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ISNA(C355),
        ", and overall compliance with Regulation (EU) 2024/1263 cannot yet be assessed.",
        IF(C355,
          ", and it meets all requirements of Regulation (EU) 2024/1263.",
          ", and it does not meet all requirements of Regulation (EU) 2024/1263."
        )
      )
    )
  ),
  "Not applicable."
)</f>
        <v>Not applicable.</v>
      </c>
      <c r="J356" s="71"/>
      <c r="K356" s="71"/>
      <c r="L356" s="71"/>
      <c r="M356" s="71"/>
      <c r="N356" s="71"/>
      <c r="O356" s="71"/>
      <c r="P356" s="71"/>
      <c r="Q356" s="71"/>
      <c r="R356" s="71"/>
      <c r="S356" s="71"/>
      <c r="T356" s="71"/>
      <c r="U356" s="71"/>
      <c r="V356" s="71"/>
      <c r="W356" s="71"/>
      <c r="X356" s="71"/>
      <c r="Y356" s="71"/>
      <c r="Z356" s="71"/>
      <c r="AA356" s="71"/>
      <c r="AB356" s="71"/>
      <c r="AC356" s="71"/>
      <c r="AD356" s="71"/>
      <c r="AE356" s="71"/>
      <c r="AF356" s="71"/>
      <c r="AG356" s="71"/>
      <c r="AH356" s="71"/>
      <c r="AI356" s="71"/>
    </row>
    <row r="357" spans="2:35" x14ac:dyDescent="0.4">
      <c r="B357"/>
      <c r="C357" s="122"/>
      <c r="J357" s="71"/>
      <c r="K357" s="71"/>
      <c r="L357" s="71"/>
      <c r="M357" s="71"/>
      <c r="N357" s="71"/>
      <c r="O357" s="71"/>
      <c r="P357" s="71"/>
      <c r="Q357" s="71"/>
      <c r="R357" s="71"/>
      <c r="S357" s="71"/>
      <c r="T357" s="71"/>
      <c r="U357" s="71"/>
      <c r="V357" s="71"/>
      <c r="W357" s="71"/>
      <c r="X357" s="71"/>
      <c r="Y357" s="71"/>
      <c r="Z357" s="71"/>
      <c r="AA357" s="71"/>
      <c r="AB357" s="71"/>
      <c r="AC357" s="71"/>
      <c r="AD357" s="71"/>
      <c r="AE357" s="71"/>
      <c r="AF357" s="71"/>
      <c r="AG357" s="71"/>
      <c r="AH357" s="71"/>
      <c r="AI357" s="71"/>
    </row>
    <row r="358" spans="2:35" ht="15.75" x14ac:dyDescent="0.5">
      <c r="B358" s="79" t="s">
        <v>454</v>
      </c>
      <c r="C358" s="37"/>
      <c r="J358" s="71"/>
      <c r="K358" s="71"/>
      <c r="L358" s="71"/>
      <c r="M358" s="71"/>
      <c r="N358" s="71"/>
      <c r="O358" s="71"/>
      <c r="P358" s="71"/>
      <c r="Q358" s="71"/>
      <c r="R358" s="71"/>
      <c r="S358" s="71"/>
      <c r="T358" s="71"/>
      <c r="U358" s="71"/>
      <c r="V358" s="71"/>
      <c r="W358" s="71"/>
      <c r="X358" s="71"/>
      <c r="Y358" s="71"/>
      <c r="Z358" s="71"/>
      <c r="AA358" s="71"/>
      <c r="AB358" s="71"/>
      <c r="AC358" s="71"/>
      <c r="AD358" s="71"/>
      <c r="AE358" s="71"/>
      <c r="AF358" s="71"/>
      <c r="AG358" s="71"/>
      <c r="AH358" s="71"/>
      <c r="AI358" s="71"/>
    </row>
    <row r="359" spans="2:35" x14ac:dyDescent="0.4">
      <c r="B359" t="s">
        <v>515</v>
      </c>
      <c r="C359" s="15" t="b">
        <f>IF(
  Receives_reference_trajectory,
  NA(),
  AND(C252, C269, C279)
)</f>
        <v>1</v>
      </c>
      <c r="J359" s="71"/>
      <c r="K359" s="71"/>
      <c r="L359" s="71"/>
      <c r="M359" s="71"/>
      <c r="N359" s="71"/>
      <c r="O359" s="71"/>
      <c r="P359" s="71"/>
      <c r="Q359" s="71"/>
      <c r="R359" s="71"/>
      <c r="S359" s="71"/>
      <c r="T359" s="71"/>
      <c r="U359" s="71"/>
      <c r="V359" s="71"/>
      <c r="W359" s="71"/>
      <c r="X359" s="71"/>
      <c r="Y359" s="71"/>
      <c r="Z359" s="71"/>
      <c r="AA359" s="71"/>
      <c r="AB359" s="71"/>
      <c r="AC359" s="71"/>
      <c r="AD359" s="71"/>
      <c r="AE359" s="71"/>
      <c r="AF359" s="71"/>
      <c r="AG359" s="71"/>
      <c r="AH359" s="71"/>
      <c r="AI359" s="71"/>
    </row>
    <row r="360" spans="2:35" x14ac:dyDescent="0.4">
      <c r="B360" s="14" t="s">
        <v>258</v>
      </c>
      <c r="C360" s="102" t="str">
        <f>IF(
  Receives_reference_trajectory,
  "Not applicable",
  IF(
    C250,
    "The net expenditure path in " &amp; Country &amp; "'s MTP adheres to the minimum level of the primary structural balance in " &amp;
      AdjustmentPeriodEnd &amp; " (" &amp; C246 &amp; "% of GDP). ",
    "The net expenditure path in " &amp; Country &amp; "'s MTP does not adhere to the minimum level of the primary structural balance in " &amp;
      AdjustmentPeriodEnd &amp; " (" &amp; C246 &amp; "% of GDP). "
  ) &amp;
  IF(
    AND(C269, C279),
    "The net expenditure path put forward in the plan is consistent with the deficit and debt requirements as set out in Article 16(2) of Regulation (EU) 2024/1263.",
    IF(
      AND(C269, NOT(C279)),
      "However, while it complies with the debt requirement, it does not comply with the deficit requirement under Article 16(2) of Regulation (EU) 2024/1263.",
      IF(
        AND(NOT(C269), C279),
        "However, while it complies with the deficit requirement, it does not comply with the debt requirement under Article 16(2) of Regulation (EU) 2024/1263.",
        "It does not comply with either the deficit or debt requirements as set out in Article 16(2) of Regulation (EU) 2024/1263."
      )
    )
  )
)</f>
        <v>The net expenditure path in Latvia's MTP adheres to the minimum level of the primary structural balance in 2028 (-1.3% of GDP). The net expenditure path put forward in the plan is consistent with the deficit and debt requirements as set out in Article 16(2) of Regulation (EU) 2024/1263.</v>
      </c>
      <c r="E360" s="17"/>
      <c r="J360" s="71"/>
      <c r="K360" s="71"/>
      <c r="L360" s="71"/>
      <c r="M360" s="71"/>
      <c r="N360" s="71"/>
      <c r="O360" s="71"/>
      <c r="P360" s="71"/>
      <c r="Q360" s="71"/>
      <c r="R360" s="71"/>
      <c r="S360" s="71"/>
      <c r="T360" s="71"/>
      <c r="U360" s="71"/>
      <c r="V360" s="71"/>
      <c r="W360" s="71"/>
      <c r="X360" s="71"/>
      <c r="Y360" s="71"/>
      <c r="Z360" s="71"/>
      <c r="AA360" s="71"/>
      <c r="AB360" s="71"/>
      <c r="AC360" s="71"/>
      <c r="AD360" s="71"/>
      <c r="AE360" s="71"/>
      <c r="AF360" s="71"/>
      <c r="AG360" s="71"/>
      <c r="AH360" s="71"/>
      <c r="AI360" s="71"/>
    </row>
  </sheetData>
  <phoneticPr fontId="9" type="noConversion"/>
  <conditionalFormatting sqref="D151:V151 D183:V193 D334:V343 R145:U149">
    <cfRule type="expression" dxfId="40" priority="152">
      <formula>AND(#REF!&gt;MTP_YearT, #REF!&lt;=AdjustmentPeriodEnd)</formula>
    </cfRule>
  </conditionalFormatting>
  <conditionalFormatting sqref="T183:V193 T334:V343 T151:V151">
    <cfRule type="expression" dxfId="39" priority="154">
      <formula>ISNUMBER(#REF!)</formula>
    </cfRule>
  </conditionalFormatting>
  <conditionalFormatting sqref="D286:M286">
    <cfRule type="expression" dxfId="38" priority="59">
      <formula>ISNUMBER(D286)</formula>
    </cfRule>
  </conditionalFormatting>
  <conditionalFormatting sqref="D5:K5">
    <cfRule type="expression" dxfId="37" priority="58">
      <formula>ISNUMBER(D4)</formula>
    </cfRule>
  </conditionalFormatting>
  <conditionalFormatting sqref="E149:M149">
    <cfRule type="expression" dxfId="36" priority="195">
      <formula>ISNUMBER(E$105)</formula>
    </cfRule>
  </conditionalFormatting>
  <conditionalFormatting sqref="D162:V162">
    <cfRule type="expression" dxfId="35" priority="38">
      <formula>AND(#REF!&gt;MTP_YearT, #REF!&lt;=AdjustmentPeriodEnd)</formula>
    </cfRule>
  </conditionalFormatting>
  <conditionalFormatting sqref="T161:V162">
    <cfRule type="expression" dxfId="34" priority="208">
      <formula>ISNUMBER(#REF!)</formula>
    </cfRule>
  </conditionalFormatting>
  <conditionalFormatting sqref="D156:V160">
    <cfRule type="expression" dxfId="33" priority="210">
      <formula>AND(#REF!&gt;MTP_YearT, #REF!&lt;=AdjustmentPeriodEnd)</formula>
    </cfRule>
  </conditionalFormatting>
  <conditionalFormatting sqref="T152:V160">
    <cfRule type="expression" dxfId="32" priority="212">
      <formula>ISNUMBER(#REF!)</formula>
    </cfRule>
  </conditionalFormatting>
  <conditionalFormatting sqref="D161:V161 D152:V155">
    <cfRule type="expression" dxfId="31" priority="214">
      <formula>AND(#REF!&gt;MTP_YearT, #REF!&lt;=AdjustmentPeriodEnd)</formula>
    </cfRule>
  </conditionalFormatting>
  <conditionalFormatting sqref="D288:I288">
    <cfRule type="expression" dxfId="30" priority="31">
      <formula>ISNUMBER(D286)</formula>
    </cfRule>
  </conditionalFormatting>
  <conditionalFormatting sqref="D322:I322">
    <cfRule type="expression" dxfId="29" priority="30">
      <formula>ISNUMBER(D322)</formula>
    </cfRule>
  </conditionalFormatting>
  <conditionalFormatting sqref="D325:L325">
    <cfRule type="expression" dxfId="28" priority="28">
      <formula>ISNUMBER(D322)</formula>
    </cfRule>
  </conditionalFormatting>
  <conditionalFormatting sqref="D4:K4">
    <cfRule type="expression" dxfId="27" priority="25">
      <formula>ISNUMBER(D4)</formula>
    </cfRule>
  </conditionalFormatting>
  <conditionalFormatting sqref="D33:N33 D34:Q34">
    <cfRule type="expression" dxfId="26" priority="24">
      <formula>ISNUMBER(D32)</formula>
    </cfRule>
  </conditionalFormatting>
  <conditionalFormatting sqref="D27:K27">
    <cfRule type="expression" dxfId="25" priority="23">
      <formula>ISNUMBER(D$4)</formula>
    </cfRule>
  </conditionalFormatting>
  <conditionalFormatting sqref="D32:N32">
    <cfRule type="expression" dxfId="24" priority="22">
      <formula>ISNUMBER(D32)</formula>
    </cfRule>
  </conditionalFormatting>
  <conditionalFormatting sqref="D44:W45 D59:W59 D53:W53">
    <cfRule type="expression" dxfId="23" priority="21">
      <formula>ISNUMBER(D44)</formula>
    </cfRule>
  </conditionalFormatting>
  <conditionalFormatting sqref="D88:W88">
    <cfRule type="expression" dxfId="22" priority="20">
      <formula>ISNUMBER(D62)</formula>
    </cfRule>
  </conditionalFormatting>
  <conditionalFormatting sqref="D62:W62">
    <cfRule type="expression" dxfId="21" priority="19">
      <formula>ISNUMBER(D62)</formula>
    </cfRule>
  </conditionalFormatting>
  <conditionalFormatting sqref="X64 D63:W64 D47:W47">
    <cfRule type="expression" dxfId="20" priority="18">
      <formula>ISNUMBER(D46)</formula>
    </cfRule>
  </conditionalFormatting>
  <conditionalFormatting sqref="D46:W46">
    <cfRule type="expression" dxfId="19" priority="17">
      <formula>ISNUMBER(D46)</formula>
    </cfRule>
  </conditionalFormatting>
  <conditionalFormatting sqref="E145:M149">
    <cfRule type="expression" dxfId="18" priority="194">
      <formula>NOT(ISNUMBER(E$105))</formula>
    </cfRule>
  </conditionalFormatting>
  <conditionalFormatting sqref="D172:I172">
    <cfRule type="expression" dxfId="17" priority="14">
      <formula>ISNUMBER(D172)</formula>
    </cfRule>
  </conditionalFormatting>
  <conditionalFormatting sqref="D175:L175">
    <cfRule type="expression" dxfId="16" priority="13">
      <formula>ISNUMBER(D172)</formula>
    </cfRule>
  </conditionalFormatting>
  <conditionalFormatting sqref="D105:K105">
    <cfRule type="expression" dxfId="15" priority="10">
      <formula>D$106&lt;&gt;""</formula>
    </cfRule>
  </conditionalFormatting>
  <conditionalFormatting sqref="D106:K106">
    <cfRule type="expression" dxfId="14" priority="9">
      <formula>D$106&lt;&gt;""</formula>
    </cfRule>
  </conditionalFormatting>
  <conditionalFormatting sqref="D122:K122">
    <cfRule type="expression" dxfId="13" priority="8">
      <formula>D$105&lt;&gt;""</formula>
    </cfRule>
  </conditionalFormatting>
  <conditionalFormatting sqref="D124:K124">
    <cfRule type="expression" dxfId="12" priority="7">
      <formula>D$105&lt;&gt;""</formula>
    </cfRule>
  </conditionalFormatting>
  <conditionalFormatting sqref="D127:K127">
    <cfRule type="expression" dxfId="11" priority="6">
      <formula>D$105&lt;&gt;""</formula>
    </cfRule>
  </conditionalFormatting>
  <conditionalFormatting sqref="D145:D146">
    <cfRule type="expression" dxfId="10" priority="5">
      <formula>NOT(ISNUMBER(G123))</formula>
    </cfRule>
  </conditionalFormatting>
  <conditionalFormatting sqref="D148:D149">
    <cfRule type="expression" dxfId="9" priority="353">
      <formula>NOT(ISNUMBER(#REF!))</formula>
    </cfRule>
    <cfRule type="expression" dxfId="8" priority="354">
      <formula>ISNUMBER(#REF!)</formula>
    </cfRule>
  </conditionalFormatting>
  <conditionalFormatting sqref="D58:W58">
    <cfRule type="expression" dxfId="7" priority="2">
      <formula>ISNUMBER(D$46)</formula>
    </cfRule>
  </conditionalFormatting>
  <conditionalFormatting sqref="D148:D149">
    <cfRule type="expression" dxfId="6" priority="411">
      <formula>NOT(ISNUMBER(G125))</formula>
    </cfRule>
  </conditionalFormatting>
  <conditionalFormatting sqref="D6:K14 D16:K26 D15:L15">
    <cfRule type="expression" dxfId="5" priority="1">
      <formula>ISNUMBER(D$4)</formula>
    </cfRule>
  </conditionalFormatting>
  <conditionalFormatting sqref="D147">
    <cfRule type="expression" dxfId="4" priority="1022">
      <formula>NOT(ISNUMBER(G125))</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topLeftCell="B1" zoomScaleNormal="100" workbookViewId="0">
      <pane ySplit="2" topLeftCell="A3" activePane="bottomLeft" state="frozen"/>
      <selection activeCell="L159" sqref="L159"/>
      <selection pane="bottomLeft" activeCell="B1" sqref="B1"/>
    </sheetView>
  </sheetViews>
  <sheetFormatPr defaultRowHeight="13.15" x14ac:dyDescent="0.4"/>
  <cols>
    <col min="1" max="1" width="5.28515625" customWidth="1"/>
    <col min="2" max="2" width="11.28515625" style="110" bestFit="1" customWidth="1"/>
    <col min="3" max="3" width="51.5703125" customWidth="1"/>
    <col min="4" max="4" width="7.85546875" customWidth="1"/>
    <col min="6" max="6" width="9.140625" customWidth="1"/>
  </cols>
  <sheetData>
    <row r="2" spans="2:24" x14ac:dyDescent="0.4">
      <c r="C2" s="33"/>
      <c r="D2" s="33"/>
      <c r="E2" s="44" cm="1">
        <f t="array" ref="E2:T2">_xlfn.SEQUENCE(1, AdjustmentPeriodEnd+10-MTP_BaseYear+1, MTP_BaseYear)</f>
        <v>2023</v>
      </c>
      <c r="F2" s="44">
        <v>2024</v>
      </c>
      <c r="G2" s="44">
        <v>2025</v>
      </c>
      <c r="H2" s="44">
        <v>2026</v>
      </c>
      <c r="I2" s="44">
        <v>2027</v>
      </c>
      <c r="J2" s="44">
        <v>2028</v>
      </c>
      <c r="K2" s="44">
        <v>2029</v>
      </c>
      <c r="L2" s="44">
        <v>2030</v>
      </c>
      <c r="M2" s="44">
        <v>2031</v>
      </c>
      <c r="N2" s="44">
        <v>2032</v>
      </c>
      <c r="O2" s="44">
        <v>2033</v>
      </c>
      <c r="P2" s="44">
        <v>2034</v>
      </c>
      <c r="Q2" s="44">
        <v>2035</v>
      </c>
      <c r="R2" s="44">
        <v>2036</v>
      </c>
      <c r="S2" s="44">
        <v>2037</v>
      </c>
      <c r="T2" s="44">
        <v>2038</v>
      </c>
      <c r="U2" s="44"/>
      <c r="V2" s="44"/>
      <c r="W2" s="44"/>
    </row>
    <row r="3" spans="2:24" ht="16.5" x14ac:dyDescent="0.6">
      <c r="B3" s="110" t="s">
        <v>479</v>
      </c>
      <c r="C3" s="11" t="s">
        <v>925</v>
      </c>
    </row>
    <row r="4" spans="2:24" x14ac:dyDescent="0.4">
      <c r="C4" s="2" t="s">
        <v>390</v>
      </c>
      <c r="F4" s="64">
        <f>IF(MTP_Council_Endorsed,IF(Assessment!E34="",NA(),Assessment!E34),NA())</f>
        <v>9.1</v>
      </c>
      <c r="G4" s="64">
        <f>IF(MTP_Council_Endorsed,IF(Assessment!F34="",NA(),Assessment!F34),NA())</f>
        <v>5.8999999999999995</v>
      </c>
      <c r="H4" s="64">
        <f>IF(MTP_Council_Endorsed,IF(Assessment!G34="",NA(),Assessment!G34),NA())</f>
        <v>3.5999999999999996</v>
      </c>
      <c r="I4" s="64">
        <f>IF(MTP_Council_Endorsed,IF(Assessment!H34="",NA(),Assessment!H34),NA())</f>
        <v>3.4000000000000004</v>
      </c>
      <c r="J4" s="64">
        <f>IF(MTP_Council_Endorsed,IF(Assessment!I34="",NA(),Assessment!I34),NA())</f>
        <v>3.3000000000000003</v>
      </c>
      <c r="K4" s="64" t="e">
        <f>IF(MTP_Council_Endorsed,IF(Assessment!J34="",NA(),Assessment!J34),NA())</f>
        <v>#N/A</v>
      </c>
      <c r="L4" s="64" t="e">
        <f>IF(MTP_Council_Endorsed,IF(Assessment!K34="",NA(),Assessment!K34),NA())</f>
        <v>#N/A</v>
      </c>
      <c r="M4" s="64" t="e">
        <f>IF(MTP_Council_Endorsed,IF(Assessment!L34="",NA(),Assessment!L34),NA())</f>
        <v>#N/A</v>
      </c>
      <c r="N4" s="64" t="e">
        <f>IF(MTP_Council_Endorsed,IF(Assessment!M34="",NA(),Assessment!M34),NA())</f>
        <v>#N/A</v>
      </c>
      <c r="O4" s="64" t="e">
        <f>IF(MTP_Council_Endorsed,IF(Assessment!N34="",NA(),Assessment!N34),NA())</f>
        <v>#N/A</v>
      </c>
      <c r="P4" s="64" t="e">
        <f>IF(MTP_Council_Endorsed,IF(Assessment!O34="",NA(),Assessment!O34),NA())</f>
        <v>#N/A</v>
      </c>
      <c r="Q4" s="64" t="e">
        <f>IF(MTP_Council_Endorsed,IF(Assessment!P34="",NA(),Assessment!P34),NA())</f>
        <v>#N/A</v>
      </c>
      <c r="R4" s="64" t="e">
        <f>IF(MTP_Council_Endorsed,IF(Assessment!Q34="",NA(),Assessment!Q34),NA())</f>
        <v>#N/A</v>
      </c>
      <c r="S4" s="64" t="e">
        <f>IF(MTP_Council_Endorsed,IF(Assessment!R34="",NA(),Assessment!R34),NA())</f>
        <v>#N/A</v>
      </c>
      <c r="T4" s="64" t="e">
        <f>IF(MTP_Council_Endorsed,IF(Assessment!S34="",NA(),Assessment!S34),NA())</f>
        <v>#N/A</v>
      </c>
      <c r="U4" s="64" t="e">
        <f>IF(MTP_Council_Endorsed,IF(Assessment!T34="",NA(),Assessment!T34),NA())</f>
        <v>#N/A</v>
      </c>
      <c r="V4" s="64" t="e">
        <f>IF(MTP_Council_Endorsed,IF(Assessment!U34="",NA(),Assessment!U34),NA())</f>
        <v>#N/A</v>
      </c>
      <c r="W4" s="64" t="e">
        <f>IF(MTP_Council_Endorsed,IF(Assessment!V34="",NA(),Assessment!V34),NA())</f>
        <v>#N/A</v>
      </c>
    </row>
    <row r="5" spans="2:24" x14ac:dyDescent="0.4">
      <c r="C5" s="2" t="s">
        <v>296</v>
      </c>
      <c r="F5" s="4"/>
      <c r="G5" s="4"/>
      <c r="H5" s="4"/>
      <c r="I5" s="4"/>
      <c r="J5" s="4"/>
      <c r="K5" s="4"/>
      <c r="L5" s="4"/>
      <c r="M5" s="4"/>
      <c r="N5" s="4"/>
      <c r="O5" s="4"/>
      <c r="P5" s="4"/>
      <c r="Q5" s="4"/>
      <c r="R5" s="4"/>
      <c r="S5" s="4"/>
      <c r="T5" s="4"/>
      <c r="U5" s="4"/>
      <c r="V5" s="4"/>
      <c r="W5" s="4"/>
    </row>
    <row r="6" spans="2:24" x14ac:dyDescent="0.4">
      <c r="C6" s="2" t="s">
        <v>243</v>
      </c>
      <c r="F6" s="64" t="e">
        <f>IF(MTP_Council_Endorsed,IF(OR(ISNUMBER(F8),ISNUMBER(F9)),NA(),IF(ISNUMBER(Assessment!E15),Assessment!E15,NA())),NA())</f>
        <v>#N/A</v>
      </c>
      <c r="G6" s="64" t="e">
        <f>IF(OR(ISNUMBER(G8),ISNUMBER(G9)),NA(),IF(ISNUMBER(Assessment!F15),Assessment!F15,NA()))</f>
        <v>#N/A</v>
      </c>
      <c r="H6" s="64">
        <f>IF(OR(ISNUMBER(H8),ISNUMBER(H9)),NA(),IF(ISNUMBER(Assessment!G15),Assessment!G15,NA()))</f>
        <v>5.3</v>
      </c>
      <c r="I6" s="64" t="e">
        <f>IF(OR(ISNUMBER(I8),ISNUMBER(I9)),NA(),IF(ISNUMBER(Assessment!H15),Assessment!H15,NA()))</f>
        <v>#N/A</v>
      </c>
      <c r="J6" s="64" t="e">
        <f>IF(OR(ISNUMBER(J8),ISNUMBER(J9)),NA(),IF(ISNUMBER(Assessment!I15),Assessment!I15,NA()))</f>
        <v>#N/A</v>
      </c>
      <c r="K6" s="64" t="e">
        <f>IF(OR(ISNUMBER(K8),ISNUMBER(K9)),NA(),IF(ISNUMBER(Assessment!J15),Assessment!J15,NA()))</f>
        <v>#N/A</v>
      </c>
      <c r="L6" s="64" t="e">
        <f>IF(OR(ISNUMBER(L8),ISNUMBER(L9)),NA(),IF(ISNUMBER(Assessment!K15),Assessment!K15,NA()))</f>
        <v>#N/A</v>
      </c>
      <c r="M6" s="64" t="e">
        <f>IF(OR(ISNUMBER(M8),ISNUMBER(M9)),NA(),IF(ISNUMBER(Assessment!L15),Assessment!L15,NA()))</f>
        <v>#N/A</v>
      </c>
      <c r="N6" s="64" t="e">
        <f>IF(OR(ISNUMBER(N8),ISNUMBER(N9)),NA(),IF(ISNUMBER(Assessment!M15),Assessment!M15,NA()))</f>
        <v>#N/A</v>
      </c>
      <c r="O6" s="64" t="e">
        <f>IF(OR(ISNUMBER(O8),ISNUMBER(O9)),NA(),IF(ISNUMBER(Assessment!N15),Assessment!N15,NA()))</f>
        <v>#N/A</v>
      </c>
      <c r="P6" s="64" t="e">
        <f>IF(OR(ISNUMBER(P8),ISNUMBER(P9)),NA(),IF(ISNUMBER(Assessment!O15),Assessment!O15,NA()))</f>
        <v>#N/A</v>
      </c>
      <c r="Q6" s="64" t="e">
        <f>IF(OR(ISNUMBER(Q8),ISNUMBER(Q9)),NA(),IF(ISNUMBER(Assessment!P15),Assessment!P15,NA()))</f>
        <v>#N/A</v>
      </c>
      <c r="R6" s="64" t="e">
        <f>IF(OR(ISNUMBER(R8),ISNUMBER(R9)),NA(),IF(ISNUMBER(Assessment!Q15),Assessment!Q15,NA()))</f>
        <v>#N/A</v>
      </c>
      <c r="S6" s="64" t="e">
        <f>IF(OR(ISNUMBER(S8),ISNUMBER(S9)),NA(),IF(ISNUMBER(Assessment!R15),Assessment!R15,NA()))</f>
        <v>#N/A</v>
      </c>
      <c r="T6" s="64" t="e">
        <f>IF(OR(ISNUMBER(T8),ISNUMBER(T9)),NA(),IF(ISNUMBER(Assessment!S15),Assessment!S15,NA()))</f>
        <v>#N/A</v>
      </c>
      <c r="U6" s="64" t="e">
        <f>IF(OR(ISNUMBER(U8),ISNUMBER(U9)),NA(),IF(ISNUMBER(Assessment!T15),Assessment!T15,NA()))</f>
        <v>#N/A</v>
      </c>
      <c r="V6" s="64" t="e">
        <f>IF(OR(ISNUMBER(V8),ISNUMBER(V9)),NA(),IF(ISNUMBER(Assessment!U15),Assessment!U15,NA()))</f>
        <v>#N/A</v>
      </c>
      <c r="W6" s="64" t="e">
        <f>IF(OR(ISNUMBER(W8),ISNUMBER(W9)),NA(),IF(ISNUMBER(Assessment!V15),Assessment!V15,NA()))</f>
        <v>#N/A</v>
      </c>
    </row>
    <row r="7" spans="2:24" x14ac:dyDescent="0.4">
      <c r="C7" s="2" t="s">
        <v>297</v>
      </c>
      <c r="F7" s="4"/>
      <c r="G7" s="4"/>
      <c r="H7" s="4"/>
      <c r="I7" s="4"/>
      <c r="J7" s="4"/>
      <c r="K7" s="4"/>
      <c r="L7" s="4"/>
      <c r="M7" s="4"/>
      <c r="N7" s="4"/>
      <c r="O7" s="4"/>
      <c r="P7" s="4"/>
      <c r="Q7" s="4"/>
      <c r="R7" s="4"/>
      <c r="S7" s="4"/>
      <c r="T7" s="4"/>
      <c r="U7" s="4"/>
      <c r="V7" s="4"/>
      <c r="W7" s="4"/>
    </row>
    <row r="8" spans="2:24" x14ac:dyDescent="0.4">
      <c r="C8" s="2" t="s">
        <v>298</v>
      </c>
      <c r="F8" s="64"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4.9644778579376547</v>
      </c>
      <c r="G8" s="64"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4.836560576927007</v>
      </c>
      <c r="H8" s="64"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64"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64"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64"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64"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64"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64"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64"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64"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64"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64"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64"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64"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64"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64"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64"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299</v>
      </c>
      <c r="F9" s="64"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64"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64"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64"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64"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64"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64"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64"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64"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64"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64"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64"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64"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64"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64"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64"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64"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64"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391</v>
      </c>
      <c r="F10" s="64"/>
      <c r="G10" s="64"/>
      <c r="H10" s="64"/>
      <c r="I10" s="64"/>
      <c r="J10" s="64"/>
      <c r="K10" s="64"/>
      <c r="L10" s="64"/>
      <c r="M10" s="64"/>
      <c r="N10" s="64"/>
      <c r="O10" s="64"/>
      <c r="P10" s="64"/>
      <c r="Q10" s="64"/>
      <c r="R10" s="64"/>
      <c r="S10" s="64"/>
      <c r="T10" s="64"/>
      <c r="U10" s="64"/>
      <c r="V10" s="64"/>
      <c r="W10" s="64"/>
    </row>
    <row r="11" spans="2:24" x14ac:dyDescent="0.4">
      <c r="C11" s="110" t="s">
        <v>564</v>
      </c>
      <c r="D11">
        <f>IF(_xlfn.AGGREGATE(5,6,F4:W9)&lt;0, _xlfn.AGGREGATE(5,6,F4:W9), 0)</f>
        <v>0</v>
      </c>
      <c r="F11" s="64"/>
      <c r="G11" s="64"/>
      <c r="H11" s="64"/>
      <c r="I11" s="64"/>
      <c r="J11" s="64"/>
      <c r="K11" s="64"/>
      <c r="L11" s="64"/>
      <c r="M11" s="64"/>
      <c r="N11" s="64"/>
      <c r="O11" s="64"/>
      <c r="P11" s="64"/>
      <c r="Q11" s="64"/>
      <c r="R11" s="64"/>
      <c r="S11" s="64"/>
      <c r="T11" s="64"/>
      <c r="U11" s="64"/>
      <c r="V11" s="64"/>
      <c r="W11" s="64"/>
    </row>
    <row r="12" spans="2:24" x14ac:dyDescent="0.4">
      <c r="C12" s="110" t="s">
        <v>565</v>
      </c>
      <c r="D12">
        <f>_xlfn.AGGREGATE(4,6,F4:W9)</f>
        <v>9.1</v>
      </c>
    </row>
    <row r="13" spans="2:24" x14ac:dyDescent="0.4">
      <c r="C13" s="110"/>
    </row>
    <row r="14" spans="2:24" ht="16.5" x14ac:dyDescent="0.6">
      <c r="B14" s="110" t="s">
        <v>480</v>
      </c>
      <c r="C14" s="11" t="s">
        <v>944</v>
      </c>
    </row>
    <row r="15" spans="2:24" x14ac:dyDescent="0.4">
      <c r="C15" s="2" t="s">
        <v>484</v>
      </c>
      <c r="F15" s="64" cm="1">
        <f t="array" ref="F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-1.8341001862133344</v>
      </c>
      <c r="G15" s="64" cm="1">
        <f t="array" ref="G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-2.4818066666356913</v>
      </c>
      <c r="H15" s="64" t="e" cm="1">
        <f t="array" ref="H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I15" s="64" t="e" cm="1">
        <f t="array" ref="I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J15" s="64" t="e" cm="1">
        <f t="array" ref="J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K15" s="64" t="e" cm="1">
        <f t="array" ref="K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L15" s="64" t="e" cm="1">
        <f t="array" ref="L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M15" s="64" t="e" cm="1">
        <f t="array" ref="M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N15" s="64" t="e" cm="1">
        <f t="array" ref="N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O15" s="64" t="e" cm="1">
        <f t="array" ref="O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P15" s="64" t="e" cm="1">
        <f t="array" ref="P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Q15" s="64" t="e" cm="1">
        <f t="array" ref="Q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R15" s="64" t="e" cm="1">
        <f t="array" ref="R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S15" s="64" t="e" cm="1">
        <f t="array" ref="S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T15" s="64" t="e" cm="1">
        <f t="array" ref="T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U15" s="64" t="e" cm="1">
        <f t="array" ref="U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V15" s="64" t="e" cm="1">
        <f t="array" ref="V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W15" s="64" t="e" cm="1">
        <f t="array" ref="W15">IF(COUNTIF('Step 1 - Set global parameters'!$B$21:$G$21,TRUE)&gt;0,
  IF(MTP_Council_Endorsed,IF(AND(INDEX('Chart data'!$2:$2,COLUMN())&gt;=MTP_BaseYear,INDEX('Chart data'!$2:$2,COLUMN())&lt;=OutturnThrough),IF(INDEX(Assessment!$144:$144,_xlfn.XMATCH(INDEX('Chart data'!$2:$2,COLUMN()),Assessment!$4:$4,0))="",NA(),INDEX(Assessment!$144:$144,_xlfn.XMATCH(INDEX('Chart data'!$2:$2,COLUMN()),Assessment!$4:$4,0))),NA()),NA()),
  IF(MTP_Council_Endorsed,IF(AND(INDEX('Chart data'!$2:$2,COLUMN())&gt;=MTP_BaseYear,INDEX('Chart data'!$2:$2,COLUMN())&lt;=OutturnThrough),IF(INDEX(Assessment!$126:$126,_xlfn.XMATCH(INDEX('Chart data'!$2:$2,COLUMN()),Assessment!$4:$4,0))="",NA(),INDEX(Assessment!$126:$126,_xlfn.XMATCH(INDEX('Chart data'!$2:$2,COLUMN()),Assessment!$4:$4,0))),NA()),NA())
)</f>
        <v>#N/A</v>
      </c>
      <c r="X15" s="64"/>
    </row>
    <row r="16" spans="2:24" x14ac:dyDescent="0.4">
      <c r="C16" s="2" t="s">
        <v>483</v>
      </c>
      <c r="F16" s="64" t="e">
        <f>IF(COUNTIF('Step 1 - Set global parameters'!$B$21:$G$21,TRUE)&gt;0,
  IF(MTP_Council_Endorsed,IF(ISNUMBER(F15),NA(),IF(Assessment!E144="",NA(),Assessment!E144)),NA()),
  IF(MTP_Council_Endorsed,IF(ISNUMBER(F15),NA(),IF(Assessment!E126="",NA(),Assessment!E126)),NA())
)</f>
        <v>#N/A</v>
      </c>
      <c r="G16" s="64" t="e">
        <f>IF(COUNTIF('Step 1 - Set global parameters'!$B$21:$G$21,TRUE)&gt;0,
  IF(MTP_Council_Endorsed,IF(ISNUMBER(G15),NA(),IF(Assessment!F144="",NA(),Assessment!F144)),NA()),
  IF(MTP_Council_Endorsed,IF(ISNUMBER(G15),NA(),IF(Assessment!F126="",NA(),Assessment!F126)),NA())
)</f>
        <v>#N/A</v>
      </c>
      <c r="H16" s="64">
        <f>IF(COUNTIF('Step 1 - Set global parameters'!$B$21:$G$21,TRUE)&gt;0,
  IF(MTP_Council_Endorsed,IF(ISNUMBER(H15),NA(),IF(Assessment!G144="",NA(),Assessment!G144)),NA()),
  IF(MTP_Council_Endorsed,IF(ISNUMBER(H15),NA(),IF(Assessment!G126="",NA(),Assessment!G126)),NA())
)</f>
        <v>-2.5692931218013437</v>
      </c>
      <c r="I16" s="64" t="e">
        <f>IF(COUNTIF('Step 1 - Set global parameters'!$B$21:$G$21,TRUE)&gt;0,
  IF(MTP_Council_Endorsed,IF(ISNUMBER(I15),NA(),IF(Assessment!H144="",NA(),Assessment!H144)),NA()),
  IF(MTP_Council_Endorsed,IF(ISNUMBER(I15),NA(),IF(Assessment!H126="",NA(),Assessment!H126)),NA())
)</f>
        <v>#N/A</v>
      </c>
      <c r="J16" s="64" t="e">
        <f>IF(COUNTIF('Step 1 - Set global parameters'!$B$21:$G$21,TRUE)&gt;0,
  IF(MTP_Council_Endorsed,IF(ISNUMBER(J15),NA(),IF(Assessment!I144="",NA(),Assessment!I144)),NA()),
  IF(MTP_Council_Endorsed,IF(ISNUMBER(J15),NA(),IF(Assessment!I126="",NA(),Assessment!I126)),NA())
)</f>
        <v>#N/A</v>
      </c>
      <c r="K16" s="64" t="e">
        <f>IF(COUNTIF('Step 1 - Set global parameters'!$B$21:$G$21,TRUE)&gt;0,
  IF(MTP_Council_Endorsed,IF(ISNUMBER(K15),NA(),IF(Assessment!J144="",NA(),Assessment!J144)),NA()),
  IF(MTP_Council_Endorsed,IF(ISNUMBER(K15),NA(),IF(Assessment!J126="",NA(),Assessment!J126)),NA())
)</f>
        <v>#N/A</v>
      </c>
      <c r="L16" s="64" t="e">
        <f>IF(COUNTIF('Step 1 - Set global parameters'!$B$21:$G$21,TRUE)&gt;0,
  IF(MTP_Council_Endorsed,IF(ISNUMBER(L15),NA(),IF(Assessment!K144="",NA(),Assessment!K144)),NA()),
  IF(MTP_Council_Endorsed,IF(ISNUMBER(L15),NA(),IF(Assessment!K126="",NA(),Assessment!K126)),NA())
)</f>
        <v>#N/A</v>
      </c>
      <c r="M16" s="64" t="e">
        <f>IF(COUNTIF('Step 1 - Set global parameters'!$B$21:$G$21,TRUE)&gt;0,
  IF(MTP_Council_Endorsed,IF(ISNUMBER(M15),NA(),IF(Assessment!L144="",NA(),Assessment!L144)),NA()),
  IF(MTP_Council_Endorsed,IF(ISNUMBER(M15),NA(),IF(Assessment!L126="",NA(),Assessment!L126)),NA())
)</f>
        <v>#N/A</v>
      </c>
      <c r="N16" s="64" t="e">
        <f>IF(COUNTIF('Step 1 - Set global parameters'!$B$21:$G$21,TRUE)&gt;0,
  IF(MTP_Council_Endorsed,IF(ISNUMBER(N15),NA(),IF(Assessment!M144="",NA(),Assessment!M144)),NA()),
  IF(MTP_Council_Endorsed,IF(ISNUMBER(N15),NA(),IF(Assessment!M126="",NA(),Assessment!M126)),NA())
)</f>
        <v>#N/A</v>
      </c>
      <c r="O16" s="64" t="e">
        <f>IF(COUNTIF('Step 1 - Set global parameters'!$B$21:$G$21,TRUE)&gt;0,
  IF(MTP_Council_Endorsed,IF(ISNUMBER(O15),NA(),IF(Assessment!N144="",NA(),Assessment!N144)),NA()),
  IF(MTP_Council_Endorsed,IF(ISNUMBER(O15),NA(),IF(Assessment!N126="",NA(),Assessment!N126)),NA())
)</f>
        <v>#N/A</v>
      </c>
      <c r="P16" s="64" t="e">
        <f>IF(COUNTIF('Step 1 - Set global parameters'!$B$21:$G$21,TRUE)&gt;0,
  IF(MTP_Council_Endorsed,IF(ISNUMBER(P15),NA(),IF(Assessment!O144="",NA(),Assessment!O144)),NA()),
  IF(MTP_Council_Endorsed,IF(ISNUMBER(P15),NA(),IF(Assessment!O126="",NA(),Assessment!O126)),NA())
)</f>
        <v>#N/A</v>
      </c>
      <c r="Q16" s="64" t="e">
        <f>IF(COUNTIF('Step 1 - Set global parameters'!$B$21:$G$21,TRUE)&gt;0,
  IF(MTP_Council_Endorsed,IF(ISNUMBER(Q15),NA(),IF(Assessment!P144="",NA(),Assessment!P144)),NA()),
  IF(MTP_Council_Endorsed,IF(ISNUMBER(Q15),NA(),IF(Assessment!P126="",NA(),Assessment!P126)),NA())
)</f>
        <v>#N/A</v>
      </c>
      <c r="R16" s="64" t="e">
        <f>IF(COUNTIF('Step 1 - Set global parameters'!$B$21:$G$21,TRUE)&gt;0,
  IF(MTP_Council_Endorsed,IF(ISNUMBER(R15),NA(),IF(Assessment!Q144="",NA(),Assessment!Q144)),NA()),
  IF(MTP_Council_Endorsed,IF(ISNUMBER(R15),NA(),IF(Assessment!Q126="",NA(),Assessment!Q126)),NA())
)</f>
        <v>#N/A</v>
      </c>
      <c r="S16" s="64" t="e">
        <f>IF(COUNTIF('Step 1 - Set global parameters'!$B$21:$G$21,TRUE)&gt;0,
  IF(MTP_Council_Endorsed,IF(ISNUMBER(S15),NA(),IF(Assessment!R144="",NA(),Assessment!R144)),NA()),
  IF(MTP_Council_Endorsed,IF(ISNUMBER(S15),NA(),IF(Assessment!R126="",NA(),Assessment!R126)),NA())
)</f>
        <v>#N/A</v>
      </c>
      <c r="T16" s="64" t="e">
        <f>IF(COUNTIF('Step 1 - Set global parameters'!$B$21:$G$21,TRUE)&gt;0,
  IF(MTP_Council_Endorsed,IF(ISNUMBER(T15),NA(),IF(Assessment!S144="",NA(),Assessment!S144)),NA()),
  IF(MTP_Council_Endorsed,IF(ISNUMBER(T15),NA(),IF(Assessment!S126="",NA(),Assessment!S126)),NA())
)</f>
        <v>#N/A</v>
      </c>
      <c r="U16" s="64" t="e">
        <f>IF(COUNTIF('Step 1 - Set global parameters'!$B$21:$G$21,TRUE)&gt;0,
  IF(MTP_Council_Endorsed,IF(ISNUMBER(U15),NA(),IF(Assessment!T144="",NA(),Assessment!T144)),NA()),
  IF(MTP_Council_Endorsed,IF(ISNUMBER(U15),NA(),IF(Assessment!T126="",NA(),Assessment!T126)),NA())
)</f>
        <v>#N/A</v>
      </c>
      <c r="V16" s="64" t="e">
        <f>IF(COUNTIF('Step 1 - Set global parameters'!$B$21:$G$21,TRUE)&gt;0,
  IF(MTP_Council_Endorsed,IF(ISNUMBER(V15),NA(),IF(Assessment!U144="",NA(),Assessment!U144)),NA()),
  IF(MTP_Council_Endorsed,IF(ISNUMBER(V15),NA(),IF(Assessment!U126="",NA(),Assessment!U126)),NA())
)</f>
        <v>#N/A</v>
      </c>
      <c r="W16" s="64" t="e">
        <f>IF(COUNTIF('Step 1 - Set global parameters'!$B$21:$G$21,TRUE)&gt;0,
  IF(MTP_Council_Endorsed,IF(ISNUMBER(W15),NA(),IF(Assessment!V144="",NA(),Assessment!V144)),NA()),
  IF(MTP_Council_Endorsed,IF(ISNUMBER(W15),NA(),IF(Assessment!V126="",NA(),Assessment!V126)),NA())
)</f>
        <v>#N/A</v>
      </c>
    </row>
    <row r="17" spans="2:23" x14ac:dyDescent="0.4">
      <c r="C17" s="2" t="s">
        <v>296</v>
      </c>
      <c r="F17" s="4"/>
      <c r="G17" s="4"/>
      <c r="H17" s="4"/>
      <c r="I17" s="4"/>
      <c r="J17" s="4"/>
      <c r="K17" s="4"/>
      <c r="L17" s="4"/>
      <c r="M17" s="4"/>
      <c r="N17" s="4"/>
      <c r="O17" s="4"/>
      <c r="P17" s="4"/>
      <c r="Q17" s="4"/>
      <c r="R17" s="4"/>
      <c r="S17" s="4"/>
      <c r="T17" s="4"/>
      <c r="U17" s="4"/>
      <c r="V17" s="4"/>
      <c r="W17" s="4"/>
    </row>
    <row r="18" spans="2:23" x14ac:dyDescent="0.4">
      <c r="C18" s="2" t="s">
        <v>570</v>
      </c>
      <c r="F18" s="64">
        <f>IF(COUNTIF('Step 1 - Set global parameters'!$B$21:$G$21,TRUE)&gt;0,
  IF(MTP_Council_Endorsed,IF(NOT(Assessment!E145),IF(Assessment!E142&lt;=0,Assessment!E142,NA()),NA()),NA()),
  IF(MTP_Council_Endorsed,IF(NOT(Assessment!E127),IF(Assessment!E125&lt;=0,Assessment!E125,NA()),NA()),NA())
)</f>
        <v>-1.6282262258224094</v>
      </c>
      <c r="G18" s="64" t="e">
        <f>IF(COUNTIF('Step 1 - Set global parameters'!$B$21:$G$21,TRUE)&gt;0,
  IF(MTP_Council_Endorsed,IF(NOT(Assessment!F145),IF(Assessment!F142&lt;=0,Assessment!F142,NA()),NA()),NA()),
  IF(MTP_Council_Endorsed,IF(NOT(Assessment!F127),IF(Assessment!F125&lt;=0,Assessment!F125,NA()),NA()),NA())
)</f>
        <v>#N/A</v>
      </c>
      <c r="H18" s="64" t="e">
        <f>IF(COUNTIF('Step 1 - Set global parameters'!$B$21:$G$21,TRUE)&gt;0,
  IF(MTP_Council_Endorsed,IF(NOT(Assessment!G145),IF(Assessment!G142&lt;=0,Assessment!G142,NA()),NA()),NA()),
  IF(MTP_Council_Endorsed,IF(NOT(Assessment!G127),IF(Assessment!G125&lt;=0,Assessment!G125,NA()),NA()),NA())
)</f>
        <v>#N/A</v>
      </c>
      <c r="I18" s="64" t="e">
        <f>IF(COUNTIF('Step 1 - Set global parameters'!$B$21:$G$21,TRUE)&gt;0,
  IF(MTP_Council_Endorsed,IF(NOT(Assessment!H145),IF(Assessment!H142&lt;=0,Assessment!H142,NA()),NA()),NA()),
  IF(MTP_Council_Endorsed,IF(NOT(Assessment!H127),IF(Assessment!H125&lt;=0,Assessment!H125,NA()),NA()),NA())
)</f>
        <v>#N/A</v>
      </c>
      <c r="J18" s="64" t="e">
        <f>IF(COUNTIF('Step 1 - Set global parameters'!$B$21:$G$21,TRUE)&gt;0,
  IF(MTP_Council_Endorsed,IF(NOT(Assessment!I145),IF(Assessment!I142&lt;=0,Assessment!I142,NA()),NA()),NA()),
  IF(MTP_Council_Endorsed,IF(NOT(Assessment!I127),IF(Assessment!I125&lt;=0,Assessment!I125,NA()),NA()),NA())
)</f>
        <v>#N/A</v>
      </c>
      <c r="K18" s="64" t="e">
        <f>IF(COUNTIF('Step 1 - Set global parameters'!$B$21:$G$21,TRUE)&gt;0,
  IF(MTP_Council_Endorsed,IF(NOT(Assessment!J145),IF(Assessment!J142&lt;=0,Assessment!J142,NA()),NA()),NA()),
  IF(MTP_Council_Endorsed,IF(NOT(Assessment!J127),IF(Assessment!J125&lt;=0,Assessment!J125,NA()),NA()),NA())
)</f>
        <v>#N/A</v>
      </c>
      <c r="L18" s="64">
        <f>IF(COUNTIF('Step 1 - Set global parameters'!$B$21:$G$21,TRUE)&gt;0,
  IF(MTP_Council_Endorsed,IF(NOT(Assessment!K145),IF(Assessment!K142&lt;=0,Assessment!K142,NA()),NA()),NA()),
  IF(MTP_Council_Endorsed,IF(NOT(Assessment!K127),IF(Assessment!K125&lt;=0,Assessment!K125,NA()),NA()),NA())
)</f>
        <v>0</v>
      </c>
      <c r="M18" s="64">
        <f>IF(COUNTIF('Step 1 - Set global parameters'!$B$21:$G$21,TRUE)&gt;0,
  IF(MTP_Council_Endorsed,IF(NOT(Assessment!L145),IF(Assessment!L142&lt;=0,Assessment!L142,NA()),NA()),NA()),
  IF(MTP_Council_Endorsed,IF(NOT(Assessment!L127),IF(Assessment!L125&lt;=0,Assessment!L125,NA()),NA()),NA())
)</f>
        <v>0</v>
      </c>
      <c r="N18" s="64">
        <f>IF(COUNTIF('Step 1 - Set global parameters'!$B$21:$G$21,TRUE)&gt;0,
  IF(MTP_Council_Endorsed,IF(NOT(Assessment!M145),IF(Assessment!M142&lt;=0,Assessment!M142,NA()),NA()),NA()),
  IF(MTP_Council_Endorsed,IF(NOT(Assessment!M127),IF(Assessment!M125&lt;=0,Assessment!M125,NA()),NA()),NA())
)</f>
        <v>0</v>
      </c>
      <c r="O18" s="64">
        <f>IF(COUNTIF('Step 1 - Set global parameters'!$B$21:$G$21,TRUE)&gt;0,
  IF(MTP_Council_Endorsed,IF(NOT(Assessment!N145),IF(Assessment!N142&lt;=0,Assessment!N142,NA()),NA()),NA()),
  IF(MTP_Council_Endorsed,IF(NOT(Assessment!N127),IF(Assessment!N125&lt;=0,Assessment!N125,NA()),NA()),NA())
)</f>
        <v>0</v>
      </c>
      <c r="P18" s="64">
        <f>IF(COUNTIF('Step 1 - Set global parameters'!$B$21:$G$21,TRUE)&gt;0,
  IF(MTP_Council_Endorsed,IF(NOT(Assessment!O145),IF(Assessment!O142&lt;=0,Assessment!O142,NA()),NA()),NA()),
  IF(MTP_Council_Endorsed,IF(NOT(Assessment!O127),IF(Assessment!O125&lt;=0,Assessment!O125,NA()),NA()),NA())
)</f>
        <v>0</v>
      </c>
      <c r="Q18" s="64">
        <f>IF(COUNTIF('Step 1 - Set global parameters'!$B$21:$G$21,TRUE)&gt;0,
  IF(MTP_Council_Endorsed,IF(NOT(Assessment!P145),IF(Assessment!P142&lt;=0,Assessment!P142,NA()),NA()),NA()),
  IF(MTP_Council_Endorsed,IF(NOT(Assessment!P127),IF(Assessment!P125&lt;=0,Assessment!P125,NA()),NA()),NA())
)</f>
        <v>0</v>
      </c>
      <c r="R18" s="64">
        <f>IF(COUNTIF('Step 1 - Set global parameters'!$B$21:$G$21,TRUE)&gt;0,
  IF(MTP_Council_Endorsed,IF(NOT(Assessment!Q145),IF(Assessment!Q142&lt;=0,Assessment!Q142,NA()),NA()),NA()),
  IF(MTP_Council_Endorsed,IF(NOT(Assessment!Q127),IF(Assessment!Q125&lt;=0,Assessment!Q125,NA()),NA()),NA())
)</f>
        <v>0</v>
      </c>
      <c r="S18" s="64">
        <f>IF(COUNTIF('Step 1 - Set global parameters'!$B$21:$G$21,TRUE)&gt;0,
  IF(MTP_Council_Endorsed,IF(NOT(Assessment!R145),IF(Assessment!R142&lt;=0,Assessment!R142,NA()),NA()),NA()),
  IF(MTP_Council_Endorsed,IF(NOT(Assessment!R127),IF(Assessment!R125&lt;=0,Assessment!R125,NA()),NA()),NA())
)</f>
        <v>0</v>
      </c>
      <c r="T18" s="64">
        <f>IF(COUNTIF('Step 1 - Set global parameters'!$B$21:$G$21,TRUE)&gt;0,
  IF(MTP_Council_Endorsed,IF(NOT(Assessment!S145),IF(Assessment!S142&lt;=0,Assessment!S142,NA()),NA()),NA()),
  IF(MTP_Council_Endorsed,IF(NOT(Assessment!S127),IF(Assessment!S125&lt;=0,Assessment!S125,NA()),NA()),NA())
)</f>
        <v>0</v>
      </c>
      <c r="U18" s="64">
        <f>IF(COUNTIF('Step 1 - Set global parameters'!$B$21:$G$21,TRUE)&gt;0,
  IF(MTP_Council_Endorsed,IF(NOT(Assessment!T145),IF(Assessment!T142&lt;=0,Assessment!T142,NA()),NA()),NA()),
  IF(MTP_Council_Endorsed,IF(NOT(Assessment!T127),IF(Assessment!T125&lt;=0,Assessment!T125,NA()),NA()),NA())
)</f>
        <v>0</v>
      </c>
      <c r="V18" s="64">
        <f>IF(COUNTIF('Step 1 - Set global parameters'!$B$21:$G$21,TRUE)&gt;0,
  IF(MTP_Council_Endorsed,IF(NOT(Assessment!U145),IF(Assessment!U142&lt;=0,Assessment!U142,NA()),NA()),NA()),
  IF(MTP_Council_Endorsed,IF(NOT(Assessment!U127),IF(Assessment!U125&lt;=0,Assessment!U125,NA()),NA()),NA())
)</f>
        <v>0</v>
      </c>
      <c r="W18" s="64">
        <f>IF(COUNTIF('Step 1 - Set global parameters'!$B$21:$G$21,TRUE)&gt;0,
  IF(MTP_Council_Endorsed,IF(NOT(Assessment!V145),IF(Assessment!V142&lt;=0,Assessment!V142,NA()),NA()),NA()),
  IF(MTP_Council_Endorsed,IF(NOT(Assessment!V127),IF(Assessment!V125&lt;=0,Assessment!V125,NA()),NA()),NA())
)</f>
        <v>0</v>
      </c>
    </row>
    <row r="19" spans="2:23" x14ac:dyDescent="0.4">
      <c r="C19" s="2" t="s">
        <v>571</v>
      </c>
      <c r="F19" s="64" t="e">
        <f>IF(COUNTIF('Step 1 - Set global parameters'!$B$21:$G$21,TRUE)&gt;0,
  IF(MTP_Council_Endorsed,IF(NOT(Assessment!E145),IF(Assessment!E142&gt;0,Assessment!E142,NA()),NA()),NA()),
  IF(MTP_Council_Endorsed,IF(NOT(Assessment!E127),IF(Assessment!E125&gt;0,Assessment!E125,NA()),NA()),NA())
)</f>
        <v>#N/A</v>
      </c>
      <c r="G19" s="64" t="e">
        <f>IF(COUNTIF('Step 1 - Set global parameters'!$B$21:$G$21,TRUE)&gt;0,
  IF(MTP_Council_Endorsed,IF(NOT(Assessment!F145),IF(Assessment!F142&gt;0,Assessment!F142,NA()),NA()),NA()),
  IF(MTP_Council_Endorsed,IF(NOT(Assessment!F127),IF(Assessment!F125&gt;0,Assessment!F125,NA()),NA()),NA())
)</f>
        <v>#N/A</v>
      </c>
      <c r="H19" s="64" t="e">
        <f>IF(COUNTIF('Step 1 - Set global parameters'!$B$21:$G$21,TRUE)&gt;0,
  IF(MTP_Council_Endorsed,IF(NOT(Assessment!G145),IF(Assessment!G142&gt;0,Assessment!G142,NA()),NA()),NA()),
  IF(MTP_Council_Endorsed,IF(NOT(Assessment!G127),IF(Assessment!G125&gt;0,Assessment!G125,NA()),NA()),NA())
)</f>
        <v>#N/A</v>
      </c>
      <c r="I19" s="64" t="e">
        <f>IF(COUNTIF('Step 1 - Set global parameters'!$B$21:$G$21,TRUE)&gt;0,
  IF(MTP_Council_Endorsed,IF(NOT(Assessment!H145),IF(Assessment!H142&gt;0,Assessment!H142,NA()),NA()),NA()),
  IF(MTP_Council_Endorsed,IF(NOT(Assessment!H127),IF(Assessment!H125&gt;0,Assessment!H125,NA()),NA()),NA())
)</f>
        <v>#N/A</v>
      </c>
      <c r="J19" s="64" t="e">
        <f>IF(COUNTIF('Step 1 - Set global parameters'!$B$21:$G$21,TRUE)&gt;0,
  IF(MTP_Council_Endorsed,IF(NOT(Assessment!I145),IF(Assessment!I142&gt;0,Assessment!I142,NA()),NA()),NA()),
  IF(MTP_Council_Endorsed,IF(NOT(Assessment!I127),IF(Assessment!I125&gt;0,Assessment!I125,NA()),NA()),NA())
)</f>
        <v>#N/A</v>
      </c>
      <c r="K19" s="64" t="str">
        <f>IF(COUNTIF('Step 1 - Set global parameters'!$B$21:$G$21,TRUE)&gt;0,
  IF(MTP_Council_Endorsed,IF(NOT(Assessment!J145),IF(Assessment!J142&gt;0,Assessment!J142,NA()),NA()),NA()),
  IF(MTP_Council_Endorsed,IF(NOT(Assessment!J127),IF(Assessment!J125&gt;0,Assessment!J125,NA()),NA()),NA())
)</f>
        <v/>
      </c>
      <c r="L19" s="64" t="e">
        <f>IF(COUNTIF('Step 1 - Set global parameters'!$B$21:$G$21,TRUE)&gt;0,
  IF(MTP_Council_Endorsed,IF(NOT(Assessment!K145),IF(Assessment!K142&gt;0,Assessment!K142,NA()),NA()),NA()),
  IF(MTP_Council_Endorsed,IF(NOT(Assessment!K127),IF(Assessment!K125&gt;0,Assessment!K125,NA()),NA()),NA())
)</f>
        <v>#N/A</v>
      </c>
      <c r="M19" s="64" t="e">
        <f>IF(COUNTIF('Step 1 - Set global parameters'!$B$21:$G$21,TRUE)&gt;0,
  IF(MTP_Council_Endorsed,IF(NOT(Assessment!L145),IF(Assessment!L142&gt;0,Assessment!L142,NA()),NA()),NA()),
  IF(MTP_Council_Endorsed,IF(NOT(Assessment!L127),IF(Assessment!L125&gt;0,Assessment!L125,NA()),NA()),NA())
)</f>
        <v>#N/A</v>
      </c>
      <c r="N19" s="64" t="e">
        <f>IF(COUNTIF('Step 1 - Set global parameters'!$B$21:$G$21,TRUE)&gt;0,
  IF(MTP_Council_Endorsed,IF(NOT(Assessment!M145),IF(Assessment!M142&gt;0,Assessment!M142,NA()),NA()),NA()),
  IF(MTP_Council_Endorsed,IF(NOT(Assessment!M127),IF(Assessment!M125&gt;0,Assessment!M125,NA()),NA()),NA())
)</f>
        <v>#N/A</v>
      </c>
      <c r="O19" s="64" t="e">
        <f>IF(COUNTIF('Step 1 - Set global parameters'!$B$21:$G$21,TRUE)&gt;0,
  IF(MTP_Council_Endorsed,IF(NOT(Assessment!N145),IF(Assessment!N142&gt;0,Assessment!N142,NA()),NA()),NA()),
  IF(MTP_Council_Endorsed,IF(NOT(Assessment!N127),IF(Assessment!N125&gt;0,Assessment!N125,NA()),NA()),NA())
)</f>
        <v>#N/A</v>
      </c>
      <c r="P19" s="64" t="e">
        <f>IF(COUNTIF('Step 1 - Set global parameters'!$B$21:$G$21,TRUE)&gt;0,
  IF(MTP_Council_Endorsed,IF(NOT(Assessment!O145),IF(Assessment!O142&gt;0,Assessment!O142,NA()),NA()),NA()),
  IF(MTP_Council_Endorsed,IF(NOT(Assessment!O127),IF(Assessment!O125&gt;0,Assessment!O125,NA()),NA()),NA())
)</f>
        <v>#N/A</v>
      </c>
      <c r="Q19" s="64" t="e">
        <f>IF(COUNTIF('Step 1 - Set global parameters'!$B$21:$G$21,TRUE)&gt;0,
  IF(MTP_Council_Endorsed,IF(NOT(Assessment!P145),IF(Assessment!P142&gt;0,Assessment!P142,NA()),NA()),NA()),
  IF(MTP_Council_Endorsed,IF(NOT(Assessment!P127),IF(Assessment!P125&gt;0,Assessment!P125,NA()),NA()),NA())
)</f>
        <v>#N/A</v>
      </c>
      <c r="R19" s="64" t="e">
        <f>IF(COUNTIF('Step 1 - Set global parameters'!$B$21:$G$21,TRUE)&gt;0,
  IF(MTP_Council_Endorsed,IF(NOT(Assessment!Q145),IF(Assessment!Q142&gt;0,Assessment!Q142,NA()),NA()),NA()),
  IF(MTP_Council_Endorsed,IF(NOT(Assessment!Q127),IF(Assessment!Q125&gt;0,Assessment!Q125,NA()),NA()),NA())
)</f>
        <v>#N/A</v>
      </c>
      <c r="S19" s="64" t="e">
        <f>IF(COUNTIF('Step 1 - Set global parameters'!$B$21:$G$21,TRUE)&gt;0,
  IF(MTP_Council_Endorsed,IF(NOT(Assessment!R145),IF(Assessment!R142&gt;0,Assessment!R142,NA()),NA()),NA()),
  IF(MTP_Council_Endorsed,IF(NOT(Assessment!R127),IF(Assessment!R125&gt;0,Assessment!R125,NA()),NA()),NA())
)</f>
        <v>#N/A</v>
      </c>
      <c r="T19" s="64" t="e">
        <f>IF(COUNTIF('Step 1 - Set global parameters'!$B$21:$G$21,TRUE)&gt;0,
  IF(MTP_Council_Endorsed,IF(NOT(Assessment!S145),IF(Assessment!S142&gt;0,Assessment!S142,NA()),NA()),NA()),
  IF(MTP_Council_Endorsed,IF(NOT(Assessment!S127),IF(Assessment!S125&gt;0,Assessment!S125,NA()),NA()),NA())
)</f>
        <v>#N/A</v>
      </c>
      <c r="U19" s="64" t="e">
        <f>IF(COUNTIF('Step 1 - Set global parameters'!$B$21:$G$21,TRUE)&gt;0,
  IF(MTP_Council_Endorsed,IF(NOT(Assessment!T145),IF(Assessment!T142&gt;0,Assessment!T142,NA()),NA()),NA()),
  IF(MTP_Council_Endorsed,IF(NOT(Assessment!T127),IF(Assessment!T125&gt;0,Assessment!T125,NA()),NA()),NA())
)</f>
        <v>#N/A</v>
      </c>
      <c r="V19" s="64" t="e">
        <f>IF(COUNTIF('Step 1 - Set global parameters'!$B$21:$G$21,TRUE)&gt;0,
  IF(MTP_Council_Endorsed,IF(NOT(Assessment!U145),IF(Assessment!U142&gt;0,Assessment!U142,NA()),NA()),NA()),
  IF(MTP_Council_Endorsed,IF(NOT(Assessment!U127),IF(Assessment!U125&gt;0,Assessment!U125,NA()),NA()),NA())
)</f>
        <v>#N/A</v>
      </c>
      <c r="W19" s="64" t="e">
        <f>IF(COUNTIF('Step 1 - Set global parameters'!$B$21:$G$21,TRUE)&gt;0,
  IF(MTP_Council_Endorsed,IF(NOT(Assessment!V145),IF(Assessment!V142&gt;0,Assessment!V142,NA()),NA()),NA()),
  IF(MTP_Council_Endorsed,IF(NOT(Assessment!V127),IF(Assessment!V125&gt;0,Assessment!V125,NA()),NA()),NA())
)</f>
        <v>#N/A</v>
      </c>
    </row>
    <row r="20" spans="2:23" x14ac:dyDescent="0.4">
      <c r="C20" s="2" t="s">
        <v>297</v>
      </c>
      <c r="F20" s="64"/>
      <c r="G20" s="64"/>
      <c r="H20" s="64"/>
      <c r="I20" s="64"/>
      <c r="J20" s="64"/>
      <c r="K20" s="64"/>
      <c r="L20" s="64"/>
      <c r="M20" s="64"/>
      <c r="N20" s="64"/>
      <c r="O20" s="64"/>
      <c r="P20" s="64"/>
      <c r="Q20" s="64"/>
      <c r="R20" s="64"/>
      <c r="S20" s="64"/>
      <c r="T20" s="64"/>
      <c r="U20" s="64"/>
      <c r="V20" s="64"/>
      <c r="W20" s="64"/>
    </row>
    <row r="21" spans="2:23" x14ac:dyDescent="0.4">
      <c r="C21" s="2" t="s">
        <v>656</v>
      </c>
      <c r="F21" s="64" t="e">
        <f>IF(MTP_Council_Endorsed,IF(Assessment!E145,Assessment!E142,NA()),NA())</f>
        <v>#N/A</v>
      </c>
      <c r="G21" s="64">
        <f>IF(MTP_Council_Endorsed,IF(Assessment!F145,Assessment!F142,NA()),NA())</f>
        <v>-0.42200029284483015</v>
      </c>
      <c r="H21" s="64">
        <f>IF(MTP_Council_Endorsed,IF(Assessment!G145,Assessment!G142,NA()),NA())</f>
        <v>0</v>
      </c>
      <c r="I21" s="64" t="str">
        <f>IF(MTP_Council_Endorsed,IF(Assessment!H145,Assessment!H142,NA()),NA())</f>
        <v/>
      </c>
      <c r="J21" s="64" t="str">
        <f>IF(MTP_Council_Endorsed,IF(Assessment!I145,Assessment!I142,NA()),NA())</f>
        <v/>
      </c>
      <c r="K21" s="64" t="e">
        <f>IF(MTP_Council_Endorsed,IF(Assessment!J145,Assessment!J142,NA()),NA())</f>
        <v>#N/A</v>
      </c>
      <c r="L21" s="64" t="e">
        <f>IF(MTP_Council_Endorsed,IF(Assessment!K145,Assessment!K142,NA()),NA())</f>
        <v>#N/A</v>
      </c>
      <c r="M21" s="64" t="e">
        <f>IF(MTP_Council_Endorsed,IF(Assessment!L145,Assessment!L142,NA()),NA())</f>
        <v>#N/A</v>
      </c>
      <c r="N21" s="64" t="e">
        <f>IF(MTP_Council_Endorsed,IF(Assessment!M145,Assessment!M142,NA()),NA())</f>
        <v>#N/A</v>
      </c>
      <c r="O21" s="64" t="e">
        <f>IF(MTP_Council_Endorsed,IF(Assessment!N145,Assessment!N142,NA()),NA())</f>
        <v>#N/A</v>
      </c>
      <c r="P21" s="64" t="e">
        <f>IF(MTP_Council_Endorsed,IF(Assessment!O145,Assessment!O142,NA()),NA())</f>
        <v>#N/A</v>
      </c>
      <c r="Q21" s="64" t="e">
        <f>IF(MTP_Council_Endorsed,IF(Assessment!P145,Assessment!P142,NA()),NA())</f>
        <v>#N/A</v>
      </c>
      <c r="R21" s="64" t="e">
        <f>IF(MTP_Council_Endorsed,IF(Assessment!Q145,Assessment!Q142,NA()),NA())</f>
        <v>#N/A</v>
      </c>
      <c r="S21" s="64" t="e">
        <f>IF(MTP_Council_Endorsed,IF(Assessment!R145,Assessment!R142,NA()),NA())</f>
        <v>#N/A</v>
      </c>
      <c r="T21" s="64" t="e">
        <f>IF(MTP_Council_Endorsed,IF(Assessment!S145,Assessment!S142,NA()),NA())</f>
        <v>#N/A</v>
      </c>
      <c r="U21" s="64" t="e">
        <f>IF(MTP_Council_Endorsed,IF(Assessment!T145,Assessment!T142,NA()),NA())</f>
        <v>#N/A</v>
      </c>
      <c r="V21" s="64" t="e">
        <f>IF(MTP_Council_Endorsed,IF(Assessment!U145,Assessment!U142,NA()),NA())</f>
        <v>#N/A</v>
      </c>
      <c r="W21" s="64" t="e">
        <f>IF(MTP_Council_Endorsed,IF(Assessment!V145,Assessment!V142,NA()),NA())</f>
        <v>#N/A</v>
      </c>
    </row>
    <row r="22" spans="2:23" x14ac:dyDescent="0.4">
      <c r="C22" s="2" t="s">
        <v>485</v>
      </c>
      <c r="F22" s="64">
        <v>0.3</v>
      </c>
      <c r="G22" s="64">
        <v>0.3</v>
      </c>
      <c r="H22" s="64">
        <v>0.3</v>
      </c>
      <c r="I22" s="64">
        <v>0.3</v>
      </c>
      <c r="J22" s="64">
        <v>0.3</v>
      </c>
      <c r="K22" s="64">
        <v>0.3</v>
      </c>
      <c r="L22" s="64">
        <v>0.3</v>
      </c>
      <c r="M22" s="64">
        <v>0.3</v>
      </c>
      <c r="N22" s="64">
        <v>0.3</v>
      </c>
      <c r="O22" s="64">
        <v>0.3</v>
      </c>
      <c r="P22" s="64">
        <v>0.3</v>
      </c>
      <c r="Q22" s="64">
        <v>0.3</v>
      </c>
      <c r="R22" s="64">
        <v>0.3</v>
      </c>
      <c r="S22" s="64">
        <v>0.3</v>
      </c>
      <c r="T22" s="64">
        <v>0.3</v>
      </c>
      <c r="U22" s="64">
        <v>0.3</v>
      </c>
      <c r="V22" s="64">
        <v>0.3</v>
      </c>
      <c r="W22" s="64">
        <v>0.3</v>
      </c>
    </row>
    <row r="23" spans="2:23" x14ac:dyDescent="0.4">
      <c r="C23" s="2" t="s">
        <v>486</v>
      </c>
      <c r="F23" s="64">
        <v>0.6</v>
      </c>
      <c r="G23" s="64">
        <v>0.6</v>
      </c>
      <c r="H23" s="64">
        <v>0.6</v>
      </c>
      <c r="I23" s="64">
        <v>0.6</v>
      </c>
      <c r="J23" s="64">
        <v>0.6</v>
      </c>
      <c r="K23" s="64">
        <v>0.6</v>
      </c>
      <c r="L23" s="64">
        <v>0.6</v>
      </c>
      <c r="M23" s="64">
        <v>0.6</v>
      </c>
      <c r="N23" s="64">
        <v>0.6</v>
      </c>
      <c r="O23" s="64">
        <v>0.6</v>
      </c>
      <c r="P23" s="64">
        <v>0.6</v>
      </c>
      <c r="Q23" s="64">
        <v>0.6</v>
      </c>
      <c r="R23" s="64">
        <v>0.6</v>
      </c>
      <c r="S23" s="64">
        <v>0.6</v>
      </c>
      <c r="T23" s="64">
        <v>0.6</v>
      </c>
      <c r="U23" s="64">
        <v>0.6</v>
      </c>
      <c r="V23" s="64">
        <v>0.6</v>
      </c>
      <c r="W23" s="64">
        <v>0.6</v>
      </c>
    </row>
    <row r="24" spans="2:23" x14ac:dyDescent="0.4">
      <c r="C24" s="2" t="s">
        <v>478</v>
      </c>
      <c r="F24" s="64"/>
      <c r="G24" s="64"/>
      <c r="H24" s="64"/>
      <c r="I24" s="64"/>
      <c r="J24" s="64"/>
      <c r="K24" s="64"/>
      <c r="L24" s="64"/>
      <c r="M24" s="64"/>
      <c r="N24" s="64"/>
      <c r="O24" s="64"/>
      <c r="P24" s="64"/>
      <c r="Q24" s="64"/>
      <c r="R24" s="64"/>
      <c r="S24" s="64"/>
      <c r="T24" s="64"/>
      <c r="U24" s="64"/>
      <c r="V24" s="64"/>
      <c r="W24" s="64"/>
    </row>
    <row r="25" spans="2:23" x14ac:dyDescent="0.4">
      <c r="C25" s="110" t="s">
        <v>564</v>
      </c>
      <c r="D25" s="4">
        <f>IF(_xlfn.AGGREGATE(5,6,F15:W23)&lt;0, _xlfn.AGGREGATE(5,6,F15:W23), 0)</f>
        <v>-2.5692931218013437</v>
      </c>
      <c r="F25" s="64"/>
      <c r="G25" s="64"/>
      <c r="H25" s="64"/>
      <c r="I25" s="64"/>
      <c r="J25" s="64"/>
      <c r="K25" s="64"/>
      <c r="L25" s="64"/>
      <c r="M25" s="64"/>
      <c r="N25" s="64"/>
      <c r="O25" s="64"/>
      <c r="P25" s="64"/>
      <c r="Q25" s="64"/>
      <c r="R25" s="64"/>
      <c r="S25" s="64"/>
      <c r="T25" s="64"/>
      <c r="U25" s="64"/>
      <c r="V25" s="64"/>
      <c r="W25" s="64"/>
    </row>
    <row r="26" spans="2:23" x14ac:dyDescent="0.4">
      <c r="C26" s="110" t="s">
        <v>565</v>
      </c>
      <c r="D26" s="4">
        <f>_xlfn.AGGREGATE(4,6,F15:W23)</f>
        <v>0.6</v>
      </c>
    </row>
    <row r="27" spans="2:23" x14ac:dyDescent="0.4">
      <c r="C27" s="110"/>
    </row>
    <row r="28" spans="2:23" ht="16.5" x14ac:dyDescent="0.6">
      <c r="B28" s="110" t="s">
        <v>481</v>
      </c>
      <c r="C28" s="11" t="s">
        <v>940</v>
      </c>
    </row>
    <row r="29" spans="2:23" x14ac:dyDescent="0.4">
      <c r="C29" s="2" t="s">
        <v>497</v>
      </c>
      <c r="E29" s="64">
        <f>IF(ISNUMBER(Assessment!D38),Assessment!D38,NA())</f>
        <v>43.6</v>
      </c>
      <c r="F29" s="64">
        <f>IF(ISNUMBER(Assessment!E38),Assessment!E38,NA())</f>
        <v>45.8</v>
      </c>
      <c r="G29" s="64">
        <f>IF(ISNUMBER(Assessment!F38),Assessment!F38,NA())</f>
        <v>47.5</v>
      </c>
      <c r="H29" s="64">
        <f>IF(ISNUMBER(Assessment!G38),Assessment!G38,NA())</f>
        <v>48.5</v>
      </c>
      <c r="I29" s="64">
        <f>IF(ISNUMBER(Assessment!H38),Assessment!H38,NA())</f>
        <v>49.7</v>
      </c>
      <c r="J29" s="64">
        <f>IF(ISNUMBER(Assessment!I38),Assessment!I38,NA())</f>
        <v>50.8</v>
      </c>
      <c r="K29" s="64" t="e">
        <f>IF(ISNUMBER(Assessment!J38),Assessment!J38,NA())</f>
        <v>#N/A</v>
      </c>
      <c r="L29" s="64" t="e">
        <f>IF(ISNUMBER(Assessment!K38),Assessment!K38,NA())</f>
        <v>#N/A</v>
      </c>
      <c r="M29" s="64" t="e">
        <f>IF(ISNUMBER(Assessment!L38),Assessment!L38,NA())</f>
        <v>#N/A</v>
      </c>
      <c r="N29" s="64" t="e">
        <f>IF(ISNUMBER(Assessment!M38),Assessment!M38,NA())</f>
        <v>#N/A</v>
      </c>
      <c r="O29" s="64" t="e">
        <f>IF(ISNUMBER(Assessment!N38),Assessment!N38,NA())</f>
        <v>#N/A</v>
      </c>
      <c r="P29" s="64" t="e">
        <f>IF(ISNUMBER(Assessment!O38),Assessment!O38,NA())</f>
        <v>#N/A</v>
      </c>
      <c r="Q29" s="64" t="e">
        <f>IF(ISNUMBER(Assessment!P38),Assessment!P38,NA())</f>
        <v>#N/A</v>
      </c>
      <c r="R29" s="64" t="e">
        <f>IF(ISNUMBER(Assessment!Q38),Assessment!Q38,NA())</f>
        <v>#N/A</v>
      </c>
      <c r="S29" s="64" t="e">
        <f>IF(ISNUMBER(Assessment!R38),Assessment!R38,NA())</f>
        <v>#N/A</v>
      </c>
      <c r="T29" s="64" t="e">
        <f>IF(ISNUMBER(Assessment!S38),Assessment!S38,NA())</f>
        <v>#N/A</v>
      </c>
      <c r="U29" s="64" t="e">
        <f>IF(ISNUMBER(Assessment!T38),Assessment!T38,NA())</f>
        <v>#N/A</v>
      </c>
      <c r="V29" s="64" t="e">
        <f>IF(ISNUMBER(Assessment!U38),Assessment!U38,NA())</f>
        <v>#N/A</v>
      </c>
      <c r="W29" s="64" t="e">
        <f>IF(ISNUMBER(Assessment!V38),Assessment!V38,NA())</f>
        <v>#N/A</v>
      </c>
    </row>
    <row r="30" spans="2:23" x14ac:dyDescent="0.4">
      <c r="C30" s="2" t="s">
        <v>296</v>
      </c>
      <c r="E30" s="64"/>
      <c r="F30" s="64"/>
      <c r="G30" s="64"/>
      <c r="H30" s="64"/>
      <c r="I30" s="64"/>
      <c r="J30" s="64"/>
      <c r="K30" s="64"/>
      <c r="L30" s="64"/>
      <c r="M30" s="64"/>
      <c r="N30" s="64"/>
      <c r="O30" s="64"/>
      <c r="P30" s="64"/>
      <c r="Q30" s="64"/>
      <c r="R30" s="64"/>
      <c r="S30" s="64"/>
      <c r="T30" s="64"/>
      <c r="U30" s="64"/>
      <c r="V30" s="64"/>
      <c r="W30" s="64"/>
    </row>
    <row r="31" spans="2:23" x14ac:dyDescent="0.4">
      <c r="C31" s="2" t="s">
        <v>243</v>
      </c>
      <c r="E31" s="64">
        <f>IF(OR(ISNUMBER(E91),ISNUMBER(E92)),NA(),IF(ISNUMBER(Assessment!D20),Assessment!D20,NA()))</f>
        <v>44.430318318075436</v>
      </c>
      <c r="F31" s="64" t="e">
        <f>IF(OR(ISNUMBER(F91),ISNUMBER(F92)),NA(),IF(ISNUMBER(Assessment!E20),Assessment!E20,NA()))</f>
        <v>#N/A</v>
      </c>
      <c r="G31" s="64" t="e">
        <f>IF(OR(ISNUMBER(G91),ISNUMBER(G92)),NA(),IF(ISNUMBER(Assessment!F20),Assessment!F20,NA()))</f>
        <v>#N/A</v>
      </c>
      <c r="H31" s="64">
        <f>IF(OR(ISNUMBER(H91),ISNUMBER(H92)),NA(),IF(ISNUMBER(Assessment!G20),Assessment!G20,NA()))</f>
        <v>47.9</v>
      </c>
      <c r="I31" s="64" t="e">
        <f>IF(OR(ISNUMBER(I91),ISNUMBER(I92)),NA(),IF(ISNUMBER(Assessment!H20),Assessment!H20,NA()))</f>
        <v>#N/A</v>
      </c>
      <c r="J31" s="64" t="e">
        <f>IF(OR(ISNUMBER(J91),ISNUMBER(J92)),NA(),IF(ISNUMBER(Assessment!I20),Assessment!I20,NA()))</f>
        <v>#N/A</v>
      </c>
      <c r="K31" s="64" t="e">
        <f>IF(OR(ISNUMBER(K91),ISNUMBER(K92)),NA(),IF(ISNUMBER(Assessment!J20),Assessment!J20,NA()))</f>
        <v>#N/A</v>
      </c>
      <c r="L31" s="64" t="e">
        <f>IF(OR(ISNUMBER(L91),ISNUMBER(L92)),NA(),IF(ISNUMBER(Assessment!K20),Assessment!K20,NA()))</f>
        <v>#N/A</v>
      </c>
      <c r="M31" s="64" t="e">
        <f>IF(OR(ISNUMBER(M91),ISNUMBER(M92)),NA(),IF(ISNUMBER(Assessment!L20),Assessment!L20,NA()))</f>
        <v>#N/A</v>
      </c>
      <c r="N31" s="64" t="e">
        <f>IF(OR(ISNUMBER(N91),ISNUMBER(N92)),NA(),IF(ISNUMBER(Assessment!M20),Assessment!M20,NA()))</f>
        <v>#N/A</v>
      </c>
      <c r="O31" s="64" t="e">
        <f>IF(OR(ISNUMBER(O91),ISNUMBER(O92)),NA(),IF(ISNUMBER(Assessment!N20),Assessment!N20,NA()))</f>
        <v>#N/A</v>
      </c>
      <c r="P31" s="64" t="e">
        <f>IF(OR(ISNUMBER(P91),ISNUMBER(P92)),NA(),IF(ISNUMBER(Assessment!O20),Assessment!O20,NA()))</f>
        <v>#N/A</v>
      </c>
      <c r="Q31" s="64" t="e">
        <f>IF(OR(ISNUMBER(Q91),ISNUMBER(Q92)),NA(),IF(ISNUMBER(Assessment!P20),Assessment!P20,NA()))</f>
        <v>#N/A</v>
      </c>
      <c r="R31" s="64" t="e">
        <f>IF(OR(ISNUMBER(R91),ISNUMBER(R92)),NA(),IF(ISNUMBER(Assessment!Q20),Assessment!Q20,NA()))</f>
        <v>#N/A</v>
      </c>
      <c r="S31" s="64" t="e">
        <f>IF(OR(ISNUMBER(S91),ISNUMBER(S92)),NA(),IF(ISNUMBER(Assessment!R20),Assessment!R20,NA()))</f>
        <v>#N/A</v>
      </c>
      <c r="T31" s="64" t="e">
        <f>IF(OR(ISNUMBER(T91),ISNUMBER(T92)),NA(),IF(ISNUMBER(Assessment!S20),Assessment!S20,NA()))</f>
        <v>#N/A</v>
      </c>
      <c r="U31" s="64"/>
      <c r="V31" s="64"/>
      <c r="W31" s="64"/>
    </row>
    <row r="32" spans="2:23" x14ac:dyDescent="0.4">
      <c r="C32" s="2" t="s">
        <v>298</v>
      </c>
      <c r="E32" s="3"/>
      <c r="F32" s="64"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64"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46.887477862325753</v>
      </c>
      <c r="H32" s="64"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64"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64"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64"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64"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64"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64"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64"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64"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64"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64"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64"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64"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64"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64"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64"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299</v>
      </c>
      <c r="E33" s="3"/>
      <c r="F33" s="64"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46.249535696627248</v>
      </c>
      <c r="G33" s="64"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64"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64"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64"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64"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64"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64"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64"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64"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64"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64"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64"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64"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64"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64"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64"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64"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247</v>
      </c>
      <c r="E34" s="3"/>
      <c r="F34" s="88">
        <f>Validation!$T$3</f>
        <v>60.05</v>
      </c>
      <c r="G34" s="88">
        <f>Validation!$T$3</f>
        <v>60.05</v>
      </c>
      <c r="H34" s="88">
        <f>Validation!$T$3</f>
        <v>60.05</v>
      </c>
      <c r="I34" s="88">
        <f>Validation!$T$3</f>
        <v>60.05</v>
      </c>
      <c r="J34" s="88">
        <f>Validation!$T$3</f>
        <v>60.05</v>
      </c>
      <c r="K34" s="88">
        <f>Validation!$T$3</f>
        <v>60.05</v>
      </c>
      <c r="L34" s="88">
        <f>Validation!$T$3</f>
        <v>60.05</v>
      </c>
      <c r="M34" s="88">
        <f>Validation!$T$3</f>
        <v>60.05</v>
      </c>
      <c r="N34" s="88">
        <f>Validation!$T$3</f>
        <v>60.05</v>
      </c>
      <c r="O34" s="88">
        <f>Validation!$T$3</f>
        <v>60.05</v>
      </c>
      <c r="P34" s="88">
        <f>Validation!$T$3</f>
        <v>60.05</v>
      </c>
      <c r="Q34" s="88">
        <f>Validation!$T$3</f>
        <v>60.05</v>
      </c>
      <c r="R34" s="88">
        <f>Validation!$T$3</f>
        <v>60.05</v>
      </c>
      <c r="S34" s="88">
        <f>Validation!$T$3</f>
        <v>60.05</v>
      </c>
      <c r="T34" s="88">
        <f>Validation!$T$3</f>
        <v>60.05</v>
      </c>
      <c r="U34" s="88">
        <f>Validation!$T$3</f>
        <v>60.05</v>
      </c>
      <c r="V34" s="88">
        <f>Validation!$T$3</f>
        <v>60.05</v>
      </c>
      <c r="W34" s="88">
        <f>Validation!$T$3</f>
        <v>60.05</v>
      </c>
    </row>
    <row r="35" spans="2:23" x14ac:dyDescent="0.4">
      <c r="C35" s="110" t="s">
        <v>564</v>
      </c>
      <c r="D35" s="4">
        <f>IF(_xlfn.AGGREGATE(5,6,F29:W34)&lt;0, _xlfn.AGGREGATE(5,6,F29:W34), 0)</f>
        <v>0</v>
      </c>
      <c r="F35" s="64"/>
      <c r="G35" s="64"/>
      <c r="H35" s="64"/>
      <c r="I35" s="64"/>
      <c r="J35" s="64"/>
      <c r="K35" s="64"/>
      <c r="L35" s="64"/>
      <c r="M35" s="64"/>
      <c r="N35" s="64"/>
      <c r="O35" s="64"/>
      <c r="P35" s="64"/>
      <c r="Q35" s="64"/>
      <c r="R35" s="64"/>
      <c r="S35" s="64"/>
      <c r="T35" s="64"/>
      <c r="U35" s="64"/>
      <c r="V35" s="64"/>
      <c r="W35" s="64"/>
    </row>
    <row r="36" spans="2:23" x14ac:dyDescent="0.4">
      <c r="C36" s="110" t="s">
        <v>565</v>
      </c>
      <c r="D36" s="4">
        <f>_xlfn.AGGREGATE(4,6,F29:W34)</f>
        <v>60.05</v>
      </c>
    </row>
    <row r="37" spans="2:23" x14ac:dyDescent="0.4">
      <c r="C37" s="2"/>
    </row>
    <row r="38" spans="2:23" ht="16.5" x14ac:dyDescent="0.6">
      <c r="B38" s="110" t="s">
        <v>496</v>
      </c>
      <c r="C38" s="11" t="s">
        <v>941</v>
      </c>
      <c r="F38" s="9"/>
      <c r="G38" s="9"/>
      <c r="H38" s="9"/>
      <c r="I38" s="9"/>
      <c r="J38" s="9"/>
      <c r="K38" s="9"/>
      <c r="L38" s="9"/>
      <c r="M38" s="9"/>
      <c r="N38" s="9"/>
      <c r="O38" s="9"/>
      <c r="P38" s="9"/>
      <c r="Q38" s="9"/>
      <c r="R38" s="9"/>
      <c r="S38" s="9"/>
      <c r="T38" s="9"/>
      <c r="U38" s="9"/>
      <c r="V38" s="9"/>
      <c r="W38" s="9"/>
    </row>
    <row r="39" spans="2:23" x14ac:dyDescent="0.4">
      <c r="C39" s="2" t="s">
        <v>497</v>
      </c>
      <c r="F39" s="64">
        <f>Assessment!E50</f>
        <v>-2.6</v>
      </c>
      <c r="G39" s="64">
        <f>Assessment!F50</f>
        <v>-2.9</v>
      </c>
      <c r="H39" s="64">
        <f>Assessment!G50</f>
        <v>-2.9</v>
      </c>
      <c r="I39" s="64">
        <f>Assessment!H50</f>
        <v>-2.9</v>
      </c>
      <c r="J39" s="64">
        <f>Assessment!I50</f>
        <v>-2.9</v>
      </c>
      <c r="K39" s="64">
        <f>Assessment!J50</f>
        <v>-2.9</v>
      </c>
      <c r="L39" s="64">
        <f>Assessment!K50</f>
        <v>-2.9</v>
      </c>
      <c r="M39" s="64">
        <f>Assessment!L50</f>
        <v>-2.9</v>
      </c>
      <c r="N39" s="64">
        <f>Assessment!M50</f>
        <v>-3</v>
      </c>
      <c r="O39" s="64">
        <f>Assessment!N50</f>
        <v>-3</v>
      </c>
      <c r="P39" s="64">
        <f>Assessment!O50</f>
        <v>-3</v>
      </c>
      <c r="Q39" s="64">
        <f>Assessment!P50</f>
        <v>-3</v>
      </c>
      <c r="R39" s="64">
        <f>Assessment!Q50</f>
        <v>-3</v>
      </c>
      <c r="S39" s="64">
        <f>Assessment!R50</f>
        <v>-3</v>
      </c>
      <c r="T39" s="64">
        <f>Assessment!S50</f>
        <v>-2.9</v>
      </c>
      <c r="U39" s="64" t="str">
        <f>Assessment!T50</f>
        <v/>
      </c>
      <c r="V39" s="64" t="str">
        <f>Assessment!U50</f>
        <v/>
      </c>
      <c r="W39" s="64" t="str">
        <f>Assessment!V50</f>
        <v/>
      </c>
    </row>
    <row r="40" spans="2:23" x14ac:dyDescent="0.4">
      <c r="C40" s="2" t="s">
        <v>243</v>
      </c>
      <c r="F40" s="64" t="e">
        <f>IF(OR(ISNUMBER(F41),ISNUMBER(F42)),NA(),IF(ISNUMBER(Assessment!E17),Assessment!E17,NA()))</f>
        <v>#N/A</v>
      </c>
      <c r="G40" s="64" t="e">
        <f>IF(OR(ISNUMBER(G41),ISNUMBER(G42)),NA(),IF(ISNUMBER(Assessment!F17),Assessment!F17,NA()))</f>
        <v>#N/A</v>
      </c>
      <c r="H40" s="64">
        <f>IF(OR(ISNUMBER(H41),ISNUMBER(H42)),NA(),IF(ISNUMBER(Assessment!G17),Assessment!G17,NA()))</f>
        <v>-3</v>
      </c>
      <c r="I40" s="64" t="e">
        <f>IF(OR(ISNUMBER(I41),ISNUMBER(I42)),NA(),IF(ISNUMBER(Assessment!H17),Assessment!H17,NA()))</f>
        <v>#N/A</v>
      </c>
      <c r="J40" s="64" t="e">
        <f>IF(OR(ISNUMBER(J41),ISNUMBER(J42)),NA(),IF(ISNUMBER(Assessment!I17),Assessment!I17,NA()))</f>
        <v>#N/A</v>
      </c>
      <c r="K40" s="64" t="e">
        <f>IF(OR(ISNUMBER(K41),ISNUMBER(K42)),NA(),IF(ISNUMBER(Assessment!J17),Assessment!J17,NA()))</f>
        <v>#N/A</v>
      </c>
      <c r="L40" s="64" t="e">
        <f>IF(OR(ISNUMBER(L41),ISNUMBER(L42)),NA(),IF(ISNUMBER(Assessment!K17),Assessment!K17,NA()))</f>
        <v>#N/A</v>
      </c>
      <c r="M40" s="64" t="e">
        <f>IF(OR(ISNUMBER(M41),ISNUMBER(M42)),NA(),IF(ISNUMBER(Assessment!L17),Assessment!L17,NA()))</f>
        <v>#N/A</v>
      </c>
      <c r="N40" s="64" t="e">
        <f>IF(OR(ISNUMBER(N41),ISNUMBER(N42)),NA(),IF(ISNUMBER(Assessment!M17),Assessment!M17,NA()))</f>
        <v>#N/A</v>
      </c>
      <c r="O40" s="64" t="e">
        <f>IF(OR(ISNUMBER(O41),ISNUMBER(O42)),NA(),IF(ISNUMBER(Assessment!N17),Assessment!N17,NA()))</f>
        <v>#N/A</v>
      </c>
      <c r="P40" s="64" t="e">
        <f>IF(OR(ISNUMBER(P41),ISNUMBER(P42)),NA(),IF(ISNUMBER(Assessment!O17),Assessment!O17,NA()))</f>
        <v>#N/A</v>
      </c>
      <c r="Q40" s="64" t="e">
        <f>IF(OR(ISNUMBER(Q41),ISNUMBER(Q42)),NA(),IF(ISNUMBER(Assessment!P17),Assessment!P17,NA()))</f>
        <v>#N/A</v>
      </c>
      <c r="R40" s="64" t="e">
        <f>IF(OR(ISNUMBER(R41),ISNUMBER(R42)),NA(),IF(ISNUMBER(Assessment!Q17),Assessment!Q17,NA()))</f>
        <v>#N/A</v>
      </c>
      <c r="S40" s="64" t="e">
        <f>IF(OR(ISNUMBER(S41),ISNUMBER(S42)),NA(),IF(ISNUMBER(Assessment!R17),Assessment!R17,NA()))</f>
        <v>#N/A</v>
      </c>
      <c r="T40" s="64" t="e">
        <f>IF(OR(ISNUMBER(T41),ISNUMBER(T42)),NA(),IF(ISNUMBER(Assessment!S17),Assessment!S17,NA()))</f>
        <v>#N/A</v>
      </c>
      <c r="U40" s="64" t="e">
        <f>IF(OR(ISNUMBER(U41),ISNUMBER(U42)),NA(),IF(ISNUMBER(Assessment!T17),Assessment!T17,NA()))</f>
        <v>#N/A</v>
      </c>
      <c r="V40" s="64" t="e">
        <f>IF(OR(ISNUMBER(V41),ISNUMBER(V42)),NA(),IF(ISNUMBER(Assessment!U17),Assessment!U17,NA()))</f>
        <v>#N/A</v>
      </c>
      <c r="W40" s="64" t="e">
        <f>IF(OR(ISNUMBER(W41),ISNUMBER(W42)),NA(),IF(ISNUMBER(Assessment!V17),Assessment!V17,NA()))</f>
        <v>#N/A</v>
      </c>
    </row>
    <row r="41" spans="2:23" x14ac:dyDescent="0.4">
      <c r="C41" s="2" t="s">
        <v>298</v>
      </c>
      <c r="F41" s="64"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-1.7868607680254289</v>
      </c>
      <c r="G41" s="64"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-2.5407774797681517</v>
      </c>
      <c r="H41" s="64"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64"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64"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64"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64"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64"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64"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64"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64"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64"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64"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64"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64"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64"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64"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64"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299</v>
      </c>
      <c r="F42" s="64"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246</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300</v>
      </c>
      <c r="F44" s="64">
        <f t="shared" ref="F44:T44" si="0">IF(F79&lt;&gt;"",-F79,NA())</f>
        <v>2.6</v>
      </c>
      <c r="G44" s="64">
        <f t="shared" si="0"/>
        <v>2.9</v>
      </c>
      <c r="H44" s="64">
        <f t="shared" si="0"/>
        <v>2.9</v>
      </c>
      <c r="I44" s="64">
        <f t="shared" si="0"/>
        <v>2.9</v>
      </c>
      <c r="J44" s="64">
        <f t="shared" si="0"/>
        <v>2.9</v>
      </c>
      <c r="K44" s="64">
        <f t="shared" si="0"/>
        <v>2.9</v>
      </c>
      <c r="L44" s="64">
        <f t="shared" si="0"/>
        <v>2.9</v>
      </c>
      <c r="M44" s="64">
        <f t="shared" si="0"/>
        <v>2.9</v>
      </c>
      <c r="N44" s="64">
        <f t="shared" si="0"/>
        <v>3</v>
      </c>
      <c r="O44" s="64">
        <f t="shared" si="0"/>
        <v>3</v>
      </c>
      <c r="P44" s="64">
        <f t="shared" si="0"/>
        <v>3</v>
      </c>
      <c r="Q44" s="64">
        <f t="shared" si="0"/>
        <v>3</v>
      </c>
      <c r="R44" s="64">
        <f t="shared" si="0"/>
        <v>3</v>
      </c>
      <c r="S44" s="64">
        <f t="shared" si="0"/>
        <v>3</v>
      </c>
      <c r="T44" s="64">
        <f t="shared" si="0"/>
        <v>2.9</v>
      </c>
      <c r="U44" s="64" t="e">
        <f t="shared" ref="U44:W44" si="1">IF(U79&lt;&gt;"",-U79,NA())</f>
        <v>#N/A</v>
      </c>
      <c r="V44" s="64" t="e">
        <f t="shared" si="1"/>
        <v>#N/A</v>
      </c>
      <c r="W44" s="64" t="e">
        <f t="shared" si="1"/>
        <v>#N/A</v>
      </c>
    </row>
    <row r="45" spans="2:23" x14ac:dyDescent="0.4">
      <c r="C45" s="2" t="s">
        <v>301</v>
      </c>
      <c r="F45" s="64">
        <f t="shared" ref="F45:T45" si="2">IF(F81&lt;&gt;"",-F81,NA())</f>
        <v>1.7868607680254289</v>
      </c>
      <c r="G45" s="64">
        <f t="shared" si="2"/>
        <v>2.5407774797681517</v>
      </c>
      <c r="H45" s="64" t="e">
        <f t="shared" si="2"/>
        <v>#N/A</v>
      </c>
      <c r="I45" s="64" t="e">
        <f t="shared" si="2"/>
        <v>#N/A</v>
      </c>
      <c r="J45" s="64" t="e">
        <f t="shared" si="2"/>
        <v>#N/A</v>
      </c>
      <c r="K45" s="64" t="e">
        <f t="shared" si="2"/>
        <v>#N/A</v>
      </c>
      <c r="L45" s="64" t="e">
        <f t="shared" si="2"/>
        <v>#N/A</v>
      </c>
      <c r="M45" s="64" t="e">
        <f t="shared" si="2"/>
        <v>#N/A</v>
      </c>
      <c r="N45" s="64" t="e">
        <f t="shared" si="2"/>
        <v>#N/A</v>
      </c>
      <c r="O45" s="64" t="e">
        <f t="shared" si="2"/>
        <v>#N/A</v>
      </c>
      <c r="P45" s="64" t="e">
        <f t="shared" si="2"/>
        <v>#N/A</v>
      </c>
      <c r="Q45" s="64" t="e">
        <f t="shared" si="2"/>
        <v>#N/A</v>
      </c>
      <c r="R45" s="64" t="e">
        <f t="shared" si="2"/>
        <v>#N/A</v>
      </c>
      <c r="S45" s="64" t="e">
        <f t="shared" si="2"/>
        <v>#N/A</v>
      </c>
      <c r="T45" s="64" t="e">
        <f t="shared" si="2"/>
        <v>#N/A</v>
      </c>
      <c r="U45" s="64" t="e">
        <f t="shared" ref="U45:W45" si="3">IF(U81&lt;&gt;"",-U81,NA())</f>
        <v>#N/A</v>
      </c>
      <c r="V45" s="64" t="e">
        <f t="shared" si="3"/>
        <v>#N/A</v>
      </c>
      <c r="W45" s="64" t="e">
        <f t="shared" si="3"/>
        <v>#N/A</v>
      </c>
    </row>
    <row r="46" spans="2:23" x14ac:dyDescent="0.4">
      <c r="C46" s="2" t="s">
        <v>302</v>
      </c>
      <c r="F46" s="64" t="e">
        <f t="shared" ref="F46:T46" si="4">IF(F82&lt;&gt;"",-F82,NA())</f>
        <v>#N/A</v>
      </c>
      <c r="G46" s="64" t="e">
        <f t="shared" si="4"/>
        <v>#N/A</v>
      </c>
      <c r="H46" s="64" t="e">
        <f t="shared" si="4"/>
        <v>#N/A</v>
      </c>
      <c r="I46" s="64" t="e">
        <f t="shared" si="4"/>
        <v>#N/A</v>
      </c>
      <c r="J46" s="64" t="e">
        <f t="shared" si="4"/>
        <v>#N/A</v>
      </c>
      <c r="K46" s="64" t="e">
        <f t="shared" si="4"/>
        <v>#N/A</v>
      </c>
      <c r="L46" s="64" t="e">
        <f t="shared" si="4"/>
        <v>#N/A</v>
      </c>
      <c r="M46" s="64" t="e">
        <f t="shared" si="4"/>
        <v>#N/A</v>
      </c>
      <c r="N46" s="64" t="e">
        <f t="shared" si="4"/>
        <v>#N/A</v>
      </c>
      <c r="O46" s="64" t="e">
        <f t="shared" si="4"/>
        <v>#N/A</v>
      </c>
      <c r="P46" s="64" t="e">
        <f t="shared" si="4"/>
        <v>#N/A</v>
      </c>
      <c r="Q46" s="64" t="e">
        <f t="shared" si="4"/>
        <v>#N/A</v>
      </c>
      <c r="R46" s="64" t="e">
        <f t="shared" si="4"/>
        <v>#N/A</v>
      </c>
      <c r="S46" s="64" t="e">
        <f t="shared" si="4"/>
        <v>#N/A</v>
      </c>
      <c r="T46" s="64" t="e">
        <f t="shared" si="4"/>
        <v>#N/A</v>
      </c>
      <c r="U46" s="64" t="e">
        <f t="shared" ref="U46:W46" si="5">IF(U82&lt;&gt;"",-U82,NA())</f>
        <v>#N/A</v>
      </c>
      <c r="V46" s="64" t="e">
        <f t="shared" si="5"/>
        <v>#N/A</v>
      </c>
      <c r="W46" s="64" t="e">
        <f t="shared" si="5"/>
        <v>#N/A</v>
      </c>
    </row>
    <row r="47" spans="2:23" x14ac:dyDescent="0.4">
      <c r="C47" s="2"/>
    </row>
    <row r="48" spans="2:23" ht="14.25" customHeight="1" x14ac:dyDescent="0.6">
      <c r="B48" s="110" t="s">
        <v>501</v>
      </c>
      <c r="C48" s="11" t="s">
        <v>942</v>
      </c>
      <c r="F48" s="106"/>
      <c r="G48" s="106"/>
      <c r="H48" s="106"/>
      <c r="I48" s="106"/>
      <c r="J48" s="106"/>
      <c r="K48" s="106"/>
      <c r="L48" s="106"/>
      <c r="M48" s="106"/>
      <c r="N48" s="106"/>
      <c r="O48" s="106"/>
      <c r="P48" s="106"/>
      <c r="Q48" s="106"/>
      <c r="R48" s="106"/>
      <c r="S48" s="106"/>
      <c r="T48" s="106"/>
      <c r="U48" s="106"/>
      <c r="V48" s="106"/>
      <c r="W48" s="106"/>
    </row>
    <row r="49" spans="2:23" x14ac:dyDescent="0.4">
      <c r="C49" s="2" t="s">
        <v>390</v>
      </c>
      <c r="F49" s="64">
        <f>Assessment!E37</f>
        <v>-0.8</v>
      </c>
      <c r="G49" s="64">
        <f>Assessment!F37</f>
        <v>-1.3</v>
      </c>
      <c r="H49" s="64">
        <f>Assessment!G37</f>
        <v>-1.3</v>
      </c>
      <c r="I49" s="64">
        <f>Assessment!H37</f>
        <v>-1.3</v>
      </c>
      <c r="J49" s="64">
        <f>Assessment!I37</f>
        <v>-1.3</v>
      </c>
      <c r="K49" s="64" t="str">
        <f>Assessment!J37</f>
        <v/>
      </c>
      <c r="L49" s="64" t="str">
        <f>Assessment!K37</f>
        <v/>
      </c>
      <c r="M49" s="64" t="str">
        <f>Assessment!L37</f>
        <v/>
      </c>
      <c r="N49" s="64" t="str">
        <f>Assessment!M37</f>
        <v/>
      </c>
      <c r="O49" s="64" t="str">
        <f>Assessment!N37</f>
        <v/>
      </c>
      <c r="P49" s="64">
        <f>Assessment!O37</f>
        <v>0</v>
      </c>
      <c r="Q49" s="64">
        <f>Assessment!P37</f>
        <v>0</v>
      </c>
      <c r="R49" s="64">
        <f>Assessment!Q37</f>
        <v>0</v>
      </c>
      <c r="S49" s="64">
        <f>Assessment!R37</f>
        <v>0</v>
      </c>
      <c r="T49" s="64">
        <f>Assessment!S37</f>
        <v>0</v>
      </c>
      <c r="U49" s="64">
        <f>Assessment!T37</f>
        <v>0</v>
      </c>
      <c r="V49" s="64">
        <f>Assessment!U37</f>
        <v>0</v>
      </c>
      <c r="W49" s="64">
        <f>Assessment!V37</f>
        <v>0</v>
      </c>
    </row>
    <row r="50" spans="2:23" x14ac:dyDescent="0.4">
      <c r="C50" s="2" t="s">
        <v>296</v>
      </c>
      <c r="F50" s="4"/>
      <c r="G50" s="4"/>
      <c r="H50" s="4"/>
      <c r="I50" s="4"/>
      <c r="J50" s="4"/>
      <c r="K50" s="4"/>
      <c r="L50" s="4"/>
      <c r="M50" s="4"/>
      <c r="N50" s="4"/>
      <c r="O50" s="4"/>
      <c r="P50" s="4"/>
      <c r="Q50" s="4"/>
      <c r="R50" s="4"/>
      <c r="S50" s="4"/>
      <c r="T50" s="4"/>
      <c r="U50" s="4"/>
      <c r="V50" s="4"/>
      <c r="W50" s="4"/>
    </row>
    <row r="51" spans="2:23" x14ac:dyDescent="0.4">
      <c r="C51" s="2" t="s">
        <v>243</v>
      </c>
      <c r="F51" s="64" t="e">
        <f>IF(OR(ISNUMBER(F53),ISNUMBER(F54)),NA(),IF(ISNUMBER(Assessment!E19),Assessment!E19,NA()))</f>
        <v>#N/A</v>
      </c>
      <c r="G51" s="64" t="e">
        <f>IF(OR(ISNUMBER(G53),ISNUMBER(G54)),NA(),IF(ISNUMBER(Assessment!F19),Assessment!F19,NA()))</f>
        <v>#N/A</v>
      </c>
      <c r="H51" s="64">
        <f>IF(OR(ISNUMBER(H53),ISNUMBER(H54)),NA(),IF(ISNUMBER(Assessment!G19),Assessment!G19,NA()))</f>
        <v>-1.3</v>
      </c>
      <c r="I51" s="64" t="e">
        <f>IF(OR(ISNUMBER(I53),ISNUMBER(I54)),NA(),IF(ISNUMBER(Assessment!H19),Assessment!H19,NA()))</f>
        <v>#N/A</v>
      </c>
      <c r="J51" s="64" t="e">
        <f>IF(OR(ISNUMBER(J53),ISNUMBER(J54)),NA(),IF(ISNUMBER(Assessment!I19),Assessment!I19,NA()))</f>
        <v>#N/A</v>
      </c>
      <c r="K51" s="64" t="e">
        <f>IF(OR(ISNUMBER(K53),ISNUMBER(K54)),NA(),IF(ISNUMBER(Assessment!J19),Assessment!J19,NA()))</f>
        <v>#N/A</v>
      </c>
      <c r="L51" s="64" t="e">
        <f>IF(OR(ISNUMBER(L53),ISNUMBER(L54)),NA(),IF(ISNUMBER(Assessment!K19),Assessment!K19,NA()))</f>
        <v>#N/A</v>
      </c>
      <c r="M51" s="64" t="e">
        <f>IF(OR(ISNUMBER(M53),ISNUMBER(M54)),NA(),IF(ISNUMBER(Assessment!L19),Assessment!L19,NA()))</f>
        <v>#N/A</v>
      </c>
      <c r="N51" s="64" t="e">
        <f>IF(OR(ISNUMBER(N53),ISNUMBER(N54)),NA(),IF(ISNUMBER(Assessment!M19),Assessment!M19,NA()))</f>
        <v>#N/A</v>
      </c>
      <c r="O51" s="64" t="e">
        <f>IF(OR(ISNUMBER(O53),ISNUMBER(O54)),NA(),IF(ISNUMBER(Assessment!N19),Assessment!N19,NA()))</f>
        <v>#N/A</v>
      </c>
      <c r="P51" s="64" t="e">
        <f>IF(OR(ISNUMBER(P53),ISNUMBER(P54)),NA(),IF(ISNUMBER(Assessment!O19),Assessment!O19,NA()))</f>
        <v>#N/A</v>
      </c>
      <c r="Q51" s="64" t="e">
        <f>IF(OR(ISNUMBER(Q53),ISNUMBER(Q54)),NA(),IF(ISNUMBER(Assessment!P19),Assessment!P19,NA()))</f>
        <v>#N/A</v>
      </c>
      <c r="R51" s="64" t="e">
        <f>IF(OR(ISNUMBER(R53),ISNUMBER(R54)),NA(),IF(ISNUMBER(Assessment!Q19),Assessment!Q19,NA()))</f>
        <v>#N/A</v>
      </c>
      <c r="S51" s="64" t="e">
        <f>IF(OR(ISNUMBER(S53),ISNUMBER(S54)),NA(),IF(ISNUMBER(Assessment!R19),Assessment!R19,NA()))</f>
        <v>#N/A</v>
      </c>
      <c r="T51" s="64" t="e">
        <f>IF(OR(ISNUMBER(T53),ISNUMBER(T54)),NA(),IF(ISNUMBER(Assessment!S19),Assessment!S19,NA()))</f>
        <v>#N/A</v>
      </c>
      <c r="U51" s="64" t="e">
        <f>IF(OR(ISNUMBER(U53),ISNUMBER(U54)),NA(),IF(ISNUMBER(Assessment!T19),Assessment!T19,NA()))</f>
        <v>#N/A</v>
      </c>
      <c r="V51" s="64" t="e">
        <f>IF(OR(ISNUMBER(V53),ISNUMBER(V54)),NA(),IF(ISNUMBER(Assessment!U19),Assessment!U19,NA()))</f>
        <v>#N/A</v>
      </c>
      <c r="W51" s="64" t="e">
        <f>IF(OR(ISNUMBER(W53),ISNUMBER(W54)),NA(),IF(ISNUMBER(Assessment!V19),Assessment!V19,NA()))</f>
        <v>#N/A</v>
      </c>
    </row>
    <row r="52" spans="2:23" x14ac:dyDescent="0.4">
      <c r="C52" s="2" t="s">
        <v>297</v>
      </c>
      <c r="F52" s="4"/>
      <c r="G52" s="4"/>
      <c r="H52" s="4"/>
      <c r="I52" s="4"/>
      <c r="J52" s="4"/>
      <c r="K52" s="4"/>
      <c r="L52" s="4"/>
      <c r="M52" s="4"/>
      <c r="N52" s="4"/>
      <c r="O52" s="4"/>
      <c r="P52" s="4"/>
      <c r="Q52" s="4"/>
      <c r="R52" s="4"/>
      <c r="S52" s="4"/>
      <c r="T52" s="4"/>
      <c r="U52" s="4"/>
      <c r="V52" s="4"/>
      <c r="W52" s="4"/>
    </row>
    <row r="53" spans="2:23" ht="13.5" customHeight="1" x14ac:dyDescent="0.4">
      <c r="C53" s="2" t="s">
        <v>298</v>
      </c>
      <c r="F53" s="106" cm="1">
        <f t="array" ref="F53">IF(
  AND(
    INDEX($2:$2, COLUMN()) &gt;= MTP_BaseYear,
    INDEX($2:$2, COLUMN()) &lt;= OutturnThrough
  ),
  IFERROR(
    IF(
      F49 - INDEX(Assessment!$19:$19,
                   _xlfn.XMATCH(INDEX($2:$2, COLUMN()),
                          Assessment!$4:$4, 0)
            ) &lt; 0,
      INDEX(Assessment!$19:$19,
            _xlfn.XMATCH(INDEX($2:$2, COLUMN()),
                   Assessment!$4:$4, 0)
      ),
      NA()
    ),
    NA()
  ),
  NA()
)</f>
        <v>-0.21811</v>
      </c>
      <c r="G53" s="106" t="e" cm="1">
        <f t="array" ref="G53">IF(
  AND(
    INDEX($2:$2, COLUMN()) &gt;= MTP_BaseYear,
    INDEX($2:$2, COLUMN()) &lt;= OutturnThrough
  ),
  IFERROR(
    IF(
      G49 - INDEX(Assessment!$19:$19,
                   _xlfn.XMATCH(INDEX($2:$2, COLUMN()),
                          Assessment!$4:$4, 0)
            ) &lt; 0,
      INDEX(Assessment!$19:$19,
            _xlfn.XMATCH(INDEX($2:$2, COLUMN()),
                   Assessment!$4:$4, 0)
      ),
      NA()
    ),
    NA()
  ),
  NA()
)</f>
        <v>#N/A</v>
      </c>
      <c r="H53" s="106" t="e" cm="1">
        <f t="array" ref="H53">IF(
  AND(
    INDEX($2:$2, COLUMN()) &gt;= MTP_BaseYear,
    INDEX($2:$2, COLUMN()) &lt;= OutturnThrough
  ),
  IFERROR(
    IF(
      H49 - INDEX(Assessment!$19:$19,
                   _xlfn.XMATCH(INDEX($2:$2, COLUMN()),
                          Assessment!$4:$4, 0)
            ) &lt; 0,
      INDEX(Assessment!$19:$19,
            _xlfn.XMATCH(INDEX($2:$2, COLUMN()),
                   Assessment!$4:$4, 0)
      ),
      NA()
    ),
    NA()
  ),
  NA()
)</f>
        <v>#N/A</v>
      </c>
      <c r="I53" s="106" t="e" cm="1">
        <f t="array" ref="I53">IF(
  AND(
    INDEX($2:$2, COLUMN()) &gt;= MTP_BaseYear,
    INDEX($2:$2, COLUMN()) &lt;= OutturnThrough
  ),
  IFERROR(
    IF(
      I49 - INDEX(Assessment!$19:$19,
                   _xlfn.XMATCH(INDEX($2:$2, COLUMN()),
                          Assessment!$4:$4, 0)
            ) &lt; 0,
      INDEX(Assessment!$19:$19,
            _xlfn.XMATCH(INDEX($2:$2, COLUMN()),
                   Assessment!$4:$4, 0)
      ),
      NA()
    ),
    NA()
  ),
  NA()
)</f>
        <v>#N/A</v>
      </c>
      <c r="J53" s="106" t="e" cm="1">
        <f t="array" ref="J53">IF(
  AND(
    INDEX($2:$2, COLUMN()) &gt;= MTP_BaseYear,
    INDEX($2:$2, COLUMN()) &lt;= OutturnThrough
  ),
  IFERROR(
    IF(
      J49 - INDEX(Assessment!$19:$19,
                   _xlfn.XMATCH(INDEX($2:$2, COLUMN()),
                          Assessment!$4:$4, 0)
            ) &lt; 0,
      INDEX(Assessment!$19:$19,
            _xlfn.XMATCH(INDEX($2:$2, COLUMN()),
                   Assessment!$4:$4, 0)
      ),
      NA()
    ),
    NA()
  ),
  NA()
)</f>
        <v>#N/A</v>
      </c>
      <c r="K53" s="106" t="e" cm="1">
        <f t="array" ref="K53">IF(
  AND(
    INDEX($2:$2, COLUMN()) &gt;= MTP_BaseYear,
    INDEX($2:$2, COLUMN()) &lt;= OutturnThrough
  ),
  IFERROR(
    IF(
      K49 - INDEX(Assessment!$19:$19,
                   _xlfn.XMATCH(INDEX($2:$2, COLUMN()),
                          Assessment!$4:$4, 0)
            ) &lt; 0,
      INDEX(Assessment!$19:$19,
            _xlfn.XMATCH(INDEX($2:$2, COLUMN()),
                   Assessment!$4:$4, 0)
      ),
      NA()
    ),
    NA()
  ),
  NA()
)</f>
        <v>#N/A</v>
      </c>
      <c r="L53" s="106" t="e" cm="1">
        <f t="array" ref="L53">IF(
  AND(
    INDEX($2:$2, COLUMN()) &gt;= MTP_BaseYear,
    INDEX($2:$2, COLUMN()) &lt;= OutturnThrough
  ),
  IFERROR(
    IF(
      L49 - INDEX(Assessment!$19:$19,
                   _xlfn.XMATCH(INDEX($2:$2, COLUMN()),
                          Assessment!$4:$4, 0)
            ) &lt; 0,
      INDEX(Assessment!$19:$19,
            _xlfn.XMATCH(INDEX($2:$2, COLUMN()),
                   Assessment!$4:$4, 0)
      ),
      NA()
    ),
    NA()
  ),
  NA()
)</f>
        <v>#N/A</v>
      </c>
      <c r="M53" s="106" t="e" cm="1">
        <f t="array" ref="M53">IF(
  AND(
    INDEX($2:$2, COLUMN()) &gt;= MTP_BaseYear,
    INDEX($2:$2, COLUMN()) &lt;= OutturnThrough
  ),
  IFERROR(
    IF(
      M49 - INDEX(Assessment!$19:$19,
                   _xlfn.XMATCH(INDEX($2:$2, COLUMN()),
                          Assessment!$4:$4, 0)
            ) &lt; 0,
      INDEX(Assessment!$19:$19,
            _xlfn.XMATCH(INDEX($2:$2, COLUMN()),
                   Assessment!$4:$4, 0)
      ),
      NA()
    ),
    NA()
  ),
  NA()
)</f>
        <v>#N/A</v>
      </c>
      <c r="N53" s="106" t="e" cm="1">
        <f t="array" ref="N53">IF(
  AND(
    INDEX($2:$2, COLUMN()) &gt;= MTP_BaseYear,
    INDEX($2:$2, COLUMN()) &lt;= OutturnThrough
  ),
  IFERROR(
    IF(
      N49 - INDEX(Assessment!$19:$19,
                   _xlfn.XMATCH(INDEX($2:$2, COLUMN()),
                          Assessment!$4:$4, 0)
            ) &lt; 0,
      INDEX(Assessment!$19:$19,
            _xlfn.XMATCH(INDEX($2:$2, COLUMN()),
                   Assessment!$4:$4, 0)
      ),
      NA()
    ),
    NA()
  ),
  NA()
)</f>
        <v>#N/A</v>
      </c>
      <c r="O53" s="106" t="e" cm="1">
        <f t="array" ref="O53">IF(
  AND(
    INDEX($2:$2, COLUMN()) &gt;= MTP_BaseYear,
    INDEX($2:$2, COLUMN()) &lt;= OutturnThrough
  ),
  IFERROR(
    IF(
      O49 - INDEX(Assessment!$19:$19,
                   _xlfn.XMATCH(INDEX($2:$2, COLUMN()),
                          Assessment!$4:$4, 0)
            ) &lt; 0,
      INDEX(Assessment!$19:$19,
            _xlfn.XMATCH(INDEX($2:$2, COLUMN()),
                   Assessment!$4:$4, 0)
      ),
      NA()
    ),
    NA()
  ),
  NA()
)</f>
        <v>#N/A</v>
      </c>
      <c r="P53" s="106" t="e" cm="1">
        <f t="array" ref="P53">IF(
  AND(
    INDEX($2:$2, COLUMN()) &gt;= MTP_BaseYear,
    INDEX($2:$2, COLUMN()) &lt;= OutturnThrough
  ),
  IFERROR(
    IF(
      P49 - INDEX(Assessment!$19:$19,
                   _xlfn.XMATCH(INDEX($2:$2, COLUMN()),
                          Assessment!$4:$4, 0)
            ) &lt; 0,
      INDEX(Assessment!$19:$19,
            _xlfn.XMATCH(INDEX($2:$2, COLUMN()),
                   Assessment!$4:$4, 0)
      ),
      NA()
    ),
    NA()
  ),
  NA()
)</f>
        <v>#N/A</v>
      </c>
      <c r="Q53" s="106" t="e" cm="1">
        <f t="array" ref="Q53">IF(
  AND(
    INDEX($2:$2, COLUMN()) &gt;= MTP_BaseYear,
    INDEX($2:$2, COLUMN()) &lt;= OutturnThrough
  ),
  IFERROR(
    IF(
      Q49 - INDEX(Assessment!$19:$19,
                   _xlfn.XMATCH(INDEX($2:$2, COLUMN()),
                          Assessment!$4:$4, 0)
            ) &lt; 0,
      INDEX(Assessment!$19:$19,
            _xlfn.XMATCH(INDEX($2:$2, COLUMN()),
                   Assessment!$4:$4, 0)
      ),
      NA()
    ),
    NA()
  ),
  NA()
)</f>
        <v>#N/A</v>
      </c>
      <c r="R53" s="106" t="e" cm="1">
        <f t="array" ref="R53">IF(
  AND(
    INDEX($2:$2, COLUMN()) &gt;= MTP_BaseYear,
    INDEX($2:$2, COLUMN()) &lt;= OutturnThrough
  ),
  IFERROR(
    IF(
      R49 - INDEX(Assessment!$19:$19,
                   _xlfn.XMATCH(INDEX($2:$2, COLUMN()),
                          Assessment!$4:$4, 0)
            ) &lt; 0,
      INDEX(Assessment!$19:$19,
            _xlfn.XMATCH(INDEX($2:$2, COLUMN()),
                   Assessment!$4:$4, 0)
      ),
      NA()
    ),
    NA()
  ),
  NA()
)</f>
        <v>#N/A</v>
      </c>
      <c r="S53" s="106" t="e" cm="1">
        <f t="array" ref="S53">IF(
  AND(
    INDEX($2:$2, COLUMN()) &gt;= MTP_BaseYear,
    INDEX($2:$2, COLUMN()) &lt;= OutturnThrough
  ),
  IFERROR(
    IF(
      S49 - INDEX(Assessment!$19:$19,
                   _xlfn.XMATCH(INDEX($2:$2, COLUMN()),
                          Assessment!$4:$4, 0)
            ) &lt; 0,
      INDEX(Assessment!$19:$19,
            _xlfn.XMATCH(INDEX($2:$2, COLUMN()),
                   Assessment!$4:$4, 0)
      ),
      NA()
    ),
    NA()
  ),
  NA()
)</f>
        <v>#N/A</v>
      </c>
      <c r="T53" s="106" t="e" cm="1">
        <f t="array" ref="T53">IF(
  AND(
    INDEX($2:$2, COLUMN()) &gt;= MTP_BaseYear,
    INDEX($2:$2, COLUMN()) &lt;= OutturnThrough
  ),
  IFERROR(
    IF(
      T49 - INDEX(Assessment!$19:$19,
                   _xlfn.XMATCH(INDEX($2:$2, COLUMN()),
                          Assessment!$4:$4, 0)
            ) &lt; 0,
      INDEX(Assessment!$19:$19,
            _xlfn.XMATCH(INDEX($2:$2, COLUMN()),
                   Assessment!$4:$4, 0)
      ),
      NA()
    ),
    NA()
  ),
  NA()
)</f>
        <v>#N/A</v>
      </c>
      <c r="U53" s="106" t="e" cm="1">
        <f t="array" ref="U53">IF(
  AND(
    INDEX($2:$2, COLUMN()) &gt;= MTP_BaseYear,
    INDEX($2:$2, COLUMN()) &lt;= OutturnThrough
  ),
  IFERROR(
    IF(
      U49 - INDEX(Assessment!$19:$19,
                   _xlfn.XMATCH(INDEX($2:$2, COLUMN()),
                          Assessment!$4:$4, 0)
            ) &lt; 0,
      INDEX(Assessment!$19:$19,
            _xlfn.XMATCH(INDEX($2:$2, COLUMN()),
                   Assessment!$4:$4, 0)
      ),
      NA()
    ),
    NA()
  ),
  NA()
)</f>
        <v>#N/A</v>
      </c>
      <c r="V53" s="106" t="e" cm="1">
        <f t="array" ref="V53">IF(
  AND(
    INDEX($2:$2, COLUMN()) &gt;= MTP_BaseYear,
    INDEX($2:$2, COLUMN()) &lt;= OutturnThrough
  ),
  IFERROR(
    IF(
      V49 - INDEX(Assessment!$19:$19,
                   _xlfn.XMATCH(INDEX($2:$2, COLUMN()),
                          Assessment!$4:$4, 0)
            ) &lt; 0,
      INDEX(Assessment!$19:$19,
            _xlfn.XMATCH(INDEX($2:$2, COLUMN()),
                   Assessment!$4:$4, 0)
      ),
      NA()
    ),
    NA()
  ),
  NA()
)</f>
        <v>#N/A</v>
      </c>
      <c r="W53" s="106"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299</v>
      </c>
      <c r="F54" s="106" t="e" cm="1">
        <f t="array" ref="F54">IF(
  AND(
    INDEX('Chart data'!$2:$2, COLUMN()) &gt;= MTP_BaseYear,
    INDEX('Chart data'!$2:$2, COLUMN()) &lt;= OutturnThrough
  ),
  IFERROR(
    IF(
      F49 - INDEX(Assessment!$19:$19,
                   _xlfn.XMATCH(INDEX('Chart data'!$2:$2, COLUMN()),
                          Assessment!$4:$4, 0)
            ) &gt;= 0,
      INDEX(Assessment!$19:$19,
            _xlfn.XMATCH(INDEX('Chart data'!$2:$2, COLUMN()),
                   Assessment!$4:$4, 0)
      ),
      NA()
    ),
    NA()
  ),
  NA()
)</f>
        <v>#N/A</v>
      </c>
      <c r="G54" s="106" cm="1">
        <f t="array" ref="G54">IF(
  AND(
    INDEX('Chart data'!$2:$2, COLUMN()) &gt;= MTP_BaseYear,
    INDEX('Chart data'!$2:$2, COLUMN()) &lt;= OutturnThrough
  ),
  IFERROR(
    IF(
      G49 - INDEX(Assessment!$19:$19,
                   _xlfn.XMATCH(INDEX('Chart data'!$2:$2, COLUMN()),
                          Assessment!$4:$4, 0)
            ) &gt;= 0,
      INDEX(Assessment!$19:$19,
            _xlfn.XMATCH(INDEX('Chart data'!$2:$2, COLUMN()),
                   Assessment!$4:$4, 0)
      ),
      NA()
    ),
    NA()
  ),
  NA()
)</f>
        <v>-1.41309</v>
      </c>
      <c r="H54" s="106" t="e" cm="1">
        <f t="array" ref="H54">IF(
  AND(
    INDEX('Chart data'!$2:$2, COLUMN()) &gt;= MTP_BaseYear,
    INDEX('Chart data'!$2:$2, COLUMN()) &lt;= OutturnThrough
  ),
  IFERROR(
    IF(
      H49 - INDEX(Assessment!$19:$19,
                   _xlfn.XMATCH(INDEX('Chart data'!$2:$2, COLUMN()),
                          Assessment!$4:$4, 0)
            ) &gt;= 0,
      INDEX(Assessment!$19:$19,
            _xlfn.XMATCH(INDEX('Chart data'!$2:$2, COLUMN()),
                   Assessment!$4:$4, 0)
      ),
      NA()
    ),
    NA()
  ),
  NA()
)</f>
        <v>#N/A</v>
      </c>
      <c r="I54" s="106" t="e" cm="1">
        <f t="array" ref="I54">IF(
  AND(
    INDEX('Chart data'!$2:$2, COLUMN()) &gt;= MTP_BaseYear,
    INDEX('Chart data'!$2:$2, COLUMN()) &lt;= OutturnThrough
  ),
  IFERROR(
    IF(
      I49 - INDEX(Assessment!$19:$19,
                   _xlfn.XMATCH(INDEX('Chart data'!$2:$2, COLUMN()),
                          Assessment!$4:$4, 0)
            ) &gt;= 0,
      INDEX(Assessment!$19:$19,
            _xlfn.XMATCH(INDEX('Chart data'!$2:$2, COLUMN()),
                   Assessment!$4:$4, 0)
      ),
      NA()
    ),
    NA()
  ),
  NA()
)</f>
        <v>#N/A</v>
      </c>
      <c r="J54" s="106" t="e" cm="1">
        <f t="array" ref="J54">IF(
  AND(
    INDEX('Chart data'!$2:$2, COLUMN()) &gt;= MTP_BaseYear,
    INDEX('Chart data'!$2:$2, COLUMN()) &lt;= OutturnThrough
  ),
  IFERROR(
    IF(
      J49 - INDEX(Assessment!$19:$19,
                   _xlfn.XMATCH(INDEX('Chart data'!$2:$2, COLUMN()),
                          Assessment!$4:$4, 0)
            ) &gt;= 0,
      INDEX(Assessment!$19:$19,
            _xlfn.XMATCH(INDEX('Chart data'!$2:$2, COLUMN()),
                   Assessment!$4:$4, 0)
      ),
      NA()
    ),
    NA()
  ),
  NA()
)</f>
        <v>#N/A</v>
      </c>
      <c r="K54" s="106" t="e" cm="1">
        <f t="array" ref="K54">IF(
  AND(
    INDEX('Chart data'!$2:$2, COLUMN()) &gt;= MTP_BaseYear,
    INDEX('Chart data'!$2:$2, COLUMN()) &lt;= OutturnThrough
  ),
  IFERROR(
    IF(
      K49 - INDEX(Assessment!$19:$19,
                   _xlfn.XMATCH(INDEX('Chart data'!$2:$2, COLUMN()),
                          Assessment!$4:$4, 0)
            ) &gt;= 0,
      INDEX(Assessment!$19:$19,
            _xlfn.XMATCH(INDEX('Chart data'!$2:$2, COLUMN()),
                   Assessment!$4:$4, 0)
      ),
      NA()
    ),
    NA()
  ),
  NA()
)</f>
        <v>#N/A</v>
      </c>
      <c r="L54" s="106" t="e" cm="1">
        <f t="array" ref="L54">IF(
  AND(
    INDEX('Chart data'!$2:$2, COLUMN()) &gt;= MTP_BaseYear,
    INDEX('Chart data'!$2:$2, COLUMN()) &lt;= OutturnThrough
  ),
  IFERROR(
    IF(
      L49 - INDEX(Assessment!$19:$19,
                   _xlfn.XMATCH(INDEX('Chart data'!$2:$2, COLUMN()),
                          Assessment!$4:$4, 0)
            ) &gt;= 0,
      INDEX(Assessment!$19:$19,
            _xlfn.XMATCH(INDEX('Chart data'!$2:$2, COLUMN()),
                   Assessment!$4:$4, 0)
      ),
      NA()
    ),
    NA()
  ),
  NA()
)</f>
        <v>#N/A</v>
      </c>
      <c r="M54" s="106" t="e" cm="1">
        <f t="array" ref="M54">IF(
  AND(
    INDEX('Chart data'!$2:$2, COLUMN()) &gt;= MTP_BaseYear,
    INDEX('Chart data'!$2:$2, COLUMN()) &lt;= OutturnThrough
  ),
  IFERROR(
    IF(
      M49 - INDEX(Assessment!$19:$19,
                   _xlfn.XMATCH(INDEX('Chart data'!$2:$2, COLUMN()),
                          Assessment!$4:$4, 0)
            ) &gt;= 0,
      INDEX(Assessment!$19:$19,
            _xlfn.XMATCH(INDEX('Chart data'!$2:$2, COLUMN()),
                   Assessment!$4:$4, 0)
      ),
      NA()
    ),
    NA()
  ),
  NA()
)</f>
        <v>#N/A</v>
      </c>
      <c r="N54" s="106" t="e" cm="1">
        <f t="array" ref="N54">IF(
  AND(
    INDEX('Chart data'!$2:$2, COLUMN()) &gt;= MTP_BaseYear,
    INDEX('Chart data'!$2:$2, COLUMN()) &lt;= OutturnThrough
  ),
  IFERROR(
    IF(
      N49 - INDEX(Assessment!$19:$19,
                   _xlfn.XMATCH(INDEX('Chart data'!$2:$2, COLUMN()),
                          Assessment!$4:$4, 0)
            ) &gt;= 0,
      INDEX(Assessment!$19:$19,
            _xlfn.XMATCH(INDEX('Chart data'!$2:$2, COLUMN()),
                   Assessment!$4:$4, 0)
      ),
      NA()
    ),
    NA()
  ),
  NA()
)</f>
        <v>#N/A</v>
      </c>
      <c r="O54" s="106" t="e" cm="1">
        <f t="array" ref="O54">IF(
  AND(
    INDEX('Chart data'!$2:$2, COLUMN()) &gt;= MTP_BaseYear,
    INDEX('Chart data'!$2:$2, COLUMN()) &lt;= OutturnThrough
  ),
  IFERROR(
    IF(
      O49 - INDEX(Assessment!$19:$19,
                   _xlfn.XMATCH(INDEX('Chart data'!$2:$2, COLUMN()),
                          Assessment!$4:$4, 0)
            ) &gt;= 0,
      INDEX(Assessment!$19:$19,
            _xlfn.XMATCH(INDEX('Chart data'!$2:$2, COLUMN()),
                   Assessment!$4:$4, 0)
      ),
      NA()
    ),
    NA()
  ),
  NA()
)</f>
        <v>#N/A</v>
      </c>
      <c r="P54" s="106" t="e" cm="1">
        <f t="array" ref="P54">IF(
  AND(
    INDEX('Chart data'!$2:$2, COLUMN()) &gt;= MTP_BaseYear,
    INDEX('Chart data'!$2:$2, COLUMN()) &lt;= OutturnThrough
  ),
  IFERROR(
    IF(
      P49 - INDEX(Assessment!$19:$19,
                   _xlfn.XMATCH(INDEX('Chart data'!$2:$2, COLUMN()),
                          Assessment!$4:$4, 0)
            ) &gt;= 0,
      INDEX(Assessment!$19:$19,
            _xlfn.XMATCH(INDEX('Chart data'!$2:$2, COLUMN()),
                   Assessment!$4:$4, 0)
      ),
      NA()
    ),
    NA()
  ),
  NA()
)</f>
        <v>#N/A</v>
      </c>
      <c r="Q54" s="106" t="e" cm="1">
        <f t="array" ref="Q54">IF(
  AND(
    INDEX('Chart data'!$2:$2, COLUMN()) &gt;= MTP_BaseYear,
    INDEX('Chart data'!$2:$2, COLUMN()) &lt;= OutturnThrough
  ),
  IFERROR(
    IF(
      Q49 - INDEX(Assessment!$19:$19,
                   _xlfn.XMATCH(INDEX('Chart data'!$2:$2, COLUMN()),
                          Assessment!$4:$4, 0)
            ) &gt;= 0,
      INDEX(Assessment!$19:$19,
            _xlfn.XMATCH(INDEX('Chart data'!$2:$2, COLUMN()),
                   Assessment!$4:$4, 0)
      ),
      NA()
    ),
    NA()
  ),
  NA()
)</f>
        <v>#N/A</v>
      </c>
      <c r="R54" s="106" t="e" cm="1">
        <f t="array" ref="R54">IF(
  AND(
    INDEX('Chart data'!$2:$2, COLUMN()) &gt;= MTP_BaseYear,
    INDEX('Chart data'!$2:$2, COLUMN()) &lt;= OutturnThrough
  ),
  IFERROR(
    IF(
      R49 - INDEX(Assessment!$19:$19,
                   _xlfn.XMATCH(INDEX('Chart data'!$2:$2, COLUMN()),
                          Assessment!$4:$4, 0)
            ) &gt;= 0,
      INDEX(Assessment!$19:$19,
            _xlfn.XMATCH(INDEX('Chart data'!$2:$2, COLUMN()),
                   Assessment!$4:$4, 0)
      ),
      NA()
    ),
    NA()
  ),
  NA()
)</f>
        <v>#N/A</v>
      </c>
      <c r="S54" s="106" t="e" cm="1">
        <f t="array" ref="S54">IF(
  AND(
    INDEX('Chart data'!$2:$2, COLUMN()) &gt;= MTP_BaseYear,
    INDEX('Chart data'!$2:$2, COLUMN()) &lt;= OutturnThrough
  ),
  IFERROR(
    IF(
      S49 - INDEX(Assessment!$19:$19,
                   _xlfn.XMATCH(INDEX('Chart data'!$2:$2, COLUMN()),
                          Assessment!$4:$4, 0)
            ) &gt;= 0,
      INDEX(Assessment!$19:$19,
            _xlfn.XMATCH(INDEX('Chart data'!$2:$2, COLUMN()),
                   Assessment!$4:$4, 0)
      ),
      NA()
    ),
    NA()
  ),
  NA()
)</f>
        <v>#N/A</v>
      </c>
      <c r="T54" s="106" t="e" cm="1">
        <f t="array" ref="T54">IF(
  AND(
    INDEX('Chart data'!$2:$2, COLUMN()) &gt;= MTP_BaseYear,
    INDEX('Chart data'!$2:$2, COLUMN()) &lt;= OutturnThrough
  ),
  IFERROR(
    IF(
      T49 - INDEX(Assessment!$19:$19,
                   _xlfn.XMATCH(INDEX('Chart data'!$2:$2, COLUMN()),
                          Assessment!$4:$4, 0)
            ) &gt;= 0,
      INDEX(Assessment!$19:$19,
            _xlfn.XMATCH(INDEX('Chart data'!$2:$2, COLUMN()),
                   Assessment!$4:$4, 0)
      ),
      NA()
    ),
    NA()
  ),
  NA()
)</f>
        <v>#N/A</v>
      </c>
      <c r="U54" s="106" t="e" cm="1">
        <f t="array" ref="U54">IF(
  AND(
    INDEX('Chart data'!$2:$2, COLUMN()) &gt;= MTP_BaseYear,
    INDEX('Chart data'!$2:$2, COLUMN()) &lt;= OutturnThrough
  ),
  IFERROR(
    IF(
      U49 - INDEX(Assessment!$19:$19,
                   _xlfn.XMATCH(INDEX('Chart data'!$2:$2, COLUMN()),
                          Assessment!$4:$4, 0)
            ) &gt;= 0,
      INDEX(Assessment!$19:$19,
            _xlfn.XMATCH(INDEX('Chart data'!$2:$2, COLUMN()),
                   Assessment!$4:$4, 0)
      ),
      NA()
    ),
    NA()
  ),
  NA()
)</f>
        <v>#N/A</v>
      </c>
      <c r="V54" s="106" t="e" cm="1">
        <f t="array" ref="V54">IF(
  AND(
    INDEX('Chart data'!$2:$2, COLUMN()) &gt;= MTP_BaseYear,
    INDEX('Chart data'!$2:$2, COLUMN()) &lt;= OutturnThrough
  ),
  IFERROR(
    IF(
      V49 - INDEX(Assessment!$19:$19,
                   _xlfn.XMATCH(INDEX('Chart data'!$2:$2, COLUMN()),
                          Assessment!$4:$4, 0)
            ) &gt;= 0,
      INDEX(Assessment!$19:$19,
            _xlfn.XMATCH(INDEX('Chart data'!$2:$2, COLUMN()),
                   Assessment!$4:$4, 0)
      ),
      NA()
    ),
    NA()
  ),
  NA()
)</f>
        <v>#N/A</v>
      </c>
      <c r="W54" s="106" t="e" cm="1">
        <f t="array" ref="W54">IF(
  AND(
    INDEX('Chart data'!$2:$2, COLUMN()) &gt;= MTP_BaseYear,
    INDEX('Chart data'!$2:$2, COLUMN()) &lt;= OutturnThrough
  ),
  IFERROR(
    IF(
      W49 - INDEX(Assessment!$19:$19,
                   _xlfn.XMATCH(INDEX('Chart data'!$2:$2, COLUMN()),
                          Assessment!$4:$4, 0)
            ) &gt;= 0,
      INDEX(Assessment!$19:$19,
            _xlfn.XMATCH(INDEX('Chart data'!$2:$2, COLUMN()),
                   Assessment!$4:$4, 0)
      ),
      NA()
    ),
    NA()
  ),
  NA()
)</f>
        <v>#N/A</v>
      </c>
    </row>
    <row r="55" spans="2:23" x14ac:dyDescent="0.4">
      <c r="C55" s="110" t="s">
        <v>564</v>
      </c>
      <c r="D55" s="4">
        <f>IF(_xlfn.AGGREGATE(5,6,F49:W54)&lt;0, _xlfn.AGGREGATE(5,6,F49:W54), 0)</f>
        <v>-1.41309</v>
      </c>
      <c r="F55" s="64"/>
      <c r="G55" s="64"/>
      <c r="H55" s="64"/>
      <c r="I55" s="64"/>
      <c r="J55" s="64"/>
      <c r="K55" s="64"/>
      <c r="L55" s="64"/>
      <c r="M55" s="64"/>
      <c r="N55" s="64"/>
      <c r="O55" s="64"/>
      <c r="P55" s="64"/>
      <c r="Q55" s="64"/>
      <c r="R55" s="64"/>
      <c r="S55" s="64"/>
      <c r="T55" s="64"/>
      <c r="U55" s="64"/>
      <c r="V55" s="64"/>
      <c r="W55" s="64"/>
    </row>
    <row r="56" spans="2:23" x14ac:dyDescent="0.4">
      <c r="C56" s="110" t="s">
        <v>565</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10" t="s">
        <v>502</v>
      </c>
      <c r="C58" s="11" t="s">
        <v>943</v>
      </c>
      <c r="F58" s="4"/>
      <c r="G58" s="4"/>
      <c r="H58" s="4"/>
      <c r="I58" s="4"/>
      <c r="J58" s="4"/>
      <c r="K58" s="4"/>
      <c r="L58" s="4"/>
      <c r="M58" s="4"/>
      <c r="N58" s="4"/>
      <c r="O58" s="4"/>
      <c r="P58" s="4"/>
      <c r="Q58" s="4"/>
      <c r="R58" s="4"/>
      <c r="S58" s="4"/>
      <c r="T58" s="4"/>
      <c r="U58" s="4"/>
      <c r="V58" s="4"/>
      <c r="W58" s="4"/>
    </row>
    <row r="59" spans="2:23" ht="13.5" customHeight="1" x14ac:dyDescent="0.4">
      <c r="C59" s="2" t="s">
        <v>390</v>
      </c>
      <c r="E59" s="64" t="e">
        <f>IF(
  AND(
    ISNUMBER(Assessment!C38),
    ISNUMBER(Assessment!D38)
  ),
  Assessment!D38-Assessment!C38,
  NA()
)</f>
        <v>#N/A</v>
      </c>
      <c r="F59" s="64">
        <f>IF(
  AND(
    ISNUMBER(Assessment!D38),
    ISNUMBER(Assessment!E38)
  ),
  Assessment!E38-Assessment!D38,
  NA()
)</f>
        <v>2.1999999999999957</v>
      </c>
      <c r="G59" s="64">
        <f>IF(
  AND(
    ISNUMBER(Assessment!E38),
    ISNUMBER(Assessment!F38)
  ),
  Assessment!F38-Assessment!E38,
  NA()
)</f>
        <v>1.7000000000000028</v>
      </c>
      <c r="H59" s="64">
        <f>IF(
  AND(
    ISNUMBER(Assessment!F38),
    ISNUMBER(Assessment!G38)
  ),
  Assessment!G38-Assessment!F38,
  NA()
)</f>
        <v>1</v>
      </c>
      <c r="I59" s="64">
        <f>IF(
  AND(
    ISNUMBER(Assessment!G38),
    ISNUMBER(Assessment!H38)
  ),
  Assessment!H38-Assessment!G38,
  NA()
)</f>
        <v>1.2000000000000028</v>
      </c>
      <c r="J59" s="64">
        <f>IF(
  AND(
    ISNUMBER(Assessment!H38),
    ISNUMBER(Assessment!I38)
  ),
  Assessment!I38-Assessment!H38,
  NA()
)</f>
        <v>1.0999999999999943</v>
      </c>
      <c r="K59" s="64" t="e">
        <f>IF(
  AND(
    ISNUMBER(Assessment!I38),
    ISNUMBER(Assessment!J38)
  ),
  Assessment!J38-Assessment!I38,
  NA()
)</f>
        <v>#N/A</v>
      </c>
      <c r="L59" s="64" t="e">
        <f>IF(
  AND(
    ISNUMBER(Assessment!J38),
    ISNUMBER(Assessment!K38)
  ),
  Assessment!K38-Assessment!J38,
  NA()
)</f>
        <v>#N/A</v>
      </c>
      <c r="M59" s="64" t="e">
        <f>IF(
  AND(
    ISNUMBER(Assessment!K38),
    ISNUMBER(Assessment!L38)
  ),
  Assessment!L38-Assessment!K38,
  NA()
)</f>
        <v>#N/A</v>
      </c>
      <c r="N59" s="64" t="e">
        <f>IF(
  AND(
    ISNUMBER(Assessment!L38),
    ISNUMBER(Assessment!M38)
  ),
  Assessment!M38-Assessment!L38,
  NA()
)</f>
        <v>#N/A</v>
      </c>
      <c r="O59" s="64" t="e">
        <f>IF(
  AND(
    ISNUMBER(Assessment!M38),
    ISNUMBER(Assessment!N38)
  ),
  Assessment!N38-Assessment!M38,
  NA()
)</f>
        <v>#N/A</v>
      </c>
      <c r="P59" s="64" t="e">
        <f>IF(
  AND(
    ISNUMBER(Assessment!N38),
    ISNUMBER(Assessment!O38)
  ),
  Assessment!O38-Assessment!N38,
  NA()
)</f>
        <v>#N/A</v>
      </c>
      <c r="Q59" s="64" t="e">
        <f>IF(
  AND(
    ISNUMBER(Assessment!O38),
    ISNUMBER(Assessment!P38)
  ),
  Assessment!P38-Assessment!O38,
  NA()
)</f>
        <v>#N/A</v>
      </c>
      <c r="R59" s="64" t="e">
        <f>IF(
  AND(
    ISNUMBER(Assessment!P38),
    ISNUMBER(Assessment!Q38)
  ),
  Assessment!Q38-Assessment!P38,
  NA()
)</f>
        <v>#N/A</v>
      </c>
      <c r="S59" s="64" t="e">
        <f>IF(
  AND(
    ISNUMBER(Assessment!Q38),
    ISNUMBER(Assessment!R38)
  ),
  Assessment!R38-Assessment!Q38,
  NA()
)</f>
        <v>#N/A</v>
      </c>
      <c r="T59" s="64" t="e">
        <f>IF(
  AND(
    ISNUMBER(Assessment!R38),
    ISNUMBER(Assessment!S38)
  ),
  Assessment!S38-Assessment!R38,
  NA()
)</f>
        <v>#N/A</v>
      </c>
      <c r="U59" s="64" t="e">
        <f>IF(
  AND(
    ISNUMBER(Assessment!S38),
    ISNUMBER(Assessment!T38)
  ),
  Assessment!T38-Assessment!S38,
  NA()
)</f>
        <v>#N/A</v>
      </c>
      <c r="V59" s="64" t="e">
        <f>IF(
  AND(
    ISNUMBER(Assessment!T38),
    ISNUMBER(Assessment!U38)
  ),
  Assessment!U38-Assessment!T38,
  NA()
)</f>
        <v>#N/A</v>
      </c>
      <c r="W59" s="64" t="e">
        <f>IF(
  AND(
    ISNUMBER(Assessment!U38),
    ISNUMBER(Assessment!V38)
  ),
  Assessment!V38-Assessment!U38,
  NA()
)</f>
        <v>#N/A</v>
      </c>
    </row>
    <row r="60" spans="2:23" ht="13.5" customHeight="1" x14ac:dyDescent="0.4">
      <c r="C60" s="2" t="s">
        <v>296</v>
      </c>
      <c r="E60" s="64"/>
      <c r="F60" s="64"/>
      <c r="G60" s="64"/>
      <c r="H60" s="64"/>
      <c r="I60" s="64"/>
      <c r="J60" s="64"/>
      <c r="K60" s="64"/>
      <c r="L60" s="64"/>
      <c r="M60" s="64"/>
      <c r="N60" s="64"/>
      <c r="O60" s="64"/>
      <c r="P60" s="64"/>
      <c r="Q60" s="64"/>
      <c r="R60" s="64"/>
      <c r="S60" s="64"/>
      <c r="T60" s="64"/>
      <c r="U60" s="64"/>
      <c r="V60" s="64"/>
      <c r="W60" s="64"/>
    </row>
    <row r="61" spans="2:23" ht="13.5" customHeight="1" x14ac:dyDescent="0.4">
      <c r="C61" s="2" t="s">
        <v>297</v>
      </c>
      <c r="E61" s="64"/>
      <c r="F61" s="64"/>
      <c r="G61" s="64"/>
      <c r="H61" s="64"/>
      <c r="I61" s="64"/>
      <c r="J61" s="64"/>
      <c r="K61" s="64"/>
      <c r="L61" s="64"/>
      <c r="M61" s="64"/>
      <c r="N61" s="64"/>
      <c r="O61" s="64"/>
      <c r="P61" s="64"/>
      <c r="Q61" s="64"/>
      <c r="R61" s="64"/>
      <c r="S61" s="64"/>
      <c r="T61" s="64"/>
      <c r="U61" s="64"/>
      <c r="V61" s="64"/>
      <c r="W61" s="64"/>
    </row>
    <row r="62" spans="2:23" ht="13.5" customHeight="1" x14ac:dyDescent="0.4">
      <c r="C62" s="2" t="s">
        <v>298</v>
      </c>
      <c r="E62" s="64" t="e" cm="1">
        <f t="array" ref="E62">IF(
  AND(
    INDEX(2:2, COLUMN()) &gt; MTP_BaseYear,
    INDEX(2:2, COLUMN()) &lt;= OutturnThrough
  ),
  IFERROR(
    IF(
      Assessment!D21 &lt;= INDEX($65:$65, COLUMN()),
      Assessment!D21,
      NA()
    ),
    NA()
  ),
  NA()
)</f>
        <v>#N/A</v>
      </c>
      <c r="F62" s="64" t="e" cm="1">
        <f t="array" ref="F62">IF(
  AND(
    INDEX(2:2, COLUMN()) &gt; MTP_BaseYear,
    INDEX(2:2, COLUMN()) &lt;= OutturnThrough
  ),
  IFERROR(
    IF(
      Assessment!E21 &lt;= INDEX($65:$65, COLUMN()),
      Assessment!E21,
      NA()
    ),
    NA()
  ),
  NA()
)</f>
        <v>#N/A</v>
      </c>
      <c r="G62" s="64" t="e" cm="1">
        <f t="array" ref="G62">IF(
  AND(
    INDEX(2:2, COLUMN()) &gt; MTP_BaseYear,
    INDEX(2:2, COLUMN()) &lt;= OutturnThrough
  ),
  IFERROR(
    IF(
      Assessment!F21 &lt;= INDEX($65:$65, COLUMN()),
      Assessment!F21,
      NA()
    ),
    NA()
  ),
  NA()
)</f>
        <v>#N/A</v>
      </c>
      <c r="H62" s="64" t="e" cm="1">
        <f t="array" ref="H62">IF(
  AND(
    INDEX(2:2, COLUMN()) &gt; MTP_BaseYear,
    INDEX(2:2, COLUMN()) &lt;= OutturnThrough
  ),
  IFERROR(
    IF(
      Assessment!G21 &lt;= INDEX($65:$65, COLUMN()),
      Assessment!G21,
      NA()
    ),
    NA()
  ),
  NA()
)</f>
        <v>#N/A</v>
      </c>
      <c r="I62" s="64" t="e" cm="1">
        <f t="array" ref="I62">IF(
  AND(
    INDEX(2:2, COLUMN()) &gt; MTP_BaseYear,
    INDEX(2:2, COLUMN()) &lt;= OutturnThrough
  ),
  IFERROR(
    IF(
      Assessment!H21 &lt;= INDEX($65:$65, COLUMN()),
      Assessment!H21,
      NA()
    ),
    NA()
  ),
  NA()
)</f>
        <v>#N/A</v>
      </c>
      <c r="J62" s="64" t="e" cm="1">
        <f t="array" ref="J62">IF(
  AND(
    INDEX(2:2, COLUMN()) &gt; MTP_BaseYear,
    INDEX(2:2, COLUMN()) &lt;= OutturnThrough
  ),
  IFERROR(
    IF(
      Assessment!I21 &lt;= INDEX($65:$65, COLUMN()),
      Assessment!I21,
      NA()
    ),
    NA()
  ),
  NA()
)</f>
        <v>#N/A</v>
      </c>
      <c r="K62" s="64" t="e" cm="1">
        <f t="array" ref="K62">IF(
  AND(
    INDEX(2:2, COLUMN()) &gt; MTP_BaseYear,
    INDEX(2:2, COLUMN()) &lt;= OutturnThrough
  ),
  IFERROR(
    IF(
      Assessment!J21 &lt;= INDEX($65:$65, COLUMN()),
      Assessment!J21,
      NA()
    ),
    NA()
  ),
  NA()
)</f>
        <v>#N/A</v>
      </c>
      <c r="L62" s="64" t="e" cm="1">
        <f t="array" ref="L62">IF(
  AND(
    INDEX(2:2, COLUMN()) &gt; MTP_BaseYear,
    INDEX(2:2, COLUMN()) &lt;= OutturnThrough
  ),
  IFERROR(
    IF(
      Assessment!K21 &lt;= INDEX($65:$65, COLUMN()),
      Assessment!K21,
      NA()
    ),
    NA()
  ),
  NA()
)</f>
        <v>#N/A</v>
      </c>
      <c r="M62" s="64" t="e" cm="1">
        <f t="array" ref="M62">IF(
  AND(
    INDEX(2:2, COLUMN()) &gt; MTP_BaseYear,
    INDEX(2:2, COLUMN()) &lt;= OutturnThrough
  ),
  IFERROR(
    IF(
      Assessment!L21 &lt;= INDEX($65:$65, COLUMN()),
      Assessment!L21,
      NA()
    ),
    NA()
  ),
  NA()
)</f>
        <v>#N/A</v>
      </c>
      <c r="N62" s="64" t="e" cm="1">
        <f t="array" ref="N62">IF(
  AND(
    INDEX(2:2, COLUMN()) &gt; MTP_BaseYear,
    INDEX(2:2, COLUMN()) &lt;= OutturnThrough
  ),
  IFERROR(
    IF(
      Assessment!M21 &lt;= INDEX($65:$65, COLUMN()),
      Assessment!M21,
      NA()
    ),
    NA()
  ),
  NA()
)</f>
        <v>#N/A</v>
      </c>
      <c r="O62" s="64" t="e" cm="1">
        <f t="array" ref="O62">IF(
  AND(
    INDEX(2:2, COLUMN()) &gt; MTP_BaseYear,
    INDEX(2:2, COLUMN()) &lt;= OutturnThrough
  ),
  IFERROR(
    IF(
      Assessment!N21 &lt;= INDEX($65:$65, COLUMN()),
      Assessment!N21,
      NA()
    ),
    NA()
  ),
  NA()
)</f>
        <v>#N/A</v>
      </c>
      <c r="P62" s="64" t="e" cm="1">
        <f t="array" ref="P62">IF(
  AND(
    INDEX(2:2, COLUMN()) &gt; MTP_BaseYear,
    INDEX(2:2, COLUMN()) &lt;= OutturnThrough
  ),
  IFERROR(
    IF(
      Assessment!O21 &lt;= INDEX($65:$65, COLUMN()),
      Assessment!O21,
      NA()
    ),
    NA()
  ),
  NA()
)</f>
        <v>#N/A</v>
      </c>
      <c r="Q62" s="64" t="e" cm="1">
        <f t="array" ref="Q62">IF(
  AND(
    INDEX(2:2, COLUMN()) &gt; MTP_BaseYear,
    INDEX(2:2, COLUMN()) &lt;= OutturnThrough
  ),
  IFERROR(
    IF(
      Assessment!P21 &lt;= INDEX($65:$65, COLUMN()),
      Assessment!P21,
      NA()
    ),
    NA()
  ),
  NA()
)</f>
        <v>#N/A</v>
      </c>
      <c r="R62" s="64" t="e" cm="1">
        <f t="array" ref="R62">IF(
  AND(
    INDEX(2:2, COLUMN()) &gt; MTP_BaseYear,
    INDEX(2:2, COLUMN()) &lt;= OutturnThrough
  ),
  IFERROR(
    IF(
      Assessment!Q21 &lt;= INDEX($65:$65, COLUMN()),
      Assessment!Q21,
      NA()
    ),
    NA()
  ),
  NA()
)</f>
        <v>#N/A</v>
      </c>
      <c r="S62" s="64" t="e" cm="1">
        <f t="array" ref="S62">IF(
  AND(
    INDEX(2:2, COLUMN()) &gt; MTP_BaseYear,
    INDEX(2:2, COLUMN()) &lt;= OutturnThrough
  ),
  IFERROR(
    IF(
      Assessment!R21 &lt;= INDEX($65:$65, COLUMN()),
      Assessment!R21,
      NA()
    ),
    NA()
  ),
  NA()
)</f>
        <v>#N/A</v>
      </c>
      <c r="T62" s="64" t="e" cm="1">
        <f t="array" ref="T62">IF(
  AND(
    INDEX(2:2, COLUMN()) &gt; MTP_BaseYear,
    INDEX(2:2, COLUMN()) &lt;= OutturnThrough
  ),
  IFERROR(
    IF(
      Assessment!S21 &lt;= INDEX($65:$65, COLUMN()),
      Assessment!S21,
      NA()
    ),
    NA()
  ),
  NA()
)</f>
        <v>#N/A</v>
      </c>
      <c r="U62" s="64" t="e" cm="1">
        <f t="array" ref="U62">IF(
  AND(
    INDEX(2:2, COLUMN()) &gt; MTP_BaseYear,
    INDEX(2:2, COLUMN()) &lt;= OutturnThrough
  ),
  IFERROR(
    IF(
      Assessment!T21 &lt;= INDEX($65:$65, COLUMN()),
      Assessment!T21,
      NA()
    ),
    NA()
  ),
  NA()
)</f>
        <v>#N/A</v>
      </c>
      <c r="V62" s="64" t="e" cm="1">
        <f t="array" ref="V62">IF(
  AND(
    INDEX(2:2, COLUMN()) &gt; MTP_BaseYear,
    INDEX(2:2, COLUMN()) &lt;= OutturnThrough
  ),
  IFERROR(
    IF(
      Assessment!U21 &lt;= INDEX($65:$65, COLUMN()),
      Assessment!U21,
      NA()
    ),
    NA()
  ),
  NA()
)</f>
        <v>#N/A</v>
      </c>
      <c r="W62" s="64" t="e" cm="1">
        <f t="array" ref="W62">IF(
  AND(
    INDEX(2:2, COLUMN()) &gt; MTP_BaseYear,
    INDEX(2:2, COLUMN()) &lt;= OutturnThrough
  ),
  IFERROR(
    IF(
      Assessment!V21 &lt;= INDEX($65:$65, COLUMN()),
      Assessment!V21,
      NA()
    ),
    NA()
  ),
  NA()
)</f>
        <v>#N/A</v>
      </c>
    </row>
    <row r="63" spans="2:23" ht="13.5" customHeight="1" x14ac:dyDescent="0.4">
      <c r="C63" s="2" t="s">
        <v>299</v>
      </c>
      <c r="E63" s="64" t="e" cm="1">
        <f t="array" ref="E63">IF(
  AND(
    INDEX(2:2, COLUMN()) &gt; MTP_BaseYear,
    INDEX(2:2, COLUMN()) &lt;= OutturnThrough
  ),
  IFERROR(
    IF(
      Assessment!D21 &gt; INDEX($65:$65, COLUMN()),
      Assessment!D21,
      NA()
    ),
    NA()
  ),
  NA()
)</f>
        <v>#N/A</v>
      </c>
      <c r="F63" s="64" cm="1">
        <f t="array" ref="F63">IF(
  AND(
    INDEX(2:2, COLUMN()) &gt; MTP_BaseYear,
    INDEX(2:2, COLUMN()) &lt;= OutturnThrough
  ),
  IFERROR(
    IF(
      Assessment!E21 &gt; INDEX($65:$65, COLUMN()),
      Assessment!E21,
      NA()
    ),
    NA()
  ),
  NA()
)</f>
        <v>3.0084398668710008</v>
      </c>
      <c r="G63" s="64" cm="1">
        <f t="array" ref="G63">IF(
  AND(
    INDEX(2:2, COLUMN()) &gt; MTP_BaseYear,
    INDEX(2:2, COLUMN()) &lt;= OutturnThrough
  ),
  IFERROR(
    IF(
      Assessment!F21 &gt; INDEX($65:$65, COLUMN()),
      Assessment!F21,
      NA()
    ),
    NA()
  ),
  NA()
)</f>
        <v>3.1896844248388225</v>
      </c>
      <c r="H63" s="64" t="e" cm="1">
        <f t="array" ref="H63">IF(
  AND(
    INDEX(2:2, COLUMN()) &gt; MTP_BaseYear,
    INDEX(2:2, COLUMN()) &lt;= OutturnThrough
  ),
  IFERROR(
    IF(
      Assessment!G21 &gt; INDEX($65:$65, COLUMN()),
      Assessment!G21,
      NA()
    ),
    NA()
  ),
  NA()
)</f>
        <v>#N/A</v>
      </c>
      <c r="I63" s="64" t="e" cm="1">
        <f t="array" ref="I63">IF(
  AND(
    INDEX(2:2, COLUMN()) &gt; MTP_BaseYear,
    INDEX(2:2, COLUMN()) &lt;= OutturnThrough
  ),
  IFERROR(
    IF(
      Assessment!H21 &gt; INDEX($65:$65, COLUMN()),
      Assessment!H21,
      NA()
    ),
    NA()
  ),
  NA()
)</f>
        <v>#N/A</v>
      </c>
      <c r="J63" s="64" t="e" cm="1">
        <f t="array" ref="J63">IF(
  AND(
    INDEX(2:2, COLUMN()) &gt; MTP_BaseYear,
    INDEX(2:2, COLUMN()) &lt;= OutturnThrough
  ),
  IFERROR(
    IF(
      Assessment!I21 &gt; INDEX($65:$65, COLUMN()),
      Assessment!I21,
      NA()
    ),
    NA()
  ),
  NA()
)</f>
        <v>#N/A</v>
      </c>
      <c r="K63" s="64" t="e" cm="1">
        <f t="array" ref="K63">IF(
  AND(
    INDEX(2:2, COLUMN()) &gt; MTP_BaseYear,
    INDEX(2:2, COLUMN()) &lt;= OutturnThrough
  ),
  IFERROR(
    IF(
      Assessment!J21 &gt; INDEX($65:$65, COLUMN()),
      Assessment!J21,
      NA()
    ),
    NA()
  ),
  NA()
)</f>
        <v>#N/A</v>
      </c>
      <c r="L63" s="64" t="e" cm="1">
        <f t="array" ref="L63">IF(
  AND(
    INDEX(2:2, COLUMN()) &gt; MTP_BaseYear,
    INDEX(2:2, COLUMN()) &lt;= OutturnThrough
  ),
  IFERROR(
    IF(
      Assessment!K21 &gt; INDEX($65:$65, COLUMN()),
      Assessment!K21,
      NA()
    ),
    NA()
  ),
  NA()
)</f>
        <v>#N/A</v>
      </c>
      <c r="M63" s="64" t="e" cm="1">
        <f t="array" ref="M63">IF(
  AND(
    INDEX(2:2, COLUMN()) &gt; MTP_BaseYear,
    INDEX(2:2, COLUMN()) &lt;= OutturnThrough
  ),
  IFERROR(
    IF(
      Assessment!L21 &gt; INDEX($65:$65, COLUMN()),
      Assessment!L21,
      NA()
    ),
    NA()
  ),
  NA()
)</f>
        <v>#N/A</v>
      </c>
      <c r="N63" s="64" t="e" cm="1">
        <f t="array" ref="N63">IF(
  AND(
    INDEX(2:2, COLUMN()) &gt; MTP_BaseYear,
    INDEX(2:2, COLUMN()) &lt;= OutturnThrough
  ),
  IFERROR(
    IF(
      Assessment!M21 &gt; INDEX($65:$65, COLUMN()),
      Assessment!M21,
      NA()
    ),
    NA()
  ),
  NA()
)</f>
        <v>#N/A</v>
      </c>
      <c r="O63" s="64" t="e" cm="1">
        <f t="array" ref="O63">IF(
  AND(
    INDEX(2:2, COLUMN()) &gt; MTP_BaseYear,
    INDEX(2:2, COLUMN()) &lt;= OutturnThrough
  ),
  IFERROR(
    IF(
      Assessment!N21 &gt; INDEX($65:$65, COLUMN()),
      Assessment!N21,
      NA()
    ),
    NA()
  ),
  NA()
)</f>
        <v>#N/A</v>
      </c>
      <c r="P63" s="64" t="e" cm="1">
        <f t="array" ref="P63">IF(
  AND(
    INDEX(2:2, COLUMN()) &gt; MTP_BaseYear,
    INDEX(2:2, COLUMN()) &lt;= OutturnThrough
  ),
  IFERROR(
    IF(
      Assessment!O21 &gt; INDEX($65:$65, COLUMN()),
      Assessment!O21,
      NA()
    ),
    NA()
  ),
  NA()
)</f>
        <v>#N/A</v>
      </c>
      <c r="Q63" s="64" t="e" cm="1">
        <f t="array" ref="Q63">IF(
  AND(
    INDEX(2:2, COLUMN()) &gt; MTP_BaseYear,
    INDEX(2:2, COLUMN()) &lt;= OutturnThrough
  ),
  IFERROR(
    IF(
      Assessment!P21 &gt; INDEX($65:$65, COLUMN()),
      Assessment!P21,
      NA()
    ),
    NA()
  ),
  NA()
)</f>
        <v>#N/A</v>
      </c>
      <c r="R63" s="64" t="e" cm="1">
        <f t="array" ref="R63">IF(
  AND(
    INDEX(2:2, COLUMN()) &gt; MTP_BaseYear,
    INDEX(2:2, COLUMN()) &lt;= OutturnThrough
  ),
  IFERROR(
    IF(
      Assessment!Q21 &gt; INDEX($65:$65, COLUMN()),
      Assessment!Q21,
      NA()
    ),
    NA()
  ),
  NA()
)</f>
        <v>#N/A</v>
      </c>
      <c r="S63" s="64" t="e" cm="1">
        <f t="array" ref="S63">IF(
  AND(
    INDEX(2:2, COLUMN()) &gt; MTP_BaseYear,
    INDEX(2:2, COLUMN()) &lt;= OutturnThrough
  ),
  IFERROR(
    IF(
      Assessment!R21 &gt; INDEX($65:$65, COLUMN()),
      Assessment!R21,
      NA()
    ),
    NA()
  ),
  NA()
)</f>
        <v>#N/A</v>
      </c>
      <c r="T63" s="64" t="e" cm="1">
        <f t="array" ref="T63">IF(
  AND(
    INDEX(2:2, COLUMN()) &gt; MTP_BaseYear,
    INDEX(2:2, COLUMN()) &lt;= OutturnThrough
  ),
  IFERROR(
    IF(
      Assessment!S21 &gt; INDEX($65:$65, COLUMN()),
      Assessment!S21,
      NA()
    ),
    NA()
  ),
  NA()
)</f>
        <v>#N/A</v>
      </c>
      <c r="U63" s="64" t="e" cm="1">
        <f t="array" ref="U63">IF(
  AND(
    INDEX(2:2, COLUMN()) &gt; MTP_BaseYear,
    INDEX(2:2, COLUMN()) &lt;= OutturnThrough
  ),
  IFERROR(
    IF(
      Assessment!T21 &gt; INDEX($65:$65, COLUMN()),
      Assessment!T21,
      NA()
    ),
    NA()
  ),
  NA()
)</f>
        <v>#N/A</v>
      </c>
      <c r="V63" s="64" t="e" cm="1">
        <f t="array" ref="V63">IF(
  AND(
    INDEX(2:2, COLUMN()) &gt; MTP_BaseYear,
    INDEX(2:2, COLUMN()) &lt;= OutturnThrough
  ),
  IFERROR(
    IF(
      Assessment!U21 &gt; INDEX($65:$65, COLUMN()),
      Assessment!U21,
      NA()
    ),
    NA()
  ),
  NA()
)</f>
        <v>#N/A</v>
      </c>
      <c r="W63" s="64" t="e" cm="1">
        <f t="array" ref="W63">IF(
  AND(
    INDEX(2:2, COLUMN()) &gt; MTP_BaseYear,
    INDEX(2:2, COLUMN()) &lt;= OutturnThrough
  ),
  IFERROR(
    IF(
      Assessment!V21 &gt; INDEX($65:$65, COLUMN()),
      Assessment!V21,
      NA()
    ),
    NA()
  ),
  NA()
)</f>
        <v>#N/A</v>
      </c>
    </row>
    <row r="64" spans="2:23" ht="13.5" customHeight="1" x14ac:dyDescent="0.4">
      <c r="C64" s="2" t="s">
        <v>562</v>
      </c>
      <c r="E64" s="64">
        <f>IF(OR(ISNUMBER(E62),ISNUMBER(E63)),NA(),IF(ISNUMBER(Assessment!D21),Assessment!D21,NA()))</f>
        <v>3.8913967677850185</v>
      </c>
      <c r="F64" s="64" t="e">
        <f>IF(OR(ISNUMBER(F62),ISNUMBER(F63)),NA(),IF(ISNUMBER(Assessment!E21),Assessment!E21,NA()))</f>
        <v>#N/A</v>
      </c>
      <c r="G64" s="64" t="e">
        <f>IF(OR(ISNUMBER(G62),ISNUMBER(G63)),NA(),IF(ISNUMBER(Assessment!F21),Assessment!F21,NA()))</f>
        <v>#N/A</v>
      </c>
      <c r="H64" s="64">
        <f>IF(OR(ISNUMBER(H62),ISNUMBER(H63)),NA(),IF(ISNUMBER(Assessment!G21),Assessment!G21,NA()))</f>
        <v>0.9</v>
      </c>
      <c r="I64" s="64" t="e">
        <f>IF(OR(ISNUMBER(I62),ISNUMBER(I63)),NA(),IF(ISNUMBER(Assessment!H21),Assessment!H21,NA()))</f>
        <v>#N/A</v>
      </c>
      <c r="J64" s="64" t="e">
        <f>IF(OR(ISNUMBER(J62),ISNUMBER(J63)),NA(),IF(ISNUMBER(Assessment!I21),Assessment!I21,NA()))</f>
        <v>#N/A</v>
      </c>
      <c r="K64" s="64" t="e">
        <f>IF(OR(ISNUMBER(K62),ISNUMBER(K63)),NA(),IF(ISNUMBER(Assessment!J21),Assessment!J21,NA()))</f>
        <v>#N/A</v>
      </c>
      <c r="L64" s="64" t="e">
        <f>IF(OR(ISNUMBER(L62),ISNUMBER(L63)),NA(),IF(ISNUMBER(Assessment!K21),Assessment!K21,NA()))</f>
        <v>#N/A</v>
      </c>
      <c r="M64" s="64" t="e">
        <f>IF(OR(ISNUMBER(M62),ISNUMBER(M63)),NA(),IF(ISNUMBER(Assessment!L21),Assessment!L21,NA()))</f>
        <v>#N/A</v>
      </c>
      <c r="N64" s="64" t="e">
        <f>IF(OR(ISNUMBER(N62),ISNUMBER(N63)),NA(),IF(ISNUMBER(Assessment!M21),Assessment!M21,NA()))</f>
        <v>#N/A</v>
      </c>
      <c r="O64" s="64" t="e">
        <f>IF(OR(ISNUMBER(O62),ISNUMBER(O63)),NA(),IF(ISNUMBER(Assessment!N21),Assessment!N21,NA()))</f>
        <v>#N/A</v>
      </c>
      <c r="P64" s="64" t="e">
        <f>IF(OR(ISNUMBER(P62),ISNUMBER(P63)),NA(),IF(ISNUMBER(Assessment!O21),Assessment!O21,NA()))</f>
        <v>#N/A</v>
      </c>
      <c r="Q64" s="64" t="e">
        <f>IF(OR(ISNUMBER(Q62),ISNUMBER(Q63)),NA(),IF(ISNUMBER(Assessment!P21),Assessment!P21,NA()))</f>
        <v>#N/A</v>
      </c>
      <c r="R64" s="64" t="e">
        <f>IF(OR(ISNUMBER(R62),ISNUMBER(R63)),NA(),IF(ISNUMBER(Assessment!Q21),Assessment!Q21,NA()))</f>
        <v>#N/A</v>
      </c>
      <c r="S64" s="64" t="e">
        <f>IF(OR(ISNUMBER(S62),ISNUMBER(S63)),NA(),IF(ISNUMBER(Assessment!R21),Assessment!R21,NA()))</f>
        <v>#N/A</v>
      </c>
      <c r="T64" s="64" t="e">
        <f>IF(OR(ISNUMBER(T62),ISNUMBER(T63)),NA(),IF(ISNUMBER(Assessment!S21),Assessment!S21,NA()))</f>
        <v>#N/A</v>
      </c>
      <c r="U64" s="64" t="e">
        <f>IF(ISNUMBER(U62),NA(),IF(ISNUMBER(Assessment!T21),Assessment!T21,NA()))</f>
        <v>#N/A</v>
      </c>
      <c r="V64" s="64" t="e">
        <f>IF(ISNUMBER(V62),NA(),IF(ISNUMBER(Assessment!U21),Assessment!U21,NA()))</f>
        <v>#N/A</v>
      </c>
      <c r="W64" s="64" t="e">
        <f>IF(ISNUMBER(W62),NA(),IF(ISNUMBER(Assessment!V21),Assessment!V21,NA()))</f>
        <v>#N/A</v>
      </c>
    </row>
    <row r="65" spans="2:23" ht="13.5" customHeight="1" x14ac:dyDescent="0.4">
      <c r="C65" s="2" t="s">
        <v>563</v>
      </c>
      <c r="E65" s="64">
        <f>IF(
  ISNUMBER(Assessment!D20),
  IF(Assessment!D20&gt;90,-1,
     IF(Assessment!D20&gt;60,-0.5,0)
  ),
  NA()
)</f>
        <v>0</v>
      </c>
      <c r="F65" s="64">
        <f>IF(
  ISNUMBER(Assessment!E20),
  IF(Assessment!E20&gt;90,-1,
     IF(Assessment!E20&gt;60,-0.5,0)
  ),
  NA()
)</f>
        <v>0</v>
      </c>
      <c r="G65" s="64">
        <f>IF(
  ISNUMBER(Assessment!F20),
  IF(Assessment!F20&gt;90,-1,
     IF(Assessment!F20&gt;60,-0.5,0)
  ),
  NA()
)</f>
        <v>0</v>
      </c>
      <c r="H65" s="64">
        <f>IF(
  ISNUMBER(Assessment!G20),
  IF(Assessment!G20&gt;90,-1,
     IF(Assessment!G20&gt;60,-0.5,0)
  ),
  NA()
)</f>
        <v>0</v>
      </c>
      <c r="I65" s="64" t="e">
        <f>IF(
  ISNUMBER(Assessment!H20),
  IF(Assessment!H20&gt;90,-1,
     IF(Assessment!H20&gt;60,-0.5,0)
  ),
  NA()
)</f>
        <v>#N/A</v>
      </c>
      <c r="J65" s="64" t="e">
        <f>IF(
  ISNUMBER(Assessment!I20),
  IF(Assessment!I20&gt;90,-1,
     IF(Assessment!I20&gt;60,-0.5,0)
  ),
  NA()
)</f>
        <v>#N/A</v>
      </c>
      <c r="K65" s="64" t="e">
        <f>IF(
  ISNUMBER(Assessment!J20),
  IF(Assessment!J20&gt;90,-1,
     IF(Assessment!J20&gt;60,-0.5,0)
  ),
  NA()
)</f>
        <v>#N/A</v>
      </c>
      <c r="L65" s="64" t="e">
        <f>IF(
  ISNUMBER(Assessment!K20),
  IF(Assessment!K20&gt;90,-1,
     IF(Assessment!K20&gt;60,-0.5,0)
  ),
  NA()
)</f>
        <v>#N/A</v>
      </c>
      <c r="M65" s="64" t="e">
        <f>IF(
  ISNUMBER(Assessment!L20),
  IF(Assessment!L20&gt;90,-1,
     IF(Assessment!L20&gt;60,-0.5,0)
  ),
  NA()
)</f>
        <v>#N/A</v>
      </c>
      <c r="N65" s="64" t="e">
        <f>IF(
  ISNUMBER(Assessment!M20),
  IF(Assessment!M20&gt;90,-1,
     IF(Assessment!M20&gt;60,-0.5,0)
  ),
  NA()
)</f>
        <v>#N/A</v>
      </c>
      <c r="O65" s="64" t="e">
        <f>IF(
  ISNUMBER(Assessment!N20),
  IF(Assessment!N20&gt;90,-1,
     IF(Assessment!N20&gt;60,-0.5,0)
  ),
  NA()
)</f>
        <v>#N/A</v>
      </c>
      <c r="P65" s="64" t="e">
        <f>IF(
  ISNUMBER(Assessment!O20),
  IF(Assessment!O20&gt;90,-1,
     IF(Assessment!O20&gt;60,-0.5,0)
  ),
  NA()
)</f>
        <v>#N/A</v>
      </c>
      <c r="Q65" s="64" t="e">
        <f>IF(
  ISNUMBER(Assessment!P20),
  IF(Assessment!P20&gt;90,-1,
     IF(Assessment!P20&gt;60,-0.5,0)
  ),
  NA()
)</f>
        <v>#N/A</v>
      </c>
      <c r="R65" s="64" t="e">
        <f>IF(
  ISNUMBER(Assessment!Q20),
  IF(Assessment!Q20&gt;90,-1,
     IF(Assessment!Q20&gt;60,-0.5,0)
  ),
  NA()
)</f>
        <v>#N/A</v>
      </c>
      <c r="S65" s="64" t="e">
        <f>IF(
  ISNUMBER(Assessment!R20),
  IF(Assessment!R20&gt;90,-1,
     IF(Assessment!R20&gt;60,-0.5,0)
  ),
  NA()
)</f>
        <v>#N/A</v>
      </c>
      <c r="T65" s="64" t="e">
        <f>IF(
  ISNUMBER(Assessment!S20),
  IF(Assessment!S20&gt;90,-1,
     IF(Assessment!S20&gt;60,-0.5,0)
  ),
  NA()
)</f>
        <v>#N/A</v>
      </c>
      <c r="U65" s="64" t="e">
        <f>IF(
  ISNUMBER(Assessment!T20),
  IF(Assessment!T20&gt;90,-1,
     IF(Assessment!T20&gt;60,-0.5,0)
  ),
  NA()
)</f>
        <v>#N/A</v>
      </c>
      <c r="V65" s="64" t="e">
        <f>IF(
  ISNUMBER(Assessment!U20),
  IF(Assessment!U20&gt;90,-1,
     IF(Assessment!U20&gt;60,-0.5,0)
  ),
  NA()
)</f>
        <v>#N/A</v>
      </c>
      <c r="W65" s="64" t="e">
        <f>IF(
  ISNUMBER(Assessment!V20),
  IF(Assessment!V20&gt;90,-1,
     IF(Assessment!V20&gt;60,-0.5,0)
  ),
  NA()
)</f>
        <v>#N/A</v>
      </c>
    </row>
    <row r="66" spans="2:23" x14ac:dyDescent="0.4">
      <c r="C66" s="110" t="s">
        <v>564</v>
      </c>
      <c r="D66" s="4">
        <f>IF(_xlfn.AGGREGATE(5,6,F59:W65)&lt;0, _xlfn.AGGREGATE(5,6,F59:W65), 0)</f>
        <v>0</v>
      </c>
      <c r="F66" s="64"/>
      <c r="G66" s="64"/>
      <c r="H66" s="64"/>
      <c r="I66" s="64"/>
      <c r="J66" s="64"/>
      <c r="K66" s="64"/>
      <c r="L66" s="64"/>
      <c r="M66" s="64"/>
      <c r="N66" s="64"/>
      <c r="O66" s="64"/>
      <c r="P66" s="64"/>
      <c r="Q66" s="64"/>
      <c r="R66" s="64"/>
      <c r="S66" s="64"/>
      <c r="T66" s="64"/>
      <c r="U66" s="64"/>
      <c r="V66" s="64"/>
      <c r="W66" s="64"/>
    </row>
    <row r="67" spans="2:23" x14ac:dyDescent="0.4">
      <c r="C67" s="110" t="s">
        <v>565</v>
      </c>
      <c r="D67" s="4">
        <f>_xlfn.AGGREGATE(4,6,F59:W65)</f>
        <v>3.1896844248388225</v>
      </c>
    </row>
    <row r="68" spans="2:23" x14ac:dyDescent="0.4">
      <c r="C68" s="110"/>
      <c r="D68" s="4"/>
    </row>
    <row r="69" spans="2:23" ht="14.25" customHeight="1" x14ac:dyDescent="0.6">
      <c r="B69" s="136" t="s">
        <v>572</v>
      </c>
      <c r="C69" s="11" t="s">
        <v>939</v>
      </c>
      <c r="F69" s="106"/>
      <c r="G69" s="106"/>
      <c r="H69" s="106"/>
      <c r="I69" s="106"/>
      <c r="J69" s="106"/>
      <c r="K69" s="106"/>
      <c r="L69" s="106"/>
      <c r="M69" s="106"/>
      <c r="N69" s="106"/>
      <c r="O69" s="106"/>
      <c r="P69" s="106"/>
      <c r="Q69" s="106"/>
      <c r="R69" s="106"/>
      <c r="S69" s="106"/>
      <c r="T69" s="106"/>
      <c r="U69" s="64"/>
      <c r="V69" s="64"/>
      <c r="W69" s="64"/>
    </row>
    <row r="70" spans="2:23" x14ac:dyDescent="0.4">
      <c r="C70" s="2" t="s">
        <v>521</v>
      </c>
      <c r="F70" s="64"/>
      <c r="G70" s="64">
        <f>IF(
  AND(
    ISNUMBER(Assessment!F37),
    ISNUMBER(Assessment!E37)
  ),
  Assessment!F37 - Assessment!E37,
  NA()
)</f>
        <v>-0.5</v>
      </c>
      <c r="H70" s="64">
        <f>IF(
  AND(
    ISNUMBER(Assessment!G37),
    ISNUMBER(Assessment!F37)
  ),
  Assessment!G37 - Assessment!F37,
  NA()
)</f>
        <v>0</v>
      </c>
      <c r="I70" s="64">
        <f>IF(
  AND(
    ISNUMBER(Assessment!H37),
    ISNUMBER(Assessment!G37)
  ),
  Assessment!H37 - Assessment!G37,
  NA()
)</f>
        <v>0</v>
      </c>
      <c r="J70" s="64">
        <f>IF(
  AND(
    ISNUMBER(Assessment!I37),
    ISNUMBER(Assessment!H37)
  ),
  Assessment!I37 - Assessment!H37,
  NA()
)</f>
        <v>0</v>
      </c>
      <c r="K70" s="64" t="e">
        <f>IF(
  AND(
    ISNUMBER(Assessment!J37),
    ISNUMBER(Assessment!I37)
  ),
  Assessment!J37 - Assessment!I37,
  NA()
)</f>
        <v>#N/A</v>
      </c>
      <c r="L70" s="64" t="e">
        <f>IF(
  AND(
    ISNUMBER(Assessment!K37),
    ISNUMBER(Assessment!J37)
  ),
  Assessment!K37 - Assessment!J37,
  NA()
)</f>
        <v>#N/A</v>
      </c>
      <c r="M70" s="64" t="e">
        <f>IF(
  AND(
    ISNUMBER(Assessment!L37),
    ISNUMBER(Assessment!K37)
  ),
  Assessment!L37 - Assessment!K37,
  NA()
)</f>
        <v>#N/A</v>
      </c>
      <c r="N70" s="64" t="e">
        <f>IF(
  AND(
    ISNUMBER(Assessment!M37),
    ISNUMBER(Assessment!L37)
  ),
  Assessment!M37 - Assessment!L37,
  NA()
)</f>
        <v>#N/A</v>
      </c>
      <c r="O70" s="64" t="e">
        <f>IF(
  AND(
    ISNUMBER(Assessment!N37),
    ISNUMBER(Assessment!M37)
  ),
  Assessment!N37 - Assessment!M37,
  NA()
)</f>
        <v>#N/A</v>
      </c>
      <c r="P70" s="64" t="e">
        <f>IF(
  AND(
    ISNUMBER(Assessment!O37),
    ISNUMBER(Assessment!N37)
  ),
  Assessment!O37 - Assessment!N37,
  NA()
)</f>
        <v>#N/A</v>
      </c>
      <c r="Q70" s="64" t="e">
        <f>IF(
  AND(
    ISNUMBER(Assessment!P37),
    ISNUMBER(Assessment!O37)
  ),
  Assessment!P37 - Assessment!O37,
  NA()
)</f>
        <v>#N/A</v>
      </c>
      <c r="R70" s="64" t="e">
        <f>IF(
  AND(
    ISNUMBER(Assessment!Q37),
    ISNUMBER(Assessment!P37)
  ),
  Assessment!Q37 - Assessment!P37,
  NA()
)</f>
        <v>#N/A</v>
      </c>
      <c r="S70" s="64" t="e">
        <f>IF(
  AND(
    ISNUMBER(Assessment!R37),
    ISNUMBER(Assessment!Q37)
  ),
  Assessment!R37 - Assessment!Q37,
  NA()
)</f>
        <v>#N/A</v>
      </c>
      <c r="T70" s="64" t="e">
        <f>IF(
  AND(
    ISNUMBER(Assessment!S37),
    ISNUMBER(Assessment!R37)
  ),
  Assessment!S37 - Assessment!R37,
  NA()
)</f>
        <v>#N/A</v>
      </c>
      <c r="U70" s="64" t="e">
        <f>IF(
  AND(
    ISNUMBER(Assessment!T37),
    ISNUMBER(Assessment!S37)
  ),
  Assessment!T37 - Assessment!S37,
  NA()
)</f>
        <v>#N/A</v>
      </c>
      <c r="V70" s="64" t="e">
        <f>IF(
  AND(
    ISNUMBER(Assessment!U37),
    ISNUMBER(Assessment!T37)
  ),
  Assessment!U37 - Assessment!T37,
  NA()
)</f>
        <v>#N/A</v>
      </c>
      <c r="W70" s="64" t="e">
        <f>IF(
  AND(
    ISNUMBER(Assessment!V37),
    ISNUMBER(Assessment!U37)
  ),
  Assessment!V37 - Assessment!U37,
  NA()
)</f>
        <v>#N/A</v>
      </c>
    </row>
    <row r="71" spans="2:23" x14ac:dyDescent="0.4">
      <c r="C71" s="2" t="s">
        <v>296</v>
      </c>
      <c r="F71" s="4"/>
      <c r="G71" s="4"/>
      <c r="H71" s="4"/>
      <c r="I71" s="4"/>
      <c r="J71" s="4"/>
      <c r="K71" s="4"/>
      <c r="L71" s="4"/>
      <c r="M71" s="4"/>
      <c r="N71" s="4"/>
      <c r="O71" s="4"/>
      <c r="P71" s="4"/>
      <c r="Q71" s="4"/>
      <c r="R71" s="4"/>
      <c r="S71" s="4"/>
      <c r="T71" s="4"/>
      <c r="U71" s="64"/>
      <c r="V71" s="64"/>
      <c r="W71" s="64"/>
    </row>
    <row r="72" spans="2:23" x14ac:dyDescent="0.4">
      <c r="C72" s="2" t="s">
        <v>243</v>
      </c>
      <c r="F72" s="64" t="e">
        <f>IF(ISNUMBER(F74),NA(),IF(ISNUMBER(Assessment!E19),Assessment!E19-Assessment!D19,NA()))</f>
        <v>#N/A</v>
      </c>
      <c r="G72" s="64" t="e">
        <f>IF(ISNUMBER(G74),NA(),IF(ISNUMBER(Assessment!F19),Assessment!F19-Assessment!E19,NA()))</f>
        <v>#N/A</v>
      </c>
      <c r="H72" s="64">
        <f>IF(ISNUMBER(H74),NA(),IF(ISNUMBER(Assessment!G19),Assessment!G19-Assessment!F19,NA()))</f>
        <v>0.11308999999999991</v>
      </c>
      <c r="I72" s="64" t="e">
        <f>IF(ISNUMBER(I74),NA(),IF(ISNUMBER(Assessment!H19),Assessment!H19-Assessment!G19,NA()))</f>
        <v>#N/A</v>
      </c>
      <c r="J72" s="64" t="e">
        <f>IF(ISNUMBER(J74),NA(),IF(ISNUMBER(Assessment!I19),Assessment!I19-Assessment!H19,NA()))</f>
        <v>#N/A</v>
      </c>
      <c r="K72" s="64" t="e">
        <f>IF(ISNUMBER(K74),NA(),IF(ISNUMBER(Assessment!J19),Assessment!J19-Assessment!I19,NA()))</f>
        <v>#N/A</v>
      </c>
      <c r="L72" s="64" t="e">
        <f>IF(ISNUMBER(L74),NA(),IF(ISNUMBER(Assessment!K19),Assessment!K19-Assessment!J19,NA()))</f>
        <v>#N/A</v>
      </c>
      <c r="M72" s="64" t="e">
        <f>IF(ISNUMBER(M74),NA(),IF(ISNUMBER(Assessment!L19),Assessment!L19-Assessment!K19,NA()))</f>
        <v>#N/A</v>
      </c>
      <c r="N72" s="64" t="e">
        <f>IF(ISNUMBER(N74),NA(),IF(ISNUMBER(Assessment!M19),Assessment!M19-Assessment!L19,NA()))</f>
        <v>#N/A</v>
      </c>
      <c r="O72" s="64" t="e">
        <f>IF(ISNUMBER(O74),NA(),IF(ISNUMBER(Assessment!N19),Assessment!N19-Assessment!M19,NA()))</f>
        <v>#N/A</v>
      </c>
      <c r="P72" s="64" t="e">
        <f>IF(ISNUMBER(P74),NA(),IF(ISNUMBER(Assessment!O19),Assessment!O19-Assessment!N19,NA()))</f>
        <v>#N/A</v>
      </c>
      <c r="Q72" s="64" t="e">
        <f>IF(ISNUMBER(Q74),NA(),IF(ISNUMBER(Assessment!P19),Assessment!P19-Assessment!O19,NA()))</f>
        <v>#N/A</v>
      </c>
      <c r="R72" s="64" t="e">
        <f>IF(ISNUMBER(R74),NA(),IF(ISNUMBER(Assessment!Q19),Assessment!Q19-Assessment!P19,NA()))</f>
        <v>#N/A</v>
      </c>
      <c r="S72" s="64" t="e">
        <f>IF(ISNUMBER(S74),NA(),IF(ISNUMBER(Assessment!R19),Assessment!R19-Assessment!Q19,NA()))</f>
        <v>#N/A</v>
      </c>
      <c r="T72" s="64" t="e">
        <f>IF(ISNUMBER(T74),NA(),IF(ISNUMBER(Assessment!S19),Assessment!S19-Assessment!R19,NA()))</f>
        <v>#N/A</v>
      </c>
      <c r="U72" s="64" t="e">
        <f>IF(ISNUMBER(U74),NA(),IF(ISNUMBER(Assessment!T19),Assessment!T19-Assessment!S19,NA()))</f>
        <v>#N/A</v>
      </c>
      <c r="V72" s="64" t="e">
        <f>IF(ISNUMBER(V74),NA(),IF(ISNUMBER(Assessment!U19),Assessment!U19-Assessment!T19,NA()))</f>
        <v>#N/A</v>
      </c>
      <c r="W72" s="64" t="e">
        <f>IF(ISNUMBER(W74),NA(),IF(ISNUMBER(Assessment!V19),Assessment!V19-Assessment!U19,NA()))</f>
        <v>#N/A</v>
      </c>
    </row>
    <row r="73" spans="2:23" x14ac:dyDescent="0.4">
      <c r="C73" s="2" t="s">
        <v>297</v>
      </c>
      <c r="F73" s="4"/>
      <c r="G73" s="4"/>
      <c r="H73" s="4"/>
      <c r="I73" s="4"/>
      <c r="J73" s="4"/>
      <c r="K73" s="4"/>
      <c r="L73" s="4"/>
      <c r="M73" s="4"/>
      <c r="N73" s="4"/>
      <c r="O73" s="4"/>
      <c r="P73" s="4"/>
      <c r="Q73" s="4"/>
      <c r="R73" s="4"/>
      <c r="S73" s="4"/>
      <c r="T73" s="4"/>
      <c r="U73" s="64"/>
      <c r="V73" s="64"/>
      <c r="W73" s="64"/>
    </row>
    <row r="74" spans="2:23" ht="13.5" customHeight="1" x14ac:dyDescent="0.4">
      <c r="C74" s="2" t="s">
        <v>520</v>
      </c>
      <c r="E74" s="106"/>
      <c r="F74" s="106"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1.1469499999999999</v>
      </c>
      <c r="G74" s="106"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-1.1949799999999999</v>
      </c>
      <c r="H74" s="106"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06"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06"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06"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06"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06"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06"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06"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06"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06"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06"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06"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06"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06"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06"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06"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10" t="s">
        <v>564</v>
      </c>
      <c r="D75" s="4">
        <f>IF(_xlfn.AGGREGATE(5,6,F70:W74)&lt;0, _xlfn.AGGREGATE(5,6,F70:W74), 0)</f>
        <v>-1.1949799999999999</v>
      </c>
      <c r="F75" s="64"/>
      <c r="G75" s="64"/>
      <c r="H75" s="64"/>
      <c r="I75" s="64"/>
      <c r="J75" s="64"/>
      <c r="K75" s="64"/>
      <c r="L75" s="64"/>
      <c r="M75" s="64"/>
      <c r="N75" s="64"/>
      <c r="O75" s="64"/>
      <c r="P75" s="64"/>
      <c r="Q75" s="64"/>
      <c r="R75" s="64"/>
      <c r="S75" s="64"/>
      <c r="T75" s="64"/>
      <c r="U75" s="64"/>
      <c r="V75" s="64"/>
      <c r="W75" s="64"/>
    </row>
    <row r="76" spans="2:23" x14ac:dyDescent="0.4">
      <c r="C76" s="110" t="s">
        <v>565</v>
      </c>
      <c r="D76" s="4">
        <f>_xlfn.AGGREGATE(4,6,F70:W74)</f>
        <v>1.1469499999999999</v>
      </c>
    </row>
    <row r="77" spans="2:23" ht="13.5" customHeight="1" x14ac:dyDescent="0.4">
      <c r="C77" s="2"/>
      <c r="F77" s="4"/>
      <c r="G77" s="4"/>
      <c r="H77" s="4"/>
      <c r="I77" s="4"/>
      <c r="J77" s="4"/>
      <c r="K77" s="4"/>
      <c r="L77" s="4"/>
      <c r="M77" s="4"/>
      <c r="N77" s="4"/>
      <c r="O77" s="4"/>
      <c r="P77" s="4"/>
      <c r="Q77" s="4"/>
      <c r="R77" s="4"/>
      <c r="S77" s="4"/>
      <c r="T77" s="4"/>
    </row>
    <row r="78" spans="2:23" ht="16.5" x14ac:dyDescent="0.6">
      <c r="B78" s="136" t="s">
        <v>573</v>
      </c>
      <c r="C78" s="11"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244</v>
      </c>
      <c r="F79" s="64">
        <f>Assessment!E50</f>
        <v>-2.6</v>
      </c>
      <c r="G79" s="64">
        <f>Assessment!F50</f>
        <v>-2.9</v>
      </c>
      <c r="H79" s="64">
        <f>Assessment!G50</f>
        <v>-2.9</v>
      </c>
      <c r="I79" s="64">
        <f>Assessment!H50</f>
        <v>-2.9</v>
      </c>
      <c r="J79" s="64">
        <f>Assessment!I50</f>
        <v>-2.9</v>
      </c>
      <c r="K79" s="64">
        <f>Assessment!J50</f>
        <v>-2.9</v>
      </c>
      <c r="L79" s="64">
        <f>Assessment!K50</f>
        <v>-2.9</v>
      </c>
      <c r="M79" s="64">
        <f>Assessment!L50</f>
        <v>-2.9</v>
      </c>
      <c r="N79" s="64">
        <f>Assessment!M50</f>
        <v>-3</v>
      </c>
      <c r="O79" s="64">
        <f>Assessment!N50</f>
        <v>-3</v>
      </c>
      <c r="P79" s="64">
        <f>Assessment!O50</f>
        <v>-3</v>
      </c>
      <c r="Q79" s="64">
        <f>Assessment!P50</f>
        <v>-3</v>
      </c>
      <c r="R79" s="64">
        <f>Assessment!Q50</f>
        <v>-3</v>
      </c>
      <c r="S79" s="64">
        <f>Assessment!R50</f>
        <v>-3</v>
      </c>
      <c r="T79" s="64">
        <f>Assessment!S50</f>
        <v>-2.9</v>
      </c>
      <c r="U79" s="64" t="str">
        <f>Assessment!T50</f>
        <v/>
      </c>
      <c r="V79" s="64" t="str">
        <f>Assessment!U50</f>
        <v/>
      </c>
      <c r="W79" s="64" t="str">
        <f>Assessment!V50</f>
        <v/>
      </c>
    </row>
    <row r="80" spans="2:23" x14ac:dyDescent="0.4">
      <c r="C80" s="2" t="s">
        <v>243</v>
      </c>
      <c r="F80" s="64" t="e">
        <f>IF(OR(ISNUMBER(F81),ISNUMBER(F82)),NA(),IF(ISNUMBER(Assessment!E17),Assessment!E17,NA()))</f>
        <v>#N/A</v>
      </c>
      <c r="G80" s="64" t="e">
        <f>IF(OR(ISNUMBER(G81),ISNUMBER(G82)),NA(),IF(ISNUMBER(Assessment!F17),Assessment!F17,NA()))</f>
        <v>#N/A</v>
      </c>
      <c r="H80" s="64">
        <f>IF(OR(ISNUMBER(H81),ISNUMBER(H82)),NA(),IF(ISNUMBER(Assessment!G17),Assessment!G17,NA()))</f>
        <v>-3</v>
      </c>
      <c r="I80" s="64" t="e">
        <f>IF(OR(ISNUMBER(I81),ISNUMBER(I82)),NA(),IF(ISNUMBER(Assessment!H17),Assessment!H17,NA()))</f>
        <v>#N/A</v>
      </c>
      <c r="J80" s="64" t="e">
        <f>IF(OR(ISNUMBER(J81),ISNUMBER(J82)),NA(),IF(ISNUMBER(Assessment!I17),Assessment!I17,NA()))</f>
        <v>#N/A</v>
      </c>
      <c r="K80" s="64" t="e">
        <f>IF(OR(ISNUMBER(K81),ISNUMBER(K82)),NA(),IF(ISNUMBER(Assessment!J17),Assessment!J17,NA()))</f>
        <v>#N/A</v>
      </c>
      <c r="L80" s="64" t="e">
        <f>IF(OR(ISNUMBER(L81),ISNUMBER(L82)),NA(),IF(ISNUMBER(Assessment!K17),Assessment!K17,NA()))</f>
        <v>#N/A</v>
      </c>
      <c r="M80" s="64" t="e">
        <f>IF(OR(ISNUMBER(M81),ISNUMBER(M82)),NA(),IF(ISNUMBER(Assessment!L17),Assessment!L17,NA()))</f>
        <v>#N/A</v>
      </c>
      <c r="N80" s="64" t="e">
        <f>IF(OR(ISNUMBER(N81),ISNUMBER(N82)),NA(),IF(ISNUMBER(Assessment!M17),Assessment!M17,NA()))</f>
        <v>#N/A</v>
      </c>
      <c r="O80" s="64" t="e">
        <f>IF(OR(ISNUMBER(O81),ISNUMBER(O82)),NA(),IF(ISNUMBER(Assessment!N17),Assessment!N17,NA()))</f>
        <v>#N/A</v>
      </c>
      <c r="P80" s="64" t="e">
        <f>IF(OR(ISNUMBER(P81),ISNUMBER(P82)),NA(),IF(ISNUMBER(Assessment!O17),Assessment!O17,NA()))</f>
        <v>#N/A</v>
      </c>
      <c r="Q80" s="64" t="e">
        <f>IF(OR(ISNUMBER(Q81),ISNUMBER(Q82)),NA(),IF(ISNUMBER(Assessment!P17),Assessment!P17,NA()))</f>
        <v>#N/A</v>
      </c>
      <c r="R80" s="64" t="e">
        <f>IF(OR(ISNUMBER(R81),ISNUMBER(R82)),NA(),IF(ISNUMBER(Assessment!Q17),Assessment!Q17,NA()))</f>
        <v>#N/A</v>
      </c>
      <c r="S80" s="64" t="e">
        <f>IF(OR(ISNUMBER(S81),ISNUMBER(S82)),NA(),IF(ISNUMBER(Assessment!R17),Assessment!R17,NA()))</f>
        <v>#N/A</v>
      </c>
      <c r="T80" s="64" t="e">
        <f>IF(OR(ISNUMBER(T81),ISNUMBER(T82)),NA(),IF(ISNUMBER(Assessment!S17),Assessment!S17,NA()))</f>
        <v>#N/A</v>
      </c>
      <c r="U80" s="64" t="e">
        <f>IF(OR(ISNUMBER(U81),ISNUMBER(U82)),NA(),IF(ISNUMBER(Assessment!T17),Assessment!T17,NA()))</f>
        <v>#N/A</v>
      </c>
      <c r="V80" s="64" t="e">
        <f>IF(OR(ISNUMBER(V81),ISNUMBER(V82)),NA(),IF(ISNUMBER(Assessment!U17),Assessment!U17,NA()))</f>
        <v>#N/A</v>
      </c>
      <c r="W80" s="64" t="e">
        <f>IF(OR(ISNUMBER(W81),ISNUMBER(W82)),NA(),IF(ISNUMBER(Assessment!V17),Assessment!V17,NA()))</f>
        <v>#N/A</v>
      </c>
    </row>
    <row r="81" spans="2:23" x14ac:dyDescent="0.4">
      <c r="C81" s="2" t="s">
        <v>298</v>
      </c>
      <c r="F81" s="106"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-1.7868607680254289</v>
      </c>
      <c r="G81" s="106"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-2.5407774797681517</v>
      </c>
      <c r="H81" s="106"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06"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06"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06"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06"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06"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06"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06"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06"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06"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06"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06"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06"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06"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06"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06"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299</v>
      </c>
      <c r="F82" s="106"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23"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23"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23"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23"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23"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23"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23"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23"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23"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23"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23"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23"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23"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23"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23"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23"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23"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246</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300</v>
      </c>
      <c r="F84" s="64">
        <f t="shared" ref="F84:T84" si="6">IF(F79&lt;&gt;"",-F79,NA())</f>
        <v>2.6</v>
      </c>
      <c r="G84" s="64">
        <f t="shared" si="6"/>
        <v>2.9</v>
      </c>
      <c r="H84" s="64">
        <f t="shared" si="6"/>
        <v>2.9</v>
      </c>
      <c r="I84" s="64">
        <f t="shared" si="6"/>
        <v>2.9</v>
      </c>
      <c r="J84" s="64">
        <f t="shared" si="6"/>
        <v>2.9</v>
      </c>
      <c r="K84" s="64">
        <f t="shared" si="6"/>
        <v>2.9</v>
      </c>
      <c r="L84" s="64">
        <f t="shared" si="6"/>
        <v>2.9</v>
      </c>
      <c r="M84" s="64">
        <f t="shared" si="6"/>
        <v>2.9</v>
      </c>
      <c r="N84" s="64">
        <f t="shared" si="6"/>
        <v>3</v>
      </c>
      <c r="O84" s="64">
        <f t="shared" si="6"/>
        <v>3</v>
      </c>
      <c r="P84" s="64">
        <f t="shared" si="6"/>
        <v>3</v>
      </c>
      <c r="Q84" s="64">
        <f t="shared" si="6"/>
        <v>3</v>
      </c>
      <c r="R84" s="64">
        <f t="shared" si="6"/>
        <v>3</v>
      </c>
      <c r="S84" s="64">
        <f t="shared" si="6"/>
        <v>3</v>
      </c>
      <c r="T84" s="64">
        <f t="shared" si="6"/>
        <v>2.9</v>
      </c>
      <c r="U84" s="64" t="e">
        <f t="shared" ref="U84:W84" si="7">IF(U79&lt;&gt;"",-U79,NA())</f>
        <v>#N/A</v>
      </c>
      <c r="V84" s="64" t="e">
        <f t="shared" si="7"/>
        <v>#N/A</v>
      </c>
      <c r="W84" s="64" t="e">
        <f t="shared" si="7"/>
        <v>#N/A</v>
      </c>
    </row>
    <row r="85" spans="2:23" x14ac:dyDescent="0.4">
      <c r="C85" s="2" t="s">
        <v>301</v>
      </c>
      <c r="F85" s="64">
        <f t="shared" ref="F85:T85" si="8">IF(F81&lt;&gt;"",-F81,NA())</f>
        <v>1.7868607680254289</v>
      </c>
      <c r="G85" s="64">
        <f t="shared" si="8"/>
        <v>2.5407774797681517</v>
      </c>
      <c r="H85" s="64" t="e">
        <f t="shared" si="8"/>
        <v>#N/A</v>
      </c>
      <c r="I85" s="64" t="e">
        <f t="shared" si="8"/>
        <v>#N/A</v>
      </c>
      <c r="J85" s="64" t="e">
        <f t="shared" si="8"/>
        <v>#N/A</v>
      </c>
      <c r="K85" s="64" t="e">
        <f t="shared" si="8"/>
        <v>#N/A</v>
      </c>
      <c r="L85" s="64" t="e">
        <f t="shared" si="8"/>
        <v>#N/A</v>
      </c>
      <c r="M85" s="64" t="e">
        <f t="shared" si="8"/>
        <v>#N/A</v>
      </c>
      <c r="N85" s="64" t="e">
        <f t="shared" si="8"/>
        <v>#N/A</v>
      </c>
      <c r="O85" s="64" t="e">
        <f t="shared" si="8"/>
        <v>#N/A</v>
      </c>
      <c r="P85" s="64" t="e">
        <f t="shared" si="8"/>
        <v>#N/A</v>
      </c>
      <c r="Q85" s="64" t="e">
        <f t="shared" si="8"/>
        <v>#N/A</v>
      </c>
      <c r="R85" s="64" t="e">
        <f t="shared" si="8"/>
        <v>#N/A</v>
      </c>
      <c r="S85" s="64" t="e">
        <f t="shared" si="8"/>
        <v>#N/A</v>
      </c>
      <c r="T85" s="64" t="e">
        <f t="shared" si="8"/>
        <v>#N/A</v>
      </c>
      <c r="U85" s="64" t="e">
        <f t="shared" ref="U85:W85" si="9">IF(U81&lt;&gt;"",-U81,NA())</f>
        <v>#N/A</v>
      </c>
      <c r="V85" s="64" t="e">
        <f t="shared" si="9"/>
        <v>#N/A</v>
      </c>
      <c r="W85" s="64" t="e">
        <f t="shared" si="9"/>
        <v>#N/A</v>
      </c>
    </row>
    <row r="86" spans="2:23" x14ac:dyDescent="0.4">
      <c r="C86" s="2" t="s">
        <v>302</v>
      </c>
      <c r="F86" s="64" t="e">
        <f t="shared" ref="F86:T86" si="10">IF(F82&lt;&gt;"",-F82,NA())</f>
        <v>#N/A</v>
      </c>
      <c r="G86" s="64" t="e">
        <f t="shared" si="10"/>
        <v>#N/A</v>
      </c>
      <c r="H86" s="64" t="e">
        <f t="shared" si="10"/>
        <v>#N/A</v>
      </c>
      <c r="I86" s="64" t="e">
        <f t="shared" si="10"/>
        <v>#N/A</v>
      </c>
      <c r="J86" s="64" t="e">
        <f t="shared" si="10"/>
        <v>#N/A</v>
      </c>
      <c r="K86" s="64" t="e">
        <f t="shared" si="10"/>
        <v>#N/A</v>
      </c>
      <c r="L86" s="64" t="e">
        <f t="shared" si="10"/>
        <v>#N/A</v>
      </c>
      <c r="M86" s="64" t="e">
        <f t="shared" si="10"/>
        <v>#N/A</v>
      </c>
      <c r="N86" s="64" t="e">
        <f t="shared" si="10"/>
        <v>#N/A</v>
      </c>
      <c r="O86" s="64" t="e">
        <f t="shared" si="10"/>
        <v>#N/A</v>
      </c>
      <c r="P86" s="64" t="e">
        <f t="shared" si="10"/>
        <v>#N/A</v>
      </c>
      <c r="Q86" s="64" t="e">
        <f t="shared" si="10"/>
        <v>#N/A</v>
      </c>
      <c r="R86" s="64" t="e">
        <f t="shared" si="10"/>
        <v>#N/A</v>
      </c>
      <c r="S86" s="64" t="e">
        <f t="shared" si="10"/>
        <v>#N/A</v>
      </c>
      <c r="T86" s="64" t="e">
        <f t="shared" si="10"/>
        <v>#N/A</v>
      </c>
      <c r="U86" s="64" t="e">
        <f t="shared" ref="U86:W86" si="11">IF(U82&lt;&gt;"",-U82,NA())</f>
        <v>#N/A</v>
      </c>
      <c r="V86" s="64" t="e">
        <f t="shared" si="11"/>
        <v>#N/A</v>
      </c>
      <c r="W86" s="64" t="e">
        <f t="shared" si="11"/>
        <v>#N/A</v>
      </c>
    </row>
    <row r="87" spans="2:23" x14ac:dyDescent="0.4">
      <c r="C87" s="2"/>
    </row>
    <row r="88" spans="2:23" ht="16.5" x14ac:dyDescent="0.6">
      <c r="B88" s="110" t="s">
        <v>574</v>
      </c>
      <c r="C88" s="11"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245</v>
      </c>
      <c r="E89" s="64">
        <f>Assessment!D72</f>
        <v>43.57443441662371</v>
      </c>
      <c r="F89" s="64">
        <f>Assessment!E72</f>
        <v>44.530802034460706</v>
      </c>
      <c r="G89" s="64">
        <f>Assessment!F72</f>
        <v>46.07468666579198</v>
      </c>
      <c r="H89" s="64">
        <f>Assessment!G72</f>
        <v>46.609273528729865</v>
      </c>
      <c r="I89" s="64">
        <f>Assessment!H72</f>
        <v>46.913196864360586</v>
      </c>
      <c r="J89" s="64">
        <f>Assessment!I72</f>
        <v>46.995070407048942</v>
      </c>
      <c r="K89" s="64">
        <f>Assessment!J72</f>
        <v>46.930563469050668</v>
      </c>
      <c r="L89" s="64">
        <f>Assessment!K72</f>
        <v>46.732746137356571</v>
      </c>
      <c r="M89" s="64">
        <f>Assessment!L72</f>
        <v>46.665196728822288</v>
      </c>
      <c r="N89" s="64">
        <f>Assessment!M72</f>
        <v>46.57158616038403</v>
      </c>
      <c r="O89" s="64">
        <f>Assessment!N72</f>
        <v>46.448703649292682</v>
      </c>
      <c r="P89" s="64">
        <f>Assessment!O72</f>
        <v>46.286232845917183</v>
      </c>
      <c r="Q89" s="64">
        <f>Assessment!P72</f>
        <v>46.071857686662426</v>
      </c>
      <c r="R89" s="64">
        <f>Assessment!Q72</f>
        <v>45.783976834477045</v>
      </c>
      <c r="S89" s="64">
        <f>Assessment!R72</f>
        <v>45.431572278341648</v>
      </c>
      <c r="T89" s="64">
        <f>Assessment!S72</f>
        <v>45.043240344023324</v>
      </c>
      <c r="U89" s="64" t="str">
        <f>Assessment!T72</f>
        <v/>
      </c>
      <c r="V89" s="64" t="str">
        <f>Assessment!U72</f>
        <v/>
      </c>
      <c r="W89" s="64" t="str">
        <f>Assessment!V72</f>
        <v/>
      </c>
    </row>
    <row r="90" spans="2:23" x14ac:dyDescent="0.4">
      <c r="C90" s="2" t="s">
        <v>243</v>
      </c>
      <c r="E90" s="64">
        <f>IF(OR(ISNUMBER(E91),ISNUMBER(E92)),NA(),IF(ISNUMBER(Assessment!D20),Assessment!D20,NA()))</f>
        <v>44.430318318075436</v>
      </c>
      <c r="F90" s="64" t="e">
        <f>IF(OR(ISNUMBER(F91),ISNUMBER(F92)),NA(),IF(ISNUMBER(Assessment!E20),Assessment!E20,NA()))</f>
        <v>#N/A</v>
      </c>
      <c r="G90" s="64" t="e">
        <f>IF(OR(ISNUMBER(G91),ISNUMBER(G92)),NA(),IF(ISNUMBER(Assessment!F20),Assessment!F20,NA()))</f>
        <v>#N/A</v>
      </c>
      <c r="H90" s="64">
        <f>IF(OR(ISNUMBER(H91),ISNUMBER(H92)),NA(),IF(ISNUMBER(Assessment!G20),Assessment!G20,NA()))</f>
        <v>47.9</v>
      </c>
      <c r="I90" s="64" t="e">
        <f>IF(OR(ISNUMBER(I91),ISNUMBER(I92)),NA(),IF(ISNUMBER(Assessment!H20),Assessment!H20,NA()))</f>
        <v>#N/A</v>
      </c>
      <c r="J90" s="64" t="e">
        <f>IF(OR(ISNUMBER(J91),ISNUMBER(J92)),NA(),IF(ISNUMBER(Assessment!I20),Assessment!I20,NA()))</f>
        <v>#N/A</v>
      </c>
      <c r="K90" s="64" t="e">
        <f>IF(OR(ISNUMBER(K91),ISNUMBER(K92)),NA(),IF(ISNUMBER(Assessment!J20),Assessment!J20,NA()))</f>
        <v>#N/A</v>
      </c>
      <c r="L90" s="64" t="e">
        <f>IF(OR(ISNUMBER(L91),ISNUMBER(L92)),NA(),IF(ISNUMBER(Assessment!K20),Assessment!K20,NA()))</f>
        <v>#N/A</v>
      </c>
      <c r="M90" s="64" t="e">
        <f>IF(OR(ISNUMBER(M91),ISNUMBER(M92)),NA(),IF(ISNUMBER(Assessment!L20),Assessment!L20,NA()))</f>
        <v>#N/A</v>
      </c>
      <c r="N90" s="64" t="e">
        <f>IF(OR(ISNUMBER(N91),ISNUMBER(N92)),NA(),IF(ISNUMBER(Assessment!M20),Assessment!M20,NA()))</f>
        <v>#N/A</v>
      </c>
      <c r="O90" s="64" t="e">
        <f>IF(OR(ISNUMBER(O91),ISNUMBER(O92)),NA(),IF(ISNUMBER(Assessment!N20),Assessment!N20,NA()))</f>
        <v>#N/A</v>
      </c>
      <c r="P90" s="64" t="e">
        <f>IF(OR(ISNUMBER(P91),ISNUMBER(P92)),NA(),IF(ISNUMBER(Assessment!O20),Assessment!O20,NA()))</f>
        <v>#N/A</v>
      </c>
      <c r="Q90" s="64" t="e">
        <f>IF(OR(ISNUMBER(Q91),ISNUMBER(Q92)),NA(),IF(ISNUMBER(Assessment!P20),Assessment!P20,NA()))</f>
        <v>#N/A</v>
      </c>
      <c r="R90" s="64" t="e">
        <f>IF(OR(ISNUMBER(R91),ISNUMBER(R92)),NA(),IF(ISNUMBER(Assessment!Q20),Assessment!Q20,NA()))</f>
        <v>#N/A</v>
      </c>
      <c r="S90" s="64" t="e">
        <f>IF(OR(ISNUMBER(S91),ISNUMBER(S92)),NA(),IF(ISNUMBER(Assessment!R20),Assessment!R20,NA()))</f>
        <v>#N/A</v>
      </c>
      <c r="T90" s="64" t="e">
        <f>IF(OR(ISNUMBER(T91),ISNUMBER(T92)),NA(),IF(ISNUMBER(Assessment!S20),Assessment!S20,NA()))</f>
        <v>#N/A</v>
      </c>
      <c r="U90" s="64" t="e">
        <f>IF(OR(ISNUMBER(U91),ISNUMBER(U92)),NA(),IF(ISNUMBER(Assessment!T20),Assessment!T20,NA()))</f>
        <v>#N/A</v>
      </c>
      <c r="V90" s="64" t="e">
        <f>IF(OR(ISNUMBER(V91),ISNUMBER(V92)),NA(),IF(ISNUMBER(Assessment!U20),Assessment!U20,NA()))</f>
        <v>#N/A</v>
      </c>
      <c r="W90" s="64" t="e">
        <f>IF(OR(ISNUMBER(W91),ISNUMBER(W92)),NA(),IF(ISNUMBER(Assessment!V20),Assessment!V20,NA()))</f>
        <v>#N/A</v>
      </c>
    </row>
    <row r="91" spans="2:23" x14ac:dyDescent="0.4">
      <c r="C91" s="2" t="s">
        <v>298</v>
      </c>
      <c r="E91" s="3"/>
      <c r="F91" s="106"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46.249535696627248</v>
      </c>
      <c r="G91" s="106"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46.887477862325753</v>
      </c>
      <c r="H91" s="106"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06"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06"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06"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06"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06"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06"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06"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06"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06"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06"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06"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06"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06"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06"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06"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299</v>
      </c>
      <c r="E92" s="3"/>
      <c r="F92" s="106"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06"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06"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06"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06"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06"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06"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06"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06"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06"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06"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06"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06"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06"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06"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06"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06"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06"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247</v>
      </c>
      <c r="E93" s="3"/>
      <c r="F93" s="88">
        <f>Validation!$T$3</f>
        <v>60.05</v>
      </c>
      <c r="G93" s="88">
        <f>Validation!$T$3</f>
        <v>60.05</v>
      </c>
      <c r="H93" s="88">
        <f>Validation!$T$3</f>
        <v>60.05</v>
      </c>
      <c r="I93" s="88">
        <f>Validation!$T$3</f>
        <v>60.05</v>
      </c>
      <c r="J93" s="88">
        <f>Validation!$T$3</f>
        <v>60.05</v>
      </c>
      <c r="K93" s="88">
        <f>Validation!$T$3</f>
        <v>60.05</v>
      </c>
      <c r="L93" s="88">
        <f>Validation!$T$3</f>
        <v>60.05</v>
      </c>
      <c r="M93" s="88">
        <f>Validation!$T$3</f>
        <v>60.05</v>
      </c>
      <c r="N93" s="88">
        <f>Validation!$T$3</f>
        <v>60.05</v>
      </c>
      <c r="O93" s="88">
        <f>Validation!$T$3</f>
        <v>60.05</v>
      </c>
      <c r="P93" s="88">
        <f>Validation!$T$3</f>
        <v>60.05</v>
      </c>
      <c r="Q93" s="88">
        <f>Validation!$T$3</f>
        <v>60.05</v>
      </c>
      <c r="R93" s="88">
        <f>Validation!$T$3</f>
        <v>60.05</v>
      </c>
      <c r="S93" s="88">
        <f>Validation!$T$3</f>
        <v>60.05</v>
      </c>
      <c r="T93" s="88">
        <f>Validation!$T$3</f>
        <v>60.05</v>
      </c>
      <c r="U93" s="88">
        <f>Validation!$T$3</f>
        <v>60.05</v>
      </c>
      <c r="V93" s="88">
        <f>Validation!$T$3</f>
        <v>60.05</v>
      </c>
      <c r="W93" s="88">
        <f>Validation!$T$3</f>
        <v>60.05</v>
      </c>
    </row>
    <row r="94" spans="2:23" x14ac:dyDescent="0.4">
      <c r="C94" s="2"/>
    </row>
    <row r="95" spans="2:23" ht="16.5" x14ac:dyDescent="0.6">
      <c r="B95" s="110" t="s">
        <v>575</v>
      </c>
      <c r="C95" s="11" t="s">
        <v>292</v>
      </c>
    </row>
    <row r="96" spans="2:23" x14ac:dyDescent="0.4">
      <c r="C96" s="2" t="s">
        <v>387</v>
      </c>
      <c r="E96" s="6">
        <f>IF(ISNUMBER(Assessment!D52),Assessment!D52,NA())</f>
        <v>43.6</v>
      </c>
      <c r="F96" s="6">
        <f>IF(ISNUMBER(Assessment!E52),Assessment!E52,NA())</f>
        <v>45.8</v>
      </c>
      <c r="G96" s="6">
        <f>IF(ISNUMBER(Assessment!F52),Assessment!F52,NA())</f>
        <v>47.5</v>
      </c>
      <c r="H96" s="6">
        <f>IF(ISNUMBER(Assessment!G52),Assessment!G52,NA())</f>
        <v>48.5</v>
      </c>
      <c r="I96" s="6">
        <f>IF(ISNUMBER(Assessment!H52),Assessment!H52,NA())</f>
        <v>49.7</v>
      </c>
      <c r="J96" s="6">
        <f>IF(ISNUMBER(Assessment!I52),Assessment!I52,NA())</f>
        <v>50.8</v>
      </c>
      <c r="K96" s="6">
        <f>IF(ISNUMBER(Assessment!J52),Assessment!J52,NA())</f>
        <v>51.9</v>
      </c>
      <c r="L96" s="6">
        <f>IF(ISNUMBER(Assessment!K52),Assessment!K52,NA())</f>
        <v>53</v>
      </c>
      <c r="M96" s="6">
        <f>IF(ISNUMBER(Assessment!L52),Assessment!L52,NA())</f>
        <v>53.9</v>
      </c>
      <c r="N96" s="6">
        <f>IF(ISNUMBER(Assessment!M52),Assessment!M52,NA())</f>
        <v>54.9</v>
      </c>
      <c r="O96" s="6">
        <f>IF(ISNUMBER(Assessment!N52),Assessment!N52,NA())</f>
        <v>55.9</v>
      </c>
      <c r="P96" s="6">
        <f>IF(ISNUMBER(Assessment!O52),Assessment!O52,NA())</f>
        <v>56.8</v>
      </c>
      <c r="Q96" s="6">
        <f>IF(ISNUMBER(Assessment!P52),Assessment!P52,NA())</f>
        <v>57.7</v>
      </c>
      <c r="R96" s="6">
        <f>IF(ISNUMBER(Assessment!Q52),Assessment!Q52,NA())</f>
        <v>58.5</v>
      </c>
      <c r="S96" s="6">
        <f>IF(ISNUMBER(Assessment!R52),Assessment!R52,NA())</f>
        <v>59.2</v>
      </c>
      <c r="T96" s="6">
        <f>IF(ISNUMBER(Assessment!S52),Assessment!S52,NA())</f>
        <v>59.9</v>
      </c>
      <c r="U96" s="88" t="e">
        <f>IF(ISNUMBER(Assessment!T52),Assessment!T52,NA())</f>
        <v>#N/A</v>
      </c>
      <c r="V96" s="88" t="e">
        <f>IF(ISNUMBER(Assessment!U52),Assessment!U52,NA())</f>
        <v>#N/A</v>
      </c>
      <c r="W96" s="88" t="e">
        <f>IF(ISNUMBER(Assessment!V52),Assessment!V52,NA())</f>
        <v>#N/A</v>
      </c>
    </row>
    <row r="97" spans="3:23" x14ac:dyDescent="0.4">
      <c r="C97" s="2" t="s">
        <v>207</v>
      </c>
      <c r="E97" s="88" t="e">
        <f>IF(ISNUMBER(Assessment!D55),Assessment!D55,NA())</f>
        <v>#N/A</v>
      </c>
      <c r="F97" s="88" t="e">
        <f>IF(ISNUMBER(Assessment!E55),Assessment!E55,NA())</f>
        <v>#N/A</v>
      </c>
      <c r="G97" s="88" t="e">
        <f>IF(ISNUMBER(Assessment!F55),Assessment!F55,NA())</f>
        <v>#N/A</v>
      </c>
      <c r="H97" s="88" t="e">
        <f>IF(ISNUMBER(Assessment!G55),Assessment!G55,NA())</f>
        <v>#N/A</v>
      </c>
      <c r="I97" s="88" t="e">
        <f>IF(ISNUMBER(Assessment!H55),Assessment!H55,NA())</f>
        <v>#N/A</v>
      </c>
      <c r="J97" s="88" t="e">
        <f>IF(ISNUMBER(Assessment!I55),Assessment!I55,NA())</f>
        <v>#N/A</v>
      </c>
      <c r="K97" s="88" t="e">
        <f>IF(ISNUMBER(Assessment!J55),Assessment!J55,NA())</f>
        <v>#N/A</v>
      </c>
      <c r="L97" s="88" t="e">
        <f>IF(ISNUMBER(Assessment!K55),Assessment!K55,NA())</f>
        <v>#N/A</v>
      </c>
      <c r="M97" s="88" t="e">
        <f>IF(ISNUMBER(Assessment!L55),Assessment!L55,NA())</f>
        <v>#N/A</v>
      </c>
      <c r="N97" s="88" t="e">
        <f>IF(ISNUMBER(Assessment!M55),Assessment!M55,NA())</f>
        <v>#N/A</v>
      </c>
      <c r="O97" s="88" t="e">
        <f>IF(ISNUMBER(Assessment!N55),Assessment!N55,NA())</f>
        <v>#N/A</v>
      </c>
      <c r="P97" s="88" t="e">
        <f>IF(ISNUMBER(Assessment!O55),Assessment!O55,NA())</f>
        <v>#N/A</v>
      </c>
      <c r="Q97" s="88" t="e">
        <f>IF(ISNUMBER(Assessment!P55),Assessment!P55,NA())</f>
        <v>#N/A</v>
      </c>
      <c r="R97" s="88" t="e">
        <f>IF(ISNUMBER(Assessment!Q55),Assessment!Q55,NA())</f>
        <v>#N/A</v>
      </c>
      <c r="S97" s="88" t="e">
        <f>IF(ISNUMBER(Assessment!R55),Assessment!R55,NA())</f>
        <v>#N/A</v>
      </c>
      <c r="T97" s="88" t="e">
        <f>IF(ISNUMBER(Assessment!S55),Assessment!S55,NA())</f>
        <v>#N/A</v>
      </c>
      <c r="U97" s="88" t="e">
        <f>IF(ISNUMBER(Assessment!T55),Assessment!T55,NA())</f>
        <v>#N/A</v>
      </c>
      <c r="V97" s="88" t="e">
        <f>IF(ISNUMBER(Assessment!U55),Assessment!U55,NA())</f>
        <v>#N/A</v>
      </c>
      <c r="W97" s="88" t="e">
        <f>IF(ISNUMBER(Assessment!V55),Assessment!V55,NA())</f>
        <v>#N/A</v>
      </c>
    </row>
    <row r="98" spans="3:23" x14ac:dyDescent="0.4">
      <c r="C98" s="2" t="s">
        <v>208</v>
      </c>
      <c r="E98" s="88" t="e">
        <f>IF(ISNUMBER(Assessment!D56),Assessment!D56,NA())</f>
        <v>#N/A</v>
      </c>
      <c r="F98" s="88" t="e">
        <f>IF(ISNUMBER(Assessment!E56),Assessment!E56,NA())</f>
        <v>#N/A</v>
      </c>
      <c r="G98" s="88" t="e">
        <f>IF(ISNUMBER(Assessment!F56),Assessment!F56,NA())</f>
        <v>#N/A</v>
      </c>
      <c r="H98" s="88" t="e">
        <f>IF(ISNUMBER(Assessment!G56),Assessment!G56,NA())</f>
        <v>#N/A</v>
      </c>
      <c r="I98" s="88" t="e">
        <f>IF(ISNUMBER(Assessment!H56),Assessment!H56,NA())</f>
        <v>#N/A</v>
      </c>
      <c r="J98" s="88" t="e">
        <f>IF(ISNUMBER(Assessment!I56),Assessment!I56,NA())</f>
        <v>#N/A</v>
      </c>
      <c r="K98" s="88" t="e">
        <f>IF(ISNUMBER(Assessment!J56),Assessment!J56,NA())</f>
        <v>#N/A</v>
      </c>
      <c r="L98" s="88" t="e">
        <f>IF(ISNUMBER(Assessment!K56),Assessment!K56,NA())</f>
        <v>#N/A</v>
      </c>
      <c r="M98" s="88" t="e">
        <f>IF(ISNUMBER(Assessment!L56),Assessment!L56,NA())</f>
        <v>#N/A</v>
      </c>
      <c r="N98" s="88" t="e">
        <f>IF(ISNUMBER(Assessment!M56),Assessment!M56,NA())</f>
        <v>#N/A</v>
      </c>
      <c r="O98" s="88" t="e">
        <f>IF(ISNUMBER(Assessment!N56),Assessment!N56,NA())</f>
        <v>#N/A</v>
      </c>
      <c r="P98" s="88" t="e">
        <f>IF(ISNUMBER(Assessment!O56),Assessment!O56,NA())</f>
        <v>#N/A</v>
      </c>
      <c r="Q98" s="88" t="e">
        <f>IF(ISNUMBER(Assessment!P56),Assessment!P56,NA())</f>
        <v>#N/A</v>
      </c>
      <c r="R98" s="88" t="e">
        <f>IF(ISNUMBER(Assessment!Q56),Assessment!Q56,NA())</f>
        <v>#N/A</v>
      </c>
      <c r="S98" s="88" t="e">
        <f>IF(ISNUMBER(Assessment!R56),Assessment!R56,NA())</f>
        <v>#N/A</v>
      </c>
      <c r="T98" s="88" t="e">
        <f>IF(ISNUMBER(Assessment!S56),Assessment!S56,NA())</f>
        <v>#N/A</v>
      </c>
      <c r="U98" s="88" t="e">
        <f>IF(ISNUMBER(Assessment!T56),Assessment!T56,NA())</f>
        <v>#N/A</v>
      </c>
      <c r="V98" s="88" t="e">
        <f>IF(ISNUMBER(Assessment!U56),Assessment!U56,NA())</f>
        <v>#N/A</v>
      </c>
      <c r="W98" s="88" t="e">
        <f>IF(ISNUMBER(Assessment!V56),Assessment!V56,NA())</f>
        <v>#N/A</v>
      </c>
    </row>
    <row r="99" spans="3:23" x14ac:dyDescent="0.4">
      <c r="C99" s="2" t="s">
        <v>209</v>
      </c>
      <c r="E99" s="88" t="e">
        <f>IF(ISNUMBER(Assessment!D57),Assessment!D57,NA())</f>
        <v>#N/A</v>
      </c>
      <c r="F99" s="88" t="e">
        <f>IF(ISNUMBER(Assessment!E57),Assessment!E57,NA())</f>
        <v>#N/A</v>
      </c>
      <c r="G99" s="88" t="e">
        <f>IF(ISNUMBER(Assessment!F57),Assessment!F57,NA())</f>
        <v>#N/A</v>
      </c>
      <c r="H99" s="88" t="e">
        <f>IF(ISNUMBER(Assessment!G57),Assessment!G57,NA())</f>
        <v>#N/A</v>
      </c>
      <c r="I99" s="88" t="e">
        <f>IF(ISNUMBER(Assessment!H57),Assessment!H57,NA())</f>
        <v>#N/A</v>
      </c>
      <c r="J99" s="88" t="e">
        <f>IF(ISNUMBER(Assessment!I57),Assessment!I57,NA())</f>
        <v>#N/A</v>
      </c>
      <c r="K99" s="88" t="e">
        <f>IF(ISNUMBER(Assessment!J57),Assessment!J57,NA())</f>
        <v>#N/A</v>
      </c>
      <c r="L99" s="88" t="e">
        <f>IF(ISNUMBER(Assessment!K57),Assessment!K57,NA())</f>
        <v>#N/A</v>
      </c>
      <c r="M99" s="88" t="e">
        <f>IF(ISNUMBER(Assessment!L57),Assessment!L57,NA())</f>
        <v>#N/A</v>
      </c>
      <c r="N99" s="88" t="e">
        <f>IF(ISNUMBER(Assessment!M57),Assessment!M57,NA())</f>
        <v>#N/A</v>
      </c>
      <c r="O99" s="88" t="e">
        <f>IF(ISNUMBER(Assessment!N57),Assessment!N57,NA())</f>
        <v>#N/A</v>
      </c>
      <c r="P99" s="88" t="e">
        <f>IF(ISNUMBER(Assessment!O57),Assessment!O57,NA())</f>
        <v>#N/A</v>
      </c>
      <c r="Q99" s="88" t="e">
        <f>IF(ISNUMBER(Assessment!P57),Assessment!P57,NA())</f>
        <v>#N/A</v>
      </c>
      <c r="R99" s="88" t="e">
        <f>IF(ISNUMBER(Assessment!Q57),Assessment!Q57,NA())</f>
        <v>#N/A</v>
      </c>
      <c r="S99" s="88" t="e">
        <f>IF(ISNUMBER(Assessment!R57),Assessment!R57,NA())</f>
        <v>#N/A</v>
      </c>
      <c r="T99" s="88" t="e">
        <f>IF(ISNUMBER(Assessment!S57),Assessment!S57,NA())</f>
        <v>#N/A</v>
      </c>
      <c r="U99" s="88" t="e">
        <f>IF(ISNUMBER(Assessment!T57),Assessment!T57,NA())</f>
        <v>#N/A</v>
      </c>
      <c r="V99" s="88" t="e">
        <f>IF(ISNUMBER(Assessment!U57),Assessment!U57,NA())</f>
        <v>#N/A</v>
      </c>
      <c r="W99" s="88" t="e">
        <f>IF(ISNUMBER(Assessment!V57),Assessment!V57,NA())</f>
        <v>#N/A</v>
      </c>
    </row>
    <row r="100" spans="3:23" x14ac:dyDescent="0.4">
      <c r="C100" s="2" t="s">
        <v>210</v>
      </c>
      <c r="E100" s="6"/>
      <c r="F100" s="6"/>
      <c r="G100" s="6"/>
      <c r="H100" s="6"/>
      <c r="I100" s="6"/>
      <c r="J100" s="6"/>
      <c r="K100" s="6"/>
      <c r="L100" s="6"/>
      <c r="M100" s="6"/>
      <c r="N100" s="6"/>
      <c r="O100" s="6"/>
      <c r="P100" s="6"/>
      <c r="Q100" s="6"/>
      <c r="R100" s="6"/>
      <c r="S100" s="6"/>
      <c r="T100" s="6"/>
      <c r="U100" s="6"/>
      <c r="V100" s="6"/>
      <c r="W100" s="6"/>
    </row>
    <row r="101" spans="3:23" x14ac:dyDescent="0.4">
      <c r="C101" s="82" t="s">
        <v>317</v>
      </c>
      <c r="E101" s="88" t="e">
        <f>IF(ISNUMBER(Assessment!D79),Assessment!D79,NA())</f>
        <v>#N/A</v>
      </c>
      <c r="F101" s="88" t="e">
        <f>IF(ISNUMBER(Assessment!E79),Assessment!E79,NA())</f>
        <v>#N/A</v>
      </c>
      <c r="G101" s="88" t="e">
        <f>IF(ISNUMBER(Assessment!F79),Assessment!F79,NA())</f>
        <v>#N/A</v>
      </c>
      <c r="H101" s="88" t="e">
        <f>IF(ISNUMBER(Assessment!G79),Assessment!G79,NA())</f>
        <v>#N/A</v>
      </c>
      <c r="I101" s="88" t="e">
        <f>IF(ISNUMBER(Assessment!H79),Assessment!H79,NA())</f>
        <v>#N/A</v>
      </c>
      <c r="J101" s="88" t="e">
        <f>IF(ISNUMBER(Assessment!I79),Assessment!I79,NA())</f>
        <v>#N/A</v>
      </c>
      <c r="K101" s="88" t="e">
        <f>IF(ISNUMBER(Assessment!J79),Assessment!J79,NA())</f>
        <v>#N/A</v>
      </c>
      <c r="L101" s="88" t="e">
        <f>IF(ISNUMBER(Assessment!K79),Assessment!K79,NA())</f>
        <v>#N/A</v>
      </c>
      <c r="M101" s="88" t="e">
        <f>IF(ISNUMBER(Assessment!L79),Assessment!L79,NA())</f>
        <v>#N/A</v>
      </c>
      <c r="N101" s="88" t="e">
        <f>IF(ISNUMBER(Assessment!M79),Assessment!M79,NA())</f>
        <v>#N/A</v>
      </c>
      <c r="O101" s="88" t="e">
        <f>IF(ISNUMBER(Assessment!N79),Assessment!N79,NA())</f>
        <v>#N/A</v>
      </c>
      <c r="P101" s="88" t="e">
        <f>IF(ISNUMBER(Assessment!O79),Assessment!O79,NA())</f>
        <v>#N/A</v>
      </c>
      <c r="Q101" s="88" t="e">
        <f>IF(ISNUMBER(Assessment!P79),Assessment!P79,NA())</f>
        <v>#N/A</v>
      </c>
      <c r="R101" s="88" t="e">
        <f>IF(ISNUMBER(Assessment!Q79),Assessment!Q79,NA())</f>
        <v>#N/A</v>
      </c>
      <c r="S101" s="88" t="e">
        <f>IF(ISNUMBER(Assessment!R79),Assessment!R79,NA())</f>
        <v>#N/A</v>
      </c>
      <c r="T101" s="88" t="e">
        <f>IF(ISNUMBER(Assessment!S79),Assessment!S79,NA())</f>
        <v>#N/A</v>
      </c>
      <c r="U101" s="88" t="e">
        <f>IF(ISNUMBER(Assessment!T79),Assessment!T79,NA())</f>
        <v>#N/A</v>
      </c>
      <c r="V101" s="88" t="e">
        <f>IF(ISNUMBER(Assessment!U79),Assessment!U79,NA())</f>
        <v>#N/A</v>
      </c>
      <c r="W101" s="88" t="e">
        <f>IF(ISNUMBER(Assessment!V79),Assessment!V79,NA())</f>
        <v>#N/A</v>
      </c>
    </row>
    <row r="102" spans="3:23" x14ac:dyDescent="0.4">
      <c r="C102" s="82" t="s">
        <v>318</v>
      </c>
      <c r="E102" s="88" t="e">
        <f>IF(ISNUMBER(Assessment!D80),Assessment!D80,NA())</f>
        <v>#N/A</v>
      </c>
      <c r="F102" s="88" t="e">
        <f>IF(ISNUMBER(Assessment!E80),Assessment!E80,NA())</f>
        <v>#N/A</v>
      </c>
      <c r="G102" s="88" t="e">
        <f>IF(ISNUMBER(Assessment!F80),Assessment!F80,NA())</f>
        <v>#N/A</v>
      </c>
      <c r="H102" s="88" t="e">
        <f>IF(ISNUMBER(Assessment!G80),Assessment!G80,NA())</f>
        <v>#N/A</v>
      </c>
      <c r="I102" s="88" t="e">
        <f>IF(ISNUMBER(Assessment!H80),Assessment!H80,NA())</f>
        <v>#N/A</v>
      </c>
      <c r="J102" s="88" t="e">
        <f>IF(ISNUMBER(Assessment!I80),Assessment!I80,NA())</f>
        <v>#N/A</v>
      </c>
      <c r="K102" s="88" t="e">
        <f>IF(ISNUMBER(Assessment!J80),Assessment!J80,NA())</f>
        <v>#N/A</v>
      </c>
      <c r="L102" s="88" t="e">
        <f>IF(ISNUMBER(Assessment!K80),Assessment!K80,NA())</f>
        <v>#N/A</v>
      </c>
      <c r="M102" s="88" t="e">
        <f>IF(ISNUMBER(Assessment!L80),Assessment!L80,NA())</f>
        <v>#N/A</v>
      </c>
      <c r="N102" s="88" t="e">
        <f>IF(ISNUMBER(Assessment!M80),Assessment!M80,NA())</f>
        <v>#N/A</v>
      </c>
      <c r="O102" s="88" t="e">
        <f>IF(ISNUMBER(Assessment!N80),Assessment!N80,NA())</f>
        <v>#N/A</v>
      </c>
      <c r="P102" s="88" t="e">
        <f>IF(ISNUMBER(Assessment!O80),Assessment!O80,NA())</f>
        <v>#N/A</v>
      </c>
      <c r="Q102" s="88" t="e">
        <f>IF(ISNUMBER(Assessment!P80),Assessment!P80,NA())</f>
        <v>#N/A</v>
      </c>
      <c r="R102" s="88" t="e">
        <f>IF(ISNUMBER(Assessment!Q80),Assessment!Q80,NA())</f>
        <v>#N/A</v>
      </c>
      <c r="S102" s="88" t="e">
        <f>IF(ISNUMBER(Assessment!R80),Assessment!R80,NA())</f>
        <v>#N/A</v>
      </c>
      <c r="T102" s="88" t="e">
        <f>IF(ISNUMBER(Assessment!S80),Assessment!S80,NA())</f>
        <v>#N/A</v>
      </c>
      <c r="U102" s="88" t="e">
        <f>IF(ISNUMBER(Assessment!T80),Assessment!T80,NA())</f>
        <v>#N/A</v>
      </c>
      <c r="V102" s="88" t="e">
        <f>IF(ISNUMBER(Assessment!U80),Assessment!U80,NA())</f>
        <v>#N/A</v>
      </c>
      <c r="W102" s="88" t="e">
        <f>IF(ISNUMBER(Assessment!V80),Assessment!V80,NA())</f>
        <v>#N/A</v>
      </c>
    </row>
    <row r="103" spans="3:23" x14ac:dyDescent="0.4">
      <c r="C103" s="82" t="s">
        <v>319</v>
      </c>
      <c r="E103" s="88" t="e">
        <f>IF(ISNUMBER(Assessment!D81),Assessment!D81,NA())</f>
        <v>#N/A</v>
      </c>
      <c r="F103" s="88" t="e">
        <f>IF(ISNUMBER(Assessment!E81),Assessment!E81,NA())</f>
        <v>#N/A</v>
      </c>
      <c r="G103" s="88" t="e">
        <f>IF(ISNUMBER(Assessment!F81),Assessment!F81,NA())</f>
        <v>#N/A</v>
      </c>
      <c r="H103" s="88" t="e">
        <f>IF(ISNUMBER(Assessment!G81),Assessment!G81,NA())</f>
        <v>#N/A</v>
      </c>
      <c r="I103" s="88" t="e">
        <f>IF(ISNUMBER(Assessment!H81),Assessment!H81,NA())</f>
        <v>#N/A</v>
      </c>
      <c r="J103" s="88" t="e">
        <f>IF(ISNUMBER(Assessment!I81),Assessment!I81,NA())</f>
        <v>#N/A</v>
      </c>
      <c r="K103" s="88" t="e">
        <f>IF(ISNUMBER(Assessment!J81),Assessment!J81,NA())</f>
        <v>#N/A</v>
      </c>
      <c r="L103" s="88" t="e">
        <f>IF(ISNUMBER(Assessment!K81),Assessment!K81,NA())</f>
        <v>#N/A</v>
      </c>
      <c r="M103" s="88" t="e">
        <f>IF(ISNUMBER(Assessment!L81),Assessment!L81,NA())</f>
        <v>#N/A</v>
      </c>
      <c r="N103" s="88" t="e">
        <f>IF(ISNUMBER(Assessment!M81),Assessment!M81,NA())</f>
        <v>#N/A</v>
      </c>
      <c r="O103" s="88" t="e">
        <f>IF(ISNUMBER(Assessment!N81),Assessment!N81,NA())</f>
        <v>#N/A</v>
      </c>
      <c r="P103" s="88" t="e">
        <f>IF(ISNUMBER(Assessment!O81),Assessment!O81,NA())</f>
        <v>#N/A</v>
      </c>
      <c r="Q103" s="88" t="e">
        <f>IF(ISNUMBER(Assessment!P81),Assessment!P81,NA())</f>
        <v>#N/A</v>
      </c>
      <c r="R103" s="88" t="e">
        <f>IF(ISNUMBER(Assessment!Q81),Assessment!Q81,NA())</f>
        <v>#N/A</v>
      </c>
      <c r="S103" s="88" t="e">
        <f>IF(ISNUMBER(Assessment!R81),Assessment!R81,NA())</f>
        <v>#N/A</v>
      </c>
      <c r="T103" s="88" t="e">
        <f>IF(ISNUMBER(Assessment!S81),Assessment!S81,NA())</f>
        <v>#N/A</v>
      </c>
      <c r="U103" s="88" t="e">
        <f>IF(ISNUMBER(Assessment!T81),Assessment!T81,NA())</f>
        <v>#N/A</v>
      </c>
      <c r="V103" s="88" t="e">
        <f>IF(ISNUMBER(Assessment!U81),Assessment!U81,NA())</f>
        <v>#N/A</v>
      </c>
      <c r="W103" s="88" t="e">
        <f>IF(ISNUMBER(Assessment!V81),Assessment!V81,NA())</f>
        <v>#N/A</v>
      </c>
    </row>
    <row r="104" spans="3:23" x14ac:dyDescent="0.4">
      <c r="C104" s="82" t="s">
        <v>320</v>
      </c>
      <c r="E104" s="88" t="e">
        <f>IF(ISNUMBER(Assessment!D82),Assessment!D82,NA())</f>
        <v>#N/A</v>
      </c>
      <c r="F104" s="88" t="e">
        <f>IF(ISNUMBER(Assessment!E82),Assessment!E82,NA())</f>
        <v>#N/A</v>
      </c>
      <c r="G104" s="88" t="e">
        <f>IF(ISNUMBER(Assessment!F82),Assessment!F82,NA())</f>
        <v>#N/A</v>
      </c>
      <c r="H104" s="88" t="e">
        <f>IF(ISNUMBER(Assessment!G82),Assessment!G82,NA())</f>
        <v>#N/A</v>
      </c>
      <c r="I104" s="88" t="e">
        <f>IF(ISNUMBER(Assessment!H82),Assessment!H82,NA())</f>
        <v>#N/A</v>
      </c>
      <c r="J104" s="88" t="e">
        <f>IF(ISNUMBER(Assessment!I82),Assessment!I82,NA())</f>
        <v>#N/A</v>
      </c>
      <c r="K104" s="88" t="e">
        <f>IF(ISNUMBER(Assessment!J82),Assessment!J82,NA())</f>
        <v>#N/A</v>
      </c>
      <c r="L104" s="88" t="e">
        <f>IF(ISNUMBER(Assessment!K82),Assessment!K82,NA())</f>
        <v>#N/A</v>
      </c>
      <c r="M104" s="88" t="e">
        <f>IF(ISNUMBER(Assessment!L82),Assessment!L82,NA())</f>
        <v>#N/A</v>
      </c>
      <c r="N104" s="88" t="e">
        <f>IF(ISNUMBER(Assessment!M82),Assessment!M82,NA())</f>
        <v>#N/A</v>
      </c>
      <c r="O104" s="88" t="e">
        <f>IF(ISNUMBER(Assessment!N82),Assessment!N82,NA())</f>
        <v>#N/A</v>
      </c>
      <c r="P104" s="88" t="e">
        <f>IF(ISNUMBER(Assessment!O82),Assessment!O82,NA())</f>
        <v>#N/A</v>
      </c>
      <c r="Q104" s="88" t="e">
        <f>IF(ISNUMBER(Assessment!P82),Assessment!P82,NA())</f>
        <v>#N/A</v>
      </c>
      <c r="R104" s="88" t="e">
        <f>IF(ISNUMBER(Assessment!Q82),Assessment!Q82,NA())</f>
        <v>#N/A</v>
      </c>
      <c r="S104" s="88" t="e">
        <f>IF(ISNUMBER(Assessment!R82),Assessment!R82,NA())</f>
        <v>#N/A</v>
      </c>
      <c r="T104" s="88" t="e">
        <f>IF(ISNUMBER(Assessment!S82),Assessment!S82,NA())</f>
        <v>#N/A</v>
      </c>
      <c r="U104" s="88" t="e">
        <f>IF(ISNUMBER(Assessment!T82),Assessment!T82,NA())</f>
        <v>#N/A</v>
      </c>
      <c r="V104" s="88" t="e">
        <f>IF(ISNUMBER(Assessment!U82),Assessment!U82,NA())</f>
        <v>#N/A</v>
      </c>
      <c r="W104" s="88" t="e">
        <f>IF(ISNUMBER(Assessment!V82),Assessment!V82,NA())</f>
        <v>#N/A</v>
      </c>
    </row>
    <row r="105" spans="3:23" x14ac:dyDescent="0.4">
      <c r="C105" s="82" t="s">
        <v>321</v>
      </c>
      <c r="E105" s="88" t="e">
        <f>IF(ISNUMBER(Assessment!D83),Assessment!D83,NA())</f>
        <v>#N/A</v>
      </c>
      <c r="F105" s="88" t="e">
        <f>IF(ISNUMBER(Assessment!E83),Assessment!E83,NA())</f>
        <v>#N/A</v>
      </c>
      <c r="G105" s="88" t="e">
        <f>IF(ISNUMBER(Assessment!F83),Assessment!F83,NA())</f>
        <v>#N/A</v>
      </c>
      <c r="H105" s="88" t="e">
        <f>IF(ISNUMBER(Assessment!G83),Assessment!G83,NA())</f>
        <v>#N/A</v>
      </c>
      <c r="I105" s="88" t="e">
        <f>IF(ISNUMBER(Assessment!H83),Assessment!H83,NA())</f>
        <v>#N/A</v>
      </c>
      <c r="J105" s="88" t="e">
        <f>IF(ISNUMBER(Assessment!I83),Assessment!I83,NA())</f>
        <v>#N/A</v>
      </c>
      <c r="K105" s="88" t="e">
        <f>IF(ISNUMBER(Assessment!J83),Assessment!J83,NA())</f>
        <v>#N/A</v>
      </c>
      <c r="L105" s="88" t="e">
        <f>IF(ISNUMBER(Assessment!K83),Assessment!K83,NA())</f>
        <v>#N/A</v>
      </c>
      <c r="M105" s="88" t="e">
        <f>IF(ISNUMBER(Assessment!L83),Assessment!L83,NA())</f>
        <v>#N/A</v>
      </c>
      <c r="N105" s="88" t="e">
        <f>IF(ISNUMBER(Assessment!M83),Assessment!M83,NA())</f>
        <v>#N/A</v>
      </c>
      <c r="O105" s="88" t="e">
        <f>IF(ISNUMBER(Assessment!N83),Assessment!N83,NA())</f>
        <v>#N/A</v>
      </c>
      <c r="P105" s="88" t="e">
        <f>IF(ISNUMBER(Assessment!O83),Assessment!O83,NA())</f>
        <v>#N/A</v>
      </c>
      <c r="Q105" s="88" t="e">
        <f>IF(ISNUMBER(Assessment!P83),Assessment!P83,NA())</f>
        <v>#N/A</v>
      </c>
      <c r="R105" s="88" t="e">
        <f>IF(ISNUMBER(Assessment!Q83),Assessment!Q83,NA())</f>
        <v>#N/A</v>
      </c>
      <c r="S105" s="88" t="e">
        <f>IF(ISNUMBER(Assessment!R83),Assessment!R83,NA())</f>
        <v>#N/A</v>
      </c>
      <c r="T105" s="88" t="e">
        <f>IF(ISNUMBER(Assessment!S83),Assessment!S83,NA())</f>
        <v>#N/A</v>
      </c>
      <c r="U105" s="88" t="e">
        <f>IF(ISNUMBER(Assessment!T83),Assessment!T83,NA())</f>
        <v>#N/A</v>
      </c>
      <c r="V105" s="88" t="e">
        <f>IF(ISNUMBER(Assessment!U83),Assessment!U83,NA())</f>
        <v>#N/A</v>
      </c>
      <c r="W105" s="88" t="e">
        <f>IF(ISNUMBER(Assessment!V83),Assessment!V83,NA())</f>
        <v>#N/A</v>
      </c>
    </row>
    <row r="106" spans="3:23" x14ac:dyDescent="0.4">
      <c r="C106" s="82" t="s">
        <v>317</v>
      </c>
      <c r="E106" s="88" t="e">
        <f>IF(ISNUMBER(Assessment!D84),Assessment!D84,NA())</f>
        <v>#N/A</v>
      </c>
      <c r="F106" s="88" t="e">
        <f>IF(ISNUMBER(Assessment!E84),Assessment!E84,NA())</f>
        <v>#N/A</v>
      </c>
      <c r="G106" s="88" t="e">
        <f>IF(ISNUMBER(Assessment!F84),Assessment!F84,NA())</f>
        <v>#N/A</v>
      </c>
      <c r="H106" s="88" t="e">
        <f>IF(ISNUMBER(Assessment!G84),Assessment!G84,NA())</f>
        <v>#N/A</v>
      </c>
      <c r="I106" s="88" t="e">
        <f>IF(ISNUMBER(Assessment!H84),Assessment!H84,NA())</f>
        <v>#N/A</v>
      </c>
      <c r="J106" s="88" t="e">
        <f>IF(ISNUMBER(Assessment!I84),Assessment!I84,NA())</f>
        <v>#N/A</v>
      </c>
      <c r="K106" s="88" t="e">
        <f>IF(ISNUMBER(Assessment!J84),Assessment!J84,NA())</f>
        <v>#N/A</v>
      </c>
      <c r="L106" s="88" t="e">
        <f>IF(ISNUMBER(Assessment!K84),Assessment!K84,NA())</f>
        <v>#N/A</v>
      </c>
      <c r="M106" s="88" t="e">
        <f>IF(ISNUMBER(Assessment!L84),Assessment!L84,NA())</f>
        <v>#N/A</v>
      </c>
      <c r="N106" s="88" t="e">
        <f>IF(ISNUMBER(Assessment!M84),Assessment!M84,NA())</f>
        <v>#N/A</v>
      </c>
      <c r="O106" s="88" t="e">
        <f>IF(ISNUMBER(Assessment!N84),Assessment!N84,NA())</f>
        <v>#N/A</v>
      </c>
      <c r="P106" s="88" t="e">
        <f>IF(ISNUMBER(Assessment!O84),Assessment!O84,NA())</f>
        <v>#N/A</v>
      </c>
      <c r="Q106" s="88" t="e">
        <f>IF(ISNUMBER(Assessment!P84),Assessment!P84,NA())</f>
        <v>#N/A</v>
      </c>
      <c r="R106" s="88" t="e">
        <f>IF(ISNUMBER(Assessment!Q84),Assessment!Q84,NA())</f>
        <v>#N/A</v>
      </c>
      <c r="S106" s="88" t="e">
        <f>IF(ISNUMBER(Assessment!R84),Assessment!R84,NA())</f>
        <v>#N/A</v>
      </c>
      <c r="T106" s="88" t="e">
        <f>IF(ISNUMBER(Assessment!S84),Assessment!S84,NA())</f>
        <v>#N/A</v>
      </c>
      <c r="U106" s="88" t="e">
        <f>IF(ISNUMBER(Assessment!T84),Assessment!T84,NA())</f>
        <v>#N/A</v>
      </c>
      <c r="V106" s="88" t="e">
        <f>IF(ISNUMBER(Assessment!U84),Assessment!U84,NA())</f>
        <v>#N/A</v>
      </c>
      <c r="W106" s="88" t="e">
        <f>IF(ISNUMBER(Assessment!V84),Assessment!V84,NA())</f>
        <v>#N/A</v>
      </c>
    </row>
    <row r="107" spans="3:23" x14ac:dyDescent="0.4">
      <c r="C107" s="82" t="s">
        <v>322</v>
      </c>
      <c r="E107" s="88" t="e">
        <f>IF(ISNUMBER(Assessment!D85),Assessment!D85,NA())</f>
        <v>#N/A</v>
      </c>
      <c r="F107" s="88" t="e">
        <f>IF(ISNUMBER(Assessment!E85),Assessment!E85,NA())</f>
        <v>#N/A</v>
      </c>
      <c r="G107" s="88" t="e">
        <f>IF(ISNUMBER(Assessment!F85),Assessment!F85,NA())</f>
        <v>#N/A</v>
      </c>
      <c r="H107" s="88" t="e">
        <f>IF(ISNUMBER(Assessment!G85),Assessment!G85,NA())</f>
        <v>#N/A</v>
      </c>
      <c r="I107" s="88" t="e">
        <f>IF(ISNUMBER(Assessment!H85),Assessment!H85,NA())</f>
        <v>#N/A</v>
      </c>
      <c r="J107" s="88" t="e">
        <f>IF(ISNUMBER(Assessment!I85),Assessment!I85,NA())</f>
        <v>#N/A</v>
      </c>
      <c r="K107" s="88" t="e">
        <f>IF(ISNUMBER(Assessment!J85),Assessment!J85,NA())</f>
        <v>#N/A</v>
      </c>
      <c r="L107" s="88" t="e">
        <f>IF(ISNUMBER(Assessment!K85),Assessment!K85,NA())</f>
        <v>#N/A</v>
      </c>
      <c r="M107" s="88" t="e">
        <f>IF(ISNUMBER(Assessment!L85),Assessment!L85,NA())</f>
        <v>#N/A</v>
      </c>
      <c r="N107" s="88" t="e">
        <f>IF(ISNUMBER(Assessment!M85),Assessment!M85,NA())</f>
        <v>#N/A</v>
      </c>
      <c r="O107" s="88" t="e">
        <f>IF(ISNUMBER(Assessment!N85),Assessment!N85,NA())</f>
        <v>#N/A</v>
      </c>
      <c r="P107" s="88" t="e">
        <f>IF(ISNUMBER(Assessment!O85),Assessment!O85,NA())</f>
        <v>#N/A</v>
      </c>
      <c r="Q107" s="88" t="e">
        <f>IF(ISNUMBER(Assessment!P85),Assessment!P85,NA())</f>
        <v>#N/A</v>
      </c>
      <c r="R107" s="88" t="e">
        <f>IF(ISNUMBER(Assessment!Q85),Assessment!Q85,NA())</f>
        <v>#N/A</v>
      </c>
      <c r="S107" s="88" t="e">
        <f>IF(ISNUMBER(Assessment!R85),Assessment!R85,NA())</f>
        <v>#N/A</v>
      </c>
      <c r="T107" s="88" t="e">
        <f>IF(ISNUMBER(Assessment!S85),Assessment!S85,NA())</f>
        <v>#N/A</v>
      </c>
      <c r="U107" s="88" t="e">
        <f>IF(ISNUMBER(Assessment!T85),Assessment!T85,NA())</f>
        <v>#N/A</v>
      </c>
      <c r="V107" s="88" t="e">
        <f>IF(ISNUMBER(Assessment!U85),Assessment!U85,NA())</f>
        <v>#N/A</v>
      </c>
      <c r="W107" s="88" t="e">
        <f>IF(ISNUMBER(Assessment!V85),Assessment!V85,NA())</f>
        <v>#N/A</v>
      </c>
    </row>
    <row r="108" spans="3:23" x14ac:dyDescent="0.4">
      <c r="C108" s="82" t="s">
        <v>323</v>
      </c>
      <c r="E108" s="88" t="e">
        <f>IF(ISNUMBER(Assessment!D86),Assessment!D86,NA())</f>
        <v>#N/A</v>
      </c>
      <c r="F108" s="88" t="e">
        <f>IF(ISNUMBER(Assessment!E86),Assessment!E86,NA())</f>
        <v>#N/A</v>
      </c>
      <c r="G108" s="88" t="e">
        <f>IF(ISNUMBER(Assessment!F86),Assessment!F86,NA())</f>
        <v>#N/A</v>
      </c>
      <c r="H108" s="88" t="e">
        <f>IF(ISNUMBER(Assessment!G86),Assessment!G86,NA())</f>
        <v>#N/A</v>
      </c>
      <c r="I108" s="88" t="e">
        <f>IF(ISNUMBER(Assessment!H86),Assessment!H86,NA())</f>
        <v>#N/A</v>
      </c>
      <c r="J108" s="88" t="e">
        <f>IF(ISNUMBER(Assessment!I86),Assessment!I86,NA())</f>
        <v>#N/A</v>
      </c>
      <c r="K108" s="88" t="e">
        <f>IF(ISNUMBER(Assessment!J86),Assessment!J86,NA())</f>
        <v>#N/A</v>
      </c>
      <c r="L108" s="88" t="e">
        <f>IF(ISNUMBER(Assessment!K86),Assessment!K86,NA())</f>
        <v>#N/A</v>
      </c>
      <c r="M108" s="88" t="e">
        <f>IF(ISNUMBER(Assessment!L86),Assessment!L86,NA())</f>
        <v>#N/A</v>
      </c>
      <c r="N108" s="88" t="e">
        <f>IF(ISNUMBER(Assessment!M86),Assessment!M86,NA())</f>
        <v>#N/A</v>
      </c>
      <c r="O108" s="88" t="e">
        <f>IF(ISNUMBER(Assessment!N86),Assessment!N86,NA())</f>
        <v>#N/A</v>
      </c>
      <c r="P108" s="88" t="e">
        <f>IF(ISNUMBER(Assessment!O86),Assessment!O86,NA())</f>
        <v>#N/A</v>
      </c>
      <c r="Q108" s="88" t="e">
        <f>IF(ISNUMBER(Assessment!P86),Assessment!P86,NA())</f>
        <v>#N/A</v>
      </c>
      <c r="R108" s="88" t="e">
        <f>IF(ISNUMBER(Assessment!Q86),Assessment!Q86,NA())</f>
        <v>#N/A</v>
      </c>
      <c r="S108" s="88" t="e">
        <f>IF(ISNUMBER(Assessment!R86),Assessment!R86,NA())</f>
        <v>#N/A</v>
      </c>
      <c r="T108" s="88" t="e">
        <f>IF(ISNUMBER(Assessment!S86),Assessment!S86,NA())</f>
        <v>#N/A</v>
      </c>
      <c r="U108" s="88" t="e">
        <f>IF(ISNUMBER(Assessment!T86),Assessment!T86,NA())</f>
        <v>#N/A</v>
      </c>
      <c r="V108" s="88" t="e">
        <f>IF(ISNUMBER(Assessment!U86),Assessment!U86,NA())</f>
        <v>#N/A</v>
      </c>
      <c r="W108" s="88" t="e">
        <f>IF(ISNUMBER(Assessment!V86),Assessment!V86,NA())</f>
        <v>#N/A</v>
      </c>
    </row>
    <row r="109" spans="3:23" x14ac:dyDescent="0.4">
      <c r="C109" s="82" t="s">
        <v>324</v>
      </c>
      <c r="E109" s="88" t="e">
        <f>IF(ISNUMBER(Assessment!D87),Assessment!D87,NA())</f>
        <v>#N/A</v>
      </c>
      <c r="F109" s="88" t="e">
        <f>IF(ISNUMBER(Assessment!E87),Assessment!E87,NA())</f>
        <v>#N/A</v>
      </c>
      <c r="G109" s="88" t="e">
        <f>IF(ISNUMBER(Assessment!F87),Assessment!F87,NA())</f>
        <v>#N/A</v>
      </c>
      <c r="H109" s="88" t="e">
        <f>IF(ISNUMBER(Assessment!G87),Assessment!G87,NA())</f>
        <v>#N/A</v>
      </c>
      <c r="I109" s="88" t="e">
        <f>IF(ISNUMBER(Assessment!H87),Assessment!H87,NA())</f>
        <v>#N/A</v>
      </c>
      <c r="J109" s="88" t="e">
        <f>IF(ISNUMBER(Assessment!I87),Assessment!I87,NA())</f>
        <v>#N/A</v>
      </c>
      <c r="K109" s="88" t="e">
        <f>IF(ISNUMBER(Assessment!J87),Assessment!J87,NA())</f>
        <v>#N/A</v>
      </c>
      <c r="L109" s="88" t="e">
        <f>IF(ISNUMBER(Assessment!K87),Assessment!K87,NA())</f>
        <v>#N/A</v>
      </c>
      <c r="M109" s="88" t="e">
        <f>IF(ISNUMBER(Assessment!L87),Assessment!L87,NA())</f>
        <v>#N/A</v>
      </c>
      <c r="N109" s="88" t="e">
        <f>IF(ISNUMBER(Assessment!M87),Assessment!M87,NA())</f>
        <v>#N/A</v>
      </c>
      <c r="O109" s="88" t="e">
        <f>IF(ISNUMBER(Assessment!N87),Assessment!N87,NA())</f>
        <v>#N/A</v>
      </c>
      <c r="P109" s="88" t="e">
        <f>IF(ISNUMBER(Assessment!O87),Assessment!O87,NA())</f>
        <v>#N/A</v>
      </c>
      <c r="Q109" s="88" t="e">
        <f>IF(ISNUMBER(Assessment!P87),Assessment!P87,NA())</f>
        <v>#N/A</v>
      </c>
      <c r="R109" s="88" t="e">
        <f>IF(ISNUMBER(Assessment!Q87),Assessment!Q87,NA())</f>
        <v>#N/A</v>
      </c>
      <c r="S109" s="88" t="e">
        <f>IF(ISNUMBER(Assessment!R87),Assessment!R87,NA())</f>
        <v>#N/A</v>
      </c>
      <c r="T109" s="88" t="e">
        <f>IF(ISNUMBER(Assessment!S87),Assessment!S87,NA())</f>
        <v>#N/A</v>
      </c>
      <c r="U109" s="88" t="e">
        <f>IF(ISNUMBER(Assessment!T87),Assessment!T87,NA())</f>
        <v>#N/A</v>
      </c>
      <c r="V109" s="88" t="e">
        <f>IF(ISNUMBER(Assessment!U87),Assessment!U87,NA())</f>
        <v>#N/A</v>
      </c>
      <c r="W109" s="88" t="e">
        <f>IF(ISNUMBER(Assessment!V87),Assessment!V87,NA())</f>
        <v>#N/A</v>
      </c>
    </row>
    <row r="110" spans="3:23" x14ac:dyDescent="0.4">
      <c r="C110" s="82" t="s">
        <v>325</v>
      </c>
      <c r="E110" s="88" t="e">
        <f>IF(ISNUMBER(Assessment!D88),Assessment!D88,NA())</f>
        <v>#N/A</v>
      </c>
      <c r="F110" s="88" t="e">
        <f>IF(ISNUMBER(Assessment!E88),Assessment!E88,NA())</f>
        <v>#N/A</v>
      </c>
      <c r="G110" s="88" t="e">
        <f>IF(ISNUMBER(Assessment!F88),Assessment!F88,NA())</f>
        <v>#N/A</v>
      </c>
      <c r="H110" s="88" t="e">
        <f>IF(ISNUMBER(Assessment!G88),Assessment!G88,NA())</f>
        <v>#N/A</v>
      </c>
      <c r="I110" s="88" t="e">
        <f>IF(ISNUMBER(Assessment!H88),Assessment!H88,NA())</f>
        <v>#N/A</v>
      </c>
      <c r="J110" s="88" t="e">
        <f>IF(ISNUMBER(Assessment!I88),Assessment!I88,NA())</f>
        <v>#N/A</v>
      </c>
      <c r="K110" s="88" t="e">
        <f>IF(ISNUMBER(Assessment!J88),Assessment!J88,NA())</f>
        <v>#N/A</v>
      </c>
      <c r="L110" s="88" t="e">
        <f>IF(ISNUMBER(Assessment!K88),Assessment!K88,NA())</f>
        <v>#N/A</v>
      </c>
      <c r="M110" s="88" t="e">
        <f>IF(ISNUMBER(Assessment!L88),Assessment!L88,NA())</f>
        <v>#N/A</v>
      </c>
      <c r="N110" s="88" t="e">
        <f>IF(ISNUMBER(Assessment!M88),Assessment!M88,NA())</f>
        <v>#N/A</v>
      </c>
      <c r="O110" s="88" t="e">
        <f>IF(ISNUMBER(Assessment!N88),Assessment!N88,NA())</f>
        <v>#N/A</v>
      </c>
      <c r="P110" s="88" t="e">
        <f>IF(ISNUMBER(Assessment!O88),Assessment!O88,NA())</f>
        <v>#N/A</v>
      </c>
      <c r="Q110" s="88" t="e">
        <f>IF(ISNUMBER(Assessment!P88),Assessment!P88,NA())</f>
        <v>#N/A</v>
      </c>
      <c r="R110" s="88" t="e">
        <f>IF(ISNUMBER(Assessment!Q88),Assessment!Q88,NA())</f>
        <v>#N/A</v>
      </c>
      <c r="S110" s="88" t="e">
        <f>IF(ISNUMBER(Assessment!R88),Assessment!R88,NA())</f>
        <v>#N/A</v>
      </c>
      <c r="T110" s="88" t="e">
        <f>IF(ISNUMBER(Assessment!S88),Assessment!S88,NA())</f>
        <v>#N/A</v>
      </c>
      <c r="U110" s="88" t="e">
        <f>IF(ISNUMBER(Assessment!T88),Assessment!T88,NA())</f>
        <v>#N/A</v>
      </c>
      <c r="V110" s="88" t="e">
        <f>IF(ISNUMBER(Assessment!U88),Assessment!U88,NA())</f>
        <v>#N/A</v>
      </c>
      <c r="W110" s="88" t="e">
        <f>IF(ISNUMBER(Assessment!V88),Assessment!V88,NA())</f>
        <v>#N/A</v>
      </c>
    </row>
    <row r="111" spans="3:23" x14ac:dyDescent="0.4">
      <c r="C111" s="2" t="s">
        <v>293</v>
      </c>
      <c r="E111" s="88">
        <f>IF(Assessment!D20="",NA(),Assessment!D20)</f>
        <v>44.430318318075436</v>
      </c>
      <c r="F111" s="88">
        <f>IF(Assessment!E20="",NA(),Assessment!E20)</f>
        <v>46.249535696627248</v>
      </c>
      <c r="G111" s="88">
        <f>IF(Assessment!F20="",NA(),Assessment!F20)</f>
        <v>46.887477862325753</v>
      </c>
      <c r="H111" s="88">
        <f>IF(Assessment!G20="",NA(),Assessment!G20)</f>
        <v>47.9</v>
      </c>
      <c r="I111" s="88" t="e">
        <f>IF(Assessment!H20="",NA(),Assessment!H20)</f>
        <v>#N/A</v>
      </c>
      <c r="J111" s="88" t="e">
        <f>IF(Assessment!I20="",NA(),Assessment!I20)</f>
        <v>#N/A</v>
      </c>
      <c r="K111" s="88" t="e">
        <f>IF(Assessment!J20="",NA(),Assessment!J20)</f>
        <v>#N/A</v>
      </c>
      <c r="L111" s="88" t="e">
        <f>IF(Assessment!K20="",NA(),Assessment!K20)</f>
        <v>#N/A</v>
      </c>
      <c r="M111" s="88" t="e">
        <f>IF(Assessment!L20="",NA(),Assessment!L20)</f>
        <v>#N/A</v>
      </c>
      <c r="N111" s="88" t="e">
        <f>IF(Assessment!M20="",NA(),Assessment!M20)</f>
        <v>#N/A</v>
      </c>
      <c r="O111" s="88" t="e">
        <f>IF(Assessment!N20="",NA(),Assessment!N20)</f>
        <v>#N/A</v>
      </c>
      <c r="P111" s="88" t="e">
        <f>IF(Assessment!O20="",NA(),Assessment!O20)</f>
        <v>#N/A</v>
      </c>
      <c r="Q111" s="88" t="e">
        <f>IF(Assessment!P20="",NA(),Assessment!P20)</f>
        <v>#N/A</v>
      </c>
      <c r="R111" s="88" t="e">
        <f>IF(Assessment!Q20="",NA(),Assessment!Q20)</f>
        <v>#N/A</v>
      </c>
      <c r="S111" s="88" t="e">
        <f>IF(Assessment!R20="",NA(),Assessment!R20)</f>
        <v>#N/A</v>
      </c>
      <c r="T111" s="88" t="e">
        <f>IF(Assessment!S20="",NA(),Assessment!S20)</f>
        <v>#N/A</v>
      </c>
      <c r="U111" s="88" t="e">
        <f>IF(ISNUMBER(Assessment!T20),Assessment!T20,NA())</f>
        <v>#N/A</v>
      </c>
      <c r="V111" s="88" t="e">
        <f>IF(ISNUMBER(Assessment!U20),Assessment!U20,NA())</f>
        <v>#N/A</v>
      </c>
      <c r="W111" s="88" t="e">
        <f>IF(ISNUMBER(Assessment!V20),Assessment!V20,NA())</f>
        <v>#N/A</v>
      </c>
    </row>
    <row r="113" spans="2:23" ht="13.5" customHeight="1" x14ac:dyDescent="0.6">
      <c r="B113" s="110" t="s">
        <v>589</v>
      </c>
      <c r="C113" s="11" t="str">
        <f>"Performance of net expenditure compared to the "&amp;IF(Receives_reference_trajectory,"Commission's original reference trajectory with safeguards","Commission's technical information")</f>
        <v>Performance of net expenditure compared to the Commission's technical information</v>
      </c>
    </row>
    <row r="114" spans="2:23" ht="13.5" customHeight="1" x14ac:dyDescent="0.4">
      <c r="C114" s="2" t="s">
        <v>388</v>
      </c>
      <c r="F114" s="64">
        <f>Assessment!E69</f>
        <v>4.918973667178153</v>
      </c>
      <c r="G114" s="64">
        <f>Assessment!F69</f>
        <v>3.6413061968341944</v>
      </c>
      <c r="H114" s="64">
        <f>Assessment!G69</f>
        <v>2.7436451968341951</v>
      </c>
      <c r="I114" s="64">
        <f>Assessment!H69</f>
        <v>2.461675896834195</v>
      </c>
      <c r="J114" s="64">
        <f>Assessment!I69</f>
        <v>3.4330077000000001</v>
      </c>
      <c r="K114" s="64">
        <f>Assessment!J69</f>
        <v>3.5328969999999997</v>
      </c>
      <c r="L114" s="64">
        <f>Assessment!K69</f>
        <v>3.6117759999999999</v>
      </c>
      <c r="M114" s="64">
        <f>Assessment!L69</f>
        <v>3.6942360000000001</v>
      </c>
      <c r="N114" s="64">
        <f>Assessment!M69</f>
        <v>3.7719449999999997</v>
      </c>
      <c r="O114" s="64">
        <f>Assessment!N69</f>
        <v>3.828627</v>
      </c>
      <c r="P114" s="64">
        <f>Assessment!O69</f>
        <v>3.86795</v>
      </c>
      <c r="Q114" s="64">
        <f>Assessment!P69</f>
        <v>3.9072739999999997</v>
      </c>
      <c r="R114" s="64">
        <f>Assessment!Q69</f>
        <v>3.9465969999999997</v>
      </c>
      <c r="S114" s="64">
        <f>Assessment!R69</f>
        <v>3.9263029999999999</v>
      </c>
      <c r="T114" s="64">
        <f>Assessment!S69</f>
        <v>3.8353979999999996</v>
      </c>
      <c r="U114" s="64" t="str">
        <f>Assessment!T69</f>
        <v/>
      </c>
      <c r="V114" s="64" t="str">
        <f>Assessment!U69</f>
        <v/>
      </c>
      <c r="W114" s="64" t="str">
        <f>Assessment!V69</f>
        <v/>
      </c>
    </row>
    <row r="115" spans="2:23" ht="13.5" customHeight="1" x14ac:dyDescent="0.4">
      <c r="C115" s="2" t="s">
        <v>296</v>
      </c>
      <c r="F115" s="4"/>
      <c r="G115" s="4"/>
      <c r="H115" s="4"/>
      <c r="I115" s="4"/>
      <c r="J115" s="4"/>
      <c r="K115" s="4"/>
      <c r="L115" s="4"/>
      <c r="M115" s="4"/>
      <c r="N115" s="4"/>
      <c r="O115" s="4"/>
      <c r="P115" s="4"/>
      <c r="Q115" s="4"/>
      <c r="R115" s="4"/>
      <c r="S115" s="4"/>
      <c r="T115" s="4"/>
      <c r="U115" s="4"/>
      <c r="V115" s="4"/>
      <c r="W115" s="4"/>
    </row>
    <row r="116" spans="2:23" ht="13.5" customHeight="1" x14ac:dyDescent="0.4">
      <c r="C116" s="2" t="s">
        <v>243</v>
      </c>
      <c r="F116" s="64" t="e">
        <f>IF(OR(ISNUMBER(F128),ISNUMBER(F129)),NA(),IF(ISNUMBER(Assessment!E15),Assessment!E15,NA()))</f>
        <v>#N/A</v>
      </c>
      <c r="G116" s="64" t="e">
        <f>IF(OR(ISNUMBER(G128),ISNUMBER(G129)),NA(),IF(ISNUMBER(Assessment!F15),Assessment!F15,NA()))</f>
        <v>#N/A</v>
      </c>
      <c r="H116" s="64">
        <f>IF(OR(ISNUMBER(H128),ISNUMBER(H129)),NA(),IF(ISNUMBER(Assessment!G15),Assessment!G15,NA()))</f>
        <v>5.3</v>
      </c>
      <c r="I116" s="64" t="e">
        <f>IF(OR(ISNUMBER(I128),ISNUMBER(I129)),NA(),IF(ISNUMBER(Assessment!H15),Assessment!H15,NA()))</f>
        <v>#N/A</v>
      </c>
      <c r="J116" s="64" t="e">
        <f>IF(OR(ISNUMBER(J128),ISNUMBER(J129)),NA(),IF(ISNUMBER(Assessment!I15),Assessment!I15,NA()))</f>
        <v>#N/A</v>
      </c>
      <c r="K116" s="64" t="e">
        <f>IF(OR(ISNUMBER(K128),ISNUMBER(K129)),NA(),IF(ISNUMBER(Assessment!J15),Assessment!J15,NA()))</f>
        <v>#N/A</v>
      </c>
      <c r="L116" s="64" t="e">
        <f>IF(OR(ISNUMBER(L128),ISNUMBER(L129)),NA(),IF(ISNUMBER(Assessment!K15),Assessment!K15,NA()))</f>
        <v>#N/A</v>
      </c>
      <c r="M116" s="64" t="e">
        <f>IF(OR(ISNUMBER(M128),ISNUMBER(M129)),NA(),IF(ISNUMBER(Assessment!L15),Assessment!L15,NA()))</f>
        <v>#N/A</v>
      </c>
      <c r="N116" s="64" t="e">
        <f>IF(OR(ISNUMBER(N128),ISNUMBER(N129)),NA(),IF(ISNUMBER(Assessment!M15),Assessment!M15,NA()))</f>
        <v>#N/A</v>
      </c>
      <c r="O116" s="64" t="e">
        <f>IF(OR(ISNUMBER(O128),ISNUMBER(O129)),NA(),IF(ISNUMBER(Assessment!N15),Assessment!N15,NA()))</f>
        <v>#N/A</v>
      </c>
      <c r="P116" s="64" t="e">
        <f>IF(OR(ISNUMBER(P128),ISNUMBER(P129)),NA(),IF(ISNUMBER(Assessment!O15),Assessment!O15,NA()))</f>
        <v>#N/A</v>
      </c>
      <c r="Q116" s="64" t="e">
        <f>IF(OR(ISNUMBER(Q128),ISNUMBER(Q129)),NA(),IF(ISNUMBER(Assessment!P15),Assessment!P15,NA()))</f>
        <v>#N/A</v>
      </c>
      <c r="R116" s="64" t="e">
        <f>IF(OR(ISNUMBER(R128),ISNUMBER(R129)),NA(),IF(ISNUMBER(Assessment!Q15),Assessment!Q15,NA()))</f>
        <v>#N/A</v>
      </c>
      <c r="S116" s="64" t="e">
        <f>IF(OR(ISNUMBER(S128),ISNUMBER(S129)),NA(),IF(ISNUMBER(Assessment!R15),Assessment!R15,NA()))</f>
        <v>#N/A</v>
      </c>
      <c r="T116" s="64" t="e">
        <f>IF(OR(ISNUMBER(T128),ISNUMBER(T129)),NA(),IF(ISNUMBER(Assessment!S15),Assessment!S15,NA()))</f>
        <v>#N/A</v>
      </c>
      <c r="U116" s="64" t="e">
        <f>IF(OR(ISNUMBER(U128),ISNUMBER(U129)),NA(),IF(ISNUMBER(Assessment!T15),Assessment!T15,NA()))</f>
        <v>#N/A</v>
      </c>
      <c r="V116" s="64" t="e">
        <f>IF(OR(ISNUMBER(V128),ISNUMBER(V129)),NA(),IF(ISNUMBER(Assessment!U15),Assessment!U15,NA()))</f>
        <v>#N/A</v>
      </c>
      <c r="W116" s="64" t="e">
        <f>IF(OR(ISNUMBER(W128),ISNUMBER(W129)),NA(),IF(ISNUMBER(Assessment!V15),Assessment!V15,NA()))</f>
        <v>#N/A</v>
      </c>
    </row>
    <row r="117" spans="2:23" ht="13.5" customHeight="1" x14ac:dyDescent="0.4">
      <c r="C117" s="2" t="s">
        <v>297</v>
      </c>
      <c r="F117" s="4"/>
      <c r="G117" s="4"/>
      <c r="H117" s="4"/>
      <c r="I117" s="4"/>
      <c r="J117" s="4"/>
      <c r="K117" s="4"/>
      <c r="L117" s="4"/>
      <c r="M117" s="4"/>
      <c r="N117" s="4"/>
      <c r="O117" s="4"/>
      <c r="P117" s="4"/>
      <c r="Q117" s="4"/>
      <c r="R117" s="4"/>
      <c r="S117" s="4"/>
      <c r="T117" s="4"/>
      <c r="U117" s="4"/>
      <c r="V117" s="4"/>
      <c r="W117" s="4"/>
    </row>
    <row r="118" spans="2:23" ht="13.5" customHeight="1" x14ac:dyDescent="0.4">
      <c r="C118" s="2" t="s">
        <v>298</v>
      </c>
      <c r="F118" s="106"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06"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06"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06"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06"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06"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06"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06"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06"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06"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06"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06"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06"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06"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06"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06"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06"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06"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299</v>
      </c>
      <c r="F119" s="106" cm="1">
        <f t="array" ref="F119">IF(
  AND(
    INDEX($2:$2, COLUMN()) &gt;= MTP_BaseYear,
    INDEX($2:$2, COLUMN()) &lt;= OutturnThrough
  ),
  IFERROR(
    IF(
      F114 - INDEX(Assessment!$15:$15,
                   _xlfn.XMATCH(INDEX($2:$2, COLUMN()),
                          Assessment!$4:$4, 0)
            ) &lt; 0,
      INDEX(Assessment!$15:$15,
            _xlfn.XMATCH(INDEX($2:$2, COLUMN()),
                   Assessment!$4:$4, 0)
      ),
      NA()
    ),
    NA()
  ),
  NA()
)</f>
        <v>4.9644778579376547</v>
      </c>
      <c r="G119" s="106" cm="1">
        <f t="array" ref="G119">IF(
  AND(
    INDEX($2:$2, COLUMN()) &gt;= MTP_BaseYear,
    INDEX($2:$2, COLUMN()) &lt;= OutturnThrough
  ),
  IFERROR(
    IF(
      G114 - INDEX(Assessment!$15:$15,
                   _xlfn.XMATCH(INDEX($2:$2, COLUMN()),
                          Assessment!$4:$4, 0)
            ) &lt; 0,
      INDEX(Assessment!$15:$15,
            _xlfn.XMATCH(INDEX($2:$2, COLUMN()),
                   Assessment!$4:$4, 0)
      ),
      NA()
    ),
    NA()
  ),
  NA()
)</f>
        <v>4.836560576927007</v>
      </c>
      <c r="H119" s="106" t="e" cm="1">
        <f t="array" ref="H119">IF(
  AND(
    INDEX($2:$2, COLUMN()) &gt;= MTP_BaseYear,
    INDEX($2:$2, COLUMN()) &lt;= OutturnThrough
  ),
  IFERROR(
    IF(
      H114 - INDEX(Assessment!$15:$15,
                   _xlfn.XMATCH(INDEX($2:$2, COLUMN()),
                          Assessment!$4:$4, 0)
            ) &lt; 0,
      INDEX(Assessment!$15:$15,
            _xlfn.XMATCH(INDEX($2:$2, COLUMN()),
                   Assessment!$4:$4, 0)
      ),
      NA()
    ),
    NA()
  ),
  NA()
)</f>
        <v>#N/A</v>
      </c>
      <c r="I119" s="106" t="e" cm="1">
        <f t="array" ref="I119">IF(
  AND(
    INDEX($2:$2, COLUMN()) &gt;= MTP_BaseYear,
    INDEX($2:$2, COLUMN()) &lt;= OutturnThrough
  ),
  IFERROR(
    IF(
      I114 - INDEX(Assessment!$15:$15,
                   _xlfn.XMATCH(INDEX($2:$2, COLUMN()),
                          Assessment!$4:$4, 0)
            ) &lt; 0,
      INDEX(Assessment!$15:$15,
            _xlfn.XMATCH(INDEX($2:$2, COLUMN()),
                   Assessment!$4:$4, 0)
      ),
      NA()
    ),
    NA()
  ),
  NA()
)</f>
        <v>#N/A</v>
      </c>
      <c r="J119" s="106" t="e" cm="1">
        <f t="array" ref="J119">IF(
  AND(
    INDEX($2:$2, COLUMN()) &gt;= MTP_BaseYear,
    INDEX($2:$2, COLUMN()) &lt;= OutturnThrough
  ),
  IFERROR(
    IF(
      J114 - INDEX(Assessment!$15:$15,
                   _xlfn.XMATCH(INDEX($2:$2, COLUMN()),
                          Assessment!$4:$4, 0)
            ) &lt; 0,
      INDEX(Assessment!$15:$15,
            _xlfn.XMATCH(INDEX($2:$2, COLUMN()),
                   Assessment!$4:$4, 0)
      ),
      NA()
    ),
    NA()
  ),
  NA()
)</f>
        <v>#N/A</v>
      </c>
      <c r="K119" s="106" t="e" cm="1">
        <f t="array" ref="K119">IF(
  AND(
    INDEX($2:$2, COLUMN()) &gt;= MTP_BaseYear,
    INDEX($2:$2, COLUMN()) &lt;= OutturnThrough
  ),
  IFERROR(
    IF(
      K114 - INDEX(Assessment!$15:$15,
                   _xlfn.XMATCH(INDEX($2:$2, COLUMN()),
                          Assessment!$4:$4, 0)
            ) &lt; 0,
      INDEX(Assessment!$15:$15,
            _xlfn.XMATCH(INDEX($2:$2, COLUMN()),
                   Assessment!$4:$4, 0)
      ),
      NA()
    ),
    NA()
  ),
  NA()
)</f>
        <v>#N/A</v>
      </c>
      <c r="L119" s="106" t="e" cm="1">
        <f t="array" ref="L119">IF(
  AND(
    INDEX($2:$2, COLUMN()) &gt;= MTP_BaseYear,
    INDEX($2:$2, COLUMN()) &lt;= OutturnThrough
  ),
  IFERROR(
    IF(
      L114 - INDEX(Assessment!$15:$15,
                   _xlfn.XMATCH(INDEX($2:$2, COLUMN()),
                          Assessment!$4:$4, 0)
            ) &lt; 0,
      INDEX(Assessment!$15:$15,
            _xlfn.XMATCH(INDEX($2:$2, COLUMN()),
                   Assessment!$4:$4, 0)
      ),
      NA()
    ),
    NA()
  ),
  NA()
)</f>
        <v>#N/A</v>
      </c>
      <c r="M119" s="106" t="e" cm="1">
        <f t="array" ref="M119">IF(
  AND(
    INDEX($2:$2, COLUMN()) &gt;= MTP_BaseYear,
    INDEX($2:$2, COLUMN()) &lt;= OutturnThrough
  ),
  IFERROR(
    IF(
      M114 - INDEX(Assessment!$15:$15,
                   _xlfn.XMATCH(INDEX($2:$2, COLUMN()),
                          Assessment!$4:$4, 0)
            ) &lt; 0,
      INDEX(Assessment!$15:$15,
            _xlfn.XMATCH(INDEX($2:$2, COLUMN()),
                   Assessment!$4:$4, 0)
      ),
      NA()
    ),
    NA()
  ),
  NA()
)</f>
        <v>#N/A</v>
      </c>
      <c r="N119" s="106" t="e" cm="1">
        <f t="array" ref="N119">IF(
  AND(
    INDEX($2:$2, COLUMN()) &gt;= MTP_BaseYear,
    INDEX($2:$2, COLUMN()) &lt;= OutturnThrough
  ),
  IFERROR(
    IF(
      N114 - INDEX(Assessment!$15:$15,
                   _xlfn.XMATCH(INDEX($2:$2, COLUMN()),
                          Assessment!$4:$4, 0)
            ) &lt; 0,
      INDEX(Assessment!$15:$15,
            _xlfn.XMATCH(INDEX($2:$2, COLUMN()),
                   Assessment!$4:$4, 0)
      ),
      NA()
    ),
    NA()
  ),
  NA()
)</f>
        <v>#N/A</v>
      </c>
      <c r="O119" s="106" t="e" cm="1">
        <f t="array" ref="O119">IF(
  AND(
    INDEX($2:$2, COLUMN()) &gt;= MTP_BaseYear,
    INDEX($2:$2, COLUMN()) &lt;= OutturnThrough
  ),
  IFERROR(
    IF(
      O114 - INDEX(Assessment!$15:$15,
                   _xlfn.XMATCH(INDEX($2:$2, COLUMN()),
                          Assessment!$4:$4, 0)
            ) &lt; 0,
      INDEX(Assessment!$15:$15,
            _xlfn.XMATCH(INDEX($2:$2, COLUMN()),
                   Assessment!$4:$4, 0)
      ),
      NA()
    ),
    NA()
  ),
  NA()
)</f>
        <v>#N/A</v>
      </c>
      <c r="P119" s="106" t="e" cm="1">
        <f t="array" ref="P119">IF(
  AND(
    INDEX($2:$2, COLUMN()) &gt;= MTP_BaseYear,
    INDEX($2:$2, COLUMN()) &lt;= OutturnThrough
  ),
  IFERROR(
    IF(
      P114 - INDEX(Assessment!$15:$15,
                   _xlfn.XMATCH(INDEX($2:$2, COLUMN()),
                          Assessment!$4:$4, 0)
            ) &lt; 0,
      INDEX(Assessment!$15:$15,
            _xlfn.XMATCH(INDEX($2:$2, COLUMN()),
                   Assessment!$4:$4, 0)
      ),
      NA()
    ),
    NA()
  ),
  NA()
)</f>
        <v>#N/A</v>
      </c>
      <c r="Q119" s="106" t="e" cm="1">
        <f t="array" ref="Q119">IF(
  AND(
    INDEX($2:$2, COLUMN()) &gt;= MTP_BaseYear,
    INDEX($2:$2, COLUMN()) &lt;= OutturnThrough
  ),
  IFERROR(
    IF(
      Q114 - INDEX(Assessment!$15:$15,
                   _xlfn.XMATCH(INDEX($2:$2, COLUMN()),
                          Assessment!$4:$4, 0)
            ) &lt; 0,
      INDEX(Assessment!$15:$15,
            _xlfn.XMATCH(INDEX($2:$2, COLUMN()),
                   Assessment!$4:$4, 0)
      ),
      NA()
    ),
    NA()
  ),
  NA()
)</f>
        <v>#N/A</v>
      </c>
      <c r="R119" s="106" t="e" cm="1">
        <f t="array" ref="R119">IF(
  AND(
    INDEX($2:$2, COLUMN()) &gt;= MTP_BaseYear,
    INDEX($2:$2, COLUMN()) &lt;= OutturnThrough
  ),
  IFERROR(
    IF(
      R114 - INDEX(Assessment!$15:$15,
                   _xlfn.XMATCH(INDEX($2:$2, COLUMN()),
                          Assessment!$4:$4, 0)
            ) &lt; 0,
      INDEX(Assessment!$15:$15,
            _xlfn.XMATCH(INDEX($2:$2, COLUMN()),
                   Assessment!$4:$4, 0)
      ),
      NA()
    ),
    NA()
  ),
  NA()
)</f>
        <v>#N/A</v>
      </c>
      <c r="S119" s="106" t="e" cm="1">
        <f t="array" ref="S119">IF(
  AND(
    INDEX($2:$2, COLUMN()) &gt;= MTP_BaseYear,
    INDEX($2:$2, COLUMN()) &lt;= OutturnThrough
  ),
  IFERROR(
    IF(
      S114 - INDEX(Assessment!$15:$15,
                   _xlfn.XMATCH(INDEX($2:$2, COLUMN()),
                          Assessment!$4:$4, 0)
            ) &lt; 0,
      INDEX(Assessment!$15:$15,
            _xlfn.XMATCH(INDEX($2:$2, COLUMN()),
                   Assessment!$4:$4, 0)
      ),
      NA()
    ),
    NA()
  ),
  NA()
)</f>
        <v>#N/A</v>
      </c>
      <c r="T119" s="106" t="e" cm="1">
        <f t="array" ref="T119">IF(
  AND(
    INDEX($2:$2, COLUMN()) &gt;= MTP_BaseYear,
    INDEX($2:$2, COLUMN()) &lt;= OutturnThrough
  ),
  IFERROR(
    IF(
      T114 - INDEX(Assessment!$15:$15,
                   _xlfn.XMATCH(INDEX($2:$2, COLUMN()),
                          Assessment!$4:$4, 0)
            ) &lt; 0,
      INDEX(Assessment!$15:$15,
            _xlfn.XMATCH(INDEX($2:$2, COLUMN()),
                   Assessment!$4:$4, 0)
      ),
      NA()
    ),
    NA()
  ),
  NA()
)</f>
        <v>#N/A</v>
      </c>
      <c r="U119" s="106" t="e" cm="1">
        <f t="array" ref="U119">IF(
  AND(
    INDEX($2:$2, COLUMN()) &gt;= MTP_BaseYear,
    INDEX($2:$2, COLUMN()) &lt;= OutturnThrough
  ),
  IFERROR(
    IF(
      U114 - INDEX(Assessment!$15:$15,
                   _xlfn.XMATCH(INDEX($2:$2, COLUMN()),
                          Assessment!$4:$4, 0)
            ) &lt; 0,
      INDEX(Assessment!$15:$15,
            _xlfn.XMATCH(INDEX($2:$2, COLUMN()),
                   Assessment!$4:$4, 0)
      ),
      NA()
    ),
    NA()
  ),
  NA()
)</f>
        <v>#N/A</v>
      </c>
      <c r="V119" s="106" t="e" cm="1">
        <f t="array" ref="V119">IF(
  AND(
    INDEX($2:$2, COLUMN()) &gt;= MTP_BaseYear,
    INDEX($2:$2, COLUMN()) &lt;= OutturnThrough
  ),
  IFERROR(
    IF(
      V114 - INDEX(Assessment!$15:$15,
                   _xlfn.XMATCH(INDEX($2:$2, COLUMN()),
                          Assessment!$4:$4, 0)
            ) &lt; 0,
      INDEX(Assessment!$15:$15,
            _xlfn.XMATCH(INDEX($2:$2, COLUMN()),
                   Assessment!$4:$4, 0)
      ),
      NA()
    ),
    NA()
  ),
  NA()
)</f>
        <v>#N/A</v>
      </c>
      <c r="W119" s="106"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10" t="s">
        <v>564</v>
      </c>
      <c r="D120" s="4">
        <f>IF(_xlfn.AGGREGATE(5,6,F114:W119)&lt;0, _xlfn.AGGREGATE(5,6,F114:W119), 0)</f>
        <v>0</v>
      </c>
      <c r="F120" s="64"/>
      <c r="G120" s="64"/>
      <c r="H120" s="64"/>
      <c r="I120" s="64"/>
      <c r="J120" s="64"/>
      <c r="K120" s="64"/>
      <c r="L120" s="64"/>
      <c r="M120" s="64"/>
      <c r="N120" s="64"/>
      <c r="O120" s="64"/>
      <c r="P120" s="64"/>
      <c r="Q120" s="64"/>
      <c r="R120" s="64"/>
      <c r="S120" s="64"/>
      <c r="T120" s="64"/>
      <c r="U120" s="64"/>
      <c r="V120" s="64"/>
      <c r="W120" s="64"/>
    </row>
    <row r="121" spans="2:23" x14ac:dyDescent="0.4">
      <c r="C121" s="110" t="s">
        <v>565</v>
      </c>
      <c r="D121" s="4">
        <f>_xlfn.AGGREGATE(4,6,F114:W119)</f>
        <v>5.3</v>
      </c>
    </row>
    <row r="122" spans="2:23" ht="13.5" customHeight="1" x14ac:dyDescent="0.6">
      <c r="C122" s="11"/>
    </row>
    <row r="123" spans="2:23" ht="16.5" x14ac:dyDescent="0.6">
      <c r="B123" s="110" t="s">
        <v>590</v>
      </c>
      <c r="C123" s="11" t="s">
        <v>389</v>
      </c>
    </row>
    <row r="124" spans="2:23" x14ac:dyDescent="0.4">
      <c r="C124" s="2" t="s">
        <v>388</v>
      </c>
      <c r="F124" s="64">
        <f>Assessment!E71</f>
        <v>-1.362466</v>
      </c>
      <c r="G124" s="64">
        <f>Assessment!F71</f>
        <v>-0.96246599999999993</v>
      </c>
      <c r="H124" s="64">
        <f>Assessment!G71</f>
        <v>-0.56246599999999991</v>
      </c>
      <c r="I124" s="64">
        <f>Assessment!H71</f>
        <v>-0.16246599999999989</v>
      </c>
      <c r="J124" s="64">
        <f>Assessment!I71</f>
        <v>-0.16246599999999989</v>
      </c>
      <c r="K124" s="64">
        <f>Assessment!J71</f>
        <v>-0.16246599999999989</v>
      </c>
      <c r="L124" s="64">
        <f>Assessment!K71</f>
        <v>-0.16246599999999989</v>
      </c>
      <c r="M124" s="64">
        <f>Assessment!L71</f>
        <v>-0.16246599999999989</v>
      </c>
      <c r="N124" s="64">
        <f>Assessment!M71</f>
        <v>-0.16246599999999989</v>
      </c>
      <c r="O124" s="64">
        <f>Assessment!N71</f>
        <v>-0.16246599999999989</v>
      </c>
      <c r="P124" s="64">
        <f>Assessment!O71</f>
        <v>-0.16246599999999989</v>
      </c>
      <c r="Q124" s="64">
        <f>Assessment!P71</f>
        <v>-0.16246599999999989</v>
      </c>
      <c r="R124" s="64">
        <f>Assessment!Q71</f>
        <v>-0.16246599999999989</v>
      </c>
      <c r="S124" s="64">
        <f>Assessment!R71</f>
        <v>-0.16246599999999989</v>
      </c>
      <c r="T124" s="64">
        <f>Assessment!S71</f>
        <v>-0.16246599999999989</v>
      </c>
      <c r="U124" s="64" t="str">
        <f>Assessment!T71</f>
        <v/>
      </c>
      <c r="V124" s="64" t="str">
        <f>Assessment!U71</f>
        <v/>
      </c>
      <c r="W124" s="64" t="str">
        <f>Assessment!V71</f>
        <v/>
      </c>
    </row>
    <row r="125" spans="2:23" x14ac:dyDescent="0.4">
      <c r="C125" s="2" t="s">
        <v>296</v>
      </c>
      <c r="F125" s="4"/>
      <c r="G125" s="4"/>
      <c r="H125" s="4"/>
      <c r="I125" s="4"/>
      <c r="J125" s="4"/>
      <c r="K125" s="4"/>
      <c r="L125" s="4"/>
      <c r="M125" s="4"/>
      <c r="N125" s="4"/>
      <c r="O125" s="4"/>
      <c r="P125" s="4"/>
      <c r="Q125" s="4"/>
      <c r="R125" s="4"/>
      <c r="S125" s="4"/>
      <c r="T125" s="4"/>
      <c r="U125" s="4"/>
      <c r="V125" s="4"/>
      <c r="W125" s="4"/>
    </row>
    <row r="126" spans="2:23" x14ac:dyDescent="0.4">
      <c r="C126" s="2" t="s">
        <v>243</v>
      </c>
      <c r="F126" s="64" t="e">
        <f>IF(OR(ISNUMBER(F128),ISNUMBER(F129)),NA(),IF(ISNUMBER(Assessment!E19),Assessment!E19,NA()))</f>
        <v>#N/A</v>
      </c>
      <c r="G126" s="64" t="e">
        <f>IF(OR(ISNUMBER(G128),ISNUMBER(G129)),NA(),IF(ISNUMBER(Assessment!F19),Assessment!F19,NA()))</f>
        <v>#N/A</v>
      </c>
      <c r="H126" s="64">
        <f>IF(OR(ISNUMBER(H128),ISNUMBER(H129)),NA(),IF(ISNUMBER(Assessment!G19),Assessment!G19,NA()))</f>
        <v>-1.3</v>
      </c>
      <c r="I126" s="64" t="e">
        <f>IF(OR(ISNUMBER(I128),ISNUMBER(I129)),NA(),IF(ISNUMBER(Assessment!H19),Assessment!H19,NA()))</f>
        <v>#N/A</v>
      </c>
      <c r="J126" s="64" t="e">
        <f>IF(OR(ISNUMBER(J128),ISNUMBER(J129)),NA(),IF(ISNUMBER(Assessment!I19),Assessment!I19,NA()))</f>
        <v>#N/A</v>
      </c>
      <c r="K126" s="64" t="e">
        <f>IF(OR(ISNUMBER(K128),ISNUMBER(K129)),NA(),IF(ISNUMBER(Assessment!J19),Assessment!J19,NA()))</f>
        <v>#N/A</v>
      </c>
      <c r="L126" s="64" t="e">
        <f>IF(OR(ISNUMBER(L128),ISNUMBER(L129)),NA(),IF(ISNUMBER(Assessment!K19),Assessment!K19,NA()))</f>
        <v>#N/A</v>
      </c>
      <c r="M126" s="64" t="e">
        <f>IF(OR(ISNUMBER(M128),ISNUMBER(M129)),NA(),IF(ISNUMBER(Assessment!L19),Assessment!L19,NA()))</f>
        <v>#N/A</v>
      </c>
      <c r="N126" s="64" t="e">
        <f>IF(OR(ISNUMBER(N128),ISNUMBER(N129)),NA(),IF(ISNUMBER(Assessment!M19),Assessment!M19,NA()))</f>
        <v>#N/A</v>
      </c>
      <c r="O126" s="64" t="e">
        <f>IF(OR(ISNUMBER(O128),ISNUMBER(O129)),NA(),IF(ISNUMBER(Assessment!N19),Assessment!N19,NA()))</f>
        <v>#N/A</v>
      </c>
      <c r="P126" s="64" t="e">
        <f>IF(OR(ISNUMBER(P128),ISNUMBER(P129)),NA(),IF(ISNUMBER(Assessment!O19),Assessment!O19,NA()))</f>
        <v>#N/A</v>
      </c>
      <c r="Q126" s="64" t="e">
        <f>IF(OR(ISNUMBER(Q128),ISNUMBER(Q129)),NA(),IF(ISNUMBER(Assessment!P19),Assessment!P19,NA()))</f>
        <v>#N/A</v>
      </c>
      <c r="R126" s="64" t="e">
        <f>IF(OR(ISNUMBER(R128),ISNUMBER(R129)),NA(),IF(ISNUMBER(Assessment!Q19),Assessment!Q19,NA()))</f>
        <v>#N/A</v>
      </c>
      <c r="S126" s="64" t="e">
        <f>IF(OR(ISNUMBER(S128),ISNUMBER(S129)),NA(),IF(ISNUMBER(Assessment!R19),Assessment!R19,NA()))</f>
        <v>#N/A</v>
      </c>
      <c r="T126" s="64" t="e">
        <f>IF(OR(ISNUMBER(T128),ISNUMBER(T129)),NA(),IF(ISNUMBER(Assessment!S19),Assessment!S19,NA()))</f>
        <v>#N/A</v>
      </c>
      <c r="U126" s="64" t="e">
        <f>IF(OR(ISNUMBER(U128),ISNUMBER(U129)),NA(),IF(ISNUMBER(Assessment!T19),Assessment!T19,NA()))</f>
        <v>#N/A</v>
      </c>
      <c r="V126" s="64" t="e">
        <f>IF(OR(ISNUMBER(V128),ISNUMBER(V129)),NA(),IF(ISNUMBER(Assessment!U19),Assessment!U19,NA()))</f>
        <v>#N/A</v>
      </c>
      <c r="W126" s="64" t="e">
        <f>IF(OR(ISNUMBER(W128),ISNUMBER(W129)),NA(),IF(ISNUMBER(Assessment!V19),Assessment!V19,NA()))</f>
        <v>#N/A</v>
      </c>
    </row>
    <row r="127" spans="2:23" x14ac:dyDescent="0.4">
      <c r="C127" s="2" t="s">
        <v>297</v>
      </c>
      <c r="F127" s="4"/>
      <c r="G127" s="4"/>
      <c r="H127" s="4"/>
      <c r="I127" s="4"/>
      <c r="J127" s="4"/>
      <c r="K127" s="4"/>
      <c r="L127" s="4"/>
      <c r="M127" s="4"/>
      <c r="N127" s="4"/>
      <c r="O127" s="4"/>
      <c r="P127" s="4"/>
      <c r="Q127" s="4"/>
      <c r="R127" s="4"/>
      <c r="S127" s="4"/>
      <c r="T127" s="4"/>
      <c r="U127" s="4"/>
      <c r="V127" s="4"/>
      <c r="W127" s="4"/>
    </row>
    <row r="128" spans="2:23" ht="17.25" customHeight="1" x14ac:dyDescent="0.4">
      <c r="C128" s="2" t="s">
        <v>298</v>
      </c>
      <c r="F128" s="106" cm="1">
        <f t="array" ref="F128">IF(
  AND(
    INDEX($2:$2, COLUMN()) &gt;= MTP_BaseYear,
    INDEX($2:$2, COLUMN()) &lt;= OutturnThrough
  ),
  IFERROR(
    IF(
      F124 - INDEX(Assessment!$19:$19,
                   _xlfn.XMATCH(INDEX($2:$2, COLUMN()),
                          Assessment!$4:$4, 0)
            ) &lt; 0,
      INDEX(Assessment!$19:$19,
            _xlfn.XMATCH(INDEX($2:$2, COLUMN()),
                   Assessment!$4:$4, 0)
      ),
      NA()
    ),
    NA()
  ),
  NA()
)</f>
        <v>-0.21811</v>
      </c>
      <c r="G128" s="106" t="e" cm="1">
        <f t="array" ref="G128">IF(
  AND(
    INDEX($2:$2, COLUMN()) &gt;= MTP_BaseYear,
    INDEX($2:$2, COLUMN()) &lt;= OutturnThrough
  ),
  IFERROR(
    IF(
      G124 - INDEX(Assessment!$19:$19,
                   _xlfn.XMATCH(INDEX($2:$2, COLUMN()),
                          Assessment!$4:$4, 0)
            ) &lt; 0,
      INDEX(Assessment!$19:$19,
            _xlfn.XMATCH(INDEX($2:$2, COLUMN()),
                   Assessment!$4:$4, 0)
      ),
      NA()
    ),
    NA()
  ),
  NA()
)</f>
        <v>#N/A</v>
      </c>
      <c r="H128" s="106" t="e" cm="1">
        <f t="array" ref="H128">IF(
  AND(
    INDEX($2:$2, COLUMN()) &gt;= MTP_BaseYear,
    INDEX($2:$2, COLUMN()) &lt;= OutturnThrough
  ),
  IFERROR(
    IF(
      H124 - INDEX(Assessment!$19:$19,
                   _xlfn.XMATCH(INDEX($2:$2, COLUMN()),
                          Assessment!$4:$4, 0)
            ) &lt; 0,
      INDEX(Assessment!$19:$19,
            _xlfn.XMATCH(INDEX($2:$2, COLUMN()),
                   Assessment!$4:$4, 0)
      ),
      NA()
    ),
    NA()
  ),
  NA()
)</f>
        <v>#N/A</v>
      </c>
      <c r="I128" s="106" t="e" cm="1">
        <f t="array" ref="I128">IF(
  AND(
    INDEX($2:$2, COLUMN()) &gt;= MTP_BaseYear,
    INDEX($2:$2, COLUMN()) &lt;= OutturnThrough
  ),
  IFERROR(
    IF(
      I124 - INDEX(Assessment!$19:$19,
                   _xlfn.XMATCH(INDEX($2:$2, COLUMN()),
                          Assessment!$4:$4, 0)
            ) &lt; 0,
      INDEX(Assessment!$19:$19,
            _xlfn.XMATCH(INDEX($2:$2, COLUMN()),
                   Assessment!$4:$4, 0)
      ),
      NA()
    ),
    NA()
  ),
  NA()
)</f>
        <v>#N/A</v>
      </c>
      <c r="J128" s="106" t="e" cm="1">
        <f t="array" ref="J128">IF(
  AND(
    INDEX($2:$2, COLUMN()) &gt;= MTP_BaseYear,
    INDEX($2:$2, COLUMN()) &lt;= OutturnThrough
  ),
  IFERROR(
    IF(
      J124 - INDEX(Assessment!$19:$19,
                   _xlfn.XMATCH(INDEX($2:$2, COLUMN()),
                          Assessment!$4:$4, 0)
            ) &lt; 0,
      INDEX(Assessment!$19:$19,
            _xlfn.XMATCH(INDEX($2:$2, COLUMN()),
                   Assessment!$4:$4, 0)
      ),
      NA()
    ),
    NA()
  ),
  NA()
)</f>
        <v>#N/A</v>
      </c>
      <c r="K128" s="106" t="e" cm="1">
        <f t="array" ref="K128">IF(
  AND(
    INDEX($2:$2, COLUMN()) &gt;= MTP_BaseYear,
    INDEX($2:$2, COLUMN()) &lt;= OutturnThrough
  ),
  IFERROR(
    IF(
      K124 - INDEX(Assessment!$19:$19,
                   _xlfn.XMATCH(INDEX($2:$2, COLUMN()),
                          Assessment!$4:$4, 0)
            ) &lt; 0,
      INDEX(Assessment!$19:$19,
            _xlfn.XMATCH(INDEX($2:$2, COLUMN()),
                   Assessment!$4:$4, 0)
      ),
      NA()
    ),
    NA()
  ),
  NA()
)</f>
        <v>#N/A</v>
      </c>
      <c r="L128" s="106" t="e" cm="1">
        <f t="array" ref="L128">IF(
  AND(
    INDEX($2:$2, COLUMN()) &gt;= MTP_BaseYear,
    INDEX($2:$2, COLUMN()) &lt;= OutturnThrough
  ),
  IFERROR(
    IF(
      L124 - INDEX(Assessment!$19:$19,
                   _xlfn.XMATCH(INDEX($2:$2, COLUMN()),
                          Assessment!$4:$4, 0)
            ) &lt; 0,
      INDEX(Assessment!$19:$19,
            _xlfn.XMATCH(INDEX($2:$2, COLUMN()),
                   Assessment!$4:$4, 0)
      ),
      NA()
    ),
    NA()
  ),
  NA()
)</f>
        <v>#N/A</v>
      </c>
      <c r="M128" s="106" t="e" cm="1">
        <f t="array" ref="M128">IF(
  AND(
    INDEX($2:$2, COLUMN()) &gt;= MTP_BaseYear,
    INDEX($2:$2, COLUMN()) &lt;= OutturnThrough
  ),
  IFERROR(
    IF(
      M124 - INDEX(Assessment!$19:$19,
                   _xlfn.XMATCH(INDEX($2:$2, COLUMN()),
                          Assessment!$4:$4, 0)
            ) &lt; 0,
      INDEX(Assessment!$19:$19,
            _xlfn.XMATCH(INDEX($2:$2, COLUMN()),
                   Assessment!$4:$4, 0)
      ),
      NA()
    ),
    NA()
  ),
  NA()
)</f>
        <v>#N/A</v>
      </c>
      <c r="N128" s="106" t="e" cm="1">
        <f t="array" ref="N128">IF(
  AND(
    INDEX($2:$2, COLUMN()) &gt;= MTP_BaseYear,
    INDEX($2:$2, COLUMN()) &lt;= OutturnThrough
  ),
  IFERROR(
    IF(
      N124 - INDEX(Assessment!$19:$19,
                   _xlfn.XMATCH(INDEX($2:$2, COLUMN()),
                          Assessment!$4:$4, 0)
            ) &lt; 0,
      INDEX(Assessment!$19:$19,
            _xlfn.XMATCH(INDEX($2:$2, COLUMN()),
                   Assessment!$4:$4, 0)
      ),
      NA()
    ),
    NA()
  ),
  NA()
)</f>
        <v>#N/A</v>
      </c>
      <c r="O128" s="106" t="e" cm="1">
        <f t="array" ref="O128">IF(
  AND(
    INDEX($2:$2, COLUMN()) &gt;= MTP_BaseYear,
    INDEX($2:$2, COLUMN()) &lt;= OutturnThrough
  ),
  IFERROR(
    IF(
      O124 - INDEX(Assessment!$19:$19,
                   _xlfn.XMATCH(INDEX($2:$2, COLUMN()),
                          Assessment!$4:$4, 0)
            ) &lt; 0,
      INDEX(Assessment!$19:$19,
            _xlfn.XMATCH(INDEX($2:$2, COLUMN()),
                   Assessment!$4:$4, 0)
      ),
      NA()
    ),
    NA()
  ),
  NA()
)</f>
        <v>#N/A</v>
      </c>
      <c r="P128" s="106" t="e" cm="1">
        <f t="array" ref="P128">IF(
  AND(
    INDEX($2:$2, COLUMN()) &gt;= MTP_BaseYear,
    INDEX($2:$2, COLUMN()) &lt;= OutturnThrough
  ),
  IFERROR(
    IF(
      P124 - INDEX(Assessment!$19:$19,
                   _xlfn.XMATCH(INDEX($2:$2, COLUMN()),
                          Assessment!$4:$4, 0)
            ) &lt; 0,
      INDEX(Assessment!$19:$19,
            _xlfn.XMATCH(INDEX($2:$2, COLUMN()),
                   Assessment!$4:$4, 0)
      ),
      NA()
    ),
    NA()
  ),
  NA()
)</f>
        <v>#N/A</v>
      </c>
      <c r="Q128" s="106" t="e" cm="1">
        <f t="array" ref="Q128">IF(
  AND(
    INDEX($2:$2, COLUMN()) &gt;= MTP_BaseYear,
    INDEX($2:$2, COLUMN()) &lt;= OutturnThrough
  ),
  IFERROR(
    IF(
      Q124 - INDEX(Assessment!$19:$19,
                   _xlfn.XMATCH(INDEX($2:$2, COLUMN()),
                          Assessment!$4:$4, 0)
            ) &lt; 0,
      INDEX(Assessment!$19:$19,
            _xlfn.XMATCH(INDEX($2:$2, COLUMN()),
                   Assessment!$4:$4, 0)
      ),
      NA()
    ),
    NA()
  ),
  NA()
)</f>
        <v>#N/A</v>
      </c>
      <c r="R128" s="106" t="e" cm="1">
        <f t="array" ref="R128">IF(
  AND(
    INDEX($2:$2, COLUMN()) &gt;= MTP_BaseYear,
    INDEX($2:$2, COLUMN()) &lt;= OutturnThrough
  ),
  IFERROR(
    IF(
      R124 - INDEX(Assessment!$19:$19,
                   _xlfn.XMATCH(INDEX($2:$2, COLUMN()),
                          Assessment!$4:$4, 0)
            ) &lt; 0,
      INDEX(Assessment!$19:$19,
            _xlfn.XMATCH(INDEX($2:$2, COLUMN()),
                   Assessment!$4:$4, 0)
      ),
      NA()
    ),
    NA()
  ),
  NA()
)</f>
        <v>#N/A</v>
      </c>
      <c r="S128" s="106" t="e" cm="1">
        <f t="array" ref="S128">IF(
  AND(
    INDEX($2:$2, COLUMN()) &gt;= MTP_BaseYear,
    INDEX($2:$2, COLUMN()) &lt;= OutturnThrough
  ),
  IFERROR(
    IF(
      S124 - INDEX(Assessment!$19:$19,
                   _xlfn.XMATCH(INDEX($2:$2, COLUMN()),
                          Assessment!$4:$4, 0)
            ) &lt; 0,
      INDEX(Assessment!$19:$19,
            _xlfn.XMATCH(INDEX($2:$2, COLUMN()),
                   Assessment!$4:$4, 0)
      ),
      NA()
    ),
    NA()
  ),
  NA()
)</f>
        <v>#N/A</v>
      </c>
      <c r="T128" s="106" t="e" cm="1">
        <f t="array" ref="T128">IF(
  AND(
    INDEX($2:$2, COLUMN()) &gt;= MTP_BaseYear,
    INDEX($2:$2, COLUMN()) &lt;= OutturnThrough
  ),
  IFERROR(
    IF(
      T124 - INDEX(Assessment!$19:$19,
                   _xlfn.XMATCH(INDEX($2:$2, COLUMN()),
                          Assessment!$4:$4, 0)
            ) &lt; 0,
      INDEX(Assessment!$19:$19,
            _xlfn.XMATCH(INDEX($2:$2, COLUMN()),
                   Assessment!$4:$4, 0)
      ),
      NA()
    ),
    NA()
  ),
  NA()
)</f>
        <v>#N/A</v>
      </c>
      <c r="U128" s="106" t="e" cm="1">
        <f t="array" ref="U128">IF(
  AND(
    INDEX($2:$2, COLUMN()) &gt;= MTP_BaseYear,
    INDEX($2:$2, COLUMN()) &lt;= OutturnThrough
  ),
  IFERROR(
    IF(
      U124 - INDEX(Assessment!$19:$19,
                   _xlfn.XMATCH(INDEX($2:$2, COLUMN()),
                          Assessment!$4:$4, 0)
            ) &lt; 0,
      INDEX(Assessment!$19:$19,
            _xlfn.XMATCH(INDEX($2:$2, COLUMN()),
                   Assessment!$4:$4, 0)
      ),
      NA()
    ),
    NA()
  ),
  NA()
)</f>
        <v>#N/A</v>
      </c>
      <c r="V128" s="106" t="e" cm="1">
        <f t="array" ref="V128">IF(
  AND(
    INDEX($2:$2, COLUMN()) &gt;= MTP_BaseYear,
    INDEX($2:$2, COLUMN()) &lt;= OutturnThrough
  ),
  IFERROR(
    IF(
      V124 - INDEX(Assessment!$19:$19,
                   _xlfn.XMATCH(INDEX($2:$2, COLUMN()),
                          Assessment!$4:$4, 0)
            ) &lt; 0,
      INDEX(Assessment!$19:$19,
            _xlfn.XMATCH(INDEX($2:$2, COLUMN()),
                   Assessment!$4:$4, 0)
      ),
      NA()
    ),
    NA()
  ),
  NA()
)</f>
        <v>#N/A</v>
      </c>
      <c r="W128" s="106"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299</v>
      </c>
      <c r="F129" s="106"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06"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-1.41309</v>
      </c>
      <c r="H129" s="106"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06"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06"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06"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06"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06"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06"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06"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06"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06"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06"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06"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06"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06"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06"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06"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10" t="s">
        <v>564</v>
      </c>
      <c r="D130" s="4">
        <f>IF(_xlfn.AGGREGATE(5,6,F124:W129)&lt;0, _xlfn.AGGREGATE(5,6,F124:W129), 0)</f>
        <v>-1.41309</v>
      </c>
      <c r="F130" s="64"/>
      <c r="G130" s="64"/>
      <c r="H130" s="64"/>
      <c r="I130" s="64"/>
      <c r="J130" s="64"/>
      <c r="K130" s="64"/>
      <c r="L130" s="64"/>
      <c r="M130" s="64"/>
      <c r="N130" s="64"/>
      <c r="O130" s="64"/>
      <c r="P130" s="64"/>
      <c r="Q130" s="64"/>
      <c r="R130" s="64"/>
      <c r="S130" s="64"/>
      <c r="T130" s="64"/>
      <c r="U130" s="64"/>
      <c r="V130" s="64"/>
      <c r="W130" s="64"/>
    </row>
    <row r="131" spans="2:23" x14ac:dyDescent="0.4">
      <c r="C131" s="110" t="s">
        <v>565</v>
      </c>
      <c r="D131" s="4">
        <f>_xlfn.AGGREGATE(4,6,F124:W129)</f>
        <v>-0.16246599999999989</v>
      </c>
    </row>
    <row r="132" spans="2:23" ht="14.25" customHeight="1" x14ac:dyDescent="0.4">
      <c r="C132" s="2"/>
      <c r="F132" s="106"/>
      <c r="G132" s="106"/>
      <c r="H132" s="106"/>
      <c r="I132" s="106"/>
      <c r="J132" s="106"/>
      <c r="K132" s="106"/>
      <c r="L132" s="106"/>
      <c r="M132" s="106"/>
      <c r="N132" s="106"/>
      <c r="O132" s="106"/>
      <c r="P132" s="106"/>
      <c r="Q132" s="106"/>
      <c r="R132" s="106"/>
      <c r="S132" s="106"/>
      <c r="T132" s="106"/>
      <c r="U132" s="64"/>
      <c r="V132" s="64"/>
      <c r="W132" s="64"/>
    </row>
    <row r="133" spans="2:23" ht="13.5" customHeight="1" x14ac:dyDescent="0.6">
      <c r="B133" s="110" t="s">
        <v>576</v>
      </c>
      <c r="C133" s="11" t="s">
        <v>577</v>
      </c>
    </row>
    <row r="134" spans="2:23" ht="13.5" customHeight="1" x14ac:dyDescent="0.4">
      <c r="C134" t="s">
        <v>567</v>
      </c>
      <c r="F134" s="3">
        <f>IF(ISNUMBER(Assessment!E36),Assessment!E36,NA())</f>
        <v>-1.9</v>
      </c>
      <c r="G134" s="3">
        <f>IF(ISNUMBER(Assessment!F36),Assessment!F36,NA())</f>
        <v>-2.5</v>
      </c>
      <c r="H134" s="3">
        <f>IF(ISNUMBER(Assessment!G36),Assessment!G36,NA())</f>
        <v>-2.6</v>
      </c>
      <c r="I134" s="3">
        <f>IF(ISNUMBER(Assessment!H36),Assessment!H36,NA())</f>
        <v>-2.7</v>
      </c>
      <c r="J134" s="3">
        <f>IF(ISNUMBER(Assessment!I36),Assessment!I36,NA())</f>
        <v>-2.7</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566</v>
      </c>
      <c r="F135" s="3" t="e">
        <f>IF(OR(ISNUMBER(F138),ISNUMBER(F139)),NA(),IF(ISNUMBER(Assessment!E18),Assessment!E18,NA()))</f>
        <v>#N/A</v>
      </c>
      <c r="G135" s="35" t="e">
        <f>IF(OR(ISNUMBER(G138),ISNUMBER(G139)),NA(),IF(ISNUMBER(Assessment!F18),Assessment!F18,NA()))</f>
        <v>#N/A</v>
      </c>
      <c r="H135" s="3">
        <f>IF(OR(ISNUMBER(H138),ISNUMBER(H139)),NA(),IF(ISNUMBER(Assessment!G18),Assessment!G18,NA()))</f>
        <v>-2.6</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296</v>
      </c>
      <c r="F136" s="3"/>
      <c r="G136" s="35"/>
      <c r="H136" s="3"/>
      <c r="I136" s="3"/>
      <c r="J136" s="3"/>
      <c r="K136" s="3"/>
      <c r="L136" s="3"/>
      <c r="M136" s="3"/>
      <c r="N136" s="3"/>
      <c r="O136" s="3"/>
      <c r="P136" s="3"/>
      <c r="Q136" s="3"/>
      <c r="R136" s="3"/>
      <c r="S136" s="3"/>
      <c r="T136" s="3"/>
      <c r="U136" s="3"/>
      <c r="V136" s="3"/>
      <c r="W136" s="3"/>
    </row>
    <row r="137" spans="2:23" ht="13.5" customHeight="1" x14ac:dyDescent="0.4">
      <c r="C137" t="s">
        <v>297</v>
      </c>
      <c r="F137" s="3"/>
      <c r="G137" s="35"/>
      <c r="H137" s="3"/>
      <c r="I137" s="3"/>
      <c r="J137" s="3"/>
      <c r="K137" s="3"/>
      <c r="L137" s="3"/>
      <c r="M137" s="3"/>
      <c r="N137" s="3"/>
      <c r="O137" s="3"/>
      <c r="P137" s="3"/>
      <c r="Q137" s="3"/>
      <c r="R137" s="3"/>
      <c r="S137" s="3"/>
      <c r="T137" s="3"/>
      <c r="U137" s="3"/>
      <c r="V137" s="3"/>
      <c r="W137" s="3"/>
    </row>
    <row r="138" spans="2:23" ht="13.5" customHeight="1" x14ac:dyDescent="0.4">
      <c r="C138" t="s">
        <v>298</v>
      </c>
      <c r="F138" s="123" t="e" cm="1">
        <f t="array" ref="F138">_xlfn.LET(
  _xlpm.y, INDEX('Chart data'!$2:$2, COLUMN()),
  _xlpm.col, _xlfn.XMATCH(_xlpm.y, Assessment!$4:$4, 0),
  _xlpm.v, INDEX(Assessment!$18:$18, _xlpm.col),
  IF(
    _xlpm.y&lt;=OutturnThrough,
    IF(AND(ISNUMBER(_xlpm.v), _xlpm.v&gt;=0), _xlpm.v, NA()),
    NA()
  )
)</f>
        <v>#N/A</v>
      </c>
      <c r="G138" s="123" t="e" cm="1">
        <f t="array" ref="G138">_xlfn.LET(
  _xlpm.y, INDEX('Chart data'!$2:$2, COLUMN()),
  _xlpm.col, _xlfn.XMATCH(_xlpm.y, Assessment!$4:$4, 0),
  _xlpm.v, INDEX(Assessment!$18:$18, _xlpm.col),
  IF(
    _xlpm.y&lt;=OutturnThrough,
    IF(AND(ISNUMBER(_xlpm.v), _xlpm.v&gt;=0), _xlpm.v, NA()),
    NA()
  )
)</f>
        <v>#N/A</v>
      </c>
      <c r="H138" s="123" t="e" cm="1">
        <f t="array" ref="H138">_xlfn.LET(
  _xlpm.y, INDEX('Chart data'!$2:$2, COLUMN()),
  _xlpm.col, _xlfn.XMATCH(_xlpm.y, Assessment!$4:$4, 0),
  _xlpm.v, INDEX(Assessment!$18:$18, _xlpm.col),
  IF(
    _xlpm.y&lt;=OutturnThrough,
    IF(AND(ISNUMBER(_xlpm.v), _xlpm.v&gt;=0), _xlpm.v, NA()),
    NA()
  )
)</f>
        <v>#N/A</v>
      </c>
      <c r="I138" s="123" t="e" cm="1">
        <f t="array" ref="I138">_xlfn.LET(
  _xlpm.y, INDEX('Chart data'!$2:$2, COLUMN()),
  _xlpm.col, _xlfn.XMATCH(_xlpm.y, Assessment!$4:$4, 0),
  _xlpm.v, INDEX(Assessment!$18:$18, _xlpm.col),
  IF(
    _xlpm.y&lt;=OutturnThrough,
    IF(AND(ISNUMBER(_xlpm.v), _xlpm.v&gt;=0), _xlpm.v, NA()),
    NA()
  )
)</f>
        <v>#N/A</v>
      </c>
      <c r="J138" s="123" t="e" cm="1">
        <f t="array" ref="J138">_xlfn.LET(
  _xlpm.y, INDEX('Chart data'!$2:$2, COLUMN()),
  _xlpm.col, _xlfn.XMATCH(_xlpm.y, Assessment!$4:$4, 0),
  _xlpm.v, INDEX(Assessment!$18:$18, _xlpm.col),
  IF(
    _xlpm.y&lt;=OutturnThrough,
    IF(AND(ISNUMBER(_xlpm.v), _xlpm.v&gt;=0), _xlpm.v, NA()),
    NA()
  )
)</f>
        <v>#N/A</v>
      </c>
      <c r="K138" s="123" t="e" cm="1">
        <f t="array" ref="K138">_xlfn.LET(
  _xlpm.y, INDEX('Chart data'!$2:$2, COLUMN()),
  _xlpm.col, _xlfn.XMATCH(_xlpm.y, Assessment!$4:$4, 0),
  _xlpm.v, INDEX(Assessment!$18:$18, _xlpm.col),
  IF(
    _xlpm.y&lt;=OutturnThrough,
    IF(AND(ISNUMBER(_xlpm.v), _xlpm.v&gt;=0), _xlpm.v, NA()),
    NA()
  )
)</f>
        <v>#N/A</v>
      </c>
      <c r="L138" s="123" t="e" cm="1">
        <f t="array" ref="L138">_xlfn.LET(
  _xlpm.y, INDEX('Chart data'!$2:$2, COLUMN()),
  _xlpm.col, _xlfn.XMATCH(_xlpm.y, Assessment!$4:$4, 0),
  _xlpm.v, INDEX(Assessment!$18:$18, _xlpm.col),
  IF(
    _xlpm.y&lt;=OutturnThrough,
    IF(AND(ISNUMBER(_xlpm.v), _xlpm.v&gt;=0), _xlpm.v, NA()),
    NA()
  )
)</f>
        <v>#N/A</v>
      </c>
      <c r="M138" s="123" t="e" cm="1">
        <f t="array" ref="M138">_xlfn.LET(
  _xlpm.y, INDEX('Chart data'!$2:$2, COLUMN()),
  _xlpm.col, _xlfn.XMATCH(_xlpm.y, Assessment!$4:$4, 0),
  _xlpm.v, INDEX(Assessment!$18:$18, _xlpm.col),
  IF(
    _xlpm.y&lt;=OutturnThrough,
    IF(AND(ISNUMBER(_xlpm.v), _xlpm.v&gt;=0), _xlpm.v, NA()),
    NA()
  )
)</f>
        <v>#N/A</v>
      </c>
      <c r="N138" s="123" t="e" cm="1">
        <f t="array" ref="N138">_xlfn.LET(
  _xlpm.y, INDEX('Chart data'!$2:$2, COLUMN()),
  _xlpm.col, _xlfn.XMATCH(_xlpm.y, Assessment!$4:$4, 0),
  _xlpm.v, INDEX(Assessment!$18:$18, _xlpm.col),
  IF(
    _xlpm.y&lt;=OutturnThrough,
    IF(AND(ISNUMBER(_xlpm.v), _xlpm.v&gt;=0), _xlpm.v, NA()),
    NA()
  )
)</f>
        <v>#N/A</v>
      </c>
      <c r="O138" s="123" t="e" cm="1">
        <f t="array" ref="O138">_xlfn.LET(
  _xlpm.y, INDEX('Chart data'!$2:$2, COLUMN()),
  _xlpm.col, _xlfn.XMATCH(_xlpm.y, Assessment!$4:$4, 0),
  _xlpm.v, INDEX(Assessment!$18:$18, _xlpm.col),
  IF(
    _xlpm.y&lt;=OutturnThrough,
    IF(AND(ISNUMBER(_xlpm.v), _xlpm.v&gt;=0), _xlpm.v, NA()),
    NA()
  )
)</f>
        <v>#N/A</v>
      </c>
      <c r="P138" s="123" t="e" cm="1">
        <f t="array" ref="P138">_xlfn.LET(
  _xlpm.y, INDEX('Chart data'!$2:$2, COLUMN()),
  _xlpm.col, _xlfn.XMATCH(_xlpm.y, Assessment!$4:$4, 0),
  _xlpm.v, INDEX(Assessment!$18:$18, _xlpm.col),
  IF(
    _xlpm.y&lt;=OutturnThrough,
    IF(AND(ISNUMBER(_xlpm.v), _xlpm.v&gt;=0), _xlpm.v, NA()),
    NA()
  )
)</f>
        <v>#N/A</v>
      </c>
      <c r="Q138" s="123" t="e" cm="1">
        <f t="array" ref="Q138">_xlfn.LET(
  _xlpm.y, INDEX('Chart data'!$2:$2, COLUMN()),
  _xlpm.col, _xlfn.XMATCH(_xlpm.y, Assessment!$4:$4, 0),
  _xlpm.v, INDEX(Assessment!$18:$18, _xlpm.col),
  IF(
    _xlpm.y&lt;=OutturnThrough,
    IF(AND(ISNUMBER(_xlpm.v), _xlpm.v&gt;=0), _xlpm.v, NA()),
    NA()
  )
)</f>
        <v>#N/A</v>
      </c>
      <c r="R138" s="123" t="e" cm="1">
        <f t="array" ref="R138">_xlfn.LET(
  _xlpm.y, INDEX('Chart data'!$2:$2, COLUMN()),
  _xlpm.col, _xlfn.XMATCH(_xlpm.y, Assessment!$4:$4, 0),
  _xlpm.v, INDEX(Assessment!$18:$18, _xlpm.col),
  IF(
    _xlpm.y&lt;=OutturnThrough,
    IF(AND(ISNUMBER(_xlpm.v), _xlpm.v&gt;=0), _xlpm.v, NA()),
    NA()
  )
)</f>
        <v>#N/A</v>
      </c>
      <c r="S138" s="123" t="e" cm="1">
        <f t="array" ref="S138">_xlfn.LET(
  _xlpm.y, INDEX('Chart data'!$2:$2, COLUMN()),
  _xlpm.col, _xlfn.XMATCH(_xlpm.y, Assessment!$4:$4, 0),
  _xlpm.v, INDEX(Assessment!$18:$18, _xlpm.col),
  IF(
    _xlpm.y&lt;=OutturnThrough,
    IF(AND(ISNUMBER(_xlpm.v), _xlpm.v&gt;=0), _xlpm.v, NA()),
    NA()
  )
)</f>
        <v>#N/A</v>
      </c>
      <c r="T138" s="123" t="e" cm="1">
        <f t="array" ref="T138">_xlfn.LET(
  _xlpm.y, INDEX('Chart data'!$2:$2, COLUMN()),
  _xlpm.col, _xlfn.XMATCH(_xlpm.y, Assessment!$4:$4, 0),
  _xlpm.v, INDEX(Assessment!$18:$18, _xlpm.col),
  IF(
    _xlpm.y&lt;=OutturnThrough,
    IF(AND(ISNUMBER(_xlpm.v), _xlpm.v&gt;=0), _xlpm.v, NA()),
    NA()
  )
)</f>
        <v>#N/A</v>
      </c>
      <c r="U138" s="123" t="e" cm="1">
        <f t="array" ref="U138">_xlfn.LET(
  _xlpm.y, INDEX('Chart data'!$2:$2, COLUMN()),
  _xlpm.col, _xlfn.XMATCH(_xlpm.y, Assessment!$4:$4, 0),
  _xlpm.v, INDEX(Assessment!$18:$18, _xlpm.col),
  IF(
    _xlpm.y&lt;=OutturnThrough,
    IF(AND(ISNUMBER(_xlpm.v), _xlpm.v&gt;=0), _xlpm.v, NA()),
    NA()
  )
)</f>
        <v>#N/A</v>
      </c>
      <c r="V138" s="123" t="e" cm="1">
        <f t="array" ref="V138">_xlfn.LET(
  _xlpm.y, INDEX('Chart data'!$2:$2, COLUMN()),
  _xlpm.col, _xlfn.XMATCH(_xlpm.y, Assessment!$4:$4, 0),
  _xlpm.v, INDEX(Assessment!$18:$18, _xlpm.col),
  IF(
    _xlpm.y&lt;=OutturnThrough,
    IF(AND(ISNUMBER(_xlpm.v), _xlpm.v&gt;=0), _xlpm.v, NA()),
    NA()
  )
)</f>
        <v>#N/A</v>
      </c>
      <c r="W138" s="123"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299</v>
      </c>
      <c r="F139" s="106" cm="1">
        <f t="array" ref="F139">_xlfn.LET(
  _xlpm.y, INDEX('Chart data'!$2:$2, COLUMN()),
  _xlpm.col, _xlfn.XMATCH(_xlpm.y, Assessment!$4:$4, 0),
  _xlpm.v, INDEX(Assessment!$18:$18, _xlpm.col),
  IF(
    _xlpm.y&lt;=OutturnThrough,
    IF(AND(ISNUMBER(_xlpm.v), _xlpm.v&lt;0), _xlpm.v, NA()),
    NA()
  )
)</f>
        <v>-1.3087</v>
      </c>
      <c r="G139" s="106" cm="1">
        <f t="array" ref="G139">_xlfn.LET(
  _xlpm.y, INDEX('Chart data'!$2:$2, COLUMN()),
  _xlpm.col, _xlfn.XMATCH(_xlpm.y, Assessment!$4:$4, 0),
  _xlpm.v, INDEX(Assessment!$18:$18, _xlpm.col),
  IF(
    _xlpm.y&lt;=OutturnThrough,
    IF(AND(ISNUMBER(_xlpm.v), _xlpm.v&lt;0), _xlpm.v, NA()),
    NA()
  )
)</f>
        <v>-2.5189499999999998</v>
      </c>
      <c r="H139" s="106" t="e" cm="1">
        <f t="array" ref="H139">_xlfn.LET(
  _xlpm.y, INDEX('Chart data'!$2:$2, COLUMN()),
  _xlpm.col, _xlfn.XMATCH(_xlpm.y, Assessment!$4:$4, 0),
  _xlpm.v, INDEX(Assessment!$18:$18, _xlpm.col),
  IF(
    _xlpm.y&lt;=OutturnThrough,
    IF(AND(ISNUMBER(_xlpm.v), _xlpm.v&lt;0), _xlpm.v, NA()),
    NA()
  )
)</f>
        <v>#N/A</v>
      </c>
      <c r="I139" s="106" t="e" cm="1">
        <f t="array" ref="I139">_xlfn.LET(
  _xlpm.y, INDEX('Chart data'!$2:$2, COLUMN()),
  _xlpm.col, _xlfn.XMATCH(_xlpm.y, Assessment!$4:$4, 0),
  _xlpm.v, INDEX(Assessment!$18:$18, _xlpm.col),
  IF(
    _xlpm.y&lt;=OutturnThrough,
    IF(AND(ISNUMBER(_xlpm.v), _xlpm.v&lt;0), _xlpm.v, NA()),
    NA()
  )
)</f>
        <v>#N/A</v>
      </c>
      <c r="J139" s="106" t="e" cm="1">
        <f t="array" ref="J139">_xlfn.LET(
  _xlpm.y, INDEX('Chart data'!$2:$2, COLUMN()),
  _xlpm.col, _xlfn.XMATCH(_xlpm.y, Assessment!$4:$4, 0),
  _xlpm.v, INDEX(Assessment!$18:$18, _xlpm.col),
  IF(
    _xlpm.y&lt;=OutturnThrough,
    IF(AND(ISNUMBER(_xlpm.v), _xlpm.v&lt;0), _xlpm.v, NA()),
    NA()
  )
)</f>
        <v>#N/A</v>
      </c>
      <c r="K139" s="106" t="e" cm="1">
        <f t="array" ref="K139">_xlfn.LET(
  _xlpm.y, INDEX('Chart data'!$2:$2, COLUMN()),
  _xlpm.col, _xlfn.XMATCH(_xlpm.y, Assessment!$4:$4, 0),
  _xlpm.v, INDEX(Assessment!$18:$18, _xlpm.col),
  IF(
    _xlpm.y&lt;=OutturnThrough,
    IF(AND(ISNUMBER(_xlpm.v), _xlpm.v&lt;0), _xlpm.v, NA()),
    NA()
  )
)</f>
        <v>#N/A</v>
      </c>
      <c r="L139" s="106" t="e" cm="1">
        <f t="array" ref="L139">_xlfn.LET(
  _xlpm.y, INDEX('Chart data'!$2:$2, COLUMN()),
  _xlpm.col, _xlfn.XMATCH(_xlpm.y, Assessment!$4:$4, 0),
  _xlpm.v, INDEX(Assessment!$18:$18, _xlpm.col),
  IF(
    _xlpm.y&lt;=OutturnThrough,
    IF(AND(ISNUMBER(_xlpm.v), _xlpm.v&lt;0), _xlpm.v, NA()),
    NA()
  )
)</f>
        <v>#N/A</v>
      </c>
      <c r="M139" s="106" t="e" cm="1">
        <f t="array" ref="M139">_xlfn.LET(
  _xlpm.y, INDEX('Chart data'!$2:$2, COLUMN()),
  _xlpm.col, _xlfn.XMATCH(_xlpm.y, Assessment!$4:$4, 0),
  _xlpm.v, INDEX(Assessment!$18:$18, _xlpm.col),
  IF(
    _xlpm.y&lt;=OutturnThrough,
    IF(AND(ISNUMBER(_xlpm.v), _xlpm.v&lt;0), _xlpm.v, NA()),
    NA()
  )
)</f>
        <v>#N/A</v>
      </c>
      <c r="N139" s="106" t="e" cm="1">
        <f t="array" ref="N139">_xlfn.LET(
  _xlpm.y, INDEX('Chart data'!$2:$2, COLUMN()),
  _xlpm.col, _xlfn.XMATCH(_xlpm.y, Assessment!$4:$4, 0),
  _xlpm.v, INDEX(Assessment!$18:$18, _xlpm.col),
  IF(
    _xlpm.y&lt;=OutturnThrough,
    IF(AND(ISNUMBER(_xlpm.v), _xlpm.v&lt;0), _xlpm.v, NA()),
    NA()
  )
)</f>
        <v>#N/A</v>
      </c>
      <c r="O139" s="106" t="e" cm="1">
        <f t="array" ref="O139">_xlfn.LET(
  _xlpm.y, INDEX('Chart data'!$2:$2, COLUMN()),
  _xlpm.col, _xlfn.XMATCH(_xlpm.y, Assessment!$4:$4, 0),
  _xlpm.v, INDEX(Assessment!$18:$18, _xlpm.col),
  IF(
    _xlpm.y&lt;=OutturnThrough,
    IF(AND(ISNUMBER(_xlpm.v), _xlpm.v&lt;0), _xlpm.v, NA()),
    NA()
  )
)</f>
        <v>#N/A</v>
      </c>
      <c r="P139" s="106" t="e" cm="1">
        <f t="array" ref="P139">_xlfn.LET(
  _xlpm.y, INDEX('Chart data'!$2:$2, COLUMN()),
  _xlpm.col, _xlfn.XMATCH(_xlpm.y, Assessment!$4:$4, 0),
  _xlpm.v, INDEX(Assessment!$18:$18, _xlpm.col),
  IF(
    _xlpm.y&lt;=OutturnThrough,
    IF(AND(ISNUMBER(_xlpm.v), _xlpm.v&lt;0), _xlpm.v, NA()),
    NA()
  )
)</f>
        <v>#N/A</v>
      </c>
      <c r="Q139" s="106" t="e" cm="1">
        <f t="array" ref="Q139">_xlfn.LET(
  _xlpm.y, INDEX('Chart data'!$2:$2, COLUMN()),
  _xlpm.col, _xlfn.XMATCH(_xlpm.y, Assessment!$4:$4, 0),
  _xlpm.v, INDEX(Assessment!$18:$18, _xlpm.col),
  IF(
    _xlpm.y&lt;=OutturnThrough,
    IF(AND(ISNUMBER(_xlpm.v), _xlpm.v&lt;0), _xlpm.v, NA()),
    NA()
  )
)</f>
        <v>#N/A</v>
      </c>
      <c r="R139" s="106" t="e" cm="1">
        <f t="array" ref="R139">_xlfn.LET(
  _xlpm.y, INDEX('Chart data'!$2:$2, COLUMN()),
  _xlpm.col, _xlfn.XMATCH(_xlpm.y, Assessment!$4:$4, 0),
  _xlpm.v, INDEX(Assessment!$18:$18, _xlpm.col),
  IF(
    _xlpm.y&lt;=OutturnThrough,
    IF(AND(ISNUMBER(_xlpm.v), _xlpm.v&lt;0), _xlpm.v, NA()),
    NA()
  )
)</f>
        <v>#N/A</v>
      </c>
      <c r="S139" s="106" t="e" cm="1">
        <f t="array" ref="S139">_xlfn.LET(
  _xlpm.y, INDEX('Chart data'!$2:$2, COLUMN()),
  _xlpm.col, _xlfn.XMATCH(_xlpm.y, Assessment!$4:$4, 0),
  _xlpm.v, INDEX(Assessment!$18:$18, _xlpm.col),
  IF(
    _xlpm.y&lt;=OutturnThrough,
    IF(AND(ISNUMBER(_xlpm.v), _xlpm.v&lt;0), _xlpm.v, NA()),
    NA()
  )
)</f>
        <v>#N/A</v>
      </c>
      <c r="T139" s="106" t="e" cm="1">
        <f t="array" ref="T139">_xlfn.LET(
  _xlpm.y, INDEX('Chart data'!$2:$2, COLUMN()),
  _xlpm.col, _xlfn.XMATCH(_xlpm.y, Assessment!$4:$4, 0),
  _xlpm.v, INDEX(Assessment!$18:$18, _xlpm.col),
  IF(
    _xlpm.y&lt;=OutturnThrough,
    IF(AND(ISNUMBER(_xlpm.v), _xlpm.v&lt;0), _xlpm.v, NA()),
    NA()
  )
)</f>
        <v>#N/A</v>
      </c>
      <c r="U139" s="106" t="e" cm="1">
        <f t="array" ref="U139">_xlfn.LET(
  _xlpm.y, INDEX('Chart data'!$2:$2, COLUMN()),
  _xlpm.col, _xlfn.XMATCH(_xlpm.y, Assessment!$4:$4, 0),
  _xlpm.v, INDEX(Assessment!$18:$18, _xlpm.col),
  IF(
    _xlpm.y&lt;=OutturnThrough,
    IF(AND(ISNUMBER(_xlpm.v), _xlpm.v&lt;0), _xlpm.v, NA()),
    NA()
  )
)</f>
        <v>#N/A</v>
      </c>
      <c r="V139" s="106" t="e" cm="1">
        <f t="array" ref="V139">_xlfn.LET(
  _xlpm.y, INDEX('Chart data'!$2:$2, COLUMN()),
  _xlpm.col, _xlfn.XMATCH(_xlpm.y, Assessment!$4:$4, 0),
  _xlpm.v, INDEX(Assessment!$18:$18, _xlpm.col),
  IF(
    _xlpm.y&lt;=OutturnThrough,
    IF(AND(ISNUMBER(_xlpm.v), _xlpm.v&lt;0), _xlpm.v, NA()),
    NA()
  )
)</f>
        <v>#N/A</v>
      </c>
      <c r="W139" s="106"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696</v>
      </c>
      <c r="F140" s="106"/>
      <c r="G140" s="106">
        <v>-1</v>
      </c>
      <c r="H140" s="106">
        <v>-1</v>
      </c>
      <c r="I140" s="106">
        <v>-1</v>
      </c>
      <c r="J140" s="106">
        <v>-1</v>
      </c>
      <c r="K140" s="106">
        <v>-1</v>
      </c>
      <c r="L140" s="106">
        <v>-1</v>
      </c>
      <c r="M140" s="106">
        <v>-1</v>
      </c>
      <c r="N140" s="106">
        <v>-1</v>
      </c>
      <c r="O140" s="106">
        <v>-1</v>
      </c>
      <c r="P140" s="106">
        <v>-1</v>
      </c>
      <c r="Q140" s="106">
        <v>-1</v>
      </c>
      <c r="R140" s="106">
        <v>-1</v>
      </c>
      <c r="S140" s="106">
        <v>-1</v>
      </c>
      <c r="T140" s="106">
        <v>-1</v>
      </c>
      <c r="U140" s="106">
        <v>-1</v>
      </c>
      <c r="V140" s="106">
        <v>-1</v>
      </c>
      <c r="W140" s="106">
        <v>-1</v>
      </c>
    </row>
    <row r="141" spans="2:23" x14ac:dyDescent="0.4">
      <c r="C141" s="110" t="s">
        <v>564</v>
      </c>
      <c r="D141" s="4">
        <f>IF(_xlfn.AGGREGATE(5,6,F134:W139)&lt;0, _xlfn.AGGREGATE(5,6,F134:W139), 0)</f>
        <v>-2.7</v>
      </c>
      <c r="F141" s="64"/>
      <c r="G141" s="64"/>
      <c r="H141" s="64"/>
      <c r="I141" s="64"/>
      <c r="J141" s="64"/>
      <c r="K141" s="64"/>
      <c r="L141" s="64"/>
      <c r="M141" s="64"/>
      <c r="N141" s="64"/>
      <c r="O141" s="64"/>
      <c r="P141" s="64"/>
      <c r="Q141" s="64"/>
      <c r="R141" s="64"/>
      <c r="S141" s="64"/>
      <c r="T141" s="64"/>
      <c r="U141" s="64"/>
      <c r="V141" s="64"/>
      <c r="W141" s="64"/>
    </row>
    <row r="142" spans="2:23" x14ac:dyDescent="0.4">
      <c r="C142" s="110" t="s">
        <v>565</v>
      </c>
      <c r="D142" s="4">
        <f>_xlfn.AGGREGATE(4,6,F134:W139)</f>
        <v>-1.3087</v>
      </c>
    </row>
    <row r="143" spans="2:23" ht="13.5" customHeight="1" x14ac:dyDescent="0.4"/>
    <row r="144" spans="2:23" ht="13.5" customHeight="1" x14ac:dyDescent="0.6">
      <c r="B144" s="110" t="s">
        <v>579</v>
      </c>
      <c r="C144" s="11" t="s">
        <v>578</v>
      </c>
    </row>
    <row r="145" spans="3:23" ht="13.5" customHeight="1" x14ac:dyDescent="0.4">
      <c r="C145" t="s">
        <v>568</v>
      </c>
      <c r="F145" s="64" t="e">
        <f>IF(ISNUMBER(Assessment!E35),Assessment!E35+('Step 3 (MTP) - Plan and prior'!E18/'Step 3 (MTP) - Plan and prior'!E19),NA())</f>
        <v>#DIV/0!</v>
      </c>
      <c r="G145" s="64" t="e">
        <f>IF(ISNUMBER(Assessment!F35),Assessment!F35+('Step 3 (MTP) - Plan and prior'!F18/'Step 3 (MTP) - Plan and prior'!F19),NA())</f>
        <v>#DIV/0!</v>
      </c>
      <c r="H145" s="64" t="e">
        <f>IF(ISNUMBER(Assessment!G35),Assessment!G35+('Step 3 (MTP) - Plan and prior'!G18/'Step 3 (MTP) - Plan and prior'!G19),NA())</f>
        <v>#DIV/0!</v>
      </c>
      <c r="I145" s="64" t="e">
        <f>IF(ISNUMBER(Assessment!H35),Assessment!H35+('Step 3 (MTP) - Plan and prior'!H18/'Step 3 (MTP) - Plan and prior'!H19),NA())</f>
        <v>#DIV/0!</v>
      </c>
      <c r="J145" s="64" t="e">
        <f>IF(ISNUMBER(Assessment!I35),Assessment!I35+('Step 3 (MTP) - Plan and prior'!I18/'Step 3 (MTP) - Plan and prior'!I19),NA())</f>
        <v>#DIV/0!</v>
      </c>
      <c r="K145" s="64" t="e">
        <f>IF(ISNUMBER(Assessment!J35),Assessment!J35+('Step 3 (MTP) - Plan and prior'!J18/'Step 3 (MTP) - Plan and prior'!J19),NA())</f>
        <v>#N/A</v>
      </c>
      <c r="L145" s="64" t="e">
        <f>IF(ISNUMBER(Assessment!K35),Assessment!K35+('Step 3 (MTP) - Plan and prior'!K18/'Step 3 (MTP) - Plan and prior'!K19),NA())</f>
        <v>#N/A</v>
      </c>
      <c r="M145" s="64" t="e">
        <f>IF(ISNUMBER(Assessment!L35),Assessment!L35+('Step 3 (MTP) - Plan and prior'!L18/'Step 3 (MTP) - Plan and prior'!L19),NA())</f>
        <v>#N/A</v>
      </c>
      <c r="N145" s="64" t="e">
        <f>IF(ISNUMBER(Assessment!M35),Assessment!M35+('Step 3 (MTP) - Plan and prior'!M18/'Step 3 (MTP) - Plan and prior'!M19),NA())</f>
        <v>#N/A</v>
      </c>
      <c r="O145" s="64" t="e">
        <f>IF(ISNUMBER(Assessment!N35),Assessment!N35+('Step 3 (MTP) - Plan and prior'!N18/'Step 3 (MTP) - Plan and prior'!N19),NA())</f>
        <v>#N/A</v>
      </c>
      <c r="P145" s="64" t="e">
        <f>IF(ISNUMBER(Assessment!O35),Assessment!O35+('Step 3 (MTP) - Plan and prior'!O18/'Step 3 (MTP) - Plan and prior'!O19),NA())</f>
        <v>#N/A</v>
      </c>
      <c r="Q145" s="64" t="e">
        <f>IF(ISNUMBER(Assessment!P35),Assessment!P35+('Step 3 (MTP) - Plan and prior'!P18/'Step 3 (MTP) - Plan and prior'!P19),NA())</f>
        <v>#N/A</v>
      </c>
      <c r="R145" s="64" t="e">
        <f>IF(ISNUMBER(Assessment!Q35),Assessment!Q35+('Step 3 (MTP) - Plan and prior'!Q18/'Step 3 (MTP) - Plan and prior'!Q19),NA())</f>
        <v>#N/A</v>
      </c>
      <c r="S145" s="64" t="e">
        <f>IF(ISNUMBER(Assessment!R35),Assessment!R35+('Step 3 (MTP) - Plan and prior'!#REF!/'Step 3 (MTP) - Plan and prior'!R19),NA())</f>
        <v>#N/A</v>
      </c>
      <c r="T145" s="64" t="e">
        <f>IF(ISNUMBER(Assessment!S35),Assessment!S35+('Step 3 (MTP) - Plan and prior'!#REF!/'Step 3 (MTP) - Plan and prior'!S19),NA())</f>
        <v>#N/A</v>
      </c>
      <c r="U145" s="106" t="e">
        <f>IF(ISNUMBER(Assessment!T35),Assessment!T35+('Step 3 (MTP) - Plan and prior'!T18/'Step 3 (MTP) - Plan and prior'!T19),NA())</f>
        <v>#N/A</v>
      </c>
      <c r="V145" s="106" t="e">
        <f>IF(ISNUMBER(Assessment!U35),Assessment!U35+('Step 3 (MTP) - Plan and prior'!U18/'Step 3 (MTP) - Plan and prior'!U19),NA())</f>
        <v>#N/A</v>
      </c>
      <c r="W145" s="106" t="e">
        <f>IF(ISNUMBER(Assessment!V35),Assessment!V35+('Step 3 (MTP) - Plan and prior'!V18/'Step 3 (MTP) - Plan and prior'!V19),NA())</f>
        <v>#N/A</v>
      </c>
    </row>
    <row r="146" spans="3:23" ht="13.5" customHeight="1" x14ac:dyDescent="0.4">
      <c r="C146" t="s">
        <v>569</v>
      </c>
      <c r="F146" s="64">
        <f>IF(OR(ISNUMBER(F149),ISNUMBER(F150)),NA(),IF(ISNUMBER(Assessment!E17),Assessment!E17+(Assessment!E7/Assessment!E27*100),NA()))</f>
        <v>-0.69639356198788627</v>
      </c>
      <c r="G146" s="64">
        <f>IF(OR(ISNUMBER(G149),ISNUMBER(G150)),NA(),IF(ISNUMBER(Assessment!F17),Assessment!F17+(Assessment!F7/Assessment!F27*100),NA()))</f>
        <v>-1.4349396414277915</v>
      </c>
      <c r="H146" s="64">
        <f>IF(OR(ISNUMBER(H149),ISNUMBER(H150)),NA(),IF(ISNUMBER(Assessment!G17),Assessment!G17+(Assessment!G7/Assessment!G27*100),NA()))</f>
        <v>-1.7</v>
      </c>
      <c r="I146" s="64" t="e">
        <f>IF(OR(ISNUMBER(I149),ISNUMBER(I150)),NA(),IF(ISNUMBER(Assessment!H17),Assessment!H17+(Assessment!H7/Assessment!H27*100),NA()))</f>
        <v>#N/A</v>
      </c>
      <c r="J146" s="64" t="e">
        <f>IF(OR(ISNUMBER(J149),ISNUMBER(J150)),NA(),IF(ISNUMBER(Assessment!I17),Assessment!I17+(Assessment!I7/Assessment!I27*100),NA()))</f>
        <v>#N/A</v>
      </c>
      <c r="K146" s="64" t="e">
        <f>IF(OR(ISNUMBER(K149),ISNUMBER(K150)),NA(),IF(ISNUMBER(Assessment!J17),Assessment!J17+(Assessment!J7/Assessment!J27*100),NA()))</f>
        <v>#N/A</v>
      </c>
      <c r="L146" s="64" t="e">
        <f>IF(OR(ISNUMBER(L149),ISNUMBER(L150)),NA(),IF(ISNUMBER(Assessment!K17),Assessment!K17+(Assessment!K7/Assessment!K27*100),NA()))</f>
        <v>#N/A</v>
      </c>
      <c r="M146" s="64" t="e">
        <f>IF(OR(ISNUMBER(M149),ISNUMBER(M150)),NA(),IF(ISNUMBER(Assessment!L17),Assessment!L17+(Assessment!L7/Assessment!L27*100),NA()))</f>
        <v>#N/A</v>
      </c>
      <c r="N146" s="64" t="e">
        <f>IF(OR(ISNUMBER(N149),ISNUMBER(N150)),NA(),IF(ISNUMBER(Assessment!M17),Assessment!M17+(Assessment!M7/Assessment!M27*100),NA()))</f>
        <v>#N/A</v>
      </c>
      <c r="O146" s="64" t="e">
        <f>IF(OR(ISNUMBER(O149),ISNUMBER(O150)),NA(),IF(ISNUMBER(Assessment!N17),Assessment!N17+(Assessment!N7/Assessment!N27*100),NA()))</f>
        <v>#N/A</v>
      </c>
      <c r="P146" s="64" t="e">
        <f>IF(OR(ISNUMBER(P149),ISNUMBER(P150)),NA(),IF(ISNUMBER(Assessment!O17),Assessment!O17+(Assessment!O7/Assessment!O27*100),NA()))</f>
        <v>#N/A</v>
      </c>
      <c r="Q146" s="64" t="e">
        <f>IF(OR(ISNUMBER(Q149),ISNUMBER(Q150)),NA(),IF(ISNUMBER(Assessment!P17),Assessment!P17+(Assessment!P7/Assessment!P27*100),NA()))</f>
        <v>#N/A</v>
      </c>
      <c r="R146" s="64" t="e">
        <f>IF(OR(ISNUMBER(R149),ISNUMBER(R150)),NA(),IF(ISNUMBER(Assessment!Q17),Assessment!Q17+(Assessment!Q7/Assessment!Q27*100),NA()))</f>
        <v>#N/A</v>
      </c>
      <c r="S146" s="64" t="e">
        <f>IF(OR(ISNUMBER(S149),ISNUMBER(S150)),NA(),IF(ISNUMBER(Assessment!R17),Assessment!R17+(Assessment!R7/Assessment!R27*100),NA()))</f>
        <v>#N/A</v>
      </c>
      <c r="T146" s="64" t="e">
        <f>IF(OR(ISNUMBER(T149),ISNUMBER(T150)),NA(),IF(ISNUMBER(Assessment!S17),Assessment!S17+(Assessment!S7/Assessment!S27*100),NA()))</f>
        <v>#N/A</v>
      </c>
      <c r="U146" s="106" t="e">
        <f>IF(OR(ISNUMBER(U149),ISNUMBER(U150)),NA(),IF(ISNUMBER(Assessment!T17),Assessment!T17+(Assessment!T7/Assessment!T27*100),NA()))</f>
        <v>#N/A</v>
      </c>
      <c r="V146" s="106" t="e">
        <f>IF(OR(ISNUMBER(V149),ISNUMBER(V150)),NA(),IF(ISNUMBER(Assessment!U17),Assessment!U17+(Assessment!U7/Assessment!U27*100),NA()))</f>
        <v>#N/A</v>
      </c>
      <c r="W146" s="106" t="e">
        <f>IF(OR(ISNUMBER(W149),ISNUMBER(W150)),NA(),IF(ISNUMBER(Assessment!V17),Assessment!V17+(Assessment!V7/Assessment!V27*100),NA()))</f>
        <v>#N/A</v>
      </c>
    </row>
    <row r="147" spans="3:23" ht="13.5" customHeight="1" x14ac:dyDescent="0.4">
      <c r="C147" t="s">
        <v>296</v>
      </c>
      <c r="F147" s="3"/>
      <c r="G147" s="3"/>
      <c r="H147" s="3"/>
      <c r="I147" s="3"/>
      <c r="J147" s="3"/>
      <c r="K147" s="3"/>
      <c r="L147" s="3"/>
      <c r="M147" s="3"/>
      <c r="N147" s="3"/>
      <c r="O147" s="3"/>
      <c r="P147" s="3"/>
      <c r="Q147" s="3"/>
      <c r="R147" s="3"/>
      <c r="S147" s="3"/>
      <c r="T147" s="3"/>
      <c r="U147" s="3"/>
      <c r="V147" s="3"/>
      <c r="W147" s="3"/>
    </row>
    <row r="148" spans="3:23" ht="13.5" customHeight="1" x14ac:dyDescent="0.4">
      <c r="C148" t="s">
        <v>297</v>
      </c>
      <c r="F148" s="3"/>
      <c r="G148" s="3"/>
      <c r="H148" s="3"/>
      <c r="I148" s="3"/>
      <c r="J148" s="3"/>
      <c r="K148" s="3"/>
      <c r="L148" s="3"/>
      <c r="M148" s="3"/>
      <c r="N148" s="3"/>
      <c r="O148" s="3"/>
      <c r="P148" s="3"/>
      <c r="Q148" s="3"/>
      <c r="R148" s="3"/>
      <c r="S148" s="3"/>
      <c r="T148" s="3"/>
      <c r="U148" s="3"/>
      <c r="V148" s="3"/>
      <c r="W148" s="3"/>
    </row>
    <row r="149" spans="3:23" ht="13.5" customHeight="1" x14ac:dyDescent="0.4">
      <c r="C149" t="s">
        <v>298</v>
      </c>
      <c r="F149" s="106"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G149" s="106"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H149" s="106"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06"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06"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06"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06"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06"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06"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06"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06"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06"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06"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06"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06"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06" cm="1">
        <f t="array" ref="U149">_xlfn.LET(
  _xlpm.y, INDEX('Chart data'!$2:$2, COLUMN()),
  _xlpm.col, _xlfn.XMATCH(_xlpm.y, Assessment!$4:$4, 0),
  _xlpm.v, INDEX(Assessment!$17:$17, _xlpm.col)
     + INDEX(Assessment!$7:$7, _xlpm.col),
  IF(
    _xlpm.y&lt;=OutturnThrough,
    IF(AND(ISNUMBER(_xlpm.v), _xlpm.v&gt;=0), _xlpm.v, NA()),
    NA()
  )
)</f>
        <v>0</v>
      </c>
      <c r="V149" s="106" t="e" cm="1">
        <f t="array" ref="V149">_xlfn.LET(
  _xlpm.y, INDEX('Chart data'!$2:$2, COLUMN()),
  _xlpm.col, _xlfn.XMATCH(_xlpm.y, Assessment!$4:$4, 0),
  _xlpm.v, INDEX(Assessment!$17:$17, _xlpm.col)
     + INDEX(Assessment!$7:$7, _xlpm.col),
  IF(
    _xlpm.y&lt;=OutturnThrough,
    IF(AND(ISNUMBER(_xlpm.v), _xlpm.v&gt;=0), _xlpm.v, NA()),
    NA()
  )
)</f>
        <v>#N/A</v>
      </c>
      <c r="W149" s="106"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299</v>
      </c>
      <c r="F150" s="106"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G150" s="106"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06"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06"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06"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06"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06"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06"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06"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06"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06"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06"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06"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06"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06"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06" t="e" cm="1">
        <f t="array" ref="U150">_xlfn.LET(
  _xlpm.y, INDEX('Chart data'!$2:$2, COLUMN()),
  _xlpm.col, _xlfn.XMATCH(_xlpm.y, Assessment!$4:$4, 0),
  _xlpm.v, INDEX(Assessment!$17:$17, _xlpm.col)
     + INDEX(Assessment!$7:$7, _xlpm.col),
  IF(
    _xlpm.y&lt;=OutturnThrough,
    IF(AND(ISNUMBER(_xlpm.v), _xlpm.v&lt;0), _xlpm.v, NA()),
    NA()
  )
)</f>
        <v>#N/A</v>
      </c>
      <c r="V150" s="106" t="e" cm="1">
        <f t="array" ref="V150">_xlfn.LET(
  _xlpm.y, INDEX('Chart data'!$2:$2, COLUMN()),
  _xlpm.col, _xlfn.XMATCH(_xlpm.y, Assessment!$4:$4, 0),
  _xlpm.v, INDEX(Assessment!$17:$17, _xlpm.col)
     + INDEX(Assessment!$7:$7, _xlpm.col),
  IF(
    _xlpm.y&lt;=OutturnThrough,
    IF(AND(ISNUMBER(_xlpm.v), _xlpm.v&lt;0), _xlpm.v, NA()),
    NA()
  )
)</f>
        <v>#N/A</v>
      </c>
      <c r="W150" s="106"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10" t="s">
        <v>564</v>
      </c>
      <c r="D151" s="4">
        <f>IF(_xlfn.AGGREGATE(5,6,F145:W150)&lt;0, _xlfn.AGGREGATE(5,6,F145:W150), 0)</f>
        <v>-1.7</v>
      </c>
      <c r="F151" s="64"/>
      <c r="G151" s="64"/>
      <c r="H151" s="64"/>
      <c r="I151" s="64"/>
      <c r="J151" s="64"/>
      <c r="K151" s="64"/>
      <c r="L151" s="64"/>
      <c r="M151" s="64"/>
      <c r="N151" s="64"/>
      <c r="O151" s="64"/>
      <c r="P151" s="64"/>
      <c r="Q151" s="64"/>
      <c r="R151" s="64"/>
      <c r="S151" s="64"/>
      <c r="T151" s="64"/>
      <c r="U151" s="64"/>
      <c r="V151" s="64"/>
      <c r="W151" s="64"/>
    </row>
    <row r="152" spans="3:23" x14ac:dyDescent="0.4">
      <c r="C152" s="110" t="s">
        <v>565</v>
      </c>
      <c r="D152" s="4">
        <f>_xlfn.AGGREGATE(4,6,F145:W150)</f>
        <v>0</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6"/>
  <sheetViews>
    <sheetView showGridLines="0" zoomScaleNormal="100" workbookViewId="0"/>
  </sheetViews>
  <sheetFormatPr defaultRowHeight="13.15" x14ac:dyDescent="0.4"/>
  <cols>
    <col min="1" max="1" width="9.140625" style="14"/>
    <col min="2" max="2" width="13.7109375" style="14" bestFit="1" customWidth="1"/>
    <col min="3" max="3" width="14.5703125" style="14" bestFit="1" customWidth="1"/>
    <col min="4" max="4" width="6.28515625" style="14" bestFit="1" customWidth="1"/>
    <col min="5" max="5" width="10" style="14" bestFit="1" customWidth="1"/>
    <col min="6" max="6" width="7.140625" style="14" bestFit="1" customWidth="1"/>
    <col min="7" max="7" width="16.42578125" style="14" bestFit="1" customWidth="1"/>
    <col min="8" max="8" width="11.42578125" style="14" bestFit="1" customWidth="1"/>
    <col min="9" max="9" width="15.5703125" style="14" bestFit="1" customWidth="1"/>
    <col min="10" max="10" width="17.7109375" style="14" bestFit="1" customWidth="1"/>
    <col min="11" max="11" width="12.140625" style="14" bestFit="1" customWidth="1"/>
    <col min="12" max="12" width="18.7109375" style="14" bestFit="1" customWidth="1"/>
    <col min="13" max="13" width="62.85546875" style="14" customWidth="1"/>
    <col min="14" max="15" width="9.140625" style="14"/>
    <col min="16" max="16" width="42.5703125" style="14" bestFit="1" customWidth="1"/>
    <col min="17" max="17" width="11.140625" style="14" bestFit="1" customWidth="1"/>
    <col min="18" max="18" width="9.140625" style="14"/>
    <col min="19" max="19" width="31.28515625" style="14" bestFit="1" customWidth="1"/>
    <col min="20" max="16384" width="9.140625" style="14"/>
  </cols>
  <sheetData>
    <row r="1" spans="1:22" ht="31.9" x14ac:dyDescent="1">
      <c r="A1" s="77" t="s">
        <v>14</v>
      </c>
      <c r="B1" s="32"/>
      <c r="P1" s="50" t="s">
        <v>11</v>
      </c>
      <c r="Q1" s="160"/>
      <c r="S1" s="50" t="s">
        <v>303</v>
      </c>
      <c r="T1"/>
    </row>
    <row r="2" spans="1:22" customFormat="1" x14ac:dyDescent="0.4">
      <c r="A2" s="124" t="s">
        <v>291</v>
      </c>
      <c r="B2" s="124" t="s">
        <v>263</v>
      </c>
      <c r="C2" s="124" t="s">
        <v>13</v>
      </c>
      <c r="D2" s="124" t="s">
        <v>21</v>
      </c>
      <c r="E2" s="124" t="s">
        <v>211</v>
      </c>
      <c r="F2" s="124" t="s">
        <v>490</v>
      </c>
      <c r="G2" s="124" t="s">
        <v>253</v>
      </c>
      <c r="H2" s="124" t="s">
        <v>586</v>
      </c>
      <c r="I2" s="124" t="s">
        <v>702</v>
      </c>
      <c r="J2" s="124" t="s">
        <v>636</v>
      </c>
      <c r="K2" s="124" t="s">
        <v>242</v>
      </c>
      <c r="L2" s="124" t="s">
        <v>707</v>
      </c>
      <c r="M2" s="124" t="s">
        <v>450</v>
      </c>
      <c r="N2" s="14"/>
      <c r="P2" t="s">
        <v>252</v>
      </c>
      <c r="Q2" s="161">
        <f>MTP_YearT+MTP_PlanningHorizon</f>
        <v>2028</v>
      </c>
      <c r="R2" s="14"/>
      <c r="S2" t="s">
        <v>313</v>
      </c>
      <c r="T2">
        <v>3.05</v>
      </c>
    </row>
    <row r="3" spans="1:22" x14ac:dyDescent="0.4">
      <c r="A3" s="125">
        <v>2022</v>
      </c>
      <c r="B3" s="125">
        <v>3</v>
      </c>
      <c r="C3" s="125">
        <v>4</v>
      </c>
      <c r="D3" s="18" t="s">
        <v>23</v>
      </c>
      <c r="E3" s="18" t="s">
        <v>29</v>
      </c>
      <c r="F3" s="18" t="b">
        <v>1</v>
      </c>
      <c r="G3" s="5" t="s">
        <v>741</v>
      </c>
      <c r="H3" s="18" t="s">
        <v>587</v>
      </c>
      <c r="I3" s="18" t="s">
        <v>703</v>
      </c>
      <c r="J3" s="5" t="s">
        <v>607</v>
      </c>
      <c r="K3" s="5" t="s">
        <v>948</v>
      </c>
      <c r="L3" t="s">
        <v>271</v>
      </c>
      <c r="M3" s="5" t="s">
        <v>949</v>
      </c>
      <c r="P3" t="s">
        <v>12</v>
      </c>
      <c r="Q3" s="162" t="str">
        <f>MTP_YearT&amp;"–"&amp;'Step 3 (IMPL) - Enter outlook'!G3</f>
        <v>2024–2026</v>
      </c>
      <c r="S3" t="s">
        <v>314</v>
      </c>
      <c r="T3">
        <v>60.05</v>
      </c>
      <c r="U3"/>
    </row>
    <row r="4" spans="1:22" x14ac:dyDescent="0.4">
      <c r="A4" s="125">
        <v>2023</v>
      </c>
      <c r="B4" s="125">
        <v>4</v>
      </c>
      <c r="C4" s="125">
        <v>7</v>
      </c>
      <c r="D4" s="18" t="s">
        <v>22</v>
      </c>
      <c r="E4" s="18" t="s">
        <v>30</v>
      </c>
      <c r="F4" s="18" t="b">
        <v>0</v>
      </c>
      <c r="G4" s="5" t="s">
        <v>742</v>
      </c>
      <c r="H4" s="18" t="s">
        <v>588</v>
      </c>
      <c r="I4" s="18" t="s">
        <v>739</v>
      </c>
      <c r="J4" s="5" t="s">
        <v>637</v>
      </c>
      <c r="K4" s="18" t="s">
        <v>216</v>
      </c>
      <c r="L4" s="14" t="s">
        <v>708</v>
      </c>
      <c r="M4" s="18" t="s">
        <v>411</v>
      </c>
      <c r="P4" t="s">
        <v>248</v>
      </c>
      <c r="Q4" s="161">
        <f>AdjustmentPeriodEnd+AdjustmentPeriod+1</f>
        <v>2033</v>
      </c>
      <c r="S4" s="157" t="s">
        <v>746</v>
      </c>
      <c r="T4">
        <v>2025</v>
      </c>
      <c r="U4"/>
      <c r="V4"/>
    </row>
    <row r="5" spans="1:22" x14ac:dyDescent="0.4">
      <c r="A5" s="125">
        <v>2024</v>
      </c>
      <c r="B5" s="125">
        <v>5</v>
      </c>
      <c r="C5" s="18"/>
      <c r="D5" s="18" t="s">
        <v>271</v>
      </c>
      <c r="E5" s="18"/>
      <c r="F5" s="18" t="s">
        <v>271</v>
      </c>
      <c r="G5" s="18"/>
      <c r="H5" s="18"/>
      <c r="I5" t="s">
        <v>748</v>
      </c>
      <c r="J5" s="5" t="e">
        <v>#N/A</v>
      </c>
      <c r="K5" s="18" t="s">
        <v>217</v>
      </c>
      <c r="L5" s="14" t="s">
        <v>709</v>
      </c>
      <c r="M5" s="18" t="s">
        <v>434</v>
      </c>
      <c r="P5" t="s">
        <v>265</v>
      </c>
      <c r="Q5" s="161">
        <f>'Step 1 - Set global parameters'!B11+AdjustmentPeriod</f>
        <v>2028</v>
      </c>
      <c r="S5" s="157" t="s">
        <v>747</v>
      </c>
      <c r="T5">
        <v>2027</v>
      </c>
      <c r="U5"/>
      <c r="V5"/>
    </row>
    <row r="6" spans="1:22" x14ac:dyDescent="0.4">
      <c r="A6" s="125">
        <v>2025</v>
      </c>
      <c r="B6" s="18"/>
      <c r="C6" s="18"/>
      <c r="D6" s="18"/>
      <c r="E6" s="18"/>
      <c r="F6" s="18"/>
      <c r="G6" s="18"/>
      <c r="H6" s="18"/>
      <c r="I6" s="5" t="e">
        <v>#N/A</v>
      </c>
      <c r="J6" s="18"/>
      <c r="K6" s="18" t="s">
        <v>218</v>
      </c>
      <c r="L6" s="14" t="s">
        <v>710</v>
      </c>
      <c r="M6" s="18" t="s">
        <v>435</v>
      </c>
      <c r="P6" t="s">
        <v>380</v>
      </c>
      <c r="Q6" s="162" t="e">
        <f>IF('Step 1 - Set global parameters'!B30,'Step 1 - Set global parameters'!B31+1,IF('Step 1 - Set global parameters'!B32,'Step 1 - Set global parameters'!B33+1,NA()))</f>
        <v>#N/A</v>
      </c>
      <c r="U6"/>
    </row>
    <row r="7" spans="1:22" x14ac:dyDescent="0.4">
      <c r="A7" s="125">
        <v>2026</v>
      </c>
      <c r="B7" s="18"/>
      <c r="C7" s="18"/>
      <c r="D7" s="18"/>
      <c r="E7" s="18"/>
      <c r="F7" s="18"/>
      <c r="G7" s="18"/>
      <c r="H7" s="18"/>
      <c r="I7" s="18"/>
      <c r="J7" s="18"/>
      <c r="K7" s="18" t="s">
        <v>219</v>
      </c>
      <c r="L7" s="14" t="s">
        <v>711</v>
      </c>
      <c r="M7" s="18" t="s">
        <v>407</v>
      </c>
      <c r="P7" t="s">
        <v>832</v>
      </c>
      <c r="Q7" s="162" t="b">
        <f>NOT(AND(Assessment!C199, Assessment!C203))</f>
        <v>0</v>
      </c>
    </row>
    <row r="8" spans="1:22" x14ac:dyDescent="0.4">
      <c r="A8" s="125">
        <v>2027</v>
      </c>
      <c r="B8" s="18"/>
      <c r="C8" s="18"/>
      <c r="D8" s="18"/>
      <c r="E8" s="18"/>
      <c r="F8" s="18"/>
      <c r="G8" s="18"/>
      <c r="H8" s="18"/>
      <c r="I8" s="18"/>
      <c r="J8" s="18"/>
      <c r="K8" s="18" t="s">
        <v>220</v>
      </c>
      <c r="L8" s="14" t="s">
        <v>712</v>
      </c>
      <c r="M8" s="18" t="s">
        <v>409</v>
      </c>
      <c r="P8" t="s">
        <v>705</v>
      </c>
      <c r="Q8" s="162" t="b">
        <f>OR(INDEX('Step 1 - Set global parameters'!21:21, COLUMN('Step 1 - Set global parameters'!$C$21)):INDEX('Step 1 - Set global parameters'!21:21, COLUMN('Step 1 - Set global parameters'!$C$21) + AdjustmentPeriod + 2))</f>
        <v>1</v>
      </c>
    </row>
    <row r="9" spans="1:22" x14ac:dyDescent="0.4">
      <c r="A9" s="125">
        <v>2028</v>
      </c>
      <c r="B9" s="18"/>
      <c r="C9" s="18"/>
      <c r="D9" s="18"/>
      <c r="E9" s="18"/>
      <c r="F9" s="18"/>
      <c r="G9" s="18"/>
      <c r="H9" s="18"/>
      <c r="I9" s="18"/>
      <c r="J9" s="18"/>
      <c r="K9" s="18" t="s">
        <v>221</v>
      </c>
      <c r="L9" s="14" t="s">
        <v>713</v>
      </c>
      <c r="M9" s="18" t="s">
        <v>438</v>
      </c>
      <c r="P9" t="s">
        <v>735</v>
      </c>
      <c r="Q9" s="162" t="str">
        <f>IF(Country="Select country","",INDEX(Validation!L3:L29,MATCH(Country,Validation!K3:K29,0)))</f>
        <v>LV</v>
      </c>
    </row>
    <row r="10" spans="1:22" x14ac:dyDescent="0.4">
      <c r="A10" s="125">
        <v>2029</v>
      </c>
      <c r="B10" s="18"/>
      <c r="C10" s="18"/>
      <c r="D10" s="18"/>
      <c r="E10" s="18"/>
      <c r="F10" s="18"/>
      <c r="G10" s="18"/>
      <c r="H10" s="18"/>
      <c r="I10" s="18"/>
      <c r="J10" s="18"/>
      <c r="K10" s="5" t="s">
        <v>222</v>
      </c>
      <c r="L10" s="14" t="s">
        <v>714</v>
      </c>
      <c r="M10" s="18" t="s">
        <v>436</v>
      </c>
      <c r="P10" t="s">
        <v>700</v>
      </c>
      <c r="Q10" s="166" t="str">
        <f>'Step 1 - Set global parameters'!B16</f>
        <v>Enter date</v>
      </c>
    </row>
    <row r="11" spans="1:22" x14ac:dyDescent="0.4">
      <c r="A11" s="125">
        <v>2030</v>
      </c>
      <c r="B11" s="18"/>
      <c r="C11" s="18"/>
      <c r="D11" s="18"/>
      <c r="E11" s="18"/>
      <c r="F11" s="18"/>
      <c r="G11" s="18"/>
      <c r="H11" s="18"/>
      <c r="I11" s="18"/>
      <c r="J11" s="18"/>
      <c r="K11" s="18" t="s">
        <v>223</v>
      </c>
      <c r="L11" s="14" t="s">
        <v>715</v>
      </c>
      <c r="M11" s="18" t="s">
        <v>440</v>
      </c>
      <c r="P11" t="s">
        <v>816</v>
      </c>
      <c r="Q11" s="160">
        <f>IF(MTP_BaseYearIsTminus2, MTP_YearT-2, MTP_YearT-1)</f>
        <v>2023</v>
      </c>
    </row>
    <row r="12" spans="1:22" x14ac:dyDescent="0.4">
      <c r="A12" s="125">
        <v>2031</v>
      </c>
      <c r="B12" s="18"/>
      <c r="C12" s="18"/>
      <c r="D12" s="18"/>
      <c r="E12" s="18"/>
      <c r="F12" s="18"/>
      <c r="G12" s="18"/>
      <c r="H12" s="18"/>
      <c r="I12" s="18"/>
      <c r="J12" s="18"/>
      <c r="K12" s="18" t="s">
        <v>224</v>
      </c>
      <c r="L12" s="14" t="s">
        <v>716</v>
      </c>
      <c r="M12" s="18" t="s">
        <v>445</v>
      </c>
      <c r="P12" s="159" t="s">
        <v>815</v>
      </c>
      <c r="Q12" s="267" t="b">
        <f>MTP_YearT-MTP_BaseYear=2</f>
        <v>0</v>
      </c>
    </row>
    <row r="13" spans="1:22" x14ac:dyDescent="0.4">
      <c r="A13" s="125">
        <v>2032</v>
      </c>
      <c r="B13" s="18"/>
      <c r="C13" s="18"/>
      <c r="D13" s="18"/>
      <c r="E13" s="18"/>
      <c r="F13" s="18"/>
      <c r="G13" s="18"/>
      <c r="H13" s="18"/>
      <c r="I13" s="18"/>
      <c r="J13" s="18"/>
      <c r="K13" s="18" t="s">
        <v>225</v>
      </c>
      <c r="L13" s="14" t="s">
        <v>717</v>
      </c>
      <c r="M13" s="18" t="s">
        <v>414</v>
      </c>
    </row>
    <row r="14" spans="1:22" x14ac:dyDescent="0.4">
      <c r="A14" s="125">
        <v>2033</v>
      </c>
      <c r="B14" s="18"/>
      <c r="C14" s="18"/>
      <c r="D14" s="18"/>
      <c r="E14" s="18"/>
      <c r="F14" s="18"/>
      <c r="G14" s="18"/>
      <c r="H14" s="18"/>
      <c r="I14" s="18"/>
      <c r="J14" s="18"/>
      <c r="K14" s="18" t="s">
        <v>226</v>
      </c>
      <c r="L14" s="14" t="s">
        <v>718</v>
      </c>
      <c r="M14" s="18" t="s">
        <v>416</v>
      </c>
    </row>
    <row r="15" spans="1:22" x14ac:dyDescent="0.4">
      <c r="A15" s="125">
        <v>2034</v>
      </c>
      <c r="B15" s="18"/>
      <c r="C15" s="18"/>
      <c r="D15" s="18"/>
      <c r="E15" s="18"/>
      <c r="F15" s="18"/>
      <c r="G15" s="18"/>
      <c r="H15" s="18"/>
      <c r="I15" s="18"/>
      <c r="J15" s="18"/>
      <c r="K15" s="18" t="s">
        <v>227</v>
      </c>
      <c r="L15" s="14" t="s">
        <v>719</v>
      </c>
      <c r="M15" s="18" t="s">
        <v>417</v>
      </c>
    </row>
    <row r="16" spans="1:22" x14ac:dyDescent="0.4">
      <c r="A16" s="125">
        <v>2035</v>
      </c>
      <c r="B16" s="18"/>
      <c r="C16" s="18"/>
      <c r="D16" s="18"/>
      <c r="E16" s="18"/>
      <c r="F16" s="18"/>
      <c r="G16" s="18"/>
      <c r="H16" s="18"/>
      <c r="I16" s="18"/>
      <c r="J16" s="18"/>
      <c r="K16" s="18" t="s">
        <v>228</v>
      </c>
      <c r="L16" s="14" t="s">
        <v>720</v>
      </c>
      <c r="M16" s="18" t="s">
        <v>410</v>
      </c>
    </row>
    <row r="17" spans="1:13" x14ac:dyDescent="0.4">
      <c r="A17" s="125">
        <v>2036</v>
      </c>
      <c r="B17" s="18"/>
      <c r="C17" s="18"/>
      <c r="D17" s="18"/>
      <c r="E17" s="18"/>
      <c r="F17" s="18"/>
      <c r="G17" s="18"/>
      <c r="H17" s="18"/>
      <c r="I17" s="18"/>
      <c r="J17" s="18"/>
      <c r="K17" s="18" t="s">
        <v>229</v>
      </c>
      <c r="L17" s="14" t="s">
        <v>721</v>
      </c>
      <c r="M17" s="18" t="s">
        <v>406</v>
      </c>
    </row>
    <row r="18" spans="1:13" x14ac:dyDescent="0.4">
      <c r="A18" s="125">
        <v>2037</v>
      </c>
      <c r="B18" s="18"/>
      <c r="C18" s="18"/>
      <c r="D18" s="18"/>
      <c r="E18" s="18"/>
      <c r="F18" s="18"/>
      <c r="G18" s="18"/>
      <c r="H18" s="18"/>
      <c r="I18" s="18"/>
      <c r="J18" s="18"/>
      <c r="K18" s="18" t="s">
        <v>230</v>
      </c>
      <c r="L18" s="14" t="s">
        <v>722</v>
      </c>
      <c r="M18" s="18" t="s">
        <v>418</v>
      </c>
    </row>
    <row r="19" spans="1:13" x14ac:dyDescent="0.4">
      <c r="A19" s="125">
        <v>2038</v>
      </c>
      <c r="B19" s="18"/>
      <c r="C19" s="18"/>
      <c r="D19" s="18"/>
      <c r="E19" s="18"/>
      <c r="F19" s="18"/>
      <c r="G19" s="18"/>
      <c r="H19" s="18"/>
      <c r="I19" s="18"/>
      <c r="J19" s="18"/>
      <c r="K19" s="18" t="s">
        <v>19</v>
      </c>
      <c r="L19" s="14" t="s">
        <v>723</v>
      </c>
      <c r="M19" s="18" t="s">
        <v>427</v>
      </c>
    </row>
    <row r="20" spans="1:13" x14ac:dyDescent="0.4">
      <c r="A20" s="125">
        <v>2039</v>
      </c>
      <c r="B20" s="18"/>
      <c r="C20" s="18"/>
      <c r="D20" s="18"/>
      <c r="E20" s="18"/>
      <c r="F20" s="18"/>
      <c r="G20" s="18"/>
      <c r="H20" s="18"/>
      <c r="I20" s="18"/>
      <c r="J20" s="18"/>
      <c r="K20" s="18" t="s">
        <v>231</v>
      </c>
      <c r="L20" s="14" t="s">
        <v>724</v>
      </c>
      <c r="M20" s="18" t="s">
        <v>433</v>
      </c>
    </row>
    <row r="21" spans="1:13" x14ac:dyDescent="0.4">
      <c r="A21" s="125">
        <v>2040</v>
      </c>
      <c r="B21" s="18"/>
      <c r="C21" s="18"/>
      <c r="D21" s="18"/>
      <c r="E21" s="18"/>
      <c r="F21" s="18"/>
      <c r="G21" s="18"/>
      <c r="H21" s="18"/>
      <c r="I21" s="18"/>
      <c r="J21" s="18"/>
      <c r="K21" s="18" t="s">
        <v>232</v>
      </c>
      <c r="L21" s="14" t="s">
        <v>725</v>
      </c>
      <c r="M21" s="18" t="s">
        <v>432</v>
      </c>
    </row>
    <row r="22" spans="1:13" x14ac:dyDescent="0.4">
      <c r="A22" s="125">
        <v>2041</v>
      </c>
      <c r="B22" s="18"/>
      <c r="C22" s="18"/>
      <c r="D22" s="18"/>
      <c r="E22" s="18"/>
      <c r="F22" s="18"/>
      <c r="G22" s="18"/>
      <c r="H22" s="18"/>
      <c r="I22" s="18"/>
      <c r="J22" s="18"/>
      <c r="K22" s="18" t="s">
        <v>233</v>
      </c>
      <c r="L22" s="14" t="s">
        <v>726</v>
      </c>
      <c r="M22" s="18" t="s">
        <v>446</v>
      </c>
    </row>
    <row r="23" spans="1:13" x14ac:dyDescent="0.4">
      <c r="A23" s="125">
        <v>2042</v>
      </c>
      <c r="B23" s="18"/>
      <c r="C23" s="18"/>
      <c r="D23" s="18"/>
      <c r="E23" s="18"/>
      <c r="F23" s="18"/>
      <c r="G23" s="18"/>
      <c r="H23" s="18"/>
      <c r="I23" s="18"/>
      <c r="J23" s="18"/>
      <c r="K23" s="18" t="s">
        <v>234</v>
      </c>
      <c r="L23" s="14" t="s">
        <v>727</v>
      </c>
      <c r="M23" s="18" t="s">
        <v>405</v>
      </c>
    </row>
    <row r="24" spans="1:13" x14ac:dyDescent="0.4">
      <c r="A24" s="125">
        <v>2043</v>
      </c>
      <c r="B24" s="18"/>
      <c r="C24" s="18"/>
      <c r="D24" s="18"/>
      <c r="E24" s="18"/>
      <c r="F24" s="18"/>
      <c r="G24" s="18"/>
      <c r="H24" s="18"/>
      <c r="I24" s="18"/>
      <c r="J24" s="18"/>
      <c r="K24" s="18" t="s">
        <v>235</v>
      </c>
      <c r="L24" s="14" t="s">
        <v>728</v>
      </c>
      <c r="M24" s="18" t="s">
        <v>330</v>
      </c>
    </row>
    <row r="25" spans="1:13" x14ac:dyDescent="0.4">
      <c r="A25" s="125">
        <v>2044</v>
      </c>
      <c r="B25" s="18"/>
      <c r="C25" s="18"/>
      <c r="D25" s="18"/>
      <c r="E25" s="18"/>
      <c r="F25" s="18"/>
      <c r="G25" s="18"/>
      <c r="H25" s="18"/>
      <c r="I25" s="18"/>
      <c r="J25" s="18"/>
      <c r="K25" s="18" t="s">
        <v>236</v>
      </c>
      <c r="L25" s="14" t="s">
        <v>729</v>
      </c>
      <c r="M25" s="18" t="s">
        <v>420</v>
      </c>
    </row>
    <row r="26" spans="1:13" x14ac:dyDescent="0.4">
      <c r="A26" s="125">
        <v>2045</v>
      </c>
      <c r="B26" s="18"/>
      <c r="C26" s="18"/>
      <c r="D26" s="18"/>
      <c r="E26" s="18"/>
      <c r="F26" s="18"/>
      <c r="G26" s="18"/>
      <c r="H26" s="18"/>
      <c r="I26" s="18"/>
      <c r="J26" s="18"/>
      <c r="K26" s="18" t="s">
        <v>237</v>
      </c>
      <c r="L26" s="14" t="s">
        <v>730</v>
      </c>
      <c r="M26" s="18" t="s">
        <v>422</v>
      </c>
    </row>
    <row r="27" spans="1:13" x14ac:dyDescent="0.4">
      <c r="A27" s="125">
        <v>2046</v>
      </c>
      <c r="B27" s="18"/>
      <c r="C27" s="18"/>
      <c r="D27" s="18"/>
      <c r="E27" s="18"/>
      <c r="F27" s="18"/>
      <c r="G27" s="18"/>
      <c r="H27" s="18"/>
      <c r="I27" s="18"/>
      <c r="J27" s="18"/>
      <c r="K27" s="18" t="s">
        <v>238</v>
      </c>
      <c r="L27" s="14" t="s">
        <v>731</v>
      </c>
      <c r="M27" s="18" t="s">
        <v>449</v>
      </c>
    </row>
    <row r="28" spans="1:13" x14ac:dyDescent="0.4">
      <c r="A28" s="125">
        <v>2047</v>
      </c>
      <c r="B28" s="18"/>
      <c r="C28" s="18"/>
      <c r="D28" s="18"/>
      <c r="E28" s="18"/>
      <c r="F28" s="18"/>
      <c r="G28" s="18"/>
      <c r="H28" s="18"/>
      <c r="I28" s="18"/>
      <c r="J28" s="18"/>
      <c r="K28" s="18" t="s">
        <v>239</v>
      </c>
      <c r="L28" s="14" t="s">
        <v>732</v>
      </c>
      <c r="M28" s="18" t="s">
        <v>429</v>
      </c>
    </row>
    <row r="29" spans="1:13" x14ac:dyDescent="0.4">
      <c r="A29" s="125">
        <v>2048</v>
      </c>
      <c r="B29" s="18"/>
      <c r="C29" s="18"/>
      <c r="D29" s="18"/>
      <c r="E29" s="18"/>
      <c r="F29" s="18"/>
      <c r="G29" s="18"/>
      <c r="H29" s="18"/>
      <c r="I29" s="18"/>
      <c r="J29" s="18"/>
      <c r="K29" s="18" t="s">
        <v>240</v>
      </c>
      <c r="L29" s="14" t="s">
        <v>733</v>
      </c>
      <c r="M29" s="18" t="s">
        <v>428</v>
      </c>
    </row>
    <row r="30" spans="1:13" x14ac:dyDescent="0.4">
      <c r="A30" s="125">
        <v>2049</v>
      </c>
      <c r="B30" s="18"/>
      <c r="C30" s="18"/>
      <c r="D30" s="18"/>
      <c r="E30" s="18"/>
      <c r="F30" s="18"/>
      <c r="G30" s="18"/>
      <c r="H30" s="18"/>
      <c r="I30" s="18"/>
      <c r="J30" s="18"/>
      <c r="K30" s="5" t="s">
        <v>241</v>
      </c>
      <c r="L30" s="5" t="s">
        <v>734</v>
      </c>
      <c r="M30" s="18" t="s">
        <v>426</v>
      </c>
    </row>
    <row r="31" spans="1:13" x14ac:dyDescent="0.4">
      <c r="A31" s="125">
        <v>2050</v>
      </c>
      <c r="B31" s="18"/>
      <c r="C31" s="18"/>
      <c r="D31" s="18"/>
      <c r="E31" s="18"/>
      <c r="F31" s="18"/>
      <c r="G31" s="18"/>
      <c r="H31" s="18"/>
      <c r="I31" s="18"/>
      <c r="J31" s="18"/>
      <c r="K31" s="18"/>
      <c r="L31" s="18"/>
      <c r="M31" s="18" t="s">
        <v>448</v>
      </c>
    </row>
    <row r="32" spans="1:13" x14ac:dyDescent="0.4">
      <c r="A32" s="125" t="e">
        <f>NA()</f>
        <v>#N/A</v>
      </c>
      <c r="B32" s="18"/>
      <c r="C32" s="18"/>
      <c r="D32" s="18"/>
      <c r="E32" s="18"/>
      <c r="F32" s="18"/>
      <c r="G32" s="18"/>
      <c r="H32" s="18"/>
      <c r="I32" s="18"/>
      <c r="J32" s="18"/>
      <c r="K32" s="18"/>
      <c r="L32" s="18"/>
      <c r="M32" s="18" t="s">
        <v>419</v>
      </c>
    </row>
    <row r="33" spans="1:13" x14ac:dyDescent="0.4">
      <c r="A33" s="18"/>
      <c r="B33" s="18"/>
      <c r="C33" s="18"/>
      <c r="D33" s="18"/>
      <c r="E33" s="18"/>
      <c r="F33" s="18"/>
      <c r="G33" s="18"/>
      <c r="H33" s="18"/>
      <c r="I33" s="18"/>
      <c r="J33" s="18"/>
      <c r="K33" s="18"/>
      <c r="L33" s="18"/>
      <c r="M33" s="18" t="s">
        <v>413</v>
      </c>
    </row>
    <row r="34" spans="1:13" x14ac:dyDescent="0.4">
      <c r="A34" s="18"/>
      <c r="B34" s="18"/>
      <c r="C34" s="18"/>
      <c r="D34" s="18"/>
      <c r="E34" s="18"/>
      <c r="F34" s="18"/>
      <c r="G34" s="18"/>
      <c r="H34" s="18"/>
      <c r="I34" s="18"/>
      <c r="J34" s="18"/>
      <c r="K34" s="18"/>
      <c r="L34" s="18"/>
      <c r="M34" s="18" t="s">
        <v>437</v>
      </c>
    </row>
    <row r="35" spans="1:13" x14ac:dyDescent="0.4">
      <c r="A35" s="18"/>
      <c r="B35" s="18"/>
      <c r="C35" s="18"/>
      <c r="D35" s="18"/>
      <c r="E35" s="18"/>
      <c r="F35" s="18"/>
      <c r="G35" s="18"/>
      <c r="H35" s="18"/>
      <c r="I35" s="18"/>
      <c r="J35" s="18"/>
      <c r="K35" s="18"/>
      <c r="L35" s="18"/>
      <c r="M35" s="18" t="s">
        <v>439</v>
      </c>
    </row>
    <row r="36" spans="1:13" x14ac:dyDescent="0.4">
      <c r="A36" s="18"/>
      <c r="B36" s="18"/>
      <c r="C36" s="18"/>
      <c r="D36" s="18"/>
      <c r="E36" s="18"/>
      <c r="F36" s="18"/>
      <c r="G36" s="18"/>
      <c r="H36" s="18"/>
      <c r="I36" s="18"/>
      <c r="J36" s="18"/>
      <c r="K36" s="18"/>
      <c r="L36" s="18"/>
      <c r="M36" s="18" t="s">
        <v>415</v>
      </c>
    </row>
    <row r="37" spans="1:13" x14ac:dyDescent="0.4">
      <c r="A37" s="18"/>
      <c r="B37" s="18"/>
      <c r="C37" s="18"/>
      <c r="D37" s="18"/>
      <c r="E37" s="18"/>
      <c r="F37" s="18"/>
      <c r="G37" s="18"/>
      <c r="H37" s="18"/>
      <c r="I37" s="18"/>
      <c r="J37" s="18"/>
      <c r="K37" s="18"/>
      <c r="L37" s="18"/>
      <c r="M37" s="18" t="s">
        <v>424</v>
      </c>
    </row>
    <row r="38" spans="1:13" x14ac:dyDescent="0.4">
      <c r="A38" s="18"/>
      <c r="B38" s="18"/>
      <c r="C38" s="18"/>
      <c r="D38" s="18"/>
      <c r="E38" s="18"/>
      <c r="F38" s="18"/>
      <c r="G38" s="18"/>
      <c r="H38" s="18"/>
      <c r="I38" s="18"/>
      <c r="J38" s="18"/>
      <c r="K38" s="18"/>
      <c r="L38" s="18"/>
      <c r="M38" s="18" t="s">
        <v>408</v>
      </c>
    </row>
    <row r="39" spans="1:13" x14ac:dyDescent="0.4">
      <c r="A39" s="18"/>
      <c r="B39" s="18"/>
      <c r="C39" s="18"/>
      <c r="D39" s="18"/>
      <c r="E39" s="18"/>
      <c r="F39" s="18"/>
      <c r="G39" s="18"/>
      <c r="H39" s="18"/>
      <c r="I39" s="18"/>
      <c r="J39" s="18"/>
      <c r="K39" s="18"/>
      <c r="L39" s="18"/>
      <c r="M39" s="18" t="s">
        <v>430</v>
      </c>
    </row>
    <row r="40" spans="1:13" x14ac:dyDescent="0.4">
      <c r="A40" s="18"/>
      <c r="B40" s="18"/>
      <c r="C40" s="18"/>
      <c r="D40" s="18"/>
      <c r="E40" s="18"/>
      <c r="F40" s="18"/>
      <c r="G40" s="18"/>
      <c r="H40" s="18"/>
      <c r="I40" s="18"/>
      <c r="J40" s="18"/>
      <c r="K40" s="18"/>
      <c r="L40" s="18"/>
      <c r="M40" s="18" t="s">
        <v>443</v>
      </c>
    </row>
    <row r="41" spans="1:13" x14ac:dyDescent="0.4">
      <c r="A41" s="18"/>
      <c r="B41" s="18"/>
      <c r="C41" s="18"/>
      <c r="D41" s="18"/>
      <c r="E41" s="18"/>
      <c r="F41" s="18"/>
      <c r="G41" s="18"/>
      <c r="H41" s="18"/>
      <c r="I41" s="18"/>
      <c r="J41" s="18"/>
      <c r="K41" s="18"/>
      <c r="L41" s="18"/>
      <c r="M41" s="18" t="s">
        <v>441</v>
      </c>
    </row>
    <row r="42" spans="1:13" x14ac:dyDescent="0.4">
      <c r="A42" s="18"/>
      <c r="B42" s="18"/>
      <c r="C42" s="18"/>
      <c r="D42" s="18"/>
      <c r="E42" s="18"/>
      <c r="F42" s="18"/>
      <c r="G42" s="18"/>
      <c r="H42" s="18"/>
      <c r="I42" s="18"/>
      <c r="J42" s="18"/>
      <c r="K42" s="5"/>
      <c r="L42" s="5"/>
      <c r="M42" s="18" t="s">
        <v>412</v>
      </c>
    </row>
    <row r="43" spans="1:13" x14ac:dyDescent="0.4">
      <c r="A43" s="18"/>
      <c r="B43" s="18"/>
      <c r="C43" s="18"/>
      <c r="D43" s="18"/>
      <c r="E43" s="18"/>
      <c r="F43" s="18"/>
      <c r="G43" s="18"/>
      <c r="H43" s="18"/>
      <c r="I43" s="18"/>
      <c r="J43" s="18"/>
      <c r="K43" s="18"/>
      <c r="L43" s="18"/>
      <c r="M43" s="18" t="s">
        <v>444</v>
      </c>
    </row>
    <row r="44" spans="1:13" x14ac:dyDescent="0.4">
      <c r="A44" s="18"/>
      <c r="B44" s="18"/>
      <c r="C44" s="18"/>
      <c r="D44" s="18"/>
      <c r="E44" s="18"/>
      <c r="F44" s="18"/>
      <c r="G44" s="18"/>
      <c r="H44" s="18"/>
      <c r="I44" s="18"/>
      <c r="J44" s="18"/>
      <c r="K44" s="18"/>
      <c r="L44" s="18"/>
      <c r="M44" s="18" t="s">
        <v>447</v>
      </c>
    </row>
    <row r="45" spans="1:13" x14ac:dyDescent="0.4">
      <c r="A45" s="18"/>
      <c r="B45" s="18"/>
      <c r="C45" s="18"/>
      <c r="D45" s="18"/>
      <c r="E45" s="18"/>
      <c r="F45" s="18"/>
      <c r="G45" s="18"/>
      <c r="H45" s="18"/>
      <c r="I45" s="18"/>
      <c r="J45" s="18"/>
      <c r="K45" s="18"/>
      <c r="L45" s="18"/>
      <c r="M45" s="18" t="s">
        <v>431</v>
      </c>
    </row>
    <row r="46" spans="1:13" x14ac:dyDescent="0.4">
      <c r="A46" s="18"/>
      <c r="B46" s="18"/>
      <c r="C46" s="18"/>
      <c r="D46" s="18"/>
      <c r="E46" s="18"/>
      <c r="F46" s="18"/>
      <c r="G46" s="18"/>
      <c r="H46" s="18"/>
      <c r="I46" s="18"/>
      <c r="J46" s="18"/>
      <c r="K46" s="18"/>
      <c r="L46" s="18"/>
      <c r="M46" s="18" t="s">
        <v>421</v>
      </c>
    </row>
    <row r="47" spans="1:13" x14ac:dyDescent="0.4">
      <c r="A47" s="18"/>
      <c r="B47" s="18"/>
      <c r="C47" s="18"/>
      <c r="D47" s="18"/>
      <c r="E47" s="18"/>
      <c r="F47" s="18"/>
      <c r="G47" s="18"/>
      <c r="H47" s="18"/>
      <c r="I47" s="18"/>
      <c r="J47" s="18"/>
      <c r="K47" s="18"/>
      <c r="L47" s="18"/>
      <c r="M47" s="5" t="s">
        <v>442</v>
      </c>
    </row>
    <row r="48" spans="1:13" x14ac:dyDescent="0.4">
      <c r="A48" s="18"/>
      <c r="B48" s="18"/>
      <c r="C48" s="18"/>
      <c r="D48" s="18"/>
      <c r="E48" s="18"/>
      <c r="F48" s="18"/>
      <c r="G48" s="18"/>
      <c r="H48" s="18"/>
      <c r="I48" s="18"/>
      <c r="J48" s="18"/>
      <c r="K48" s="18"/>
      <c r="L48" s="18"/>
      <c r="M48" s="18" t="s">
        <v>423</v>
      </c>
    </row>
    <row r="49" spans="1:13" x14ac:dyDescent="0.4">
      <c r="A49" s="18"/>
      <c r="B49" s="18"/>
      <c r="C49" s="18"/>
      <c r="D49" s="18"/>
      <c r="E49" s="18"/>
      <c r="F49" s="18"/>
      <c r="G49" s="18"/>
      <c r="H49" s="18"/>
      <c r="I49" s="18"/>
      <c r="J49" s="18"/>
      <c r="K49" s="18"/>
      <c r="L49" s="18"/>
      <c r="M49" s="5" t="s">
        <v>425</v>
      </c>
    </row>
    <row r="50" spans="1:13" x14ac:dyDescent="0.4">
      <c r="A50" s="18"/>
      <c r="B50" s="18"/>
      <c r="C50" s="18"/>
      <c r="D50" s="18"/>
      <c r="E50" s="18"/>
      <c r="F50" s="18"/>
      <c r="G50" s="18"/>
      <c r="H50" s="18"/>
      <c r="I50" s="18"/>
      <c r="J50" s="18"/>
      <c r="K50" s="18"/>
      <c r="L50" s="18"/>
      <c r="M50" s="18"/>
    </row>
    <row r="51" spans="1:13" x14ac:dyDescent="0.4">
      <c r="A51" s="18"/>
      <c r="B51" s="18"/>
      <c r="C51" s="18"/>
      <c r="D51" s="18"/>
      <c r="E51" s="18"/>
      <c r="F51" s="18"/>
      <c r="G51" s="18"/>
      <c r="H51" s="18"/>
      <c r="I51" s="18"/>
      <c r="J51" s="18"/>
      <c r="K51" s="18"/>
      <c r="L51" s="18"/>
      <c r="M51" s="18"/>
    </row>
    <row r="52" spans="1:13" x14ac:dyDescent="0.4">
      <c r="A52" s="18"/>
      <c r="B52" s="18"/>
      <c r="C52" s="18"/>
      <c r="D52" s="18"/>
      <c r="E52" s="18"/>
      <c r="F52" s="18"/>
      <c r="G52" s="18"/>
      <c r="H52" s="18"/>
      <c r="I52" s="18"/>
      <c r="J52" s="18"/>
      <c r="K52" s="18"/>
      <c r="L52" s="18"/>
      <c r="M52" s="18"/>
    </row>
    <row r="53" spans="1:13" x14ac:dyDescent="0.4">
      <c r="A53" s="18"/>
      <c r="B53" s="18"/>
      <c r="C53" s="18"/>
      <c r="D53" s="18"/>
      <c r="E53" s="18"/>
      <c r="F53" s="18"/>
      <c r="G53" s="18"/>
      <c r="H53" s="18"/>
      <c r="I53" s="18"/>
      <c r="J53" s="18"/>
      <c r="M53" s="18"/>
    </row>
    <row r="54" spans="1:13" x14ac:dyDescent="0.4">
      <c r="A54" s="18"/>
      <c r="B54" s="18"/>
      <c r="C54" s="18"/>
      <c r="D54" s="18"/>
      <c r="E54" s="18"/>
      <c r="F54" s="18"/>
      <c r="G54" s="18"/>
      <c r="H54" s="18"/>
      <c r="I54" s="18"/>
      <c r="J54" s="18"/>
      <c r="M54" s="18"/>
    </row>
    <row r="55" spans="1:13" x14ac:dyDescent="0.4">
      <c r="A55" s="18"/>
      <c r="B55" s="18"/>
      <c r="C55" s="18"/>
      <c r="D55" s="18"/>
      <c r="E55" s="18"/>
      <c r="F55" s="18"/>
      <c r="G55" s="18"/>
      <c r="H55" s="18"/>
      <c r="I55" s="18"/>
      <c r="J55" s="18"/>
      <c r="M55" s="18"/>
    </row>
    <row r="56" spans="1:13" x14ac:dyDescent="0.4">
      <c r="A56" s="18"/>
      <c r="B56" s="18"/>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customFormat="1" ht="13.5" customHeight="1" x14ac:dyDescent="0.4">
      <c r="A74" s="14"/>
      <c r="B74" s="14"/>
      <c r="K74" s="38"/>
    </row>
    <row r="75" spans="1:11" x14ac:dyDescent="0.4">
      <c r="A75"/>
      <c r="B75"/>
      <c r="C75"/>
      <c r="D75"/>
      <c r="E75"/>
      <c r="F75"/>
      <c r="G75"/>
      <c r="H75"/>
      <c r="I75"/>
      <c r="J75"/>
      <c r="K75"/>
    </row>
    <row r="76" spans="1:11" x14ac:dyDescent="0.4">
      <c r="A76"/>
      <c r="B76"/>
    </row>
  </sheetData>
  <sortState xmlns:xlrd2="http://schemas.microsoft.com/office/spreadsheetml/2017/richdata2" ref="M3:M48">
    <sortCondition ref="M3:M48"/>
  </sortState>
  <dataValidations disablePrompts="1"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C23"/>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962</v>
      </c>
      <c r="C9" s="4"/>
    </row>
    <row r="10" spans="2:3" x14ac:dyDescent="0.4">
      <c r="C10" s="4"/>
    </row>
    <row r="11" spans="2:3" x14ac:dyDescent="0.4">
      <c r="B11" t="s">
        <v>556</v>
      </c>
    </row>
    <row r="12" spans="2:3" x14ac:dyDescent="0.4">
      <c r="B12" t="s">
        <v>557</v>
      </c>
    </row>
    <row r="13" spans="2:3" x14ac:dyDescent="0.4">
      <c r="B13" t="s">
        <v>581</v>
      </c>
    </row>
    <row r="14" spans="2:3" x14ac:dyDescent="0.4">
      <c r="B14" t="s">
        <v>828</v>
      </c>
    </row>
    <row r="15" spans="2:3" x14ac:dyDescent="0.4">
      <c r="B15" t="s">
        <v>829</v>
      </c>
    </row>
    <row r="16" spans="2:3" x14ac:dyDescent="0.4">
      <c r="B16" t="s">
        <v>558</v>
      </c>
    </row>
    <row r="18" spans="2:2" x14ac:dyDescent="0.4">
      <c r="B18" t="s">
        <v>559</v>
      </c>
    </row>
    <row r="19" spans="2:2" x14ac:dyDescent="0.4">
      <c r="B19" t="s">
        <v>560</v>
      </c>
    </row>
    <row r="20" spans="2:2" x14ac:dyDescent="0.4">
      <c r="B20" t="s">
        <v>561</v>
      </c>
    </row>
    <row r="22" spans="2:2" x14ac:dyDescent="0.4">
      <c r="B22" t="s">
        <v>963</v>
      </c>
    </row>
    <row r="23" spans="2:2" x14ac:dyDescent="0.4">
      <c r="B23" t="s">
        <v>580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26</vt:i4>
      </vt:variant>
    </vt:vector>
  </HeadingPairs>
  <TitlesOfParts>
    <vt:vector size="38"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Custom scenario tool</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2026-06-23T09:15:11Z</dcterms:modified>
</cp:coreProperties>
</file>