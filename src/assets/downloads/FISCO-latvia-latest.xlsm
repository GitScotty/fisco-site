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ml.chartshapes+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0.xml" ContentType="application/vnd.openxmlformats-officedocument.drawingml.chartshapes+xml"/>
  <Override PartName="/xl/charts/chart7.xml" ContentType="application/vnd.openxmlformats-officedocument.drawingml.chart+xml"/>
  <Override PartName="/xl/theme/themeOverride1.xml" ContentType="application/vnd.openxmlformats-officedocument.themeOverride+xml"/>
  <Override PartName="/xl/drawings/drawing11.xml" ContentType="application/vnd.openxmlformats-officedocument.drawingml.chartshapes+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2.xml" ContentType="application/vnd.openxmlformats-officedocument.drawingml.chartshapes+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5.xml" ContentType="application/vnd.openxmlformats-officedocument.drawingml.chartshapes+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7.xml" ContentType="application/vnd.openxmlformats-officedocument.drawingml.chartshapes+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ml.chartshap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ml.chartshapes+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ml.chartshapes+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ml.chartshapes+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ml.chartshapes+xml"/>
  <Override PartName="/xl/comments4.xml" ContentType="application/vnd.openxmlformats-officedocument.spreadsheetml.comments+xml"/>
  <Override PartName="/xl/drawings/drawing24.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16" documentId="8_{651F2488-2EB9-4468-9C73-1382C620DEA3}" xr6:coauthVersionLast="47" xr6:coauthVersionMax="47" xr10:uidLastSave="{5ED320BA-729C-478D-A8B6-ED46F7888762}"/>
  <bookViews>
    <workbookView xWindow="-67320" yWindow="-3945" windowWidth="29040" windowHeight="157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3 (MTP) - Plan and prior'!$C$6</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parameters'!$B$21</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3 (MTP) - Plan and prior'!$C$3</definedName>
    <definedName name="MTP_BaseYearIsTminus2">'Step 3 (MTP) - Plan and prior'!$C$9</definedName>
    <definedName name="MTP_Council_Endorsed">'Step 3 (MTP) - Plan and prior'!$C$8</definedName>
    <definedName name="MTP_EndYear">Validation!$Q$2</definedName>
    <definedName name="MTP_PlanFirstYear">Validation!$Q$11</definedName>
    <definedName name="MTP_PlanningHorizon">'Step 3 (MTP) - Plan and prior'!$C$5</definedName>
    <definedName name="MTP_Requirement">Assessment!$C$203</definedName>
    <definedName name="MTP_YearT">'Step 3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75" l="1"/>
  <c r="B64" i="76"/>
  <c r="B63" i="76"/>
  <c r="B2" i="64" l="1"/>
  <c r="B29" i="64"/>
  <c r="B30" i="17" l="1"/>
  <c r="J15" i="64"/>
  <c r="K15" i="64"/>
  <c r="L115" i="17" l="1"/>
  <c r="M115" i="17"/>
  <c r="N115" i="17"/>
  <c r="O115" i="17"/>
  <c r="P115" i="17"/>
  <c r="Q115" i="17"/>
  <c r="R115" i="17"/>
  <c r="S115" i="17"/>
  <c r="T115" i="17"/>
  <c r="U115" i="17"/>
  <c r="V115" i="17"/>
  <c r="W115" i="17"/>
  <c r="X115" i="17"/>
  <c r="Y115" i="17"/>
  <c r="Z115" i="17"/>
  <c r="L116" i="17"/>
  <c r="M116" i="17"/>
  <c r="N116" i="17"/>
  <c r="O116" i="17"/>
  <c r="P116" i="17"/>
  <c r="Q116" i="17"/>
  <c r="R116" i="17"/>
  <c r="S116" i="17"/>
  <c r="T116" i="17"/>
  <c r="U116" i="17"/>
  <c r="V116" i="17"/>
  <c r="W116" i="17"/>
  <c r="X116" i="17"/>
  <c r="Y116" i="17"/>
  <c r="Z116" i="17"/>
  <c r="L126" i="17"/>
  <c r="M126" i="17"/>
  <c r="N126" i="17"/>
  <c r="O126" i="17"/>
  <c r="P126" i="17"/>
  <c r="Q126" i="17"/>
  <c r="R126" i="17"/>
  <c r="S126" i="17"/>
  <c r="T126" i="17"/>
  <c r="U126" i="17"/>
  <c r="V126" i="17"/>
  <c r="W126" i="17"/>
  <c r="X126" i="17"/>
  <c r="Y126" i="17"/>
  <c r="Z126" i="17"/>
  <c r="L132" i="17"/>
  <c r="M132" i="17"/>
  <c r="N132" i="17"/>
  <c r="O132" i="17"/>
  <c r="P132" i="17"/>
  <c r="Q132" i="17"/>
  <c r="R132" i="17"/>
  <c r="S132" i="17"/>
  <c r="T132" i="17"/>
  <c r="U132" i="17"/>
  <c r="V132" i="17"/>
  <c r="W132" i="17"/>
  <c r="X132" i="17"/>
  <c r="Y132" i="17"/>
  <c r="Z132" i="17"/>
  <c r="L133" i="17"/>
  <c r="M133" i="17"/>
  <c r="N133" i="17"/>
  <c r="O133" i="17"/>
  <c r="P133" i="17"/>
  <c r="Q133" i="17"/>
  <c r="R133" i="17"/>
  <c r="S133" i="17"/>
  <c r="T133" i="17"/>
  <c r="U133" i="17"/>
  <c r="V133" i="17"/>
  <c r="W133" i="17"/>
  <c r="X133" i="17"/>
  <c r="Y133" i="17"/>
  <c r="Z133" i="17"/>
  <c r="L142" i="17"/>
  <c r="M142" i="17"/>
  <c r="N142" i="17"/>
  <c r="O142" i="17"/>
  <c r="P142" i="17"/>
  <c r="Q142" i="17"/>
  <c r="R142" i="17"/>
  <c r="S142" i="17"/>
  <c r="T142" i="17"/>
  <c r="U142" i="17"/>
  <c r="V142" i="17"/>
  <c r="W142" i="17"/>
  <c r="X142" i="17"/>
  <c r="Y142" i="17"/>
  <c r="Z142" i="17"/>
  <c r="L143" i="17"/>
  <c r="M143" i="17"/>
  <c r="N143" i="17"/>
  <c r="O143" i="17"/>
  <c r="P143" i="17"/>
  <c r="Q143" i="17"/>
  <c r="R143" i="17"/>
  <c r="S143" i="17"/>
  <c r="T143" i="17"/>
  <c r="U143" i="17"/>
  <c r="V143" i="17"/>
  <c r="W143" i="17"/>
  <c r="X143" i="17"/>
  <c r="Y143" i="17"/>
  <c r="Z143" i="17"/>
  <c r="L149" i="17"/>
  <c r="M149" i="17"/>
  <c r="N149" i="17"/>
  <c r="O149" i="17"/>
  <c r="P149" i="17"/>
  <c r="Q149" i="17"/>
  <c r="R149" i="17"/>
  <c r="S149" i="17"/>
  <c r="T149" i="17"/>
  <c r="U149" i="17"/>
  <c r="V149" i="17"/>
  <c r="W149" i="17"/>
  <c r="X149" i="17"/>
  <c r="Y149" i="17"/>
  <c r="Z149" i="17"/>
  <c r="L151" i="17"/>
  <c r="M151" i="17"/>
  <c r="N151" i="17"/>
  <c r="O151" i="17"/>
  <c r="P151" i="17"/>
  <c r="Q151" i="17"/>
  <c r="R151" i="17"/>
  <c r="S151" i="17"/>
  <c r="T151" i="17"/>
  <c r="U151" i="17"/>
  <c r="V151" i="17"/>
  <c r="W151" i="17"/>
  <c r="X151" i="17"/>
  <c r="Y151" i="17"/>
  <c r="Z151" i="17"/>
  <c r="L152" i="17"/>
  <c r="M152" i="17"/>
  <c r="N152" i="17"/>
  <c r="O152" i="17"/>
  <c r="P152" i="17"/>
  <c r="Q152" i="17"/>
  <c r="R152" i="17"/>
  <c r="S152" i="17"/>
  <c r="T152" i="17"/>
  <c r="U152" i="17"/>
  <c r="V152" i="17"/>
  <c r="W152" i="17"/>
  <c r="X152" i="17"/>
  <c r="Y152" i="17"/>
  <c r="Z152" i="17"/>
  <c r="L160" i="17"/>
  <c r="M160" i="17"/>
  <c r="N160" i="17"/>
  <c r="O160" i="17"/>
  <c r="P160" i="17"/>
  <c r="P106" i="17" s="1"/>
  <c r="Q160" i="17"/>
  <c r="Q106" i="17" s="1"/>
  <c r="R160" i="17"/>
  <c r="R106" i="17" s="1"/>
  <c r="S160" i="17"/>
  <c r="S106" i="17" s="1"/>
  <c r="T160" i="17"/>
  <c r="T106" i="17" s="1"/>
  <c r="U160" i="17"/>
  <c r="U106" i="17" s="1"/>
  <c r="V160" i="17"/>
  <c r="W160" i="17"/>
  <c r="W106" i="17" s="1"/>
  <c r="X160" i="17"/>
  <c r="X106" i="17" s="1"/>
  <c r="Y160" i="17"/>
  <c r="Y106" i="17" s="1"/>
  <c r="Z160" i="17"/>
  <c r="L161" i="17"/>
  <c r="L107" i="17" s="1"/>
  <c r="M161" i="17"/>
  <c r="M107" i="17" s="1"/>
  <c r="N161" i="17"/>
  <c r="N107" i="17" s="1"/>
  <c r="O161" i="17"/>
  <c r="O107" i="17" s="1"/>
  <c r="P161" i="17"/>
  <c r="P107" i="17" s="1"/>
  <c r="Q161" i="17"/>
  <c r="Q107" i="17" s="1"/>
  <c r="R161" i="17"/>
  <c r="R107" i="17" s="1"/>
  <c r="S161" i="17"/>
  <c r="S107" i="17" s="1"/>
  <c r="T161" i="17"/>
  <c r="T107" i="17" s="1"/>
  <c r="U161" i="17"/>
  <c r="U107" i="17" s="1"/>
  <c r="V161" i="17"/>
  <c r="V107" i="17" s="1"/>
  <c r="W161" i="17"/>
  <c r="X161" i="17"/>
  <c r="X107" i="17" s="1"/>
  <c r="Y161" i="17"/>
  <c r="Y107" i="17" s="1"/>
  <c r="Z161" i="17"/>
  <c r="Z107" i="17" s="1"/>
  <c r="L162" i="17"/>
  <c r="L108" i="17" s="1"/>
  <c r="M162" i="17"/>
  <c r="M108" i="17" s="1"/>
  <c r="N162" i="17"/>
  <c r="N108" i="17" s="1"/>
  <c r="O162" i="17"/>
  <c r="O108" i="17" s="1"/>
  <c r="P162" i="17"/>
  <c r="P108" i="17" s="1"/>
  <c r="Q162" i="17"/>
  <c r="Q108" i="17" s="1"/>
  <c r="R162" i="17"/>
  <c r="R108" i="17" s="1"/>
  <c r="S162" i="17"/>
  <c r="S108" i="17" s="1"/>
  <c r="T162" i="17"/>
  <c r="T108" i="17" s="1"/>
  <c r="U162" i="17"/>
  <c r="U108" i="17" s="1"/>
  <c r="V162" i="17"/>
  <c r="V108" i="17" s="1"/>
  <c r="W162" i="17"/>
  <c r="W108" i="17" s="1"/>
  <c r="X162" i="17"/>
  <c r="Y162" i="17"/>
  <c r="Y108" i="17" s="1"/>
  <c r="Z162" i="17"/>
  <c r="Z108" i="17" s="1"/>
  <c r="L163" i="17"/>
  <c r="L109" i="17" s="1"/>
  <c r="M163" i="17"/>
  <c r="M109" i="17" s="1"/>
  <c r="N163" i="17"/>
  <c r="N109" i="17" s="1"/>
  <c r="O163" i="17"/>
  <c r="O109" i="17" s="1"/>
  <c r="P163" i="17"/>
  <c r="P109" i="17" s="1"/>
  <c r="Q163" i="17"/>
  <c r="Q109" i="17" s="1"/>
  <c r="R163" i="17"/>
  <c r="R109" i="17" s="1"/>
  <c r="S163" i="17"/>
  <c r="S109" i="17" s="1"/>
  <c r="T163" i="17"/>
  <c r="T109" i="17" s="1"/>
  <c r="U163" i="17"/>
  <c r="U109" i="17" s="1"/>
  <c r="V163" i="17"/>
  <c r="V109" i="17" s="1"/>
  <c r="W163" i="17"/>
  <c r="W109" i="17" s="1"/>
  <c r="X163" i="17"/>
  <c r="X109" i="17" s="1"/>
  <c r="Y163" i="17"/>
  <c r="Z163" i="17"/>
  <c r="Z109" i="17" s="1"/>
  <c r="L164" i="17"/>
  <c r="L110" i="17" s="1"/>
  <c r="M164" i="17"/>
  <c r="M110" i="17" s="1"/>
  <c r="N164" i="17"/>
  <c r="N110" i="17" s="1"/>
  <c r="O164" i="17"/>
  <c r="O110" i="17" s="1"/>
  <c r="P164" i="17"/>
  <c r="P110" i="17" s="1"/>
  <c r="Q164" i="17"/>
  <c r="Q110" i="17" s="1"/>
  <c r="R164" i="17"/>
  <c r="R110" i="17" s="1"/>
  <c r="S164" i="17"/>
  <c r="S110" i="17" s="1"/>
  <c r="T164" i="17"/>
  <c r="T110" i="17" s="1"/>
  <c r="U164" i="17"/>
  <c r="U110" i="17" s="1"/>
  <c r="V164" i="17"/>
  <c r="V110" i="17" s="1"/>
  <c r="W164" i="17"/>
  <c r="W110" i="17" s="1"/>
  <c r="X164" i="17"/>
  <c r="X110" i="17" s="1"/>
  <c r="Y164" i="17"/>
  <c r="Y110" i="17" s="1"/>
  <c r="Z164" i="17"/>
  <c r="Z110" i="17" s="1"/>
  <c r="L165" i="17"/>
  <c r="L111" i="17" s="1"/>
  <c r="M165" i="17"/>
  <c r="M111" i="17" s="1"/>
  <c r="N165" i="17"/>
  <c r="N111" i="17" s="1"/>
  <c r="O165" i="17"/>
  <c r="O111" i="17" s="1"/>
  <c r="P165" i="17"/>
  <c r="P111" i="17" s="1"/>
  <c r="Q165" i="17"/>
  <c r="Q111" i="17" s="1"/>
  <c r="R165" i="17"/>
  <c r="R111" i="17" s="1"/>
  <c r="S165" i="17"/>
  <c r="S111" i="17" s="1"/>
  <c r="T165" i="17"/>
  <c r="T111" i="17" s="1"/>
  <c r="U165" i="17"/>
  <c r="U111" i="17" s="1"/>
  <c r="V165" i="17"/>
  <c r="V111" i="17" s="1"/>
  <c r="W165" i="17"/>
  <c r="W111" i="17" s="1"/>
  <c r="X165" i="17"/>
  <c r="X111" i="17" s="1"/>
  <c r="Y165" i="17"/>
  <c r="Y111" i="17" s="1"/>
  <c r="Z165" i="17"/>
  <c r="Z111" i="17" s="1"/>
  <c r="L167" i="17"/>
  <c r="L113" i="17" s="1"/>
  <c r="M167" i="17"/>
  <c r="M113" i="17" s="1"/>
  <c r="N167" i="17"/>
  <c r="N113" i="17" s="1"/>
  <c r="O167" i="17"/>
  <c r="O113" i="17" s="1"/>
  <c r="P167" i="17"/>
  <c r="P113" i="17" s="1"/>
  <c r="Q167" i="17"/>
  <c r="Q113" i="17" s="1"/>
  <c r="R167" i="17"/>
  <c r="R113" i="17" s="1"/>
  <c r="S167" i="17"/>
  <c r="S113" i="17" s="1"/>
  <c r="T167" i="17"/>
  <c r="T113" i="17" s="1"/>
  <c r="U167" i="17"/>
  <c r="U113" i="17" s="1"/>
  <c r="V167" i="17"/>
  <c r="V113" i="17" s="1"/>
  <c r="W167" i="17"/>
  <c r="W113" i="17" s="1"/>
  <c r="X167" i="17"/>
  <c r="X113" i="17" s="1"/>
  <c r="Y167" i="17"/>
  <c r="Y113" i="17" s="1"/>
  <c r="Z167" i="17"/>
  <c r="Z113" i="17" s="1"/>
  <c r="L173" i="17"/>
  <c r="M173" i="17"/>
  <c r="M118" i="17" s="1"/>
  <c r="N173" i="17"/>
  <c r="N118" i="17" s="1"/>
  <c r="O173" i="17"/>
  <c r="O118" i="17" s="1"/>
  <c r="P173" i="17"/>
  <c r="Q173" i="17"/>
  <c r="Q118" i="17" s="1"/>
  <c r="R173" i="17"/>
  <c r="R118" i="17" s="1"/>
  <c r="S173" i="17"/>
  <c r="S118" i="17" s="1"/>
  <c r="T173" i="17"/>
  <c r="T118" i="17" s="1"/>
  <c r="U173" i="17"/>
  <c r="U118" i="17" s="1"/>
  <c r="V173" i="17"/>
  <c r="V118" i="17" s="1"/>
  <c r="W173" i="17"/>
  <c r="X173" i="17"/>
  <c r="Y173" i="17"/>
  <c r="Z173" i="17"/>
  <c r="Z118" i="17" s="1"/>
  <c r="L174" i="17"/>
  <c r="L119" i="17" s="1"/>
  <c r="M174" i="17"/>
  <c r="M119" i="17" s="1"/>
  <c r="N174" i="17"/>
  <c r="N119" i="17" s="1"/>
  <c r="O174" i="17"/>
  <c r="O119" i="17" s="1"/>
  <c r="P174" i="17"/>
  <c r="P119" i="17" s="1"/>
  <c r="Q174" i="17"/>
  <c r="Q119" i="17" s="1"/>
  <c r="R174" i="17"/>
  <c r="R119" i="17" s="1"/>
  <c r="S174" i="17"/>
  <c r="S119" i="17" s="1"/>
  <c r="T174" i="17"/>
  <c r="T119" i="17" s="1"/>
  <c r="U174" i="17"/>
  <c r="V174" i="17"/>
  <c r="V119" i="17" s="1"/>
  <c r="W174" i="17"/>
  <c r="W119" i="17" s="1"/>
  <c r="X174" i="17"/>
  <c r="X119" i="17" s="1"/>
  <c r="Y174" i="17"/>
  <c r="Y119" i="17" s="1"/>
  <c r="Z174" i="17"/>
  <c r="Z119" i="17" s="1"/>
  <c r="L175" i="17"/>
  <c r="L120" i="17" s="1"/>
  <c r="M175" i="17"/>
  <c r="M120" i="17" s="1"/>
  <c r="N175" i="17"/>
  <c r="O175" i="17"/>
  <c r="O205" i="17" s="1"/>
  <c r="O150" i="17" s="1"/>
  <c r="P175" i="17"/>
  <c r="P205" i="17" s="1"/>
  <c r="P150" i="17" s="1"/>
  <c r="Q175" i="17"/>
  <c r="Q205" i="17" s="1"/>
  <c r="Q150" i="17" s="1"/>
  <c r="R175" i="17"/>
  <c r="R205" i="17" s="1"/>
  <c r="R150" i="17" s="1"/>
  <c r="S175" i="17"/>
  <c r="S205" i="17" s="1"/>
  <c r="S150" i="17" s="1"/>
  <c r="T175" i="17"/>
  <c r="T120" i="17" s="1"/>
  <c r="U175" i="17"/>
  <c r="U120" i="17" s="1"/>
  <c r="V175" i="17"/>
  <c r="V120" i="17" s="1"/>
  <c r="W175" i="17"/>
  <c r="W120" i="17" s="1"/>
  <c r="X175" i="17"/>
  <c r="X120" i="17" s="1"/>
  <c r="Y175" i="17"/>
  <c r="Y120" i="17" s="1"/>
  <c r="Z175" i="17"/>
  <c r="L176" i="17"/>
  <c r="L121" i="17" s="1"/>
  <c r="M176" i="17"/>
  <c r="M121" i="17" s="1"/>
  <c r="N176" i="17"/>
  <c r="N121" i="17" s="1"/>
  <c r="O176" i="17"/>
  <c r="P176" i="17"/>
  <c r="P121" i="17" s="1"/>
  <c r="Q176" i="17"/>
  <c r="Q121" i="17" s="1"/>
  <c r="R176" i="17"/>
  <c r="R121" i="17" s="1"/>
  <c r="S176" i="17"/>
  <c r="S121" i="17" s="1"/>
  <c r="T176" i="17"/>
  <c r="T121" i="17" s="1"/>
  <c r="U176" i="17"/>
  <c r="U121" i="17" s="1"/>
  <c r="V176" i="17"/>
  <c r="V121" i="17" s="1"/>
  <c r="W176" i="17"/>
  <c r="W121" i="17" s="1"/>
  <c r="X176" i="17"/>
  <c r="X121" i="17" s="1"/>
  <c r="Y176" i="17"/>
  <c r="Y121" i="17" s="1"/>
  <c r="Z176" i="17"/>
  <c r="Z121" i="17" s="1"/>
  <c r="L177" i="17"/>
  <c r="L122" i="17" s="1"/>
  <c r="M177" i="17"/>
  <c r="M122" i="17" s="1"/>
  <c r="N177" i="17"/>
  <c r="N122" i="17" s="1"/>
  <c r="O177" i="17"/>
  <c r="O122" i="17" s="1"/>
  <c r="P177" i="17"/>
  <c r="P122" i="17" s="1"/>
  <c r="Q177" i="17"/>
  <c r="Q122" i="17" s="1"/>
  <c r="R177" i="17"/>
  <c r="R122" i="17" s="1"/>
  <c r="S177" i="17"/>
  <c r="S122" i="17" s="1"/>
  <c r="T177" i="17"/>
  <c r="T122" i="17" s="1"/>
  <c r="U177" i="17"/>
  <c r="U122" i="17" s="1"/>
  <c r="V177" i="17"/>
  <c r="V122" i="17" s="1"/>
  <c r="W177" i="17"/>
  <c r="W122" i="17" s="1"/>
  <c r="X177" i="17"/>
  <c r="X122" i="17" s="1"/>
  <c r="Y177" i="17"/>
  <c r="Y122" i="17" s="1"/>
  <c r="Z177" i="17"/>
  <c r="Z122" i="17" s="1"/>
  <c r="L178" i="17"/>
  <c r="L123" i="17" s="1"/>
  <c r="M178" i="17"/>
  <c r="M123" i="17" s="1"/>
  <c r="N178" i="17"/>
  <c r="N123" i="17" s="1"/>
  <c r="O178" i="17"/>
  <c r="O123" i="17" s="1"/>
  <c r="P178" i="17"/>
  <c r="P123" i="17" s="1"/>
  <c r="Q178" i="17"/>
  <c r="Q123" i="17" s="1"/>
  <c r="R178" i="17"/>
  <c r="R123" i="17" s="1"/>
  <c r="S178" i="17"/>
  <c r="S123" i="17" s="1"/>
  <c r="T178" i="17"/>
  <c r="T123" i="17" s="1"/>
  <c r="U178" i="17"/>
  <c r="U123" i="17" s="1"/>
  <c r="V178" i="17"/>
  <c r="V123" i="17" s="1"/>
  <c r="W178" i="17"/>
  <c r="W123" i="17" s="1"/>
  <c r="X178" i="17"/>
  <c r="X123" i="17" s="1"/>
  <c r="Y178" i="17"/>
  <c r="Y123" i="17" s="1"/>
  <c r="Z178" i="17"/>
  <c r="Z123" i="17" s="1"/>
  <c r="L179" i="17"/>
  <c r="L124" i="17" s="1"/>
  <c r="M179" i="17"/>
  <c r="M124" i="17" s="1"/>
  <c r="N179" i="17"/>
  <c r="N124" i="17" s="1"/>
  <c r="O179" i="17"/>
  <c r="O124" i="17" s="1"/>
  <c r="P179" i="17"/>
  <c r="P124" i="17" s="1"/>
  <c r="Q179" i="17"/>
  <c r="Q124" i="17" s="1"/>
  <c r="R179" i="17"/>
  <c r="R124" i="17" s="1"/>
  <c r="S179" i="17"/>
  <c r="S124" i="17" s="1"/>
  <c r="T179" i="17"/>
  <c r="T124" i="17" s="1"/>
  <c r="U179" i="17"/>
  <c r="U124" i="17" s="1"/>
  <c r="V179" i="17"/>
  <c r="V124" i="17" s="1"/>
  <c r="W179" i="17"/>
  <c r="W124" i="17" s="1"/>
  <c r="X179" i="17"/>
  <c r="X124" i="17" s="1"/>
  <c r="Y179" i="17"/>
  <c r="Y124" i="17" s="1"/>
  <c r="Z179" i="17"/>
  <c r="Z124" i="17" s="1"/>
  <c r="L180" i="17"/>
  <c r="L125" i="17" s="1"/>
  <c r="M180" i="17"/>
  <c r="M125" i="17" s="1"/>
  <c r="N180" i="17"/>
  <c r="N125" i="17" s="1"/>
  <c r="O180" i="17"/>
  <c r="O125" i="17" s="1"/>
  <c r="P180" i="17"/>
  <c r="P125" i="17" s="1"/>
  <c r="Q180" i="17"/>
  <c r="Q125" i="17" s="1"/>
  <c r="R180" i="17"/>
  <c r="R125" i="17" s="1"/>
  <c r="S180" i="17"/>
  <c r="S125" i="17" s="1"/>
  <c r="T180" i="17"/>
  <c r="T125" i="17" s="1"/>
  <c r="U180" i="17"/>
  <c r="U125" i="17" s="1"/>
  <c r="V180" i="17"/>
  <c r="V125" i="17" s="1"/>
  <c r="W180" i="17"/>
  <c r="W125" i="17" s="1"/>
  <c r="X180" i="17"/>
  <c r="X125" i="17" s="1"/>
  <c r="Y180" i="17"/>
  <c r="Y125" i="17" s="1"/>
  <c r="Z180" i="17"/>
  <c r="Z125" i="17" s="1"/>
  <c r="L182" i="17"/>
  <c r="L127" i="17" s="1"/>
  <c r="M182" i="17"/>
  <c r="M127" i="17" s="1"/>
  <c r="N182" i="17"/>
  <c r="N127" i="17" s="1"/>
  <c r="O182" i="17"/>
  <c r="O127" i="17" s="1"/>
  <c r="P182" i="17"/>
  <c r="P127" i="17" s="1"/>
  <c r="Q182" i="17"/>
  <c r="Q127" i="17" s="1"/>
  <c r="R182" i="17"/>
  <c r="R127" i="17" s="1"/>
  <c r="S182" i="17"/>
  <c r="S127" i="17" s="1"/>
  <c r="T182" i="17"/>
  <c r="T127" i="17" s="1"/>
  <c r="U182" i="17"/>
  <c r="U127" i="17" s="1"/>
  <c r="V182" i="17"/>
  <c r="V127" i="17" s="1"/>
  <c r="W182" i="17"/>
  <c r="W127" i="17" s="1"/>
  <c r="X182" i="17"/>
  <c r="X127" i="17" s="1"/>
  <c r="Y182" i="17"/>
  <c r="Y127" i="17" s="1"/>
  <c r="Z182" i="17"/>
  <c r="Z127" i="17" s="1"/>
  <c r="L183" i="17"/>
  <c r="L128" i="17" s="1"/>
  <c r="M183" i="17"/>
  <c r="M128" i="17" s="1"/>
  <c r="N183" i="17"/>
  <c r="N128" i="17" s="1"/>
  <c r="O183" i="17"/>
  <c r="O128" i="17" s="1"/>
  <c r="P183" i="17"/>
  <c r="P128" i="17" s="1"/>
  <c r="Q183" i="17"/>
  <c r="Q128" i="17" s="1"/>
  <c r="R183" i="17"/>
  <c r="R128" i="17" s="1"/>
  <c r="S183" i="17"/>
  <c r="S128" i="17" s="1"/>
  <c r="T183" i="17"/>
  <c r="T128" i="17" s="1"/>
  <c r="U183" i="17"/>
  <c r="U128" i="17" s="1"/>
  <c r="V183" i="17"/>
  <c r="V128" i="17" s="1"/>
  <c r="W183" i="17"/>
  <c r="W128" i="17" s="1"/>
  <c r="X183" i="17"/>
  <c r="X128" i="17" s="1"/>
  <c r="Y183" i="17"/>
  <c r="Y128" i="17" s="1"/>
  <c r="Z183" i="17"/>
  <c r="Z128" i="17" s="1"/>
  <c r="L189" i="17"/>
  <c r="L134" i="17" s="1"/>
  <c r="M189" i="17"/>
  <c r="M134" i="17" s="1"/>
  <c r="N189" i="17"/>
  <c r="N134" i="17" s="1"/>
  <c r="O189" i="17"/>
  <c r="O134" i="17" s="1"/>
  <c r="P189" i="17"/>
  <c r="P134" i="17" s="1"/>
  <c r="Q189" i="17"/>
  <c r="Q134" i="17" s="1"/>
  <c r="R189" i="17"/>
  <c r="R134" i="17" s="1"/>
  <c r="S189" i="17"/>
  <c r="S134" i="17" s="1"/>
  <c r="T189" i="17"/>
  <c r="T134" i="17" s="1"/>
  <c r="U189" i="17"/>
  <c r="U134" i="17" s="1"/>
  <c r="V189" i="17"/>
  <c r="V134" i="17" s="1"/>
  <c r="W189" i="17"/>
  <c r="W134" i="17" s="1"/>
  <c r="X189" i="17"/>
  <c r="X134" i="17" s="1"/>
  <c r="Y189" i="17"/>
  <c r="Y134" i="17" s="1"/>
  <c r="Z189" i="17"/>
  <c r="Z134" i="17" s="1"/>
  <c r="L200" i="17"/>
  <c r="L145" i="17" s="1"/>
  <c r="M200" i="17"/>
  <c r="M145" i="17" s="1"/>
  <c r="N200" i="17"/>
  <c r="O200" i="17"/>
  <c r="P200" i="17"/>
  <c r="Q200" i="17"/>
  <c r="Q145" i="17" s="1"/>
  <c r="R200" i="17"/>
  <c r="S200" i="17"/>
  <c r="T200" i="17"/>
  <c r="U200" i="17"/>
  <c r="V200" i="17"/>
  <c r="W200" i="17"/>
  <c r="X200" i="17"/>
  <c r="Y200" i="17"/>
  <c r="Y145" i="17" s="1"/>
  <c r="Z200" i="17"/>
  <c r="Z145"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1" i="17"/>
  <c r="X201" i="17"/>
  <c r="V166" i="17"/>
  <c r="V168" i="17" s="1"/>
  <c r="V114" i="17" s="1"/>
  <c r="U201" i="17"/>
  <c r="U146" i="17" s="1"/>
  <c r="U166" i="17"/>
  <c r="U112" i="17" s="1"/>
  <c r="U184" i="17"/>
  <c r="U129" i="17" s="1"/>
  <c r="U131" i="17" s="1"/>
  <c r="U135" i="17" s="1"/>
  <c r="T184" i="17"/>
  <c r="T129" i="17" s="1"/>
  <c r="T131" i="17" s="1"/>
  <c r="T135" i="17" s="1"/>
  <c r="S184" i="17"/>
  <c r="S186" i="17" s="1"/>
  <c r="S190" i="17" s="1"/>
  <c r="Q201" i="17"/>
  <c r="Q146" i="17" s="1"/>
  <c r="R184" i="17"/>
  <c r="R129" i="17" s="1"/>
  <c r="R131" i="17" s="1"/>
  <c r="V201" i="17"/>
  <c r="V146" i="17" s="1"/>
  <c r="R201" i="17"/>
  <c r="R146" i="17" s="1"/>
  <c r="W166" i="17"/>
  <c r="W168" i="17" s="1"/>
  <c r="W114" i="17" s="1"/>
  <c r="U119" i="17"/>
  <c r="Y166" i="17"/>
  <c r="Y168" i="17" s="1"/>
  <c r="Y114" i="17" s="1"/>
  <c r="X166" i="17"/>
  <c r="X168" i="17" s="1"/>
  <c r="X114" i="17" s="1"/>
  <c r="N201" i="17"/>
  <c r="N146" i="17" s="1"/>
  <c r="M205" i="17"/>
  <c r="M150" i="17" s="1"/>
  <c r="L205" i="17"/>
  <c r="L150" i="17" s="1"/>
  <c r="N145" i="17"/>
  <c r="M201" i="17"/>
  <c r="M146" i="17" s="1"/>
  <c r="W107" i="17"/>
  <c r="Q184" i="17"/>
  <c r="Q186" i="17" s="1"/>
  <c r="Q190" i="17" s="1"/>
  <c r="Y109" i="17"/>
  <c r="Y205" i="17"/>
  <c r="Y150" i="17" s="1"/>
  <c r="S120" i="17"/>
  <c r="X205" i="17"/>
  <c r="X150" i="17" s="1"/>
  <c r="R120" i="17"/>
  <c r="W205" i="17"/>
  <c r="W150" i="17" s="1"/>
  <c r="Q120" i="17"/>
  <c r="V205" i="17"/>
  <c r="V150" i="17" s="1"/>
  <c r="X145" i="17"/>
  <c r="P120" i="17"/>
  <c r="U205" i="17"/>
  <c r="U150" i="17" s="1"/>
  <c r="O184" i="17"/>
  <c r="O186" i="17" s="1"/>
  <c r="O190" i="17" s="1"/>
  <c r="N184" i="17"/>
  <c r="N129" i="17" s="1"/>
  <c r="N131" i="17" s="1"/>
  <c r="M184" i="17"/>
  <c r="M186" i="17" s="1"/>
  <c r="M190" i="17" s="1"/>
  <c r="Z166" i="17"/>
  <c r="Z112" i="17" s="1"/>
  <c r="W145" i="17"/>
  <c r="O120" i="17"/>
  <c r="X108" i="17"/>
  <c r="V106" i="17"/>
  <c r="T205" i="17"/>
  <c r="T150" i="17" s="1"/>
  <c r="V145" i="17"/>
  <c r="N120" i="17"/>
  <c r="U145" i="17"/>
  <c r="O201" i="17"/>
  <c r="O146" i="17" s="1"/>
  <c r="O145" i="17"/>
  <c r="X146" i="17"/>
  <c r="W146" i="17"/>
  <c r="O106" i="17"/>
  <c r="O166" i="17"/>
  <c r="M106" i="17"/>
  <c r="M166" i="17"/>
  <c r="S201" i="17"/>
  <c r="S145" i="17"/>
  <c r="R166" i="17"/>
  <c r="Q166" i="17"/>
  <c r="Z106" i="17"/>
  <c r="Z201" i="17"/>
  <c r="P166" i="17"/>
  <c r="Y201" i="17"/>
  <c r="Y118" i="17"/>
  <c r="Y184" i="17"/>
  <c r="Z184" i="17"/>
  <c r="X118" i="17"/>
  <c r="X184" i="17"/>
  <c r="N106" i="17"/>
  <c r="N166" i="17"/>
  <c r="L106" i="17"/>
  <c r="L166" i="17"/>
  <c r="T166" i="17"/>
  <c r="T201" i="17"/>
  <c r="T145" i="17"/>
  <c r="P184" i="17"/>
  <c r="P118" i="17"/>
  <c r="S166" i="17"/>
  <c r="L118" i="17"/>
  <c r="L184" i="17"/>
  <c r="O121" i="17"/>
  <c r="Z120" i="17"/>
  <c r="Z205" i="17"/>
  <c r="Z150" i="17" s="1"/>
  <c r="N205" i="17"/>
  <c r="N150" i="17" s="1"/>
  <c r="V184" i="17"/>
  <c r="V194" i="17" s="1"/>
  <c r="W118" i="17"/>
  <c r="W184" i="17"/>
  <c r="P145" i="17"/>
  <c r="R145" i="17"/>
  <c r="E167" i="17"/>
  <c r="F167" i="17"/>
  <c r="E169" i="17"/>
  <c r="E115" i="17" s="1"/>
  <c r="F169" i="17"/>
  <c r="F115" i="17" s="1"/>
  <c r="D169" i="17"/>
  <c r="D115" i="17" s="1"/>
  <c r="E188" i="17"/>
  <c r="E133" i="17" s="1"/>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U194" i="17" l="1"/>
  <c r="U195" i="17" s="1"/>
  <c r="U168" i="17"/>
  <c r="U114" i="17" s="1"/>
  <c r="S129" i="17"/>
  <c r="S131" i="17" s="1"/>
  <c r="S135" i="17" s="1"/>
  <c r="R186" i="17"/>
  <c r="R190" i="17" s="1"/>
  <c r="V112" i="17"/>
  <c r="T186" i="17"/>
  <c r="T190" i="17" s="1"/>
  <c r="U139" i="17"/>
  <c r="U186" i="17"/>
  <c r="U190" i="17" s="1"/>
  <c r="Y112" i="17"/>
  <c r="Q129" i="17"/>
  <c r="Q131" i="17" s="1"/>
  <c r="Q135" i="17" s="1"/>
  <c r="X112" i="17"/>
  <c r="W112" i="17"/>
  <c r="Y194" i="17"/>
  <c r="Z168" i="17"/>
  <c r="Z114" i="17" s="1"/>
  <c r="N186" i="17"/>
  <c r="N190" i="17" s="1"/>
  <c r="O129" i="17"/>
  <c r="O131" i="17" s="1"/>
  <c r="O135" i="17" s="1"/>
  <c r="F185" i="17"/>
  <c r="F113" i="17"/>
  <c r="E185" i="17"/>
  <c r="E113" i="17"/>
  <c r="N135" i="17"/>
  <c r="R135" i="17"/>
  <c r="M129" i="17"/>
  <c r="M131" i="17" s="1"/>
  <c r="M135" i="17" s="1"/>
  <c r="S146" i="17"/>
  <c r="L168" i="17"/>
  <c r="L114" i="17" s="1"/>
  <c r="L194" i="17"/>
  <c r="L112" i="17"/>
  <c r="Y146" i="17"/>
  <c r="L129" i="17"/>
  <c r="L131" i="17" s="1"/>
  <c r="L135" i="17" s="1"/>
  <c r="L186" i="17"/>
  <c r="L190" i="17" s="1"/>
  <c r="M168" i="17"/>
  <c r="M114" i="17" s="1"/>
  <c r="M194" i="17"/>
  <c r="M112" i="17"/>
  <c r="N168" i="17"/>
  <c r="N114" i="17" s="1"/>
  <c r="N112" i="17"/>
  <c r="N194" i="17"/>
  <c r="P168" i="17"/>
  <c r="P114" i="17" s="1"/>
  <c r="P194" i="17"/>
  <c r="P112" i="17"/>
  <c r="V139" i="17"/>
  <c r="V195" i="17"/>
  <c r="S112" i="17"/>
  <c r="S168" i="17"/>
  <c r="S114" i="17" s="1"/>
  <c r="S194" i="17"/>
  <c r="Y139" i="17"/>
  <c r="Y195" i="17"/>
  <c r="Z146" i="17"/>
  <c r="W129" i="17"/>
  <c r="W131" i="17" s="1"/>
  <c r="W135" i="17" s="1"/>
  <c r="W186" i="17"/>
  <c r="W190" i="17" s="1"/>
  <c r="O112" i="17"/>
  <c r="O168" i="17"/>
  <c r="O114" i="17" s="1"/>
  <c r="O194" i="17"/>
  <c r="P186" i="17"/>
  <c r="P190" i="17" s="1"/>
  <c r="P129" i="17"/>
  <c r="P131" i="17" s="1"/>
  <c r="P135" i="17" s="1"/>
  <c r="X186" i="17"/>
  <c r="X190" i="17" s="1"/>
  <c r="X129" i="17"/>
  <c r="X131" i="17" s="1"/>
  <c r="X135" i="17" s="1"/>
  <c r="V129" i="17"/>
  <c r="V131" i="17" s="1"/>
  <c r="V135" i="17" s="1"/>
  <c r="V186" i="17"/>
  <c r="V190" i="17" s="1"/>
  <c r="Q168" i="17"/>
  <c r="Q114" i="17" s="1"/>
  <c r="Q112" i="17"/>
  <c r="Q194" i="17"/>
  <c r="Z186" i="17"/>
  <c r="Z190" i="17" s="1"/>
  <c r="Z129" i="17"/>
  <c r="Z131" i="17" s="1"/>
  <c r="Z135" i="17" s="1"/>
  <c r="W194" i="17"/>
  <c r="T146" i="17"/>
  <c r="Y186" i="17"/>
  <c r="Y190" i="17" s="1"/>
  <c r="Y129" i="17"/>
  <c r="Y131" i="17" s="1"/>
  <c r="Y135" i="17" s="1"/>
  <c r="Z194" i="17"/>
  <c r="R112" i="17"/>
  <c r="R168" i="17"/>
  <c r="R114" i="17" s="1"/>
  <c r="R194" i="17"/>
  <c r="T112" i="17"/>
  <c r="T168" i="17"/>
  <c r="T114" i="17" s="1"/>
  <c r="T194" i="17"/>
  <c r="X194" i="17"/>
  <c r="U203" i="17"/>
  <c r="U140" i="17"/>
  <c r="F142" i="64"/>
  <c r="G142" i="64"/>
  <c r="H142" i="64"/>
  <c r="I142" i="64"/>
  <c r="J142" i="64"/>
  <c r="E142" i="64"/>
  <c r="E143" i="64"/>
  <c r="B16" i="75"/>
  <c r="O195" i="17" l="1"/>
  <c r="O139" i="17"/>
  <c r="N195" i="17"/>
  <c r="N139" i="17"/>
  <c r="W139" i="17"/>
  <c r="W195" i="17"/>
  <c r="U208" i="17"/>
  <c r="U153" i="17" s="1"/>
  <c r="U148" i="17"/>
  <c r="M195" i="17"/>
  <c r="M139" i="17"/>
  <c r="X139" i="17"/>
  <c r="X195" i="17"/>
  <c r="T139" i="17"/>
  <c r="T195" i="17"/>
  <c r="Q195" i="17"/>
  <c r="Q139" i="17"/>
  <c r="Y140" i="17"/>
  <c r="Y203" i="17"/>
  <c r="S139" i="17"/>
  <c r="S195" i="17"/>
  <c r="R195" i="17"/>
  <c r="R139" i="17"/>
  <c r="V203" i="17"/>
  <c r="V140" i="17"/>
  <c r="L195" i="17"/>
  <c r="L139" i="17"/>
  <c r="Z139" i="17"/>
  <c r="Z195" i="17"/>
  <c r="P195" i="17"/>
  <c r="P139" i="17"/>
  <c r="Q11" i="47"/>
  <c r="J28" i="74"/>
  <c r="J27" i="74"/>
  <c r="J26" i="74"/>
  <c r="J25" i="74"/>
  <c r="J24" i="74"/>
  <c r="J23" i="74"/>
  <c r="J22" i="74"/>
  <c r="J21" i="74"/>
  <c r="J20" i="74"/>
  <c r="J19" i="74"/>
  <c r="J17" i="74"/>
  <c r="J16" i="74"/>
  <c r="J15" i="74"/>
  <c r="J14" i="74"/>
  <c r="J13" i="74"/>
  <c r="J12" i="74"/>
  <c r="J11" i="74"/>
  <c r="J10" i="74"/>
  <c r="J9" i="74"/>
  <c r="J8" i="74"/>
  <c r="Q203" i="17" l="1"/>
  <c r="Q140" i="17"/>
  <c r="T140" i="17"/>
  <c r="T203" i="17"/>
  <c r="P203" i="17"/>
  <c r="P140" i="17"/>
  <c r="Z140" i="17"/>
  <c r="Z203" i="17"/>
  <c r="X140" i="17"/>
  <c r="X203" i="17"/>
  <c r="L140" i="17"/>
  <c r="L203" i="17"/>
  <c r="M140" i="17"/>
  <c r="M203" i="17"/>
  <c r="V208" i="17"/>
  <c r="V153" i="17" s="1"/>
  <c r="V148" i="17"/>
  <c r="W203" i="17"/>
  <c r="W140" i="17"/>
  <c r="R203" i="17"/>
  <c r="R140" i="17"/>
  <c r="S140" i="17"/>
  <c r="S203" i="17"/>
  <c r="N140" i="17"/>
  <c r="N203" i="17"/>
  <c r="Y148" i="17"/>
  <c r="Y208" i="17"/>
  <c r="Y153" i="17" s="1"/>
  <c r="O203" i="17"/>
  <c r="O140" i="17"/>
  <c r="D48" i="75" a="1"/>
  <c r="D48" i="75" s="1"/>
  <c r="D31" i="75" a="1"/>
  <c r="D31" i="75" s="1"/>
  <c r="D92" i="74"/>
  <c r="D34" i="74"/>
  <c r="D6" i="74" a="1"/>
  <c r="P145" i="65"/>
  <c r="Q145" i="65"/>
  <c r="R145" i="65"/>
  <c r="S145" i="65"/>
  <c r="T145" i="65"/>
  <c r="U145" i="65"/>
  <c r="V145" i="65"/>
  <c r="W145" i="65"/>
  <c r="M148" i="17" l="1"/>
  <c r="M208" i="17"/>
  <c r="M153" i="17" s="1"/>
  <c r="L148" i="17"/>
  <c r="O148" i="17"/>
  <c r="O208" i="17"/>
  <c r="O153" i="17" s="1"/>
  <c r="X148" i="17"/>
  <c r="X208" i="17"/>
  <c r="X153" i="17" s="1"/>
  <c r="N148" i="17"/>
  <c r="N208" i="17"/>
  <c r="N153" i="17" s="1"/>
  <c r="Z148" i="17"/>
  <c r="Z208" i="17"/>
  <c r="Z153" i="17" s="1"/>
  <c r="S148" i="17"/>
  <c r="S208" i="17"/>
  <c r="S153" i="17" s="1"/>
  <c r="P148" i="17"/>
  <c r="P208" i="17"/>
  <c r="P153" i="17" s="1"/>
  <c r="T148" i="17"/>
  <c r="T208" i="17"/>
  <c r="T153" i="17" s="1"/>
  <c r="R148" i="17"/>
  <c r="R208" i="17"/>
  <c r="R153" i="17" s="1"/>
  <c r="W148" i="17"/>
  <c r="W208" i="17"/>
  <c r="W153" i="17" s="1"/>
  <c r="Q148" i="17"/>
  <c r="Q208" i="17"/>
  <c r="Q153" i="17" s="1"/>
  <c r="D6" i="74"/>
  <c r="E23" i="74"/>
  <c r="J138" i="64"/>
  <c r="J139" i="64"/>
  <c r="C291" i="64"/>
  <c r="C289" i="64"/>
  <c r="C290" i="64"/>
  <c r="C288" i="64"/>
  <c r="B3" i="21"/>
  <c r="B33" i="75"/>
  <c r="B60" i="75"/>
  <c r="B75" i="64" s="1"/>
  <c r="B54" i="75"/>
  <c r="B69" i="64" l="1"/>
  <c r="B48" i="64"/>
  <c r="D18" i="74"/>
  <c r="D23" i="74"/>
  <c r="J19" i="76"/>
  <c r="B27" i="76" a="1"/>
  <c r="B27" i="76" s="1"/>
  <c r="B20" i="76" a="1"/>
  <c r="B20" i="76" s="1"/>
  <c r="B19" i="76" a="1"/>
  <c r="B19" i="76" s="1"/>
  <c r="B8" i="21" a="1"/>
  <c r="B8" i="21" s="1"/>
  <c r="B8" i="76" a="1"/>
  <c r="B8" i="76" s="1"/>
  <c r="Q8" i="47"/>
  <c r="C209" i="64"/>
  <c r="K171" i="64"/>
  <c r="B7" i="76"/>
  <c r="B5" i="76"/>
  <c r="B3" i="76"/>
  <c r="B1" i="76"/>
  <c r="B7" i="21"/>
  <c r="B5" i="21"/>
  <c r="B1" i="21"/>
  <c r="Q10" i="47"/>
  <c r="Q9" i="47"/>
  <c r="Q6" i="47"/>
  <c r="Q5" i="47"/>
  <c r="Q3" i="47"/>
  <c r="Q2" i="47"/>
  <c r="D7" i="74" s="1" a="1"/>
  <c r="D7" i="74" s="1"/>
  <c r="B62" i="76"/>
  <c r="B61" i="76"/>
  <c r="B59" i="76"/>
  <c r="B57" i="76"/>
  <c r="B55" i="76"/>
  <c r="B53" i="76"/>
  <c r="B50" i="76"/>
  <c r="B48" i="76"/>
  <c r="B46" i="76"/>
  <c r="B44" i="76"/>
  <c r="B42" i="76"/>
  <c r="B40" i="76"/>
  <c r="C36" i="76" a="1"/>
  <c r="C36" i="76" s="1"/>
  <c r="B30" i="76"/>
  <c r="B29" i="76"/>
  <c r="B28" i="76"/>
  <c r="B24" i="76"/>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81" i="64"/>
  <c r="G81" i="64"/>
  <c r="H81" i="64"/>
  <c r="I81" i="64"/>
  <c r="J81" i="64"/>
  <c r="K81" i="64"/>
  <c r="L81" i="64"/>
  <c r="M81" i="64"/>
  <c r="N81" i="64"/>
  <c r="O81" i="64"/>
  <c r="P81" i="64"/>
  <c r="Q81" i="64"/>
  <c r="R81" i="64"/>
  <c r="S81" i="64"/>
  <c r="T81" i="64"/>
  <c r="U81" i="64"/>
  <c r="V81" i="64"/>
  <c r="W81" i="64"/>
  <c r="X81" i="64"/>
  <c r="E82" i="64"/>
  <c r="F82" i="64"/>
  <c r="G82" i="64"/>
  <c r="H82" i="64"/>
  <c r="I82" i="64"/>
  <c r="J82" i="64"/>
  <c r="K82" i="64"/>
  <c r="L82" i="64"/>
  <c r="M82" i="64"/>
  <c r="N82" i="64"/>
  <c r="O82" i="64"/>
  <c r="P82" i="64"/>
  <c r="Q82" i="64"/>
  <c r="R82" i="64"/>
  <c r="S82" i="64"/>
  <c r="T82" i="64"/>
  <c r="U82" i="64"/>
  <c r="V82" i="64"/>
  <c r="W82" i="64"/>
  <c r="X82" i="64"/>
  <c r="E83" i="64"/>
  <c r="F83" i="64"/>
  <c r="G83" i="64"/>
  <c r="H83" i="64"/>
  <c r="I83" i="64"/>
  <c r="J83" i="64"/>
  <c r="K83" i="64"/>
  <c r="L83" i="64"/>
  <c r="M83" i="64"/>
  <c r="N83" i="64"/>
  <c r="O83" i="64"/>
  <c r="P83" i="64"/>
  <c r="Q83" i="64"/>
  <c r="R83" i="64"/>
  <c r="S83" i="64"/>
  <c r="T83" i="64"/>
  <c r="U83" i="64"/>
  <c r="V83" i="64"/>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E90" i="64"/>
  <c r="F90" i="64"/>
  <c r="G90" i="64"/>
  <c r="H90" i="64"/>
  <c r="I90" i="64"/>
  <c r="J90" i="64"/>
  <c r="K90" i="64"/>
  <c r="L90" i="64"/>
  <c r="M90" i="64"/>
  <c r="N90" i="64"/>
  <c r="O90" i="64"/>
  <c r="P90" i="64"/>
  <c r="Q90" i="64"/>
  <c r="R90" i="64"/>
  <c r="S90" i="64"/>
  <c r="T90" i="64"/>
  <c r="U90" i="64"/>
  <c r="V90" i="64"/>
  <c r="W90" i="64"/>
  <c r="X90" i="64"/>
  <c r="E91" i="64"/>
  <c r="F91" i="64"/>
  <c r="G91" i="64"/>
  <c r="H91" i="64"/>
  <c r="I91" i="64"/>
  <c r="J91" i="64"/>
  <c r="K91" i="64"/>
  <c r="L91" i="64"/>
  <c r="M91" i="64"/>
  <c r="N91" i="64"/>
  <c r="O91" i="64"/>
  <c r="P91" i="64"/>
  <c r="Q91" i="64"/>
  <c r="R91" i="64"/>
  <c r="S91" i="64"/>
  <c r="T91" i="64"/>
  <c r="U91" i="64"/>
  <c r="V91" i="64"/>
  <c r="W91" i="64"/>
  <c r="X91" i="64"/>
  <c r="D66" i="64"/>
  <c r="D67" i="64"/>
  <c r="D68" i="64"/>
  <c r="D69" i="64"/>
  <c r="D70" i="64"/>
  <c r="D71" i="64"/>
  <c r="D72" i="64"/>
  <c r="D73" i="64"/>
  <c r="D74" i="64"/>
  <c r="D75" i="64"/>
  <c r="D76" i="64"/>
  <c r="D77" i="64"/>
  <c r="D78" i="64"/>
  <c r="D79" i="64"/>
  <c r="D80" i="64"/>
  <c r="D81" i="64"/>
  <c r="D82" i="64"/>
  <c r="D83" i="64"/>
  <c r="D84" i="64"/>
  <c r="D85" i="64"/>
  <c r="D86" i="64"/>
  <c r="D87" i="64"/>
  <c r="D88" i="64"/>
  <c r="D89" i="64"/>
  <c r="D90" i="64"/>
  <c r="D91"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Q4" i="47" l="1"/>
  <c r="B66" i="75" s="1"/>
  <c r="B81" i="64" s="1"/>
  <c r="E34" i="74" a="1"/>
  <c r="E92" i="74" a="1"/>
  <c r="E92" i="74" s="1"/>
  <c r="D14" i="75" a="1"/>
  <c r="D14" i="75" s="1"/>
  <c r="D49" i="75" a="1"/>
  <c r="D49" i="75" s="1"/>
  <c r="D15" i="75" a="1"/>
  <c r="D15" i="75" s="1"/>
  <c r="D32" i="75" a="1"/>
  <c r="D32" i="75" s="1"/>
  <c r="B10" i="15" a="1"/>
  <c r="C24" i="76" a="1"/>
  <c r="C24" i="76" s="1"/>
  <c r="K21" i="64"/>
  <c r="J21" i="64"/>
  <c r="D4" i="64"/>
  <c r="F59" i="65"/>
  <c r="E21" i="64"/>
  <c r="U111" i="65"/>
  <c r="V111" i="65"/>
  <c r="W111" i="65"/>
  <c r="H25" i="74" l="1"/>
  <c r="I24" i="74"/>
  <c r="I27" i="74"/>
  <c r="I25" i="74"/>
  <c r="I28" i="74"/>
  <c r="H24" i="74"/>
  <c r="H27" i="74"/>
  <c r="I26" i="74"/>
  <c r="H28" i="74"/>
  <c r="H26" i="74"/>
  <c r="E34" i="74"/>
  <c r="E130" i="74" s="1" a="1"/>
  <c r="E130" i="74" s="1"/>
  <c r="B10" i="15"/>
  <c r="B11" i="15" s="1" a="1"/>
  <c r="B11" i="15" s="1"/>
  <c r="D21" i="64"/>
  <c r="E4" i="17" a="1"/>
  <c r="D157" i="17" a="1"/>
  <c r="D157" i="17" s="1"/>
  <c r="D103" i="17" a="1"/>
  <c r="D33" i="17" a="1"/>
  <c r="D33" i="17" s="1"/>
  <c r="E115" i="74" l="1" a="1"/>
  <c r="E115" i="74" s="1"/>
  <c r="E108" i="74" a="1"/>
  <c r="E108" i="74" s="1"/>
  <c r="E124" i="74" a="1"/>
  <c r="E124" i="74" s="1"/>
  <c r="E84" i="74" a="1"/>
  <c r="E84" i="74" s="1"/>
  <c r="E66" i="74" a="1"/>
  <c r="E66" i="74" s="1"/>
  <c r="D103" i="17"/>
  <c r="D158" i="17" s="1" a="1"/>
  <c r="D158" i="17" s="1"/>
  <c r="H19" i="74"/>
  <c r="I22" i="74"/>
  <c r="I23" i="74"/>
  <c r="I21" i="64" s="1"/>
  <c r="I20" i="74"/>
  <c r="H21" i="74"/>
  <c r="I19" i="74"/>
  <c r="H20" i="74"/>
  <c r="H22" i="74"/>
  <c r="H23" i="74"/>
  <c r="H21" i="64" s="1"/>
  <c r="H17" i="74"/>
  <c r="H15" i="64" s="1"/>
  <c r="I17" i="74"/>
  <c r="I15" i="64" s="1"/>
  <c r="I21" i="74"/>
  <c r="E122" i="74" a="1"/>
  <c r="E122" i="74" s="1"/>
  <c r="E68" i="74" a="1"/>
  <c r="E68" i="74" s="1"/>
  <c r="E35" i="74" a="1"/>
  <c r="E35" i="74" s="1"/>
  <c r="F23" i="74"/>
  <c r="F21" i="64" s="1"/>
  <c r="G23" i="74"/>
  <c r="G21" i="64" s="1"/>
  <c r="E93" i="74" a="1"/>
  <c r="E93" i="74" s="1"/>
  <c r="E97" i="74" a="1"/>
  <c r="E97" i="74" s="1"/>
  <c r="E71" i="74" a="1"/>
  <c r="E71"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89" i="17"/>
  <c r="F134" i="17" s="1"/>
  <c r="G189" i="17"/>
  <c r="G134" i="17" s="1"/>
  <c r="H189" i="17"/>
  <c r="H134" i="17" s="1"/>
  <c r="I189" i="17"/>
  <c r="I134" i="17" s="1"/>
  <c r="J189" i="17"/>
  <c r="J134" i="17" s="1"/>
  <c r="K189" i="17"/>
  <c r="K134" i="17" s="1"/>
  <c r="F200" i="17"/>
  <c r="F145" i="17" s="1"/>
  <c r="G200" i="17"/>
  <c r="G145" i="17" s="1"/>
  <c r="H200" i="17"/>
  <c r="H145" i="17" s="1"/>
  <c r="I200" i="17"/>
  <c r="I145" i="17" s="1"/>
  <c r="J200" i="17"/>
  <c r="J145" i="17" s="1"/>
  <c r="K200" i="17"/>
  <c r="D104" i="17" l="1" a="1"/>
  <c r="D104" i="17" s="1"/>
  <c r="K145" i="17"/>
  <c r="L201" i="17"/>
  <c r="J205" i="17"/>
  <c r="J150" i="17" s="1"/>
  <c r="J120" i="17"/>
  <c r="E25" i="17" a="1"/>
  <c r="H25" i="64" s="1"/>
  <c r="E22" i="17" a="1"/>
  <c r="E24" i="17" a="1"/>
  <c r="E23" i="17" a="1"/>
  <c r="E26" i="17" a="1"/>
  <c r="H26" i="64" s="1"/>
  <c r="J185" i="17"/>
  <c r="H185" i="17"/>
  <c r="I185" i="17"/>
  <c r="G185" i="17"/>
  <c r="E9" i="17" s="1" a="1"/>
  <c r="K201" i="17"/>
  <c r="K146" i="17" s="1"/>
  <c r="K205" i="17"/>
  <c r="K150" i="17" s="1"/>
  <c r="I205" i="17"/>
  <c r="I150" i="17" s="1"/>
  <c r="H205" i="17"/>
  <c r="H150" i="17" s="1"/>
  <c r="E8" i="17" a="1"/>
  <c r="E14" i="17" a="1"/>
  <c r="E13" i="17" a="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J135"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L146" i="17" l="1"/>
  <c r="L208" i="17"/>
  <c r="L153" i="17" s="1"/>
  <c r="I168" i="17"/>
  <c r="I114" i="17" s="1"/>
  <c r="I112" i="17"/>
  <c r="K27" i="64"/>
  <c r="J27" i="64"/>
  <c r="E24" i="17"/>
  <c r="D26" i="74" s="1"/>
  <c r="J24" i="64"/>
  <c r="K24" i="64"/>
  <c r="G26" i="74"/>
  <c r="G24" i="64" s="1"/>
  <c r="J10" i="64"/>
  <c r="K10" i="64"/>
  <c r="E9" i="17"/>
  <c r="D11" i="74" s="1"/>
  <c r="J9" i="64"/>
  <c r="K9" i="64"/>
  <c r="K18" i="64"/>
  <c r="J18" i="64"/>
  <c r="G20" i="74"/>
  <c r="G18" i="64" s="1"/>
  <c r="K19" i="64"/>
  <c r="J19" i="64"/>
  <c r="G21" i="74"/>
  <c r="G19" i="64" s="1"/>
  <c r="J13" i="64"/>
  <c r="K13" i="64"/>
  <c r="K14" i="64"/>
  <c r="J14" i="64"/>
  <c r="I26" i="64"/>
  <c r="K26" i="64"/>
  <c r="J26" i="64"/>
  <c r="F28" i="74"/>
  <c r="F26" i="64" s="1"/>
  <c r="G28" i="74"/>
  <c r="G26" i="64" s="1"/>
  <c r="K8" i="64"/>
  <c r="J8" i="64"/>
  <c r="E23" i="17"/>
  <c r="D25" i="74" s="1"/>
  <c r="K23" i="64"/>
  <c r="J23" i="64"/>
  <c r="G25" i="74"/>
  <c r="G23" i="64" s="1"/>
  <c r="E22" i="17"/>
  <c r="D24" i="74" s="1"/>
  <c r="J22" i="64"/>
  <c r="K22" i="64"/>
  <c r="G24" i="74"/>
  <c r="G22" i="64" s="1"/>
  <c r="E25" i="17"/>
  <c r="D27" i="74" s="1"/>
  <c r="J25" i="64"/>
  <c r="K25" i="64"/>
  <c r="G27" i="74"/>
  <c r="G25" i="64" s="1"/>
  <c r="E27" i="74"/>
  <c r="E25" i="64" s="1"/>
  <c r="I25" i="64"/>
  <c r="F27" i="74"/>
  <c r="F25" i="64" s="1"/>
  <c r="E26" i="17"/>
  <c r="E28" i="74"/>
  <c r="E26" i="64"/>
  <c r="I22" i="64"/>
  <c r="H22" i="64"/>
  <c r="I24" i="64"/>
  <c r="H24" i="64"/>
  <c r="H23" i="64"/>
  <c r="I23" i="64"/>
  <c r="H18" i="64"/>
  <c r="I18" i="64"/>
  <c r="I19" i="64"/>
  <c r="H19" i="64"/>
  <c r="E25" i="74"/>
  <c r="E23" i="64" s="1"/>
  <c r="F25" i="74"/>
  <c r="F23" i="64" s="1"/>
  <c r="E21" i="74"/>
  <c r="F21" i="74"/>
  <c r="F19" i="64" s="1"/>
  <c r="E24" i="74"/>
  <c r="F24" i="74"/>
  <c r="F22" i="64" s="1"/>
  <c r="E26" i="74"/>
  <c r="E24" i="64" s="1"/>
  <c r="F26" i="74"/>
  <c r="F24" i="64" s="1"/>
  <c r="E20" i="74"/>
  <c r="F20" i="74"/>
  <c r="F18" i="64" s="1"/>
  <c r="E27" i="17"/>
  <c r="D29" i="74" s="1"/>
  <c r="E29" i="74" s="1"/>
  <c r="E14" i="17"/>
  <c r="D16" i="74" s="1"/>
  <c r="E10" i="17"/>
  <c r="D12" i="74" s="1"/>
  <c r="E19" i="17"/>
  <c r="D21" i="74" s="1"/>
  <c r="E8" i="17"/>
  <c r="D10" i="74" s="1"/>
  <c r="E13" i="17"/>
  <c r="D15" i="74" s="1"/>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D104" i="64" a="1"/>
  <c r="F143" i="64"/>
  <c r="G143" i="64"/>
  <c r="H143" i="64"/>
  <c r="I143" i="64"/>
  <c r="J143" i="64"/>
  <c r="D25" i="64" l="1"/>
  <c r="D28" i="74"/>
  <c r="D26" i="64"/>
  <c r="F29" i="74"/>
  <c r="G29" i="74" s="1"/>
  <c r="H29" i="74" s="1"/>
  <c r="I29" i="74" s="1"/>
  <c r="E12" i="74"/>
  <c r="E11" i="74"/>
  <c r="E15" i="74"/>
  <c r="E16" i="74"/>
  <c r="E10" i="74"/>
  <c r="D23" i="64"/>
  <c r="D22" i="64"/>
  <c r="D24" i="64"/>
  <c r="D104" i="64"/>
  <c r="J195" i="17"/>
  <c r="H195" i="17"/>
  <c r="K195" i="17"/>
  <c r="K140" i="17" s="1"/>
  <c r="F195" i="17"/>
  <c r="F140" i="17" s="1"/>
  <c r="I195" i="17"/>
  <c r="I140" i="17" s="1"/>
  <c r="G195" i="17"/>
  <c r="G140" i="17" s="1"/>
  <c r="J128" i="64"/>
  <c r="J122" i="64"/>
  <c r="J129" i="64" s="1"/>
  <c r="H119" i="64"/>
  <c r="I119" i="64"/>
  <c r="J119" i="64"/>
  <c r="J115" i="64"/>
  <c r="J113" i="64"/>
  <c r="J112" i="64"/>
  <c r="J111" i="64"/>
  <c r="J110" i="64"/>
  <c r="J109" i="64"/>
  <c r="J108" i="64"/>
  <c r="J107" i="64"/>
  <c r="G141" i="64"/>
  <c r="F141" i="64"/>
  <c r="E141" i="64"/>
  <c r="J203" i="17" l="1"/>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6" i="74"/>
  <c r="G14" i="64" s="1"/>
  <c r="G10" i="74"/>
  <c r="G8" i="64" s="1"/>
  <c r="J130" i="64"/>
  <c r="J131" i="64" s="1"/>
  <c r="I203" i="17"/>
  <c r="I148" i="17" s="1"/>
  <c r="F203" i="17"/>
  <c r="F148" i="17" s="1"/>
  <c r="K203" i="17"/>
  <c r="K148" i="17" s="1"/>
  <c r="G203" i="17"/>
  <c r="G148" i="17" s="1"/>
  <c r="H208" i="17" l="1"/>
  <c r="H153" i="17" s="1"/>
  <c r="J208" i="17"/>
  <c r="J153" i="17" s="1"/>
  <c r="H9" i="64"/>
  <c r="H110" i="64" s="1"/>
  <c r="H8" i="64"/>
  <c r="H109" i="64" s="1"/>
  <c r="H14" i="64"/>
  <c r="H128" i="64" s="1"/>
  <c r="H13" i="64"/>
  <c r="H115" i="64" s="1"/>
  <c r="H10" i="64"/>
  <c r="H111" i="64" s="1"/>
  <c r="G208" i="17"/>
  <c r="G153" i="17" s="1"/>
  <c r="K208" i="17"/>
  <c r="K153" i="17" s="1"/>
  <c r="I208" i="17"/>
  <c r="I153" i="17" s="1"/>
  <c r="I9" i="64" l="1"/>
  <c r="I110" i="64" s="1"/>
  <c r="I14" i="64"/>
  <c r="I128" i="64" s="1"/>
  <c r="I130" i="64" s="1"/>
  <c r="I8" i="64"/>
  <c r="I109" i="64" s="1"/>
  <c r="I13" i="64"/>
  <c r="I115" i="64" s="1"/>
  <c r="I10" i="64"/>
  <c r="I111" i="64" s="1"/>
  <c r="E165" i="17"/>
  <c r="E111" i="17" s="1"/>
  <c r="D165" i="17"/>
  <c r="D111" i="17" s="1"/>
  <c r="D167" i="17"/>
  <c r="D185" i="17" l="1"/>
  <c r="D113" i="17"/>
  <c r="D33" i="64" a="1"/>
  <c r="D33" i="64" s="1"/>
  <c r="V15" i="65" l="1" a="1"/>
  <c r="V15" i="65" s="1"/>
  <c r="V16" i="65" s="1"/>
  <c r="W15" i="65" a="1"/>
  <c r="W15" i="65" s="1"/>
  <c r="W16" i="65" s="1"/>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J141" i="64"/>
  <c r="I141" i="64"/>
  <c r="H141" i="64"/>
  <c r="B141" i="64"/>
  <c r="J19" i="65" l="1"/>
  <c r="J18" i="65"/>
  <c r="D105" i="64" a="1"/>
  <c r="D105" i="64" s="1"/>
  <c r="K21" i="65"/>
  <c r="D163" i="17" l="1"/>
  <c r="D109" i="17" s="1"/>
  <c r="E200" i="17"/>
  <c r="E145"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89" i="17"/>
  <c r="D134" i="17" s="1"/>
  <c r="E189" i="17"/>
  <c r="E134" i="17" s="1"/>
  <c r="E118" i="17" l="1"/>
  <c r="E184" i="17"/>
  <c r="E129" i="17" s="1"/>
  <c r="E131" i="17" s="1"/>
  <c r="E135" i="17" s="1"/>
  <c r="E11" i="17" a="1"/>
  <c r="E201" i="17"/>
  <c r="E146" i="17" s="1"/>
  <c r="E205" i="17"/>
  <c r="E150" i="17" s="1"/>
  <c r="E7" i="17" a="1"/>
  <c r="E20" i="17" a="1"/>
  <c r="F201" i="17"/>
  <c r="F146" i="17" s="1"/>
  <c r="D184" i="17"/>
  <c r="D129" i="17" s="1"/>
  <c r="D131" i="17" s="1"/>
  <c r="D135" i="17" s="1"/>
  <c r="E6" i="17" a="1"/>
  <c r="D166" i="17"/>
  <c r="D112" i="17" s="1"/>
  <c r="E166" i="17"/>
  <c r="E112" i="17" s="1"/>
  <c r="D205" i="17"/>
  <c r="D150" i="17" s="1"/>
  <c r="J6" i="64" l="1"/>
  <c r="K6" i="64"/>
  <c r="G8" i="74"/>
  <c r="J20" i="64"/>
  <c r="K111" i="65" s="1"/>
  <c r="K20" i="64"/>
  <c r="L111" i="65" s="1"/>
  <c r="G22" i="74"/>
  <c r="J7" i="64"/>
  <c r="K7" i="64"/>
  <c r="G9" i="74"/>
  <c r="G7" i="64" s="1"/>
  <c r="H11" i="64"/>
  <c r="H112" i="64" s="1"/>
  <c r="K11" i="64"/>
  <c r="J11" i="64"/>
  <c r="G13" i="74"/>
  <c r="G11" i="64" s="1"/>
  <c r="I11" i="64"/>
  <c r="I112" i="64" s="1"/>
  <c r="F13" i="74"/>
  <c r="F11" i="64" s="1"/>
  <c r="E13" i="74"/>
  <c r="E11" i="64" s="1"/>
  <c r="E11" i="17"/>
  <c r="D13" i="74" s="1"/>
  <c r="H7" i="64"/>
  <c r="H108" i="64" s="1"/>
  <c r="I7" i="64"/>
  <c r="I108" i="64" s="1"/>
  <c r="E8" i="74"/>
  <c r="F8" i="74"/>
  <c r="E22" i="74"/>
  <c r="F22" i="74"/>
  <c r="E9" i="74"/>
  <c r="E7" i="64" s="1"/>
  <c r="F9" i="74"/>
  <c r="F7" i="64" s="1"/>
  <c r="E20" i="17"/>
  <c r="D22" i="74" s="1"/>
  <c r="E6" i="17"/>
  <c r="D8" i="74" s="1"/>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E139" i="17" l="1"/>
  <c r="E17" i="17" s="1" a="1"/>
  <c r="E19" i="74" s="1"/>
  <c r="J17" i="64"/>
  <c r="K17" i="64"/>
  <c r="K12" i="64"/>
  <c r="J12" i="64"/>
  <c r="G14" i="74"/>
  <c r="E14" i="74"/>
  <c r="F14" i="74"/>
  <c r="E12" i="17"/>
  <c r="D14" i="74" s="1"/>
  <c r="D6" i="64"/>
  <c r="E27" i="64"/>
  <c r="I27" i="64"/>
  <c r="F27" i="64"/>
  <c r="H27" i="64"/>
  <c r="H122" i="64" s="1"/>
  <c r="H129" i="64" s="1"/>
  <c r="G27" i="64"/>
  <c r="E6" i="64"/>
  <c r="G6" i="64"/>
  <c r="F6" i="64"/>
  <c r="I6" i="64"/>
  <c r="I107" i="64" s="1"/>
  <c r="H6" i="64"/>
  <c r="H107" i="64" s="1"/>
  <c r="E20" i="64"/>
  <c r="G20" i="64"/>
  <c r="H111" i="65" s="1"/>
  <c r="H20" i="64"/>
  <c r="I111" i="65" s="1"/>
  <c r="I20" i="64"/>
  <c r="J111" i="65" s="1"/>
  <c r="F20" i="64"/>
  <c r="G111" i="65" s="1"/>
  <c r="D13" i="64"/>
  <c r="D14" i="64"/>
  <c r="D9" i="64"/>
  <c r="D18" i="64"/>
  <c r="D7" i="64"/>
  <c r="D19" i="64"/>
  <c r="J26" i="76" s="1" a="1"/>
  <c r="J26" i="76" s="1"/>
  <c r="D27" i="64"/>
  <c r="D20" i="64"/>
  <c r="C194" i="64" s="1"/>
  <c r="D8" i="64"/>
  <c r="D11" i="64"/>
  <c r="D10" i="64"/>
  <c r="D195" i="17"/>
  <c r="D140" i="17" s="1"/>
  <c r="E195" i="17"/>
  <c r="E140" i="17" s="1"/>
  <c r="C195" i="64" l="1"/>
  <c r="G19" i="74"/>
  <c r="E17" i="17"/>
  <c r="D19" i="74" s="1"/>
  <c r="F19" i="74"/>
  <c r="E15" i="17" a="1"/>
  <c r="C159" i="64"/>
  <c r="J28" i="76" a="1"/>
  <c r="J28" i="76" s="1"/>
  <c r="F111" i="65"/>
  <c r="F65" i="65"/>
  <c r="E111" i="65"/>
  <c r="E65" i="65"/>
  <c r="I122" i="64"/>
  <c r="I129" i="64" s="1"/>
  <c r="I131" i="64"/>
  <c r="D203" i="17"/>
  <c r="D148" i="17" s="1"/>
  <c r="E203" i="17"/>
  <c r="E148" i="17" s="1"/>
  <c r="F17" i="74" l="1"/>
  <c r="F15" i="64" s="1"/>
  <c r="G17" i="74"/>
  <c r="G15" i="64" s="1"/>
  <c r="E17" i="74"/>
  <c r="E18" i="74" s="1"/>
  <c r="E15" i="17"/>
  <c r="D17" i="74" s="1"/>
  <c r="E17" i="64"/>
  <c r="I17" i="64"/>
  <c r="G17" i="64"/>
  <c r="H17" i="64"/>
  <c r="F17" i="64"/>
  <c r="E12" i="64"/>
  <c r="G12" i="64"/>
  <c r="H12" i="64"/>
  <c r="H113" i="64" s="1"/>
  <c r="I12" i="64"/>
  <c r="I113" i="64" s="1"/>
  <c r="J114" i="64" s="1"/>
  <c r="J116" i="64" s="1"/>
  <c r="J118" i="64" s="1"/>
  <c r="J120" i="64" s="1"/>
  <c r="F12" i="64"/>
  <c r="D12" i="64"/>
  <c r="D17" i="64"/>
  <c r="E208" i="17"/>
  <c r="E153" i="17" s="1"/>
  <c r="D208" i="17"/>
  <c r="D153" i="17" s="1"/>
  <c r="E15" i="64" l="1"/>
  <c r="F18" i="74"/>
  <c r="G18" i="74" s="1"/>
  <c r="H18" i="74" s="1"/>
  <c r="I18" i="74" s="1"/>
  <c r="C199" i="64"/>
  <c r="C198" i="64"/>
  <c r="Q7" i="47" s="1"/>
  <c r="E16" i="17" a="1"/>
  <c r="J127" i="64"/>
  <c r="J132" i="64" s="1"/>
  <c r="J133" i="64"/>
  <c r="J124" i="64"/>
  <c r="J24" i="76" a="1"/>
  <c r="J24" i="76" s="1"/>
  <c r="I114" i="64"/>
  <c r="I116" i="64" s="1"/>
  <c r="I118" i="64" s="1"/>
  <c r="I120" i="64" s="1"/>
  <c r="I133" i="64" s="1"/>
  <c r="C213" i="64"/>
  <c r="C214" i="64" s="1" a="1"/>
  <c r="C214" i="64" s="1"/>
  <c r="C215" i="64"/>
  <c r="C69" i="65"/>
  <c r="C48" i="65"/>
  <c r="E16" i="17" l="1"/>
  <c r="J16" i="64"/>
  <c r="K16" i="64"/>
  <c r="J136" i="64"/>
  <c r="J134" i="64"/>
  <c r="I124" i="64"/>
  <c r="I127" i="64"/>
  <c r="I132" i="64" s="1"/>
  <c r="I136" i="64"/>
  <c r="I134" i="64"/>
  <c r="I135" i="64" s="1"/>
  <c r="D15" i="64"/>
  <c r="C88" i="65"/>
  <c r="C78" i="65"/>
  <c r="C58" i="65"/>
  <c r="C38" i="65"/>
  <c r="C28" i="65"/>
  <c r="C3" i="65"/>
  <c r="V39" i="65"/>
  <c r="W39" i="65"/>
  <c r="U43" i="65"/>
  <c r="V43" i="65"/>
  <c r="W43" i="65"/>
  <c r="U49" i="65"/>
  <c r="V49" i="65"/>
  <c r="W49" i="65"/>
  <c r="U83" i="65"/>
  <c r="V83" i="65"/>
  <c r="W83" i="65"/>
  <c r="U93" i="65"/>
  <c r="V93" i="65"/>
  <c r="W93" i="65"/>
  <c r="J137" i="64" l="1"/>
  <c r="J135" i="64"/>
  <c r="C25" i="76" a="1"/>
  <c r="C25" i="76" s="1"/>
  <c r="J22" i="76" a="1"/>
  <c r="J22" i="76" s="1"/>
  <c r="I137" i="64"/>
  <c r="I139" i="64" s="1"/>
  <c r="W79" i="65"/>
  <c r="W84" i="65" s="1"/>
  <c r="V79" i="65"/>
  <c r="V84" i="65" s="1"/>
  <c r="J144" i="64" l="1"/>
  <c r="K18" i="65"/>
  <c r="K19" i="65"/>
  <c r="E16" i="64"/>
  <c r="H16" i="64"/>
  <c r="I16" i="64"/>
  <c r="G16" i="64"/>
  <c r="F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G42" i="69"/>
  <c r="G41" i="69"/>
  <c r="G40" i="69"/>
  <c r="G39" i="69"/>
  <c r="G38" i="69"/>
  <c r="G37" i="69"/>
  <c r="G36" i="69"/>
  <c r="G35" i="69"/>
  <c r="G34" i="69"/>
  <c r="G33" i="69"/>
  <c r="G32" i="69"/>
  <c r="G31" i="69"/>
  <c r="G30" i="69"/>
  <c r="G17" i="69"/>
  <c r="E15" i="21"/>
  <c r="C15" i="21"/>
  <c r="C301" i="64"/>
  <c r="C37" i="76" l="1" a="1"/>
  <c r="I38" i="76" s="1"/>
  <c r="D32" i="64" a="1"/>
  <c r="D32" i="64" s="1"/>
  <c r="P70" i="65"/>
  <c r="Q70" i="65"/>
  <c r="R70" i="65"/>
  <c r="S70" i="65"/>
  <c r="T70" i="65"/>
  <c r="U70" i="65"/>
  <c r="V70" i="65"/>
  <c r="W70" i="65"/>
  <c r="T49" i="65"/>
  <c r="S49" i="65"/>
  <c r="R49" i="65"/>
  <c r="Q49" i="65"/>
  <c r="P49" i="65"/>
  <c r="O49" i="65"/>
  <c r="K134" i="65"/>
  <c r="L134" i="65"/>
  <c r="M134" i="65"/>
  <c r="N134" i="65"/>
  <c r="L49" i="65"/>
  <c r="M49" i="65"/>
  <c r="N49" i="65"/>
  <c r="O59" i="65"/>
  <c r="F43" i="65"/>
  <c r="G45"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C54" i="76" l="1" a="1"/>
  <c r="C54" i="76" s="1"/>
  <c r="C60" i="76" a="1"/>
  <c r="C60" i="76" s="1"/>
  <c r="C43" i="76" a="1"/>
  <c r="C43" i="76" s="1"/>
  <c r="O28" i="76" a="1"/>
  <c r="O28" i="76" s="1"/>
  <c r="O24" i="76" a="1"/>
  <c r="O24" i="76" s="1"/>
  <c r="C49" i="76" a="1"/>
  <c r="C49" i="76" s="1"/>
  <c r="C56" i="76" a="1"/>
  <c r="C56" i="76" s="1"/>
  <c r="C39" i="76" a="1"/>
  <c r="C39" i="76" s="1"/>
  <c r="C45" i="76" a="1"/>
  <c r="C45" i="76" s="1"/>
  <c r="C52" i="76" a="1"/>
  <c r="C52" i="76" s="1"/>
  <c r="O26" i="76" a="1"/>
  <c r="O26" i="76" s="1"/>
  <c r="O22" i="76" a="1"/>
  <c r="O22" i="76" s="1"/>
  <c r="C58" i="76" a="1"/>
  <c r="C58" i="76" s="1"/>
  <c r="C41" i="76" a="1"/>
  <c r="C41" i="76" s="1"/>
  <c r="C47" i="76" a="1"/>
  <c r="C47" i="76" s="1"/>
  <c r="E38" i="76"/>
  <c r="D38" i="76"/>
  <c r="C37" i="76"/>
  <c r="C38" i="76" s="1"/>
  <c r="H38" i="76"/>
  <c r="G38" i="76"/>
  <c r="F38" i="76"/>
  <c r="C42" i="76" a="1"/>
  <c r="C42" i="76" s="1"/>
  <c r="C48" i="76" a="1"/>
  <c r="C48" i="76" s="1"/>
  <c r="C50" i="76" a="1"/>
  <c r="C50" i="76" s="1"/>
  <c r="C59" i="76" a="1"/>
  <c r="C59" i="76" s="1"/>
  <c r="C53" i="76" a="1"/>
  <c r="C53" i="76" s="1"/>
  <c r="C44" i="76" a="1"/>
  <c r="C44" i="76" s="1"/>
  <c r="C61" i="76" a="1"/>
  <c r="C61" i="76" s="1"/>
  <c r="C46" i="76" a="1"/>
  <c r="C46" i="76" s="1"/>
  <c r="C40" i="76" a="1"/>
  <c r="C40" i="76" s="1"/>
  <c r="C57" i="76" a="1"/>
  <c r="C57" i="76" s="1"/>
  <c r="C55" i="76" a="1"/>
  <c r="C55" i="76" s="1"/>
  <c r="N59" i="65"/>
  <c r="M59" i="65"/>
  <c r="L59" i="65"/>
  <c r="L70" i="65"/>
  <c r="O70" i="65"/>
  <c r="N70" i="65"/>
  <c r="M70" i="65"/>
  <c r="K49" i="65"/>
  <c r="D167" i="64" a="1"/>
  <c r="D167" i="64" s="1"/>
  <c r="M315" i="64" l="1"/>
  <c r="B191" i="64" l="1"/>
  <c r="I65" i="65"/>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2" i="65"/>
  <c r="V102" i="65"/>
  <c r="W102" i="65"/>
  <c r="U103" i="65"/>
  <c r="V103" i="65"/>
  <c r="W103" i="65"/>
  <c r="U104" i="65"/>
  <c r="V104" i="65"/>
  <c r="W104" i="65"/>
  <c r="U105" i="65"/>
  <c r="V105" i="65"/>
  <c r="W105" i="65"/>
  <c r="U106" i="65"/>
  <c r="V106" i="65"/>
  <c r="W106" i="65"/>
  <c r="U107" i="65"/>
  <c r="V107" i="65"/>
  <c r="W107" i="65"/>
  <c r="U108" i="65"/>
  <c r="V108" i="65"/>
  <c r="W108" i="65"/>
  <c r="U109" i="65"/>
  <c r="V109" i="65"/>
  <c r="W109" i="65"/>
  <c r="U110" i="65"/>
  <c r="V110" i="65"/>
  <c r="W110" i="65"/>
  <c r="G108" i="64" l="1"/>
  <c r="F108" i="64"/>
  <c r="G115" i="64"/>
  <c r="G107" i="64"/>
  <c r="F107" i="64"/>
  <c r="G113" i="64"/>
  <c r="H114" i="64" s="1"/>
  <c r="H116" i="64" s="1"/>
  <c r="H118" i="64" s="1"/>
  <c r="H120" i="64" s="1"/>
  <c r="F113" i="64"/>
  <c r="G112" i="64"/>
  <c r="G109" i="64"/>
  <c r="F115" i="64"/>
  <c r="F112" i="64"/>
  <c r="H65" i="65"/>
  <c r="F111" i="64"/>
  <c r="G122" i="64"/>
  <c r="G110" i="64"/>
  <c r="F122" i="64"/>
  <c r="E112" i="64"/>
  <c r="E110" i="64"/>
  <c r="E107" i="64"/>
  <c r="E109" i="64"/>
  <c r="E111" i="64"/>
  <c r="E115" i="64"/>
  <c r="E108" i="64"/>
  <c r="E122" i="64"/>
  <c r="E113" i="64"/>
  <c r="F109" i="64"/>
  <c r="G65" i="65"/>
  <c r="F110" i="64"/>
  <c r="G111" i="64"/>
  <c r="U65" i="65"/>
  <c r="W65" i="65"/>
  <c r="V65" i="65"/>
  <c r="C14" i="21"/>
  <c r="C210" i="64"/>
  <c r="M4" i="65"/>
  <c r="L4" i="65"/>
  <c r="K4" i="65"/>
  <c r="C295" i="64"/>
  <c r="A32" i="47"/>
  <c r="F39" i="65"/>
  <c r="G79" i="65"/>
  <c r="H39" i="65"/>
  <c r="I79" i="65"/>
  <c r="J39" i="65"/>
  <c r="K39" i="65"/>
  <c r="L79" i="65"/>
  <c r="M39" i="65"/>
  <c r="N39" i="65"/>
  <c r="O79" i="65"/>
  <c r="P39" i="65"/>
  <c r="Q79" i="65"/>
  <c r="R39" i="65"/>
  <c r="S39" i="65"/>
  <c r="T39" i="65"/>
  <c r="C297" i="64" l="1"/>
  <c r="C292" i="64" a="1"/>
  <c r="C292" i="64" s="1"/>
  <c r="C293" i="64" s="1" a="1"/>
  <c r="C293" i="64" s="1"/>
  <c r="E14" i="21"/>
  <c r="H127" i="64"/>
  <c r="H124" i="64"/>
  <c r="H133" i="64"/>
  <c r="D122" i="64"/>
  <c r="D107" i="64"/>
  <c r="D115" i="64"/>
  <c r="D108" i="64"/>
  <c r="D111" i="64"/>
  <c r="D112" i="64"/>
  <c r="D109" i="64"/>
  <c r="D110" i="64"/>
  <c r="D113" i="64"/>
  <c r="E114" i="64" s="1"/>
  <c r="E116" i="64" s="1"/>
  <c r="E118" i="64" s="1"/>
  <c r="G114" i="64"/>
  <c r="G116" i="64" s="1"/>
  <c r="G118" i="64" s="1"/>
  <c r="E129" i="64"/>
  <c r="E128" i="64"/>
  <c r="G129" i="64"/>
  <c r="G128" i="64"/>
  <c r="H130" i="64" s="1"/>
  <c r="H131" i="64" s="1"/>
  <c r="F129" i="64"/>
  <c r="F128" i="64"/>
  <c r="F114" i="64"/>
  <c r="F116" i="64" s="1"/>
  <c r="F118" i="64" s="1"/>
  <c r="D5" i="64" a="1"/>
  <c r="D5" i="64" s="1"/>
  <c r="C184" i="64" a="1"/>
  <c r="C184" i="64" s="1"/>
  <c r="C183" i="64" a="1"/>
  <c r="C183" i="64" s="1"/>
  <c r="U39" i="65"/>
  <c r="U79" i="65"/>
  <c r="J79" i="65"/>
  <c r="J44" i="65" s="1"/>
  <c r="H79" i="65"/>
  <c r="H44" i="65" s="1"/>
  <c r="F79" i="65"/>
  <c r="F44" i="65" s="1"/>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294" i="64"/>
  <c r="E21" i="21" l="1"/>
  <c r="H136" i="64"/>
  <c r="H134" i="64"/>
  <c r="H135" i="64" s="1"/>
  <c r="H132" i="64"/>
  <c r="F130" i="64"/>
  <c r="F131" i="64" s="1"/>
  <c r="G130" i="64"/>
  <c r="G131" i="64" s="1"/>
  <c r="D129" i="64"/>
  <c r="D128" i="64"/>
  <c r="E130" i="64" s="1"/>
  <c r="E131" i="64" s="1"/>
  <c r="U44" i="65"/>
  <c r="U84" i="65"/>
  <c r="F84" i="65"/>
  <c r="P84" i="65"/>
  <c r="H84" i="65"/>
  <c r="J84" i="65"/>
  <c r="N44" i="65"/>
  <c r="M44" i="65"/>
  <c r="R44" i="65"/>
  <c r="T44" i="65"/>
  <c r="K44" i="65"/>
  <c r="S44" i="65"/>
  <c r="C296" i="64"/>
  <c r="E119" i="64"/>
  <c r="E120" i="64" s="1"/>
  <c r="M277" i="64"/>
  <c r="F119" i="64"/>
  <c r="F120" i="64" s="1"/>
  <c r="G119" i="64"/>
  <c r="G120" i="64" s="1"/>
  <c r="G124" i="64" s="1"/>
  <c r="B46" i="75" l="1"/>
  <c r="B53" i="75"/>
  <c r="B50" i="75"/>
  <c r="B34" i="64" s="1"/>
  <c r="B52" i="75"/>
  <c r="B67" i="64" s="1"/>
  <c r="B51" i="75"/>
  <c r="B66" i="64" s="1"/>
  <c r="H137" i="64"/>
  <c r="E124" i="64"/>
  <c r="E121" i="64"/>
  <c r="E125" i="64" s="1"/>
  <c r="G127" i="64"/>
  <c r="G132" i="64" s="1"/>
  <c r="G133" i="64"/>
  <c r="F133" i="64"/>
  <c r="F136" i="64" s="1"/>
  <c r="F127" i="64"/>
  <c r="F132" i="64" s="1"/>
  <c r="F124" i="64"/>
  <c r="E127" i="64"/>
  <c r="E132" i="64" s="1"/>
  <c r="E133" i="64"/>
  <c r="E136" i="64" s="1"/>
  <c r="C21" i="21"/>
  <c r="G49" i="65"/>
  <c r="H70" i="65"/>
  <c r="J134" i="65"/>
  <c r="I134" i="65"/>
  <c r="H134" i="65"/>
  <c r="G134" i="65"/>
  <c r="F134" i="65"/>
  <c r="I4" i="65"/>
  <c r="F4" i="65"/>
  <c r="H4" i="65"/>
  <c r="J4" i="65"/>
  <c r="G4" i="65"/>
  <c r="C96" i="64" l="1" a="1"/>
  <c r="C96" i="64" s="1"/>
  <c r="C98" i="64" a="1"/>
  <c r="C98" i="64" s="1"/>
  <c r="C11" i="76" s="1"/>
  <c r="C97" i="64" a="1"/>
  <c r="C97" i="64" s="1"/>
  <c r="H139" i="64"/>
  <c r="C152" i="64" a="1"/>
  <c r="C152" i="64" s="1"/>
  <c r="C151" i="64" a="1"/>
  <c r="C151" i="64" s="1"/>
  <c r="F134" i="64"/>
  <c r="F135" i="64" s="1"/>
  <c r="I19" i="65"/>
  <c r="I18" i="65"/>
  <c r="E134" i="64"/>
  <c r="E135" i="64" s="1"/>
  <c r="G134" i="64"/>
  <c r="G135" i="64" s="1"/>
  <c r="G136" i="64"/>
  <c r="C28" i="76" s="1" a="1"/>
  <c r="C28" i="76" s="1"/>
  <c r="F121" i="64"/>
  <c r="G121" i="64" s="1"/>
  <c r="H29" i="65"/>
  <c r="I59" i="65"/>
  <c r="I29" i="65"/>
  <c r="J59" i="65"/>
  <c r="F29" i="65"/>
  <c r="G59" i="65"/>
  <c r="J29" i="65"/>
  <c r="K59" i="65"/>
  <c r="G29" i="65"/>
  <c r="H59" i="65"/>
  <c r="E29" i="65"/>
  <c r="I70" i="65"/>
  <c r="J70" i="65"/>
  <c r="K70" i="65"/>
  <c r="G70" i="65"/>
  <c r="J49" i="65"/>
  <c r="F49" i="65"/>
  <c r="I49" i="65"/>
  <c r="H49" i="65"/>
  <c r="C100" i="64" l="1" a="1"/>
  <c r="C100" i="64" s="1"/>
  <c r="E11" i="76" s="1"/>
  <c r="C27" i="76" a="1"/>
  <c r="C27" i="76" s="1"/>
  <c r="F137" i="64"/>
  <c r="F139" i="64" s="1"/>
  <c r="F144" i="64" s="1"/>
  <c r="G125" i="64"/>
  <c r="H121" i="64"/>
  <c r="G19" i="65"/>
  <c r="G18" i="65"/>
  <c r="F125" i="64"/>
  <c r="E137" i="64"/>
  <c r="G137" i="64"/>
  <c r="G139" i="64" s="1"/>
  <c r="F101" i="65"/>
  <c r="G101" i="65"/>
  <c r="H101" i="65"/>
  <c r="I101" i="65"/>
  <c r="J101" i="65"/>
  <c r="K101" i="65"/>
  <c r="L101" i="65"/>
  <c r="M101" i="65"/>
  <c r="N101" i="65"/>
  <c r="O101" i="65"/>
  <c r="P101" i="65"/>
  <c r="Q101" i="65"/>
  <c r="R101" i="65"/>
  <c r="S101" i="65"/>
  <c r="T101" i="65"/>
  <c r="E102" i="65"/>
  <c r="F102" i="65"/>
  <c r="G102" i="65"/>
  <c r="H102" i="65"/>
  <c r="I102" i="65"/>
  <c r="J102" i="65"/>
  <c r="K102" i="65"/>
  <c r="L102" i="65"/>
  <c r="M102" i="65"/>
  <c r="N102" i="65"/>
  <c r="O102" i="65"/>
  <c r="P102" i="65"/>
  <c r="Q102" i="65"/>
  <c r="R102" i="65"/>
  <c r="S102" i="65"/>
  <c r="T102" i="65"/>
  <c r="E103" i="65"/>
  <c r="F103" i="65"/>
  <c r="G103" i="65"/>
  <c r="H103" i="65"/>
  <c r="I103" i="65"/>
  <c r="J103" i="65"/>
  <c r="K103" i="65"/>
  <c r="L103" i="65"/>
  <c r="M103" i="65"/>
  <c r="N103" i="65"/>
  <c r="O103" i="65"/>
  <c r="P103" i="65"/>
  <c r="Q103" i="65"/>
  <c r="R103" i="65"/>
  <c r="S103" i="65"/>
  <c r="T103" i="65"/>
  <c r="E104" i="65"/>
  <c r="F104" i="65"/>
  <c r="G104" i="65"/>
  <c r="H104" i="65"/>
  <c r="I104" i="65"/>
  <c r="J104" i="65"/>
  <c r="K104" i="65"/>
  <c r="L104" i="65"/>
  <c r="M104" i="65"/>
  <c r="N104" i="65"/>
  <c r="O104" i="65"/>
  <c r="P104" i="65"/>
  <c r="Q104" i="65"/>
  <c r="R104" i="65"/>
  <c r="S104" i="65"/>
  <c r="T104" i="65"/>
  <c r="E105" i="65"/>
  <c r="F105" i="65"/>
  <c r="G105" i="65"/>
  <c r="H105" i="65"/>
  <c r="I105" i="65"/>
  <c r="J105" i="65"/>
  <c r="K105" i="65"/>
  <c r="L105" i="65"/>
  <c r="M105" i="65"/>
  <c r="N105" i="65"/>
  <c r="O105" i="65"/>
  <c r="P105" i="65"/>
  <c r="Q105" i="65"/>
  <c r="R105" i="65"/>
  <c r="S105" i="65"/>
  <c r="T105"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25" i="64" l="1"/>
  <c r="I121" i="64"/>
  <c r="E139" i="64"/>
  <c r="C29" i="76" s="1" a="1"/>
  <c r="C29" i="76" s="1"/>
  <c r="E138" i="64"/>
  <c r="G144" i="64"/>
  <c r="H19" i="65"/>
  <c r="H18" i="65"/>
  <c r="D169" i="64" a="1"/>
  <c r="D168" i="64" a="1"/>
  <c r="J171" i="64" s="1"/>
  <c r="R109" i="65"/>
  <c r="P109" i="65"/>
  <c r="G109" i="65"/>
  <c r="Q109" i="65"/>
  <c r="O109" i="65"/>
  <c r="E109" i="65"/>
  <c r="T109" i="65"/>
  <c r="N109" i="65"/>
  <c r="I109" i="65"/>
  <c r="M109" i="65"/>
  <c r="J109" i="65"/>
  <c r="H109" i="65"/>
  <c r="F109" i="65"/>
  <c r="S109" i="65"/>
  <c r="L109" i="65"/>
  <c r="K109" i="65"/>
  <c r="I125" i="64" l="1"/>
  <c r="J140" i="64"/>
  <c r="J145" i="64" s="1"/>
  <c r="J121" i="64"/>
  <c r="J125" i="64" s="1"/>
  <c r="C149" i="64"/>
  <c r="F21" i="65"/>
  <c r="C147" i="64"/>
  <c r="E140" i="64"/>
  <c r="F138" i="64"/>
  <c r="H144" i="64"/>
  <c r="I144" i="64"/>
  <c r="I21" i="65"/>
  <c r="J21" i="65"/>
  <c r="H171" i="64"/>
  <c r="I171" i="64"/>
  <c r="D168" i="64"/>
  <c r="D171" i="64" s="1"/>
  <c r="G171" i="64"/>
  <c r="E171" i="64"/>
  <c r="F171" i="64"/>
  <c r="D169" i="64"/>
  <c r="E170" i="64" s="1" a="1"/>
  <c r="E170" i="64" s="1"/>
  <c r="G138" i="64" l="1"/>
  <c r="F140" i="64"/>
  <c r="F145" i="64" s="1"/>
  <c r="F114" i="65"/>
  <c r="G114" i="65"/>
  <c r="H114" i="65"/>
  <c r="I114" i="65"/>
  <c r="J114" i="65"/>
  <c r="K114" i="65"/>
  <c r="L114" i="65"/>
  <c r="M114" i="65"/>
  <c r="N114" i="65"/>
  <c r="O114" i="65"/>
  <c r="P114" i="65"/>
  <c r="Q114" i="65"/>
  <c r="R114" i="65"/>
  <c r="S114" i="65"/>
  <c r="T114" i="65"/>
  <c r="G140" i="64" l="1"/>
  <c r="G145" i="64" s="1"/>
  <c r="H138" i="64"/>
  <c r="C150" i="64"/>
  <c r="I138" i="64" l="1"/>
  <c r="I140" i="64" s="1"/>
  <c r="I145" i="64" s="1"/>
  <c r="H140" i="64"/>
  <c r="G4" i="69"/>
  <c r="H145" i="64" l="1"/>
  <c r="C30" i="76" a="1"/>
  <c r="C30" i="76" s="1"/>
  <c r="C153" i="64" a="1"/>
  <c r="C153" i="64" s="1"/>
  <c r="C154" i="64" a="1"/>
  <c r="C154" i="64" s="1"/>
  <c r="C148" i="64"/>
  <c r="G3" i="69"/>
  <c r="G27" i="69"/>
  <c r="G26" i="69"/>
  <c r="G25" i="69"/>
  <c r="G24" i="69"/>
  <c r="G23" i="69"/>
  <c r="G22" i="69"/>
  <c r="G21" i="69"/>
  <c r="G20" i="69"/>
  <c r="G19" i="69"/>
  <c r="G18" i="69"/>
  <c r="G16" i="69"/>
  <c r="G15" i="69"/>
  <c r="G14" i="69"/>
  <c r="G13" i="69"/>
  <c r="G12" i="69"/>
  <c r="G11" i="69"/>
  <c r="G10" i="69"/>
  <c r="G9" i="69"/>
  <c r="G8" i="69"/>
  <c r="C12" i="76" l="1"/>
  <c r="C16" i="76" s="1"/>
  <c r="E16" i="76" s="1"/>
  <c r="C156" i="64"/>
  <c r="E12" i="76" s="1"/>
  <c r="C21" i="76" a="1"/>
  <c r="C181" i="64" a="1"/>
  <c r="C181" i="64" s="1"/>
  <c r="C182" i="64" a="1"/>
  <c r="C182" i="64" s="1"/>
  <c r="C185" i="64" s="1"/>
  <c r="W47" i="64"/>
  <c r="V47" i="64"/>
  <c r="W64" i="64"/>
  <c r="U47" i="64"/>
  <c r="D63" i="64" a="1"/>
  <c r="B236" i="64"/>
  <c r="B235" i="64"/>
  <c r="C221" i="64"/>
  <c r="C222" i="64"/>
  <c r="D311" i="64" a="1"/>
  <c r="D46" i="64" a="1"/>
  <c r="T47" i="64" s="1"/>
  <c r="B335" i="64"/>
  <c r="B334" i="64"/>
  <c r="D275" i="64" a="1"/>
  <c r="D276" i="64" s="1" a="1"/>
  <c r="E2" i="65" a="1"/>
  <c r="U15" i="65" s="1" a="1"/>
  <c r="U15" i="65" s="1"/>
  <c r="U16" i="65" s="1"/>
  <c r="C23" i="76" l="1" a="1"/>
  <c r="C23" i="76" s="1"/>
  <c r="C21" i="76"/>
  <c r="C22" i="76" s="1" a="1"/>
  <c r="C22" i="76" s="1"/>
  <c r="I63" i="65" a="1"/>
  <c r="I63" i="65" s="1"/>
  <c r="H62" i="65" a="1"/>
  <c r="H62" i="65" s="1"/>
  <c r="S62" i="65" a="1"/>
  <c r="S62" i="65" s="1"/>
  <c r="R63" i="65" a="1"/>
  <c r="R63" i="65" s="1"/>
  <c r="Q62" i="65" a="1"/>
  <c r="Q62" i="65" s="1"/>
  <c r="P62" i="65" a="1"/>
  <c r="P62" i="65" s="1"/>
  <c r="O62" i="65" a="1"/>
  <c r="O62" i="65" s="1"/>
  <c r="N62" i="65" a="1"/>
  <c r="N62" i="65" s="1"/>
  <c r="M62" i="65" a="1"/>
  <c r="M62" i="65" s="1"/>
  <c r="M63" i="65" a="1"/>
  <c r="M63" i="65" s="1"/>
  <c r="L62" i="65" a="1"/>
  <c r="L62" i="65" s="1"/>
  <c r="L63" i="65" a="1"/>
  <c r="L63" i="65" s="1"/>
  <c r="J62" i="65" a="1"/>
  <c r="J62" i="65" s="1"/>
  <c r="J63" i="65" a="1"/>
  <c r="J63" i="65" s="1"/>
  <c r="H63" i="65" a="1"/>
  <c r="H63" i="65" s="1"/>
  <c r="T63" i="65" a="1"/>
  <c r="T63" i="65" s="1"/>
  <c r="S63" i="65" a="1"/>
  <c r="S63" i="65" s="1"/>
  <c r="T62" i="65" a="1"/>
  <c r="T62" i="65" s="1"/>
  <c r="G62" i="65" a="1"/>
  <c r="G62" i="65" s="1"/>
  <c r="G63" i="65" a="1"/>
  <c r="G63" i="65" s="1"/>
  <c r="R62" i="65" a="1"/>
  <c r="R62" i="65" s="1"/>
  <c r="Q63" i="65" a="1"/>
  <c r="Q63" i="65" s="1"/>
  <c r="P63" i="65" a="1"/>
  <c r="P63" i="65" s="1"/>
  <c r="O63" i="65" a="1"/>
  <c r="O63" i="65" s="1"/>
  <c r="N63" i="65" a="1"/>
  <c r="N63" i="65" s="1"/>
  <c r="K62" i="65" a="1"/>
  <c r="K62" i="65" s="1"/>
  <c r="K63" i="65" a="1"/>
  <c r="K63" i="65" s="1"/>
  <c r="I62" i="65" a="1"/>
  <c r="I62" i="65" s="1"/>
  <c r="F63" i="65" a="1"/>
  <c r="F63" i="65" s="1"/>
  <c r="F62" i="65" a="1"/>
  <c r="F62" i="65" s="1"/>
  <c r="P15" i="65" a="1"/>
  <c r="P15" i="65" s="1"/>
  <c r="P16" i="65" s="1"/>
  <c r="L15" i="65" a="1"/>
  <c r="L15" i="65" s="1"/>
  <c r="L16" i="65" s="1"/>
  <c r="Q15" i="65" a="1"/>
  <c r="Q15" i="65" s="1"/>
  <c r="Q16" i="65" s="1"/>
  <c r="S15" i="65" a="1"/>
  <c r="S15" i="65" s="1"/>
  <c r="S16" i="65" s="1"/>
  <c r="T15" i="65" a="1"/>
  <c r="T15" i="65" s="1"/>
  <c r="T16" i="65" s="1"/>
  <c r="G15" i="65" a="1"/>
  <c r="G15" i="65" s="1"/>
  <c r="H15" i="65" a="1"/>
  <c r="H15" i="65" s="1"/>
  <c r="I15" i="65" a="1"/>
  <c r="I15" i="65" s="1"/>
  <c r="I16" i="65" s="1"/>
  <c r="K15" i="65" a="1"/>
  <c r="K15" i="65" s="1"/>
  <c r="K16" i="65" s="1"/>
  <c r="M15" i="65" a="1"/>
  <c r="M15" i="65" s="1"/>
  <c r="M16" i="65" s="1"/>
  <c r="N15" i="65" a="1"/>
  <c r="N15" i="65" s="1"/>
  <c r="N16" i="65" s="1"/>
  <c r="O15" i="65" a="1"/>
  <c r="O15" i="65" s="1"/>
  <c r="O16" i="65" s="1"/>
  <c r="R15" i="65" a="1"/>
  <c r="R15" i="65" s="1"/>
  <c r="R16" i="65" s="1"/>
  <c r="J15" i="65" a="1"/>
  <c r="J15" i="65" s="1"/>
  <c r="J16" i="65"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23" i="64"/>
  <c r="D276" i="64"/>
  <c r="E277" i="64" s="1"/>
  <c r="J277" i="64"/>
  <c r="L277" i="64"/>
  <c r="K277" i="64"/>
  <c r="F138" i="65" a="1"/>
  <c r="F138" i="65" s="1"/>
  <c r="V129" i="65" a="1"/>
  <c r="V129" i="65" s="1"/>
  <c r="V82" i="65" a="1"/>
  <c r="V82" i="65" s="1"/>
  <c r="W129" i="65" a="1"/>
  <c r="W129" i="65" s="1"/>
  <c r="W82" i="65" a="1"/>
  <c r="W82" i="65" s="1"/>
  <c r="U91" i="65" a="1"/>
  <c r="U91" i="65" s="1"/>
  <c r="W118" i="65" a="1"/>
  <c r="W118" i="65" s="1"/>
  <c r="V54" i="65" a="1"/>
  <c r="V54" i="65" s="1"/>
  <c r="W54" i="65" a="1"/>
  <c r="W54"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U54" i="65" a="1"/>
  <c r="U54"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2" i="65" a="1"/>
  <c r="U62" i="65" s="1"/>
  <c r="U64" i="65" s="1"/>
  <c r="V62" i="65" a="1"/>
  <c r="V62" i="65" s="1"/>
  <c r="V64" i="65" s="1"/>
  <c r="W149" i="65" a="1"/>
  <c r="W149" i="65" s="1"/>
  <c r="W150" i="65" a="1"/>
  <c r="W150" i="65" s="1"/>
  <c r="U149" i="65" a="1"/>
  <c r="U149" i="65" s="1"/>
  <c r="W62" i="65" a="1"/>
  <c r="W62" i="65" s="1"/>
  <c r="W64"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15" i="64"/>
  <c r="K315" i="64"/>
  <c r="L315"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13" i="64" a="1"/>
  <c r="D312" i="64" a="1"/>
  <c r="D312" i="64" s="1"/>
  <c r="E64" i="64"/>
  <c r="S64" i="64"/>
  <c r="R64" i="64"/>
  <c r="N64" i="64"/>
  <c r="Q64" i="64"/>
  <c r="P64" i="64"/>
  <c r="O64" i="64"/>
  <c r="M64" i="64"/>
  <c r="J64" i="64"/>
  <c r="L64" i="64"/>
  <c r="K64" i="64"/>
  <c r="I64" i="64"/>
  <c r="H64" i="64"/>
  <c r="G64" i="64"/>
  <c r="F64" i="64"/>
  <c r="S54" i="65" a="1"/>
  <c r="S54" i="65" s="1"/>
  <c r="K54" i="65" a="1"/>
  <c r="K54" i="65" s="1"/>
  <c r="Q53" i="65" a="1"/>
  <c r="Q53" i="65" s="1"/>
  <c r="I53" i="65" a="1"/>
  <c r="I53" i="65" s="1"/>
  <c r="L53" i="65" a="1"/>
  <c r="L53" i="65" s="1"/>
  <c r="K53" i="65" a="1"/>
  <c r="K53" i="65" s="1"/>
  <c r="T54" i="65" a="1"/>
  <c r="T54" i="65" s="1"/>
  <c r="R54" i="65" a="1"/>
  <c r="R54" i="65" s="1"/>
  <c r="J54" i="65" a="1"/>
  <c r="J54" i="65" s="1"/>
  <c r="P53" i="65" a="1"/>
  <c r="P53" i="65" s="1"/>
  <c r="H53" i="65" a="1"/>
  <c r="H53" i="65" s="1"/>
  <c r="H54" i="65" a="1"/>
  <c r="H54" i="65" s="1"/>
  <c r="O54" i="65" a="1"/>
  <c r="O54" i="65" s="1"/>
  <c r="M53" i="65" a="1"/>
  <c r="M53" i="65" s="1"/>
  <c r="N54" i="65" a="1"/>
  <c r="N54" i="65" s="1"/>
  <c r="M54" i="65" a="1"/>
  <c r="M54" i="65" s="1"/>
  <c r="R53" i="65" a="1"/>
  <c r="R53" i="65" s="1"/>
  <c r="Q54" i="65" a="1"/>
  <c r="Q54" i="65" s="1"/>
  <c r="I54" i="65" a="1"/>
  <c r="I54" i="65" s="1"/>
  <c r="O53" i="65" a="1"/>
  <c r="O53" i="65" s="1"/>
  <c r="G53" i="65" a="1"/>
  <c r="G53" i="65" s="1"/>
  <c r="P54" i="65" a="1"/>
  <c r="P54" i="65" s="1"/>
  <c r="N53" i="65" a="1"/>
  <c r="N53" i="65" s="1"/>
  <c r="G54" i="65" a="1"/>
  <c r="G54" i="65" s="1"/>
  <c r="T53" i="65" a="1"/>
  <c r="T53" i="65" s="1"/>
  <c r="S53" i="65" a="1"/>
  <c r="S53" i="65" s="1"/>
  <c r="L54" i="65" a="1"/>
  <c r="L54" i="65" s="1"/>
  <c r="J53" i="65" a="1"/>
  <c r="J53" i="65" s="1"/>
  <c r="F54" i="65" a="1"/>
  <c r="F54"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2" i="64"/>
  <c r="C303" i="64" a="1"/>
  <c r="C303" i="64" s="1"/>
  <c r="C305" i="64" s="1" a="1"/>
  <c r="C305" i="64" s="1"/>
  <c r="D311"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G42" i="65" a="1"/>
  <c r="G4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75"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77" i="64"/>
  <c r="G277" i="64"/>
  <c r="I277" i="64"/>
  <c r="F277" i="64"/>
  <c r="E2" i="65"/>
  <c r="C20" i="76" l="1" a="1"/>
  <c r="C20" i="76" s="1"/>
  <c r="F64" i="65"/>
  <c r="I64" i="65"/>
  <c r="M64" i="65"/>
  <c r="N64" i="65"/>
  <c r="S64" i="65"/>
  <c r="L64" i="65"/>
  <c r="J64" i="65"/>
  <c r="R64" i="65"/>
  <c r="Q64" i="65"/>
  <c r="K64" i="65"/>
  <c r="O64" i="65"/>
  <c r="G64" i="65"/>
  <c r="E62" i="65" a="1"/>
  <c r="E62" i="65" s="1"/>
  <c r="E63" i="65" a="1"/>
  <c r="E63" i="65" s="1"/>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14" i="64"/>
  <c r="K314"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15" i="64"/>
  <c r="I315" i="64"/>
  <c r="G315" i="64"/>
  <c r="H315" i="64"/>
  <c r="F51" i="65"/>
  <c r="E315" i="64"/>
  <c r="C304" i="64" a="1"/>
  <c r="C304" i="64" s="1"/>
  <c r="D313" i="64"/>
  <c r="G314" i="64"/>
  <c r="H314" i="64"/>
  <c r="F314" i="64"/>
  <c r="I314" i="64"/>
  <c r="J314" i="64"/>
  <c r="F315"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C11" i="21"/>
  <c r="R40" i="65"/>
  <c r="Q40" i="65"/>
  <c r="T40" i="65"/>
  <c r="G40" i="65"/>
  <c r="E31" i="65"/>
  <c r="E90" i="65"/>
  <c r="C160" i="64" a="1"/>
  <c r="C160" i="64" s="1"/>
  <c r="C162" i="64" s="1" a="1"/>
  <c r="C162"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66" i="65" l="1"/>
  <c r="E64" i="65"/>
  <c r="D141" i="65"/>
  <c r="D55" i="65"/>
  <c r="D56" i="65"/>
  <c r="C161" i="64" a="1"/>
  <c r="C161" i="64" s="1"/>
  <c r="C13" i="76" s="1"/>
  <c r="D67" i="65"/>
  <c r="D142" i="65"/>
  <c r="D12" i="65"/>
  <c r="D11" i="65"/>
  <c r="C202" i="64"/>
  <c r="C203" i="64" s="1"/>
  <c r="F31" i="65"/>
  <c r="F90" i="65"/>
  <c r="C12" i="21"/>
  <c r="E11" i="21"/>
  <c r="E12" i="21"/>
  <c r="F126" i="65"/>
  <c r="D130" i="65" s="1"/>
  <c r="D131" i="65" l="1"/>
  <c r="D35" i="65"/>
  <c r="D36" i="65"/>
  <c r="F41" i="65" a="1"/>
  <c r="F41" i="65" s="1"/>
  <c r="F42" i="65" a="1"/>
  <c r="F42" i="65" s="1"/>
  <c r="F81" i="65" a="1"/>
  <c r="F81" i="65" s="1"/>
  <c r="F82" i="65" a="1"/>
  <c r="F82" i="65" s="1"/>
  <c r="B6" i="76" l="1"/>
  <c r="B6" i="21"/>
  <c r="E13" i="21"/>
  <c r="D151" i="65"/>
  <c r="F40" i="65"/>
  <c r="F86" i="65"/>
  <c r="F46" i="65"/>
  <c r="F45" i="65"/>
  <c r="F80" i="65"/>
  <c r="F85" i="65"/>
  <c r="F116" i="65"/>
  <c r="D121" i="65" l="1"/>
  <c r="D120" i="65"/>
  <c r="D152" i="65"/>
  <c r="G7" i="69" l="1"/>
  <c r="B84" i="76" l="1"/>
  <c r="B85" i="76"/>
  <c r="C164" i="64"/>
  <c r="E13" i="76" s="1"/>
  <c r="C229" i="64" a="1"/>
  <c r="C229" i="64" s="1"/>
  <c r="C224" i="64"/>
  <c r="C16" i="21" s="1"/>
  <c r="C270" i="64" a="1"/>
  <c r="C270" i="64" s="1"/>
  <c r="C268" i="64" a="1"/>
  <c r="C268" i="64" s="1"/>
  <c r="C264" i="64" a="1"/>
  <c r="C264" i="64" s="1"/>
  <c r="C269" i="64" a="1"/>
  <c r="C269" i="64" s="1"/>
  <c r="C263" i="64" a="1"/>
  <c r="C263" i="64" s="1"/>
  <c r="C13" i="21"/>
  <c r="C172" i="64" a="1"/>
  <c r="C172" i="64" s="1"/>
  <c r="C318" i="64"/>
  <c r="C308" i="64"/>
  <c r="C327" i="64" a="1"/>
  <c r="C327" i="64" s="1"/>
  <c r="C317" i="64" a="1"/>
  <c r="C317" i="64" s="1"/>
  <c r="C328" i="64" a="1"/>
  <c r="C328" i="64" s="1"/>
  <c r="C22" i="21"/>
  <c r="C237" i="64"/>
  <c r="C306" i="64"/>
  <c r="C282" i="64" a="1"/>
  <c r="C282" i="64" s="1"/>
  <c r="C281" i="64" s="1" a="1"/>
  <c r="C281" i="64" s="1"/>
  <c r="C280" i="64" a="1"/>
  <c r="C280" i="64" s="1"/>
  <c r="C279" i="64" a="1"/>
  <c r="C279" i="64" s="1"/>
  <c r="C247" i="64"/>
  <c r="C249" i="64" s="1" a="1"/>
  <c r="C249" i="64" s="1"/>
  <c r="C258" i="64" a="1"/>
  <c r="C258" i="64" s="1"/>
  <c r="C259" i="64" s="1"/>
  <c r="C329" i="64" a="1"/>
  <c r="C329" i="64" s="1"/>
  <c r="C173" i="64"/>
  <c r="C336" i="64"/>
  <c r="B61" i="64"/>
  <c r="C113" i="65"/>
  <c r="E22" i="21" l="1"/>
  <c r="C225" i="64"/>
  <c r="C331" i="64"/>
  <c r="C174" i="64" a="1"/>
  <c r="C174" i="64" s="1"/>
  <c r="C14" i="76" s="1"/>
  <c r="C265" i="64"/>
  <c r="C285" i="64"/>
  <c r="C319" i="64" a="1"/>
  <c r="C319" i="64" s="1"/>
  <c r="C23" i="21" s="1"/>
  <c r="C19" i="21"/>
  <c r="C334" i="64"/>
  <c r="C337" i="64" s="1"/>
  <c r="C335" i="64"/>
  <c r="C338" i="64" s="1"/>
  <c r="C236" i="64"/>
  <c r="C235" i="64"/>
  <c r="C239" i="64" s="1"/>
  <c r="C283" i="64"/>
  <c r="C20" i="21" s="1"/>
  <c r="C272" i="64"/>
  <c r="C250" i="64" a="1"/>
  <c r="C250" i="64" s="1"/>
  <c r="C254" i="64" a="1"/>
  <c r="C254" i="64" s="1"/>
  <c r="C18" i="21" s="1"/>
  <c r="C253" i="64" a="1"/>
  <c r="C253" i="64" s="1"/>
  <c r="C252" i="64" a="1"/>
  <c r="C252" i="64" s="1"/>
  <c r="C251" i="64" a="1"/>
  <c r="C251" i="64" s="1"/>
  <c r="C24" i="21" l="1"/>
  <c r="E20" i="21"/>
  <c r="C176" i="64"/>
  <c r="E14" i="76" s="1"/>
  <c r="C230" i="64"/>
  <c r="C231" i="64" s="1"/>
  <c r="E19" i="21"/>
  <c r="C255" i="64"/>
  <c r="E18" i="21" s="1"/>
  <c r="C321" i="64"/>
  <c r="C340" i="64"/>
  <c r="C240" i="64"/>
  <c r="C241" i="64" s="1"/>
  <c r="C349" i="64"/>
  <c r="C242" i="64" l="1"/>
  <c r="C348" i="64"/>
  <c r="E24" i="21"/>
  <c r="C232" i="64"/>
  <c r="C344" i="64"/>
  <c r="C345" i="64" s="1"/>
  <c r="E25" i="21" s="1"/>
  <c r="C17" i="21"/>
  <c r="E16" i="21"/>
  <c r="E23" i="21"/>
  <c r="E17" i="21" l="1"/>
  <c r="C25" i="21"/>
  <c r="G16" i="65" l="1"/>
  <c r="H21" i="65"/>
  <c r="F15" i="65" a="1"/>
  <c r="F15" i="65" s="1"/>
  <c r="F19" i="65"/>
  <c r="F18" i="65"/>
  <c r="G21" i="65"/>
  <c r="H16" i="65"/>
  <c r="F16" i="65" l="1"/>
  <c r="D26" i="65" s="1"/>
  <c r="D25" i="65" l="1"/>
  <c r="C15" i="76"/>
  <c r="C187" i="64"/>
  <c r="E15"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6"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7"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6"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4"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3"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4"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0" authorId="0" shapeId="0" xr:uid="{A1B968C2-FBCE-42D0-B13A-C7293EBA0437}">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193" authorId="0" shapeId="0" xr:uid="{6F19269D-7702-42AF-88FB-803A9B72DCB8}">
      <text>
        <r>
          <rPr>
            <b/>
            <sz val="9"/>
            <color indexed="81"/>
            <rFont val="Tahoma"/>
            <family val="2"/>
          </rPr>
          <t>Scott Cameron:</t>
        </r>
        <r>
          <rPr>
            <sz val="9"/>
            <color indexed="81"/>
            <rFont val="Tahoma"/>
            <family val="2"/>
          </rPr>
          <t xml:space="preserve">
Art. 2 , Art. 6 &amp; 16 of the Regulation building on.Art. 126(2) TFEU and Protocol 12</t>
        </r>
      </text>
    </comment>
    <comment ref="B194" authorId="0" shapeId="0" xr:uid="{5B2DF90B-D63D-4702-862E-184EC652A743}">
      <text>
        <r>
          <rPr>
            <b/>
            <sz val="9"/>
            <color indexed="81"/>
            <rFont val="Tahoma"/>
            <family val="2"/>
          </rPr>
          <t>Scott Cameron:</t>
        </r>
        <r>
          <rPr>
            <sz val="9"/>
            <color indexed="81"/>
            <rFont val="Tahoma"/>
            <family val="2"/>
          </rPr>
          <t xml:space="preserve">
TFEU Article 126(2) and Protocol No 12 Article 1. </t>
        </r>
      </text>
    </comment>
    <comment ref="B195"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Compliant:
</t>
        </r>
        <r>
          <rPr>
            <sz val="9"/>
            <color indexed="81"/>
            <rFont val="Tahoma"/>
            <family val="2"/>
          </rPr>
          <t xml:space="preserve">Country’s gross general government debt in [MTP base year] was [X.X]% of GDP, below the 60% TFEU reference value.
</t>
        </r>
        <r>
          <rPr>
            <b/>
            <sz val="9"/>
            <color indexed="81"/>
            <rFont val="Tahoma"/>
            <family val="2"/>
          </rPr>
          <t xml:space="preserve">
Breach:</t>
        </r>
        <r>
          <rPr>
            <sz val="9"/>
            <color indexed="81"/>
            <rFont val="Tahoma"/>
            <family val="2"/>
          </rPr>
          <t xml:space="preserve">
Country’s gross general government debt in [MTP base year] was [X.X]% of GDP, higher than the 60% TFEU reference level.</t>
        </r>
      </text>
    </comment>
    <comment ref="B197"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8"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199" authorId="0" shapeId="0" xr:uid="{8C7D12BB-A0D4-4546-97AB-A5721972F6C4}">
      <text>
        <r>
          <rPr>
            <b/>
            <sz val="9"/>
            <color indexed="81"/>
            <rFont val="Tahoma"/>
            <family val="2"/>
          </rPr>
          <t>Compliant:</t>
        </r>
        <r>
          <rPr>
            <sz val="9"/>
            <color indexed="81"/>
            <rFont val="Tahoma"/>
            <family val="2"/>
          </rPr>
          <t xml:space="preserve">
Country’s net lending in [MTP base year] was [X.X]% of GDP, higher than the 3% TFEU reference value.
</t>
        </r>
        <r>
          <rPr>
            <b/>
            <sz val="9"/>
            <color indexed="81"/>
            <rFont val="Tahoma"/>
            <family val="2"/>
          </rPr>
          <t>Breach:</t>
        </r>
        <r>
          <rPr>
            <sz val="9"/>
            <color indexed="81"/>
            <rFont val="Tahoma"/>
            <family val="2"/>
          </rPr>
          <t xml:space="preserve">
Country’s net lending in [MTP base year] was [X.X]% of GDP, lower than the 3% TFEU reference level.</t>
        </r>
      </text>
    </comment>
    <comment ref="B203"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5"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8" authorId="0" shapeId="0" xr:uid="{CF5C31BB-E89A-4F18-B28A-056111251D5D}">
      <text>
        <r>
          <rPr>
            <b/>
            <sz val="9"/>
            <color indexed="81"/>
            <rFont val="Tahoma"/>
            <family val="2"/>
          </rPr>
          <t>Scott Cameron:</t>
        </r>
        <r>
          <rPr>
            <sz val="9"/>
            <color indexed="81"/>
            <rFont val="Tahoma"/>
            <family val="2"/>
          </rPr>
          <t xml:space="preserve">
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 of GDP, and it brings and maintains the government deficit below 3 % of GDP over the medium term.
16(3) whether their net expenditure paths comply with the requirements set out in Articles 6, 7 and 8.
Article 6: Risk-based requirements ((a)DSA plausibility assessments, (b)deficit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0" authorId="0" shapeId="0" xr:uid="{0733AC9A-FBA7-4DD7-B7F4-C2C114AE0532}">
      <text>
        <r>
          <rPr>
            <b/>
            <sz val="9"/>
            <color indexed="81"/>
            <rFont val="Tahoma"/>
            <family val="2"/>
          </rPr>
          <t>Scott Cameron:</t>
        </r>
        <r>
          <rPr>
            <sz val="9"/>
            <color indexed="81"/>
            <rFont val="Tahoma"/>
            <family val="2"/>
          </rPr>
          <t xml:space="preserve">
Art. 6 + 9 + 15 on prior guidance, use of different assumptions, and justification of deviations
Note: All of the Commission assessments (Recommendation for a Council Recommendation endorsing the national medium-term fsical-structural plan of County) assess how the average net expenditure growth over the adjustment period compares to the prior guidance. </t>
        </r>
      </text>
    </comment>
    <comment ref="B227" authorId="0" shapeId="0" xr:uid="{4585096F-2206-4D14-99A5-316EE86AFC63}">
      <text>
        <r>
          <rPr>
            <b/>
            <sz val="9"/>
            <color indexed="81"/>
            <rFont val="Tahoma"/>
            <family val="2"/>
          </rPr>
          <t>Scott Cameron:</t>
        </r>
        <r>
          <rPr>
            <sz val="9"/>
            <color indexed="81"/>
            <rFont val="Tahoma"/>
            <family val="2"/>
          </rPr>
          <t xml:space="preserve">
Art. 6: prior guidance net expenditure trajectory is the benchmark; and Art. 16(3): 
For countries that received a reference trajectory, the path must be checked against Arts. 6–8.
Article 6 = risk-based debt (M7), deficit (M8), no back-loading (M10), and consistency with corrective path of EDP (M11). </t>
        </r>
      </text>
    </comment>
    <comment ref="C229" authorId="0" shapeId="0" xr:uid="{FED4CB80-1CC0-492B-9AF6-A3328341F2DC}">
      <text>
        <r>
          <rPr>
            <b/>
            <sz val="9"/>
            <color indexed="81"/>
            <rFont val="Tahoma"/>
            <family val="2"/>
          </rPr>
          <t>Scott Cameron:</t>
        </r>
        <r>
          <rPr>
            <sz val="9"/>
            <color indexed="81"/>
            <rFont val="Tahoma"/>
            <family val="2"/>
          </rPr>
          <t xml:space="preserve">
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2"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34" authorId="0" shapeId="0" xr:uid="{19FC617B-DF3C-4523-AE45-4E00AE68E93D}">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45"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54"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57"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8"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58"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1"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64"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67"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74"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79"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0"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1" authorId="0" shapeId="0" xr:uid="{1C38568D-661F-40E5-9152-D4020F4DD7CD}">
      <text>
        <r>
          <rPr>
            <sz val="9"/>
            <color indexed="81"/>
            <rFont val="Tahoma"/>
            <family val="2"/>
          </rPr>
          <t>Is any one value greater than the average?</t>
        </r>
      </text>
    </comment>
    <comment ref="C281"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2"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87"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293"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294"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0" authorId="0" shapeId="0" xr:uid="{322B17D1-8B4B-40A5-A771-441C6119157E}">
      <text>
        <r>
          <rPr>
            <sz val="9"/>
            <color indexed="81"/>
            <rFont val="Tahoma"/>
            <family val="2"/>
          </rPr>
          <t>Art. 7 safeguard – minimum average annual reduction of debt and risk-based conditions.</t>
        </r>
      </text>
    </comment>
    <comment ref="B301"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0"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18"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19"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23"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24"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in M12 and M13.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0" authorId="0" shapeId="0" xr:uid="{E15769AE-C427-4D98-A636-D1B3DD0A4F12}">
      <text>
        <r>
          <rPr>
            <b/>
            <sz val="9"/>
            <color indexed="81"/>
            <rFont val="Tahoma"/>
            <family val="2"/>
          </rPr>
          <t xml:space="preserve">Scott Cameron:
</t>
        </r>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43"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45"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47"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<sst xmlns="http://schemas.openxmlformats.org/spreadsheetml/2006/main" count="2086" uniqueCount="975">
  <si>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</si>
  <si>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</si>
  <si>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</si>
  <si>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</si>
  <si>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</si>
  <si>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</si>
  <si>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</si>
  <si>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</si>
  <si>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</si>
  <si>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</si>
  <si>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</si>
  <si>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</si>
  <si>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</si>
  <si>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</si>
  <si>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</si>
  <si>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</si>
  <si>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</si>
  <si>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</si>
  <si>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</si>
  <si>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</si>
  <si>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</si>
  <si>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</si>
  <si>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</si>
  <si>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</si>
  <si>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</si>
  <si>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T-1</t>
  </si>
  <si>
    <t>T</t>
  </si>
  <si>
    <t>T+1</t>
  </si>
  <si>
    <t>T+2</t>
  </si>
  <si>
    <t>T+3</t>
  </si>
  <si>
    <t>T+4</t>
  </si>
  <si>
    <t>Interest expenditure</t>
  </si>
  <si>
    <t>ESA code</t>
  </si>
  <si>
    <t>B.9</t>
  </si>
  <si>
    <t>D.41</t>
  </si>
  <si>
    <t>Expenditure</t>
  </si>
  <si>
    <t>Revenue</t>
  </si>
  <si>
    <t>ESA Code</t>
  </si>
  <si>
    <t>T+5</t>
  </si>
  <si>
    <t>T+6</t>
  </si>
  <si>
    <t>T+7</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</si>
  <si>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</si>
  <si>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</si>
  <si>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</si>
  <si>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</si>
  <si>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</si>
  <si>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</si>
  <si>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</si>
  <si>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</si>
  <si>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</si>
  <si>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</si>
  <si>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</si>
  <si>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</si>
  <si>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</si>
  <si>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</si>
  <si>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</si>
  <si>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</si>
  <si>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</si>
  <si>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</si>
  <si>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</si>
  <si>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</si>
  <si>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</si>
  <si>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</si>
  <si>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</si>
  <si>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</si>
  <si>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</si>
  <si>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</si>
  <si>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</si>
  <si>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</si>
  <si>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</si>
  <si>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</si>
  <si>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</si>
  <si>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</si>
  <si>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</si>
  <si>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</si>
  <si>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</si>
  <si>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</si>
  <si>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</si>
  <si>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</si>
  <si>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</si>
  <si>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</si>
  <si>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</si>
  <si>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</si>
  <si>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</si>
  <si>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</si>
  <si>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</si>
  <si>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</si>
  <si>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</si>
  <si>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</si>
  <si>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</si>
  <si>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</si>
  <si>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</si>
  <si>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</si>
  <si>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</si>
  <si>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</si>
  <si>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</si>
  <si>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</si>
  <si>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</si>
  <si>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</si>
  <si>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</si>
  <si>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</si>
  <si>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</si>
  <si>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</si>
  <si>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</si>
  <si>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</si>
  <si>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</si>
  <si>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</si>
  <si>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</si>
  <si>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</si>
  <si>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</si>
  <si>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</si>
  <si>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</si>
  <si>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</si>
  <si>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</si>
  <si>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</si>
  <si>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</si>
  <si>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</si>
  <si>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</si>
  <si>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</si>
  <si>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</si>
  <si>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</si>
  <si>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</si>
  <si>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</si>
  <si>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</si>
  <si>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</si>
  <si>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</si>
  <si>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</si>
  <si>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</si>
  <si>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</si>
  <si>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</si>
  <si>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</si>
  <si>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</si>
  <si>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</si>
  <si>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</si>
  <si>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</si>
  <si>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</si>
  <si>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</si>
  <si>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</si>
  <si>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</si>
  <si>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</si>
  <si>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</si>
  <si>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</si>
  <si>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</si>
  <si>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</si>
  <si>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</si>
  <si>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</si>
  <si>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</si>
  <si>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</si>
  <si>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</si>
  <si>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</si>
  <si>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</si>
  <si>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</si>
  <si>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</si>
  <si>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</si>
  <si>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</si>
  <si>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</si>
  <si>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</si>
  <si>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</si>
  <si>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</si>
  <si>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</si>
  <si>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</si>
  <si>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</si>
  <si>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</si>
  <si>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</si>
  <si>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</si>
  <si>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</si>
  <si>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</si>
  <si>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</si>
  <si>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</si>
  <si>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</si>
  <si>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</si>
  <si>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</si>
  <si>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</si>
  <si>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</si>
  <si>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</si>
  <si>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</si>
  <si>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</si>
  <si>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</si>
  <si>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</si>
  <si>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</si>
  <si>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</si>
  <si>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</si>
  <si>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</si>
  <si>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</si>
  <si>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</si>
  <si>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</si>
  <si>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</si>
  <si>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</si>
  <si>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</si>
  <si>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</si>
  <si>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</si>
  <si>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</si>
  <si>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</si>
  <si>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</si>
  <si>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</si>
  <si>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</si>
  <si>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</si>
  <si>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</si>
  <si>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</si>
  <si>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</si>
  <si>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</si>
  <si>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</si>
  <si>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</si>
  <si>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</si>
  <si>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</si>
  <si>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</si>
  <si>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</si>
  <si>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</si>
  <si>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</si>
  <si>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</si>
  <si>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</si>
  <si>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</si>
  <si>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</si>
  <si>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</si>
  <si>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</si>
  <si>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</si>
  <si>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</si>
  <si>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</si>
  <si>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</si>
  <si>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</si>
  <si>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</si>
  <si>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</si>
  <si>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</si>
  <si>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Government budget balance (% of GDP)</t>
  </si>
  <si>
    <t>Structural primary balance (% of GDP)</t>
  </si>
  <si>
    <t>Government debt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</si>
  <si>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</si>
  <si>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</si>
  <si>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</si>
  <si>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</si>
  <si>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</si>
  <si>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</si>
  <si>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</si>
  <si>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</si>
  <si>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</si>
  <si>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</si>
  <si>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</si>
  <si>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</si>
  <si>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</si>
  <si>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</si>
  <si>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</si>
  <si>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</si>
  <si>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</si>
  <si>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</si>
  <si>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</si>
  <si>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</si>
  <si>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</si>
  <si>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</si>
  <si>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</si>
  <si>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</si>
  <si>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</si>
  <si>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</si>
  <si>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</si>
  <si>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</si>
  <si>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t>
  </si>
  <si>
    <t>Actual</t>
  </si>
  <si>
    <t>Planned</t>
  </si>
  <si>
    <t>Core compliance checks</t>
  </si>
  <si>
    <t>Numerical safeguards</t>
  </si>
  <si>
    <t>Deficit &lt; 3% of GDP in the medium term.</t>
  </si>
  <si>
    <t>Debt plausibly on a downward path (or below 60% of GDP).</t>
  </si>
  <si>
    <t>Compute annual growth of NNE (net of discretionary revenue measures, EU-funded expenditure, and one-offs).</t>
  </si>
  <si>
    <t>Compare to the reference rate/trajectory.</t>
  </si>
  <si>
    <t>Structural balance resilience safeguard</t>
  </si>
  <si>
    <t>Check whether the structural balance is above -1.5% of GDP (the automatic "red flag" safeguard"</t>
  </si>
  <si>
    <t>Nominal GDP (and deflator or real GDP if available).</t>
  </si>
  <si>
    <t>General government deficit (% of GDP).</t>
  </si>
  <si>
    <t>General government gross debt (% of GDP).</t>
  </si>
  <si>
    <t>Nationally financed net primary expenditure (NNE).</t>
  </si>
  <si>
    <t>Any one-off measures (to strip them out of NNE).</t>
  </si>
  <si>
    <t>Medium-term plan’s reference rate of NNE growth (from Commission).</t>
  </si>
  <si>
    <t>Expenditure ceilings</t>
  </si>
  <si>
    <t>Automatic text summary</t>
  </si>
  <si>
    <t>EU Fiscal Rules Compliance Dashboard — Example Country (2025-08-17)</t>
  </si>
  <si>
    <t>Deficit Rule (&lt;3% GDP): OK</t>
  </si>
  <si>
    <t>Debt Rule (&lt;60% or declining): OK</t>
  </si>
  <si>
    <t>NNE Growth Rule: Breach</t>
  </si>
  <si>
    <t>Structural Balance Safeguard (&gt; -1.5% GDP): Breach</t>
  </si>
  <si>
    <t>Notes:</t>
  </si>
  <si>
    <t>- Deficit remains below 3% in all years.</t>
  </si>
  <si>
    <t>- Debt at 90→87% of GDP, only modest decline — requires review.</t>
  </si>
  <si>
    <t>- NNE growth exceeds reference in 2026 (2.0% vs 1.2%) → breach.</t>
  </si>
  <si>
    <t>- Structural balance respected (-1.3% &gt; -1.5%).</t>
  </si>
  <si>
    <t>Plausibility of the macroeconomic and fiscal assumptions, to the extent that they differ from those underlying the reference trajectorty. In particular, the debt projections at unchange policy to be included in the plan should be comparable with the projections of the commission</t>
  </si>
  <si>
    <t>Debt projections (Ministry of Finance vs Commission)</t>
  </si>
  <si>
    <t>General government balance (% of GDP)</t>
  </si>
  <si>
    <t>General government gross debt (% of GDP)</t>
  </si>
  <si>
    <t>3% reference value</t>
  </si>
  <si>
    <t>60% reference value</t>
  </si>
  <si>
    <t>Net expenditure growth, planned (%)</t>
  </si>
  <si>
    <t>Plausibility assessment of the general government debt ratio being on a downward path or remaining at a prudent level:</t>
  </si>
  <si>
    <t>Last year of stochastic projections</t>
  </si>
  <si>
    <t>Debit</t>
  </si>
  <si>
    <t>Credit</t>
  </si>
  <si>
    <t>MTSFP reference year</t>
  </si>
  <si>
    <t>Calendar year</t>
  </si>
  <si>
    <t>MTP end year</t>
  </si>
  <si>
    <t>Assessment round</t>
  </si>
  <si>
    <t>MTP adjustment period (Years)</t>
  </si>
  <si>
    <t>MTP year</t>
  </si>
  <si>
    <t>Performance against net expenditure path limit</t>
  </si>
  <si>
    <r>
      <t xml:space="preserve">Outturn NNE vs. the </t>
    </r>
    <r>
      <rPr>
        <b/>
        <sz val="11"/>
        <color theme="1"/>
        <rFont val="Aptos Narrow"/>
        <family val="2"/>
      </rPr>
      <t>reference trajectory</t>
    </r>
    <r>
      <rPr>
        <sz val="11"/>
        <color theme="1"/>
        <rFont val="Aptos Narrow"/>
        <family val="2"/>
      </rPr>
      <t>:</t>
    </r>
  </si>
  <si>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</si>
  <si>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</si>
  <si>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</si>
  <si>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</si>
  <si>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</si>
  <si>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</si>
  <si>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</si>
  <si>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</si>
  <si>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</si>
  <si>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</si>
  <si>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</si>
  <si>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</si>
  <si>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</si>
  <si>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</si>
  <si>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</si>
  <si>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</si>
  <si>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</si>
  <si>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</si>
  <si>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</si>
  <si>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</si>
  <si>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</si>
  <si>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</si>
  <si>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</si>
  <si>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</si>
  <si>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</si>
  <si>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</si>
  <si>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</si>
  <si>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</si>
  <si>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TFEU deficit reference value (3%) in MTP year T-1</t>
  </si>
  <si>
    <t>TFEU debt reference value (60%) in MTP year T-1</t>
  </si>
  <si>
    <t>Outturn data</t>
  </si>
  <si>
    <t>Gross debt, no policy change scenario</t>
  </si>
  <si>
    <t>Gross debt, adjustment scenario, no safeguard</t>
  </si>
  <si>
    <t>Gross debt, financial stress scenario</t>
  </si>
  <si>
    <t>Gross debt, lower structural primary balance scenario</t>
  </si>
  <si>
    <t>Gross debt, adverse r-g scenario</t>
  </si>
  <si>
    <t>Nominal GDP (level)</t>
  </si>
  <si>
    <t>Consistency with EDP corrective path</t>
  </si>
  <si>
    <t>YearRange</t>
  </si>
  <si>
    <t>Net expenditure growth (observed/planned)</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</si>
  <si>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</si>
  <si>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</si>
  <si>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</si>
  <si>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</si>
  <si>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</si>
  <si>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</si>
  <si>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</si>
  <si>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</si>
  <si>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</si>
  <si>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</si>
  <si>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</si>
  <si>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</si>
  <si>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</si>
  <si>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</si>
  <si>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</si>
  <si>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</si>
  <si>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</si>
  <si>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</si>
  <si>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</si>
  <si>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</si>
  <si>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</si>
  <si>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</si>
  <si>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</si>
  <si>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</si>
  <si>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</si>
  <si>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</si>
  <si>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</si>
  <si>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</si>
  <si>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</si>
  <si>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</si>
  <si>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</si>
  <si>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</si>
  <si>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</si>
  <si>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</si>
  <si>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</si>
  <si>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</si>
  <si>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</si>
  <si>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</si>
  <si>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</si>
  <si>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</si>
  <si>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</si>
  <si>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</si>
  <si>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</si>
  <si>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</si>
  <si>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</si>
  <si>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</si>
  <si>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</si>
  <si>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</si>
  <si>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</si>
  <si>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</si>
  <si>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</si>
  <si>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</si>
  <si>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</si>
  <si>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</si>
  <si>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</si>
  <si>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</si>
  <si>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</si>
  <si>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</si>
  <si>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</si>
  <si>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</si>
  <si>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</si>
  <si>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</si>
  <si>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</si>
  <si>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</si>
  <si>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</si>
  <si>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</si>
  <si>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</si>
  <si>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</si>
  <si>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</si>
  <si>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</si>
  <si>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</si>
  <si>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</si>
  <si>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</si>
  <si>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</si>
  <si>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</si>
  <si>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</si>
  <si>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</si>
  <si>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</si>
  <si>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</si>
  <si>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</si>
  <si>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</si>
  <si>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</si>
  <si>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</si>
  <si>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</si>
  <si>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</si>
  <si>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</si>
  <si>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</si>
  <si>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</si>
  <si>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</si>
  <si>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</si>
  <si>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</si>
  <si>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</si>
  <si>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</si>
  <si>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</si>
  <si>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</si>
  <si>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</si>
  <si>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Control account (bn NAC)</t>
  </si>
  <si>
    <t>EC's scenario</t>
  </si>
  <si>
    <t>Performance of structural primary balance compared to the European Commission's scenario meeting all requirements</t>
  </si>
  <si>
    <t>Council-endorsed path</t>
  </si>
  <si>
    <t>Assessment</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</si>
  <si>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</si>
  <si>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</si>
  <si>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</si>
  <si>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</si>
  <si>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</si>
  <si>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</si>
  <si>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</si>
  <si>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</si>
  <si>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</si>
  <si>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</si>
  <si>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</si>
  <si>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</si>
  <si>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</si>
  <si>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</si>
  <si>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</si>
  <si>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</si>
  <si>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</si>
  <si>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</si>
  <si>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</si>
  <si>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</si>
  <si>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</si>
  <si>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</si>
  <si>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</si>
  <si>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</si>
  <si>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</si>
  <si>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</si>
  <si>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</si>
  <si>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</si>
  <si>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</si>
  <si>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</si>
  <si>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</si>
  <si>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</si>
  <si>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</si>
  <si>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</si>
  <si>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</si>
  <si>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</si>
  <si>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</si>
  <si>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</si>
  <si>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</si>
  <si>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</si>
  <si>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</si>
  <si>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</si>
  <si>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</si>
  <si>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</si>
  <si>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</si>
  <si>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</si>
  <si>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</si>
  <si>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</si>
  <si>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</si>
  <si>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</si>
  <si>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</si>
  <si>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</si>
  <si>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</si>
  <si>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</si>
  <si>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</si>
  <si>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</si>
  <si>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</si>
  <si>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</si>
  <si>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</si>
  <si>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</si>
  <si>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 xml:space="preserve">M1: Checking whether the general government debt exceeds 60% of GDP </t>
  </si>
  <si>
    <t>M2: Checking whether the general government deficit exceeds 3% of GDP</t>
  </si>
  <si>
    <t>Is the country required to submit an MTP that adheres to a reference trajectory (or alternative path meeting all criteria)</t>
  </si>
  <si>
    <t>Assessing whether a reference trajectory applies (Article 5)</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</si>
  <si>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</si>
  <si>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</si>
  <si>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</si>
  <si>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</si>
  <si>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</si>
  <si>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</si>
  <si>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</si>
  <si>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</si>
  <si>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</si>
  <si>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</si>
  <si>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</si>
  <si>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</si>
  <si>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</si>
  <si>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</si>
  <si>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</si>
  <si>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</si>
  <si>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</si>
  <si>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</si>
  <si>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</si>
  <si>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</si>
  <si>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</si>
  <si>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</si>
  <si>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</si>
  <si>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</si>
  <si>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</si>
  <si>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</si>
  <si>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Draft Budgetary Plan 2026</t>
  </si>
  <si>
    <t>Control account deviations and cumulative balance</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</si>
  <si>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</si>
  <si>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</si>
  <si>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</si>
  <si>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</si>
  <si>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</si>
  <si>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</si>
  <si>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</si>
  <si>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</si>
  <si>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</si>
  <si>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</si>
  <si>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</si>
  <si>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 xml:space="preserve">M4: Determining whether the MTP contains  all information required by Article 13 of Regulation (EU) 2024/1263 </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</si>
  <si>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</si>
  <si>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</si>
  <si>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</si>
  <si>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</si>
  <si>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</si>
  <si>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Compliance of MTP net expenditure growth path with prior guidance</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</si>
  <si>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</si>
  <si>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</si>
  <si>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</si>
  <si>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</si>
  <si>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</si>
  <si>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</si>
  <si>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</si>
  <si>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</si>
  <si>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</si>
  <si>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</si>
  <si>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</si>
  <si>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</si>
  <si>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</si>
  <si>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</si>
  <si>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</si>
  <si>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</si>
  <si>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</si>
  <si>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</si>
  <si>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</si>
  <si>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Primary structural balance in MTP</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</si>
  <si>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</si>
  <si>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</si>
  <si>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</si>
  <si>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</si>
  <si>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</si>
  <si>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</si>
  <si>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</si>
  <si>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M10: Checking whether the adjustment is linear and at least proportional to total effort over the entire adjustment period (the "no backloading" safegard) [Article 6(c)]</t>
  </si>
  <si>
    <t>M11: Checking consistency with the EDP corrective path in Article 3(4) of Regulation (EC) No 1467/97 [Article 6(d)]</t>
  </si>
  <si>
    <t>M12: Determining whether the debt sustainability safeguard applies and, if so, verifying compliance of the planned fiscal path  [Article 7]</t>
  </si>
  <si>
    <t>M13: Determining whether the deficit resilience safeguard applies and, if so, verifying compliance [Article 8]</t>
  </si>
  <si>
    <t>M13</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</si>
  <si>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</si>
  <si>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</si>
  <si>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</si>
  <si>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</si>
  <si>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</si>
  <si>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</si>
  <si>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</si>
  <si>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</si>
  <si>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</si>
  <si>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M5: Determining whether reform and investment commitments fulfil the criteria for an extension of the adjustment period (Article 14)</t>
  </si>
  <si>
    <t>Assessing whether the submitted MTP meets information requirements and criteria for an extension of the adjustment period, if requesting one (Articles 13 and 14)</t>
  </si>
  <si>
    <t xml:space="preserve">M6: Checking whether the average net expenditure growth of the MTP over the adjustment period is higher than the prior guidance transmitted by the Commission </t>
  </si>
  <si>
    <t xml:space="preserve">M7: Checking whether the MTP's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</si>
  <si>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M8: Checking whether gross government debt is at prudent levels below 60% over the medium-term or is put or remains on a plausibly downward path according to a DSA assessment [Article 16(2) and Article 6(a)]</t>
  </si>
  <si>
    <t>M9: Checking whether the projected general government deficit is brought below 3% of GDP over the adjustment period and is maintained below that reference value over the medium-term [Article 16(2) and Article 6(b)]</t>
  </si>
  <si>
    <t>M14. Checking planned structural primary balance adjustment against the target that satisfies all criteria (supportive)</t>
  </si>
  <si>
    <t>M14</t>
  </si>
  <si>
    <t>Fulfilment of criteria for an extension of the adjustment period</t>
  </si>
  <si>
    <t xml:space="preserve"> </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</si>
  <si>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</si>
  <si>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</si>
  <si>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</si>
  <si>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</si>
  <si>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</si>
  <si>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</si>
  <si>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</si>
  <si>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</si>
  <si>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</si>
  <si>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</si>
  <si>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</si>
  <si>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</si>
  <si>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</si>
  <si>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</si>
  <si>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</si>
  <si>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</si>
  <si>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</si>
  <si>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</si>
  <si>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</si>
  <si>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</si>
  <si>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</si>
  <si>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</si>
  <si>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</si>
  <si>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</si>
  <si>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</si>
  <si>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</si>
  <si>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</si>
  <si>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</si>
  <si>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</si>
  <si>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</si>
  <si>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</si>
  <si>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</si>
  <si>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</si>
  <si>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</si>
  <si>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</si>
  <si>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</si>
  <si>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</si>
  <si>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</si>
  <si>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</si>
  <si>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</si>
  <si>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Domestic fiscal rules</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</si>
  <si>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</si>
  <si>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</si>
  <si>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</si>
  <si>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</si>
  <si>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</si>
  <si>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</si>
  <si>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</si>
  <si>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</si>
  <si>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</si>
  <si>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</si>
  <si>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</si>
  <si>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</si>
  <si>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</si>
  <si>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</si>
  <si>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</si>
  <si>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</si>
  <si>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</si>
  <si>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</si>
  <si>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Supportive information and alternative formats</t>
  </si>
  <si>
    <t>https://eur-lex.europa.eu/legal-content/EN/TXT/PDF/?uri=CELEX:52024XC03975</t>
  </si>
  <si>
    <t>Funded by EU Technical Support Instrument, REFORM/2023/OP/0010EC</t>
  </si>
  <si>
    <t xml:space="preserve">  YELLOW = Conditional/borderline/informational</t>
  </si>
  <si>
    <t>Macros disabled</t>
  </si>
  <si>
    <t>M3: Checking whether the country is required to submit an MTP that adheres to a reference trajectory (or an alternative path meeting all criteria)</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</si>
  <si>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</si>
  <si>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</si>
  <si>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</si>
  <si>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MTP assessed against reference trajectory</t>
  </si>
  <si>
    <t xml:space="preserve">Is the country Greece (that is, does Greece's 2033 exclusion rule apply)? </t>
  </si>
  <si>
    <t>M15</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</si>
  <si>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</si>
  <si>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</si>
  <si>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</si>
  <si>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</si>
  <si>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</si>
  <si>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</si>
  <si>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</si>
  <si>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</si>
  <si>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</si>
  <si>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M15: Overall MTP net expenditure path compliance</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</si>
  <si>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</si>
  <si>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</si>
  <si>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</si>
  <si>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</si>
  <si>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</si>
  <si>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</si>
  <si>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Annual and cumulated gaps</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</si>
  <si>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</si>
  <si>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</si>
  <si>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</si>
  <si>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</si>
  <si>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</si>
  <si>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</si>
  <si>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</si>
  <si>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</si>
  <si>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</si>
  <si>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</si>
  <si>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</si>
  <si>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</si>
  <si>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</si>
  <si>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</si>
  <si>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</si>
  <si>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</si>
  <si>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</si>
  <si>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</si>
  <si>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</si>
  <si>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</si>
  <si>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</si>
  <si>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</si>
  <si>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</si>
  <si>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</si>
  <si>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</si>
  <si>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</si>
  <si>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</si>
  <si>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</si>
  <si>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</si>
  <si>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</si>
  <si>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Recommended net expenditure growth*</t>
  </si>
  <si>
    <t>Annual gap ((11-12) x 7(t-1))</t>
  </si>
  <si>
    <t>Cumulated gap (cumulative from 13)</t>
  </si>
  <si>
    <t>Cumulated balance (14/15)**</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</si>
  <si>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</si>
  <si>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</si>
  <si>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</si>
  <si>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</si>
  <si>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</si>
  <si>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</si>
  <si>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</si>
  <si>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</si>
  <si>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</si>
  <si>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</si>
  <si>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</si>
  <si>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</si>
  <si>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</si>
  <si>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</si>
  <si>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</si>
  <si>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</si>
  <si>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</si>
  <si>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</si>
  <si>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</si>
  <si>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</si>
  <si>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</si>
  <si>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</si>
  <si>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</si>
  <si>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Annual balance </t>
  </si>
  <si>
    <t xml:space="preserve">Do deviations exceed 0.3 percentage points of GDP annually over the assessment period? </t>
  </si>
  <si>
    <t xml:space="preserve">Do deviations exceed 0.3 percentage points of GDP annually over the outturn period? </t>
  </si>
  <si>
    <t>Cumulated balance</t>
  </si>
  <si>
    <t>Unrecorded or defence-adjusted annual deviation</t>
  </si>
  <si>
    <r>
      <t xml:space="preserve">Note: Negative numbers in control account indicate plans are outperforming commitments. Where an escape clause has been activated, debits and credits are not recorded in the cumulated balance of the control account; for defence-related escape clauses introduced in 2025, debits exclude increases in defence expenditure up to a capped amount. Figures shown in </t>
    </r>
    <r>
      <rPr>
        <sz val="10"/>
        <color theme="7" tint="-0.249977111117893"/>
        <rFont val="Aptos Narrow"/>
        <family val="2"/>
      </rPr>
      <t>amber</t>
    </r>
    <r>
      <rPr>
        <sz val="10"/>
        <color theme="0" tint="-0.499984740745262"/>
        <rFont val="Aptos Narrow"/>
        <family val="2"/>
      </rPr>
      <t xml:space="preserve"> indicate that an escape clause is in effect for that year.</t>
    </r>
  </si>
  <si>
    <t>Summary control account</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</si>
  <si>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</si>
  <si>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</si>
  <si>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</si>
  <si>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</si>
  <si>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</si>
  <si>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</si>
  <si>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</si>
  <si>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</si>
  <si>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</si>
  <si>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</si>
  <si>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</si>
  <si>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</si>
  <si>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</si>
  <si>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</si>
  <si>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</si>
  <si>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</si>
  <si>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</si>
  <si>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</si>
  <si>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</si>
  <si>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</si>
  <si>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</si>
  <si>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</si>
  <si>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</si>
  <si>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</si>
  <si>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</si>
  <si>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</si>
  <si>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</si>
  <si>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</si>
  <si>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</si>
  <si>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</si>
  <si>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</si>
  <si>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</si>
  <si>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</si>
  <si>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</si>
  <si>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</si>
  <si>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</si>
  <si>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</si>
  <si>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Deviation cap</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</si>
  <si>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</si>
  <si>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</si>
  <si>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</si>
  <si>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</si>
  <si>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"Augmented" control account  during escape clauses</t>
  </si>
  <si>
    <t/>
  </si>
  <si>
    <t>Reference trajectory provided by the Commission (not applicable)</t>
  </si>
  <si>
    <t>EC technical information - Path to meet all requirements and safeguard.</t>
  </si>
  <si>
    <t>Prior guidance transmittion date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</si>
  <si>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</si>
  <si>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</si>
  <si>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</si>
  <si>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</si>
  <si>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</si>
  <si>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</si>
  <si>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 xml:space="preserve">If using different assumptions to the EU's prior guidance to prepare the MTP, is the explanation satisfactory and based on sound and data-driven economic arguments? </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</si>
  <si>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</si>
  <si>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</si>
  <si>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</si>
  <si>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</si>
  <si>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</si>
  <si>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</si>
  <si>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</si>
  <si>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</si>
  <si>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</si>
  <si>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</si>
  <si>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</si>
  <si>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</si>
  <si>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</si>
  <si>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</si>
  <si>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</si>
  <si>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</si>
  <si>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</si>
  <si>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</si>
  <si>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</si>
  <si>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</si>
  <si>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</si>
  <si>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</si>
  <si>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</si>
  <si>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</si>
  <si>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</si>
  <si>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</si>
  <si>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</si>
  <si>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</si>
  <si>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</si>
  <si>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</si>
  <si>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</si>
  <si>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</si>
  <si>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</si>
  <si>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</si>
  <si>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</si>
  <si>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</si>
  <si>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</si>
  <si>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</si>
  <si>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</si>
  <si>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</si>
  <si>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</si>
  <si>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</si>
  <si>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</si>
  <si>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MTP</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</si>
  <si>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</si>
  <si>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</si>
  <si>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</si>
  <si>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</si>
  <si>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</si>
  <si>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</si>
  <si>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</si>
  <si>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</si>
  <si>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</si>
  <si>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</si>
  <si>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</si>
  <si>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</si>
  <si>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</si>
  <si>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</si>
  <si>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</si>
  <si>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</si>
  <si>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</si>
  <si>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</si>
  <si>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</si>
  <si>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</si>
  <si>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</si>
  <si>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</si>
  <si>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</si>
  <si>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</si>
  <si>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</si>
  <si>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</si>
  <si>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</si>
  <si>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</si>
  <si>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</si>
  <si>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</si>
  <si>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</si>
  <si>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</si>
  <si>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</si>
  <si>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</si>
  <si>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</si>
  <si>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</si>
  <si>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</si>
  <si>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</si>
  <si>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</si>
  <si>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</si>
  <si>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</si>
  <si>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</si>
  <si>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</si>
  <si>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</si>
  <si>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</si>
  <si>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</si>
  <si>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</si>
  <si>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</si>
  <si>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</si>
  <si>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</si>
  <si>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</si>
  <si>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</si>
  <si>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</si>
  <si>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</si>
  <si>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</si>
  <si>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</si>
  <si>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</si>
  <si>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</si>
  <si>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</si>
  <si>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</si>
  <si>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</si>
  <si>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</si>
  <si>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</si>
  <si>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</si>
  <si>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</si>
  <si>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</si>
  <si>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</si>
  <si>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</si>
  <si>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</si>
  <si>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</si>
  <si>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</si>
  <si>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</si>
  <si>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</si>
  <si>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</si>
  <si>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</si>
  <si>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</si>
  <si>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</si>
  <si>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</si>
  <si>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</si>
  <si>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Cap on deviation from max growth rates of net expenditure, if applicable (% of GDP)</t>
  </si>
  <si>
    <t>ASSESSING THE IMPLEMENTATION OF A MEDIUM-TERM FISCAL-STRUCTURAL PLAN</t>
  </si>
  <si>
    <t>STEP 1: CONFIGURE USER PARAMETERS (Step 1 - Set global parameters)</t>
  </si>
  <si>
    <t>• Select your country (B2), IFI name (B3).</t>
  </si>
  <si>
    <t>STEP 2: UPDATE OUTTURN DATA (Step 2 - Update outturn data)</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</si>
  <si>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</si>
  <si>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</si>
  <si>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</si>
  <si>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</si>
  <si>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</si>
  <si>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</si>
  <si>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</si>
  <si>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</si>
  <si>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</si>
  <si>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</si>
  <si>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</si>
  <si>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</si>
  <si>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</si>
  <si>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</si>
  <si>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</si>
  <si>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</si>
  <si>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</si>
  <si>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</si>
  <si>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</si>
  <si>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</si>
  <si>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</si>
  <si>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</si>
  <si>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</si>
  <si>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</si>
  <si>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 xml:space="preserve">                         → Click "Enable Content" when opening the workbook</t>
  </si>
  <si>
    <t xml:space="preserve">                         → Add the folder to Trusted Locations</t>
  </si>
  <si>
    <t xml:space="preserve">Last updated (Eurostat): </t>
  </si>
  <si>
    <t>Assessment outlook</t>
  </si>
  <si>
    <t>Enter implementation report or outlook (APR, DBP, risk scenario, etc.) to be assessed</t>
  </si>
  <si>
    <t>Receives reference trajectory</t>
  </si>
  <si>
    <t>1.1.1</t>
  </si>
  <si>
    <t>STEP 3: CONFIGURE MTP PARAMETERS (Step 3 (MTP) - Plan and prior)</t>
  </si>
  <si>
    <t>STEP 4: COMPLETE IFI SCRUTINY (Step 4 (MTP) - IFI scrutiny)</t>
  </si>
  <si>
    <t>STEP 5: VIEW RESULTS (Step 5 (MTP) - View results)</t>
  </si>
  <si>
    <t>STEP 3: Enter scenario or plan to assess (Step 3 (IMPL) - Enter plan)</t>
  </si>
  <si>
    <t>STEP 4: VIEW RESULTS (Step 4 (IMPL) - View results)</t>
  </si>
  <si>
    <t>FISCO v1.1.1 | May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</si>
</sst>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6" x14ac:knownFonts="1">
    <font>
      <sz val="10"/>
      <color theme="1"/>
      <name val="Aptos Narrow"/>
      <family val="2"/>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b/>
      <sz val="20"/>
      <color theme="8" tint="-0.499984740745262"/>
      <name val="Aptos Narrow"/>
      <family val="2"/>
    </font>
    <font>
      <b/>
      <sz val="11"/>
      <color theme="1"/>
      <name val="Aptos Narrow"/>
      <family val="2"/>
    </font>
    <font>
      <b/>
      <sz val="20"/>
      <color theme="4" tint="-0.499984740745262"/>
      <name val="Aptos Narrow"/>
      <family val="2"/>
    </font>
    <font>
      <sz val="16"/>
      <color theme="1"/>
      <name val="Aptos Narrow"/>
      <family val="2"/>
    </font>
    <font>
      <sz val="12"/>
      <color theme="1"/>
      <name val="Aptos Narrow"/>
      <family val="2"/>
    </font>
    <font>
      <b/>
      <sz val="24"/>
      <color theme="8" tint="-0.499984740745262"/>
      <name val="Aptos Narrow"/>
      <family val="2"/>
    </font>
    <font>
      <u/>
      <sz val="11"/>
      <color theme="1"/>
      <name val="Aptos Narrow"/>
      <family val="2"/>
    </font>
    <font>
      <b/>
      <sz val="16"/>
      <color theme="8" tint="-0.499984740745262"/>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b/>
      <sz val="24"/>
      <name val="Aptos Narrow"/>
      <family val="2"/>
    </font>
    <font>
      <sz val="18"/>
      <color theme="8" tint="-0.499984740745262"/>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b/>
      <sz val="22"/>
      <color theme="8" tint="-0.499984740745262"/>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s>
  <fills count="12">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3" tint="0.249977111117893"/>
        <bgColor indexed="64"/>
      </patternFill>
    </fill>
    <fill>
      <patternFill patternType="solid">
        <fgColor theme="3" tint="0.749992370372631"/>
        <bgColor indexed="64"/>
      </patternFill>
    </fill>
    <fill>
      <patternFill patternType="solid">
        <fgColor theme="0" tint="-0.14999847407452621"/>
        <bgColor indexed="64"/>
      </patternFill>
    </fill>
    <fill>
      <patternFill patternType="solid">
        <fgColor theme="9" tint="0.79998168889431442"/>
        <bgColor indexed="64"/>
      </patternFill>
    </fill>
  </fills>
  <borders count="12">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6" tint="0.59996337778862885"/>
      </left>
      <right style="thin">
        <color theme="6" tint="0.59996337778862885"/>
      </right>
      <top style="thin">
        <color theme="6" tint="0.59996337778862885"/>
      </top>
      <bottom style="thin">
        <color theme="6" tint="0.59996337778862885"/>
      </bottom>
      <diagonal/>
    </border>
  </borders>
  <cellStyleXfs count="17">
    <xf numFmtId="0" fontId="0" fillId="0" borderId="0"/>
    <xf numFmtId="0" fontId="12" fillId="5" borderId="0" applyNumberFormat="0" applyBorder="0" applyAlignment="0" applyProtection="0"/>
    <xf numFmtId="9" fontId="3" fillId="0" borderId="0" applyFont="0" applyFill="0" applyBorder="0" applyAlignment="0" applyProtection="0"/>
    <xf numFmtId="0" fontId="2" fillId="2" borderId="0" applyNumberFormat="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44" fillId="0" borderId="0" applyNumberFormat="0" applyAlignment="0" applyProtection="0"/>
    <xf numFmtId="0" fontId="10" fillId="6" borderId="0" applyNumberFormat="0" applyBorder="0" applyAlignment="0" applyProtection="0"/>
    <xf numFmtId="0" fontId="47" fillId="0" borderId="0" applyNumberFormat="0" applyFill="0" applyAlignment="0" applyProtection="0"/>
    <xf numFmtId="0" fontId="39" fillId="0" borderId="0" applyNumberFormat="0" applyFill="0" applyBorder="0" applyAlignment="0" applyProtection="0"/>
    <xf numFmtId="0" fontId="43" fillId="0" borderId="0" applyNumberFormat="0" applyFill="0" applyBorder="0" applyAlignment="0" applyProtection="0"/>
    <xf numFmtId="0" fontId="45"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46" fillId="0" borderId="0" applyNumberFormat="0" applyFill="0" applyBorder="0" applyAlignment="0" applyProtection="0"/>
    <xf numFmtId="0" fontId="51" fillId="0" borderId="0"/>
    <xf numFmtId="0" fontId="1" fillId="7" borderId="0" applyNumberFormat="0" applyBorder="0" applyAlignment="0" applyProtection="0"/>
  </cellStyleXfs>
  <cellXfs count="258">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6" fillId="4" borderId="2" xfId="5" applyFont="1" applyFill="1" applyBorder="1" applyAlignment="1">
      <alignment horizontal="center" vertical="center"/>
    </xf>
    <xf numFmtId="0" fontId="8" fillId="0" borderId="0" xfId="0" applyFont="1"/>
    <xf numFmtId="0" fontId="7" fillId="0" borderId="0" xfId="0" applyFont="1"/>
    <xf numFmtId="0" fontId="0" fillId="0" borderId="0" xfId="0" applyAlignment="1">
      <alignment horizontal="left" indent="2"/>
    </xf>
    <xf numFmtId="0" fontId="44"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6" fillId="0" borderId="0" xfId="0" applyFont="1" applyAlignment="1">
      <alignment horizontal="centerContinuous"/>
    </xf>
    <xf numFmtId="0" fontId="19" fillId="3" borderId="0" xfId="0" applyFont="1" applyFill="1"/>
    <xf numFmtId="0" fontId="15" fillId="0" borderId="0" xfId="0" applyFont="1"/>
    <xf numFmtId="0" fontId="19" fillId="0" borderId="0" xfId="0" applyFont="1"/>
    <xf numFmtId="0" fontId="22" fillId="0" borderId="0" xfId="0" applyFont="1" applyAlignment="1">
      <alignment horizontal="left"/>
    </xf>
    <xf numFmtId="0" fontId="19" fillId="5" borderId="0" xfId="3" applyFont="1" applyFill="1" applyBorder="1" applyAlignment="1">
      <alignment horizontal="right"/>
    </xf>
    <xf numFmtId="0" fontId="19" fillId="0" borderId="0" xfId="3" applyFont="1" applyFill="1" applyBorder="1" applyAlignment="1"/>
    <xf numFmtId="0" fontId="19" fillId="0" borderId="0" xfId="3" applyFont="1" applyFill="1" applyBorder="1" applyAlignment="1">
      <alignment horizontal="right"/>
    </xf>
    <xf numFmtId="165" fontId="16" fillId="0" borderId="0" xfId="0" applyNumberFormat="1" applyFont="1"/>
    <xf numFmtId="164" fontId="16" fillId="0" borderId="0" xfId="0" applyNumberFormat="1" applyFont="1"/>
    <xf numFmtId="0" fontId="16" fillId="0" borderId="0" xfId="0" applyFont="1" applyAlignment="1">
      <alignment horizontal="left" indent="1"/>
    </xf>
    <xf numFmtId="3" fontId="16" fillId="0" borderId="0" xfId="0" applyNumberFormat="1" applyFont="1"/>
    <xf numFmtId="0" fontId="16" fillId="0" borderId="1" xfId="0" applyFont="1" applyBorder="1"/>
    <xf numFmtId="0" fontId="23" fillId="0" borderId="0" xfId="0" applyFont="1"/>
    <xf numFmtId="0" fontId="24" fillId="0" borderId="0" xfId="0" applyFont="1" applyAlignment="1">
      <alignment horizontal="center" vertical="center"/>
    </xf>
    <xf numFmtId="2" fontId="16" fillId="0" borderId="0" xfId="2" applyNumberFormat="1" applyFont="1" applyBorder="1"/>
    <xf numFmtId="3" fontId="16" fillId="0" borderId="0" xfId="4" applyNumberFormat="1" applyFont="1" applyBorder="1"/>
    <xf numFmtId="2" fontId="16" fillId="0" borderId="0" xfId="2" applyNumberFormat="1" applyFont="1" applyFill="1" applyBorder="1"/>
    <xf numFmtId="0" fontId="21" fillId="0" borderId="0" xfId="0" applyFont="1"/>
    <xf numFmtId="0" fontId="26" fillId="0" borderId="0" xfId="0" applyFont="1"/>
    <xf numFmtId="0" fontId="16"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5" fillId="0" borderId="0" xfId="5"/>
    <xf numFmtId="0" fontId="11" fillId="0" borderId="0" xfId="0" applyFont="1"/>
    <xf numFmtId="0" fontId="30" fillId="0" borderId="0" xfId="0" applyFont="1"/>
    <xf numFmtId="0" fontId="31" fillId="0" borderId="4" xfId="3" applyFont="1" applyFill="1" applyBorder="1"/>
    <xf numFmtId="0" fontId="31" fillId="0" borderId="4" xfId="0" applyFont="1" applyBorder="1"/>
    <xf numFmtId="0" fontId="31" fillId="0" borderId="1" xfId="3" applyFont="1" applyFill="1" applyBorder="1" applyAlignment="1">
      <alignment horizontal="left"/>
    </xf>
    <xf numFmtId="0" fontId="31" fillId="0" borderId="1" xfId="0" applyFont="1" applyBorder="1"/>
    <xf numFmtId="0" fontId="31" fillId="0" borderId="1" xfId="0" applyFont="1" applyBorder="1" applyAlignment="1">
      <alignment horizontal="right"/>
    </xf>
    <xf numFmtId="0" fontId="31" fillId="0" borderId="0" xfId="0" applyFont="1"/>
    <xf numFmtId="164" fontId="31" fillId="0" borderId="0" xfId="0" applyNumberFormat="1" applyFont="1" applyAlignment="1">
      <alignment horizontal="right"/>
    </xf>
    <xf numFmtId="0" fontId="31" fillId="0" borderId="0" xfId="0" applyFont="1" applyAlignment="1">
      <alignment horizontal="left" indent="1"/>
    </xf>
    <xf numFmtId="0" fontId="31" fillId="0" borderId="0" xfId="0" applyFont="1" applyAlignment="1">
      <alignment horizontal="right"/>
    </xf>
    <xf numFmtId="164" fontId="31" fillId="0" borderId="0" xfId="0" applyNumberFormat="1" applyFont="1"/>
    <xf numFmtId="3" fontId="31" fillId="0" borderId="0" xfId="0" applyNumberFormat="1" applyFont="1"/>
    <xf numFmtId="0" fontId="47"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9" fillId="0" borderId="0" xfId="9"/>
    <xf numFmtId="0" fontId="31" fillId="0" borderId="0" xfId="0" applyFont="1" applyAlignment="1">
      <alignment horizontal="left"/>
    </xf>
    <xf numFmtId="0" fontId="32" fillId="0" borderId="0" xfId="0" applyFont="1"/>
    <xf numFmtId="0" fontId="44" fillId="0" borderId="0" xfId="6" applyAlignment="1">
      <alignment vertical="center"/>
    </xf>
    <xf numFmtId="165" fontId="31" fillId="0" borderId="0" xfId="0" applyNumberFormat="1" applyFont="1"/>
    <xf numFmtId="0" fontId="25" fillId="0" borderId="0" xfId="0" applyFont="1"/>
    <xf numFmtId="164" fontId="25" fillId="0" borderId="0" xfId="0" applyNumberFormat="1" applyFont="1"/>
    <xf numFmtId="0" fontId="31" fillId="0" borderId="0" xfId="3" applyFont="1" applyFill="1" applyBorder="1" applyAlignment="1">
      <alignment horizontal="left"/>
    </xf>
    <xf numFmtId="0" fontId="31" fillId="0" borderId="0" xfId="3" applyFont="1" applyFill="1" applyBorder="1" applyAlignment="1">
      <alignment horizontal="right"/>
    </xf>
    <xf numFmtId="0" fontId="31" fillId="0" borderId="1" xfId="0" applyFont="1" applyBorder="1" applyAlignment="1">
      <alignment horizontal="left"/>
    </xf>
    <xf numFmtId="164" fontId="31"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31" fillId="0" borderId="0" xfId="0" applyNumberFormat="1" applyFont="1" applyAlignment="1">
      <alignment horizontal="right"/>
    </xf>
    <xf numFmtId="165" fontId="31" fillId="0" borderId="0" xfId="3" applyNumberFormat="1" applyFont="1" applyFill="1" applyBorder="1" applyAlignment="1">
      <alignment horizontal="right"/>
    </xf>
    <xf numFmtId="0" fontId="35"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36" fillId="0" borderId="5" xfId="0" applyFont="1" applyBorder="1" applyAlignment="1">
      <alignment horizontal="center"/>
    </xf>
    <xf numFmtId="0" fontId="36" fillId="0" borderId="0" xfId="0" applyFont="1" applyAlignment="1">
      <alignment horizontal="center"/>
    </xf>
    <xf numFmtId="0" fontId="11" fillId="0" borderId="0" xfId="0" applyFont="1" applyAlignment="1">
      <alignment horizontal="right"/>
    </xf>
    <xf numFmtId="0" fontId="43" fillId="0" borderId="0" xfId="10"/>
    <xf numFmtId="0" fontId="15" fillId="0" borderId="0" xfId="0" applyFont="1" applyAlignment="1">
      <alignment horizontal="left"/>
    </xf>
    <xf numFmtId="0" fontId="37" fillId="0" borderId="0" xfId="13"/>
    <xf numFmtId="0" fontId="45" fillId="0" borderId="0" xfId="11"/>
    <xf numFmtId="0" fontId="31" fillId="0" borderId="0" xfId="3" applyFont="1" applyFill="1" applyBorder="1" applyAlignment="1" applyProtection="1">
      <alignment horizontal="left"/>
    </xf>
    <xf numFmtId="0" fontId="38" fillId="0" borderId="0" xfId="0" applyFont="1"/>
    <xf numFmtId="0" fontId="31" fillId="0" borderId="0" xfId="0" applyFont="1" applyAlignment="1">
      <alignment horizontal="left" indent="2"/>
    </xf>
    <xf numFmtId="0" fontId="31" fillId="0" borderId="1" xfId="0" applyFont="1" applyBorder="1" applyAlignment="1">
      <alignment horizontal="left" indent="2"/>
    </xf>
    <xf numFmtId="165" fontId="31"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165" fontId="16" fillId="0" borderId="0" xfId="0" applyNumberFormat="1" applyFont="1" applyAlignment="1">
      <alignment horizontal="right"/>
    </xf>
    <xf numFmtId="0" fontId="31"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31" fillId="0" borderId="0" xfId="2" applyNumberFormat="1" applyFont="1" applyAlignment="1">
      <alignment horizontal="right"/>
    </xf>
    <xf numFmtId="0" fontId="15" fillId="0" borderId="0" xfId="1" applyFont="1" applyFill="1" applyBorder="1" applyAlignment="1">
      <alignment horizontal="left"/>
    </xf>
    <xf numFmtId="0" fontId="15" fillId="0" borderId="0" xfId="3" applyFont="1" applyFill="1" applyBorder="1" applyAlignment="1">
      <alignment horizontal="right"/>
    </xf>
    <xf numFmtId="0" fontId="11" fillId="0" borderId="0" xfId="0" applyFont="1" applyAlignment="1">
      <alignment horizontal="left" indent="1"/>
    </xf>
    <xf numFmtId="0" fontId="43" fillId="0" borderId="0" xfId="10" applyAlignment="1">
      <alignment vertical="center"/>
    </xf>
    <xf numFmtId="3" fontId="31"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32" fillId="0" borderId="0" xfId="0" applyFont="1" applyAlignment="1">
      <alignment horizontal="left" indent="1"/>
    </xf>
    <xf numFmtId="0" fontId="44" fillId="0" borderId="3" xfId="6" applyBorder="1"/>
    <xf numFmtId="0" fontId="11" fillId="0" borderId="3" xfId="0" applyFont="1" applyBorder="1"/>
    <xf numFmtId="0" fontId="46" fillId="0" borderId="0" xfId="14"/>
    <xf numFmtId="164" fontId="0" fillId="0" borderId="0" xfId="0" applyNumberFormat="1" applyAlignment="1">
      <alignment horizontal="right" wrapText="1"/>
    </xf>
    <xf numFmtId="165" fontId="31"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40" fillId="3" borderId="0" xfId="0" applyFont="1" applyFill="1"/>
    <xf numFmtId="0" fontId="40" fillId="3" borderId="0" xfId="0" applyFont="1" applyFill="1" applyAlignment="1">
      <alignment horizontal="right"/>
    </xf>
    <xf numFmtId="0" fontId="17" fillId="3" borderId="0" xfId="0" applyFont="1" applyFill="1" applyAlignment="1">
      <alignment horizontal="centerContinuous" vertical="center"/>
    </xf>
    <xf numFmtId="0" fontId="41" fillId="0" borderId="3" xfId="0" applyFont="1" applyBorder="1"/>
    <xf numFmtId="0" fontId="41" fillId="0" borderId="3" xfId="0" applyFont="1" applyBorder="1" applyAlignment="1">
      <alignment horizontal="left"/>
    </xf>
    <xf numFmtId="0" fontId="10" fillId="0" borderId="3" xfId="0" applyFont="1" applyBorder="1"/>
    <xf numFmtId="0" fontId="0" fillId="0" borderId="0" xfId="0" applyAlignment="1">
      <alignment wrapText="1"/>
    </xf>
    <xf numFmtId="164" fontId="10" fillId="0" borderId="0" xfId="0" applyNumberFormat="1" applyFont="1"/>
    <xf numFmtId="0" fontId="44"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32" fillId="0" borderId="0" xfId="0" applyFont="1" applyAlignment="1">
      <alignment horizontal="left"/>
    </xf>
    <xf numFmtId="165" fontId="15" fillId="0" borderId="0" xfId="0" applyNumberFormat="1" applyFont="1"/>
    <xf numFmtId="0" fontId="0" fillId="0" borderId="0" xfId="0" applyAlignment="1">
      <alignment horizontal="right" wrapText="1"/>
    </xf>
    <xf numFmtId="0" fontId="48" fillId="0" borderId="0" xfId="0" applyFont="1"/>
    <xf numFmtId="0" fontId="10" fillId="0" borderId="0" xfId="0" applyFont="1" applyAlignment="1">
      <alignment horizontal="center"/>
    </xf>
    <xf numFmtId="164" fontId="0" fillId="0" borderId="0" xfId="0" applyNumberFormat="1" applyAlignment="1">
      <alignment horizontal="left" indent="1"/>
    </xf>
    <xf numFmtId="164" fontId="32" fillId="0" borderId="0" xfId="0" applyNumberFormat="1" applyFont="1" applyAlignment="1">
      <alignment horizontal="left" indent="1"/>
    </xf>
    <xf numFmtId="0" fontId="46" fillId="0" borderId="0" xfId="14" applyAlignment="1">
      <alignment vertical="center"/>
    </xf>
    <xf numFmtId="0" fontId="47" fillId="0" borderId="0" xfId="8" applyFill="1"/>
    <xf numFmtId="0" fontId="46" fillId="0" borderId="0" xfId="14" applyFill="1"/>
    <xf numFmtId="164" fontId="10" fillId="0" borderId="0" xfId="0" applyNumberFormat="1" applyFont="1" applyAlignment="1">
      <alignment horizontal="left" wrapText="1" indent="1"/>
    </xf>
    <xf numFmtId="0" fontId="0" fillId="0" borderId="0" xfId="0" applyAlignment="1">
      <alignment horizontal="left" wrapText="1" indent="1"/>
    </xf>
    <xf numFmtId="0" fontId="45" fillId="0" borderId="0" xfId="11" applyFill="1"/>
    <xf numFmtId="0" fontId="0" fillId="0" borderId="0" xfId="0" applyAlignment="1">
      <alignment vertical="center"/>
    </xf>
    <xf numFmtId="165" fontId="33" fillId="0" borderId="0" xfId="0" applyNumberFormat="1" applyFont="1" applyAlignment="1">
      <alignment vertical="center"/>
    </xf>
    <xf numFmtId="0" fontId="46" fillId="0" borderId="0" xfId="14" applyAlignment="1">
      <alignment horizontal="left" indent="1"/>
    </xf>
    <xf numFmtId="0" fontId="34" fillId="0" borderId="0" xfId="0" applyFont="1" applyAlignment="1">
      <alignment horizontal="left" indent="3"/>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31" fillId="0" borderId="0" xfId="4" applyNumberFormat="1" applyFont="1" applyFill="1" applyBorder="1" applyAlignment="1"/>
    <xf numFmtId="165" fontId="31" fillId="0" borderId="0" xfId="4" applyNumberFormat="1" applyFont="1" applyFill="1" applyBorder="1" applyAlignment="1" applyProtection="1"/>
    <xf numFmtId="165" fontId="31"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164" fontId="15" fillId="0" borderId="0" xfId="0" applyNumberFormat="1" applyFont="1"/>
    <xf numFmtId="3" fontId="50" fillId="0" borderId="0" xfId="15" applyNumberFormat="1" applyFont="1" applyAlignment="1">
      <alignment horizontal="right" vertical="center" shrinkToFit="1"/>
    </xf>
    <xf numFmtId="3" fontId="31" fillId="0" borderId="1" xfId="6" applyNumberFormat="1" applyFont="1" applyBorder="1"/>
    <xf numFmtId="165" fontId="31" fillId="0" borderId="0" xfId="2" applyNumberFormat="1" applyFont="1" applyBorder="1" applyAlignment="1">
      <alignment horizontal="right"/>
    </xf>
    <xf numFmtId="166" fontId="45" fillId="0" borderId="0" xfId="11" applyNumberFormat="1" applyAlignment="1">
      <alignment horizontal="left"/>
    </xf>
    <xf numFmtId="0" fontId="52" fillId="0" borderId="0" xfId="0" applyFont="1"/>
    <xf numFmtId="0" fontId="52" fillId="0" borderId="0" xfId="0" applyFont="1" applyAlignment="1">
      <alignment horizontal="left"/>
    </xf>
    <xf numFmtId="0" fontId="30" fillId="0" borderId="0" xfId="0" applyFont="1" applyAlignment="1">
      <alignment horizontal="left" vertical="center" indent="2"/>
    </xf>
    <xf numFmtId="0" fontId="54" fillId="0" borderId="0" xfId="0" applyFont="1" applyAlignment="1">
      <alignment horizontal="left" vertical="center" indent="2"/>
    </xf>
    <xf numFmtId="0" fontId="42"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55" fillId="0" borderId="0" xfId="0" applyFont="1"/>
    <xf numFmtId="0" fontId="55" fillId="0" borderId="0" xfId="0" applyFont="1" applyAlignment="1">
      <alignment vertical="top"/>
    </xf>
    <xf numFmtId="0" fontId="5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5" fontId="11" fillId="0" borderId="0" xfId="0" applyNumberFormat="1" applyFont="1" applyAlignment="1">
      <alignment horizontal="right"/>
    </xf>
    <xf numFmtId="165" fontId="11" fillId="0" borderId="0" xfId="0" applyNumberFormat="1" applyFont="1" applyAlignment="1">
      <alignment wrapText="1"/>
    </xf>
    <xf numFmtId="166" fontId="55" fillId="0" borderId="0" xfId="0" applyNumberFormat="1" applyFont="1" applyAlignment="1">
      <alignment horizontal="right" vertical="top"/>
    </xf>
    <xf numFmtId="165" fontId="11" fillId="0" borderId="0" xfId="3" applyNumberFormat="1" applyFont="1" applyFill="1" applyBorder="1" applyAlignment="1">
      <alignment horizontal="right"/>
    </xf>
    <xf numFmtId="3" fontId="11" fillId="0" borderId="0" xfId="4" applyNumberFormat="1" applyFont="1" applyFill="1" applyBorder="1" applyAlignment="1">
      <alignment horizontal="right"/>
    </xf>
    <xf numFmtId="0" fontId="0" fillId="0" borderId="8" xfId="0" applyBorder="1" applyAlignment="1">
      <alignment vertical="top"/>
    </xf>
    <xf numFmtId="0" fontId="30" fillId="0" borderId="0" xfId="0" applyFont="1" applyAlignment="1">
      <alignment vertical="top"/>
    </xf>
    <xf numFmtId="0" fontId="31"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46" fillId="0" borderId="0" xfId="14" applyAlignment="1">
      <alignment horizontal="left" vertical="top" indent="1"/>
    </xf>
    <xf numFmtId="0" fontId="46" fillId="0" borderId="0" xfId="14" applyAlignment="1">
      <alignment horizontal="left" wrapText="1" indent="1"/>
    </xf>
    <xf numFmtId="0" fontId="20" fillId="0" borderId="0" xfId="0" applyFont="1" applyAlignment="1">
      <alignment horizontal="right"/>
    </xf>
    <xf numFmtId="0" fontId="34" fillId="0" borderId="0" xfId="0" applyFont="1" applyAlignment="1">
      <alignment horizontal="left"/>
    </xf>
    <xf numFmtId="164" fontId="49" fillId="0" borderId="0" xfId="0" applyNumberFormat="1" applyFont="1" applyAlignment="1">
      <alignment horizontal="right"/>
    </xf>
    <xf numFmtId="0" fontId="11" fillId="0" borderId="0" xfId="3" applyFont="1" applyFill="1" applyBorder="1" applyAlignment="1">
      <alignment horizontal="right"/>
    </xf>
    <xf numFmtId="0" fontId="31" fillId="0" borderId="0" xfId="3" applyFont="1" applyFill="1" applyBorder="1" applyAlignment="1">
      <alignment horizontal="left" indent="1"/>
    </xf>
    <xf numFmtId="0" fontId="31" fillId="0" borderId="1" xfId="0" applyFont="1" applyBorder="1" applyAlignment="1">
      <alignment horizontal="left" indent="1"/>
    </xf>
    <xf numFmtId="0" fontId="12" fillId="8" borderId="9" xfId="1" applyFill="1" applyBorder="1" applyAlignment="1">
      <alignment horizontal="right"/>
    </xf>
    <xf numFmtId="0" fontId="12" fillId="8" borderId="0" xfId="1" applyFill="1" applyBorder="1"/>
    <xf numFmtId="0" fontId="12" fillId="8" borderId="0" xfId="1" applyFill="1" applyBorder="1" applyAlignment="1">
      <alignment horizontal="right"/>
    </xf>
    <xf numFmtId="164" fontId="0" fillId="9" borderId="0" xfId="0" applyNumberFormat="1" applyFill="1"/>
    <xf numFmtId="0" fontId="0" fillId="9" borderId="0" xfId="0" applyFill="1"/>
    <xf numFmtId="0" fontId="10" fillId="9" borderId="0" xfId="7" applyFill="1" applyBorder="1"/>
    <xf numFmtId="0" fontId="1" fillId="10" borderId="0" xfId="16" applyFill="1" applyBorder="1"/>
    <xf numFmtId="0" fontId="10" fillId="9" borderId="0" xfId="7" applyFill="1" applyBorder="1" applyAlignment="1">
      <alignment horizontal="left" indent="2"/>
    </xf>
    <xf numFmtId="0" fontId="10" fillId="9" borderId="0" xfId="7" applyFill="1" applyBorder="1" applyAlignment="1">
      <alignment horizontal="left" indent="4"/>
    </xf>
    <xf numFmtId="0" fontId="10" fillId="9" borderId="10" xfId="7" applyFill="1" applyBorder="1"/>
    <xf numFmtId="0" fontId="0" fillId="10" borderId="0" xfId="0" applyFill="1"/>
    <xf numFmtId="0" fontId="10" fillId="9" borderId="0" xfId="7" applyFill="1" applyBorder="1" applyAlignment="1">
      <alignment horizontal="left" indent="1"/>
    </xf>
    <xf numFmtId="0" fontId="0" fillId="0" borderId="8" xfId="0" applyBorder="1" applyAlignment="1">
      <alignment horizontal="right"/>
    </xf>
    <xf numFmtId="164" fontId="12" fillId="8" borderId="0" xfId="1" applyNumberFormat="1" applyFill="1" applyBorder="1"/>
    <xf numFmtId="164" fontId="1" fillId="10" borderId="0" xfId="16" applyNumberFormat="1" applyFill="1" applyBorder="1"/>
    <xf numFmtId="164" fontId="10" fillId="9" borderId="0" xfId="7" applyNumberFormat="1" applyFill="1" applyBorder="1"/>
    <xf numFmtId="164" fontId="1" fillId="10" borderId="10" xfId="16" applyNumberFormat="1" applyFill="1" applyBorder="1"/>
    <xf numFmtId="0" fontId="12" fillId="8" borderId="0" xfId="1" applyFill="1" applyAlignment="1">
      <alignment horizontal="right"/>
    </xf>
    <xf numFmtId="164" fontId="12" fillId="8" borderId="0" xfId="1" applyNumberFormat="1" applyFill="1" applyBorder="1" applyAlignment="1">
      <alignment horizontal="right"/>
    </xf>
    <xf numFmtId="164" fontId="0" fillId="10" borderId="0" xfId="0" applyNumberFormat="1" applyFill="1"/>
    <xf numFmtId="165" fontId="31" fillId="0" borderId="0" xfId="4" applyNumberFormat="1" applyFont="1" applyFill="1" applyBorder="1" applyAlignment="1">
      <alignment horizontal="right"/>
    </xf>
    <xf numFmtId="165" fontId="31" fillId="0" borderId="0" xfId="4" applyNumberFormat="1" applyFont="1" applyFill="1" applyBorder="1" applyAlignment="1" applyProtection="1">
      <alignment horizontal="right"/>
    </xf>
    <xf numFmtId="165" fontId="31"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167" fontId="52" fillId="0" borderId="0" xfId="0" applyNumberFormat="1" applyFont="1" applyAlignment="1">
      <alignment horizontal="left"/>
    </xf>
    <xf numFmtId="0" fontId="11" fillId="0" borderId="2" xfId="0" applyFont="1" applyBorder="1" applyAlignment="1">
      <alignment vertical="top"/>
    </xf>
    <xf numFmtId="0" fontId="11" fillId="0" borderId="2" xfId="0" applyFont="1" applyBorder="1" applyAlignment="1">
      <alignment horizontal="right" vertical="top"/>
    </xf>
    <xf numFmtId="166" fontId="0" fillId="0" borderId="2" xfId="0" applyNumberFormat="1" applyBorder="1"/>
    <xf numFmtId="0" fontId="0" fillId="11" borderId="11" xfId="0" applyFill="1" applyBorder="1"/>
    <xf numFmtId="0" fontId="0" fillId="0" borderId="0" xfId="0" applyAlignment="1">
      <alignment horizontal="center" vertical="center"/>
    </xf>
    <xf numFmtId="165" fontId="33" fillId="0" borderId="0" xfId="0" applyNumberFormat="1" applyFont="1"/>
    <xf numFmtId="0" fontId="0" fillId="0" borderId="0" xfId="0"/>
    <xf numFmtId="164" fontId="49" fillId="0" borderId="0" xfId="0" applyNumberFormat="1" applyFont="1" applyAlignment="1">
      <alignment horizontal="right"/>
    </xf>
    <xf numFmtId="0" fontId="0" fillId="0" borderId="0" xfId="0" applyAlignment="1">
      <alignment horizontal="right"/>
    </xf>
    <xf numFmtId="0" fontId="24" fillId="0" borderId="0" xfId="0" applyFont="1" applyAlignment="1">
      <alignment horizontal="center" vertical="center"/>
    </xf>
    <xf numFmtId="165" fontId="33" fillId="0" borderId="0" xfId="0" applyNumberFormat="1" applyFont="1" applyAlignment="1">
      <alignment vertical="center"/>
    </xf>
    <xf numFmtId="0" fontId="0" fillId="0" borderId="0" xfId="0" applyAlignment="1">
      <alignment vertical="center"/>
    </xf>
    <xf numFmtId="0" fontId="49" fillId="0" borderId="0" xfId="0" applyFont="1" applyAlignment="1">
      <alignment horizontal="right" vertical="center"/>
    </xf>
    <xf numFmtId="0" fontId="0" fillId="0" borderId="0" xfId="0" applyAlignment="1">
      <alignment horizontal="right" vertical="center"/>
    </xf>
    <xf numFmtId="0" fontId="44" fillId="0" borderId="0" xfId="6" applyAlignment="1">
      <alignment horizontal="center"/>
    </xf>
    <xf numFmtId="0" fontId="0" fillId="0" borderId="0" xfId="0" applyAlignment="1">
      <alignment horizontal="center"/>
    </xf>
    <xf numFmtId="0" fontId="31" fillId="0" borderId="0" xfId="0" applyFont="1" applyAlignment="1">
      <alignment horizontal="left" wrapText="1"/>
    </xf>
    <xf numFmtId="0" fontId="0" fillId="0" borderId="0" xfId="0" applyAlignment="1">
      <alignment wrapText="1"/>
    </xf>
    <xf numFmtId="0" fontId="34" fillId="0" borderId="0" xfId="0" applyFont="1" applyAlignment="1">
      <alignment horizontal="right"/>
    </xf>
  </cellXfs>
  <cellStyles count="17">
    <cellStyle name="20% - Accent1" xfId="7" builtinId="30" customBuiltin="1"/>
    <cellStyle name="20% - Accent3" xfId="16" builtinId="38"/>
    <cellStyle name="Accent1" xfId="1" builtinId="29" customBuiltin="1"/>
    <cellStyle name="Accent5" xfId="3" builtinId="45"/>
    <cellStyle name="Comma" xfId="4" builtinId="3"/>
    <cellStyle name="Explanatory Text" xfId="14"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5" xr:uid="{B1C55207-B713-483F-A199-D6B53B263BF0}"/>
    <cellStyle name="Per cent" xfId="2" builtinId="5"/>
    <cellStyle name="Title" xfId="10" builtinId="15" customBuiltin="1"/>
    <cellStyle name="Warning Text" xfId="12" builtinId="11" hidden="1"/>
    <cellStyle name="Warning Text" xfId="13" builtinId="11"/>
  </cellStyles>
  <dxfs count="155">
    <dxf>
      <font>
        <color theme="0"/>
      </font>
    </dxf>
    <dxf>
      <font>
        <color theme="0"/>
      </font>
    </dxf>
    <dxf>
      <font>
        <color theme="0"/>
      </font>
    </dxf>
    <dxf>
      <border>
        <top style="thin">
          <color auto="1"/>
        </top>
        <bottom style="thin">
          <color auto="1"/>
        </bottom>
        <vertical/>
        <horizontal/>
      </border>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font>
        <color theme="0"/>
      </font>
    </dxf>
    <dxf>
      <border>
        <bottom style="thin">
          <color auto="1"/>
        </bottom>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rgb="FF007635"/>
      </font>
      <fill>
        <patternFill patternType="none">
          <bgColor auto="1"/>
        </patternFill>
      </fill>
    </dxf>
    <dxf>
      <font>
        <color rgb="FFC00000"/>
      </font>
    </dxf>
    <dxf>
      <font>
        <color theme="7" tint="-0.24994659260841701"/>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ill>
        <patternFill>
          <bgColor theme="9" tint="0.79998168889431442"/>
        </patternFill>
      </fill>
      <border>
        <left style="thin">
          <color theme="6" tint="0.59996337778862885"/>
        </left>
        <right style="thin">
          <color theme="6" tint="0.59996337778862885"/>
        </right>
        <top style="thin">
          <color theme="6" tint="0.59996337778862885"/>
        </top>
        <bottom style="thin">
          <color auto="1"/>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font>
        <color theme="7" tint="-0.24994659260841701"/>
      </font>
    </dxf>
    <dxf>
      <font>
        <color rgb="FF007635"/>
      </font>
    </dxf>
    <dxf>
      <font>
        <strike val="0"/>
        <color rgb="FF007635"/>
      </font>
    </dxf>
    <dxf>
      <font>
        <strike val="0"/>
        <color rgb="FF007635"/>
      </font>
    </dxf>
    <dxf>
      <font>
        <color rgb="FFC00000"/>
      </font>
    </dxf>
    <dxf>
      <font>
        <color rgb="FF00B050"/>
      </font>
    </dxf>
    <dxf>
      <border>
        <bottom style="thin">
          <color auto="1"/>
        </bottom>
        <vertical/>
        <horizontal/>
      </border>
    </dxf>
    <dxf>
      <font>
        <color rgb="FFC00000"/>
      </font>
    </dxf>
    <dxf>
      <font>
        <color rgb="FF00B050"/>
      </font>
    </dxf>
    <dxf>
      <border>
        <bottom style="thin">
          <color auto="1"/>
        </bottom>
        <vertical/>
        <horizontal/>
      </border>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B050"/>
      </font>
    </dxf>
    <dxf>
      <font>
        <color rgb="FFC00000"/>
      </font>
    </dxf>
    <dxf>
      <border>
        <bottom style="thin">
          <color auto="1"/>
        </bottom>
        <vertical/>
        <horizontal/>
      </border>
    </dxf>
    <dxf>
      <font>
        <color rgb="FFC00000"/>
      </font>
    </dxf>
    <dxf>
      <font>
        <color rgb="FF00B050"/>
      </font>
    </dxf>
    <dxf>
      <font>
        <color theme="0"/>
      </font>
      <fill>
        <patternFill>
          <bgColor theme="8" tint="-0.499984740745262"/>
        </patternFill>
      </fill>
    </dxf>
    <dxf>
      <border>
        <bottom/>
        <vertical/>
        <horizontal/>
      </border>
    </dxf>
    <dxf>
      <font>
        <color theme="0"/>
      </font>
      <fill>
        <patternFill>
          <bgColor theme="8" tint="-0.499984740745262"/>
        </patternFill>
      </fill>
    </dxf>
    <dxf>
      <font>
        <color rgb="FF007635"/>
      </font>
    </dxf>
    <dxf>
      <font>
        <color rgb="FFC00000"/>
      </font>
    </dxf>
    <dxf>
      <font>
        <color rgb="FF007635"/>
      </font>
    </dxf>
    <dxf>
      <font>
        <color rgb="FFC00000"/>
      </font>
    </dxf>
    <dxf>
      <font>
        <color rgb="FF007635"/>
      </font>
    </dxf>
    <dxf>
      <font>
        <color rgb="FFC00000"/>
      </font>
    </dxf>
    <dxf>
      <font>
        <color rgb="FF007635"/>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007635"/>
      <color rgb="FF0033CC"/>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openxmlformats.org/officeDocument/2006/relationships/chartUserShapes" Target="../drawings/drawing11.xml"/><Relationship Id="rId1" Type="http://schemas.openxmlformats.org/officeDocument/2006/relationships/themeOverride" Target="../theme/themeOverride1.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r>
              <a:rPr lang="en-GB" sz="1400"/>
              <a:t>Financial stress scenario</a:t>
            </a: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endParaRPr lang="en-US"/>
        </a:p>
      </c:txPr>
    </c:title>
    <c:autoTitleDeleted val="0"/>
    <c:plotArea>
      <c:layout/>
      <c:lineChart>
        <c:grouping val="standard"/>
        <c:varyColors val="0"/>
        <c:ser>
          <c:idx val="0"/>
          <c:order val="0"/>
          <c:tx>
            <c:strRef>
              <c:f>'Chart data'!$C$96:$D$96</c:f>
              <c:strCache>
                <c:ptCount val="2"/>
                <c:pt idx="0">
                  <c:v>Gross debt under planned fiscal path</c:v>
                </c:pt>
              </c:strCache>
            </c:strRef>
          </c:tx>
          <c:spPr>
            <a:ln w="28575" cap="rnd">
              <a:solidFill>
                <a:schemeClr val="accent5">
                  <a:lumMod val="20000"/>
                  <a:lumOff val="80000"/>
                </a:schemeClr>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43.6</c:v>
                </c:pt>
                <c:pt idx="1">
                  <c:v>45.8</c:v>
                </c:pt>
                <c:pt idx="2">
                  <c:v>47.5</c:v>
                </c:pt>
                <c:pt idx="3">
                  <c:v>48.5</c:v>
                </c:pt>
                <c:pt idx="4">
                  <c:v>49.7</c:v>
                </c:pt>
                <c:pt idx="5">
                  <c:v>50.8</c:v>
                </c:pt>
                <c:pt idx="6">
                  <c:v>51.9</c:v>
                </c:pt>
                <c:pt idx="7">
                  <c:v>53</c:v>
                </c:pt>
                <c:pt idx="8">
                  <c:v>53.9</c:v>
                </c:pt>
                <c:pt idx="9">
                  <c:v>54.9</c:v>
                </c:pt>
                <c:pt idx="10">
                  <c:v>55.9</c:v>
                </c:pt>
                <c:pt idx="11">
                  <c:v>56.8</c:v>
                </c:pt>
                <c:pt idx="12">
                  <c:v>57.7</c:v>
                </c:pt>
                <c:pt idx="13">
                  <c:v>58.5</c:v>
                </c:pt>
                <c:pt idx="14">
                  <c:v>59.2</c:v>
                </c:pt>
                <c:pt idx="15">
                  <c:v>59.9</c:v>
                </c:pt>
              </c:numCache>
            </c:numRef>
          </c:val>
          <c:smooth val="0"/>
          <c:extLst>
            <c:ext xmlns:c16="http://schemas.microsoft.com/office/drawing/2014/chart" uri="{C3380CC4-5D6E-409C-BE32-E72D297353CC}">
              <c16:uniqueId val="{00000000-1FD6-4312-A521-BA4A244C21F4}"/>
            </c:ext>
          </c:extLst>
        </c:ser>
        <c:ser>
          <c:idx val="1"/>
          <c:order val="1"/>
          <c:tx>
            <c:strRef>
              <c:f>'Chart data'!$C$97:$D$97</c:f>
              <c:strCache>
                <c:ptCount val="2"/>
                <c:pt idx="0">
                  <c:v>Financial stress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data'!$E$97:$T$97</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1FD6-4312-A521-BA4A244C21F4}"/>
            </c:ext>
          </c:extLst>
        </c:ser>
        <c:ser>
          <c:idx val="2"/>
          <c:order val="2"/>
          <c:tx>
            <c:v>Observed</c:v>
          </c:tx>
          <c:spPr>
            <a:ln w="38100" cap="rnd">
              <a:solidFill>
                <a:srgbClr val="92D050"/>
              </a:solidFill>
              <a:round/>
            </a:ln>
            <a:effectLst/>
          </c:spPr>
          <c:marker>
            <c:symbol val="none"/>
          </c:marker>
          <c:val>
            <c:numRef>
              <c:f>'Chart data'!$E$111:$T$111</c:f>
              <c:numCache>
                <c:formatCode>0</c:formatCode>
                <c:ptCount val="16"/>
                <c:pt idx="0">
                  <c:v>44.430318318075436</c:v>
                </c:pt>
                <c:pt idx="1">
                  <c:v>46.249535696627248</c:v>
                </c:pt>
                <c:pt idx="2">
                  <c:v>48.9</c:v>
                </c:pt>
                <c:pt idx="3">
                  <c:v>50.6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1FD6-4312-A521-BA4A244C21F4}"/>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784"/>
        <c:crosses val="autoZero"/>
        <c:crossBetween val="between"/>
      </c:valAx>
      <c:spPr>
        <a:noFill/>
        <a:ln>
          <a:noFill/>
        </a:ln>
        <a:effectLst/>
      </c:spPr>
    </c:plotArea>
    <c:legend>
      <c:legendPos val="b"/>
      <c:layout>
        <c:manualLayout>
          <c:xMode val="edge"/>
          <c:yMode val="edge"/>
          <c:x val="0"/>
          <c:y val="0.82971962233661345"/>
          <c:w val="1"/>
          <c:h val="0.14080805978935415"/>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50000"/>
      </a:schemeClr>
    </a:solidFill>
    <a:ln w="9525" cap="flat" cmpd="sng" algn="ctr">
      <a:noFill/>
      <a:round/>
    </a:ln>
    <a:effectLst/>
  </c:spPr>
  <c:txPr>
    <a:bodyPr/>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Lower Structural Primary Balance scenario</a:t>
            </a:r>
          </a:p>
        </c:rich>
      </c:tx>
      <c:overlay val="0"/>
      <c:spPr>
        <a:noFill/>
        <a:ln>
          <a:noFill/>
        </a:ln>
        <a:effectLst/>
      </c:spPr>
    </c:title>
    <c:autoTitleDeleted val="0"/>
    <c:plotArea>
      <c:layout>
        <c:manualLayout>
          <c:layoutTarget val="inner"/>
          <c:xMode val="edge"/>
          <c:yMode val="edge"/>
          <c:x val="8.7265177102989464E-2"/>
          <c:y val="0.27568991662774256"/>
          <c:w val="0.89926580601062844"/>
          <c:h val="0.39990010365545436"/>
        </c:manualLayout>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43.6</c:v>
                </c:pt>
                <c:pt idx="1">
                  <c:v>45.8</c:v>
                </c:pt>
                <c:pt idx="2">
                  <c:v>47.5</c:v>
                </c:pt>
                <c:pt idx="3">
                  <c:v>48.5</c:v>
                </c:pt>
                <c:pt idx="4">
                  <c:v>49.7</c:v>
                </c:pt>
                <c:pt idx="5">
                  <c:v>50.8</c:v>
                </c:pt>
                <c:pt idx="6">
                  <c:v>51.9</c:v>
                </c:pt>
                <c:pt idx="7">
                  <c:v>53</c:v>
                </c:pt>
                <c:pt idx="8">
                  <c:v>53.9</c:v>
                </c:pt>
                <c:pt idx="9">
                  <c:v>54.9</c:v>
                </c:pt>
                <c:pt idx="10">
                  <c:v>55.9</c:v>
                </c:pt>
                <c:pt idx="11">
                  <c:v>56.8</c:v>
                </c:pt>
                <c:pt idx="12">
                  <c:v>57.7</c:v>
                </c:pt>
                <c:pt idx="13">
                  <c:v>58.5</c:v>
                </c:pt>
                <c:pt idx="14">
                  <c:v>59.2</c:v>
                </c:pt>
                <c:pt idx="15">
                  <c:v>59.9</c:v>
                </c:pt>
              </c:numCache>
            </c:numRef>
          </c:val>
          <c:smooth val="0"/>
          <c:extLst>
            <c:ext xmlns:c16="http://schemas.microsoft.com/office/drawing/2014/chart" uri="{C3380CC4-5D6E-409C-BE32-E72D297353CC}">
              <c16:uniqueId val="{00000000-5DE3-474A-8BF4-7A89DB76B00A}"/>
            </c:ext>
          </c:extLst>
        </c:ser>
        <c:ser>
          <c:idx val="1"/>
          <c:order val="1"/>
          <c:tx>
            <c:strRef>
              <c:f>'Chart data'!$C$98:$D$98</c:f>
              <c:strCache>
                <c:ptCount val="2"/>
                <c:pt idx="0">
                  <c:v>Lower SPB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data'!$E$98:$T$98</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5DE3-474A-8BF4-7A89DB76B00A}"/>
            </c:ext>
          </c:extLst>
        </c:ser>
        <c:ser>
          <c:idx val="2"/>
          <c:order val="2"/>
          <c:tx>
            <c:v>Observed</c:v>
          </c:tx>
          <c:spPr>
            <a:ln w="38100">
              <a:solidFill>
                <a:srgbClr val="92D050"/>
              </a:solidFill>
            </a:ln>
          </c:spPr>
          <c:marker>
            <c:symbol val="none"/>
          </c:marker>
          <c:val>
            <c:numRef>
              <c:f>'Chart data'!$E$111:$T$111</c:f>
              <c:numCache>
                <c:formatCode>0</c:formatCode>
                <c:ptCount val="16"/>
                <c:pt idx="0">
                  <c:v>44.430318318075436</c:v>
                </c:pt>
                <c:pt idx="1">
                  <c:v>46.249535696627248</c:v>
                </c:pt>
                <c:pt idx="2">
                  <c:v>48.9</c:v>
                </c:pt>
                <c:pt idx="3">
                  <c:v>50.6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5DE3-474A-8BF4-7A89DB76B00A}"/>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2872156581883005"/>
          <c:w val="1"/>
          <c:h val="0.16619946124179943"/>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Adverse r-g scenario</a:t>
            </a:r>
          </a:p>
        </c:rich>
      </c:tx>
      <c:overlay val="0"/>
      <c:spPr>
        <a:noFill/>
        <a:ln>
          <a:noFill/>
        </a:ln>
        <a:effectLst/>
      </c:spPr>
    </c:title>
    <c:autoTitleDeleted val="0"/>
    <c:plotArea>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43.6</c:v>
                </c:pt>
                <c:pt idx="1">
                  <c:v>45.8</c:v>
                </c:pt>
                <c:pt idx="2">
                  <c:v>47.5</c:v>
                </c:pt>
                <c:pt idx="3">
                  <c:v>48.5</c:v>
                </c:pt>
                <c:pt idx="4">
                  <c:v>49.7</c:v>
                </c:pt>
                <c:pt idx="5">
                  <c:v>50.8</c:v>
                </c:pt>
                <c:pt idx="6">
                  <c:v>51.9</c:v>
                </c:pt>
                <c:pt idx="7">
                  <c:v>53</c:v>
                </c:pt>
                <c:pt idx="8">
                  <c:v>53.9</c:v>
                </c:pt>
                <c:pt idx="9">
                  <c:v>54.9</c:v>
                </c:pt>
                <c:pt idx="10">
                  <c:v>55.9</c:v>
                </c:pt>
                <c:pt idx="11">
                  <c:v>56.8</c:v>
                </c:pt>
                <c:pt idx="12">
                  <c:v>57.7</c:v>
                </c:pt>
                <c:pt idx="13">
                  <c:v>58.5</c:v>
                </c:pt>
                <c:pt idx="14">
                  <c:v>59.2</c:v>
                </c:pt>
                <c:pt idx="15">
                  <c:v>59.9</c:v>
                </c:pt>
              </c:numCache>
            </c:numRef>
          </c:val>
          <c:smooth val="0"/>
          <c:extLst>
            <c:ext xmlns:c16="http://schemas.microsoft.com/office/drawing/2014/chart" uri="{C3380CC4-5D6E-409C-BE32-E72D297353CC}">
              <c16:uniqueId val="{00000000-C97A-412F-8940-338FF283E1C6}"/>
            </c:ext>
          </c:extLst>
        </c:ser>
        <c:ser>
          <c:idx val="1"/>
          <c:order val="1"/>
          <c:tx>
            <c:strRef>
              <c:f>'Chart data'!$C$99:$D$99</c:f>
              <c:strCache>
                <c:ptCount val="2"/>
                <c:pt idx="0">
                  <c:v>Adverse 'r-g'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data'!$E$99:$T$99</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C97A-412F-8940-338FF283E1C6}"/>
            </c:ext>
          </c:extLst>
        </c:ser>
        <c:ser>
          <c:idx val="2"/>
          <c:order val="2"/>
          <c:tx>
            <c:v>Observed</c:v>
          </c:tx>
          <c:spPr>
            <a:ln w="38100">
              <a:solidFill>
                <a:srgbClr val="92D050"/>
              </a:solidFill>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data'!$E$111:$T$111</c:f>
              <c:numCache>
                <c:formatCode>0</c:formatCode>
                <c:ptCount val="16"/>
                <c:pt idx="0">
                  <c:v>44.430318318075436</c:v>
                </c:pt>
                <c:pt idx="1">
                  <c:v>46.249535696627248</c:v>
                </c:pt>
                <c:pt idx="2">
                  <c:v>48.9</c:v>
                </c:pt>
                <c:pt idx="3">
                  <c:v>50.6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C97A-412F-8940-338FF283E1C6}"/>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5257062282631824"/>
          <c:w val="0.96980914495478843"/>
          <c:h val="0.14742937717368174"/>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Performance of general government debt compared to the endorsed plan</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pattFill prst="ltUpDiag">
              <a:fgClr>
                <a:schemeClr val="bg1">
                  <a:lumMod val="65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48.9</c:v>
                </c:pt>
                <c:pt idx="2">
                  <c:v>50.6</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0"/>
        <c:overlap val="100"/>
        <c:axId val="494849055"/>
        <c:axId val="494850495"/>
      </c:barChart>
      <c:lineChart>
        <c:grouping val="standard"/>
        <c:varyColors val="0"/>
        <c:ser>
          <c:idx val="0"/>
          <c:order val="0"/>
          <c:tx>
            <c:strRef>
              <c:f>'Chart data'!$C$29</c:f>
              <c:strCache>
                <c:ptCount val="1"/>
                <c:pt idx="0">
                  <c:v>Council-endorsed path (% of GDP)</c:v>
                </c:pt>
              </c:strCache>
            </c:strRef>
          </c:tx>
          <c:spPr>
            <a:ln w="25400"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smooth val="0"/>
          <c:extLst>
            <c:ext xmlns:c16="http://schemas.microsoft.com/office/drawing/2014/chart" uri="{C3380CC4-5D6E-409C-BE32-E72D297353CC}">
              <c16:uniqueId val="{00000004-6FAA-43F6-8712-278F319E83B4}"/>
            </c:ext>
          </c:extLst>
        </c:ser>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6966217041835866"/>
          <c:y val="0.13048480310086394"/>
          <c:w val="0.24692168317669969"/>
          <c:h val="0.138113540003303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421292650918634"/>
          <c:w val="0.88389129483814521"/>
          <c:h val="0.63153576115485566"/>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14DE-4A45-AD85-395F9AF63D1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14DE-4A45-AD85-395F9AF63D1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-0.44949</c:v>
                </c:pt>
                <c:pt idx="1">
                  <c:v>#N/A</c:v>
                </c:pt>
                <c:pt idx="2">
                  <c:v>#N/A</c:v>
                </c:pt>
                <c:pt idx="3">
                  <c:v>#N/A</c:v>
                </c:pt>
                <c:pt idx="4">
                  <c:v>#N/A</c:v>
                </c:pt>
              </c:numCache>
            </c:numRef>
          </c:val>
          <c:extLst>
            <c:ext xmlns:c16="http://schemas.microsoft.com/office/drawing/2014/chart" uri="{C3380CC4-5D6E-409C-BE32-E72D297353CC}">
              <c16:uniqueId val="{00000002-14DE-4A45-AD85-395F9AF63D1D}"/>
            </c:ext>
          </c:extLst>
        </c:ser>
        <c:ser>
          <c:idx val="5"/>
          <c:order val="4"/>
          <c:tx>
            <c:strRef>
              <c:f>'Chart data'!$C$54</c:f>
              <c:strCache>
                <c:ptCount val="1"/>
                <c:pt idx="0">
                  <c:v>Observed (Breach)</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14DE-4A45-AD85-395F9AF63D1D}"/>
            </c:ext>
          </c:extLst>
        </c:ser>
        <c:ser>
          <c:idx val="1"/>
          <c:order val="5"/>
          <c:tx>
            <c:strRef>
              <c:f>'Chart data'!$C$51</c:f>
              <c:strCache>
                <c:ptCount val="1"/>
                <c:pt idx="0">
                  <c:v>Planned</c:v>
                </c:pt>
              </c:strCache>
            </c:strRef>
          </c:tx>
          <c:spPr>
            <a:pattFill prst="ltUpDiag">
              <a:fgClr>
                <a:schemeClr val="bg1">
                  <a:lumMod val="65000"/>
                </a:schemeClr>
              </a:fgClr>
              <a:bgClr>
                <a:schemeClr val="bg1"/>
              </a:bgClr>
            </a:patt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-1.2</c:v>
                </c:pt>
                <c:pt idx="2">
                  <c:v>-1.6</c:v>
                </c:pt>
                <c:pt idx="3">
                  <c:v>#N/A</c:v>
                </c:pt>
                <c:pt idx="4">
                  <c:v>#N/A</c:v>
                </c:pt>
              </c:numCache>
            </c:numRef>
          </c:val>
          <c:extLst>
            <c:ext xmlns:c16="http://schemas.microsoft.com/office/drawing/2014/chart" uri="{C3380CC4-5D6E-409C-BE32-E72D297353CC}">
              <c16:uniqueId val="{00000004-14DE-4A45-AD85-395F9AF63D1D}"/>
            </c:ext>
          </c:extLst>
        </c:ser>
        <c:dLbls>
          <c:showLegendKey val="0"/>
          <c:showVal val="0"/>
          <c:showCatName val="0"/>
          <c:showSerName val="0"/>
          <c:showPercent val="0"/>
          <c:showBubbleSize val="0"/>
        </c:dLbls>
        <c:gapWidth val="50"/>
        <c:overlap val="100"/>
        <c:axId val="1227260992"/>
        <c:axId val="1227264352"/>
      </c:barChart>
      <c:lineChart>
        <c:grouping val="standard"/>
        <c:varyColors val="0"/>
        <c:ser>
          <c:idx val="0"/>
          <c:order val="0"/>
          <c:tx>
            <c:strRef>
              <c:f>'Chart data'!$C$49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smooth val="0"/>
          <c:extLst>
            <c:ext xmlns:c16="http://schemas.microsoft.com/office/drawing/2014/chart" uri="{C3380CC4-5D6E-409C-BE32-E72D297353CC}">
              <c16:uniqueId val="{00000005-14DE-4A45-AD85-395F9AF63D1D}"/>
            </c:ext>
          </c:extLst>
        </c:ser>
        <c:ser>
          <c:idx val="6"/>
          <c:order val="6"/>
          <c:tx>
            <c:v>LeftAxisMin</c:v>
          </c:tx>
          <c:spPr>
            <a:ln w="25400" cap="rnd">
              <a:noFill/>
              <a:round/>
            </a:ln>
            <a:effectLst/>
          </c:spPr>
          <c:marker>
            <c:symbol val="none"/>
          </c:marker>
          <c:val>
            <c:numRef>
              <c:f>'Chart data'!$D$55</c:f>
              <c:numCache>
                <c:formatCode>0.0</c:formatCode>
                <c:ptCount val="1"/>
                <c:pt idx="0">
                  <c:v>-1.6</c:v>
                </c:pt>
              </c:numCache>
            </c:numRef>
          </c:val>
          <c:smooth val="0"/>
          <c:extLst>
            <c:ext xmlns:c16="http://schemas.microsoft.com/office/drawing/2014/chart" uri="{C3380CC4-5D6E-409C-BE32-E72D297353CC}">
              <c16:uniqueId val="{00000006-14DE-4A45-AD85-395F9AF63D1D}"/>
            </c:ext>
          </c:extLst>
        </c:ser>
        <c:ser>
          <c:idx val="8"/>
          <c:order val="8"/>
          <c:tx>
            <c:v>LeftAxisMax</c:v>
          </c:tx>
          <c:spPr>
            <a:ln w="25400" cap="rnd">
              <a:noFill/>
              <a:round/>
            </a:ln>
            <a:effectLst/>
          </c:spPr>
          <c:marker>
            <c:symbol val="none"/>
          </c:marker>
          <c:val>
            <c:numRef>
              <c:f>'Chart data'!$D$56</c:f>
              <c:numCache>
                <c:formatCode>0.0</c:formatCode>
                <c:ptCount val="1"/>
                <c:pt idx="0">
                  <c:v>0</c:v>
                </c:pt>
              </c:numCache>
            </c:numRef>
          </c:val>
          <c:smooth val="0"/>
          <c:extLst>
            <c:ext xmlns:c16="http://schemas.microsoft.com/office/drawing/2014/chart" uri="{C3380CC4-5D6E-409C-BE32-E72D297353CC}">
              <c16:uniqueId val="{00000007-14DE-4A45-AD85-395F9AF63D1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5400" cap="rnd">
              <a:noFill/>
              <a:round/>
            </a:ln>
            <a:effectLst/>
          </c:spPr>
          <c:marker>
            <c:symbol val="none"/>
          </c:marker>
          <c:val>
            <c:numRef>
              <c:f>'Chart data'!$D$55</c:f>
              <c:numCache>
                <c:formatCode>0.0</c:formatCode>
                <c:ptCount val="1"/>
                <c:pt idx="0">
                  <c:v>-1.6</c:v>
                </c:pt>
              </c:numCache>
            </c:numRef>
          </c:val>
          <c:smooth val="0"/>
          <c:extLst>
            <c:ext xmlns:c16="http://schemas.microsoft.com/office/drawing/2014/chart" uri="{C3380CC4-5D6E-409C-BE32-E72D297353CC}">
              <c16:uniqueId val="{00000008-14DE-4A45-AD85-395F9AF63D1D}"/>
            </c:ext>
          </c:extLst>
        </c:ser>
        <c:ser>
          <c:idx val="9"/>
          <c:order val="9"/>
          <c:tx>
            <c:v>RightAxisMax</c:v>
          </c:tx>
          <c:spPr>
            <a:ln w="25400" cap="rnd">
              <a:noFill/>
              <a:round/>
            </a:ln>
            <a:effectLst/>
          </c:spPr>
          <c:marker>
            <c:symbol val="none"/>
          </c:marker>
          <c:val>
            <c:numRef>
              <c:f>'Chart data'!$D$56</c:f>
              <c:numCache>
                <c:formatCode>0.0</c:formatCode>
                <c:ptCount val="1"/>
                <c:pt idx="0">
                  <c:v>0</c:v>
                </c:pt>
              </c:numCache>
            </c:numRef>
          </c:val>
          <c:smooth val="0"/>
          <c:extLst>
            <c:ext xmlns:c16="http://schemas.microsoft.com/office/drawing/2014/chart" uri="{C3380CC4-5D6E-409C-BE32-E72D297353CC}">
              <c16:uniqueId val="{00000009-14DE-4A45-AD85-395F9AF63D1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7222699469281281"/>
          <c:y val="0.15969488188976377"/>
          <c:w val="0.7043739318161375"/>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data'!$C$113</c:f>
          <c:strCache>
            <c:ptCount val="1"/>
            <c:pt idx="0">
              <c:v>Performance of net expenditure compared to the Commission's technical information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989840220915938"/>
          <c:w val="0.88389129483814521"/>
          <c:h val="0.62210316888734696"/>
        </c:manualLayout>
      </c:layout>
      <c:barChart>
        <c:barDir val="col"/>
        <c:grouping val="clustered"/>
        <c:varyColors val="0"/>
        <c:ser>
          <c:idx val="0"/>
          <c:order val="0"/>
          <c:tx>
            <c:strRef>
              <c:f>'Chart data'!$C$114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[0]!NE_Original_Chart_EC</c:f>
              <c:numCache>
                <c:formatCode>0.0</c:formatCode>
                <c:ptCount val="5"/>
                <c:pt idx="0">
                  <c:v>4.918973667178153</c:v>
                </c:pt>
                <c:pt idx="1">
                  <c:v>3.6413061968341944</c:v>
                </c:pt>
                <c:pt idx="2">
                  <c:v>2.7436451968341951</c:v>
                </c:pt>
                <c:pt idx="3">
                  <c:v>2.461675896834195</c:v>
                </c:pt>
                <c:pt idx="4">
                  <c:v>3.3855692598417098</c:v>
                </c:pt>
              </c:numCache>
            </c:numRef>
          </c:val>
          <c:extLst>
            <c:ext xmlns:c16="http://schemas.microsoft.com/office/drawing/2014/chart" uri="{C3380CC4-5D6E-409C-BE32-E72D297353CC}">
              <c16:uniqueId val="{00000000-B239-4144-9AD9-3F2EB03855A6}"/>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39-4144-9AD9-3F2EB03855A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B239-4144-9AD9-3F2EB03855A6}"/>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data'!$C$116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[0]!NE_Original_Chart_Planned</c:f>
              <c:numCache>
                <c:formatCode>0.0</c:formatCode>
                <c:ptCount val="5"/>
                <c:pt idx="0">
                  <c:v>#N/A</c:v>
                </c:pt>
                <c:pt idx="1">
                  <c:v>6.2</c:v>
                </c:pt>
                <c:pt idx="2">
                  <c:v>5</c:v>
                </c:pt>
                <c:pt idx="3">
                  <c:v>#N/A</c:v>
                </c:pt>
                <c:pt idx="4">
                  <c:v>#N/A</c:v>
                </c:pt>
              </c:numCache>
            </c:numRef>
          </c:val>
          <c:extLst>
            <c:ext xmlns:c16="http://schemas.microsoft.com/office/drawing/2014/chart" uri="{C3380CC4-5D6E-409C-BE32-E72D297353CC}">
              <c16:uniqueId val="{00000003-B239-4144-9AD9-3F2EB03855A6}"/>
            </c:ext>
          </c:extLst>
        </c:ser>
        <c:ser>
          <c:idx val="2"/>
          <c:order val="4"/>
          <c:tx>
            <c:strRef>
              <c:f>'Chart data'!$C$118</c:f>
              <c:strCache>
                <c:ptCount val="1"/>
                <c:pt idx="0">
                  <c:v>Observed (Compliant)</c:v>
                </c:pt>
              </c:strCache>
            </c:strRef>
          </c:tx>
          <c:spPr>
            <a:solidFill>
              <a:srgbClr val="008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B239-4144-9AD9-3F2EB03855A6}"/>
            </c:ext>
          </c:extLst>
        </c:ser>
        <c:ser>
          <c:idx val="5"/>
          <c:order val="5"/>
          <c:tx>
            <c:strRef>
              <c:f>'Chart data'!$C$119</c:f>
              <c:strCache>
                <c:ptCount val="1"/>
                <c:pt idx="0">
                  <c:v>Observed (Breach)</c:v>
                </c:pt>
              </c:strCache>
            </c:strRef>
          </c:tx>
          <c:spPr>
            <a:solidFill>
              <a:srgbClr val="C00000">
                <a:alpha val="80000"/>
              </a:srgbClr>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[0]!NE_Original_Chart_ObservedBreach</c:f>
              <c:numCache>
                <c:formatCode>0.0</c:formatCode>
                <c:ptCount val="5"/>
                <c:pt idx="0">
                  <c:v>4.9652620789816915</c:v>
                </c:pt>
                <c:pt idx="1">
                  <c:v>#N/A</c:v>
                </c:pt>
                <c:pt idx="2">
                  <c:v>#N/A</c:v>
                </c:pt>
                <c:pt idx="3">
                  <c:v>#N/A</c:v>
                </c:pt>
                <c:pt idx="4">
                  <c:v>#N/A</c:v>
                </c:pt>
              </c:numCache>
            </c:numRef>
          </c:val>
          <c:extLst>
            <c:ext xmlns:c16="http://schemas.microsoft.com/office/drawing/2014/chart" uri="{C3380CC4-5D6E-409C-BE32-E72D297353CC}">
              <c16:uniqueId val="{00000005-B239-4144-9AD9-3F2EB03855A6}"/>
            </c:ext>
          </c:extLst>
        </c:ser>
        <c:dLbls>
          <c:showLegendKey val="0"/>
          <c:showVal val="0"/>
          <c:showCatName val="0"/>
          <c:showSerName val="0"/>
          <c:showPercent val="0"/>
          <c:showBubbleSize val="0"/>
        </c:dLbls>
        <c:gapWidth val="128"/>
        <c:overlap val="100"/>
        <c:axId val="1227260992"/>
        <c:axId val="1227264352"/>
      </c:bar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max val="7"/>
          <c:min val="-1"/>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min val="-1"/>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ayout>
        <c:manualLayout>
          <c:xMode val="edge"/>
          <c:yMode val="edge"/>
          <c:x val="0.15867730628929733"/>
          <c:y val="0.22906697611718713"/>
          <c:w val="0.67961721288728549"/>
          <c:h val="7.492946810644828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'Chart data'!$C$95</c:f>
          <c:strCache>
            <c:ptCount val="1"/>
            <c:pt idx="0">
              <c:v>Downward debt plausibility</c:v>
            </c:pt>
          </c:strCache>
        </c:strRef>
      </c:tx>
      <c:overlay val="0"/>
      <c:txPr>
        <a:bodyPr/>
        <a:lstStyle/>
        <a:p>
          <a:pPr>
            <a:defRPr sz="1400"/>
          </a:pPr>
          <a:endParaRPr lang="en-US"/>
        </a:p>
      </c:txPr>
    </c:title>
    <c:autoTitleDeleted val="0"/>
    <c:plotArea>
      <c:layout>
        <c:manualLayout>
          <c:layoutTarget val="inner"/>
          <c:xMode val="edge"/>
          <c:yMode val="edge"/>
          <c:x val="8.6310419062785679E-2"/>
          <c:y val="0.14954234919701911"/>
          <c:w val="0.85496978555227576"/>
          <c:h val="0.64810747373821453"/>
        </c:manualLayout>
      </c:layout>
      <c:areaChart>
        <c:grouping val="stacked"/>
        <c:varyColors val="0"/>
        <c:ser>
          <c:idx val="1"/>
          <c:order val="0"/>
          <c:tx>
            <c:strRef>
              <c:f>'Chart data'!$C$101</c:f>
              <c:strCache>
                <c:ptCount val="1"/>
                <c:pt idx="0">
                  <c:v>p10</c:v>
                </c:pt>
              </c:strCache>
            </c:strRef>
          </c:tx>
          <c:spPr>
            <a:no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data'!$E$101:$O$101</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0-F216-4BF0-8ED7-FDFE8DAA480E}"/>
            </c:ext>
          </c:extLst>
        </c:ser>
        <c:ser>
          <c:idx val="2"/>
          <c:order val="1"/>
          <c:tx>
            <c:strRef>
              <c:f>'Chart data'!$C$102</c:f>
              <c:strCache>
                <c:ptCount val="1"/>
                <c:pt idx="0">
                  <c:v>p30_p10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data'!$E$102:$O$102</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1-F216-4BF0-8ED7-FDFE8DAA480E}"/>
            </c:ext>
          </c:extLst>
        </c:ser>
        <c:ser>
          <c:idx val="3"/>
          <c:order val="2"/>
          <c:tx>
            <c:strRef>
              <c:f>'Chart data'!$C$103</c:f>
              <c:strCache>
                <c:ptCount val="1"/>
                <c:pt idx="0">
                  <c:v>p50_p30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data'!$E$103:$O$103</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2-F216-4BF0-8ED7-FDFE8DAA480E}"/>
            </c:ext>
          </c:extLst>
        </c:ser>
        <c:ser>
          <c:idx val="4"/>
          <c:order val="3"/>
          <c:tx>
            <c:strRef>
              <c:f>'Chart data'!$C$104</c:f>
              <c:strCache>
                <c:ptCount val="1"/>
                <c:pt idx="0">
                  <c:v>p70_p50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data'!$E$104:$O$104</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3-F216-4BF0-8ED7-FDFE8DAA480E}"/>
            </c:ext>
          </c:extLst>
        </c:ser>
        <c:ser>
          <c:idx val="5"/>
          <c:order val="4"/>
          <c:tx>
            <c:strRef>
              <c:f>'Chart data'!$C$105</c:f>
              <c:strCache>
                <c:ptCount val="1"/>
                <c:pt idx="0">
                  <c:v>p90_p70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data'!$E$105:$O$105</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4-F216-4BF0-8ED7-FDFE8DAA480E}"/>
            </c:ext>
          </c:extLst>
        </c:ser>
        <c:dLbls>
          <c:showLegendKey val="0"/>
          <c:showVal val="0"/>
          <c:showCatName val="0"/>
          <c:showSerName val="0"/>
          <c:showPercent val="0"/>
          <c:showBubbleSize val="0"/>
        </c:dLbls>
        <c:axId val="1747775104"/>
        <c:axId val="1"/>
      </c:areaChart>
      <c:lineChart>
        <c:grouping val="standard"/>
        <c:varyColors val="0"/>
        <c:ser>
          <c:idx val="6"/>
          <c:order val="5"/>
          <c:tx>
            <c:strRef>
              <c:f>'Chart data'!$C$107</c:f>
              <c:strCache>
                <c:ptCount val="1"/>
                <c:pt idx="0">
                  <c:v>p30</c:v>
                </c:pt>
              </c:strCache>
            </c:strRef>
          </c:tx>
          <c:spPr>
            <a:ln>
              <a:solidFill>
                <a:srgbClr val="00B0F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data'!$E$107:$O$107</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5-F216-4BF0-8ED7-FDFE8DAA480E}"/>
            </c:ext>
          </c:extLst>
        </c:ser>
        <c:ser>
          <c:idx val="7"/>
          <c:order val="6"/>
          <c:tx>
            <c:strRef>
              <c:f>'Chart data'!$C$110</c:f>
              <c:strCache>
                <c:ptCount val="1"/>
                <c:pt idx="0">
                  <c:v>p90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data'!$E$110:$O$110</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6-F216-4BF0-8ED7-FDFE8DAA480E}"/>
            </c:ext>
          </c:extLst>
        </c:ser>
        <c:ser>
          <c:idx val="8"/>
          <c:order val="7"/>
          <c:tx>
            <c:strRef>
              <c:f>'Chart data'!$C$108</c:f>
              <c:strCache>
                <c:ptCount val="1"/>
                <c:pt idx="0">
                  <c:v>p50</c:v>
                </c:pt>
              </c:strCache>
            </c:strRef>
          </c:tx>
          <c:spPr>
            <a:ln>
              <a:solidFill>
                <a:srgbClr val="5B9BD5">
                  <a:lumMod val="5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data'!$E$108:$O$108</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7-F216-4BF0-8ED7-FDFE8DAA480E}"/>
            </c:ext>
          </c:extLst>
        </c:ser>
        <c:ser>
          <c:idx val="9"/>
          <c:order val="8"/>
          <c:tx>
            <c:strRef>
              <c:f>'Chart data'!$C$106</c:f>
              <c:strCache>
                <c:ptCount val="1"/>
                <c:pt idx="0">
                  <c:v>p10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data'!$E$106:$O$106</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8-F216-4BF0-8ED7-FDFE8DAA480E}"/>
            </c:ext>
          </c:extLst>
        </c:ser>
        <c:ser>
          <c:idx val="10"/>
          <c:order val="9"/>
          <c:tx>
            <c:strRef>
              <c:f>'Chart data'!$C$111</c:f>
              <c:strCache>
                <c:ptCount val="1"/>
                <c:pt idx="0">
                  <c:v>Observed and planned gross debt</c:v>
                </c:pt>
              </c:strCache>
            </c:strRef>
          </c:tx>
          <c:spPr>
            <a:ln w="38100">
              <a:solidFill>
                <a:srgbClr val="92D05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data'!$E$111:$O$111</c:f>
              <c:numCache>
                <c:formatCode>0</c:formatCode>
                <c:ptCount val="11"/>
                <c:pt idx="0">
                  <c:v>44.430318318075436</c:v>
                </c:pt>
                <c:pt idx="1">
                  <c:v>46.249535696627248</c:v>
                </c:pt>
                <c:pt idx="2">
                  <c:v>48.9</c:v>
                </c:pt>
                <c:pt idx="3">
                  <c:v>50.6</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9-F216-4BF0-8ED7-FDFE8DAA480E}"/>
            </c:ext>
          </c:extLst>
        </c:ser>
        <c:ser>
          <c:idx val="0"/>
          <c:order val="10"/>
          <c:tx>
            <c:strRef>
              <c:f>'Chart data'!$C$109</c:f>
              <c:strCache>
                <c:ptCount val="1"/>
                <c:pt idx="0">
                  <c:v>p70</c:v>
                </c:pt>
              </c:strCache>
            </c:strRef>
          </c:tx>
          <c:spPr>
            <a:ln>
              <a:solidFill>
                <a:srgbClr val="00B0F0"/>
              </a:solidFill>
              <a:prstDash val="sysDash"/>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data'!$E$109:$O$109</c:f>
              <c:numCache>
                <c:formatCode>0</c:formatCode>
                <c:ptCount val="11"/>
                <c:pt idx="0">
                  <c:v>#N/A</c:v>
                </c:pt>
                <c:pt idx="1">
                  <c:v>#N/A</c:v>
                </c:pt>
                <c:pt idx="2">
                  <c:v>#N/A</c:v>
                </c:pt>
                <c:pt idx="3">
                  <c:v>0</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A-F216-4BF0-8ED7-FDFE8DAA480E}"/>
            </c:ext>
          </c:extLst>
        </c:ser>
        <c:dLbls>
          <c:showLegendKey val="0"/>
          <c:showVal val="0"/>
          <c:showCatName val="0"/>
          <c:showSerName val="0"/>
          <c:showPercent val="0"/>
          <c:showBubbleSize val="0"/>
        </c:dLbls>
        <c:marker val="1"/>
        <c:smooth val="0"/>
        <c:axId val="1747775104"/>
        <c:axId val="1"/>
      </c:lineChart>
      <c:catAx>
        <c:axId val="1747775104"/>
        <c:scaling>
          <c:orientation val="minMax"/>
        </c:scaling>
        <c:delete val="0"/>
        <c:axPos val="b"/>
        <c:minorGridlines>
          <c:spPr>
            <a:ln>
              <a:solidFill>
                <a:srgbClr val="A5A5A5">
                  <a:lumMod val="50000"/>
                </a:srgbClr>
              </a:solidFill>
              <a:prstDash val="sysDash"/>
            </a:ln>
          </c:spPr>
        </c:minorGridlines>
        <c:numFmt formatCode="General" sourceLinked="1"/>
        <c:majorTickMark val="none"/>
        <c:minorTickMark val="none"/>
        <c:tickLblPos val="nextTo"/>
        <c:spPr>
          <a:ln w="3175">
            <a:noFill/>
            <a:prstDash val="solid"/>
          </a:ln>
        </c:spPr>
        <c:txPr>
          <a:bodyPr rot="5400000" vert="horz"/>
          <a:lstStyle/>
          <a:p>
            <a:pPr>
              <a:defRPr/>
            </a:pPr>
            <a:endParaRPr lang="en-US"/>
          </a:p>
        </c:txPr>
        <c:crossAx val="1"/>
        <c:crosses val="autoZero"/>
        <c:auto val="1"/>
        <c:lblAlgn val="ctr"/>
        <c:lblOffset val="100"/>
        <c:tickLblSkip val="1"/>
        <c:tickMarkSkip val="1"/>
        <c:noMultiLvlLbl val="0"/>
      </c:catAx>
      <c:valAx>
        <c:axId val="1"/>
        <c:scaling>
          <c:orientation val="minMax"/>
          <c:max val="200"/>
        </c:scaling>
        <c:delete val="0"/>
        <c:axPos val="l"/>
        <c:majorGridlines>
          <c:spPr>
            <a:ln w="9525">
              <a:solidFill>
                <a:srgbClr val="A5A5A5">
                  <a:lumMod val="50000"/>
                </a:srgbClr>
              </a:solidFill>
              <a:prstDash val="dash"/>
            </a:ln>
          </c:spPr>
        </c:majorGridlines>
        <c:numFmt formatCode="0" sourceLinked="0"/>
        <c:majorTickMark val="none"/>
        <c:minorTickMark val="none"/>
        <c:tickLblPos val="nextTo"/>
        <c:spPr>
          <a:ln w="3175">
            <a:noFill/>
            <a:prstDash val="solid"/>
          </a:ln>
        </c:spPr>
        <c:txPr>
          <a:bodyPr rot="0" vert="horz"/>
          <a:lstStyle/>
          <a:p>
            <a:pPr>
              <a:defRPr/>
            </a:pPr>
            <a:endParaRPr lang="en-US"/>
          </a:p>
        </c:txPr>
        <c:crossAx val="1747775104"/>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4472C4">
        <a:lumMod val="50000"/>
      </a:srgbClr>
    </a:solidFill>
    <a:ln w="3175">
      <a:noFill/>
      <a:prstDash val="solid"/>
    </a:ln>
  </c:spPr>
  <c:txPr>
    <a:bodyPr/>
    <a:lstStyle/>
    <a:p>
      <a:pPr>
        <a:defRPr sz="1100" b="0" i="0" u="none" strike="noStrike" baseline="0">
          <a:solidFill>
            <a:schemeClr val="bg1"/>
          </a:solidFill>
          <a:latin typeface="Aptos Narrow" panose="020B0004020202020204" pitchFamily="34" charset="0"/>
          <a:ea typeface="Arial"/>
          <a:cs typeface="Arial"/>
        </a:defRPr>
      </a:pPr>
      <a:endParaRPr lang="en-US"/>
    </a:p>
  </c:txPr>
  <c:printSettings>
    <c:headerFooter alignWithMargins="0"/>
    <c:pageMargins b="1" l="0.75" r="0.75" t="1" header="0.5" footer="0.5"/>
    <c:pageSetup/>
  </c:printSettings>
  <c:userShapes r:id="rId2"/>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r>
              <a:rPr lang="en-US"/>
              <a:t>Control account deviations</a:t>
            </a:r>
            <a:br>
              <a:rPr lang="en-US"/>
            </a:br>
            <a:r>
              <a:rPr lang="en-US" baseline="0"/>
              <a:t> and </a:t>
            </a:r>
            <a:r>
              <a:rPr lang="en-US"/>
              <a:t>balances</a:t>
            </a:r>
          </a:p>
        </c:rich>
      </c:tx>
      <c:layout>
        <c:manualLayout>
          <c:xMode val="edge"/>
          <c:yMode val="edge"/>
          <c:x val="8.8811808082305974E-2"/>
          <c:y val="5.808352244777791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0266667833988042"/>
          <c:w val="0.85331519737394768"/>
          <c:h val="0.52245683822394173"/>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-1.6278057871264535</c:v>
                </c:pt>
                <c:pt idx="1">
                  <c:v>#N/A</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-1.5592009455234228</c:v>
                </c:pt>
                <c:pt idx="2">
                  <c:v>-1.4892081619134891</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c:v>
                </c:pt>
                <c:pt idx="2">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-1.6278057871264535</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-1.6278057871264535</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-1.6278057871264535</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45623708986062272"/>
          <c:y val="2.37172256582114E-2"/>
          <c:w val="0.53917672240655445"/>
          <c:h val="0.2666946926823733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layout>
        <c:manualLayout>
          <c:xMode val="edge"/>
          <c:yMode val="edge"/>
          <c:x val="0.16500123150701648"/>
          <c:y val="5.05526482221210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3104529650977993"/>
          <c:w val="0.88389129483814521"/>
          <c:h val="0.58470345745116603"/>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953B-4904-9431-464FEB63A9DE}"/>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953B-4904-9431-464FEB63A9DE}"/>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953B-4904-9431-464FEB63A9DE}"/>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-0.44949</c:v>
                </c:pt>
                <c:pt idx="1">
                  <c:v>#N/A</c:v>
                </c:pt>
                <c:pt idx="2">
                  <c:v>#N/A</c:v>
                </c:pt>
                <c:pt idx="3">
                  <c:v>#N/A</c:v>
                </c:pt>
                <c:pt idx="4">
                  <c:v>#N/A</c:v>
                </c:pt>
              </c:numCache>
            </c:numRef>
          </c:val>
          <c:extLst>
            <c:ext xmlns:c16="http://schemas.microsoft.com/office/drawing/2014/chart" uri="{C3380CC4-5D6E-409C-BE32-E72D297353CC}">
              <c16:uniqueId val="{00000003-953B-4904-9431-464FEB63A9DE}"/>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953B-4904-9431-464FEB63A9DE}"/>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-1.2</c:v>
                </c:pt>
                <c:pt idx="2">
                  <c:v>-1.6</c:v>
                </c:pt>
                <c:pt idx="3">
                  <c:v>#N/A</c:v>
                </c:pt>
                <c:pt idx="4">
                  <c:v>#N/A</c:v>
                </c:pt>
              </c:numCache>
            </c:numRef>
          </c:val>
          <c:extLst>
            <c:ext xmlns:c16="http://schemas.microsoft.com/office/drawing/2014/chart" uri="{C3380CC4-5D6E-409C-BE32-E72D297353CC}">
              <c16:uniqueId val="{00000005-953B-4904-9431-464FEB63A9DE}"/>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-1.6</c:v>
                </c:pt>
              </c:numCache>
            </c:numRef>
          </c:val>
          <c:smooth val="0"/>
          <c:extLst>
            <c:ext xmlns:c16="http://schemas.microsoft.com/office/drawing/2014/chart" uri="{C3380CC4-5D6E-409C-BE32-E72D297353CC}">
              <c16:uniqueId val="{00000006-953B-4904-9431-464FEB63A9DE}"/>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953B-4904-9431-464FEB63A9DE}"/>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-1.6</c:v>
                </c:pt>
              </c:numCache>
            </c:numRef>
          </c:val>
          <c:smooth val="0"/>
          <c:extLst>
            <c:ext xmlns:c16="http://schemas.microsoft.com/office/drawing/2014/chart" uri="{C3380CC4-5D6E-409C-BE32-E72D297353CC}">
              <c16:uniqueId val="{00000008-953B-4904-9431-464FEB63A9DE}"/>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953B-4904-9431-464FEB63A9DE}"/>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5.9908122156329673E-2"/>
          <c:y val="0.20574641719347322"/>
          <c:w val="0.89999986794100661"/>
          <c:h val="7.140424959135982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Performance of general government deficit compared to the endorsed plan</c:v>
            </c:pt>
          </c:strCache>
        </c:strRef>
      </c:tx>
      <c:layout>
        <c:manualLayout>
          <c:xMode val="edge"/>
          <c:yMode val="edge"/>
          <c:x val="0.16288737006625165"/>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3"/>
          <c:order val="2"/>
          <c:tx>
            <c:strRef>
              <c:f>'Chart data'!$C$81</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-2.9</c:v>
                </c:pt>
                <c:pt idx="2">
                  <c:v>-3.3</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50"/>
        <c:overlap val="100"/>
        <c:axId val="775248192"/>
        <c:axId val="775246032"/>
      </c:barChart>
      <c:lineChart>
        <c:grouping val="standard"/>
        <c:varyColors val="0"/>
        <c:ser>
          <c:idx val="0"/>
          <c:order val="0"/>
          <c:tx>
            <c:strRef>
              <c:f>'Chart data'!$C$79</c:f>
              <c:strCache>
                <c:ptCount val="1"/>
                <c:pt idx="0">
                  <c:v>General government balance (% of GDP)</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smooth val="0"/>
          <c:extLst>
            <c:ext xmlns:c16="http://schemas.microsoft.com/office/drawing/2014/chart" uri="{C3380CC4-5D6E-409C-BE32-E72D297353CC}">
              <c16:uniqueId val="{00000003-379D-4B76-BB17-AAA97E18E3C3}"/>
            </c:ext>
          </c:extLst>
        </c:ser>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3"/>
        <c:delete val="1"/>
      </c:legendEntry>
      <c:legendEntry>
        <c:idx val="4"/>
        <c:delete val="1"/>
      </c:legendEntry>
      <c:layout>
        <c:manualLayout>
          <c:xMode val="edge"/>
          <c:yMode val="edge"/>
          <c:x val="0.31710039459829736"/>
          <c:y val="0.17925934729856882"/>
          <c:w val="0.53751447737505231"/>
          <c:h val="7.569434952706383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311848456694241"/>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27692390280692947"/>
          <c:w val="0.88389129483814521"/>
          <c:h val="0.6430332440172235"/>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B286-4179-B2ED-F2D20BB4203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86-4179-B2ED-F2D20BB42036}"/>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pattFill prst="ltUpDiag">
              <a:fgClr>
                <a:schemeClr val="bg1">
                  <a:lumMod val="65000"/>
                </a:schemeClr>
              </a:fgClr>
              <a:bgClr>
                <a:schemeClr val="bg1"/>
              </a:bgClr>
            </a:pattFill>
            <a:ln>
              <a:noFill/>
            </a:ln>
            <a:effectLst/>
          </c:spPr>
          <c:invertIfNegative val="0"/>
          <c:dPt>
            <c:idx val="1"/>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3-B286-4179-B2ED-F2D20BB42036}"/>
              </c:ext>
            </c:extLst>
          </c:dPt>
          <c:dPt>
            <c:idx val="2"/>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5-B286-4179-B2ED-F2D20BB42036}"/>
              </c:ext>
            </c:extLst>
          </c:dPt>
          <c:dPt>
            <c:idx val="3"/>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7-B286-4179-B2ED-F2D20BB42036}"/>
              </c:ext>
            </c:extLst>
          </c:dPt>
          <c:dPt>
            <c:idx val="4"/>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9-B286-4179-B2ED-F2D20BB4203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6.2</c:v>
                </c:pt>
                <c:pt idx="2">
                  <c:v>5</c:v>
                </c:pt>
                <c:pt idx="3">
                  <c:v>#N/A</c:v>
                </c:pt>
                <c:pt idx="4">
                  <c:v>#N/A</c:v>
                </c:pt>
              </c:numCache>
            </c:numRef>
          </c:val>
          <c:extLst>
            <c:ext xmlns:c16="http://schemas.microsoft.com/office/drawing/2014/chart" uri="{C3380CC4-5D6E-409C-BE32-E72D297353CC}">
              <c16:uniqueId val="{0000000A-B286-4179-B2ED-F2D20BB42036}"/>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286-4179-B2ED-F2D20BB4203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4.9652620789816915</c:v>
                </c:pt>
                <c:pt idx="1">
                  <c:v>#N/A</c:v>
                </c:pt>
                <c:pt idx="2">
                  <c:v>#N/A</c:v>
                </c:pt>
                <c:pt idx="3">
                  <c:v>#N/A</c:v>
                </c:pt>
                <c:pt idx="4">
                  <c:v>#N/A</c:v>
                </c:pt>
              </c:numCache>
            </c:numRef>
          </c:val>
          <c:extLst>
            <c:ext xmlns:c16="http://schemas.microsoft.com/office/drawing/2014/chart" uri="{C3380CC4-5D6E-409C-BE32-E72D297353CC}">
              <c16:uniqueId val="{0000000C-B286-4179-B2ED-F2D20BB42036}"/>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D-B286-4179-B2ED-F2D20BB42036}"/>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0"/>
          <c:order val="0"/>
          <c:tx>
            <c:strRef>
              <c:f>'Chart data'!$C$4</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5.9</c:v>
                </c:pt>
                <c:pt idx="2">
                  <c:v>3.6</c:v>
                </c:pt>
                <c:pt idx="3">
                  <c:v>3.4</c:v>
                </c:pt>
                <c:pt idx="4">
                  <c:v>3.3</c:v>
                </c:pt>
              </c:numCache>
            </c:numRef>
          </c:val>
          <c:smooth val="0"/>
          <c:extLst>
            <c:ext xmlns:c16="http://schemas.microsoft.com/office/drawing/2014/chart" uri="{C3380CC4-5D6E-409C-BE32-E72D297353CC}">
              <c16:uniqueId val="{0000000E-B286-4179-B2ED-F2D20BB42036}"/>
            </c:ext>
          </c:extLst>
        </c:ser>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0F-B286-4179-B2ED-F2D20BB42036}"/>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0-B286-4179-B2ED-F2D20BB42036}"/>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1-B286-4179-B2ED-F2D20BB42036}"/>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2-B286-4179-B2ED-F2D20BB42036}"/>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64047367213426676"/>
          <c:y val="0.16698950131233598"/>
          <c:w val="0.35397441266349466"/>
          <c:h val="0.20085117021960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015397842279144"/>
          <c:y val="6.8295726865476233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072083666049043"/>
          <c:w val="0.88389129483814521"/>
          <c:h val="0.61170579027528071"/>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5.9</c:v>
                </c:pt>
                <c:pt idx="2">
                  <c:v>3.6</c:v>
                </c:pt>
                <c:pt idx="3">
                  <c:v>3.4</c:v>
                </c:pt>
                <c:pt idx="4">
                  <c:v>3.3</c:v>
                </c:pt>
              </c:numCache>
            </c:numRef>
          </c:val>
          <c:extLst>
            <c:ext xmlns:c16="http://schemas.microsoft.com/office/drawing/2014/chart" uri="{C3380CC4-5D6E-409C-BE32-E72D297353CC}">
              <c16:uniqueId val="{00000001-ADF6-4863-BE5C-4FDC45AAFED0}"/>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ADF6-4863-BE5C-4FDC45AAFED0}"/>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ADF6-4863-BE5C-4FDC45AAFED0}"/>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schemeClr>
            </a:solidFill>
            <a:ln>
              <a:noFill/>
            </a:ln>
            <a:effectLst/>
          </c:spPr>
          <c:invertIfNegative val="0"/>
          <c:dPt>
            <c:idx val="1"/>
            <c:invertIfNegative val="0"/>
            <c:bubble3D val="0"/>
            <c:spPr>
              <a:solidFill>
                <a:schemeClr val="bg1">
                  <a:lumMod val="75000"/>
                </a:schemeClr>
              </a:solidFill>
              <a:ln>
                <a:noFill/>
              </a:ln>
              <a:effectLst/>
            </c:spPr>
            <c:extLst>
              <c:ext xmlns:c16="http://schemas.microsoft.com/office/drawing/2014/chart" uri="{C3380CC4-5D6E-409C-BE32-E72D297353CC}">
                <c16:uniqueId val="{00000005-ADF6-4863-BE5C-4FDC45AAFED0}"/>
              </c:ext>
            </c:extLst>
          </c:dPt>
          <c:dPt>
            <c:idx val="2"/>
            <c:invertIfNegative val="0"/>
            <c:bubble3D val="0"/>
            <c:spPr>
              <a:solidFill>
                <a:schemeClr val="bg1">
                  <a:lumMod val="75000"/>
                </a:schemeClr>
              </a:solidFill>
              <a:ln>
                <a:noFill/>
              </a:ln>
              <a:effectLst/>
            </c:spPr>
            <c:extLst>
              <c:ext xmlns:c16="http://schemas.microsoft.com/office/drawing/2014/chart" uri="{C3380CC4-5D6E-409C-BE32-E72D297353CC}">
                <c16:uniqueId val="{00000007-ADF6-4863-BE5C-4FDC45AAFED0}"/>
              </c:ext>
            </c:extLst>
          </c:dPt>
          <c:dPt>
            <c:idx val="3"/>
            <c:invertIfNegative val="0"/>
            <c:bubble3D val="0"/>
            <c:spPr>
              <a:solidFill>
                <a:schemeClr val="bg1">
                  <a:lumMod val="75000"/>
                </a:schemeClr>
              </a:solidFill>
              <a:ln>
                <a:noFill/>
              </a:ln>
              <a:effectLst/>
            </c:spPr>
            <c:extLst>
              <c:ext xmlns:c16="http://schemas.microsoft.com/office/drawing/2014/chart" uri="{C3380CC4-5D6E-409C-BE32-E72D297353CC}">
                <c16:uniqueId val="{00000009-ADF6-4863-BE5C-4FDC45AAFED0}"/>
              </c:ext>
            </c:extLst>
          </c:dPt>
          <c:dPt>
            <c:idx val="4"/>
            <c:invertIfNegative val="0"/>
            <c:bubble3D val="0"/>
            <c:spPr>
              <a:solidFill>
                <a:schemeClr val="bg1">
                  <a:lumMod val="75000"/>
                </a:schemeClr>
              </a:solidFill>
              <a:ln>
                <a:noFill/>
              </a:ln>
              <a:effectLst/>
            </c:spPr>
            <c:extLst>
              <c:ext xmlns:c16="http://schemas.microsoft.com/office/drawing/2014/chart" uri="{C3380CC4-5D6E-409C-BE32-E72D297353CC}">
                <c16:uniqueId val="{0000000B-ADF6-4863-BE5C-4FDC45AAFE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6.2</c:v>
                </c:pt>
                <c:pt idx="2">
                  <c:v>5</c:v>
                </c:pt>
                <c:pt idx="3">
                  <c:v>#N/A</c:v>
                </c:pt>
                <c:pt idx="4">
                  <c:v>#N/A</c:v>
                </c:pt>
              </c:numCache>
            </c:numRef>
          </c:val>
          <c:extLst>
            <c:ext xmlns:c16="http://schemas.microsoft.com/office/drawing/2014/chart" uri="{C3380CC4-5D6E-409C-BE32-E72D297353CC}">
              <c16:uniqueId val="{0000000C-ADF6-4863-BE5C-4FDC45AAFED0}"/>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4.9652620789816915</c:v>
                </c:pt>
                <c:pt idx="1">
                  <c:v>#N/A</c:v>
                </c:pt>
                <c:pt idx="2">
                  <c:v>#N/A</c:v>
                </c:pt>
                <c:pt idx="3">
                  <c:v>#N/A</c:v>
                </c:pt>
                <c:pt idx="4">
                  <c:v>#N/A</c:v>
                </c:pt>
              </c:numCache>
            </c:numRef>
          </c:val>
          <c:extLst>
            <c:ext xmlns:c16="http://schemas.microsoft.com/office/drawing/2014/chart" uri="{C3380CC4-5D6E-409C-BE32-E72D297353CC}">
              <c16:uniqueId val="{0000000E-ADF6-4863-BE5C-4FDC45AAFED0}"/>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ADF6-4863-BE5C-4FDC45AAFED0}"/>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ADF6-4863-BE5C-4FDC45AAFED0}"/>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ADF6-4863-BE5C-4FDC45AAFED0}"/>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ADF6-4863-BE5C-4FDC45AAFED0}"/>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ADF6-4863-BE5C-4FDC45AAFED0}"/>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18222547124184704"/>
          <c:y val="0.24124001166520856"/>
          <c:w val="0.68924997305244484"/>
          <c:h val="0.121907650432584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data'!$C$123</c:f>
          <c:strCache>
            <c:ptCount val="1"/>
            <c:pt idx="0">
              <c:v>Performance of structural primary balance compared to the European Commission's scenario meeting all requirements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2354557754101138"/>
          <c:w val="0.88389129483814521"/>
          <c:h val="0.59220310666277176"/>
        </c:manualLayout>
      </c:layout>
      <c:barChart>
        <c:barDir val="col"/>
        <c:grouping val="clustered"/>
        <c:varyColors val="0"/>
        <c:ser>
          <c:idx val="0"/>
          <c:order val="0"/>
          <c:tx>
            <c:strRef>
              <c:f>'Chart data'!$C$124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[0]!SPB_Chart_EC</c:f>
              <c:numCache>
                <c:formatCode>0.0</c:formatCode>
                <c:ptCount val="5"/>
                <c:pt idx="0">
                  <c:v>-1.362466</c:v>
                </c:pt>
                <c:pt idx="1">
                  <c:v>-0.96246599999999993</c:v>
                </c:pt>
                <c:pt idx="2">
                  <c:v>-0.56246599999999991</c:v>
                </c:pt>
                <c:pt idx="3">
                  <c:v>-0.16246599999999989</c:v>
                </c:pt>
                <c:pt idx="4">
                  <c:v>-0.1424659999999999</c:v>
                </c:pt>
              </c:numCache>
            </c:numRef>
          </c:val>
          <c:extLst>
            <c:ext xmlns:c16="http://schemas.microsoft.com/office/drawing/2014/chart" uri="{C3380CC4-5D6E-409C-BE32-E72D297353CC}">
              <c16:uniqueId val="{00000000-E210-4860-8287-2DB249A9E1B8}"/>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E210-4860-8287-2DB249A9E1B8}"/>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E210-4860-8287-2DB249A9E1B8}"/>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data'!$C$126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[0]!SPB_Chart_Planned</c:f>
              <c:numCache>
                <c:formatCode>0.0</c:formatCode>
                <c:ptCount val="5"/>
                <c:pt idx="0">
                  <c:v>#N/A</c:v>
                </c:pt>
                <c:pt idx="1">
                  <c:v>-1.2</c:v>
                </c:pt>
                <c:pt idx="2">
                  <c:v>-1.6</c:v>
                </c:pt>
                <c:pt idx="3">
                  <c:v>#N/A</c:v>
                </c:pt>
                <c:pt idx="4">
                  <c:v>#N/A</c:v>
                </c:pt>
              </c:numCache>
            </c:numRef>
          </c:val>
          <c:extLst>
            <c:ext xmlns:c16="http://schemas.microsoft.com/office/drawing/2014/chart" uri="{C3380CC4-5D6E-409C-BE32-E72D297353CC}">
              <c16:uniqueId val="{00000003-E210-4860-8287-2DB249A9E1B8}"/>
            </c:ext>
          </c:extLst>
        </c:ser>
        <c:ser>
          <c:idx val="2"/>
          <c:order val="4"/>
          <c:tx>
            <c:strRef>
              <c:f>'Chart data'!$C$128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[0]!SPB_Chart_ObservedCompliant</c:f>
              <c:numCache>
                <c:formatCode>0.0</c:formatCode>
                <c:ptCount val="5"/>
                <c:pt idx="0">
                  <c:v>-0.44949</c:v>
                </c:pt>
                <c:pt idx="1">
                  <c:v>#N/A</c:v>
                </c:pt>
                <c:pt idx="2">
                  <c:v>#N/A</c:v>
                </c:pt>
                <c:pt idx="3">
                  <c:v>#N/A</c:v>
                </c:pt>
                <c:pt idx="4">
                  <c:v>#N/A</c:v>
                </c:pt>
              </c:numCache>
            </c:numRef>
          </c:val>
          <c:extLst>
            <c:ext xmlns:c16="http://schemas.microsoft.com/office/drawing/2014/chart" uri="{C3380CC4-5D6E-409C-BE32-E72D297353CC}">
              <c16:uniqueId val="{00000004-E210-4860-8287-2DB249A9E1B8}"/>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E210-4860-8287-2DB249A9E1B8}"/>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-1.6</c:v>
                </c:pt>
              </c:numCache>
            </c:numRef>
          </c:val>
          <c:smooth val="0"/>
          <c:extLst>
            <c:ext xmlns:c16="http://schemas.microsoft.com/office/drawing/2014/chart" uri="{C3380CC4-5D6E-409C-BE32-E72D297353CC}">
              <c16:uniqueId val="{00000006-E210-4860-8287-2DB249A9E1B8}"/>
            </c:ext>
          </c:extLst>
        </c:ser>
        <c:ser>
          <c:idx val="7"/>
          <c:order val="7"/>
          <c:tx>
            <c:v>LeftAxisMax</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-0.1424659999999999</c:v>
                </c:pt>
              </c:numCache>
            </c:numRef>
          </c:val>
          <c:smooth val="0"/>
          <c:extLst>
            <c:ext xmlns:c16="http://schemas.microsoft.com/office/drawing/2014/chart" uri="{C3380CC4-5D6E-409C-BE32-E72D297353CC}">
              <c16:uniqueId val="{00000007-E210-4860-8287-2DB249A9E1B8}"/>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-1.6</c:v>
                </c:pt>
              </c:numCache>
            </c:numRef>
          </c:val>
          <c:smooth val="0"/>
          <c:extLst>
            <c:ext xmlns:c16="http://schemas.microsoft.com/office/drawing/2014/chart" uri="{C3380CC4-5D6E-409C-BE32-E72D297353CC}">
              <c16:uniqueId val="{00000008-E210-4860-8287-2DB249A9E1B8}"/>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-0.1424659999999999</c:v>
                </c:pt>
              </c:numCache>
            </c:numRef>
          </c:val>
          <c:smooth val="0"/>
          <c:extLst>
            <c:ext xmlns:c16="http://schemas.microsoft.com/office/drawing/2014/chart" uri="{C3380CC4-5D6E-409C-BE32-E72D297353CC}">
              <c16:uniqueId val="{00000009-E210-4860-8287-2DB249A9E1B8}"/>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8.7555981901536351E-2"/>
          <c:y val="0.2335597214434883"/>
          <c:w val="0.78755784457760403"/>
          <c:h val="6.47121994244769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8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0.93175000000000008</c:v>
                </c:pt>
                <c:pt idx="1">
                  <c:v>#N/A</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-0.75051000000000001</c:v>
                </c:pt>
                <c:pt idx="2">
                  <c:v>-0.40000000000000013</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0"/>
          <c:order val="0"/>
          <c:tx>
            <c:strRef>
              <c:f>'Chart data'!$C$70</c:f>
              <c:strCache>
                <c:ptCount val="1"/>
                <c:pt idx="0">
                  <c:v>Endorsed linear annual change in SPB </c:v>
                </c:pt>
              </c:strCache>
            </c:strRef>
          </c:tx>
          <c:spPr>
            <a:ln w="28575" cap="rnd">
              <a:noFill/>
              <a:prstDash val="sysDash"/>
              <a:round/>
            </a:ln>
            <a:effectLst/>
          </c:spPr>
          <c:marker>
            <c:symbol val="dash"/>
            <c:size val="48"/>
            <c:spPr>
              <a:solidFill>
                <a:schemeClr val="accent5">
                  <a:lumMod val="60000"/>
                  <a:lumOff val="40000"/>
                  <a:alpha val="50000"/>
                </a:schemeClr>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smooth val="0"/>
          <c:extLst>
            <c:ext xmlns:c16="http://schemas.microsoft.com/office/drawing/2014/chart" uri="{C3380CC4-5D6E-409C-BE32-E72D297353CC}">
              <c16:uniqueId val="{00000005-F8E0-4AA4-9D9C-157F12853097}"/>
            </c:ext>
          </c:extLst>
        </c:ser>
        <c:ser>
          <c:idx val="5"/>
          <c:order val="5"/>
          <c:tx>
            <c:v>LeftAxisMin</c:v>
          </c:tx>
          <c:spPr>
            <a:ln w="28575" cap="rnd">
              <a:solidFill>
                <a:schemeClr val="accent6"/>
              </a:solidFill>
              <a:round/>
            </a:ln>
            <a:effectLst/>
          </c:spPr>
          <c:marker>
            <c:symbol val="none"/>
          </c:marker>
          <c:val>
            <c:numRef>
              <c:f>'Chart data'!$D$75</c:f>
              <c:numCache>
                <c:formatCode>0.0</c:formatCode>
                <c:ptCount val="1"/>
                <c:pt idx="0">
                  <c:v>-0.75051000000000001</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0.93175000000000008</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-0.75051000000000001</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0.93175000000000008</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4"/>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324577254634628"/>
          <c:y val="0.21201607611548556"/>
          <c:w val="0.27991543108423317"/>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Change in general government gross debt compared to endorsed plan and safeguard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34540478652440398"/>
          <c:w val="0.87858630691591355"/>
          <c:h val="0.57920663863600041"/>
        </c:manualLayout>
      </c:layout>
      <c:barChart>
        <c:barDir val="col"/>
        <c:grouping val="clustered"/>
        <c:varyColors val="0"/>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25"/>
        <c:overlap val="5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0</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pattFill prst="ltUpDiag">
              <a:fgClr>
                <a:schemeClr val="bg1">
                  <a:lumMod val="65000"/>
                </a:schemeClr>
              </a:fgClr>
              <a:bgClr>
                <a:schemeClr val="bg1"/>
              </a:bgClr>
            </a:patt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2.1</c:v>
                </c:pt>
                <c:pt idx="2">
                  <c:v>1.7</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50"/>
        <c:overlap val="100"/>
        <c:axId val="968280543"/>
        <c:axId val="968283423"/>
      </c:barChart>
      <c:lineChart>
        <c:grouping val="standard"/>
        <c:varyColors val="0"/>
        <c:ser>
          <c:idx val="0"/>
          <c:order val="0"/>
          <c:tx>
            <c:strRef>
              <c:f>'Chart data'!$C$59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smooth val="0"/>
          <c:extLst>
            <c:ext xmlns:c16="http://schemas.microsoft.com/office/drawing/2014/chart" uri="{C3380CC4-5D6E-409C-BE32-E72D297353CC}">
              <c16:uniqueId val="{00000005-45DD-4978-98CC-F65C5B7D9263}"/>
            </c:ext>
          </c:extLst>
        </c:ser>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2.1999999999999957</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2.1999999999999957</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6.5294124691928399E-2"/>
          <c:y val="0.19747109386296038"/>
          <c:w val="0.47190270719083544"/>
          <c:h val="0.1796595697729804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data'!$C$88</c:f>
          <c:strCache>
            <c:ptCount val="1"/>
            <c:pt idx="0">
              <c:v>Performance of general government debt compared to the endorsed plan (in context of planned fiscal path DSA)</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3.8769725325043438E-3"/>
          <c:y val="0.1943980689624149"/>
          <c:w val="0.9961230274674957"/>
          <c:h val="0.58758661537135093"/>
        </c:manualLayout>
      </c:layout>
      <c:barChart>
        <c:barDir val="col"/>
        <c:grouping val="clustered"/>
        <c:varyColors val="0"/>
        <c:ser>
          <c:idx val="0"/>
          <c:order val="0"/>
          <c:tx>
            <c:v>DSA</c:v>
          </c:tx>
          <c:spPr>
            <a:solidFill>
              <a:schemeClr val="accent5">
                <a:lumMod val="40000"/>
                <a:lumOff val="6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[0]!Debt_Chart_DSA</c:f>
              <c:numCache>
                <c:formatCode>0.0</c:formatCode>
                <c:ptCount val="15"/>
                <c:pt idx="0">
                  <c:v>44.530802034460706</c:v>
                </c:pt>
                <c:pt idx="1">
                  <c:v>46.07468666579198</c:v>
                </c:pt>
                <c:pt idx="2">
                  <c:v>46.609273528729865</c:v>
                </c:pt>
                <c:pt idx="3">
                  <c:v>46.913196864360586</c:v>
                </c:pt>
                <c:pt idx="4">
                  <c:v>46.987538518920367</c:v>
                </c:pt>
                <c:pt idx="5">
                  <c:v>46.992494901737786</c:v>
                </c:pt>
                <c:pt idx="6">
                  <c:v>46.901039914718936</c:v>
                </c:pt>
                <c:pt idx="7">
                  <c:v>46.713659492186132</c:v>
                </c:pt>
                <c:pt idx="8">
                  <c:v>46.600070694684284</c:v>
                </c:pt>
                <c:pt idx="9">
                  <c:v>46.457173073428706</c:v>
                </c:pt>
                <c:pt idx="10">
                  <c:v>46.274673295393931</c:v>
                </c:pt>
                <c:pt idx="11">
                  <c:v>46.040270608994206</c:v>
                </c:pt>
                <c:pt idx="12">
                  <c:v>45.732378994117418</c:v>
                </c:pt>
                <c:pt idx="13">
                  <c:v>45.359965431679584</c:v>
                </c:pt>
                <c:pt idx="14">
                  <c:v>44.951568205826447</c:v>
                </c:pt>
              </c:numCache>
            </c:numRef>
          </c:val>
          <c:extLst>
            <c:ext xmlns:c16="http://schemas.microsoft.com/office/drawing/2014/chart" uri="{C3380CC4-5D6E-409C-BE32-E72D297353CC}">
              <c16:uniqueId val="{00000000-C06F-4B17-8A9C-2CC119BDB788}"/>
            </c:ext>
          </c:extLst>
        </c:ser>
        <c:ser>
          <c:idx val="2"/>
          <c:order val="2"/>
          <c:tx>
            <c:strRef>
              <c:f>'Chart data'!$C$91</c:f>
              <c:strCache>
                <c:ptCount val="1"/>
                <c:pt idx="0">
                  <c:v>Observed (Compliant)</c:v>
                </c:pt>
              </c:strCache>
            </c:strRef>
          </c:tx>
          <c:spPr>
            <a:solidFill>
              <a:srgbClr val="007635">
                <a:alpha val="75000"/>
              </a:srgbClr>
            </a:solidFill>
            <a:ln>
              <a:noFill/>
            </a:ln>
            <a:effectLst/>
          </c:spPr>
          <c:invertIfNegative val="0"/>
          <c:dLbls>
            <c:dLbl>
              <c:idx val="0"/>
              <c:layout>
                <c:manualLayout>
                  <c:x val="0"/>
                  <c:y val="-2.747223349660456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6F-4B17-8A9C-2CC119BDB788}"/>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[0]!Debt_Chart_Observed_Compliant</c:f>
              <c:numCache>
                <c:formatCode>0.0</c:formatCode>
                <c:ptCount val="15"/>
                <c:pt idx="0">
                  <c:v>46.249535696627248</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2-C06F-4B17-8A9C-2CC119BDB788}"/>
            </c:ext>
          </c:extLst>
        </c:ser>
        <c:ser>
          <c:idx val="3"/>
          <c:order val="3"/>
          <c:tx>
            <c:strRef>
              <c:f>'Chart data'!$C$92</c:f>
              <c:strCache>
                <c:ptCount val="1"/>
                <c:pt idx="0">
                  <c:v>Observed (Breach)</c:v>
                </c:pt>
              </c:strCache>
            </c:strRef>
          </c:tx>
          <c:spPr>
            <a:solidFill>
              <a:srgbClr val="C0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[0]!Debt_Chart_Observed_Breach</c:f>
              <c:numCache>
                <c:formatCod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3-C06F-4B17-8A9C-2CC119BDB788}"/>
            </c:ext>
          </c:extLst>
        </c:ser>
        <c:ser>
          <c:idx val="4"/>
          <c:order val="4"/>
          <c:tx>
            <c:strRef>
              <c:f>'Chart data'!$C$90</c:f>
              <c:strCache>
                <c:ptCount val="1"/>
                <c:pt idx="0">
                  <c:v>Planned</c:v>
                </c:pt>
              </c:strCache>
            </c:strRef>
          </c:tx>
          <c:spPr>
            <a:solidFill>
              <a:schemeClr val="bg1">
                <a:lumMod val="65000"/>
                <a:alpha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[0]!Debt_Chart_Planned</c:f>
              <c:numCache>
                <c:formatCode>0.0</c:formatCode>
                <c:ptCount val="15"/>
                <c:pt idx="0">
                  <c:v>#N/A</c:v>
                </c:pt>
                <c:pt idx="1">
                  <c:v>48.9</c:v>
                </c:pt>
                <c:pt idx="2">
                  <c:v>50.6</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4-C06F-4B17-8A9C-2CC119BDB788}"/>
            </c:ext>
          </c:extLst>
        </c:ser>
        <c:dLbls>
          <c:showLegendKey val="0"/>
          <c:showVal val="0"/>
          <c:showCatName val="0"/>
          <c:showSerName val="0"/>
          <c:showPercent val="0"/>
          <c:showBubbleSize val="0"/>
        </c:dLbls>
        <c:gapWidth val="25"/>
        <c:overlap val="100"/>
        <c:axId val="775231272"/>
        <c:axId val="775231632"/>
      </c:barChart>
      <c:lineChart>
        <c:grouping val="standard"/>
        <c:varyColors val="0"/>
        <c:ser>
          <c:idx val="1"/>
          <c:order val="1"/>
          <c:tx>
            <c:strRef>
              <c:f>'Chart data'!$C$93</c:f>
              <c:strCache>
                <c:ptCount val="1"/>
                <c:pt idx="0">
                  <c:v>60% reference value</c:v>
                </c:pt>
              </c:strCache>
            </c:strRef>
          </c:tx>
          <c:spPr>
            <a:ln w="22225" cap="rnd">
              <a:solidFill>
                <a:srgbClr val="C00000"/>
              </a:solidFill>
              <a:prstDash val="dash"/>
              <a:round/>
            </a:ln>
            <a:effectLst/>
          </c:spPr>
          <c:marker>
            <c:symbol val="none"/>
          </c:marker>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[0]!Debt_Chart_60_Reference_Value</c:f>
              <c:numCache>
                <c:formatCode>0</c:formatCode>
                <c:ptCount val="15"/>
                <c:pt idx="0">
                  <c:v>60.05</c:v>
                </c:pt>
                <c:pt idx="1">
                  <c:v>60.05</c:v>
                </c:pt>
                <c:pt idx="2">
                  <c:v>60.05</c:v>
                </c:pt>
                <c:pt idx="3">
                  <c:v>60.05</c:v>
                </c:pt>
                <c:pt idx="4">
                  <c:v>60.05</c:v>
                </c:pt>
                <c:pt idx="5">
                  <c:v>60.05</c:v>
                </c:pt>
                <c:pt idx="6">
                  <c:v>60.05</c:v>
                </c:pt>
                <c:pt idx="7">
                  <c:v>60.05</c:v>
                </c:pt>
                <c:pt idx="8">
                  <c:v>60.05</c:v>
                </c:pt>
                <c:pt idx="9">
                  <c:v>60.05</c:v>
                </c:pt>
                <c:pt idx="10">
                  <c:v>60.05</c:v>
                </c:pt>
                <c:pt idx="11">
                  <c:v>60.05</c:v>
                </c:pt>
                <c:pt idx="12">
                  <c:v>60.05</c:v>
                </c:pt>
                <c:pt idx="13">
                  <c:v>60.05</c:v>
                </c:pt>
                <c:pt idx="14">
                  <c:v>60.05</c:v>
                </c:pt>
              </c:numCache>
            </c:numRef>
          </c:val>
          <c:smooth val="0"/>
          <c:extLst>
            <c:ext xmlns:c16="http://schemas.microsoft.com/office/drawing/2014/chart" uri="{C3380CC4-5D6E-409C-BE32-E72D297353CC}">
              <c16:uniqueId val="{00000005-C06F-4B17-8A9C-2CC119BDB788}"/>
            </c:ext>
          </c:extLst>
        </c:ser>
        <c:dLbls>
          <c:showLegendKey val="0"/>
          <c:showVal val="0"/>
          <c:showCatName val="0"/>
          <c:showSerName val="0"/>
          <c:showPercent val="0"/>
          <c:showBubbleSize val="0"/>
        </c:dLbls>
        <c:marker val="1"/>
        <c:smooth val="0"/>
        <c:axId val="775231272"/>
        <c:axId val="775231632"/>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1"/>
        <c:axPos val="l"/>
        <c:numFmt formatCode="0.0" sourceLinked="1"/>
        <c:majorTickMark val="none"/>
        <c:minorTickMark val="none"/>
        <c:tickLblPos val="nextTo"/>
        <c:crossAx val="775231272"/>
        <c:crosses val="autoZero"/>
        <c:crossBetween val="between"/>
      </c:valAx>
      <c:spPr>
        <a:noFill/>
        <a:ln>
          <a:noFill/>
        </a:ln>
        <a:effectLst/>
      </c:spPr>
    </c:plotArea>
    <c:legend>
      <c:legendPos val="r"/>
      <c:legendEntry>
        <c:idx val="4"/>
        <c:delete val="1"/>
      </c:legendEntry>
      <c:layout>
        <c:manualLayout>
          <c:xMode val="edge"/>
          <c:yMode val="edge"/>
          <c:x val="5.0135001277123288E-2"/>
          <c:y val="0.90131274704954789"/>
          <c:w val="0.88973429605586951"/>
          <c:h val="8.87260379616689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data'!$C$78</c:f>
          <c:strCache>
            <c:ptCount val="1"/>
            <c:pt idx="0">
              <c:v>Performance of general government balance compared to the endorsed plan (in context of planned fiscal path DSA)</c:v>
            </c:pt>
          </c:strCache>
        </c:strRef>
      </c:tx>
      <c:layout>
        <c:manualLayout>
          <c:xMode val="edge"/>
          <c:yMode val="edge"/>
          <c:x val="0.12194675906092023"/>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28686964129483816"/>
          <c:w val="1"/>
          <c:h val="0.60036045494313206"/>
        </c:manualLayout>
      </c:layout>
      <c:barChart>
        <c:barDir val="col"/>
        <c:grouping val="clustered"/>
        <c:varyColors val="0"/>
        <c:ser>
          <c:idx val="0"/>
          <c:order val="0"/>
          <c:tx>
            <c:v>DSA</c:v>
          </c:tx>
          <c:spPr>
            <a:solidFill>
              <a:schemeClr val="accent5">
                <a:lumMod val="40000"/>
                <a:lumOff val="60000"/>
              </a:schemeClr>
            </a:solidFill>
            <a:ln w="15875">
              <a:noFill/>
            </a:ln>
            <a:effectLst/>
          </c:spPr>
          <c:invertIfNegative val="0"/>
          <c:dPt>
            <c:idx val="0"/>
            <c:invertIfNegative val="0"/>
            <c:bubble3D val="0"/>
            <c:spPr>
              <a:solidFill>
                <a:schemeClr val="accent5">
                  <a:lumMod val="40000"/>
                  <a:lumOff val="60000"/>
                </a:schemeClr>
              </a:solidFill>
              <a:ln w="15875">
                <a:noFill/>
              </a:ln>
              <a:effectLst/>
            </c:spPr>
            <c:extLst>
              <c:ext xmlns:c16="http://schemas.microsoft.com/office/drawing/2014/chart" uri="{C3380CC4-5D6E-409C-BE32-E72D297353CC}">
                <c16:uniqueId val="{00000001-96A1-4020-8366-40F4330B2D63}"/>
              </c:ext>
            </c:extLst>
          </c:dPt>
          <c:dLbls>
            <c:dLbl>
              <c:idx val="0"/>
              <c:layout>
                <c:manualLayout>
                  <c:x val="-1.5585548826543196E-17"/>
                  <c:y val="2.05633891299427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[0]!Deficit_Chart_EC_Reference</c:f>
              <c:numCache>
                <c:formatCode>0.0</c:formatCode>
                <c:ptCount val="15"/>
                <c:pt idx="0">
                  <c:v>-2.6</c:v>
                </c:pt>
                <c:pt idx="1">
                  <c:v>-2.9</c:v>
                </c:pt>
                <c:pt idx="2">
                  <c:v>-2.9</c:v>
                </c:pt>
                <c:pt idx="3">
                  <c:v>-2.9</c:v>
                </c:pt>
                <c:pt idx="4">
                  <c:v>-2.9</c:v>
                </c:pt>
                <c:pt idx="5">
                  <c:v>-2.9</c:v>
                </c:pt>
                <c:pt idx="6">
                  <c:v>-2.9</c:v>
                </c:pt>
                <c:pt idx="7">
                  <c:v>-2.9</c:v>
                </c:pt>
                <c:pt idx="8">
                  <c:v>-3</c:v>
                </c:pt>
                <c:pt idx="9">
                  <c:v>-3</c:v>
                </c:pt>
                <c:pt idx="10">
                  <c:v>-3</c:v>
                </c:pt>
                <c:pt idx="11">
                  <c:v>-3</c:v>
                </c:pt>
                <c:pt idx="12">
                  <c:v>-3</c:v>
                </c:pt>
                <c:pt idx="13">
                  <c:v>-3</c:v>
                </c:pt>
                <c:pt idx="14">
                  <c:v>-2.9</c:v>
                </c:pt>
              </c:numCache>
            </c:numRef>
          </c:val>
          <c:extLst>
            <c:ext xmlns:c16="http://schemas.microsoft.com/office/drawing/2014/chart" uri="{C3380CC4-5D6E-409C-BE32-E72D297353CC}">
              <c16:uniqueId val="{00000002-96A1-4020-8366-40F4330B2D63}"/>
            </c:ext>
          </c:extLst>
        </c:ser>
        <c:ser>
          <c:idx val="3"/>
          <c:order val="2"/>
          <c:tx>
            <c:strRef>
              <c:f>'Chart data'!$C$81</c:f>
              <c:strCache>
                <c:ptCount val="1"/>
                <c:pt idx="0">
                  <c:v>Observed (Compliant)</c:v>
                </c:pt>
              </c:strCache>
            </c:strRef>
          </c:tx>
          <c:spPr>
            <a:solidFill>
              <a:srgbClr val="007635"/>
            </a:solidFill>
            <a:ln>
              <a:noFill/>
            </a:ln>
            <a:effectLst/>
          </c:spPr>
          <c:invertIfNegative val="0"/>
          <c:dPt>
            <c:idx val="0"/>
            <c:invertIfNegative val="0"/>
            <c:bubble3D val="0"/>
            <c:spPr>
              <a:solidFill>
                <a:srgbClr val="007635">
                  <a:alpha val="75000"/>
                </a:srgbClr>
              </a:solidFill>
              <a:ln>
                <a:noFill/>
              </a:ln>
              <a:effectLst/>
            </c:spPr>
            <c:extLst>
              <c:ext xmlns:c16="http://schemas.microsoft.com/office/drawing/2014/chart" uri="{C3380CC4-5D6E-409C-BE32-E72D297353CC}">
                <c16:uniqueId val="{00000004-96A1-4020-8366-40F4330B2D6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[0]!Deficit_Chart_Observed_Compliant</c:f>
              <c:numCache>
                <c:formatCode>0.0</c:formatCode>
                <c:ptCount val="15"/>
                <c:pt idx="0">
                  <c:v>-1.7868607680254289</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5-96A1-4020-8366-40F4330B2D63}"/>
            </c:ext>
          </c:extLst>
        </c:ser>
        <c:ser>
          <c:idx val="2"/>
          <c:order val="3"/>
          <c:tx>
            <c:strRef>
              <c:f>'Chart data'!$C$82</c:f>
              <c:strCache>
                <c:ptCount val="1"/>
                <c:pt idx="0">
                  <c:v>Observed (Breach)</c:v>
                </c:pt>
              </c:strCache>
            </c:strRef>
          </c:tx>
          <c:spPr>
            <a:solidFill>
              <a:srgbClr val="C00000">
                <a:alpha val="75000"/>
              </a:srgb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[0]!Deficit_Chart_Observed_Breach</c:f>
              <c:numCache>
                <c:formatCode>General</c:formatCode>
                <c:ptCount val="15"/>
                <c:pt idx="0" formatCode="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6-96A1-4020-8366-40F4330B2D63}"/>
            </c:ext>
          </c:extLst>
        </c:ser>
        <c:ser>
          <c:idx val="4"/>
          <c:order val="4"/>
          <c:tx>
            <c:strRef>
              <c:f>'Chart data'!$C$80</c:f>
              <c:strCache>
                <c:ptCount val="1"/>
                <c:pt idx="0">
                  <c:v>Planned</c:v>
                </c:pt>
              </c:strCache>
            </c:strRef>
          </c:tx>
          <c:spPr>
            <a:solidFill>
              <a:schemeClr val="bg1">
                <a:lumMod val="65000"/>
                <a:alpha val="50000"/>
              </a:schemeClr>
            </a:solidFill>
            <a:ln>
              <a:noFill/>
            </a:ln>
            <a:effectLst/>
          </c:spPr>
          <c:invertIfNegative val="0"/>
          <c:dLbls>
            <c:dLbl>
              <c:idx val="1"/>
              <c:layout>
                <c:manualLayout>
                  <c:x val="-3.3960878672220562E-3"/>
                  <c:y val="-2.666631671041103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6A1-4020-8366-40F4330B2D63}"/>
                </c:ext>
              </c:extLst>
            </c:dLbl>
            <c:dLbl>
              <c:idx val="2"/>
              <c:layout>
                <c:manualLayout>
                  <c:x val="-3.1130445827968845E-17"/>
                  <c:y val="1.777777777777777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[0]!Deficit_Chart_Planned</c:f>
              <c:numCache>
                <c:formatCode>0.0</c:formatCode>
                <c:ptCount val="15"/>
                <c:pt idx="0">
                  <c:v>#N/A</c:v>
                </c:pt>
                <c:pt idx="1">
                  <c:v>-2.9</c:v>
                </c:pt>
                <c:pt idx="2">
                  <c:v>-3.3</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9-96A1-4020-8366-40F4330B2D63}"/>
            </c:ext>
          </c:extLst>
        </c:ser>
        <c:dLbls>
          <c:showLegendKey val="0"/>
          <c:showVal val="0"/>
          <c:showCatName val="0"/>
          <c:showSerName val="0"/>
          <c:showPercent val="0"/>
          <c:showBubbleSize val="0"/>
        </c:dLbls>
        <c:gapWidth val="25"/>
        <c:overlap val="100"/>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[0]!Deficit_Chart_Reference_Value</c:f>
              <c:numCache>
                <c:formatCode>0</c:formatCode>
                <c:ptCount val="15"/>
                <c:pt idx="0">
                  <c:v>-3.05</c:v>
                </c:pt>
                <c:pt idx="1">
                  <c:v>-3.05</c:v>
                </c:pt>
                <c:pt idx="2">
                  <c:v>-3.05</c:v>
                </c:pt>
                <c:pt idx="3">
                  <c:v>-3.05</c:v>
                </c:pt>
                <c:pt idx="4">
                  <c:v>-3.05</c:v>
                </c:pt>
                <c:pt idx="5">
                  <c:v>-3.05</c:v>
                </c:pt>
                <c:pt idx="6">
                  <c:v>-3.05</c:v>
                </c:pt>
                <c:pt idx="7">
                  <c:v>-3.05</c:v>
                </c:pt>
                <c:pt idx="8">
                  <c:v>-3.05</c:v>
                </c:pt>
                <c:pt idx="9">
                  <c:v>-3.05</c:v>
                </c:pt>
                <c:pt idx="10">
                  <c:v>-3.05</c:v>
                </c:pt>
                <c:pt idx="11">
                  <c:v>-3.05</c:v>
                </c:pt>
                <c:pt idx="12">
                  <c:v>-3.05</c:v>
                </c:pt>
                <c:pt idx="13">
                  <c:v>-3.05</c:v>
                </c:pt>
                <c:pt idx="14">
                  <c:v>-3.05</c:v>
                </c:pt>
              </c:numCache>
            </c:numRef>
          </c:val>
          <c:smooth val="0"/>
          <c:extLst>
            <c:ext xmlns:c16="http://schemas.microsoft.com/office/drawing/2014/chart" uri="{C3380CC4-5D6E-409C-BE32-E72D297353CC}">
              <c16:uniqueId val="{0000000A-96A1-4020-8366-40F4330B2D6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1"/>
        <c:axPos val="l"/>
        <c:numFmt formatCode="0.0" sourceLinked="1"/>
        <c:majorTickMark val="none"/>
        <c:minorTickMark val="none"/>
        <c:tickLblPos val="nextTo"/>
        <c:crossAx val="775248192"/>
        <c:crosses val="autoZero"/>
        <c:crossBetween val="between"/>
      </c:valAx>
      <c:spPr>
        <a:noFill/>
        <a:ln>
          <a:noFill/>
        </a:ln>
        <a:effectLst/>
      </c:spPr>
    </c:plotArea>
    <c:legend>
      <c:legendPos val="t"/>
      <c:legendEntry>
        <c:idx val="4"/>
        <c:delete val="1"/>
      </c:legendEntry>
      <c:layout>
        <c:manualLayout>
          <c:xMode val="edge"/>
          <c:yMode val="edge"/>
          <c:x val="6.7921757344441124E-3"/>
          <c:y val="0.21311111111111114"/>
          <c:w val="0.99320782426555587"/>
          <c:h val="5.333543307086614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data'!$C$144</c:f>
          <c:strCache>
            <c:ptCount val="1"/>
            <c:pt idx="0">
              <c:v>National primary balance rule </c:v>
            </c:pt>
          </c:strCache>
        </c:strRef>
      </c:tx>
      <c:layout>
        <c:manualLayout>
          <c:xMode val="edge"/>
          <c:yMode val="edge"/>
          <c:x val="0.19405234133526647"/>
          <c:y val="4.77740931728187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1135946437310383E-2"/>
          <c:y val="0.28265045712297604"/>
          <c:w val="0.83772810712537926"/>
          <c:h val="0.61001608446255495"/>
        </c:manualLayout>
      </c:layout>
      <c:barChart>
        <c:barDir val="col"/>
        <c:grouping val="clustered"/>
        <c:varyColors val="0"/>
        <c:ser>
          <c:idx val="0"/>
          <c:order val="0"/>
          <c:tx>
            <c:strRef>
              <c:f>'Chart data'!$C$145</c:f>
              <c:strCache>
                <c:ptCount val="1"/>
                <c:pt idx="0">
                  <c:v>Primary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[0]!PBChart_Years</c:f>
              <c:numCache>
                <c:formatCode>General</c:formatCode>
                <c:ptCount val="5"/>
                <c:pt idx="0">
                  <c:v>2024</c:v>
                </c:pt>
                <c:pt idx="1">
                  <c:v>2025</c:v>
                </c:pt>
                <c:pt idx="2">
                  <c:v>2026</c:v>
                </c:pt>
                <c:pt idx="3">
                  <c:v>2027</c:v>
                </c:pt>
                <c:pt idx="4">
                  <c:v>2028</c:v>
                </c:pt>
              </c:numCache>
            </c:numRef>
          </c:cat>
          <c:val>
            <c:numRef>
              <c:f>[0]!PBChart_MTP</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2B0-4AE6-9F17-77FEDBB9BC74}"/>
            </c:ext>
          </c:extLst>
        </c:ser>
        <c:ser>
          <c:idx val="8"/>
          <c:order val="8"/>
          <c:tx>
            <c:strRef>
              <c:f>'Chart data'!$C$147</c:f>
              <c:strCache>
                <c:ptCount val="1"/>
                <c:pt idx="0">
                  <c:v>Blank helper series 1</c:v>
                </c:pt>
              </c:strCache>
            </c:strRef>
          </c:tx>
          <c:spPr>
            <a:solidFill>
              <a:schemeClr val="accent3">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[0]!PBChart_BlankHelper1</c:f>
              <c:numCache>
                <c:formatCode>General</c:formatCode>
                <c:ptCount val="5"/>
              </c:numCache>
            </c:numRef>
          </c:val>
          <c:extLst>
            <c:ext xmlns:c16="http://schemas.microsoft.com/office/drawing/2014/chart" uri="{C3380CC4-5D6E-409C-BE32-E72D297353CC}">
              <c16:uniqueId val="{00000001-D2B0-4AE6-9F17-77FEDBB9BC74}"/>
            </c:ext>
          </c:extLst>
        </c:ser>
        <c:ser>
          <c:idx val="9"/>
          <c:order val="9"/>
          <c:tx>
            <c:strRef>
              <c:f>'Chart data'!$C$148</c:f>
              <c:strCache>
                <c:ptCount val="1"/>
                <c:pt idx="0">
                  <c:v>Blank helper series 2</c:v>
                </c:pt>
              </c:strCache>
            </c:strRef>
          </c:tx>
          <c:spPr>
            <a:solidFill>
              <a:schemeClr val="accent4">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[0]!PBChart_BlankHelper2</c:f>
              <c:numCache>
                <c:formatCode>General</c:formatCode>
                <c:ptCount val="5"/>
              </c:numCache>
            </c:numRef>
          </c:val>
          <c:extLst>
            <c:ext xmlns:c16="http://schemas.microsoft.com/office/drawing/2014/chart" uri="{C3380CC4-5D6E-409C-BE32-E72D297353CC}">
              <c16:uniqueId val="{00000002-D2B0-4AE6-9F17-77FEDBB9BC74}"/>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data'!$C$146</c:f>
              <c:strCache>
                <c:ptCount val="1"/>
                <c:pt idx="0">
                  <c:v>Primary balance (planned)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[0]!PBChart_Planned</c:f>
              <c:numCache>
                <c:formatCode>0.0</c:formatCode>
                <c:ptCount val="5"/>
                <c:pt idx="0">
                  <c:v>-0.69639356198788627</c:v>
                </c:pt>
                <c:pt idx="1">
                  <c:v>-1.7</c:v>
                </c:pt>
                <c:pt idx="2">
                  <c:v>-1.8999999999999997</c:v>
                </c:pt>
                <c:pt idx="3">
                  <c:v>#N/A</c:v>
                </c:pt>
                <c:pt idx="4">
                  <c:v>#N/A</c:v>
                </c:pt>
              </c:numCache>
            </c:numRef>
          </c:val>
          <c:extLst>
            <c:ext xmlns:c16="http://schemas.microsoft.com/office/drawing/2014/chart" uri="{C3380CC4-5D6E-409C-BE32-E72D297353CC}">
              <c16:uniqueId val="{00000003-D2B0-4AE6-9F17-77FEDBB9BC74}"/>
            </c:ext>
          </c:extLst>
        </c:ser>
        <c:ser>
          <c:idx val="2"/>
          <c:order val="2"/>
          <c:tx>
            <c:strRef>
              <c:f>'Chart data'!$C$149</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D2B0-4AE6-9F17-77FEDBB9BC74}"/>
            </c:ext>
          </c:extLst>
        </c:ser>
        <c:ser>
          <c:idx val="3"/>
          <c:order val="3"/>
          <c:tx>
            <c:strRef>
              <c:f>'Chart data'!$C$150</c:f>
              <c:strCache>
                <c:ptCount val="1"/>
                <c:pt idx="0">
                  <c:v>Observed (Breach)</c:v>
                </c:pt>
              </c:strCache>
            </c:strRef>
          </c:tx>
          <c:spPr>
            <a:solidFill>
              <a:srgbClr val="C00000"/>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[0]!PBChart_Breach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D2B0-4AE6-9F17-77FEDBB9BC74}"/>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-1.8999999999999997</c:v>
                </c:pt>
              </c:numCache>
            </c:numRef>
          </c:val>
          <c:smooth val="0"/>
          <c:extLst>
            <c:ext xmlns:c16="http://schemas.microsoft.com/office/drawing/2014/chart" uri="{C3380CC4-5D6E-409C-BE32-E72D297353CC}">
              <c16:uniqueId val="{00000006-D2B0-4AE6-9F17-77FEDBB9BC74}"/>
            </c:ext>
          </c:extLst>
        </c:ser>
        <c:ser>
          <c:idx val="5"/>
          <c:order val="5"/>
          <c:tx>
            <c:v>LeftAxisMax</c:v>
          </c:tx>
          <c:spPr>
            <a:ln w="28575" cap="rnd">
              <a:solidFill>
                <a:schemeClr val="accent6"/>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0</c:v>
                </c:pt>
              </c:numCache>
            </c:numRef>
          </c:val>
          <c:smooth val="0"/>
          <c:extLst>
            <c:ext xmlns:c16="http://schemas.microsoft.com/office/drawing/2014/chart" uri="{C3380CC4-5D6E-409C-BE32-E72D297353CC}">
              <c16:uniqueId val="{00000007-D2B0-4AE6-9F17-77FEDBB9BC74}"/>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0</c:v>
                </c:pt>
              </c:numCache>
            </c:numRef>
          </c:val>
          <c:smooth val="0"/>
          <c:extLst>
            <c:ext xmlns:c16="http://schemas.microsoft.com/office/drawing/2014/chart" uri="{C3380CC4-5D6E-409C-BE32-E72D297353CC}">
              <c16:uniqueId val="{00000008-D2B0-4AE6-9F17-77FEDBB9BC74}"/>
            </c:ext>
          </c:extLst>
        </c:ser>
        <c:ser>
          <c:idx val="7"/>
          <c:order val="7"/>
          <c:tx>
            <c:v>RightAxisMin</c:v>
          </c:tx>
          <c:spPr>
            <a:ln w="28575" cap="rnd">
              <a:solidFill>
                <a:schemeClr val="accent2">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-1.8999999999999997</c:v>
                </c:pt>
              </c:numCache>
            </c:numRef>
          </c:val>
          <c:smooth val="0"/>
          <c:extLst>
            <c:ext xmlns:c16="http://schemas.microsoft.com/office/drawing/2014/chart" uri="{C3380CC4-5D6E-409C-BE32-E72D297353CC}">
              <c16:uniqueId val="{00000009-D2B0-4AE6-9F17-77FEDBB9BC74}"/>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7.0694121672851315E-2"/>
          <c:y val="0.14153489126138252"/>
          <c:w val="0.81191164342013467"/>
          <c:h val="0.10193177491953212"/>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data'!$C$133</c:f>
          <c:strCache>
            <c:ptCount val="1"/>
            <c:pt idx="0">
              <c:v>National structural balance rule </c:v>
            </c:pt>
          </c:strCache>
        </c:strRef>
      </c:tx>
      <c:layout>
        <c:manualLayout>
          <c:xMode val="edge"/>
          <c:yMode val="edge"/>
          <c:x val="0.20464680519887943"/>
          <c:y val="4.40001316539372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49989484596573E-2"/>
          <c:y val="0.22895804795616606"/>
          <c:w val="0.83900021030806848"/>
          <c:h val="0.66884568326837857"/>
        </c:manualLayout>
      </c:layout>
      <c:barChart>
        <c:barDir val="col"/>
        <c:grouping val="clustered"/>
        <c:varyColors val="0"/>
        <c:ser>
          <c:idx val="0"/>
          <c:order val="0"/>
          <c:tx>
            <c:strRef>
              <c:f>'Chart data'!$C$134</c:f>
              <c:strCache>
                <c:ptCount val="1"/>
                <c:pt idx="0">
                  <c:v>Structural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[0]!SBChart_MTP</c:f>
              <c:numCache>
                <c:formatCode>General</c:formatCode>
                <c:ptCount val="5"/>
                <c:pt idx="0">
                  <c:v>-1.9</c:v>
                </c:pt>
                <c:pt idx="1">
                  <c:v>-2.5</c:v>
                </c:pt>
                <c:pt idx="2">
                  <c:v>-2.6</c:v>
                </c:pt>
                <c:pt idx="3">
                  <c:v>-2.7</c:v>
                </c:pt>
                <c:pt idx="4">
                  <c:v>-2.7</c:v>
                </c:pt>
              </c:numCache>
            </c:numRef>
          </c:val>
          <c:extLst>
            <c:ext xmlns:c16="http://schemas.microsoft.com/office/drawing/2014/chart" uri="{C3380CC4-5D6E-409C-BE32-E72D297353CC}">
              <c16:uniqueId val="{00000000-C004-418C-8536-222E2B2A8B75}"/>
            </c:ext>
          </c:extLst>
        </c:ser>
        <c:ser>
          <c:idx val="8"/>
          <c:order val="8"/>
          <c:tx>
            <c:strRef>
              <c:f>'Chart data'!$C$136</c:f>
              <c:strCache>
                <c:ptCount val="1"/>
                <c:pt idx="0">
                  <c:v>Blank helper series 1</c:v>
                </c:pt>
              </c:strCache>
            </c:strRef>
          </c:tx>
          <c:spPr>
            <a:solidFill>
              <a:schemeClr val="accent3">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[0]!SBChart_BlankHelper1</c:f>
              <c:numCache>
                <c:formatCode>0.00</c:formatCode>
                <c:ptCount val="5"/>
              </c:numCache>
            </c:numRef>
          </c:val>
          <c:extLst>
            <c:ext xmlns:c16="http://schemas.microsoft.com/office/drawing/2014/chart" uri="{C3380CC4-5D6E-409C-BE32-E72D297353CC}">
              <c16:uniqueId val="{00000001-C004-418C-8536-222E2B2A8B75}"/>
            </c:ext>
          </c:extLst>
        </c:ser>
        <c:ser>
          <c:idx val="9"/>
          <c:order val="9"/>
          <c:tx>
            <c:strRef>
              <c:f>'Chart data'!$C$137</c:f>
              <c:strCache>
                <c:ptCount val="1"/>
                <c:pt idx="0">
                  <c:v>Blank helper series 2</c:v>
                </c:pt>
              </c:strCache>
            </c:strRef>
          </c:tx>
          <c:spPr>
            <a:solidFill>
              <a:schemeClr val="accent4">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[0]!SBChart_BlankHelper2</c:f>
              <c:numCache>
                <c:formatCode>0.00</c:formatCode>
                <c:ptCount val="5"/>
              </c:numCache>
            </c:numRef>
          </c:val>
          <c:extLst>
            <c:ext xmlns:c16="http://schemas.microsoft.com/office/drawing/2014/chart" uri="{C3380CC4-5D6E-409C-BE32-E72D297353CC}">
              <c16:uniqueId val="{00000002-C004-418C-8536-222E2B2A8B75}"/>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data'!$C$135</c:f>
              <c:strCache>
                <c:ptCount val="1"/>
                <c:pt idx="0">
                  <c:v>Structural balance (planned)</c:v>
                </c:pt>
              </c:strCache>
            </c:strRef>
          </c:tx>
          <c:spPr>
            <a:pattFill prst="ltUpDiag">
              <a:fgClr>
                <a:schemeClr val="bg1">
                  <a:lumMod val="65000"/>
                </a:schemeClr>
              </a:fgClr>
              <a:bgClr>
                <a:schemeClr val="bg1"/>
              </a:bgClr>
            </a:pattFill>
            <a:ln>
              <a:noFill/>
            </a:ln>
            <a:effectLst/>
          </c:spPr>
          <c:invertIfNegative val="0"/>
          <c:dLbls>
            <c:dLbl>
              <c:idx val="1"/>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3-C004-418C-8536-222E2B2A8B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[0]!SBChart_Planned</c:f>
              <c:numCache>
                <c:formatCode>0.00</c:formatCode>
                <c:ptCount val="5"/>
                <c:pt idx="0" formatCode="General">
                  <c:v>#N/A</c:v>
                </c:pt>
                <c:pt idx="1">
                  <c:v>-2.4</c:v>
                </c:pt>
                <c:pt idx="2" formatCode="General">
                  <c:v>-3</c:v>
                </c:pt>
                <c:pt idx="3" formatCode="General">
                  <c:v>#N/A</c:v>
                </c:pt>
                <c:pt idx="4" formatCode="General">
                  <c:v>#N/A</c:v>
                </c:pt>
              </c:numCache>
            </c:numRef>
          </c:val>
          <c:extLst>
            <c:ext xmlns:c16="http://schemas.microsoft.com/office/drawing/2014/chart" uri="{C3380CC4-5D6E-409C-BE32-E72D297353CC}">
              <c16:uniqueId val="{00000004-C004-418C-8536-222E2B2A8B75}"/>
            </c:ext>
          </c:extLst>
        </c:ser>
        <c:ser>
          <c:idx val="2"/>
          <c:order val="2"/>
          <c:tx>
            <c:strRef>
              <c:f>'Chart data'!$C$138</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[0]!SBChart_ObservedCompliant</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5-C004-418C-8536-222E2B2A8B75}"/>
            </c:ext>
          </c:extLst>
        </c:ser>
        <c:ser>
          <c:idx val="3"/>
          <c:order val="3"/>
          <c:tx>
            <c:strRef>
              <c:f>'Chart data'!$C$139</c:f>
              <c:strCache>
                <c:ptCount val="1"/>
                <c:pt idx="0">
                  <c:v>Observed (Breach)</c:v>
                </c:pt>
              </c:strCache>
            </c:strRef>
          </c:tx>
          <c:spPr>
            <a:solidFill>
              <a:srgbClr val="C00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[0]!SBChart_ObservedBreach</c:f>
              <c:numCache>
                <c:formatCode>0.0</c:formatCode>
                <c:ptCount val="5"/>
                <c:pt idx="0">
                  <c:v>-1.548</c:v>
                </c:pt>
                <c:pt idx="1">
                  <c:v>#N/A</c:v>
                </c:pt>
                <c:pt idx="2">
                  <c:v>#N/A</c:v>
                </c:pt>
                <c:pt idx="3">
                  <c:v>#N/A</c:v>
                </c:pt>
                <c:pt idx="4">
                  <c:v>#N/A</c:v>
                </c:pt>
              </c:numCache>
            </c:numRef>
          </c:val>
          <c:extLst>
            <c:ext xmlns:c16="http://schemas.microsoft.com/office/drawing/2014/chart" uri="{C3380CC4-5D6E-409C-BE32-E72D297353CC}">
              <c16:uniqueId val="{00000006-C004-418C-8536-222E2B2A8B75}"/>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-3</c:v>
                </c:pt>
              </c:numCache>
            </c:numRef>
          </c:val>
          <c:smooth val="0"/>
          <c:extLst>
            <c:ext xmlns:c16="http://schemas.microsoft.com/office/drawing/2014/chart" uri="{C3380CC4-5D6E-409C-BE32-E72D297353CC}">
              <c16:uniqueId val="{00000007-C004-418C-8536-222E2B2A8B75}"/>
            </c:ext>
          </c:extLst>
        </c:ser>
        <c:ser>
          <c:idx val="5"/>
          <c:order val="5"/>
          <c:tx>
            <c:v>LeftAxisMax</c:v>
          </c:tx>
          <c:spPr>
            <a:ln w="28575" cap="rnd">
              <a:solidFill>
                <a:schemeClr val="accent6"/>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-1.548</c:v>
                </c:pt>
              </c:numCache>
            </c:numRef>
          </c:val>
          <c:smooth val="0"/>
          <c:extLst>
            <c:ext xmlns:c16="http://schemas.microsoft.com/office/drawing/2014/chart" uri="{C3380CC4-5D6E-409C-BE32-E72D297353CC}">
              <c16:uniqueId val="{00000008-C004-418C-8536-222E2B2A8B75}"/>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-1.548</c:v>
                </c:pt>
              </c:numCache>
            </c:numRef>
          </c:val>
          <c:smooth val="0"/>
          <c:extLst>
            <c:ext xmlns:c16="http://schemas.microsoft.com/office/drawing/2014/chart" uri="{C3380CC4-5D6E-409C-BE32-E72D297353CC}">
              <c16:uniqueId val="{00000009-C004-418C-8536-222E2B2A8B75}"/>
            </c:ext>
          </c:extLst>
        </c:ser>
        <c:ser>
          <c:idx val="7"/>
          <c:order val="7"/>
          <c:tx>
            <c:v>RightAxisMin</c:v>
          </c:tx>
          <c:spPr>
            <a:ln w="28575" cap="rnd">
              <a:solidFill>
                <a:schemeClr val="accent2">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-3</c:v>
                </c:pt>
              </c:numCache>
            </c:numRef>
          </c:val>
          <c:smooth val="0"/>
          <c:extLst>
            <c:ext xmlns:c16="http://schemas.microsoft.com/office/drawing/2014/chart" uri="{C3380CC4-5D6E-409C-BE32-E72D297353CC}">
              <c16:uniqueId val="{0000000A-C004-418C-8536-222E2B2A8B75}"/>
            </c:ext>
          </c:extLst>
        </c:ser>
        <c:ser>
          <c:idx val="10"/>
          <c:order val="10"/>
          <c:tx>
            <c:strRef>
              <c:f>'Chart data'!$C$140</c:f>
              <c:strCache>
                <c:ptCount val="1"/>
                <c:pt idx="0">
                  <c:v>Maximum structural deficit</c:v>
                </c:pt>
              </c:strCache>
            </c:strRef>
          </c:tx>
          <c:spPr>
            <a:ln w="19050" cap="rnd">
              <a:solidFill>
                <a:srgbClr val="C00000"/>
              </a:solidFill>
              <a:prstDash val="dash"/>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[0]!SBChart_Max</c:f>
              <c:numCache>
                <c:formatCode>0.0</c:formatCode>
                <c:ptCount val="5"/>
                <c:pt idx="1">
                  <c:v>-1</c:v>
                </c:pt>
                <c:pt idx="2">
                  <c:v>-1</c:v>
                </c:pt>
                <c:pt idx="3">
                  <c:v>-1</c:v>
                </c:pt>
                <c:pt idx="4">
                  <c:v>-1</c:v>
                </c:pt>
              </c:numCache>
            </c:numRef>
          </c:val>
          <c:smooth val="0"/>
          <c:extLst>
            <c:ext xmlns:c16="http://schemas.microsoft.com/office/drawing/2014/chart" uri="{C3380CC4-5D6E-409C-BE32-E72D297353CC}">
              <c16:uniqueId val="{0000000B-C004-418C-8536-222E2B2A8B75}"/>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8853283232500598E-2"/>
          <c:y val="0.8660219352549694"/>
          <c:w val="0.80846597097398865"/>
          <c:h val="0.10610635507899728"/>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17</xdr:col>
      <xdr:colOff>571499</xdr:colOff>
      <xdr:row>28</xdr:row>
      <xdr:rowOff>38099</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8401049" y="238124"/>
          <a:ext cx="5000625" cy="5000625"/>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and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409576</xdr:colOff>
      <xdr:row>0</xdr:row>
      <xdr:rowOff>171448</xdr:rowOff>
    </xdr:from>
    <xdr:to>
      <xdr:col>24</xdr:col>
      <xdr:colOff>47626</xdr:colOff>
      <xdr:row>36</xdr:row>
      <xdr:rowOff>66675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877801" y="171448"/>
          <a:ext cx="4438650" cy="6981827"/>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17</xdr:col>
      <xdr:colOff>371474</xdr:colOff>
      <xdr:row>60</xdr:row>
      <xdr:rowOff>171449</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5438775" cy="7229475"/>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11924</xdr:colOff>
      <xdr:row>85</xdr:row>
      <xdr:rowOff>15765</xdr:rowOff>
    </xdr:from>
    <xdr:to>
      <xdr:col>3</xdr:col>
      <xdr:colOff>142393</xdr:colOff>
      <xdr:row>99</xdr:row>
      <xdr:rowOff>88723</xdr:rowOff>
    </xdr:to>
    <xdr:graphicFrame macro="">
      <xdr:nvGraphicFramePr>
        <xdr:cNvPr id="2" name="Chart 1">
          <a:extLst>
            <a:ext uri="{FF2B5EF4-FFF2-40B4-BE49-F238E27FC236}">
              <a16:creationId xmlns:a16="http://schemas.microsoft.com/office/drawing/2014/main" id="{1BCDEC1E-2A12-4F3F-9105-CE44AE9C11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332813</xdr:colOff>
      <xdr:row>85</xdr:row>
      <xdr:rowOff>30253</xdr:rowOff>
    </xdr:from>
    <xdr:to>
      <xdr:col>16</xdr:col>
      <xdr:colOff>50385</xdr:colOff>
      <xdr:row>99</xdr:row>
      <xdr:rowOff>115980</xdr:rowOff>
    </xdr:to>
    <xdr:graphicFrame macro="">
      <xdr:nvGraphicFramePr>
        <xdr:cNvPr id="3" name="Chart 2">
          <a:extLst>
            <a:ext uri="{FF2B5EF4-FFF2-40B4-BE49-F238E27FC236}">
              <a16:creationId xmlns:a16="http://schemas.microsoft.com/office/drawing/2014/main" id="{9AEBB222-EBF8-4943-BB7E-0396FA46AA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248090</xdr:colOff>
      <xdr:row>85</xdr:row>
      <xdr:rowOff>36778</xdr:rowOff>
    </xdr:from>
    <xdr:to>
      <xdr:col>9</xdr:col>
      <xdr:colOff>217714</xdr:colOff>
      <xdr:row>99</xdr:row>
      <xdr:rowOff>122464</xdr:rowOff>
    </xdr:to>
    <xdr:graphicFrame macro="">
      <xdr:nvGraphicFramePr>
        <xdr:cNvPr id="4" name="Chart 3">
          <a:extLst>
            <a:ext uri="{FF2B5EF4-FFF2-40B4-BE49-F238E27FC236}">
              <a16:creationId xmlns:a16="http://schemas.microsoft.com/office/drawing/2014/main" id="{CD32CA04-0D52-4DB1-9E85-FE75F0B5E8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548688</xdr:colOff>
      <xdr:row>34</xdr:row>
      <xdr:rowOff>39099</xdr:rowOff>
    </xdr:from>
    <xdr:to>
      <xdr:col>24</xdr:col>
      <xdr:colOff>31895</xdr:colOff>
      <xdr:row>49</xdr:row>
      <xdr:rowOff>43860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579021</xdr:colOff>
      <xdr:row>49</xdr:row>
      <xdr:rowOff>156801</xdr:rowOff>
    </xdr:from>
    <xdr:to>
      <xdr:col>24</xdr:col>
      <xdr:colOff>31894</xdr:colOff>
      <xdr:row>66</xdr:row>
      <xdr:rowOff>61553</xdr:rowOff>
    </xdr:to>
    <xdr:graphicFrame macro="">
      <xdr:nvGraphicFramePr>
        <xdr:cNvPr id="6" name="Chart 5">
          <a:extLst>
            <a:ext uri="{FF2B5EF4-FFF2-40B4-BE49-F238E27FC236}">
              <a16:creationId xmlns:a16="http://schemas.microsoft.com/office/drawing/2014/main" id="{62C407C0-341B-43E9-9A0F-7AD3D71E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174</xdr:row>
      <xdr:rowOff>5779</xdr:rowOff>
    </xdr:from>
    <xdr:to>
      <xdr:col>2</xdr:col>
      <xdr:colOff>0</xdr:colOff>
      <xdr:row>190</xdr:row>
      <xdr:rowOff>183931</xdr:rowOff>
    </xdr:to>
    <xdr:graphicFrame macro="">
      <xdr:nvGraphicFramePr>
        <xdr:cNvPr id="7" name="Chart 6">
          <a:extLst>
            <a:ext uri="{FF2B5EF4-FFF2-40B4-BE49-F238E27FC236}">
              <a16:creationId xmlns:a16="http://schemas.microsoft.com/office/drawing/2014/main" id="{94A9B8E7-6DDC-46CB-AED0-65374BB90A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151877</xdr:colOff>
      <xdr:row>85</xdr:row>
      <xdr:rowOff>39778</xdr:rowOff>
    </xdr:from>
    <xdr:to>
      <xdr:col>23</xdr:col>
      <xdr:colOff>532918</xdr:colOff>
      <xdr:row>99</xdr:row>
      <xdr:rowOff>115979</xdr:rowOff>
    </xdr:to>
    <xdr:graphicFrame macro="">
      <xdr:nvGraphicFramePr>
        <xdr:cNvPr id="8" name="Chart stochastic">
          <a:extLst>
            <a:ext uri="{FF2B5EF4-FFF2-40B4-BE49-F238E27FC236}">
              <a16:creationId xmlns:a16="http://schemas.microsoft.com/office/drawing/2014/main" id="{7C934E2C-2A21-470F-8BE3-0B9E8DB4BE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252728</xdr:colOff>
      <xdr:row>34</xdr:row>
      <xdr:rowOff>150318</xdr:rowOff>
    </xdr:from>
    <xdr:to>
      <xdr:col>15</xdr:col>
      <xdr:colOff>512946</xdr:colOff>
      <xdr:row>48</xdr:row>
      <xdr:rowOff>150318</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0</xdr:colOff>
      <xdr:row>193</xdr:row>
      <xdr:rowOff>75157</xdr:rowOff>
    </xdr:from>
    <xdr:to>
      <xdr:col>9</xdr:col>
      <xdr:colOff>-1</xdr:colOff>
      <xdr:row>210</xdr:row>
      <xdr:rowOff>0</xdr:rowOff>
    </xdr:to>
    <xdr:graphicFrame macro="">
      <xdr:nvGraphicFramePr>
        <xdr:cNvPr id="10" name="Chart 9">
          <a:extLst>
            <a:ext uri="{FF2B5EF4-FFF2-40B4-BE49-F238E27FC236}">
              <a16:creationId xmlns:a16="http://schemas.microsoft.com/office/drawing/2014/main" id="{15F355B7-977D-4E40-98C5-F71A130DC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332894</xdr:colOff>
      <xdr:row>49</xdr:row>
      <xdr:rowOff>159083</xdr:rowOff>
    </xdr:from>
    <xdr:to>
      <xdr:col>15</xdr:col>
      <xdr:colOff>596071</xdr:colOff>
      <xdr:row>63</xdr:row>
      <xdr:rowOff>176772</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219112</xdr:colOff>
      <xdr:row>17</xdr:row>
      <xdr:rowOff>148676</xdr:rowOff>
    </xdr:from>
    <xdr:to>
      <xdr:col>23</xdr:col>
      <xdr:colOff>294431</xdr:colOff>
      <xdr:row>29</xdr:row>
      <xdr:rowOff>147075</xdr:rowOff>
    </xdr:to>
    <xdr:graphicFrame macro="">
      <xdr:nvGraphicFramePr>
        <xdr:cNvPr id="12" name="Chart 11">
          <a:extLst>
            <a:ext uri="{FF2B5EF4-FFF2-40B4-BE49-F238E27FC236}">
              <a16:creationId xmlns:a16="http://schemas.microsoft.com/office/drawing/2014/main" id="{884D9749-F729-4F3C-A930-2C25ECFA51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193</xdr:row>
      <xdr:rowOff>94409</xdr:rowOff>
    </xdr:from>
    <xdr:to>
      <xdr:col>2</xdr:col>
      <xdr:colOff>0</xdr:colOff>
      <xdr:row>210</xdr:row>
      <xdr:rowOff>0</xdr:rowOff>
    </xdr:to>
    <xdr:graphicFrame macro="">
      <xdr:nvGraphicFramePr>
        <xdr:cNvPr id="13" name="Chart 12">
          <a:extLst>
            <a:ext uri="{FF2B5EF4-FFF2-40B4-BE49-F238E27FC236}">
              <a16:creationId xmlns:a16="http://schemas.microsoft.com/office/drawing/2014/main" id="{7863EDFE-4E21-4D46-A955-5DF738D0DD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0</xdr:colOff>
      <xdr:row>174</xdr:row>
      <xdr:rowOff>0</xdr:rowOff>
    </xdr:from>
    <xdr:to>
      <xdr:col>9</xdr:col>
      <xdr:colOff>0</xdr:colOff>
      <xdr:row>190</xdr:row>
      <xdr:rowOff>183931</xdr:rowOff>
    </xdr:to>
    <xdr:graphicFrame macro="">
      <xdr:nvGraphicFramePr>
        <xdr:cNvPr id="14" name="Chart 13">
          <a:extLst>
            <a:ext uri="{FF2B5EF4-FFF2-40B4-BE49-F238E27FC236}">
              <a16:creationId xmlns:a16="http://schemas.microsoft.com/office/drawing/2014/main" id="{F1A436C4-9F18-4CF4-9767-9B1926391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145635</xdr:colOff>
      <xdr:row>65</xdr:row>
      <xdr:rowOff>138432</xdr:rowOff>
    </xdr:from>
    <xdr:to>
      <xdr:col>24</xdr:col>
      <xdr:colOff>212870</xdr:colOff>
      <xdr:row>80</xdr:row>
      <xdr:rowOff>170408</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406491</xdr:colOff>
      <xdr:row>65</xdr:row>
      <xdr:rowOff>166407</xdr:rowOff>
    </xdr:from>
    <xdr:to>
      <xdr:col>15</xdr:col>
      <xdr:colOff>491974</xdr:colOff>
      <xdr:row>81</xdr:row>
      <xdr:rowOff>71074</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14366</xdr:colOff>
      <xdr:row>66</xdr:row>
      <xdr:rowOff>23890</xdr:rowOff>
    </xdr:from>
    <xdr:to>
      <xdr:col>8</xdr:col>
      <xdr:colOff>363389</xdr:colOff>
      <xdr:row>81</xdr:row>
      <xdr:rowOff>105533</xdr:rowOff>
    </xdr:to>
    <xdr:graphicFrame macro="">
      <xdr:nvGraphicFramePr>
        <xdr:cNvPr id="17" name="Chart 16">
          <a:extLst>
            <a:ext uri="{FF2B5EF4-FFF2-40B4-BE49-F238E27FC236}">
              <a16:creationId xmlns:a16="http://schemas.microsoft.com/office/drawing/2014/main" id="{F7B40ABF-A6C7-4FDE-B750-AB5ED76AA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255332</xdr:colOff>
      <xdr:row>65</xdr:row>
      <xdr:rowOff>125544</xdr:rowOff>
    </xdr:from>
    <xdr:to>
      <xdr:col>2</xdr:col>
      <xdr:colOff>32815</xdr:colOff>
      <xdr:row>80</xdr:row>
      <xdr:rowOff>125544</xdr:rowOff>
    </xdr:to>
    <xdr:graphicFrame macro="">
      <xdr:nvGraphicFramePr>
        <xdr:cNvPr id="18" name="Chart 17">
          <a:extLst>
            <a:ext uri="{FF2B5EF4-FFF2-40B4-BE49-F238E27FC236}">
              <a16:creationId xmlns:a16="http://schemas.microsoft.com/office/drawing/2014/main" id="{F528AC02-7B09-4E24-A866-AAF328121B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0</xdr:colOff>
      <xdr:row>156</xdr:row>
      <xdr:rowOff>0</xdr:rowOff>
    </xdr:from>
    <xdr:to>
      <xdr:col>9</xdr:col>
      <xdr:colOff>0</xdr:colOff>
      <xdr:row>171</xdr:row>
      <xdr:rowOff>66679</xdr:rowOff>
    </xdr:to>
    <xdr:graphicFrame macro="">
      <xdr:nvGraphicFramePr>
        <xdr:cNvPr id="19" name="Chart 18">
          <a:extLst>
            <a:ext uri="{FF2B5EF4-FFF2-40B4-BE49-F238E27FC236}">
              <a16:creationId xmlns:a16="http://schemas.microsoft.com/office/drawing/2014/main" id="{62E28F04-3F32-46A6-A039-B5CA46E46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155</xdr:row>
      <xdr:rowOff>184057</xdr:rowOff>
    </xdr:from>
    <xdr:to>
      <xdr:col>2</xdr:col>
      <xdr:colOff>0</xdr:colOff>
      <xdr:row>171</xdr:row>
      <xdr:rowOff>22412</xdr:rowOff>
    </xdr:to>
    <xdr:graphicFrame macro="">
      <xdr:nvGraphicFramePr>
        <xdr:cNvPr id="20" name="Chart 19">
          <a:extLst>
            <a:ext uri="{FF2B5EF4-FFF2-40B4-BE49-F238E27FC236}">
              <a16:creationId xmlns:a16="http://schemas.microsoft.com/office/drawing/2014/main" id="{AF203FF3-6387-4D80-9784-578820CB4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0</xdr:row>
      <xdr:rowOff>259676</xdr:rowOff>
    </xdr:from>
    <xdr:to>
      <xdr:col>15</xdr:col>
      <xdr:colOff>401647</xdr:colOff>
      <xdr:row>0</xdr:row>
      <xdr:rowOff>583676</xdr:rowOff>
    </xdr:to>
    <xdr:sp macro="[0]!ExportImplementationSummary" textlink="">
      <xdr:nvSpPr>
        <xdr:cNvPr id="21" name="Rectangle: Rounded Corners 20">
          <a:extLst>
            <a:ext uri="{FF2B5EF4-FFF2-40B4-BE49-F238E27FC236}">
              <a16:creationId xmlns:a16="http://schemas.microsoft.com/office/drawing/2014/main" id="{177C0132-9169-4CCC-B193-6F671452BA5C}"/>
            </a:ext>
          </a:extLst>
        </xdr:cNvPr>
        <xdr:cNvSpPr/>
      </xdr:nvSpPr>
      <xdr:spPr>
        <a:xfrm flipH="1">
          <a:off x="11508441" y="259676"/>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13</xdr:col>
      <xdr:colOff>0</xdr:colOff>
      <xdr:row>1</xdr:row>
      <xdr:rowOff>79411</xdr:rowOff>
    </xdr:from>
    <xdr:to>
      <xdr:col>15</xdr:col>
      <xdr:colOff>401647</xdr:colOff>
      <xdr:row>2</xdr:row>
      <xdr:rowOff>168088</xdr:rowOff>
    </xdr:to>
    <xdr:sp macro="[0]!ExportWebDashboard.ExportWebDashboard" textlink="">
      <xdr:nvSpPr>
        <xdr:cNvPr id="22" name="Rectangle: Rounded Corners 21">
          <a:extLst>
            <a:ext uri="{FF2B5EF4-FFF2-40B4-BE49-F238E27FC236}">
              <a16:creationId xmlns:a16="http://schemas.microsoft.com/office/drawing/2014/main" id="{7DB5D67D-A8FF-414F-AB26-01CD51A1284E}"/>
            </a:ext>
          </a:extLst>
        </xdr:cNvPr>
        <xdr:cNvSpPr/>
      </xdr:nvSpPr>
      <xdr:spPr>
        <a:xfrm flipH="1">
          <a:off x="11508441" y="695735"/>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0.0096</cdr:x>
      <cdr:y>0.01965</cdr:y>
    </cdr:from>
    <cdr:to>
      <cdr:x>0.11405</cdr:x>
      <cdr:y>0.13414</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10</a:t>
          </a:r>
        </a:p>
      </cdr:txBody>
    </cdr:sp>
  </cdr:relSizeAnchor>
</c:userShapes>
</file>

<file path=xl/drawings/drawing6.xml><?xml version="1.0" encoding="utf-8"?>
<c:userShapes xmlns:c="http://schemas.openxmlformats.org/drawingml/2006/chart">
  <cdr:relSizeAnchor xmlns:cdr="http://schemas.openxmlformats.org/drawingml/2006/chartDrawing">
    <cdr:from>
      <cdr:x>0.01282</cdr:x>
      <cdr:y>0.02026</cdr:y>
    </cdr:from>
    <cdr:to>
      <cdr:x>0.15226</cdr:x>
      <cdr:y>0.1383</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12</a:t>
          </a:r>
        </a:p>
      </cdr:txBody>
    </cdr:sp>
  </cdr:relSizeAnchor>
</c:userShapes>
</file>

<file path=xl/drawings/drawing7.xml><?xml version="1.0" encoding="utf-8"?>
<c:userShapes xmlns:c="http://schemas.openxmlformats.org/drawingml/2006/chart">
  <cdr:relSizeAnchor xmlns:cdr="http://schemas.openxmlformats.org/drawingml/2006/chartDrawing">
    <cdr:from>
      <cdr:x>0.01112</cdr:x>
      <cdr:y>0.02024</cdr:y>
    </cdr:from>
    <cdr:to>
      <cdr:x>0.13211</cdr:x>
      <cdr:y>0.13817</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11</a:t>
          </a:r>
        </a:p>
      </cdr:txBody>
    </cdr:sp>
  </cdr:relSizeAnchor>
</c:userShapes>
</file>

<file path=xl/drawings/drawing8.xml><?xml version="1.0" encoding="utf-8"?>
<c:userShapes xmlns:c="http://schemas.openxmlformats.org/drawingml/2006/chart">
  <cdr:relSizeAnchor xmlns:cdr="http://schemas.openxmlformats.org/drawingml/2006/chartDrawing">
    <cdr:from>
      <cdr:x>0.61246</cdr:x>
      <cdr:y>0.28555</cdr:y>
    </cdr:from>
    <cdr:to>
      <cdr:x>1</cdr:x>
      <cdr:y>0.38949</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715995" y="777104"/>
          <a:ext cx="1718572" cy="28286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3</a:t>
          </a:r>
        </a:p>
      </cdr:txBody>
    </cdr:sp>
  </cdr:relSizeAnchor>
  <cdr:relSizeAnchor xmlns:cdr="http://schemas.openxmlformats.org/drawingml/2006/chartDrawing">
    <cdr:from>
      <cdr:x>0.70609</cdr:x>
      <cdr:y>0.08533</cdr:y>
    </cdr:from>
    <cdr:to>
      <cdr:x>0.91613</cdr:x>
      <cdr:y>0.12741</cdr:y>
    </cdr:to>
    <cdr:sp macro="" textlink="">
      <cdr:nvSpPr>
        <cdr:cNvPr id="4" name="TextBox 1">
          <a:extLst xmlns:a="http://schemas.openxmlformats.org/drawingml/2006/main">
            <a:ext uri="{FF2B5EF4-FFF2-40B4-BE49-F238E27FC236}">
              <a16:creationId xmlns:a16="http://schemas.microsoft.com/office/drawing/2014/main" id="{98B4F0CE-7B0E-AADA-D5A7-BF6A9E40B31E}"/>
            </a:ext>
          </a:extLst>
        </cdr:cNvPr>
        <cdr:cNvSpPr txBox="1"/>
      </cdr:nvSpPr>
      <cdr:spPr>
        <a:xfrm xmlns:a="http://schemas.openxmlformats.org/drawingml/2006/main">
          <a:off x="3126205" y="244525"/>
          <a:ext cx="929927" cy="120597"/>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9.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5</a:t>
          </a:r>
        </a:p>
      </cdr:txBody>
    </cdr:sp>
  </cdr:relSizeAnchor>
  <cdr:relSizeAnchor xmlns:cdr="http://schemas.openxmlformats.org/drawingml/2006/chartDrawing">
    <cdr:from>
      <cdr:x>0.07103</cdr:x>
      <cdr:y>0.16884</cdr:y>
    </cdr:from>
    <cdr:to>
      <cdr:x>0.26703</cdr:x>
      <cdr:y>0.21406</cdr:y>
    </cdr:to>
    <cdr:sp macro="" textlink="">
      <cdr:nvSpPr>
        <cdr:cNvPr id="3" name="TextBox 1">
          <a:extLst xmlns:a="http://schemas.openxmlformats.org/drawingml/2006/main">
            <a:ext uri="{FF2B5EF4-FFF2-40B4-BE49-F238E27FC236}">
              <a16:creationId xmlns:a16="http://schemas.microsoft.com/office/drawing/2014/main" id="{1A358D26-ACC5-CA45-CD4B-A0E1CEE0A87A}"/>
            </a:ext>
          </a:extLst>
        </cdr:cNvPr>
        <cdr:cNvSpPr txBox="1"/>
      </cdr:nvSpPr>
      <cdr:spPr>
        <a:xfrm xmlns:a="http://schemas.openxmlformats.org/drawingml/2006/main">
          <a:off x="315844" y="514626"/>
          <a:ext cx="871602" cy="1378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0.xml><?xml version="1.0" encoding="utf-8"?>
<c:userShapes xmlns:c="http://schemas.openxmlformats.org/drawingml/2006/chart">
  <cdr:relSizeAnchor xmlns:cdr="http://schemas.openxmlformats.org/drawingml/2006/chartDrawing">
    <cdr:from>
      <cdr:x>0.01263</cdr:x>
      <cdr:y>0.0198</cdr:y>
    </cdr:from>
    <cdr:to>
      <cdr:x>0.14997</cdr:x>
      <cdr:y>0.11695</cdr:y>
    </cdr:to>
    <cdr:sp macro="" textlink="">
      <cdr:nvSpPr>
        <cdr:cNvPr id="2" name="TextBox 1">
          <a:extLst xmlns:a="http://schemas.openxmlformats.org/drawingml/2006/main">
            <a:ext uri="{FF2B5EF4-FFF2-40B4-BE49-F238E27FC236}">
              <a16:creationId xmlns:a16="http://schemas.microsoft.com/office/drawing/2014/main" id="{8A01CC1D-48D0-E3E2-A025-4BF0757060AD}"/>
            </a:ext>
          </a:extLst>
        </cdr:cNvPr>
        <cdr:cNvSpPr txBox="1"/>
      </cdr:nvSpPr>
      <cdr:spPr>
        <a:xfrm xmlns:a="http://schemas.openxmlformats.org/drawingml/2006/main">
          <a:off x="57911" y="61605"/>
          <a:ext cx="629557" cy="30228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1</a:t>
          </a:r>
        </a:p>
      </cdr:txBody>
    </cdr:sp>
  </cdr:relSizeAnchor>
</c:userShapes>
</file>

<file path=xl/drawings/drawing11.xml><?xml version="1.0" encoding="utf-8"?>
<c:userShapes xmlns:c="http://schemas.openxmlformats.org/drawingml/2006/chart">
  <cdr:relSizeAnchor xmlns:cdr="http://schemas.openxmlformats.org/drawingml/2006/chartDrawing">
    <cdr:from>
      <cdr:x>0.01085</cdr:x>
      <cdr:y>0.02031</cdr:y>
    </cdr:from>
    <cdr:to>
      <cdr:x>0.12881</cdr:x>
      <cdr:y>0.13866</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13</a:t>
          </a:r>
        </a:p>
      </cdr:txBody>
    </cdr:sp>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525468" cy="23821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2</a:t>
          </a:r>
        </a:p>
      </cdr:txBody>
    </cdr:sp>
  </cdr:relSizeAnchor>
  <cdr:relSizeAnchor xmlns:cdr="http://schemas.openxmlformats.org/drawingml/2006/chartDrawing">
    <cdr:from>
      <cdr:x>0.67713</cdr:x>
      <cdr:y>0.31675</cdr:y>
    </cdr:from>
    <cdr:to>
      <cdr:x>0.9387</cdr:x>
      <cdr:y>0.39682</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3076468" y="871916"/>
          <a:ext cx="1188424" cy="22041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0.69825</cdr:x>
      <cdr:y>0.23739</cdr:y>
    </cdr:from>
    <cdr:to>
      <cdr:x>0.97779</cdr:x>
      <cdr:y>0.318</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3172465" y="653463"/>
          <a:ext cx="1270069" cy="22189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0.23724</cdr:x>
      <cdr:y>0.90843</cdr:y>
    </cdr:from>
    <cdr:to>
      <cdr:x>1</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1028021" y="2645911"/>
          <a:ext cx="3305175"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GB" sz="1000" kern="1200">
              <a:solidFill>
                <a:schemeClr val="accent3">
                  <a:lumMod val="75000"/>
                </a:schemeClr>
              </a:solidFill>
            </a:rPr>
            <a:t>Note: Negative</a:t>
          </a:r>
          <a:r>
            <a:rPr lang="en-GB" sz="1000" kern="1200" baseline="0">
              <a:solidFill>
                <a:schemeClr val="accent3">
                  <a:lumMod val="75000"/>
                </a:schemeClr>
              </a:solidFill>
            </a:rPr>
            <a:t> amounts indicate outperformance</a:t>
          </a:r>
          <a:endParaRPr lang="en-GB" sz="1100" kern="1200">
            <a:solidFill>
              <a:schemeClr val="accent3">
                <a:lumMod val="75000"/>
              </a:schemeClr>
            </a:solidFill>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0.2154</cdr:x>
      <cdr:y>0.10071</cdr:y>
    </cdr:to>
    <cdr:sp macro="" textlink="">
      <cdr:nvSpPr>
        <cdr:cNvPr id="3" name="TextBox 1">
          <a:extLst xmlns:a="http://schemas.openxmlformats.org/drawingml/2006/main">
            <a:ext uri="{FF2B5EF4-FFF2-40B4-BE49-F238E27FC236}">
              <a16:creationId xmlns:a16="http://schemas.microsoft.com/office/drawing/2014/main" id="{0B48B303-CEC1-C4BF-6A4A-859B152715D6}"/>
            </a:ext>
          </a:extLst>
        </cdr:cNvPr>
        <cdr:cNvSpPr txBox="1"/>
      </cdr:nvSpPr>
      <cdr:spPr>
        <a:xfrm xmlns:a="http://schemas.openxmlformats.org/drawingml/2006/main">
          <a:off x="0" y="0"/>
          <a:ext cx="977734" cy="307334"/>
        </a:xfrm>
        <a:prstGeom xmlns:a="http://schemas.openxmlformats.org/drawingml/2006/main" prst="rect">
          <a:avLst/>
        </a:prstGeom>
      </cdr:spPr>
      <cdr:txBody>
        <a:bodyPr xmlns:a="http://schemas.openxmlformats.org/drawingml/2006/main" wrap="square" lIns="0" tIns="0"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F0502020204030204" pitchFamily="34" charset="0"/>
            </a:rPr>
            <a:t>Alt Figure 4</a:t>
          </a:r>
        </a:p>
      </cdr:txBody>
    </cdr:sp>
  </cdr:relSizeAnchor>
</c:userShapes>
</file>

<file path=xl/drawings/drawing14.xml><?xml version="1.0" encoding="utf-8"?>
<c:userShapes xmlns:c="http://schemas.openxmlformats.org/drawingml/2006/chart">
  <cdr:relSizeAnchor xmlns:cdr="http://schemas.openxmlformats.org/drawingml/2006/chartDrawing">
    <cdr:from>
      <cdr:x>0.62416</cdr:x>
      <cdr:y>0.84111</cdr:y>
    </cdr:from>
    <cdr:to>
      <cdr:x>1</cdr:x>
      <cdr:y>0.91895</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32152" y="2246677"/>
          <a:ext cx="1705390" cy="2079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4</a:t>
          </a:r>
        </a:p>
      </cdr:txBody>
    </cdr:sp>
  </cdr:relSizeAnchor>
  <cdr:relSizeAnchor xmlns:cdr="http://schemas.openxmlformats.org/drawingml/2006/chartDrawing">
    <cdr:from>
      <cdr:x>0.10821</cdr:x>
      <cdr:y>0.1973</cdr:y>
    </cdr:from>
    <cdr:to>
      <cdr:x>0.31366</cdr:x>
      <cdr:y>0.24252</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489778" y="506343"/>
          <a:ext cx="929945" cy="116062"/>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490937" cy="23734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1</a:t>
          </a:r>
        </a:p>
      </cdr:txBody>
    </cdr:sp>
  </cdr:relSizeAnchor>
  <cdr:relSizeAnchor xmlns:cdr="http://schemas.openxmlformats.org/drawingml/2006/chartDrawing">
    <cdr:from>
      <cdr:x>0.70632</cdr:x>
      <cdr:y>0.10241</cdr:y>
    </cdr:from>
    <cdr:to>
      <cdr:x>0.90192</cdr:x>
      <cdr:y>0.15238</cdr:y>
    </cdr:to>
    <cdr:sp macro="" textlink="">
      <cdr:nvSpPr>
        <cdr:cNvPr id="3" name="TextBox 2">
          <a:extLst xmlns:a="http://schemas.openxmlformats.org/drawingml/2006/main">
            <a:ext uri="{FF2B5EF4-FFF2-40B4-BE49-F238E27FC236}">
              <a16:creationId xmlns:a16="http://schemas.microsoft.com/office/drawing/2014/main" id="{7176FD3A-20C0-C061-BA76-F87BC69293E2}"/>
            </a:ext>
          </a:extLst>
        </cdr:cNvPr>
        <cdr:cNvSpPr txBox="1"/>
      </cdr:nvSpPr>
      <cdr:spPr>
        <a:xfrm xmlns:a="http://schemas.openxmlformats.org/drawingml/2006/main">
          <a:off x="3150418" y="282544"/>
          <a:ext cx="872441" cy="137870"/>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vertOverflow="clip" wrap="square" rtlCol="0" anchor="ctr" anchorCtr="0"/>
        <a:lstStyle xmlns:a="http://schemas.openxmlformats.org/drawingml/2006/main"/>
        <a:p xmlns:a="http://schemas.openxmlformats.org/drawingml/2006/main">
          <a:pPr algn="ctr"/>
          <a:r>
            <a:rPr lang="en-GB" sz="800" kern="1200">
              <a:solidFill>
                <a:schemeClr val="bg2">
                  <a:lumMod val="25000"/>
                </a:schemeClr>
              </a:solidFill>
            </a:rPr>
            <a:t>Endorsed path</a:t>
          </a: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cdr:y>
    </cdr:from>
    <cdr:to>
      <cdr:x>0.25496</cdr:x>
      <cdr:y>0.11825</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1083902" cy="332383"/>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l"/>
          <a:r>
            <a:rPr lang="en-GB" sz="800" kern="1200">
              <a:solidFill>
                <a:schemeClr val="bg1">
                  <a:lumMod val="75000"/>
                </a:schemeClr>
              </a:solidFill>
              <a:latin typeface="Aptos Light" panose="020F0502020204030204" pitchFamily="34" charset="0"/>
            </a:rPr>
            <a:t>Alt Figure 3</a:t>
          </a:r>
        </a:p>
      </cdr:txBody>
    </cdr:sp>
  </cdr:relSizeAnchor>
</c:userShapes>
</file>

<file path=xl/drawings/drawing17.xml><?xml version="1.0" encoding="utf-8"?>
<c:userShapes xmlns:c="http://schemas.openxmlformats.org/drawingml/2006/chart">
  <cdr:relSizeAnchor xmlns:cdr="http://schemas.openxmlformats.org/drawingml/2006/chartDrawing">
    <cdr:from>
      <cdr:x>0</cdr:x>
      <cdr:y>0</cdr:y>
    </cdr:from>
    <cdr:to>
      <cdr:x>0.14743</cdr:x>
      <cdr:y>0.10455</cdr:y>
    </cdr:to>
    <cdr:sp macro="" textlink="">
      <cdr:nvSpPr>
        <cdr:cNvPr id="2" name="TextBox 1">
          <a:extLst xmlns:a="http://schemas.openxmlformats.org/drawingml/2006/main">
            <a:ext uri="{FF2B5EF4-FFF2-40B4-BE49-F238E27FC236}">
              <a16:creationId xmlns:a16="http://schemas.microsoft.com/office/drawing/2014/main" id="{B3AC6D92-C213-4D9A-31D0-94D07052303F}"/>
            </a:ext>
          </a:extLst>
        </cdr:cNvPr>
        <cdr:cNvSpPr txBox="1"/>
      </cdr:nvSpPr>
      <cdr:spPr>
        <a:xfrm xmlns:a="http://schemas.openxmlformats.org/drawingml/2006/main">
          <a:off x="0" y="0"/>
          <a:ext cx="669208" cy="32641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2</a:t>
          </a:r>
        </a:p>
      </cdr:txBody>
    </cdr:sp>
  </cdr:relSizeAnchor>
</c:userShapes>
</file>

<file path=xl/drawings/drawing18.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7</a:t>
          </a:r>
        </a:p>
      </cdr:txBody>
    </cdr:sp>
  </cdr:relSizeAnchor>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accent3">
                  <a:lumMod val="75000"/>
                </a:schemeClr>
              </a:solidFill>
            </a:rPr>
            <a:t>Note: Should be linear or at least front-loaded</a:t>
          </a:r>
          <a:endParaRPr lang="en-GB" sz="1100" kern="1200">
            <a:solidFill>
              <a:schemeClr val="accent3">
                <a:lumMod val="75000"/>
              </a:schemeClr>
            </a:solidFil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0.00925</cdr:x>
      <cdr:y>0.01657</cdr:y>
    </cdr:from>
    <cdr:to>
      <cdr:x>0.10763</cdr:x>
      <cdr:y>0.11313</cdr:y>
    </cdr:to>
    <cdr:sp macro="" textlink="">
      <cdr:nvSpPr>
        <cdr:cNvPr id="3" name="TextBox 1">
          <a:extLst xmlns:a="http://schemas.openxmlformats.org/drawingml/2006/main">
            <a:ext uri="{FF2B5EF4-FFF2-40B4-BE49-F238E27FC236}">
              <a16:creationId xmlns:a16="http://schemas.microsoft.com/office/drawing/2014/main" id="{B824A3FB-864E-9353-FFD8-5BED19265E8E}"/>
            </a:ext>
          </a:extLst>
        </cdr:cNvPr>
        <cdr:cNvSpPr txBox="1"/>
      </cdr:nvSpPr>
      <cdr:spPr>
        <a:xfrm xmlns:a="http://schemas.openxmlformats.org/drawingml/2006/main">
          <a:off x="50800" y="50800"/>
          <a:ext cx="540003"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6</a:t>
          </a:r>
        </a:p>
      </cdr:txBody>
    </cdr:sp>
  </cdr:relSizeAnchor>
  <cdr:relSizeAnchor xmlns:cdr="http://schemas.openxmlformats.org/drawingml/2006/chartDrawing">
    <cdr:from>
      <cdr:x>0.69348</cdr:x>
      <cdr:y>0.20486</cdr:y>
    </cdr:from>
    <cdr:to>
      <cdr:x>0.87578</cdr:x>
      <cdr:y>0.25516</cdr:y>
    </cdr:to>
    <cdr:sp macro="" textlink="">
      <cdr:nvSpPr>
        <cdr:cNvPr id="2" name="TextBox 1">
          <a:extLst xmlns:a="http://schemas.openxmlformats.org/drawingml/2006/main">
            <a:ext uri="{FF2B5EF4-FFF2-40B4-BE49-F238E27FC236}">
              <a16:creationId xmlns:a16="http://schemas.microsoft.com/office/drawing/2014/main" id="{FB74B494-CF49-7E7A-E837-DC7D1E62A1B6}"/>
            </a:ext>
          </a:extLst>
        </cdr:cNvPr>
        <cdr:cNvSpPr txBox="1"/>
      </cdr:nvSpPr>
      <cdr:spPr>
        <a:xfrm xmlns:a="http://schemas.openxmlformats.org/drawingml/2006/main">
          <a:off x="2996733" y="568146"/>
          <a:ext cx="787775" cy="139506"/>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20.xml><?xml version="1.0" encoding="utf-8"?>
<c:userShapes xmlns:c="http://schemas.openxmlformats.org/drawingml/2006/chart">
  <cdr:relSizeAnchor xmlns:cdr="http://schemas.openxmlformats.org/drawingml/2006/chartDrawing">
    <cdr:from>
      <cdr:x>0.64124</cdr:x>
      <cdr:y>0.1971</cdr:y>
    </cdr:from>
    <cdr:to>
      <cdr:x>0.9905</cdr:x>
      <cdr:y>0.2877</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571384" y="578367"/>
          <a:ext cx="1400542" cy="26585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9</a:t>
          </a:r>
        </a:p>
      </cdr:txBody>
    </cdr:sp>
  </cdr:relSizeAnchor>
</c:userShapes>
</file>

<file path=xl/drawings/drawing21.xml><?xml version="1.0" encoding="utf-8"?>
<c:userShapes xmlns:c="http://schemas.openxmlformats.org/drawingml/2006/chart">
  <cdr:relSizeAnchor xmlns:cdr="http://schemas.openxmlformats.org/drawingml/2006/chartDrawing">
    <cdr:from>
      <cdr:x>0.62416</cdr:x>
      <cdr:y>0.71497</cdr:y>
    </cdr:from>
    <cdr:to>
      <cdr:x>1</cdr:x>
      <cdr:y>0.79281</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336433" y="2043027"/>
          <a:ext cx="1406891" cy="2224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8</a:t>
          </a:r>
        </a:p>
      </cdr:txBody>
    </cdr:sp>
  </cdr:relSizeAnchor>
</c:userShapes>
</file>

<file path=xl/drawings/drawing22.xml><?xml version="1.0" encoding="utf-8"?>
<c:userShapes xmlns:c="http://schemas.openxmlformats.org/drawingml/2006/chart">
  <cdr:relSizeAnchor xmlns:cdr="http://schemas.openxmlformats.org/drawingml/2006/chartDrawing">
    <cdr:from>
      <cdr:x>0.01119</cdr:x>
      <cdr:y>0.01851</cdr:y>
    </cdr:from>
    <cdr:to>
      <cdr:x>0.2716</cdr:x>
      <cdr:y>0.12635</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181847"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a:t>
          </a:r>
          <a:r>
            <a:rPr lang="en-GB" sz="800" kern="1200" baseline="0">
              <a:solidFill>
                <a:schemeClr val="bg1">
                  <a:lumMod val="75000"/>
                </a:schemeClr>
              </a:solidFill>
              <a:latin typeface="Aptos Light" panose="020B0004020202020204" pitchFamily="34" charset="0"/>
            </a:rPr>
            <a:t> 2</a:t>
          </a:r>
          <a:endParaRPr lang="en-GB" sz="800" kern="1200">
            <a:solidFill>
              <a:schemeClr val="bg1">
                <a:lumMod val="75000"/>
              </a:schemeClr>
            </a:solidFill>
            <a:latin typeface="Aptos Light" panose="020B0004020202020204" pitchFamily="34" charset="0"/>
          </a:endParaRPr>
        </a:p>
      </cdr:txBody>
    </cdr:sp>
  </cdr:relSizeAnchor>
</c:userShapes>
</file>

<file path=xl/drawings/drawing23.xml><?xml version="1.0" encoding="utf-8"?>
<c:userShapes xmlns:c="http://schemas.openxmlformats.org/drawingml/2006/chart">
  <cdr:relSizeAnchor xmlns:cdr="http://schemas.openxmlformats.org/drawingml/2006/chartDrawing">
    <cdr:from>
      <cdr:x>0.01111</cdr:x>
      <cdr:y>0.01877</cdr:y>
    </cdr:from>
    <cdr:to>
      <cdr:x>0.24265</cdr:x>
      <cdr:y>0.12812</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058583"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 1</a:t>
          </a:r>
        </a:p>
      </cdr:txBody>
    </cdr:sp>
  </cdr:relSizeAnchor>
</c:userShapes>
</file>

<file path=xl/drawings/drawing24.xml><?xml version="1.0" encoding="utf-8"?>
<xdr:wsDr xmlns:xdr="http://schemas.openxmlformats.org/drawingml/2006/spreadsheetDrawing" xmlns:a="http://schemas.openxmlformats.org/drawingml/2006/main">
  <xdr:twoCellAnchor>
    <xdr:from>
      <xdr:col>13</xdr:col>
      <xdr:colOff>123428</xdr:colOff>
      <xdr:row>0</xdr:row>
      <xdr:rowOff>465215</xdr:rowOff>
    </xdr:from>
    <xdr:to>
      <xdr:col>16</xdr:col>
      <xdr:colOff>0</xdr:colOff>
      <xdr:row>1</xdr:row>
      <xdr:rowOff>163286</xdr:rowOff>
    </xdr:to>
    <xdr:sp macro="[0]!ExportMTPSummary" textlink="">
      <xdr:nvSpPr>
        <xdr:cNvPr id="13" name="Rectangle: Rounded Corners 12">
          <a:extLst>
            <a:ext uri="{FF2B5EF4-FFF2-40B4-BE49-F238E27FC236}">
              <a16:creationId xmlns:a16="http://schemas.microsoft.com/office/drawing/2014/main" id="{9B2D35E2-20E2-47EC-AEAE-AB155C67B870}"/>
            </a:ext>
          </a:extLst>
        </xdr:cNvPr>
        <xdr:cNvSpPr/>
      </xdr:nvSpPr>
      <xdr:spPr>
        <a:xfrm>
          <a:off x="16193464" y="465215"/>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13</xdr:col>
      <xdr:colOff>123428</xdr:colOff>
      <xdr:row>2</xdr:row>
      <xdr:rowOff>84214</xdr:rowOff>
    </xdr:from>
    <xdr:to>
      <xdr:col>16</xdr:col>
      <xdr:colOff>0</xdr:colOff>
      <xdr:row>4</xdr:row>
      <xdr:rowOff>0</xdr:rowOff>
    </xdr:to>
    <xdr:sp macro="[0]!ExportWebDashboard.ExportWebDashboard" textlink="">
      <xdr:nvSpPr>
        <xdr:cNvPr id="15" name="Rectangle: Rounded Corners 14">
          <a:extLst>
            <a:ext uri="{FF2B5EF4-FFF2-40B4-BE49-F238E27FC236}">
              <a16:creationId xmlns:a16="http://schemas.microsoft.com/office/drawing/2014/main" id="{BC48BF29-5110-4773-90F6-337CAC4778E8}"/>
            </a:ext>
          </a:extLst>
        </xdr:cNvPr>
        <xdr:cNvSpPr/>
      </xdr:nvSpPr>
      <xdr:spPr>
        <a:xfrm>
          <a:off x="16193464" y="955071"/>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91</xdr:row>
      <xdr:rowOff>0</xdr:rowOff>
    </xdr:from>
    <xdr:to>
      <xdr:col>16</xdr:col>
      <xdr:colOff>340415</xdr:colOff>
      <xdr:row>133</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4"/>
  <sheetViews>
    <sheetView showGridLines="0" tabSelected="1" zoomScaleNormal="100" workbookViewId="0"/>
  </sheetViews>
  <sheetFormatPr defaultRowHeight="13.15" x14ac:dyDescent="0.4"/>
  <cols>
    <col min="1" max="1" width="38.425781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67" t="s">
        <v>24</v>
      </c>
    </row>
    <row r="2" spans="1:11" ht="13.5" customHeight="1" x14ac:dyDescent="0.4">
      <c r="A2" s="185" t="s">
        <v>226</v>
      </c>
      <c r="B2" s="69" t="s">
        <v>19</v>
      </c>
    </row>
    <row r="3" spans="1:11" ht="13.5" customHeight="1" x14ac:dyDescent="0.4">
      <c r="A3" s="185" t="s">
        <v>355</v>
      </c>
      <c r="B3" s="69" t="s">
        <v>485</v>
      </c>
    </row>
    <row r="5" spans="1:11" ht="18" x14ac:dyDescent="0.55000000000000004">
      <c r="A5" s="67" t="s">
        <v>848</v>
      </c>
      <c r="K5" s="55"/>
    </row>
    <row r="6" spans="1:11" ht="13.5" customHeight="1" x14ac:dyDescent="0.4">
      <c r="A6" s="185" t="s">
        <v>847</v>
      </c>
      <c r="B6" s="69" t="s">
        <v>846</v>
      </c>
      <c r="K6" s="55"/>
    </row>
    <row r="7" spans="1:11" ht="13.5" customHeight="1" x14ac:dyDescent="0.4">
      <c r="A7" s="187" t="s">
        <v>849</v>
      </c>
      <c r="B7" s="69" t="s">
        <v>533</v>
      </c>
      <c r="K7" s="55"/>
    </row>
    <row r="8" spans="1:11" x14ac:dyDescent="0.4">
      <c r="K8" s="55"/>
    </row>
    <row r="9" spans="1:11" ht="18" x14ac:dyDescent="0.55000000000000004">
      <c r="A9" s="67" t="s">
        <v>844</v>
      </c>
      <c r="K9" s="55"/>
    </row>
    <row r="10" spans="1:11" ht="13.5" customHeight="1" x14ac:dyDescent="0.4">
      <c r="A10" s="105"/>
      <c r="B10" s="61" cm="1">
        <f t="array" ref="B10:F10">_xlfn.SEQUENCE(1, MTP_EndYear-MTP_BaseYear, MTP_BaseYear+1)</f>
        <v>2024</v>
      </c>
      <c r="C10" s="61">
        <v>2025</v>
      </c>
      <c r="D10" s="61">
        <v>2026</v>
      </c>
      <c r="E10" s="61">
        <v>2027</v>
      </c>
      <c r="F10" s="61">
        <v>2028</v>
      </c>
    </row>
    <row r="11" spans="1:11" ht="13.5" customHeight="1" x14ac:dyDescent="0.4">
      <c r="A11" s="106"/>
      <c r="B11" s="60" t="str" cm="1">
        <f t="array" ref="B11:F11">CHOOSE(SIGN(_xlfn.ANCHORARRAY(B10) - MTP_YearT) + 2, "T-1", "T", "T+" &amp; (_xlfn.ANCHORARRAY(B10) - MTP_YearT))</f>
        <v>T</v>
      </c>
      <c r="C11" s="60" t="str">
        <v>T+1</v>
      </c>
      <c r="D11" s="60" t="str">
        <v>T+2</v>
      </c>
      <c r="E11" s="60" t="str">
        <v>T+3</v>
      </c>
      <c r="F11" s="60" t="str">
        <v>T+4</v>
      </c>
      <c r="G11" s="64"/>
      <c r="H11" s="64"/>
      <c r="J11" s="64"/>
    </row>
    <row r="12" spans="1:11" ht="13.5" customHeight="1" x14ac:dyDescent="0.4">
      <c r="A12" s="105" t="s">
        <v>928</v>
      </c>
      <c r="B12" s="107" t="b">
        <v>0</v>
      </c>
      <c r="C12" s="107" t="b">
        <v>1</v>
      </c>
      <c r="D12" s="107" t="b">
        <v>1</v>
      </c>
      <c r="E12" s="107" t="b">
        <v>1</v>
      </c>
      <c r="F12" s="107" t="b">
        <v>1</v>
      </c>
      <c r="G12" s="107" t="b">
        <v>0</v>
      </c>
      <c r="H12" s="107"/>
      <c r="I12" s="90"/>
      <c r="J12" s="90"/>
    </row>
    <row r="13" spans="1:11" ht="13.5" customHeight="1" x14ac:dyDescent="0.4">
      <c r="A13" t="s">
        <v>804</v>
      </c>
      <c r="B13" s="107" t="e">
        <v>#N/A</v>
      </c>
      <c r="C13" s="107" t="s">
        <v>843</v>
      </c>
      <c r="D13" s="107" t="s">
        <v>843</v>
      </c>
      <c r="E13" s="107" t="s">
        <v>843</v>
      </c>
      <c r="F13" s="107" t="s">
        <v>843</v>
      </c>
      <c r="G13" s="107" t="s">
        <v>317</v>
      </c>
      <c r="H13" s="107"/>
      <c r="I13" s="90"/>
      <c r="J13" s="90"/>
    </row>
    <row r="14" spans="1:11" ht="13.5" customHeight="1" x14ac:dyDescent="0.4">
      <c r="A14" t="s">
        <v>737</v>
      </c>
      <c r="B14" s="107" t="e">
        <v>#N/A</v>
      </c>
      <c r="C14" s="107" t="s">
        <v>698</v>
      </c>
      <c r="D14" s="107" t="s">
        <v>698</v>
      </c>
      <c r="E14" s="107" t="s">
        <v>698</v>
      </c>
      <c r="F14" s="107" t="s">
        <v>698</v>
      </c>
      <c r="G14" s="107" t="s">
        <v>698</v>
      </c>
      <c r="H14" s="107" t="s">
        <v>317</v>
      </c>
      <c r="I14" s="90"/>
      <c r="J14" s="90"/>
    </row>
    <row r="15" spans="1:11" ht="13.5" customHeight="1" x14ac:dyDescent="0.4">
      <c r="A15" s="106" t="s">
        <v>933</v>
      </c>
      <c r="B15" s="107"/>
      <c r="C15" s="107">
        <v>1.5</v>
      </c>
      <c r="D15" s="107">
        <v>1.5</v>
      </c>
      <c r="E15" s="107">
        <v>1.5</v>
      </c>
      <c r="F15" s="107">
        <v>1.5</v>
      </c>
      <c r="G15" s="107"/>
      <c r="H15" s="107"/>
      <c r="I15" s="90"/>
      <c r="J15" s="90"/>
    </row>
    <row r="16" spans="1:11" ht="13.5" customHeight="1" x14ac:dyDescent="0.4"/>
    <row r="17" spans="1:8" ht="13.5" customHeight="1" x14ac:dyDescent="0.55000000000000004">
      <c r="A17" s="67" t="s">
        <v>842</v>
      </c>
    </row>
    <row r="18" spans="1:8" ht="13.5" customHeight="1" x14ac:dyDescent="0.4">
      <c r="A18" s="185" t="s">
        <v>417</v>
      </c>
      <c r="B18" s="69" t="b">
        <v>0</v>
      </c>
    </row>
    <row r="19" spans="1:8" ht="13.5" customHeight="1" x14ac:dyDescent="0.4">
      <c r="A19" s="185" t="s">
        <v>420</v>
      </c>
      <c r="B19" s="69" t="e">
        <v>#N/A</v>
      </c>
    </row>
    <row r="20" spans="1:8" ht="13.5" customHeight="1" x14ac:dyDescent="0.4">
      <c r="A20" s="185" t="s">
        <v>416</v>
      </c>
      <c r="B20" s="69" t="b">
        <v>0</v>
      </c>
    </row>
    <row r="21" spans="1:8" ht="13.5" customHeight="1" x14ac:dyDescent="0.4">
      <c r="A21" s="185" t="s">
        <v>419</v>
      </c>
      <c r="B21" s="69" t="e">
        <v>#N/A</v>
      </c>
    </row>
    <row r="22" spans="1:8" ht="13.5" customHeight="1" x14ac:dyDescent="0.4"/>
    <row r="23" spans="1:8" ht="13.5" customHeight="1" x14ac:dyDescent="0.4"/>
    <row r="24" spans="1:8" ht="18" x14ac:dyDescent="0.55000000000000004">
      <c r="H24" s="67"/>
    </row>
  </sheetData>
  <dataConsolidate/>
  <phoneticPr fontId="53" type="noConversion"/>
  <conditionalFormatting sqref="B10:H10">
    <cfRule type="expression" dxfId="154" priority="4">
      <formula>B10&lt;&gt;""</formula>
    </cfRule>
  </conditionalFormatting>
  <conditionalFormatting sqref="B11:H11">
    <cfRule type="expression" dxfId="153" priority="3">
      <formula>B10&lt;&gt;""</formula>
    </cfRule>
  </conditionalFormatting>
  <conditionalFormatting sqref="B12:H14">
    <cfRule type="expression" dxfId="152" priority="2">
      <formula>B$10&lt;&gt;""</formula>
    </cfRule>
  </conditionalFormatting>
  <conditionalFormatting sqref="B15:H15">
    <cfRule type="expression" dxfId="151" priority="1">
      <formula>B10&lt;&gt;""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063DD47-253F-4570-96F7-A406EF578100}">
          <x14:formula1>
            <xm:f>Validation!$F$3:$F$4</xm:f>
          </x14:formula1>
          <xm:sqref>B18 B20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B19 B21</xm:sqref>
        </x14:dataValidation>
        <x14:dataValidation type="list" allowBlank="1" showInputMessage="1" showErrorMessage="1" xr:uid="{6B3991E8-9E7F-4EEC-B66C-A1A9D743878C}">
          <x14:formula1>
            <xm:f>Validation!$M$3:$M$48</xm:f>
          </x14:formula1>
          <xm:sqref>B3</xm:sqref>
        </x14:dataValidation>
        <x14:dataValidation type="list" allowBlank="1" showInputMessage="1" showErrorMessage="1" xr:uid="{B6259728-4AA8-4330-B1EE-7B65D39C721C}">
          <x14:formula1>
            <xm:f>Validation!$K$3:$K$29</xm:f>
          </x14:formula1>
          <xm:sqref>B2</xm:sqref>
        </x14:dataValidation>
        <x14:dataValidation type="list" allowBlank="1" showInputMessage="1" showErrorMessage="1" xr:uid="{713B6A27-143F-4DB2-9B70-D9AD4D994E5C}">
          <x14:formula1>
            <xm:f>Validation!$A$4:$A$31</xm:f>
          </x14:formula1>
          <xm:sqref>B19</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0"/>
  <sheetViews>
    <sheetView showGridLines="0" zoomScaleNormal="100" workbookViewId="0"/>
  </sheetViews>
  <sheetFormatPr defaultRowHeight="13.15" outlineLevelRow="1" x14ac:dyDescent="0.4"/>
  <cols>
    <col min="1" max="1" width="8" customWidth="1"/>
    <col min="2" max="2" width="43.140625" customWidth="1"/>
    <col min="3" max="3" width="10.5703125" customWidth="1"/>
    <col min="4" max="33" width="9" customWidth="1"/>
  </cols>
  <sheetData>
    <row r="1" spans="1:26" ht="23.25" x14ac:dyDescent="0.7">
      <c r="B1" s="14" t="s">
        <v>332</v>
      </c>
    </row>
    <row r="2" spans="1:26" x14ac:dyDescent="0.4">
      <c r="D2" s="95" t="s">
        <v>919</v>
      </c>
      <c r="E2" s="236">
        <v>2024</v>
      </c>
    </row>
    <row r="3" spans="1:26" ht="15.75" x14ac:dyDescent="0.5">
      <c r="B3" s="177"/>
    </row>
    <row r="4" spans="1:26" ht="14.65" customHeight="1" x14ac:dyDescent="0.7">
      <c r="A4" s="14"/>
      <c r="B4" s="56" t="s">
        <v>295</v>
      </c>
      <c r="C4" s="57"/>
      <c r="D4" s="57"/>
      <c r="E4" s="61" cm="1">
        <f t="array" ref="E4:F4">_xlfn.SEQUENCE(1, OutturnThrough-MTP_BaseYear+1, MTP_BaseYear)</f>
        <v>2023</v>
      </c>
      <c r="F4" s="61">
        <v>2024</v>
      </c>
      <c r="G4" s="61"/>
      <c r="H4" s="61"/>
      <c r="I4" s="61"/>
      <c r="J4" s="61"/>
      <c r="K4" s="61"/>
      <c r="L4" s="61"/>
      <c r="M4" s="61"/>
      <c r="N4" s="61"/>
      <c r="O4" s="61"/>
      <c r="P4" s="61"/>
      <c r="Q4" s="61"/>
      <c r="R4" s="61"/>
      <c r="S4" s="61"/>
      <c r="T4" s="61"/>
      <c r="U4" s="61"/>
      <c r="V4" s="61"/>
      <c r="W4" s="61"/>
      <c r="X4" s="61"/>
      <c r="Y4" s="61"/>
      <c r="Z4" s="61"/>
    </row>
    <row r="5" spans="1:26" ht="14.65" customHeight="1" x14ac:dyDescent="0.7">
      <c r="A5" s="14"/>
      <c r="B5" s="58" t="s">
        <v>294</v>
      </c>
      <c r="C5" s="59"/>
      <c r="D5" s="59"/>
      <c r="E5" s="64" t="str" cm="1">
        <f t="array" ref="E5:F5">IF(
  AND(_xlfn.ANCHORARRAY(E4) &gt;= MTP_YearT-1,_xlfn.ANCHORARRAY( E4) &lt;= MTP_EndYear),
  "T" &amp; TEXT(_xlfn.ANCHORARRAY(E4) - MTP_YearT, "+0;-0;"),
  ""
)</f>
        <v>T-1</v>
      </c>
      <c r="F5" s="64" t="str">
        <v>T</v>
      </c>
      <c r="G5" s="64"/>
      <c r="H5" s="64"/>
      <c r="I5" s="64"/>
      <c r="J5" s="64"/>
      <c r="K5" s="64"/>
      <c r="L5" s="64"/>
      <c r="M5" s="64"/>
      <c r="N5" s="64"/>
      <c r="O5" s="64"/>
      <c r="P5" s="64"/>
      <c r="Q5" s="64"/>
      <c r="R5" s="64"/>
      <c r="S5" s="64"/>
      <c r="T5" s="64"/>
      <c r="U5" s="64"/>
      <c r="V5" s="64"/>
      <c r="W5" s="64"/>
      <c r="X5" s="64"/>
      <c r="Y5" s="64"/>
      <c r="Z5" s="64"/>
    </row>
    <row r="6" spans="1:26" ht="14.65" customHeight="1" x14ac:dyDescent="0.7">
      <c r="A6" s="14"/>
      <c r="B6" s="78" t="s">
        <v>303</v>
      </c>
      <c r="C6" s="61" t="s">
        <v>6</v>
      </c>
      <c r="D6" s="61"/>
      <c r="E6" s="167" cm="1">
        <f t="array" ref="E6:F6">INDEX(184:184, _xlfn.XMATCH(INDEX(_xlfn.ANCHORARRAY(E4),1,1), 33:33, 0) + _xlfn.SEQUENCE(1, COLUMNS(_xlfn.ANCHORARRAY(E4))) - 1)/1000</f>
        <v>17.182600000000001</v>
      </c>
      <c r="F6" s="167">
        <v>18.413499999999999</v>
      </c>
      <c r="G6" s="233"/>
      <c r="H6" s="233"/>
      <c r="I6" s="233"/>
      <c r="J6" s="233"/>
      <c r="K6" s="233"/>
      <c r="L6" s="233"/>
      <c r="M6" s="233"/>
      <c r="N6" s="233"/>
      <c r="O6" s="233"/>
      <c r="P6" s="233"/>
      <c r="Q6" s="233"/>
      <c r="R6" s="233"/>
      <c r="S6" s="233"/>
      <c r="T6" s="233"/>
      <c r="U6" s="233"/>
      <c r="V6" s="233"/>
      <c r="W6" s="233"/>
      <c r="X6" s="233"/>
      <c r="Y6" s="233"/>
      <c r="Z6" s="233"/>
    </row>
    <row r="7" spans="1:26" ht="14.65" customHeight="1" x14ac:dyDescent="0.7">
      <c r="A7" s="14"/>
      <c r="B7" s="100" t="s">
        <v>31</v>
      </c>
      <c r="C7" s="61" t="s">
        <v>6</v>
      </c>
      <c r="D7" s="61"/>
      <c r="E7" s="168" cm="1">
        <f t="array" ref="E7:F7">INDEX(175:175, _xlfn.XMATCH(INDEX(_xlfn.ANCHORARRAY(E4),1,1), 33:33, 0) + _xlfn.SEQUENCE(1, COLUMNS(_xlfn.ANCHORARRAY(E4))) - 1)/1000</f>
        <v>0.28689999999999999</v>
      </c>
      <c r="F7" s="168">
        <v>0.44330000000000003</v>
      </c>
      <c r="G7" s="234"/>
      <c r="H7" s="234"/>
      <c r="I7" s="234"/>
      <c r="J7" s="234"/>
      <c r="K7" s="234"/>
      <c r="L7" s="234"/>
      <c r="M7" s="234"/>
      <c r="N7" s="234"/>
      <c r="O7" s="234"/>
      <c r="P7" s="234"/>
      <c r="Q7" s="234"/>
      <c r="R7" s="234"/>
      <c r="S7" s="234"/>
      <c r="T7" s="234"/>
      <c r="U7" s="234"/>
      <c r="V7" s="234"/>
      <c r="W7" s="234"/>
      <c r="X7" s="234"/>
      <c r="Y7" s="234"/>
      <c r="Z7" s="234"/>
    </row>
    <row r="8" spans="1:26" ht="14.65" customHeight="1" x14ac:dyDescent="0.7">
      <c r="A8" s="14"/>
      <c r="B8" s="100" t="s">
        <v>322</v>
      </c>
      <c r="C8" s="61" t="s">
        <v>6</v>
      </c>
      <c r="D8" s="61"/>
      <c r="E8" s="168" cm="1">
        <f t="array" ref="E8:F8">INDEX(188:188, _xlfn.XMATCH(INDEX(_xlfn.ANCHORARRAY(E4),1,1), 33:33, 0) + _xlfn.SEQUENCE(1, COLUMNS(_xlfn.ANCHORARRAY(E4))) - 1)/1000</f>
        <v>-1.2620000000000001E-3</v>
      </c>
      <c r="F8" s="168">
        <v>4.169E-3</v>
      </c>
      <c r="G8" s="234"/>
      <c r="H8" s="234"/>
      <c r="I8" s="234"/>
      <c r="J8" s="234"/>
      <c r="K8" s="234"/>
      <c r="L8" s="234"/>
      <c r="M8" s="234"/>
      <c r="N8" s="234"/>
      <c r="O8" s="234"/>
      <c r="P8" s="234"/>
      <c r="Q8" s="234"/>
      <c r="R8" s="234"/>
      <c r="S8" s="234"/>
      <c r="T8" s="234"/>
      <c r="U8" s="234"/>
      <c r="V8" s="234"/>
      <c r="W8" s="234"/>
      <c r="X8" s="234"/>
      <c r="Y8" s="234"/>
      <c r="Z8" s="234"/>
    </row>
    <row r="9" spans="1:26" ht="14.65" customHeight="1" x14ac:dyDescent="0.7">
      <c r="A9" s="14"/>
      <c r="B9" s="100" t="s">
        <v>323</v>
      </c>
      <c r="C9" s="61" t="s">
        <v>6</v>
      </c>
      <c r="D9" s="61"/>
      <c r="E9" s="168" cm="1">
        <f t="array" ref="E9:F9">INDEX(185:185, _xlfn.XMATCH(INDEX(_xlfn.ANCHORARRAY(E4),1,1), 33:33, 0) + _xlfn.SEQUENCE(1, COLUMNS(_xlfn.ANCHORARRAY(E4))) - 1)/1000</f>
        <v>0.73429999999999995</v>
      </c>
      <c r="F9" s="168">
        <v>0.75549999999999995</v>
      </c>
      <c r="G9" s="234"/>
      <c r="H9" s="234"/>
      <c r="I9" s="234"/>
      <c r="J9" s="234"/>
      <c r="K9" s="234"/>
      <c r="L9" s="234"/>
      <c r="M9" s="234"/>
      <c r="N9" s="234"/>
      <c r="O9" s="234"/>
      <c r="P9" s="234"/>
      <c r="Q9" s="234"/>
      <c r="R9" s="234"/>
      <c r="S9" s="234"/>
      <c r="T9" s="234"/>
      <c r="U9" s="234"/>
      <c r="V9" s="234"/>
      <c r="W9" s="234"/>
      <c r="X9" s="234"/>
      <c r="Y9" s="234"/>
      <c r="Z9" s="234"/>
    </row>
    <row r="10" spans="1:26" ht="14.65" customHeight="1" x14ac:dyDescent="0.7">
      <c r="A10" s="14"/>
      <c r="B10" s="100" t="s">
        <v>324</v>
      </c>
      <c r="C10" s="61" t="s">
        <v>6</v>
      </c>
      <c r="D10" s="61"/>
      <c r="E10" s="168" cm="1">
        <f t="array" ref="E10:F10">INDEX(187:187, _xlfn.XMATCH(INDEX(_xlfn.ANCHORARRAY(E4),1,1), 33:33, 0) + _xlfn.SEQUENCE(1, COLUMNS(_xlfn.ANCHORARRAY(E4))) - 1)/1000</f>
        <v>0.15825</v>
      </c>
      <c r="F10" s="168">
        <v>0.13764999999999999</v>
      </c>
      <c r="G10" s="234"/>
      <c r="H10" s="234"/>
      <c r="I10" s="234"/>
      <c r="J10" s="234"/>
      <c r="K10" s="234"/>
      <c r="L10" s="234"/>
      <c r="M10" s="234"/>
      <c r="N10" s="234"/>
      <c r="O10" s="234"/>
      <c r="P10" s="234"/>
      <c r="Q10" s="234"/>
      <c r="R10" s="234"/>
      <c r="S10" s="234"/>
      <c r="T10" s="234"/>
      <c r="U10" s="234"/>
      <c r="V10" s="234"/>
      <c r="W10" s="234"/>
      <c r="X10" s="234"/>
      <c r="Y10" s="234"/>
      <c r="Z10" s="234"/>
    </row>
    <row r="11" spans="1:26" ht="14.65" customHeight="1" x14ac:dyDescent="0.7">
      <c r="A11" s="14"/>
      <c r="B11" s="100" t="s">
        <v>325</v>
      </c>
      <c r="C11" s="61" t="s">
        <v>6</v>
      </c>
      <c r="D11" s="61"/>
      <c r="E11" s="168" cm="1">
        <f t="array" ref="E11:F11">INDEX(189:189, _xlfn.XMATCH(INDEX(_xlfn.ANCHORARRAY(E4),1,1), 33:33, 0) + _xlfn.SEQUENCE(1, COLUMNS(_xlfn.ANCHORARRAY(E4))) - 1)/1000</f>
        <v>0</v>
      </c>
      <c r="F11" s="168">
        <v>0</v>
      </c>
      <c r="G11" s="234"/>
      <c r="H11" s="234"/>
      <c r="I11" s="234"/>
      <c r="J11" s="234"/>
      <c r="K11" s="234"/>
      <c r="L11" s="234"/>
      <c r="M11" s="234"/>
      <c r="N11" s="234"/>
      <c r="O11" s="234"/>
      <c r="P11" s="234"/>
      <c r="Q11" s="234"/>
      <c r="R11" s="234"/>
      <c r="S11" s="234"/>
      <c r="T11" s="234"/>
      <c r="U11" s="234"/>
      <c r="V11" s="234"/>
      <c r="W11" s="234"/>
      <c r="X11" s="234"/>
      <c r="Y11" s="234"/>
      <c r="Z11" s="234"/>
    </row>
    <row r="12" spans="1:26" ht="14.65" customHeight="1" x14ac:dyDescent="0.7">
      <c r="A12" s="14"/>
      <c r="B12" s="100" t="s">
        <v>357</v>
      </c>
      <c r="C12" s="61" t="s">
        <v>6</v>
      </c>
      <c r="D12" s="61"/>
      <c r="E12" s="168" cm="1">
        <f t="array" ref="E12:F12">INDEX(190:190, _xlfn.XMATCH(INDEX(_xlfn.ANCHORARRAY(E4),1,1), 33:33, 0) + _xlfn.SEQUENCE(1, COLUMNS(_xlfn.ANCHORARRAY(E4))) - 1)/1000</f>
        <v>16.004412000000006</v>
      </c>
      <c r="F12" s="168">
        <v>17.072880999999999</v>
      </c>
      <c r="G12" s="234"/>
      <c r="H12" s="234"/>
      <c r="I12" s="234"/>
      <c r="J12" s="234"/>
      <c r="K12" s="234"/>
      <c r="L12" s="234"/>
      <c r="M12" s="234"/>
      <c r="N12" s="234"/>
      <c r="O12" s="234"/>
      <c r="P12" s="234"/>
      <c r="Q12" s="234"/>
      <c r="R12" s="234"/>
      <c r="S12" s="234"/>
      <c r="T12" s="234"/>
      <c r="U12" s="234"/>
      <c r="V12" s="234"/>
      <c r="W12" s="234"/>
      <c r="X12" s="234"/>
      <c r="Y12" s="234"/>
      <c r="Z12" s="234"/>
    </row>
    <row r="13" spans="1:26" ht="14.65" customHeight="1" x14ac:dyDescent="0.7">
      <c r="A13" s="14"/>
      <c r="B13" s="100" t="s">
        <v>686</v>
      </c>
      <c r="C13" s="61" t="s">
        <v>6</v>
      </c>
      <c r="D13" s="61"/>
      <c r="E13" s="168" cm="1">
        <f t="array" ref="E13:F13">(INDEX(169:169, _xlfn.XMATCH(INDEX(_xlfn.ANCHORARRAY(E4),1,1)+0, 33:33+0, 0) + _xlfn.SEQUENCE(1, COLUMNS(_xlfn.ANCHORARRAY(E4))) - 1))/1000</f>
        <v>0</v>
      </c>
      <c r="F13" s="168">
        <v>0.273808</v>
      </c>
      <c r="G13" s="234"/>
      <c r="H13" s="234"/>
      <c r="I13" s="234"/>
      <c r="J13" s="234"/>
      <c r="K13" s="234"/>
      <c r="L13" s="234"/>
      <c r="M13" s="234"/>
      <c r="N13" s="234"/>
      <c r="O13" s="234"/>
      <c r="P13" s="234"/>
      <c r="Q13" s="234"/>
      <c r="R13" s="234"/>
      <c r="S13" s="234"/>
      <c r="T13" s="234"/>
      <c r="U13" s="234"/>
      <c r="V13" s="234"/>
      <c r="W13" s="234"/>
      <c r="X13" s="234"/>
      <c r="Y13" s="234"/>
      <c r="Z13" s="234"/>
    </row>
    <row r="14" spans="1:26" ht="14.65" customHeight="1" x14ac:dyDescent="0.7">
      <c r="A14" s="14"/>
      <c r="B14" s="100" t="s">
        <v>688</v>
      </c>
      <c r="C14" s="61" t="s">
        <v>6</v>
      </c>
      <c r="D14" s="61"/>
      <c r="E14" s="168" cm="1">
        <f t="array" ref="E14:F14">INDEX(92:92, _xlfn.XMATCH(INDEX(_xlfn.ANCHORARRAY(E4),1,1), 33:33, 0) + _xlfn.SEQUENCE(1, COLUMNS(_xlfn.ANCHORARRAY(E4))) - 1)/1000</f>
        <v>1.0249299999999999</v>
      </c>
      <c r="F14" s="168">
        <v>1.1083700000000001</v>
      </c>
      <c r="G14" s="234"/>
      <c r="H14" s="234"/>
      <c r="I14" s="234"/>
      <c r="J14" s="234"/>
      <c r="K14" s="234"/>
      <c r="L14" s="234"/>
      <c r="M14" s="234"/>
      <c r="N14" s="234"/>
      <c r="O14" s="234"/>
      <c r="P14" s="234"/>
      <c r="Q14" s="234"/>
      <c r="R14" s="234"/>
      <c r="S14" s="234"/>
      <c r="T14" s="234"/>
      <c r="U14" s="234"/>
      <c r="V14" s="234"/>
      <c r="W14" s="234"/>
      <c r="X14" s="234"/>
      <c r="Y14" s="234"/>
      <c r="Z14" s="234"/>
    </row>
    <row r="15" spans="1:26" ht="20.25" customHeight="1" x14ac:dyDescent="0.7">
      <c r="A15" s="14"/>
      <c r="B15" s="78" t="s">
        <v>359</v>
      </c>
      <c r="C15" s="61" t="s">
        <v>729</v>
      </c>
      <c r="D15" s="61"/>
      <c r="E15" s="167" t="str" cm="1">
        <f t="array" ref="E15:F15">_xlfn.LET(
  _xlpm.n, COLUMNS(_xlfn.ANCHORARRAY(E4)),
  _xlpm.seq, _xlfn.SEQUENCE(1,_xlpm.n),
  _xlpm.col, COLUMN()+_xlpm.seq-1,
  _xlpm.curr13, INDEX(12:12, _xlpm.col),
  _xlpm.curr14, INDEX(13:13, _xlpm.col),
  _xlpm.prev13, INDEX(12:12, _xlpm.col-1),
  IF(_xlpm.seq=1, "", IFERROR((((_xlpm.curr13-_xlpm.curr14)/_xlpm.prev13)-1)*100, ""))
)</f>
        <v/>
      </c>
      <c r="F15" s="167">
        <v>4.9652620789816915</v>
      </c>
      <c r="G15" s="233"/>
      <c r="H15" s="233"/>
      <c r="I15" s="233"/>
      <c r="J15" s="233"/>
      <c r="K15" s="233"/>
      <c r="L15" s="233"/>
      <c r="M15" s="233"/>
      <c r="N15" s="233"/>
      <c r="O15" s="233"/>
      <c r="P15" s="233"/>
      <c r="Q15" s="233"/>
      <c r="R15" s="233"/>
      <c r="S15" s="233"/>
      <c r="T15" s="233"/>
      <c r="U15" s="233"/>
      <c r="V15" s="233"/>
      <c r="W15" s="233"/>
      <c r="X15" s="233"/>
      <c r="Y15" s="233"/>
      <c r="Z15" s="233"/>
    </row>
    <row r="16" spans="1:26" ht="14.65" customHeight="1" x14ac:dyDescent="0.7">
      <c r="A16" s="14"/>
      <c r="B16" s="78" t="s">
        <v>358</v>
      </c>
      <c r="C16" s="61" t="s">
        <v>729</v>
      </c>
      <c r="D16" s="61"/>
      <c r="E16" s="167" t="str" cm="1">
        <f t="array" ref="E16:F16">_xlfn.LET(
  _xlpm.n, COLUMNS(_xlfn.ANCHORARRAY(E4)),
  _xlpm.seq, _xlfn.SEQUENCE(1,_xlpm.n),
  _xlpm.vals, INDEX(15:15, COLUMN()-1+_xlpm.seq),
  _xlpm.clean, IF(_xlpm.vals="",0,_xlpm.vals/100),
  _xlpm.cum, _xlfn.SCAN(1, _xlpm.clean, _xlfn.LAMBDA(_xlpm.a,_xlpm.b,_xlpm.a*(1+_xlpm.b))),
  IF(_xlpm.seq=1,"",(_xlpm.cum-1)*100)
)</f>
        <v/>
      </c>
      <c r="F16" s="167">
        <v>4.9652620789816915</v>
      </c>
      <c r="G16" s="235"/>
      <c r="H16" s="235"/>
      <c r="I16" s="235"/>
      <c r="J16" s="235"/>
      <c r="K16" s="235"/>
      <c r="L16" s="235"/>
      <c r="M16" s="235"/>
      <c r="N16" s="235"/>
      <c r="O16" s="235"/>
      <c r="P16" s="235"/>
      <c r="Q16" s="235"/>
      <c r="R16" s="235"/>
      <c r="S16" s="235"/>
      <c r="T16" s="235"/>
      <c r="U16" s="235"/>
      <c r="V16" s="235"/>
      <c r="W16" s="235"/>
      <c r="X16" s="235"/>
      <c r="Y16" s="235"/>
      <c r="Z16" s="235"/>
    </row>
    <row r="17" spans="1:26" ht="20.25" customHeight="1" x14ac:dyDescent="0.7">
      <c r="A17" s="14"/>
      <c r="B17" s="72" t="s">
        <v>215</v>
      </c>
      <c r="C17" s="66" t="s">
        <v>694</v>
      </c>
      <c r="D17" s="66"/>
      <c r="E17" s="169" cm="1">
        <f t="array" ref="E17:F17">INDEX(139:139, _xlfn.XMATCH(INDEX(_xlfn.ANCHORARRAY(E4),1,1), 33:33, 0) + _xlfn.SEQUENCE(1, COLUMNS(_xlfn.ANCHORARRAY(E4))) - 1)</f>
        <v>-2.342774528487884</v>
      </c>
      <c r="F17" s="169">
        <v>-1.7868607680254289</v>
      </c>
      <c r="G17" s="235"/>
      <c r="H17" s="235"/>
      <c r="I17" s="235"/>
      <c r="J17" s="235"/>
      <c r="K17" s="235"/>
      <c r="L17" s="235"/>
      <c r="M17" s="235"/>
      <c r="N17" s="235"/>
      <c r="O17" s="235"/>
      <c r="P17" s="235"/>
      <c r="Q17" s="235"/>
      <c r="R17" s="235"/>
      <c r="S17" s="235"/>
      <c r="T17" s="235"/>
      <c r="U17" s="235"/>
      <c r="V17" s="235"/>
      <c r="W17" s="235"/>
      <c r="X17" s="235"/>
      <c r="Y17" s="235"/>
      <c r="Z17" s="235"/>
    </row>
    <row r="18" spans="1:26" ht="14.65" customHeight="1" x14ac:dyDescent="0.7">
      <c r="A18" s="14"/>
      <c r="B18" s="72" t="s">
        <v>0</v>
      </c>
      <c r="C18" s="66" t="s">
        <v>694</v>
      </c>
      <c r="D18" s="66"/>
      <c r="E18" s="169" cm="1">
        <f t="array" ref="E18:F18">INDEX(142:142, _xlfn.XMATCH(INDEX(_xlfn.ANCHORARRAY(E4),1,1), 33:33, 0) + _xlfn.SEQUENCE(1, COLUMNS(_xlfn.ANCHORARRAY(E4))) - 1)</f>
        <v>-2.1063200000000002</v>
      </c>
      <c r="F18" s="169">
        <v>-1.548</v>
      </c>
      <c r="G18" s="235"/>
      <c r="H18" s="235"/>
      <c r="I18" s="235"/>
      <c r="J18" s="235"/>
      <c r="K18" s="235"/>
      <c r="L18" s="235"/>
      <c r="M18" s="235"/>
      <c r="N18" s="235"/>
      <c r="O18" s="235"/>
      <c r="P18" s="235"/>
      <c r="Q18" s="235"/>
      <c r="R18" s="235"/>
      <c r="S18" s="235"/>
      <c r="T18" s="235"/>
      <c r="U18" s="235"/>
      <c r="V18" s="235"/>
      <c r="W18" s="235"/>
      <c r="X18" s="235"/>
      <c r="Y18" s="235"/>
      <c r="Z18" s="235"/>
    </row>
    <row r="19" spans="1:26" ht="14.65" customHeight="1" x14ac:dyDescent="0.7">
      <c r="A19" s="14"/>
      <c r="B19" s="72" t="s">
        <v>3</v>
      </c>
      <c r="C19" s="66" t="s">
        <v>694</v>
      </c>
      <c r="D19" s="66"/>
      <c r="E19" s="169" cm="1">
        <f t="array" ref="E19:F19">INDEX(143:143, _xlfn.XMATCH(INDEX(_xlfn.ANCHORARRAY(E4),1,1), 33:33, 0) + _xlfn.SEQUENCE(1, COLUMNS(_xlfn.ANCHORARRAY(E4))) - 1)</f>
        <v>-1.38124</v>
      </c>
      <c r="F19" s="169">
        <v>-0.44949</v>
      </c>
      <c r="G19" s="235"/>
      <c r="H19" s="235"/>
      <c r="I19" s="235"/>
      <c r="J19" s="235"/>
      <c r="K19" s="235"/>
      <c r="L19" s="235"/>
      <c r="M19" s="235"/>
      <c r="N19" s="235"/>
      <c r="O19" s="235"/>
      <c r="P19" s="235"/>
      <c r="Q19" s="235"/>
      <c r="R19" s="235"/>
      <c r="S19" s="235"/>
      <c r="T19" s="235"/>
      <c r="U19" s="235"/>
      <c r="V19" s="235"/>
      <c r="W19" s="235"/>
      <c r="X19" s="235"/>
      <c r="Y19" s="235"/>
      <c r="Z19" s="235"/>
    </row>
    <row r="20" spans="1:26" ht="14.65" customHeight="1" x14ac:dyDescent="0.7">
      <c r="A20" s="14"/>
      <c r="B20" s="72" t="s">
        <v>1</v>
      </c>
      <c r="C20" s="66" t="s">
        <v>694</v>
      </c>
      <c r="D20" s="66"/>
      <c r="E20" s="169" cm="1">
        <f t="array" ref="E20:F20">INDEX(145:145, _xlfn.XMATCH(INDEX(_xlfn.ANCHORARRAY(E4),1,1), 33:33, 0) + _xlfn.SEQUENCE(1, COLUMNS(_xlfn.ANCHORARRAY(E4))) - 1)</f>
        <v>44.430318318075436</v>
      </c>
      <c r="F20" s="169">
        <v>46.249535696627248</v>
      </c>
      <c r="G20" s="235"/>
      <c r="H20" s="235"/>
      <c r="I20" s="235"/>
      <c r="J20" s="235"/>
      <c r="K20" s="235"/>
      <c r="L20" s="235"/>
      <c r="M20" s="235"/>
      <c r="N20" s="235"/>
      <c r="O20" s="235"/>
      <c r="P20" s="235"/>
      <c r="Q20" s="235"/>
      <c r="R20" s="235"/>
      <c r="S20" s="235"/>
      <c r="T20" s="235"/>
      <c r="U20" s="235"/>
      <c r="V20" s="235"/>
      <c r="W20" s="235"/>
      <c r="X20" s="235"/>
      <c r="Y20" s="235"/>
      <c r="Z20" s="235"/>
    </row>
    <row r="21" spans="1:26" ht="14.65" customHeight="1" x14ac:dyDescent="0.7">
      <c r="A21" s="14"/>
      <c r="B21" s="72" t="s">
        <v>2</v>
      </c>
      <c r="C21" s="66" t="s">
        <v>694</v>
      </c>
      <c r="D21" s="66"/>
      <c r="E21" s="169"/>
      <c r="F21" s="169"/>
      <c r="G21" s="235"/>
      <c r="H21" s="235"/>
      <c r="I21" s="235"/>
      <c r="J21" s="235"/>
      <c r="K21" s="235"/>
      <c r="L21" s="235"/>
      <c r="M21" s="235"/>
      <c r="N21" s="235"/>
      <c r="O21" s="235"/>
      <c r="P21" s="235"/>
      <c r="Q21" s="235"/>
      <c r="R21" s="235"/>
      <c r="S21" s="235"/>
      <c r="T21" s="235"/>
      <c r="U21" s="235"/>
      <c r="V21" s="235"/>
      <c r="W21" s="235"/>
      <c r="X21" s="235"/>
      <c r="Y21" s="235"/>
      <c r="Z21" s="235"/>
    </row>
    <row r="22" spans="1:26" ht="20.25" customHeight="1" x14ac:dyDescent="0.7">
      <c r="A22" s="14"/>
      <c r="B22" s="72" t="s">
        <v>326</v>
      </c>
      <c r="C22" s="66" t="s">
        <v>728</v>
      </c>
      <c r="D22" s="66"/>
      <c r="E22" s="167" cm="1">
        <f t="array" ref="E22:F22">_xlfn.LET(
  _xlpm.pos,  _xlfn.XMATCH(INDEX(_xlfn.ANCHORARRAY(E4),1,1)+0, 33:33+0, 0) + _xlfn.SEQUENCE(1, COLUMNS(_xlfn.ANCHORARRAY(E4))),
  _xlpm.num,  INDEX(35:35, _xlpm.pos - 1),
  _xlpm.den,  INDEX(35:35, _xlpm.pos - 2),
  IF((_xlpm.num=0) + (_xlpm.den=0), "", 100*(_xlpm.num/_xlpm.den - 1))
)</f>
        <v>-0.9414574313402313</v>
      </c>
      <c r="F22" s="167">
        <v>-3.7310985009997299E-2</v>
      </c>
      <c r="G22" s="233"/>
      <c r="H22" s="233"/>
      <c r="I22" s="233"/>
      <c r="J22" s="233"/>
      <c r="K22" s="233"/>
      <c r="L22" s="233"/>
      <c r="M22" s="233"/>
      <c r="N22" s="233"/>
      <c r="O22" s="233"/>
      <c r="P22" s="233"/>
      <c r="Q22" s="233"/>
      <c r="R22" s="233"/>
      <c r="S22" s="233"/>
      <c r="T22" s="233"/>
      <c r="U22" s="233"/>
      <c r="V22" s="233"/>
      <c r="W22" s="233"/>
      <c r="X22" s="233"/>
      <c r="Y22" s="233"/>
      <c r="Z22" s="233"/>
    </row>
    <row r="23" spans="1:26" ht="14.65" customHeight="1" x14ac:dyDescent="0.7">
      <c r="A23" s="14"/>
      <c r="B23" s="72" t="s">
        <v>327</v>
      </c>
      <c r="C23" s="66" t="s">
        <v>728</v>
      </c>
      <c r="D23" s="66"/>
      <c r="E23" s="167" cm="1">
        <f t="array" ref="E23:F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67">
        <v>2.7885650030008202</v>
      </c>
      <c r="G23" s="233"/>
      <c r="H23" s="233"/>
      <c r="I23" s="233"/>
      <c r="J23" s="233"/>
      <c r="K23" s="233"/>
      <c r="L23" s="233"/>
      <c r="M23" s="233"/>
      <c r="N23" s="233"/>
      <c r="O23" s="233"/>
      <c r="P23" s="233"/>
      <c r="Q23" s="233"/>
      <c r="R23" s="233"/>
      <c r="S23" s="233"/>
      <c r="T23" s="233"/>
      <c r="U23" s="233"/>
      <c r="V23" s="233"/>
      <c r="W23" s="233"/>
      <c r="X23" s="233"/>
      <c r="Y23" s="233"/>
      <c r="Z23" s="233"/>
    </row>
    <row r="24" spans="1:26" ht="14.65" customHeight="1" x14ac:dyDescent="0.7">
      <c r="A24" s="14"/>
      <c r="B24" s="72" t="s">
        <v>328</v>
      </c>
      <c r="C24" s="66" t="s">
        <v>728</v>
      </c>
      <c r="D24" s="66"/>
      <c r="E24" s="167" cm="1">
        <f t="array" ref="E24:F24">_xlfn.LET(
  _xlpm.pos,  _xlfn.XMATCH(INDEX(_xlfn.ANCHORARRAY(E4),1,1)+0, 33:33+0, 0) + _xlfn.SEQUENCE(1, COLUMNS(_xlfn.ANCHORARRAY(E4))),
  _xlpm.num,  INDEX(34:34, _xlpm.pos - 1),
  _xlpm.den,  INDEX(34:34, _xlpm.pos - 2),
  IF((_xlpm.num=0) + (_xlpm.den=0), "", 100*(_xlpm.num/_xlpm.den - 1))
)</f>
        <v>9.630438336653846</v>
      </c>
      <c r="F24" s="167">
        <v>2.7502135769205571</v>
      </c>
      <c r="G24" s="233"/>
      <c r="H24" s="233"/>
      <c r="I24" s="233"/>
      <c r="J24" s="233"/>
      <c r="K24" s="233"/>
      <c r="L24" s="233"/>
      <c r="M24" s="233"/>
      <c r="N24" s="233"/>
      <c r="O24" s="233"/>
      <c r="P24" s="233"/>
      <c r="Q24" s="233"/>
      <c r="R24" s="233"/>
      <c r="S24" s="233"/>
      <c r="T24" s="233"/>
      <c r="U24" s="233"/>
      <c r="V24" s="233"/>
      <c r="W24" s="233"/>
      <c r="X24" s="233"/>
      <c r="Y24" s="233"/>
      <c r="Z24" s="233"/>
    </row>
    <row r="25" spans="1:26" ht="14.65" customHeight="1" x14ac:dyDescent="0.7">
      <c r="A25" s="14"/>
      <c r="B25" s="72" t="s">
        <v>329</v>
      </c>
      <c r="C25" s="61" t="s">
        <v>728</v>
      </c>
      <c r="D25" s="61"/>
      <c r="E25" s="167" cm="1">
        <f t="array" ref="E25:F25">_xlfn.LET(
  _xlpm.pos,  _xlfn.XMATCH(INDEX(_xlfn.ANCHORARRAY(E4),1,1)+0, 33:33+0, 0) + _xlfn.SEQUENCE(1, COLUMNS(_xlfn.ANCHORARRAY(E4))),
  _xlpm.num,  INDEX(90:90, _xlpm.pos - 1),
  _xlpm.den,  INDEX(90:90, _xlpm.pos - 2),
  IF((_xlpm.num=0) + (_xlpm.den=0), "", 100*(_xlpm.num/_xlpm.den - 1))
)</f>
        <v>0.97435418160733978</v>
      </c>
      <c r="F25" s="169">
        <v>-1.8794702349533843E-2</v>
      </c>
      <c r="G25" s="235"/>
      <c r="H25" s="235"/>
      <c r="I25" s="235"/>
      <c r="J25" s="235"/>
      <c r="K25" s="235"/>
      <c r="L25" s="235"/>
      <c r="M25" s="235"/>
      <c r="N25" s="235"/>
      <c r="O25" s="235"/>
      <c r="P25" s="235"/>
      <c r="Q25" s="235"/>
      <c r="R25" s="235"/>
      <c r="S25" s="235"/>
      <c r="T25" s="235"/>
      <c r="U25" s="235"/>
      <c r="V25" s="235"/>
      <c r="W25" s="235"/>
      <c r="X25" s="235"/>
      <c r="Y25" s="235"/>
      <c r="Z25" s="235"/>
    </row>
    <row r="26" spans="1:26" ht="14.65" customHeight="1" x14ac:dyDescent="0.7">
      <c r="A26" s="14"/>
      <c r="B26" s="72" t="s">
        <v>318</v>
      </c>
      <c r="C26" s="61" t="s">
        <v>689</v>
      </c>
      <c r="D26" s="61"/>
      <c r="E26" s="169" cm="1">
        <f t="array" ref="E26:F26">_xlfn.LET(
  _xlpm.pos,   _xlfn.XMATCH(INDEX(_xlfn.ANCHORARRAY(E4),1,1)+0, 33:33+0, 0) + _xlfn.SEQUENCE(1, COLUMNS(_xlfn.ANCHORARRAY(E4))),
  _xlpm.rGDP,  INDEX(89:89, _xlpm.pos - 1),
  _xlpm.pGDP,  INDEX(90:90, _xlpm.pos - 1),
  IF((_xlpm.rGDP=0) + (_xlpm.pGDP=0), "", 100*(_xlpm.rGDP/_xlpm.pGDP - 1))
)</f>
        <v>-0.67509815273575358</v>
      </c>
      <c r="F26" s="169">
        <v>-0.70221013089490913</v>
      </c>
      <c r="G26" s="235"/>
      <c r="H26" s="235"/>
      <c r="I26" s="235"/>
      <c r="J26" s="235"/>
      <c r="K26" s="235"/>
      <c r="L26" s="235"/>
      <c r="M26" s="235"/>
      <c r="N26" s="235"/>
      <c r="O26" s="235"/>
      <c r="P26" s="235"/>
      <c r="Q26" s="235"/>
      <c r="R26" s="235"/>
      <c r="S26" s="235"/>
      <c r="T26" s="235"/>
      <c r="U26" s="235"/>
      <c r="V26" s="235"/>
      <c r="W26" s="235"/>
      <c r="X26" s="235"/>
      <c r="Y26" s="235"/>
      <c r="Z26" s="235"/>
    </row>
    <row r="27" spans="1:26" x14ac:dyDescent="0.4">
      <c r="B27" s="59" t="s">
        <v>685</v>
      </c>
      <c r="C27" s="175" t="s">
        <v>730</v>
      </c>
      <c r="D27" s="175"/>
      <c r="E27" s="169" cm="1">
        <f t="array" ref="E27:F27">INDEX(34:34, _xlfn.XMATCH(INDEX(_xlfn.ANCHORARRAY(E4),1,1), 33:33, 0) + _xlfn.SEQUENCE(1, COLUMNS(_xlfn.ANCHORARRAY(E4))) - 1)/1000</f>
        <v>39.5642</v>
      </c>
      <c r="F27" s="169">
        <v>40.652300000000004</v>
      </c>
      <c r="G27" s="235"/>
      <c r="H27" s="235"/>
      <c r="I27" s="235"/>
      <c r="J27" s="235"/>
      <c r="K27" s="235"/>
      <c r="L27" s="235"/>
      <c r="M27" s="235"/>
      <c r="N27" s="235"/>
      <c r="O27" s="235"/>
      <c r="P27" s="235"/>
      <c r="Q27" s="235"/>
      <c r="R27" s="235"/>
      <c r="S27" s="235"/>
      <c r="T27" s="235"/>
      <c r="U27" s="235"/>
      <c r="V27" s="235"/>
      <c r="W27" s="235"/>
      <c r="X27" s="235"/>
      <c r="Y27" s="235"/>
      <c r="Z27" s="235"/>
    </row>
    <row r="28" spans="1:26" x14ac:dyDescent="0.4">
      <c r="C28" s="8"/>
      <c r="D28" s="8"/>
    </row>
    <row r="29" spans="1:26" ht="23.25" x14ac:dyDescent="0.7">
      <c r="A29" s="14" t="s">
        <v>932</v>
      </c>
      <c r="B29" s="8"/>
      <c r="C29" s="8"/>
    </row>
    <row r="30" spans="1:26" outlineLevel="1" x14ac:dyDescent="0.4">
      <c r="A30" s="178" t="s">
        <v>15</v>
      </c>
      <c r="B30" s="179" t="str">
        <f>Country</f>
        <v>Latvia</v>
      </c>
      <c r="C30" s="8"/>
    </row>
    <row r="31" spans="1:26" outlineLevel="1" x14ac:dyDescent="0.4">
      <c r="A31" s="178" t="s">
        <v>964</v>
      </c>
      <c r="B31" s="238">
        <v>46148.616296296299</v>
      </c>
      <c r="C31" s="8"/>
    </row>
    <row r="32" spans="1:26" outlineLevel="1" x14ac:dyDescent="0.4">
      <c r="A32" s="178" t="s">
        <v>791</v>
      </c>
      <c r="B32" s="178" t="s">
        <v>792</v>
      </c>
    </row>
    <row r="33" spans="1:169" outlineLevel="1" x14ac:dyDescent="0.4">
      <c r="A33" s="178" t="s">
        <v>32</v>
      </c>
      <c r="B33" s="178" t="s">
        <v>16</v>
      </c>
      <c r="C33" t="s">
        <v>772</v>
      </c>
      <c r="D33" cm="1">
        <f t="array" ref="D33:F33">_xlfn.SEQUENCE(1, OutturnThrough-MTP_BaseYear+2, MTP_BaseYear-1)</f>
        <v>2022</v>
      </c>
      <c r="E33">
        <v>2023</v>
      </c>
      <c r="F33">
        <v>2024</v>
      </c>
    </row>
    <row r="34" spans="1:169" outlineLevel="1" x14ac:dyDescent="0.4">
      <c r="A34" t="s">
        <v>185</v>
      </c>
      <c r="B34" t="s">
        <v>99</v>
      </c>
      <c r="C34" t="s">
        <v>768</v>
      </c>
      <c r="D34" s="9">
        <v>36088.699999999997</v>
      </c>
      <c r="E34" s="9">
        <v>39564.199999999997</v>
      </c>
      <c r="F34">
        <v>40652.300000000003</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186</v>
      </c>
      <c r="B35" t="s">
        <v>99</v>
      </c>
      <c r="C35" t="s">
        <v>768</v>
      </c>
      <c r="D35" s="9">
        <v>24621.4</v>
      </c>
      <c r="E35" s="9">
        <v>24389.599999999999</v>
      </c>
      <c r="F35">
        <v>24380.5</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146</v>
      </c>
      <c r="B36" t="s">
        <v>145</v>
      </c>
      <c r="C36" t="s">
        <v>768</v>
      </c>
      <c r="D36" s="9">
        <v>28950.2</v>
      </c>
      <c r="E36" s="9">
        <v>31244.7</v>
      </c>
      <c r="F36">
        <v>32570.1</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149</v>
      </c>
      <c r="B37" t="s">
        <v>148</v>
      </c>
      <c r="C37" t="s">
        <v>768</v>
      </c>
      <c r="D37" s="9">
        <v>27969.3</v>
      </c>
      <c r="E37" s="9">
        <v>26108.3</v>
      </c>
      <c r="F37">
        <v>26368.5</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151</v>
      </c>
      <c r="B38" t="s">
        <v>150</v>
      </c>
      <c r="C38" t="s">
        <v>768</v>
      </c>
      <c r="D38" s="9">
        <v>29734</v>
      </c>
      <c r="E38" s="9">
        <v>27557.8</v>
      </c>
      <c r="F38">
        <v>27011.9</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382</v>
      </c>
      <c r="B39" t="s">
        <v>383</v>
      </c>
      <c r="C39" t="s">
        <v>768</v>
      </c>
      <c r="D39" s="9">
        <v>-1764.7</v>
      </c>
      <c r="E39" s="9">
        <v>-1449.5</v>
      </c>
      <c r="F39">
        <v>-643.4</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183</v>
      </c>
      <c r="B40" t="s">
        <v>184</v>
      </c>
      <c r="C40" t="s">
        <v>768</v>
      </c>
      <c r="D40" s="9">
        <v>25073.8</v>
      </c>
      <c r="E40" s="9">
        <v>27066.9</v>
      </c>
      <c r="F40">
        <v>28282.799999999999</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159</v>
      </c>
      <c r="B41" t="s">
        <v>158</v>
      </c>
      <c r="C41" t="s">
        <v>768</v>
      </c>
      <c r="D41" s="9">
        <v>8404.4</v>
      </c>
      <c r="E41" s="9">
        <v>9504.4</v>
      </c>
      <c r="F41">
        <v>9043</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161</v>
      </c>
      <c r="B42" t="s">
        <v>160</v>
      </c>
      <c r="C42" t="s">
        <v>768</v>
      </c>
      <c r="D42" s="9">
        <v>460.5</v>
      </c>
      <c r="E42" s="9">
        <v>236.5</v>
      </c>
      <c r="F42">
        <v>-345.5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163</v>
      </c>
      <c r="B43" t="s">
        <v>162</v>
      </c>
      <c r="C43" t="s">
        <v>768</v>
      </c>
      <c r="D43" s="9">
        <v>38.299999999999997</v>
      </c>
      <c r="E43" s="9">
        <v>28.1</v>
      </c>
      <c r="F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707</v>
      </c>
      <c r="B44" t="s">
        <v>164</v>
      </c>
      <c r="C44" t="s">
        <v>768</v>
      </c>
      <c r="D44" s="9">
        <v>498.8</v>
      </c>
      <c r="E44" s="9">
        <v>264.60000000000002</v>
      </c>
      <c r="F44">
        <v>-317.39999999999998</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175</v>
      </c>
      <c r="B45" t="s">
        <v>180</v>
      </c>
      <c r="C45" t="s">
        <v>768</v>
      </c>
      <c r="D45" s="9">
        <v>21475</v>
      </c>
      <c r="E45" s="9">
        <v>22935.3</v>
      </c>
      <c r="F45">
        <v>23745.9</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176</v>
      </c>
      <c r="B46" t="s">
        <v>181</v>
      </c>
      <c r="C46" t="s">
        <v>768</v>
      </c>
      <c r="D46" s="9">
        <v>21039.7</v>
      </c>
      <c r="E46" s="9">
        <v>22528.2</v>
      </c>
      <c r="F46">
        <v>23346</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177</v>
      </c>
      <c r="B47" t="s">
        <v>182</v>
      </c>
      <c r="C47" t="s">
        <v>768</v>
      </c>
      <c r="D47" s="9">
        <v>435.2</v>
      </c>
      <c r="E47" s="9">
        <v>407</v>
      </c>
      <c r="F47">
        <v>399.9</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101</v>
      </c>
      <c r="B48" t="s">
        <v>100</v>
      </c>
      <c r="C48" t="s">
        <v>773</v>
      </c>
      <c r="D48" s="9">
        <v>-1753.6</v>
      </c>
      <c r="E48" s="9">
        <v>-926.7</v>
      </c>
      <c r="F48">
        <v>-726.5</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103</v>
      </c>
      <c r="B49" t="s">
        <v>102</v>
      </c>
      <c r="C49" t="s">
        <v>773</v>
      </c>
      <c r="D49" s="9">
        <v>4205.8999999999996</v>
      </c>
      <c r="E49" s="9">
        <v>4793.3999999999996</v>
      </c>
      <c r="F49">
        <v>5333.3</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401</v>
      </c>
      <c r="B50" t="s">
        <v>402</v>
      </c>
      <c r="C50" t="s">
        <v>773</v>
      </c>
      <c r="D50" s="9">
        <v>5362.5</v>
      </c>
      <c r="E50" s="9">
        <v>5576.8</v>
      </c>
      <c r="F50">
        <v>5850.4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399</v>
      </c>
      <c r="B51" t="s">
        <v>400</v>
      </c>
      <c r="C51" t="s">
        <v>773</v>
      </c>
      <c r="D51" s="9">
        <v>663</v>
      </c>
      <c r="E51" s="9">
        <v>637.29999999999995</v>
      </c>
      <c r="F51">
        <v>359.2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105</v>
      </c>
      <c r="B52" t="s">
        <v>104</v>
      </c>
      <c r="C52" t="s">
        <v>773</v>
      </c>
      <c r="D52" s="9">
        <v>184.8</v>
      </c>
      <c r="E52" s="9">
        <v>288.3</v>
      </c>
      <c r="F52">
        <v>444.8</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107</v>
      </c>
      <c r="B53" t="s">
        <v>106</v>
      </c>
      <c r="C53" t="s">
        <v>773</v>
      </c>
      <c r="D53" s="9">
        <v>211.4</v>
      </c>
      <c r="E53" s="9">
        <v>509.8</v>
      </c>
      <c r="F53">
        <v>616.70000000000005</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109</v>
      </c>
      <c r="B54" t="s">
        <v>108</v>
      </c>
      <c r="C54" t="s">
        <v>773</v>
      </c>
      <c r="D54" s="9">
        <v>1.6</v>
      </c>
      <c r="E54" s="9">
        <v>3.8</v>
      </c>
      <c r="F54">
        <v>1.5</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110</v>
      </c>
      <c r="B55" t="s">
        <v>172</v>
      </c>
      <c r="C55" t="s">
        <v>773</v>
      </c>
      <c r="D55" s="9">
        <v>2752.9</v>
      </c>
      <c r="E55" s="9">
        <v>3138.2</v>
      </c>
      <c r="F55">
        <v>3733.2</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112</v>
      </c>
      <c r="B56" t="s">
        <v>111</v>
      </c>
      <c r="C56" t="s">
        <v>773</v>
      </c>
      <c r="D56" s="9">
        <v>937</v>
      </c>
      <c r="E56" s="9">
        <v>1041.5</v>
      </c>
      <c r="F56">
        <v>974.1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114</v>
      </c>
      <c r="B57" t="s">
        <v>113</v>
      </c>
      <c r="C57" t="s">
        <v>773</v>
      </c>
      <c r="D57" s="9">
        <v>524.6</v>
      </c>
      <c r="E57" s="9">
        <v>1039.9000000000001</v>
      </c>
      <c r="F57">
        <v>977.8</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711</v>
      </c>
      <c r="B58" t="s">
        <v>713</v>
      </c>
      <c r="C58" t="s">
        <v>773</v>
      </c>
      <c r="D58" s="9">
        <v>219.8</v>
      </c>
      <c r="E58" s="9">
        <v>394.5</v>
      </c>
      <c r="F58">
        <v>445</v>
      </c>
    </row>
    <row r="59" spans="1:169" outlineLevel="1" x14ac:dyDescent="0.4">
      <c r="A59" t="s">
        <v>116</v>
      </c>
      <c r="B59" t="s">
        <v>115</v>
      </c>
      <c r="C59" t="s">
        <v>773</v>
      </c>
      <c r="D59" s="9">
        <v>0</v>
      </c>
      <c r="E59" s="9">
        <v>0</v>
      </c>
      <c r="F59">
        <v>0</v>
      </c>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169</v>
      </c>
      <c r="B60" t="s">
        <v>117</v>
      </c>
      <c r="C60" t="s">
        <v>773</v>
      </c>
      <c r="D60" s="9">
        <v>267.7</v>
      </c>
      <c r="E60" s="9">
        <v>87.9</v>
      </c>
      <c r="F60">
        <v>128.30000000000001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170</v>
      </c>
      <c r="B61" t="s">
        <v>171</v>
      </c>
      <c r="C61" t="s">
        <v>773</v>
      </c>
      <c r="D61" s="9">
        <v>263.7</v>
      </c>
      <c r="E61" s="9">
        <v>363.9</v>
      </c>
      <c r="F61">
        <v>361.7</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712</v>
      </c>
      <c r="B62" t="s">
        <v>714</v>
      </c>
      <c r="C62" t="s">
        <v>773</v>
      </c>
      <c r="D62" s="9">
        <v>208.7</v>
      </c>
      <c r="E62" s="9">
        <v>339.8</v>
      </c>
      <c r="F62">
        <v>310.5</v>
      </c>
    </row>
    <row r="63" spans="1:169" outlineLevel="1" x14ac:dyDescent="0.4">
      <c r="A63" t="s">
        <v>767</v>
      </c>
      <c r="B63" t="s">
        <v>118</v>
      </c>
      <c r="C63" t="s">
        <v>773</v>
      </c>
      <c r="D63" s="9">
        <v>3243.8</v>
      </c>
      <c r="E63" s="9">
        <v>3709.3</v>
      </c>
      <c r="F63">
        <v>4073.8</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120</v>
      </c>
      <c r="B64" t="s">
        <v>119</v>
      </c>
      <c r="C64" t="s">
        <v>773</v>
      </c>
      <c r="D64" s="9">
        <v>6.3</v>
      </c>
      <c r="E64" s="9">
        <v>5.8</v>
      </c>
      <c r="F64">
        <v>5.7</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122</v>
      </c>
      <c r="B65" t="s">
        <v>121</v>
      </c>
      <c r="C65" t="s">
        <v>773</v>
      </c>
      <c r="D65" s="9">
        <v>438.9</v>
      </c>
      <c r="E65" s="9">
        <v>479</v>
      </c>
      <c r="F65">
        <v>591.20000000000005</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124</v>
      </c>
      <c r="B66" t="s">
        <v>123</v>
      </c>
      <c r="C66" t="s">
        <v>773</v>
      </c>
      <c r="D66" s="9">
        <v>219.5</v>
      </c>
      <c r="E66" s="9">
        <v>258.5</v>
      </c>
      <c r="F66">
        <v>231.8</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165</v>
      </c>
      <c r="B67" t="s">
        <v>166</v>
      </c>
      <c r="C67" t="s">
        <v>773</v>
      </c>
      <c r="D67" s="9">
        <v>0.6</v>
      </c>
      <c r="E67" s="9">
        <v>0</v>
      </c>
      <c r="F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126</v>
      </c>
      <c r="B68" t="s">
        <v>125</v>
      </c>
      <c r="C68" t="s">
        <v>773</v>
      </c>
      <c r="D68" s="9">
        <v>183.2</v>
      </c>
      <c r="E68" s="9">
        <v>286.89999999999998</v>
      </c>
      <c r="F68">
        <v>443.3</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128</v>
      </c>
      <c r="B69" t="s">
        <v>127</v>
      </c>
      <c r="C69" t="s">
        <v>773</v>
      </c>
      <c r="D69" s="9">
        <v>35</v>
      </c>
      <c r="E69" s="9">
        <v>136.69999999999999</v>
      </c>
      <c r="F69">
        <v>199.8</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130</v>
      </c>
      <c r="B70" t="s">
        <v>129</v>
      </c>
      <c r="C70" t="s">
        <v>773</v>
      </c>
      <c r="D70" s="9">
        <v>3777.6</v>
      </c>
      <c r="E70" s="9">
        <v>4261.8999999999996</v>
      </c>
      <c r="F70">
        <v>4668.8999999999996</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132</v>
      </c>
      <c r="B71" t="s">
        <v>131</v>
      </c>
      <c r="C71" t="s">
        <v>773</v>
      </c>
      <c r="D71" s="9">
        <v>4578</v>
      </c>
      <c r="E71" s="9">
        <v>4718.8</v>
      </c>
      <c r="F71">
        <v>5101.3999999999996</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134</v>
      </c>
      <c r="B72" t="s">
        <v>133</v>
      </c>
      <c r="C72" t="s">
        <v>773</v>
      </c>
      <c r="D72" s="9">
        <v>670.4</v>
      </c>
      <c r="E72" s="9">
        <v>816.2</v>
      </c>
      <c r="F72">
        <v>870.1</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136</v>
      </c>
      <c r="B73" t="s">
        <v>135</v>
      </c>
      <c r="C73" t="s">
        <v>773</v>
      </c>
      <c r="D73" s="9">
        <v>17.3</v>
      </c>
      <c r="E73" s="9">
        <v>14.4</v>
      </c>
      <c r="F73">
        <v>15.3</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168</v>
      </c>
      <c r="B74" t="s">
        <v>167</v>
      </c>
      <c r="C74" t="s">
        <v>773</v>
      </c>
      <c r="D74" s="9">
        <v>246.4</v>
      </c>
      <c r="E74" s="9">
        <v>349.5</v>
      </c>
      <c r="F74">
        <v>341.8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138</v>
      </c>
      <c r="B75" t="s">
        <v>137</v>
      </c>
      <c r="C75" t="s">
        <v>773</v>
      </c>
      <c r="D75" s="9">
        <v>246.4</v>
      </c>
      <c r="E75" s="9">
        <v>349.5</v>
      </c>
      <c r="F75">
        <v>346.4</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140</v>
      </c>
      <c r="B76" t="s">
        <v>139</v>
      </c>
      <c r="C76" t="s">
        <v>773</v>
      </c>
      <c r="D76" s="9">
        <v>114.9</v>
      </c>
      <c r="E76" s="9">
        <v>5.2</v>
      </c>
      <c r="F76">
        <v>22.3</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142</v>
      </c>
      <c r="B77" t="s">
        <v>141</v>
      </c>
      <c r="C77" t="s">
        <v>773</v>
      </c>
      <c r="D77" s="9">
        <v>0</v>
      </c>
      <c r="E77" s="9">
        <v>0</v>
      </c>
      <c r="F77">
        <v>4.5999999999999996</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144</v>
      </c>
      <c r="B78" t="s">
        <v>143</v>
      </c>
      <c r="C78" t="s">
        <v>773</v>
      </c>
      <c r="D78" s="9">
        <v>-20</v>
      </c>
      <c r="E78" s="9">
        <v>17.2</v>
      </c>
      <c r="F78">
        <v>14.6</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445</v>
      </c>
      <c r="B79" t="s">
        <v>706</v>
      </c>
      <c r="C79" t="s">
        <v>773</v>
      </c>
      <c r="D79" s="9">
        <v>2426.8000000000002</v>
      </c>
      <c r="E79" s="9">
        <v>2507.3000000000002</v>
      </c>
      <c r="F79">
        <v>2481.4</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146</v>
      </c>
      <c r="B80" t="s">
        <v>147</v>
      </c>
      <c r="C80" t="s">
        <v>773</v>
      </c>
      <c r="D80" s="9">
        <v>7475.3</v>
      </c>
      <c r="E80" s="9">
        <v>8309.4</v>
      </c>
      <c r="F80">
        <v>8824.2000000000007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775</v>
      </c>
      <c r="B81" t="s">
        <v>178</v>
      </c>
      <c r="C81" t="s">
        <v>773</v>
      </c>
      <c r="D81" s="9">
        <v>3598.9</v>
      </c>
      <c r="E81" s="9">
        <v>4131.7</v>
      </c>
      <c r="F81">
        <v>4536.8999999999996</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776</v>
      </c>
      <c r="B82" t="s">
        <v>179</v>
      </c>
      <c r="C82" t="s">
        <v>773</v>
      </c>
      <c r="D82" s="9">
        <v>3876.4</v>
      </c>
      <c r="E82" s="9">
        <v>4177.7</v>
      </c>
      <c r="F82">
        <v>4287.2</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777</v>
      </c>
      <c r="B83" t="s">
        <v>158</v>
      </c>
      <c r="C83" t="s">
        <v>773</v>
      </c>
      <c r="D83" s="9">
        <v>1717.6</v>
      </c>
      <c r="E83" s="9">
        <v>2231.3000000000002</v>
      </c>
      <c r="F83">
        <v>2560.6999999999998</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707</v>
      </c>
      <c r="B84" t="s">
        <v>708</v>
      </c>
      <c r="C84" t="s">
        <v>773</v>
      </c>
      <c r="D84" s="9">
        <v>325.39999999999998</v>
      </c>
      <c r="E84" s="9">
        <v>33.799999999999997</v>
      </c>
      <c r="F84">
        <v>138.4</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153</v>
      </c>
      <c r="B85" t="s">
        <v>152</v>
      </c>
      <c r="C85" t="s">
        <v>773</v>
      </c>
      <c r="D85" s="9">
        <v>910.8</v>
      </c>
      <c r="E85" s="9">
        <v>970.2</v>
      </c>
      <c r="F85">
        <v>1041</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155</v>
      </c>
      <c r="B86" t="s">
        <v>154</v>
      </c>
      <c r="C86" t="s">
        <v>773</v>
      </c>
      <c r="D86" s="9">
        <v>212.6</v>
      </c>
      <c r="E86" s="9">
        <v>220.6</v>
      </c>
      <c r="F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157</v>
      </c>
      <c r="B87" t="s">
        <v>156</v>
      </c>
      <c r="C87" t="s">
        <v>773</v>
      </c>
      <c r="D87" s="174">
        <v>194.3</v>
      </c>
      <c r="E87" s="174">
        <v>174.4</v>
      </c>
      <c r="F87">
        <v>200.4</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173</v>
      </c>
      <c r="B88" t="s">
        <v>174</v>
      </c>
      <c r="C88" t="s">
        <v>774</v>
      </c>
      <c r="D88" s="9">
        <v>16038.9</v>
      </c>
      <c r="E88" s="9">
        <v>17578.5</v>
      </c>
      <c r="F88">
        <v>18801.5</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779</v>
      </c>
      <c r="B89" t="s">
        <v>345</v>
      </c>
      <c r="C89" t="s">
        <v>771</v>
      </c>
      <c r="D89" s="9">
        <v>31849.74</v>
      </c>
      <c r="E89" s="9">
        <v>31549.83</v>
      </c>
      <c r="F89" s="9">
        <v>31535.29</v>
      </c>
      <c r="G89" s="9"/>
      <c r="H89" s="9"/>
      <c r="I89" s="9"/>
      <c r="J89" s="9"/>
      <c r="K89" s="9"/>
      <c r="L89" s="9"/>
      <c r="M89" s="9"/>
      <c r="N89" s="9"/>
      <c r="O89" s="9"/>
      <c r="P89" s="9"/>
      <c r="Q89" s="9"/>
      <c r="R89" s="9"/>
      <c r="S89" s="9"/>
      <c r="T89" s="9"/>
      <c r="U89" s="9"/>
      <c r="V89" s="9"/>
      <c r="W89" s="9"/>
      <c r="X89" s="9"/>
      <c r="Y89" s="9"/>
      <c r="Z89" s="9"/>
    </row>
    <row r="90" spans="1:169" outlineLevel="1" x14ac:dyDescent="0.4">
      <c r="A90" t="s">
        <v>780</v>
      </c>
      <c r="B90" t="s">
        <v>344</v>
      </c>
      <c r="C90" t="s">
        <v>771</v>
      </c>
      <c r="D90" s="9">
        <v>31457.760000000002</v>
      </c>
      <c r="E90" s="9">
        <v>31764.27</v>
      </c>
      <c r="F90" s="9">
        <v>31758.3</v>
      </c>
      <c r="G90" s="9"/>
      <c r="H90" s="9"/>
      <c r="I90" s="9"/>
      <c r="J90" s="9"/>
      <c r="K90" s="9"/>
      <c r="L90" s="9"/>
      <c r="M90" s="9"/>
      <c r="N90" s="9"/>
      <c r="O90" s="9"/>
      <c r="P90" s="9"/>
      <c r="Q90" s="9"/>
      <c r="R90" s="9"/>
      <c r="S90" s="9"/>
      <c r="T90" s="9"/>
      <c r="U90" s="9"/>
      <c r="V90" s="9"/>
      <c r="W90" s="9"/>
      <c r="X90" s="9"/>
      <c r="Y90" s="9"/>
      <c r="Z90" s="9"/>
    </row>
    <row r="91" spans="1:169" outlineLevel="1" x14ac:dyDescent="0.4">
      <c r="A91" t="s">
        <v>781</v>
      </c>
      <c r="B91" t="s">
        <v>695</v>
      </c>
      <c r="C91" t="s">
        <v>769</v>
      </c>
      <c r="D91" s="9">
        <v>145.81</v>
      </c>
      <c r="E91" s="9">
        <v>278.77999999999997</v>
      </c>
      <c r="F91" s="9">
        <v>378.96000000000004</v>
      </c>
      <c r="G91" s="9"/>
      <c r="H91" s="9"/>
      <c r="I91" s="9"/>
      <c r="J91" s="9"/>
      <c r="K91" s="9"/>
      <c r="L91" s="9"/>
      <c r="M91" s="9"/>
      <c r="N91" s="9"/>
      <c r="O91" s="9"/>
      <c r="P91" s="9"/>
      <c r="Q91" s="9"/>
      <c r="R91" s="9"/>
      <c r="S91" s="9"/>
      <c r="T91" s="9"/>
      <c r="U91" s="9"/>
      <c r="V91" s="9"/>
      <c r="W91" s="9"/>
      <c r="X91" s="9"/>
      <c r="Y91" s="9"/>
      <c r="Z91" s="9"/>
    </row>
    <row r="92" spans="1:169" outlineLevel="1" x14ac:dyDescent="0.4">
      <c r="A92" t="s">
        <v>782</v>
      </c>
      <c r="B92" t="s">
        <v>696</v>
      </c>
      <c r="C92" t="s">
        <v>769</v>
      </c>
      <c r="D92" s="9">
        <v>864.28000000000009</v>
      </c>
      <c r="E92" s="9">
        <v>1024.9299999999998</v>
      </c>
      <c r="F92" s="9">
        <v>1108.3700000000001</v>
      </c>
      <c r="G92" s="9"/>
      <c r="H92" s="9"/>
      <c r="I92" s="9"/>
      <c r="J92" s="9"/>
      <c r="K92" s="9"/>
      <c r="L92" s="9"/>
      <c r="M92" s="9"/>
      <c r="N92" s="9"/>
      <c r="O92" s="9"/>
      <c r="P92" s="9"/>
      <c r="Q92" s="9"/>
      <c r="R92" s="9"/>
      <c r="S92" s="9"/>
      <c r="T92" s="9"/>
      <c r="U92" s="9"/>
      <c r="V92" s="9"/>
      <c r="W92" s="9"/>
      <c r="X92" s="9"/>
      <c r="Y92" s="9"/>
      <c r="Z92" s="9"/>
    </row>
    <row r="93" spans="1:169" outlineLevel="1" x14ac:dyDescent="0.4">
      <c r="A93" t="s">
        <v>783</v>
      </c>
      <c r="B93" t="s">
        <v>697</v>
      </c>
      <c r="C93" t="s">
        <v>769</v>
      </c>
      <c r="D93" s="9"/>
      <c r="E93" s="9">
        <v>158.25</v>
      </c>
      <c r="F93" s="9">
        <v>137.65</v>
      </c>
      <c r="G93" s="9"/>
      <c r="H93" s="9"/>
      <c r="I93" s="9"/>
      <c r="J93" s="9"/>
      <c r="K93" s="9"/>
      <c r="L93" s="9"/>
      <c r="M93" s="9"/>
      <c r="N93" s="9"/>
      <c r="O93" s="9"/>
      <c r="P93" s="9"/>
      <c r="Q93" s="9"/>
      <c r="R93" s="9"/>
      <c r="S93" s="9"/>
      <c r="T93" s="9"/>
      <c r="U93" s="9"/>
      <c r="V93" s="9"/>
      <c r="W93" s="9"/>
      <c r="X93" s="9"/>
      <c r="Y93" s="9"/>
      <c r="Z93" s="9"/>
    </row>
    <row r="94" spans="1:169" outlineLevel="1" x14ac:dyDescent="0.4">
      <c r="A94" t="s">
        <v>784</v>
      </c>
      <c r="B94" t="s">
        <v>734</v>
      </c>
      <c r="C94" t="s">
        <v>769</v>
      </c>
      <c r="D94" s="9"/>
      <c r="E94" s="9"/>
      <c r="F94" s="9">
        <v>273.80799999999999</v>
      </c>
      <c r="G94" s="9"/>
      <c r="H94" s="9"/>
      <c r="I94" s="9"/>
      <c r="J94" s="9"/>
      <c r="K94" s="9"/>
      <c r="L94" s="9"/>
      <c r="M94" s="9"/>
      <c r="N94" s="9"/>
      <c r="O94" s="9"/>
      <c r="P94" s="9"/>
      <c r="Q94" s="9"/>
      <c r="R94" s="9"/>
      <c r="S94" s="9"/>
      <c r="T94" s="9"/>
      <c r="U94" s="9"/>
      <c r="V94" s="9"/>
      <c r="W94" s="9"/>
      <c r="X94" s="9"/>
      <c r="Y94" s="9"/>
      <c r="Z94" s="9"/>
    </row>
    <row r="95" spans="1:169" outlineLevel="1" x14ac:dyDescent="0.4">
      <c r="A95" t="s">
        <v>785</v>
      </c>
      <c r="B95" t="s">
        <v>699</v>
      </c>
      <c r="C95" t="s">
        <v>769</v>
      </c>
      <c r="D95" s="9"/>
      <c r="E95" s="9">
        <v>734.29</v>
      </c>
      <c r="F95" s="9">
        <v>755.56999999999994</v>
      </c>
      <c r="G95" s="9"/>
      <c r="H95" s="9"/>
      <c r="I95" s="9"/>
      <c r="J95" s="9"/>
      <c r="K95" s="9"/>
      <c r="L95" s="9"/>
      <c r="M95" s="9"/>
      <c r="N95" s="9"/>
      <c r="O95" s="9"/>
      <c r="P95" s="9"/>
      <c r="Q95" s="9"/>
      <c r="R95" s="9"/>
      <c r="S95" s="9"/>
      <c r="T95" s="9"/>
      <c r="U95" s="9"/>
      <c r="V95" s="9"/>
      <c r="W95" s="9"/>
      <c r="X95" s="9"/>
      <c r="Y95" s="9"/>
      <c r="Z95" s="9"/>
    </row>
    <row r="96" spans="1:169" outlineLevel="1" x14ac:dyDescent="0.4">
      <c r="A96" t="s">
        <v>786</v>
      </c>
      <c r="B96" t="s">
        <v>701</v>
      </c>
      <c r="C96" t="s">
        <v>769</v>
      </c>
      <c r="D96" s="9"/>
      <c r="E96" s="9">
        <v>-1.262</v>
      </c>
      <c r="F96" s="9">
        <v>4.1689999999999996</v>
      </c>
      <c r="G96" s="9"/>
      <c r="H96" s="9"/>
      <c r="I96" s="9"/>
      <c r="J96" s="9"/>
      <c r="K96" s="9"/>
      <c r="L96" s="9"/>
      <c r="M96" s="9"/>
      <c r="N96" s="9"/>
      <c r="O96" s="9"/>
      <c r="P96" s="9"/>
      <c r="Q96" s="9"/>
      <c r="R96" s="9"/>
      <c r="S96" s="9"/>
      <c r="T96" s="9"/>
      <c r="U96" s="9"/>
      <c r="V96" s="9"/>
      <c r="W96" s="9"/>
      <c r="X96" s="9"/>
      <c r="Y96" s="9"/>
      <c r="Z96" s="9"/>
    </row>
    <row r="97" spans="1:26" outlineLevel="1" x14ac:dyDescent="0.4">
      <c r="A97" t="s">
        <v>787</v>
      </c>
      <c r="B97" t="s">
        <v>700</v>
      </c>
      <c r="C97" t="s">
        <v>769</v>
      </c>
      <c r="D97" s="9">
        <v>0</v>
      </c>
      <c r="E97" s="9">
        <v>0</v>
      </c>
      <c r="F97" s="9">
        <v>0</v>
      </c>
      <c r="G97" s="9"/>
      <c r="H97" s="9"/>
      <c r="I97" s="9"/>
      <c r="J97" s="9"/>
      <c r="K97" s="9"/>
      <c r="L97" s="9"/>
      <c r="M97" s="9"/>
      <c r="N97" s="9"/>
      <c r="O97" s="9"/>
      <c r="P97" s="9"/>
      <c r="Q97" s="9"/>
      <c r="R97" s="9"/>
      <c r="S97" s="9"/>
      <c r="T97" s="9"/>
      <c r="U97" s="9"/>
      <c r="V97" s="9"/>
      <c r="W97" s="9"/>
      <c r="X97" s="9"/>
      <c r="Y97" s="9"/>
      <c r="Z97" s="9"/>
    </row>
    <row r="98" spans="1:26" outlineLevel="1" x14ac:dyDescent="0.4">
      <c r="A98" t="s">
        <v>778</v>
      </c>
      <c r="B98" t="s">
        <v>789</v>
      </c>
      <c r="C98" t="s">
        <v>770</v>
      </c>
      <c r="D98" s="9">
        <v>-5.33019</v>
      </c>
      <c r="E98" s="9">
        <v>-2.1063200000000002</v>
      </c>
      <c r="F98" s="9">
        <v>-1.548</v>
      </c>
      <c r="G98" s="9"/>
      <c r="H98" s="9"/>
      <c r="I98" s="9"/>
      <c r="J98" s="9"/>
      <c r="K98" s="9"/>
      <c r="L98" s="9"/>
      <c r="M98" s="9"/>
      <c r="N98" s="9"/>
      <c r="O98" s="9"/>
      <c r="P98" s="9"/>
      <c r="Q98" s="9"/>
      <c r="R98" s="9"/>
      <c r="S98" s="9"/>
      <c r="T98" s="9"/>
      <c r="U98" s="9"/>
      <c r="V98" s="9"/>
      <c r="W98" s="9"/>
      <c r="X98" s="9"/>
      <c r="Y98" s="9"/>
      <c r="Z98" s="9"/>
    </row>
    <row r="99" spans="1:26" outlineLevel="1" x14ac:dyDescent="0.4">
      <c r="A99" t="s">
        <v>788</v>
      </c>
      <c r="B99" t="s">
        <v>790</v>
      </c>
      <c r="C99" t="s">
        <v>770</v>
      </c>
      <c r="D99" s="9">
        <v>-4.8225800000000003</v>
      </c>
      <c r="E99" s="9">
        <v>-1.38124</v>
      </c>
      <c r="F99" s="9">
        <v>-0.44949</v>
      </c>
      <c r="G99" s="9"/>
      <c r="H99" s="9"/>
      <c r="I99" s="9"/>
      <c r="J99" s="9"/>
      <c r="K99" s="9"/>
      <c r="L99" s="9"/>
      <c r="M99" s="9"/>
      <c r="N99" s="9"/>
      <c r="O99" s="9"/>
      <c r="P99" s="9"/>
      <c r="Q99" s="9"/>
      <c r="R99" s="9"/>
      <c r="S99" s="9"/>
      <c r="T99" s="9"/>
      <c r="U99" s="9"/>
      <c r="V99" s="9"/>
      <c r="W99" s="9"/>
      <c r="X99" s="9"/>
      <c r="Y99" s="9"/>
      <c r="Z99" s="9"/>
    </row>
    <row r="101" spans="1:26" ht="23.25" x14ac:dyDescent="0.7">
      <c r="A101" s="14" t="s">
        <v>709</v>
      </c>
    </row>
    <row r="102" spans="1:26" ht="15.75" outlineLevel="1" x14ac:dyDescent="0.5">
      <c r="A102" s="99" t="s">
        <v>381</v>
      </c>
      <c r="B102" s="53"/>
    </row>
    <row r="103" spans="1:26" outlineLevel="1" x14ac:dyDescent="0.4">
      <c r="A103" s="1" t="s">
        <v>221</v>
      </c>
      <c r="B103" s="1"/>
      <c r="C103" s="1" t="s">
        <v>37</v>
      </c>
      <c r="D103" s="82" cm="1">
        <f t="array" ref="D103:F103">_xlfn.SEQUENCE(1, OutturnThrough-MTP_BaseYear+2, MTP_BaseYear-1)</f>
        <v>2022</v>
      </c>
      <c r="E103" s="82">
        <v>2023</v>
      </c>
      <c r="F103" s="82">
        <v>2024</v>
      </c>
      <c r="G103" s="82"/>
      <c r="H103" s="82"/>
      <c r="I103" s="82"/>
      <c r="J103" s="82"/>
      <c r="K103" s="82"/>
      <c r="L103" s="82"/>
      <c r="M103" s="82"/>
      <c r="N103" s="82"/>
      <c r="O103" s="82"/>
      <c r="P103" s="82"/>
      <c r="Q103" s="82"/>
      <c r="R103" s="82"/>
      <c r="S103" s="82"/>
      <c r="T103" s="82"/>
      <c r="U103" s="82"/>
      <c r="V103" s="82"/>
      <c r="W103" s="82"/>
      <c r="X103" s="82"/>
      <c r="Y103" s="82"/>
      <c r="Z103" s="82"/>
    </row>
    <row r="104" spans="1:26" outlineLevel="1" x14ac:dyDescent="0.4">
      <c r="A104" s="1"/>
      <c r="B104" s="1" t="s">
        <v>299</v>
      </c>
      <c r="C104" s="1"/>
      <c r="D104" s="82" t="str" cm="1">
        <f t="array" ref="D104:F104">IF(_xlfn.ANCHORARRAY(D103) = MTP_YearT, "T", "T" &amp; IF(_xlfn.ANCHORARRAY(D103) &gt; MTP_YearT, "+", "") &amp; (_xlfn.ANCHORARRAY(D103) - MTP_YearT))</f>
        <v>T-2</v>
      </c>
      <c r="E104" s="82" t="str">
        <v>T-1</v>
      </c>
      <c r="F104" s="82" t="str">
        <v>T</v>
      </c>
      <c r="G104" s="82"/>
      <c r="H104" s="82"/>
      <c r="I104" s="82"/>
      <c r="J104" s="82"/>
      <c r="K104" s="82"/>
      <c r="L104" s="82"/>
      <c r="M104" s="82"/>
      <c r="N104" s="82"/>
      <c r="O104" s="82"/>
      <c r="P104" s="82"/>
      <c r="Q104" s="82"/>
      <c r="R104" s="82"/>
      <c r="S104" s="82"/>
      <c r="T104" s="82"/>
      <c r="U104" s="82"/>
      <c r="V104" s="82"/>
      <c r="W104" s="82"/>
      <c r="X104" s="82"/>
      <c r="Y104" s="82"/>
      <c r="Z104" s="82"/>
    </row>
    <row r="105" spans="1:26" outlineLevel="1" x14ac:dyDescent="0.4">
      <c r="A105" s="1"/>
      <c r="B105" s="1" t="s">
        <v>36</v>
      </c>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outlineLevel="1" x14ac:dyDescent="0.4">
      <c r="A106" s="1">
        <v>1</v>
      </c>
      <c r="B106" t="s">
        <v>41</v>
      </c>
      <c r="C106" t="s">
        <v>81</v>
      </c>
      <c r="D106" s="4">
        <f t="shared" ref="D106:D115" si="0">IFERROR(D160/D$34*100,"")</f>
        <v>14.859221861690781</v>
      </c>
      <c r="E106" s="4">
        <f t="shared" ref="E106:K106" si="1">IFERROR(E160/E$34*100,"")</f>
        <v>14.09557124875519</v>
      </c>
      <c r="F106" s="4">
        <f t="shared" si="1"/>
        <v>14.39131365261006</v>
      </c>
      <c r="G106" s="4" t="str">
        <f t="shared" si="1"/>
        <v/>
      </c>
      <c r="H106" s="4" t="str">
        <f t="shared" si="1"/>
        <v/>
      </c>
      <c r="I106" s="4" t="str">
        <f t="shared" si="1"/>
        <v/>
      </c>
      <c r="J106" s="4" t="str">
        <f t="shared" si="1"/>
        <v/>
      </c>
      <c r="K106" s="4" t="str">
        <f t="shared" si="1"/>
        <v/>
      </c>
      <c r="L106" s="4" t="str">
        <f t="shared" ref="L106:Z106" si="2">IFERROR(L160/L$34*100,"")</f>
        <v/>
      </c>
      <c r="M106" s="4" t="str">
        <f t="shared" si="2"/>
        <v/>
      </c>
      <c r="N106" s="4" t="str">
        <f t="shared" si="2"/>
        <v/>
      </c>
      <c r="O106" s="4" t="str">
        <f t="shared" si="2"/>
        <v/>
      </c>
      <c r="P106" s="4" t="str">
        <f t="shared" si="2"/>
        <v/>
      </c>
      <c r="Q106" s="4" t="str">
        <f t="shared" si="2"/>
        <v/>
      </c>
      <c r="R106" s="4" t="str">
        <f t="shared" si="2"/>
        <v/>
      </c>
      <c r="S106" s="4" t="str">
        <f t="shared" si="2"/>
        <v/>
      </c>
      <c r="T106" s="4" t="str">
        <f t="shared" si="2"/>
        <v/>
      </c>
      <c r="U106" s="4" t="str">
        <f t="shared" si="2"/>
        <v/>
      </c>
      <c r="V106" s="4" t="str">
        <f t="shared" si="2"/>
        <v/>
      </c>
      <c r="W106" s="4" t="str">
        <f t="shared" si="2"/>
        <v/>
      </c>
      <c r="X106" s="4" t="str">
        <f t="shared" si="2"/>
        <v/>
      </c>
      <c r="Y106" s="4" t="str">
        <f t="shared" si="2"/>
        <v/>
      </c>
      <c r="Z106" s="4" t="str">
        <f t="shared" si="2"/>
        <v/>
      </c>
    </row>
    <row r="107" spans="1:26" outlineLevel="1" x14ac:dyDescent="0.4">
      <c r="A107" s="1">
        <v>2</v>
      </c>
      <c r="B107" t="s">
        <v>42</v>
      </c>
      <c r="C107" t="s">
        <v>82</v>
      </c>
      <c r="D107" s="4">
        <f t="shared" si="0"/>
        <v>7.6281495315708252</v>
      </c>
      <c r="E107" s="4">
        <f t="shared" ref="E107:K107" si="3">IFERROR(E161/E$34*100,"")</f>
        <v>7.9319182493264115</v>
      </c>
      <c r="F107" s="4">
        <f t="shared" si="3"/>
        <v>9.1832442444830917</v>
      </c>
      <c r="G107" s="4" t="str">
        <f t="shared" si="3"/>
        <v/>
      </c>
      <c r="H107" s="4" t="str">
        <f t="shared" si="3"/>
        <v/>
      </c>
      <c r="I107" s="4" t="str">
        <f t="shared" si="3"/>
        <v/>
      </c>
      <c r="J107" s="4" t="str">
        <f t="shared" si="3"/>
        <v/>
      </c>
      <c r="K107" s="4" t="str">
        <f t="shared" si="3"/>
        <v/>
      </c>
      <c r="L107" s="4" t="str">
        <f t="shared" ref="L107:Z107" si="4">IFERROR(L161/L$34*100,"")</f>
        <v/>
      </c>
      <c r="M107" s="4" t="str">
        <f t="shared" si="4"/>
        <v/>
      </c>
      <c r="N107" s="4" t="str">
        <f t="shared" si="4"/>
        <v/>
      </c>
      <c r="O107" s="4" t="str">
        <f t="shared" si="4"/>
        <v/>
      </c>
      <c r="P107" s="4" t="str">
        <f t="shared" si="4"/>
        <v/>
      </c>
      <c r="Q107" s="4" t="str">
        <f t="shared" si="4"/>
        <v/>
      </c>
      <c r="R107" s="4" t="str">
        <f t="shared" si="4"/>
        <v/>
      </c>
      <c r="S107" s="4" t="str">
        <f t="shared" si="4"/>
        <v/>
      </c>
      <c r="T107" s="4" t="str">
        <f t="shared" si="4"/>
        <v/>
      </c>
      <c r="U107" s="4" t="str">
        <f t="shared" si="4"/>
        <v/>
      </c>
      <c r="V107" s="4" t="str">
        <f t="shared" si="4"/>
        <v/>
      </c>
      <c r="W107" s="4" t="str">
        <f t="shared" si="4"/>
        <v/>
      </c>
      <c r="X107" s="4" t="str">
        <f t="shared" si="4"/>
        <v/>
      </c>
      <c r="Y107" s="4" t="str">
        <f t="shared" si="4"/>
        <v/>
      </c>
      <c r="Z107" s="4" t="str">
        <f t="shared" si="4"/>
        <v/>
      </c>
    </row>
    <row r="108" spans="1:26" outlineLevel="1" x14ac:dyDescent="0.4">
      <c r="A108" s="1">
        <v>3</v>
      </c>
      <c r="B108" t="s">
        <v>43</v>
      </c>
      <c r="C108" t="s">
        <v>83</v>
      </c>
      <c r="D108" s="4">
        <f t="shared" si="0"/>
        <v>10.467542471743235</v>
      </c>
      <c r="E108" s="4">
        <f t="shared" ref="E108:K108" si="5">IFERROR(E162/E$34*100,"")</f>
        <v>10.772112162005044</v>
      </c>
      <c r="F108" s="4">
        <f t="shared" si="5"/>
        <v>11.484959030608351</v>
      </c>
      <c r="G108" s="4" t="str">
        <f t="shared" si="5"/>
        <v/>
      </c>
      <c r="H108" s="4" t="str">
        <f t="shared" si="5"/>
        <v/>
      </c>
      <c r="I108" s="4" t="str">
        <f t="shared" si="5"/>
        <v/>
      </c>
      <c r="J108" s="4" t="str">
        <f t="shared" si="5"/>
        <v/>
      </c>
      <c r="K108" s="4" t="str">
        <f t="shared" si="5"/>
        <v/>
      </c>
      <c r="L108" s="4" t="str">
        <f t="shared" ref="L108:Z108" si="6">IFERROR(L162/L$34*100,"")</f>
        <v/>
      </c>
      <c r="M108" s="4" t="str">
        <f t="shared" si="6"/>
        <v/>
      </c>
      <c r="N108" s="4" t="str">
        <f t="shared" si="6"/>
        <v/>
      </c>
      <c r="O108" s="4" t="str">
        <f t="shared" si="6"/>
        <v/>
      </c>
      <c r="P108" s="4" t="str">
        <f t="shared" si="6"/>
        <v/>
      </c>
      <c r="Q108" s="4" t="str">
        <f t="shared" si="6"/>
        <v/>
      </c>
      <c r="R108" s="4" t="str">
        <f t="shared" si="6"/>
        <v/>
      </c>
      <c r="S108" s="4" t="str">
        <f t="shared" si="6"/>
        <v/>
      </c>
      <c r="T108" s="4" t="str">
        <f t="shared" si="6"/>
        <v/>
      </c>
      <c r="U108" s="4" t="str">
        <f t="shared" si="6"/>
        <v/>
      </c>
      <c r="V108" s="4" t="str">
        <f t="shared" si="6"/>
        <v/>
      </c>
      <c r="W108" s="4" t="str">
        <f t="shared" si="6"/>
        <v/>
      </c>
      <c r="X108" s="4" t="str">
        <f t="shared" si="6"/>
        <v/>
      </c>
      <c r="Y108" s="4" t="str">
        <f t="shared" si="6"/>
        <v/>
      </c>
      <c r="Z108" s="4" t="str">
        <f t="shared" si="6"/>
        <v/>
      </c>
    </row>
    <row r="109" spans="1:26" outlineLevel="1" x14ac:dyDescent="0.4">
      <c r="A109" s="1">
        <v>4</v>
      </c>
      <c r="B109" t="s">
        <v>45</v>
      </c>
      <c r="C109" t="s">
        <v>84</v>
      </c>
      <c r="D109" s="4">
        <f t="shared" si="0"/>
        <v>5.6923635376170383</v>
      </c>
      <c r="E109" s="4">
        <f t="shared" ref="E109:K109" si="7">IFERROR(E163/E$34*100,"")</f>
        <v>7.3675191208213491</v>
      </c>
      <c r="F109" s="4">
        <f t="shared" si="7"/>
        <v>7.5589819026229774</v>
      </c>
      <c r="G109" s="4" t="str">
        <f t="shared" si="7"/>
        <v/>
      </c>
      <c r="H109" s="4" t="str">
        <f t="shared" si="7"/>
        <v/>
      </c>
      <c r="I109" s="4" t="str">
        <f t="shared" si="7"/>
        <v/>
      </c>
      <c r="J109" s="4" t="str">
        <f t="shared" si="7"/>
        <v/>
      </c>
      <c r="K109" s="4" t="str">
        <f t="shared" si="7"/>
        <v/>
      </c>
      <c r="L109" s="4" t="str">
        <f t="shared" ref="L109:Z109" si="8">IFERROR(L163/L$34*100,"")</f>
        <v/>
      </c>
      <c r="M109" s="4" t="str">
        <f t="shared" si="8"/>
        <v/>
      </c>
      <c r="N109" s="4" t="str">
        <f t="shared" si="8"/>
        <v/>
      </c>
      <c r="O109" s="4" t="str">
        <f t="shared" si="8"/>
        <v/>
      </c>
      <c r="P109" s="4" t="str">
        <f t="shared" si="8"/>
        <v/>
      </c>
      <c r="Q109" s="4" t="str">
        <f t="shared" si="8"/>
        <v/>
      </c>
      <c r="R109" s="4" t="str">
        <f t="shared" si="8"/>
        <v/>
      </c>
      <c r="S109" s="4" t="str">
        <f t="shared" si="8"/>
        <v/>
      </c>
      <c r="T109" s="4" t="str">
        <f t="shared" si="8"/>
        <v/>
      </c>
      <c r="U109" s="4" t="str">
        <f t="shared" si="8"/>
        <v/>
      </c>
      <c r="V109" s="4" t="str">
        <f t="shared" si="8"/>
        <v/>
      </c>
      <c r="W109" s="4" t="str">
        <f t="shared" si="8"/>
        <v/>
      </c>
      <c r="X109" s="4" t="str">
        <f t="shared" si="8"/>
        <v/>
      </c>
      <c r="Y109" s="4" t="str">
        <f t="shared" si="8"/>
        <v/>
      </c>
      <c r="Z109" s="4" t="str">
        <f t="shared" si="8"/>
        <v/>
      </c>
    </row>
    <row r="110" spans="1:26" outlineLevel="1" x14ac:dyDescent="0.4">
      <c r="A110" s="1">
        <v>5</v>
      </c>
      <c r="B110" t="s">
        <v>46</v>
      </c>
      <c r="C110" t="s">
        <v>85</v>
      </c>
      <c r="D110" s="4">
        <f t="shared" si="0"/>
        <v>4.7937443022331092E-2</v>
      </c>
      <c r="E110" s="4">
        <f t="shared" ref="E110:K110" si="9">IFERROR(E164/E$34*100,"")</f>
        <v>3.6396540306640857E-2</v>
      </c>
      <c r="F110" s="4">
        <f t="shared" si="9"/>
        <v>3.7636246903619233E-2</v>
      </c>
      <c r="G110" s="4" t="str">
        <f t="shared" si="9"/>
        <v/>
      </c>
      <c r="H110" s="4" t="str">
        <f t="shared" si="9"/>
        <v/>
      </c>
      <c r="I110" s="4" t="str">
        <f t="shared" si="9"/>
        <v/>
      </c>
      <c r="J110" s="4" t="str">
        <f t="shared" si="9"/>
        <v/>
      </c>
      <c r="K110" s="4" t="str">
        <f t="shared" si="9"/>
        <v/>
      </c>
      <c r="L110" s="4" t="str">
        <f t="shared" ref="L110:Z110" si="10">IFERROR(L164/L$34*100,"")</f>
        <v/>
      </c>
      <c r="M110" s="4" t="str">
        <f t="shared" si="10"/>
        <v/>
      </c>
      <c r="N110" s="4" t="str">
        <f t="shared" si="10"/>
        <v/>
      </c>
      <c r="O110" s="4" t="str">
        <f t="shared" si="10"/>
        <v/>
      </c>
      <c r="P110" s="4" t="str">
        <f t="shared" si="10"/>
        <v/>
      </c>
      <c r="Q110" s="4" t="str">
        <f t="shared" si="10"/>
        <v/>
      </c>
      <c r="R110" s="4" t="str">
        <f t="shared" si="10"/>
        <v/>
      </c>
      <c r="S110" s="4" t="str">
        <f t="shared" si="10"/>
        <v/>
      </c>
      <c r="T110" s="4" t="str">
        <f t="shared" si="10"/>
        <v/>
      </c>
      <c r="U110" s="4" t="str">
        <f t="shared" si="10"/>
        <v/>
      </c>
      <c r="V110" s="4" t="str">
        <f t="shared" si="10"/>
        <v/>
      </c>
      <c r="W110" s="4" t="str">
        <f t="shared" si="10"/>
        <v/>
      </c>
      <c r="X110" s="4" t="str">
        <f t="shared" si="10"/>
        <v/>
      </c>
      <c r="Y110" s="4" t="str">
        <f t="shared" si="10"/>
        <v/>
      </c>
      <c r="Z110" s="4" t="str">
        <f t="shared" si="10"/>
        <v/>
      </c>
    </row>
    <row r="111" spans="1:26" outlineLevel="1" x14ac:dyDescent="0.4">
      <c r="A111" s="1">
        <v>6</v>
      </c>
      <c r="B111" t="s">
        <v>47</v>
      </c>
      <c r="C111" t="s">
        <v>86</v>
      </c>
      <c r="D111" s="4">
        <f t="shared" si="0"/>
        <v>0.68276219426025331</v>
      </c>
      <c r="E111" s="4">
        <f t="shared" ref="E111:K111" si="11">IFERROR(E165/E$34*100,"")</f>
        <v>0.88337436369242905</v>
      </c>
      <c r="F111" s="4">
        <f t="shared" si="11"/>
        <v>0.85210430898128764</v>
      </c>
      <c r="G111" s="4" t="str">
        <f t="shared" si="11"/>
        <v/>
      </c>
      <c r="H111" s="4" t="str">
        <f t="shared" si="11"/>
        <v/>
      </c>
      <c r="I111" s="4" t="str">
        <f t="shared" si="11"/>
        <v/>
      </c>
      <c r="J111" s="4" t="str">
        <f t="shared" si="11"/>
        <v/>
      </c>
      <c r="K111" s="4" t="str">
        <f t="shared" si="11"/>
        <v/>
      </c>
      <c r="L111" s="4" t="str">
        <f t="shared" ref="L111:Z111" si="12">IFERROR(L165/L$34*100,"")</f>
        <v/>
      </c>
      <c r="M111" s="4" t="str">
        <f t="shared" si="12"/>
        <v/>
      </c>
      <c r="N111" s="4" t="str">
        <f t="shared" si="12"/>
        <v/>
      </c>
      <c r="O111" s="4" t="str">
        <f t="shared" si="12"/>
        <v/>
      </c>
      <c r="P111" s="4" t="str">
        <f t="shared" si="12"/>
        <v/>
      </c>
      <c r="Q111" s="4" t="str">
        <f t="shared" si="12"/>
        <v/>
      </c>
      <c r="R111" s="4" t="str">
        <f t="shared" si="12"/>
        <v/>
      </c>
      <c r="S111" s="4" t="str">
        <f t="shared" si="12"/>
        <v/>
      </c>
      <c r="T111" s="4" t="str">
        <f t="shared" si="12"/>
        <v/>
      </c>
      <c r="U111" s="4" t="str">
        <f t="shared" si="12"/>
        <v/>
      </c>
      <c r="V111" s="4" t="str">
        <f t="shared" si="12"/>
        <v/>
      </c>
      <c r="W111" s="4" t="str">
        <f t="shared" si="12"/>
        <v/>
      </c>
      <c r="X111" s="4" t="str">
        <f t="shared" si="12"/>
        <v/>
      </c>
      <c r="Y111" s="4" t="str">
        <f t="shared" si="12"/>
        <v/>
      </c>
      <c r="Z111" s="4" t="str">
        <f t="shared" si="12"/>
        <v/>
      </c>
    </row>
    <row r="112" spans="1:26" outlineLevel="1" x14ac:dyDescent="0.4">
      <c r="A112" s="1">
        <v>7</v>
      </c>
      <c r="B112" t="s">
        <v>48</v>
      </c>
      <c r="C112" t="s">
        <v>87</v>
      </c>
      <c r="D112" s="4">
        <f t="shared" si="0"/>
        <v>39.377977039904458</v>
      </c>
      <c r="E112" s="4">
        <f t="shared" ref="E112:K112" si="13">IFERROR(E166/E$34*100,"")</f>
        <v>41.086891684907059</v>
      </c>
      <c r="F112" s="4">
        <f t="shared" si="13"/>
        <v>43.508239386209382</v>
      </c>
      <c r="G112" s="4" t="str">
        <f t="shared" si="13"/>
        <v/>
      </c>
      <c r="H112" s="4" t="str">
        <f t="shared" si="13"/>
        <v/>
      </c>
      <c r="I112" s="4" t="str">
        <f t="shared" si="13"/>
        <v/>
      </c>
      <c r="J112" s="4" t="str">
        <f t="shared" si="13"/>
        <v/>
      </c>
      <c r="K112" s="4" t="str">
        <f t="shared" si="13"/>
        <v/>
      </c>
      <c r="L112" s="4" t="str">
        <f t="shared" ref="L112:Z112" si="14">IFERROR(L166/L$34*100,"")</f>
        <v/>
      </c>
      <c r="M112" s="4" t="str">
        <f t="shared" si="14"/>
        <v/>
      </c>
      <c r="N112" s="4" t="str">
        <f t="shared" si="14"/>
        <v/>
      </c>
      <c r="O112" s="4" t="str">
        <f t="shared" si="14"/>
        <v/>
      </c>
      <c r="P112" s="4" t="str">
        <f t="shared" si="14"/>
        <v/>
      </c>
      <c r="Q112" s="4" t="str">
        <f t="shared" si="14"/>
        <v/>
      </c>
      <c r="R112" s="4" t="str">
        <f t="shared" si="14"/>
        <v/>
      </c>
      <c r="S112" s="4" t="str">
        <f t="shared" si="14"/>
        <v/>
      </c>
      <c r="T112" s="4" t="str">
        <f t="shared" si="14"/>
        <v/>
      </c>
      <c r="U112" s="4" t="str">
        <f t="shared" si="14"/>
        <v/>
      </c>
      <c r="V112" s="4" t="str">
        <f t="shared" si="14"/>
        <v/>
      </c>
      <c r="W112" s="4" t="str">
        <f t="shared" si="14"/>
        <v/>
      </c>
      <c r="X112" s="4" t="str">
        <f t="shared" si="14"/>
        <v/>
      </c>
      <c r="Y112" s="4" t="str">
        <f t="shared" si="14"/>
        <v/>
      </c>
      <c r="Z112" s="4" t="str">
        <f t="shared" si="14"/>
        <v/>
      </c>
    </row>
    <row r="113" spans="1:26" outlineLevel="1" x14ac:dyDescent="0.4">
      <c r="A113" s="1">
        <v>8</v>
      </c>
      <c r="B113" s="2" t="s">
        <v>49</v>
      </c>
      <c r="C113" t="s">
        <v>88</v>
      </c>
      <c r="D113" s="4">
        <f t="shared" si="0"/>
        <v>1.187352273703403</v>
      </c>
      <c r="E113" s="4">
        <f t="shared" ref="E113:K113" si="15">IFERROR(E167/E$34*100,"")</f>
        <v>1.8559708018865539</v>
      </c>
      <c r="F113" s="4">
        <f t="shared" si="15"/>
        <v>1.8584434337048581</v>
      </c>
      <c r="G113" s="4" t="str">
        <f t="shared" si="15"/>
        <v/>
      </c>
      <c r="H113" s="4" t="str">
        <f t="shared" si="15"/>
        <v/>
      </c>
      <c r="I113" s="4" t="str">
        <f t="shared" si="15"/>
        <v/>
      </c>
      <c r="J113" s="4" t="str">
        <f t="shared" si="15"/>
        <v/>
      </c>
      <c r="K113" s="4" t="str">
        <f t="shared" si="15"/>
        <v/>
      </c>
      <c r="L113" s="4" t="str">
        <f t="shared" ref="L113:Z113" si="16">IFERROR(L167/L$34*100,"")</f>
        <v/>
      </c>
      <c r="M113" s="4" t="str">
        <f t="shared" si="16"/>
        <v/>
      </c>
      <c r="N113" s="4" t="str">
        <f t="shared" si="16"/>
        <v/>
      </c>
      <c r="O113" s="4" t="str">
        <f t="shared" si="16"/>
        <v/>
      </c>
      <c r="P113" s="4" t="str">
        <f t="shared" si="16"/>
        <v/>
      </c>
      <c r="Q113" s="4" t="str">
        <f t="shared" si="16"/>
        <v/>
      </c>
      <c r="R113" s="4" t="str">
        <f t="shared" si="16"/>
        <v/>
      </c>
      <c r="S113" s="4" t="str">
        <f t="shared" si="16"/>
        <v/>
      </c>
      <c r="T113" s="4" t="str">
        <f t="shared" si="16"/>
        <v/>
      </c>
      <c r="U113" s="4" t="str">
        <f t="shared" si="16"/>
        <v/>
      </c>
      <c r="V113" s="4" t="str">
        <f t="shared" si="16"/>
        <v/>
      </c>
      <c r="W113" s="4" t="str">
        <f t="shared" si="16"/>
        <v/>
      </c>
      <c r="X113" s="4" t="str">
        <f t="shared" si="16"/>
        <v/>
      </c>
      <c r="Y113" s="4" t="str">
        <f t="shared" si="16"/>
        <v/>
      </c>
      <c r="Z113" s="4" t="str">
        <f t="shared" si="16"/>
        <v/>
      </c>
    </row>
    <row r="114" spans="1:26" outlineLevel="1" x14ac:dyDescent="0.4">
      <c r="A114" s="1">
        <v>9</v>
      </c>
      <c r="B114" t="s">
        <v>50</v>
      </c>
      <c r="D114" s="4">
        <f t="shared" si="0"/>
        <v>38.190624766201054</v>
      </c>
      <c r="E114" s="4">
        <f t="shared" ref="E114:K114" si="17">IFERROR(E168/E$34*100,"")</f>
        <v>39.230920883020509</v>
      </c>
      <c r="F114" s="4">
        <f t="shared" si="17"/>
        <v>41.649795952504526</v>
      </c>
      <c r="G114" s="4" t="str">
        <f t="shared" si="17"/>
        <v/>
      </c>
      <c r="H114" s="4" t="str">
        <f t="shared" si="17"/>
        <v/>
      </c>
      <c r="I114" s="4" t="str">
        <f t="shared" si="17"/>
        <v/>
      </c>
      <c r="J114" s="4" t="str">
        <f t="shared" si="17"/>
        <v/>
      </c>
      <c r="K114" s="4" t="str">
        <f t="shared" si="17"/>
        <v/>
      </c>
      <c r="L114" s="4" t="str">
        <f t="shared" ref="L114:Z114" si="18">IFERROR(L168/L$34*100,"")</f>
        <v/>
      </c>
      <c r="M114" s="4" t="str">
        <f t="shared" si="18"/>
        <v/>
      </c>
      <c r="N114" s="4" t="str">
        <f t="shared" si="18"/>
        <v/>
      </c>
      <c r="O114" s="4" t="str">
        <f t="shared" si="18"/>
        <v/>
      </c>
      <c r="P114" s="4" t="str">
        <f t="shared" si="18"/>
        <v/>
      </c>
      <c r="Q114" s="4" t="str">
        <f t="shared" si="18"/>
        <v/>
      </c>
      <c r="R114" s="4" t="str">
        <f t="shared" si="18"/>
        <v/>
      </c>
      <c r="S114" s="4" t="str">
        <f t="shared" si="18"/>
        <v/>
      </c>
      <c r="T114" s="4" t="str">
        <f t="shared" si="18"/>
        <v/>
      </c>
      <c r="U114" s="4" t="str">
        <f t="shared" si="18"/>
        <v/>
      </c>
      <c r="V114" s="4" t="str">
        <f t="shared" si="18"/>
        <v/>
      </c>
      <c r="W114" s="4" t="str">
        <f t="shared" si="18"/>
        <v/>
      </c>
      <c r="X114" s="4" t="str">
        <f t="shared" si="18"/>
        <v/>
      </c>
      <c r="Y114" s="4" t="str">
        <f t="shared" si="18"/>
        <v/>
      </c>
      <c r="Z114" s="4" t="str">
        <f t="shared" si="18"/>
        <v/>
      </c>
    </row>
    <row r="115" spans="1:26" outlineLevel="1" x14ac:dyDescent="0.4">
      <c r="A115" s="1">
        <v>10</v>
      </c>
      <c r="B115" t="s">
        <v>51</v>
      </c>
      <c r="D115" s="4">
        <f t="shared" si="0"/>
        <v>0</v>
      </c>
      <c r="E115" s="4">
        <f t="shared" ref="E115:K115" si="19">IFERROR(E169/E$34*100,"")</f>
        <v>0</v>
      </c>
      <c r="F115" s="4">
        <f t="shared" si="19"/>
        <v>0.67353630667883491</v>
      </c>
      <c r="G115" s="4" t="str">
        <f t="shared" si="19"/>
        <v/>
      </c>
      <c r="H115" s="4" t="str">
        <f t="shared" si="19"/>
        <v/>
      </c>
      <c r="I115" s="4" t="str">
        <f t="shared" si="19"/>
        <v/>
      </c>
      <c r="J115" s="4" t="str">
        <f t="shared" si="19"/>
        <v/>
      </c>
      <c r="K115" s="4" t="str">
        <f t="shared" si="19"/>
        <v/>
      </c>
      <c r="L115" s="4" t="str">
        <f t="shared" ref="L115:Z115" si="20">IFERROR(L169/L$34*100,"")</f>
        <v/>
      </c>
      <c r="M115" s="4" t="str">
        <f t="shared" si="20"/>
        <v/>
      </c>
      <c r="N115" s="4" t="str">
        <f t="shared" si="20"/>
        <v/>
      </c>
      <c r="O115" s="4" t="str">
        <f t="shared" si="20"/>
        <v/>
      </c>
      <c r="P115" s="4" t="str">
        <f t="shared" si="20"/>
        <v/>
      </c>
      <c r="Q115" s="4" t="str">
        <f t="shared" si="20"/>
        <v/>
      </c>
      <c r="R115" s="4" t="str">
        <f t="shared" si="20"/>
        <v/>
      </c>
      <c r="S115" s="4" t="str">
        <f t="shared" si="20"/>
        <v/>
      </c>
      <c r="T115" s="4" t="str">
        <f t="shared" si="20"/>
        <v/>
      </c>
      <c r="U115" s="4" t="str">
        <f t="shared" si="20"/>
        <v/>
      </c>
      <c r="V115" s="4" t="str">
        <f t="shared" si="20"/>
        <v/>
      </c>
      <c r="W115" s="4" t="str">
        <f t="shared" si="20"/>
        <v/>
      </c>
      <c r="X115" s="4" t="str">
        <f t="shared" si="20"/>
        <v/>
      </c>
      <c r="Y115" s="4" t="str">
        <f t="shared" si="20"/>
        <v/>
      </c>
      <c r="Z115" s="4" t="str">
        <f t="shared" si="20"/>
        <v/>
      </c>
    </row>
    <row r="116" spans="1:26" outlineLevel="1" x14ac:dyDescent="0.4">
      <c r="A116" s="1">
        <v>11</v>
      </c>
      <c r="B116" t="s">
        <v>52</v>
      </c>
      <c r="D116" s="4">
        <f>IFERROR(D171/D$34*100,"")</f>
        <v>0</v>
      </c>
      <c r="E116" s="4">
        <f t="shared" ref="E116:K116" si="21">IFERROR(E171/E$34*100,"")</f>
        <v>0</v>
      </c>
      <c r="F116" s="4">
        <f t="shared" si="21"/>
        <v>2.4598854185372042E-3</v>
      </c>
      <c r="G116" s="4" t="str">
        <f t="shared" si="21"/>
        <v/>
      </c>
      <c r="H116" s="4" t="str">
        <f t="shared" si="21"/>
        <v/>
      </c>
      <c r="I116" s="4" t="str">
        <f t="shared" si="21"/>
        <v/>
      </c>
      <c r="J116" s="4" t="str">
        <f t="shared" si="21"/>
        <v/>
      </c>
      <c r="K116" s="4" t="str">
        <f t="shared" si="21"/>
        <v/>
      </c>
      <c r="L116" s="4" t="str">
        <f t="shared" ref="L116:Z116" si="22">IFERROR(L171/L$34*100,"")</f>
        <v/>
      </c>
      <c r="M116" s="4" t="str">
        <f t="shared" si="22"/>
        <v/>
      </c>
      <c r="N116" s="4" t="str">
        <f t="shared" si="22"/>
        <v/>
      </c>
      <c r="O116" s="4" t="str">
        <f t="shared" si="22"/>
        <v/>
      </c>
      <c r="P116" s="4" t="str">
        <f t="shared" si="22"/>
        <v/>
      </c>
      <c r="Q116" s="4" t="str">
        <f t="shared" si="22"/>
        <v/>
      </c>
      <c r="R116" s="4" t="str">
        <f t="shared" si="22"/>
        <v/>
      </c>
      <c r="S116" s="4" t="str">
        <f t="shared" si="22"/>
        <v/>
      </c>
      <c r="T116" s="4" t="str">
        <f t="shared" si="22"/>
        <v/>
      </c>
      <c r="U116" s="4" t="str">
        <f t="shared" si="22"/>
        <v/>
      </c>
      <c r="V116" s="4" t="str">
        <f t="shared" si="22"/>
        <v/>
      </c>
      <c r="W116" s="4" t="str">
        <f t="shared" si="22"/>
        <v/>
      </c>
      <c r="X116" s="4" t="str">
        <f t="shared" si="22"/>
        <v/>
      </c>
      <c r="Y116" s="4" t="str">
        <f t="shared" si="22"/>
        <v/>
      </c>
      <c r="Z116" s="4" t="str">
        <f t="shared" si="22"/>
        <v/>
      </c>
    </row>
    <row r="117" spans="1:26" outlineLevel="1" x14ac:dyDescent="0.4">
      <c r="A117" s="1"/>
      <c r="B117" s="1" t="s">
        <v>35</v>
      </c>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outlineLevel="1" x14ac:dyDescent="0.4">
      <c r="A118" s="1">
        <v>12</v>
      </c>
      <c r="B118" t="s">
        <v>53</v>
      </c>
      <c r="C118" t="s">
        <v>5</v>
      </c>
      <c r="D118" s="4">
        <f t="shared" ref="D118:D129" si="23">IFERROR(D173/D$34*100,"")</f>
        <v>11.65434055535389</v>
      </c>
      <c r="E118" s="4">
        <f t="shared" ref="E118:K118" si="24">IFERROR(E173/E$34*100,"")</f>
        <v>12.115498354573074</v>
      </c>
      <c r="F118" s="4">
        <f t="shared" si="24"/>
        <v>13.119306902684471</v>
      </c>
      <c r="G118" s="4" t="str">
        <f t="shared" si="24"/>
        <v/>
      </c>
      <c r="H118" s="4" t="str">
        <f t="shared" si="24"/>
        <v/>
      </c>
      <c r="I118" s="4" t="str">
        <f t="shared" si="24"/>
        <v/>
      </c>
      <c r="J118" s="4" t="str">
        <f t="shared" si="24"/>
        <v/>
      </c>
      <c r="K118" s="4" t="str">
        <f t="shared" si="24"/>
        <v/>
      </c>
      <c r="L118" s="4" t="str">
        <f t="shared" ref="L118:Z118" si="25">IFERROR(L173/L$34*100,"")</f>
        <v/>
      </c>
      <c r="M118" s="4" t="str">
        <f t="shared" si="25"/>
        <v/>
      </c>
      <c r="N118" s="4" t="str">
        <f t="shared" si="25"/>
        <v/>
      </c>
      <c r="O118" s="4" t="str">
        <f t="shared" si="25"/>
        <v/>
      </c>
      <c r="P118" s="4" t="str">
        <f t="shared" si="25"/>
        <v/>
      </c>
      <c r="Q118" s="4" t="str">
        <f t="shared" si="25"/>
        <v/>
      </c>
      <c r="R118" s="4" t="str">
        <f t="shared" si="25"/>
        <v/>
      </c>
      <c r="S118" s="4" t="str">
        <f t="shared" si="25"/>
        <v/>
      </c>
      <c r="T118" s="4" t="str">
        <f t="shared" si="25"/>
        <v/>
      </c>
      <c r="U118" s="4" t="str">
        <f t="shared" si="25"/>
        <v/>
      </c>
      <c r="V118" s="4" t="str">
        <f t="shared" si="25"/>
        <v/>
      </c>
      <c r="W118" s="4" t="str">
        <f t="shared" si="25"/>
        <v/>
      </c>
      <c r="X118" s="4" t="str">
        <f t="shared" si="25"/>
        <v/>
      </c>
      <c r="Y118" s="4" t="str">
        <f t="shared" si="25"/>
        <v/>
      </c>
      <c r="Z118" s="4" t="str">
        <f t="shared" si="25"/>
        <v/>
      </c>
    </row>
    <row r="119" spans="1:26" outlineLevel="1" x14ac:dyDescent="0.4">
      <c r="A119" s="1">
        <v>13</v>
      </c>
      <c r="B119" t="s">
        <v>54</v>
      </c>
      <c r="C119" t="s">
        <v>89</v>
      </c>
      <c r="D119" s="4">
        <f t="shared" si="23"/>
        <v>6.7245425853522027</v>
      </c>
      <c r="E119" s="4">
        <f t="shared" ref="E119:K119" si="26">IFERROR(E174/E$34*100,"")</f>
        <v>6.3372948271417098</v>
      </c>
      <c r="F119" s="4">
        <f t="shared" si="26"/>
        <v>6.103959677558219</v>
      </c>
      <c r="G119" s="4" t="str">
        <f t="shared" si="26"/>
        <v/>
      </c>
      <c r="H119" s="4" t="str">
        <f t="shared" si="26"/>
        <v/>
      </c>
      <c r="I119" s="4" t="str">
        <f t="shared" si="26"/>
        <v/>
      </c>
      <c r="J119" s="4" t="str">
        <f t="shared" si="26"/>
        <v/>
      </c>
      <c r="K119" s="4" t="str">
        <f t="shared" si="26"/>
        <v/>
      </c>
      <c r="L119" s="4" t="str">
        <f t="shared" ref="L119:Z119" si="27">IFERROR(L174/L$34*100,"")</f>
        <v/>
      </c>
      <c r="M119" s="4" t="str">
        <f t="shared" si="27"/>
        <v/>
      </c>
      <c r="N119" s="4" t="str">
        <f t="shared" si="27"/>
        <v/>
      </c>
      <c r="O119" s="4" t="str">
        <f t="shared" si="27"/>
        <v/>
      </c>
      <c r="P119" s="4" t="str">
        <f t="shared" si="27"/>
        <v/>
      </c>
      <c r="Q119" s="4" t="str">
        <f t="shared" si="27"/>
        <v/>
      </c>
      <c r="R119" s="4" t="str">
        <f t="shared" si="27"/>
        <v/>
      </c>
      <c r="S119" s="4" t="str">
        <f t="shared" si="27"/>
        <v/>
      </c>
      <c r="T119" s="4" t="str">
        <f t="shared" si="27"/>
        <v/>
      </c>
      <c r="U119" s="4" t="str">
        <f t="shared" si="27"/>
        <v/>
      </c>
      <c r="V119" s="4" t="str">
        <f t="shared" si="27"/>
        <v/>
      </c>
      <c r="W119" s="4" t="str">
        <f t="shared" si="27"/>
        <v/>
      </c>
      <c r="X119" s="4" t="str">
        <f t="shared" si="27"/>
        <v/>
      </c>
      <c r="Y119" s="4" t="str">
        <f t="shared" si="27"/>
        <v/>
      </c>
      <c r="Z119" s="4" t="str">
        <f t="shared" si="27"/>
        <v/>
      </c>
    </row>
    <row r="120" spans="1:26" outlineLevel="1" x14ac:dyDescent="0.4">
      <c r="A120" s="1">
        <v>14</v>
      </c>
      <c r="B120" t="s">
        <v>55</v>
      </c>
      <c r="C120" t="s">
        <v>34</v>
      </c>
      <c r="D120" s="4">
        <f t="shared" si="23"/>
        <v>0.50763812495324023</v>
      </c>
      <c r="E120" s="4">
        <f t="shared" ref="E120:K120" si="28">IFERROR(E175/E$34*100,"")</f>
        <v>0.72515051485939308</v>
      </c>
      <c r="F120" s="4">
        <f t="shared" si="28"/>
        <v>1.0904672060375427</v>
      </c>
      <c r="G120" s="4" t="str">
        <f t="shared" si="28"/>
        <v/>
      </c>
      <c r="H120" s="4" t="str">
        <f t="shared" si="28"/>
        <v/>
      </c>
      <c r="I120" s="4" t="str">
        <f t="shared" si="28"/>
        <v/>
      </c>
      <c r="J120" s="4" t="str">
        <f t="shared" si="28"/>
        <v/>
      </c>
      <c r="K120" s="4" t="str">
        <f t="shared" si="28"/>
        <v/>
      </c>
      <c r="L120" s="4" t="str">
        <f t="shared" ref="L120:Z120" si="29">IFERROR(L175/L$34*100,"")</f>
        <v/>
      </c>
      <c r="M120" s="4" t="str">
        <f t="shared" si="29"/>
        <v/>
      </c>
      <c r="N120" s="4" t="str">
        <f t="shared" si="29"/>
        <v/>
      </c>
      <c r="O120" s="4" t="str">
        <f t="shared" si="29"/>
        <v/>
      </c>
      <c r="P120" s="4" t="str">
        <f t="shared" si="29"/>
        <v/>
      </c>
      <c r="Q120" s="4" t="str">
        <f t="shared" si="29"/>
        <v/>
      </c>
      <c r="R120" s="4" t="str">
        <f t="shared" si="29"/>
        <v/>
      </c>
      <c r="S120" s="4" t="str">
        <f t="shared" si="29"/>
        <v/>
      </c>
      <c r="T120" s="4" t="str">
        <f t="shared" si="29"/>
        <v/>
      </c>
      <c r="U120" s="4" t="str">
        <f t="shared" si="29"/>
        <v/>
      </c>
      <c r="V120" s="4" t="str">
        <f t="shared" si="29"/>
        <v/>
      </c>
      <c r="W120" s="4" t="str">
        <f t="shared" si="29"/>
        <v/>
      </c>
      <c r="X120" s="4" t="str">
        <f t="shared" si="29"/>
        <v/>
      </c>
      <c r="Y120" s="4" t="str">
        <f t="shared" si="29"/>
        <v/>
      </c>
      <c r="Z120" s="4" t="str">
        <f t="shared" si="29"/>
        <v/>
      </c>
    </row>
    <row r="121" spans="1:26" outlineLevel="1" x14ac:dyDescent="0.4">
      <c r="A121" s="1">
        <v>15</v>
      </c>
      <c r="B121" t="s">
        <v>56</v>
      </c>
      <c r="C121" t="s">
        <v>90</v>
      </c>
      <c r="D121" s="4">
        <f t="shared" si="23"/>
        <v>12.68541122290357</v>
      </c>
      <c r="E121" s="4">
        <f t="shared" ref="E121:K121" si="30">IFERROR(E176/E$34*100,"")</f>
        <v>11.926944055484505</v>
      </c>
      <c r="F121" s="4">
        <f t="shared" si="30"/>
        <v>12.548859474125692</v>
      </c>
      <c r="G121" s="4" t="str">
        <f t="shared" si="30"/>
        <v/>
      </c>
      <c r="H121" s="4" t="str">
        <f t="shared" si="30"/>
        <v/>
      </c>
      <c r="I121" s="4" t="str">
        <f t="shared" si="30"/>
        <v/>
      </c>
      <c r="J121" s="4" t="str">
        <f t="shared" si="30"/>
        <v/>
      </c>
      <c r="K121" s="4" t="str">
        <f t="shared" si="30"/>
        <v/>
      </c>
      <c r="L121" s="4" t="str">
        <f t="shared" ref="L121:Z121" si="31">IFERROR(L176/L$34*100,"")</f>
        <v/>
      </c>
      <c r="M121" s="4" t="str">
        <f t="shared" si="31"/>
        <v/>
      </c>
      <c r="N121" s="4" t="str">
        <f t="shared" si="31"/>
        <v/>
      </c>
      <c r="O121" s="4" t="str">
        <f t="shared" si="31"/>
        <v/>
      </c>
      <c r="P121" s="4" t="str">
        <f t="shared" si="31"/>
        <v/>
      </c>
      <c r="Q121" s="4" t="str">
        <f t="shared" si="31"/>
        <v/>
      </c>
      <c r="R121" s="4" t="str">
        <f t="shared" si="31"/>
        <v/>
      </c>
      <c r="S121" s="4" t="str">
        <f t="shared" si="31"/>
        <v/>
      </c>
      <c r="T121" s="4" t="str">
        <f t="shared" si="31"/>
        <v/>
      </c>
      <c r="U121" s="4" t="str">
        <f t="shared" si="31"/>
        <v/>
      </c>
      <c r="V121" s="4" t="str">
        <f t="shared" si="31"/>
        <v/>
      </c>
      <c r="W121" s="4" t="str">
        <f t="shared" si="31"/>
        <v/>
      </c>
      <c r="X121" s="4" t="str">
        <f t="shared" si="31"/>
        <v/>
      </c>
      <c r="Y121" s="4" t="str">
        <f t="shared" si="31"/>
        <v/>
      </c>
      <c r="Z121" s="4" t="str">
        <f t="shared" si="31"/>
        <v/>
      </c>
    </row>
    <row r="122" spans="1:26" outlineLevel="1" x14ac:dyDescent="0.4">
      <c r="A122" s="1">
        <v>16</v>
      </c>
      <c r="B122" t="s">
        <v>57</v>
      </c>
      <c r="C122" t="s">
        <v>91</v>
      </c>
      <c r="D122" s="4">
        <f t="shared" si="23"/>
        <v>1.8576451908769227</v>
      </c>
      <c r="E122" s="4">
        <f t="shared" ref="E122:K122" si="32">IFERROR(E177/E$34*100,"")</f>
        <v>2.0629761248805738</v>
      </c>
      <c r="F122" s="4">
        <f t="shared" si="32"/>
        <v>2.1403463026692213</v>
      </c>
      <c r="G122" s="4" t="str">
        <f t="shared" si="32"/>
        <v/>
      </c>
      <c r="H122" s="4" t="str">
        <f t="shared" si="32"/>
        <v/>
      </c>
      <c r="I122" s="4" t="str">
        <f t="shared" si="32"/>
        <v/>
      </c>
      <c r="J122" s="4" t="str">
        <f t="shared" si="32"/>
        <v/>
      </c>
      <c r="K122" s="4" t="str">
        <f t="shared" si="32"/>
        <v/>
      </c>
      <c r="L122" s="4" t="str">
        <f t="shared" ref="L122:Z122" si="33">IFERROR(L177/L$34*100,"")</f>
        <v/>
      </c>
      <c r="M122" s="4" t="str">
        <f t="shared" si="33"/>
        <v/>
      </c>
      <c r="N122" s="4" t="str">
        <f t="shared" si="33"/>
        <v/>
      </c>
      <c r="O122" s="4" t="str">
        <f t="shared" si="33"/>
        <v/>
      </c>
      <c r="P122" s="4" t="str">
        <f t="shared" si="33"/>
        <v/>
      </c>
      <c r="Q122" s="4" t="str">
        <f t="shared" si="33"/>
        <v/>
      </c>
      <c r="R122" s="4" t="str">
        <f t="shared" si="33"/>
        <v/>
      </c>
      <c r="S122" s="4" t="str">
        <f t="shared" si="33"/>
        <v/>
      </c>
      <c r="T122" s="4" t="str">
        <f t="shared" si="33"/>
        <v/>
      </c>
      <c r="U122" s="4" t="str">
        <f t="shared" si="33"/>
        <v/>
      </c>
      <c r="V122" s="4" t="str">
        <f t="shared" si="33"/>
        <v/>
      </c>
      <c r="W122" s="4" t="str">
        <f t="shared" si="33"/>
        <v/>
      </c>
      <c r="X122" s="4" t="str">
        <f t="shared" si="33"/>
        <v/>
      </c>
      <c r="Y122" s="4" t="str">
        <f t="shared" si="33"/>
        <v/>
      </c>
      <c r="Z122" s="4" t="str">
        <f t="shared" si="33"/>
        <v/>
      </c>
    </row>
    <row r="123" spans="1:26" outlineLevel="1" x14ac:dyDescent="0.4">
      <c r="A123" s="1">
        <v>17</v>
      </c>
      <c r="B123" t="s">
        <v>58</v>
      </c>
      <c r="C123" t="s">
        <v>92</v>
      </c>
      <c r="D123" s="4">
        <f t="shared" si="23"/>
        <v>1.8371401574454056</v>
      </c>
      <c r="E123" s="4">
        <f t="shared" ref="E123:K123" si="34">IFERROR(E178/E$34*100,"")</f>
        <v>1.6107996623209873</v>
      </c>
      <c r="F123" s="4">
        <f t="shared" si="34"/>
        <v>0.88359084233856378</v>
      </c>
      <c r="G123" s="4" t="str">
        <f t="shared" si="34"/>
        <v/>
      </c>
      <c r="H123" s="4" t="str">
        <f t="shared" si="34"/>
        <v/>
      </c>
      <c r="I123" s="4" t="str">
        <f t="shared" si="34"/>
        <v/>
      </c>
      <c r="J123" s="4" t="str">
        <f t="shared" si="34"/>
        <v/>
      </c>
      <c r="K123" s="4" t="str">
        <f t="shared" si="34"/>
        <v/>
      </c>
      <c r="L123" s="4" t="str">
        <f t="shared" ref="L123:Z123" si="35">IFERROR(L178/L$34*100,"")</f>
        <v/>
      </c>
      <c r="M123" s="4" t="str">
        <f t="shared" si="35"/>
        <v/>
      </c>
      <c r="N123" s="4" t="str">
        <f t="shared" si="35"/>
        <v/>
      </c>
      <c r="O123" s="4" t="str">
        <f t="shared" si="35"/>
        <v/>
      </c>
      <c r="P123" s="4" t="str">
        <f t="shared" si="35"/>
        <v/>
      </c>
      <c r="Q123" s="4" t="str">
        <f t="shared" si="35"/>
        <v/>
      </c>
      <c r="R123" s="4" t="str">
        <f t="shared" si="35"/>
        <v/>
      </c>
      <c r="S123" s="4" t="str">
        <f t="shared" si="35"/>
        <v/>
      </c>
      <c r="T123" s="4" t="str">
        <f t="shared" si="35"/>
        <v/>
      </c>
      <c r="U123" s="4" t="str">
        <f t="shared" si="35"/>
        <v/>
      </c>
      <c r="V123" s="4" t="str">
        <f t="shared" si="35"/>
        <v/>
      </c>
      <c r="W123" s="4" t="str">
        <f t="shared" si="35"/>
        <v/>
      </c>
      <c r="X123" s="4" t="str">
        <f t="shared" si="35"/>
        <v/>
      </c>
      <c r="Y123" s="4" t="str">
        <f t="shared" si="35"/>
        <v/>
      </c>
      <c r="Z123" s="4" t="str">
        <f t="shared" si="35"/>
        <v/>
      </c>
    </row>
    <row r="124" spans="1:26" outlineLevel="1" x14ac:dyDescent="0.4">
      <c r="A124" s="1">
        <v>18</v>
      </c>
      <c r="B124" t="s">
        <v>59</v>
      </c>
      <c r="C124" t="s">
        <v>93</v>
      </c>
      <c r="D124" s="4">
        <f t="shared" si="23"/>
        <v>2.6227046139096171</v>
      </c>
      <c r="E124" s="4">
        <f t="shared" ref="E124:K124" si="36">IFERROR(E179/E$34*100,"")</f>
        <v>2.6602332411624654</v>
      </c>
      <c r="F124" s="4">
        <f t="shared" si="36"/>
        <v>2.4175753893383645</v>
      </c>
      <c r="G124" s="4" t="str">
        <f t="shared" si="36"/>
        <v/>
      </c>
      <c r="H124" s="4" t="str">
        <f t="shared" si="36"/>
        <v/>
      </c>
      <c r="I124" s="4" t="str">
        <f t="shared" si="36"/>
        <v/>
      </c>
      <c r="J124" s="4" t="str">
        <f t="shared" si="36"/>
        <v/>
      </c>
      <c r="K124" s="4" t="str">
        <f t="shared" si="36"/>
        <v/>
      </c>
      <c r="L124" s="4" t="str">
        <f t="shared" ref="L124:Z124" si="37">IFERROR(L179/L$34*100,"")</f>
        <v/>
      </c>
      <c r="M124" s="4" t="str">
        <f t="shared" si="37"/>
        <v/>
      </c>
      <c r="N124" s="4" t="str">
        <f t="shared" si="37"/>
        <v/>
      </c>
      <c r="O124" s="4" t="str">
        <f t="shared" si="37"/>
        <v/>
      </c>
      <c r="P124" s="4" t="str">
        <f t="shared" si="37"/>
        <v/>
      </c>
      <c r="Q124" s="4" t="str">
        <f t="shared" si="37"/>
        <v/>
      </c>
      <c r="R124" s="4" t="str">
        <f t="shared" si="37"/>
        <v/>
      </c>
      <c r="S124" s="4" t="str">
        <f t="shared" si="37"/>
        <v/>
      </c>
      <c r="T124" s="4" t="str">
        <f t="shared" si="37"/>
        <v/>
      </c>
      <c r="U124" s="4" t="str">
        <f t="shared" si="37"/>
        <v/>
      </c>
      <c r="V124" s="4" t="str">
        <f t="shared" si="37"/>
        <v/>
      </c>
      <c r="W124" s="4" t="str">
        <f t="shared" si="37"/>
        <v/>
      </c>
      <c r="X124" s="4" t="str">
        <f t="shared" si="37"/>
        <v/>
      </c>
      <c r="Y124" s="4" t="str">
        <f t="shared" si="37"/>
        <v/>
      </c>
      <c r="Z124" s="4" t="str">
        <f t="shared" si="37"/>
        <v/>
      </c>
    </row>
    <row r="125" spans="1:26" outlineLevel="1" x14ac:dyDescent="0.4">
      <c r="A125" s="1">
        <v>19</v>
      </c>
      <c r="B125" t="s">
        <v>10</v>
      </c>
      <c r="C125" t="s">
        <v>4</v>
      </c>
      <c r="D125" s="4">
        <f t="shared" si="23"/>
        <v>4.7593845164829993</v>
      </c>
      <c r="E125" s="4">
        <f t="shared" ref="E125:K125" si="38">IFERROR(E180/E$34*100,"")</f>
        <v>5.639694471264427</v>
      </c>
      <c r="F125" s="4">
        <f t="shared" si="38"/>
        <v>6.2990285912482191</v>
      </c>
      <c r="G125" s="4" t="str">
        <f t="shared" si="38"/>
        <v/>
      </c>
      <c r="H125" s="4" t="str">
        <f t="shared" si="38"/>
        <v/>
      </c>
      <c r="I125" s="4" t="str">
        <f t="shared" si="38"/>
        <v/>
      </c>
      <c r="J125" s="4" t="str">
        <f t="shared" si="38"/>
        <v/>
      </c>
      <c r="K125" s="4" t="str">
        <f t="shared" si="38"/>
        <v/>
      </c>
      <c r="L125" s="4" t="str">
        <f t="shared" ref="L125:Z125" si="39">IFERROR(L180/L$34*100,"")</f>
        <v/>
      </c>
      <c r="M125" s="4" t="str">
        <f t="shared" si="39"/>
        <v/>
      </c>
      <c r="N125" s="4" t="str">
        <f t="shared" si="39"/>
        <v/>
      </c>
      <c r="O125" s="4" t="str">
        <f t="shared" si="39"/>
        <v/>
      </c>
      <c r="P125" s="4" t="str">
        <f t="shared" si="39"/>
        <v/>
      </c>
      <c r="Q125" s="4" t="str">
        <f t="shared" si="39"/>
        <v/>
      </c>
      <c r="R125" s="4" t="str">
        <f t="shared" si="39"/>
        <v/>
      </c>
      <c r="S125" s="4" t="str">
        <f t="shared" si="39"/>
        <v/>
      </c>
      <c r="T125" s="4" t="str">
        <f t="shared" si="39"/>
        <v/>
      </c>
      <c r="U125" s="4" t="str">
        <f t="shared" si="39"/>
        <v/>
      </c>
      <c r="V125" s="4" t="str">
        <f t="shared" si="39"/>
        <v/>
      </c>
      <c r="W125" s="4" t="str">
        <f t="shared" si="39"/>
        <v/>
      </c>
      <c r="X125" s="4" t="str">
        <f t="shared" si="39"/>
        <v/>
      </c>
      <c r="Y125" s="4" t="str">
        <f t="shared" si="39"/>
        <v/>
      </c>
      <c r="Z125" s="4" t="str">
        <f t="shared" si="39"/>
        <v/>
      </c>
    </row>
    <row r="126" spans="1:26" outlineLevel="1" x14ac:dyDescent="0.4">
      <c r="A126" s="1">
        <v>20</v>
      </c>
      <c r="B126" t="s">
        <v>60</v>
      </c>
      <c r="D126" s="4">
        <f t="shared" si="23"/>
        <v>0</v>
      </c>
      <c r="E126" s="4">
        <f t="shared" ref="E126:K126" si="40">IFERROR(E181/E$34*100,"")</f>
        <v>0</v>
      </c>
      <c r="F126" s="4">
        <f t="shared" si="40"/>
        <v>0</v>
      </c>
      <c r="G126" s="4" t="str">
        <f t="shared" si="40"/>
        <v/>
      </c>
      <c r="H126" s="4" t="str">
        <f t="shared" si="40"/>
        <v/>
      </c>
      <c r="I126" s="4" t="str">
        <f t="shared" si="40"/>
        <v/>
      </c>
      <c r="J126" s="4" t="str">
        <f t="shared" si="40"/>
        <v/>
      </c>
      <c r="K126" s="4" t="str">
        <f t="shared" si="40"/>
        <v/>
      </c>
      <c r="L126" s="4" t="str">
        <f t="shared" ref="L126:Z126" si="41">IFERROR(L181/L$34*100,"")</f>
        <v/>
      </c>
      <c r="M126" s="4" t="str">
        <f t="shared" si="41"/>
        <v/>
      </c>
      <c r="N126" s="4" t="str">
        <f t="shared" si="41"/>
        <v/>
      </c>
      <c r="O126" s="4" t="str">
        <f t="shared" si="41"/>
        <v/>
      </c>
      <c r="P126" s="4" t="str">
        <f t="shared" si="41"/>
        <v/>
      </c>
      <c r="Q126" s="4" t="str">
        <f t="shared" si="41"/>
        <v/>
      </c>
      <c r="R126" s="4" t="str">
        <f t="shared" si="41"/>
        <v/>
      </c>
      <c r="S126" s="4" t="str">
        <f t="shared" si="41"/>
        <v/>
      </c>
      <c r="T126" s="4" t="str">
        <f t="shared" si="41"/>
        <v/>
      </c>
      <c r="U126" s="4" t="str">
        <f t="shared" si="41"/>
        <v/>
      </c>
      <c r="V126" s="4" t="str">
        <f t="shared" si="41"/>
        <v/>
      </c>
      <c r="W126" s="4" t="str">
        <f t="shared" si="41"/>
        <v/>
      </c>
      <c r="X126" s="4" t="str">
        <f t="shared" si="41"/>
        <v/>
      </c>
      <c r="Y126" s="4" t="str">
        <f t="shared" si="41"/>
        <v/>
      </c>
      <c r="Z126" s="4" t="str">
        <f t="shared" si="41"/>
        <v/>
      </c>
    </row>
    <row r="127" spans="1:26" outlineLevel="1" x14ac:dyDescent="0.4">
      <c r="A127" s="1">
        <v>21</v>
      </c>
      <c r="B127" t="s">
        <v>61</v>
      </c>
      <c r="C127" t="s">
        <v>94</v>
      </c>
      <c r="D127" s="4">
        <f t="shared" si="23"/>
        <v>0.74178343913745859</v>
      </c>
      <c r="E127" s="4">
        <f t="shared" ref="E127:K127" si="42">IFERROR(E182/E$34*100,"")</f>
        <v>0.22217054812178691</v>
      </c>
      <c r="F127" s="4">
        <f t="shared" si="42"/>
        <v>0.31560329919832336</v>
      </c>
      <c r="G127" s="4" t="str">
        <f t="shared" si="42"/>
        <v/>
      </c>
      <c r="H127" s="4" t="str">
        <f t="shared" si="42"/>
        <v/>
      </c>
      <c r="I127" s="4" t="str">
        <f t="shared" si="42"/>
        <v/>
      </c>
      <c r="J127" s="4" t="str">
        <f t="shared" si="42"/>
        <v/>
      </c>
      <c r="K127" s="4" t="str">
        <f t="shared" si="42"/>
        <v/>
      </c>
      <c r="L127" s="4" t="str">
        <f t="shared" ref="L127:Z127" si="43">IFERROR(L182/L$34*100,"")</f>
        <v/>
      </c>
      <c r="M127" s="4" t="str">
        <f t="shared" si="43"/>
        <v/>
      </c>
      <c r="N127" s="4" t="str">
        <f t="shared" si="43"/>
        <v/>
      </c>
      <c r="O127" s="4" t="str">
        <f t="shared" si="43"/>
        <v/>
      </c>
      <c r="P127" s="4" t="str">
        <f t="shared" si="43"/>
        <v/>
      </c>
      <c r="Q127" s="4" t="str">
        <f t="shared" si="43"/>
        <v/>
      </c>
      <c r="R127" s="4" t="str">
        <f t="shared" si="43"/>
        <v/>
      </c>
      <c r="S127" s="4" t="str">
        <f t="shared" si="43"/>
        <v/>
      </c>
      <c r="T127" s="4" t="str">
        <f t="shared" si="43"/>
        <v/>
      </c>
      <c r="U127" s="4" t="str">
        <f t="shared" si="43"/>
        <v/>
      </c>
      <c r="V127" s="4" t="str">
        <f t="shared" si="43"/>
        <v/>
      </c>
      <c r="W127" s="4" t="str">
        <f t="shared" si="43"/>
        <v/>
      </c>
      <c r="X127" s="4" t="str">
        <f t="shared" si="43"/>
        <v/>
      </c>
      <c r="Y127" s="4" t="str">
        <f t="shared" si="43"/>
        <v/>
      </c>
      <c r="Z127" s="4" t="str">
        <f t="shared" si="43"/>
        <v/>
      </c>
    </row>
    <row r="128" spans="1:26" outlineLevel="1" x14ac:dyDescent="0.4">
      <c r="A128" s="1">
        <v>22</v>
      </c>
      <c r="B128" t="s">
        <v>62</v>
      </c>
      <c r="C128" t="s">
        <v>95</v>
      </c>
      <c r="D128" s="4">
        <f t="shared" si="23"/>
        <v>0.84624827161964822</v>
      </c>
      <c r="E128" s="4">
        <f t="shared" ref="E128:K128" si="44">IFERROR(E183/E$34*100,"")</f>
        <v>0.12890441358601967</v>
      </c>
      <c r="F128" s="4">
        <f t="shared" si="44"/>
        <v>0.37636246903619225</v>
      </c>
      <c r="G128" s="4" t="str">
        <f t="shared" si="44"/>
        <v/>
      </c>
      <c r="H128" s="4" t="str">
        <f t="shared" si="44"/>
        <v/>
      </c>
      <c r="I128" s="4" t="str">
        <f t="shared" si="44"/>
        <v/>
      </c>
      <c r="J128" s="4" t="str">
        <f t="shared" si="44"/>
        <v/>
      </c>
      <c r="K128" s="4" t="str">
        <f t="shared" si="44"/>
        <v/>
      </c>
      <c r="L128" s="4" t="str">
        <f t="shared" ref="L128:Z128" si="45">IFERROR(L183/L$34*100,"")</f>
        <v/>
      </c>
      <c r="M128" s="4" t="str">
        <f t="shared" si="45"/>
        <v/>
      </c>
      <c r="N128" s="4" t="str">
        <f t="shared" si="45"/>
        <v/>
      </c>
      <c r="O128" s="4" t="str">
        <f t="shared" si="45"/>
        <v/>
      </c>
      <c r="P128" s="4" t="str">
        <f t="shared" si="45"/>
        <v/>
      </c>
      <c r="Q128" s="4" t="str">
        <f t="shared" si="45"/>
        <v/>
      </c>
      <c r="R128" s="4" t="str">
        <f t="shared" si="45"/>
        <v/>
      </c>
      <c r="S128" s="4" t="str">
        <f t="shared" si="45"/>
        <v/>
      </c>
      <c r="T128" s="4" t="str">
        <f t="shared" si="45"/>
        <v/>
      </c>
      <c r="U128" s="4" t="str">
        <f t="shared" si="45"/>
        <v/>
      </c>
      <c r="V128" s="4" t="str">
        <f t="shared" si="45"/>
        <v/>
      </c>
      <c r="W128" s="4" t="str">
        <f t="shared" si="45"/>
        <v/>
      </c>
      <c r="X128" s="4" t="str">
        <f t="shared" si="45"/>
        <v/>
      </c>
      <c r="Y128" s="4" t="str">
        <f t="shared" si="45"/>
        <v/>
      </c>
      <c r="Z128" s="4" t="str">
        <f t="shared" si="45"/>
        <v/>
      </c>
    </row>
    <row r="129" spans="1:26" outlineLevel="1" x14ac:dyDescent="0.4">
      <c r="A129" s="1">
        <v>23</v>
      </c>
      <c r="B129" t="s">
        <v>63</v>
      </c>
      <c r="C129" t="s">
        <v>96</v>
      </c>
      <c r="D129" s="4">
        <f t="shared" si="23"/>
        <v>44.236838678034957</v>
      </c>
      <c r="E129" s="4">
        <f t="shared" ref="E129:K129" si="46">IFERROR(E184/E$34*100,"")</f>
        <v>43.429666213394945</v>
      </c>
      <c r="F129" s="4">
        <f t="shared" si="46"/>
        <v>45.295100154234817</v>
      </c>
      <c r="G129" s="4" t="str">
        <f t="shared" si="46"/>
        <v/>
      </c>
      <c r="H129" s="4" t="str">
        <f t="shared" si="46"/>
        <v/>
      </c>
      <c r="I129" s="4" t="str">
        <f t="shared" si="46"/>
        <v/>
      </c>
      <c r="J129" s="4" t="str">
        <f t="shared" si="46"/>
        <v/>
      </c>
      <c r="K129" s="4" t="str">
        <f t="shared" si="46"/>
        <v/>
      </c>
      <c r="L129" s="4" t="str">
        <f t="shared" ref="L129:Z129" si="47">IFERROR(L184/L$34*100,"")</f>
        <v/>
      </c>
      <c r="M129" s="4" t="str">
        <f t="shared" si="47"/>
        <v/>
      </c>
      <c r="N129" s="4" t="str">
        <f t="shared" si="47"/>
        <v/>
      </c>
      <c r="O129" s="4" t="str">
        <f t="shared" si="47"/>
        <v/>
      </c>
      <c r="P129" s="4" t="str">
        <f t="shared" si="47"/>
        <v/>
      </c>
      <c r="Q129" s="4" t="str">
        <f t="shared" si="47"/>
        <v/>
      </c>
      <c r="R129" s="4" t="str">
        <f t="shared" si="47"/>
        <v/>
      </c>
      <c r="S129" s="4" t="str">
        <f t="shared" si="47"/>
        <v/>
      </c>
      <c r="T129" s="4" t="str">
        <f t="shared" si="47"/>
        <v/>
      </c>
      <c r="U129" s="4" t="str">
        <f t="shared" si="47"/>
        <v/>
      </c>
      <c r="V129" s="4" t="str">
        <f t="shared" si="47"/>
        <v/>
      </c>
      <c r="W129" s="4" t="str">
        <f t="shared" si="47"/>
        <v/>
      </c>
      <c r="X129" s="4" t="str">
        <f t="shared" si="47"/>
        <v/>
      </c>
      <c r="Y129" s="4" t="str">
        <f t="shared" si="47"/>
        <v/>
      </c>
      <c r="Z129" s="4" t="str">
        <f t="shared" si="47"/>
        <v/>
      </c>
    </row>
    <row r="130" spans="1:26" outlineLevel="1" x14ac:dyDescent="0.4">
      <c r="A130" s="1">
        <v>24</v>
      </c>
      <c r="B130" s="2" t="s">
        <v>64</v>
      </c>
      <c r="C130" t="s">
        <v>88</v>
      </c>
      <c r="D130" s="4"/>
      <c r="E130" s="4"/>
      <c r="F130" s="4"/>
      <c r="G130" s="4"/>
      <c r="H130" s="4"/>
      <c r="I130" s="4"/>
      <c r="J130" s="4"/>
      <c r="K130" s="4"/>
      <c r="L130" s="4"/>
      <c r="M130" s="4"/>
      <c r="N130" s="4"/>
      <c r="O130" s="4"/>
      <c r="P130" s="4"/>
      <c r="Q130" s="4"/>
      <c r="R130" s="4"/>
      <c r="S130" s="4"/>
      <c r="T130" s="4"/>
      <c r="U130" s="4"/>
      <c r="V130" s="4"/>
      <c r="W130" s="4"/>
      <c r="X130" s="4"/>
      <c r="Y130" s="4"/>
      <c r="Z130" s="4"/>
    </row>
    <row r="131" spans="1:26" outlineLevel="1" x14ac:dyDescent="0.4">
      <c r="A131" s="1">
        <v>25</v>
      </c>
      <c r="B131" t="s">
        <v>65</v>
      </c>
      <c r="D131" s="4">
        <f>IFERROR(D129-D130,"")</f>
        <v>44.236838678034957</v>
      </c>
      <c r="E131" s="4">
        <f t="shared" ref="E131:K131" si="48">IFERROR(E129-E130,"")</f>
        <v>43.429666213394945</v>
      </c>
      <c r="F131" s="4">
        <f t="shared" si="48"/>
        <v>45.295100154234817</v>
      </c>
      <c r="G131" s="4" t="str">
        <f t="shared" si="48"/>
        <v/>
      </c>
      <c r="H131" s="4" t="str">
        <f t="shared" si="48"/>
        <v/>
      </c>
      <c r="I131" s="4" t="str">
        <f t="shared" si="48"/>
        <v/>
      </c>
      <c r="J131" s="4" t="str">
        <f t="shared" si="48"/>
        <v/>
      </c>
      <c r="K131" s="4" t="str">
        <f t="shared" si="48"/>
        <v/>
      </c>
      <c r="L131" s="4" t="str">
        <f t="shared" ref="L131" si="49">IFERROR(L129-L130,"")</f>
        <v/>
      </c>
      <c r="M131" s="4" t="str">
        <f t="shared" ref="M131" si="50">IFERROR(M129-M130,"")</f>
        <v/>
      </c>
      <c r="N131" s="4" t="str">
        <f t="shared" ref="N131" si="51">IFERROR(N129-N130,"")</f>
        <v/>
      </c>
      <c r="O131" s="4" t="str">
        <f t="shared" ref="O131" si="52">IFERROR(O129-O130,"")</f>
        <v/>
      </c>
      <c r="P131" s="4" t="str">
        <f t="shared" ref="P131" si="53">IFERROR(P129-P130,"")</f>
        <v/>
      </c>
      <c r="Q131" s="4" t="str">
        <f t="shared" ref="Q131" si="54">IFERROR(Q129-Q130,"")</f>
        <v/>
      </c>
      <c r="R131" s="4" t="str">
        <f t="shared" ref="R131" si="55">IFERROR(R129-R130,"")</f>
        <v/>
      </c>
      <c r="S131" s="4" t="str">
        <f t="shared" ref="S131" si="56">IFERROR(S129-S130,"")</f>
        <v/>
      </c>
      <c r="T131" s="4" t="str">
        <f t="shared" ref="T131" si="57">IFERROR(T129-T130,"")</f>
        <v/>
      </c>
      <c r="U131" s="4" t="str">
        <f t="shared" ref="U131" si="58">IFERROR(U129-U130,"")</f>
        <v/>
      </c>
      <c r="V131" s="4" t="str">
        <f t="shared" ref="V131" si="59">IFERROR(V129-V130,"")</f>
        <v/>
      </c>
      <c r="W131" s="4" t="str">
        <f t="shared" ref="W131" si="60">IFERROR(W129-W130,"")</f>
        <v/>
      </c>
      <c r="X131" s="4" t="str">
        <f t="shared" ref="X131" si="61">IFERROR(X129-X130,"")</f>
        <v/>
      </c>
      <c r="Y131" s="4" t="str">
        <f t="shared" ref="Y131" si="62">IFERROR(Y129-Y130,"")</f>
        <v/>
      </c>
      <c r="Z131" s="4" t="str">
        <f t="shared" ref="Z131" si="63">IFERROR(Z129-Z130,"")</f>
        <v/>
      </c>
    </row>
    <row r="132" spans="1:26" outlineLevel="1" x14ac:dyDescent="0.4">
      <c r="A132" s="1">
        <v>26</v>
      </c>
      <c r="B132" t="s">
        <v>703</v>
      </c>
      <c r="C132" t="s">
        <v>925</v>
      </c>
      <c r="D132" s="4">
        <f>IFERROR(D187/D$34*100,"")</f>
        <v>0</v>
      </c>
      <c r="E132" s="4">
        <f t="shared" ref="E132:K132" si="64">IFERROR(E187/E$34*100,"")</f>
        <v>0.3999828127448552</v>
      </c>
      <c r="F132" s="4">
        <f t="shared" si="64"/>
        <v>0.33860322786164621</v>
      </c>
      <c r="G132" s="4" t="str">
        <f t="shared" si="64"/>
        <v/>
      </c>
      <c r="H132" s="4" t="str">
        <f t="shared" si="64"/>
        <v/>
      </c>
      <c r="I132" s="4" t="str">
        <f t="shared" si="64"/>
        <v/>
      </c>
      <c r="J132" s="4" t="str">
        <f t="shared" si="64"/>
        <v/>
      </c>
      <c r="K132" s="4" t="str">
        <f t="shared" si="64"/>
        <v/>
      </c>
      <c r="L132" s="4" t="str">
        <f t="shared" ref="L132:Z132" si="65">IFERROR(L187/L$34*100,"")</f>
        <v/>
      </c>
      <c r="M132" s="4" t="str">
        <f t="shared" si="65"/>
        <v/>
      </c>
      <c r="N132" s="4" t="str">
        <f t="shared" si="65"/>
        <v/>
      </c>
      <c r="O132" s="4" t="str">
        <f t="shared" si="65"/>
        <v/>
      </c>
      <c r="P132" s="4" t="str">
        <f t="shared" si="65"/>
        <v/>
      </c>
      <c r="Q132" s="4" t="str">
        <f t="shared" si="65"/>
        <v/>
      </c>
      <c r="R132" s="4" t="str">
        <f t="shared" si="65"/>
        <v/>
      </c>
      <c r="S132" s="4" t="str">
        <f t="shared" si="65"/>
        <v/>
      </c>
      <c r="T132" s="4" t="str">
        <f t="shared" si="65"/>
        <v/>
      </c>
      <c r="U132" s="4" t="str">
        <f t="shared" si="65"/>
        <v/>
      </c>
      <c r="V132" s="4" t="str">
        <f t="shared" si="65"/>
        <v/>
      </c>
      <c r="W132" s="4" t="str">
        <f t="shared" si="65"/>
        <v/>
      </c>
      <c r="X132" s="4" t="str">
        <f t="shared" si="65"/>
        <v/>
      </c>
      <c r="Y132" s="4" t="str">
        <f t="shared" si="65"/>
        <v/>
      </c>
      <c r="Z132" s="4" t="str">
        <f t="shared" si="65"/>
        <v/>
      </c>
    </row>
    <row r="133" spans="1:26" outlineLevel="1" x14ac:dyDescent="0.4">
      <c r="A133" s="1">
        <v>27</v>
      </c>
      <c r="B133" t="s">
        <v>66</v>
      </c>
      <c r="C133" t="s">
        <v>924</v>
      </c>
      <c r="D133" s="4">
        <f>IFERROR(D188/D$34*100,"")</f>
        <v>0</v>
      </c>
      <c r="E133" s="4">
        <f t="shared" ref="E133:K133" si="66">IFERROR(E188/E$34*100,"")</f>
        <v>-3.189752351873664E-3</v>
      </c>
      <c r="F133" s="4">
        <f t="shared" si="66"/>
        <v>1.0255262309881604E-2</v>
      </c>
      <c r="G133" s="4" t="str">
        <f t="shared" si="66"/>
        <v/>
      </c>
      <c r="H133" s="4" t="str">
        <f t="shared" si="66"/>
        <v/>
      </c>
      <c r="I133" s="4" t="str">
        <f t="shared" si="66"/>
        <v/>
      </c>
      <c r="J133" s="4" t="str">
        <f t="shared" si="66"/>
        <v/>
      </c>
      <c r="K133" s="4" t="str">
        <f t="shared" si="66"/>
        <v/>
      </c>
      <c r="L133" s="4" t="str">
        <f t="shared" ref="L133:Z133" si="67">IFERROR(L188/L$34*100,"")</f>
        <v/>
      </c>
      <c r="M133" s="4" t="str">
        <f t="shared" si="67"/>
        <v/>
      </c>
      <c r="N133" s="4" t="str">
        <f t="shared" si="67"/>
        <v/>
      </c>
      <c r="O133" s="4" t="str">
        <f t="shared" si="67"/>
        <v/>
      </c>
      <c r="P133" s="4" t="str">
        <f t="shared" si="67"/>
        <v/>
      </c>
      <c r="Q133" s="4" t="str">
        <f t="shared" si="67"/>
        <v/>
      </c>
      <c r="R133" s="4" t="str">
        <f t="shared" si="67"/>
        <v/>
      </c>
      <c r="S133" s="4" t="str">
        <f t="shared" si="67"/>
        <v/>
      </c>
      <c r="T133" s="4" t="str">
        <f t="shared" si="67"/>
        <v/>
      </c>
      <c r="U133" s="4" t="str">
        <f t="shared" si="67"/>
        <v/>
      </c>
      <c r="V133" s="4" t="str">
        <f t="shared" si="67"/>
        <v/>
      </c>
      <c r="W133" s="4" t="str">
        <f t="shared" si="67"/>
        <v/>
      </c>
      <c r="X133" s="4" t="str">
        <f t="shared" si="67"/>
        <v/>
      </c>
      <c r="Y133" s="4" t="str">
        <f t="shared" si="67"/>
        <v/>
      </c>
      <c r="Z133" s="4" t="str">
        <f t="shared" si="67"/>
        <v/>
      </c>
    </row>
    <row r="134" spans="1:26" outlineLevel="1" x14ac:dyDescent="0.4">
      <c r="A134" s="1">
        <v>28</v>
      </c>
      <c r="B134" t="s">
        <v>67</v>
      </c>
      <c r="C134" t="s">
        <v>926</v>
      </c>
      <c r="D134" s="4">
        <f>IFERROR(D189/D$34*100,"")</f>
        <v>0</v>
      </c>
      <c r="E134" s="4">
        <f t="shared" ref="E134:K134" si="68">IFERROR(E189/E$34*100,"")</f>
        <v>0</v>
      </c>
      <c r="F134" s="4">
        <f t="shared" si="68"/>
        <v>0</v>
      </c>
      <c r="G134" s="4" t="str">
        <f t="shared" si="68"/>
        <v/>
      </c>
      <c r="H134" s="4" t="str">
        <f t="shared" si="68"/>
        <v/>
      </c>
      <c r="I134" s="4" t="str">
        <f t="shared" si="68"/>
        <v/>
      </c>
      <c r="J134" s="4" t="str">
        <f t="shared" si="68"/>
        <v/>
      </c>
      <c r="K134" s="4" t="str">
        <f t="shared" si="68"/>
        <v/>
      </c>
      <c r="L134" s="4" t="str">
        <f t="shared" ref="L134:Z134" si="69">IFERROR(L189/L$34*100,"")</f>
        <v/>
      </c>
      <c r="M134" s="4" t="str">
        <f t="shared" si="69"/>
        <v/>
      </c>
      <c r="N134" s="4" t="str">
        <f t="shared" si="69"/>
        <v/>
      </c>
      <c r="O134" s="4" t="str">
        <f t="shared" si="69"/>
        <v/>
      </c>
      <c r="P134" s="4" t="str">
        <f t="shared" si="69"/>
        <v/>
      </c>
      <c r="Q134" s="4" t="str">
        <f t="shared" si="69"/>
        <v/>
      </c>
      <c r="R134" s="4" t="str">
        <f t="shared" si="69"/>
        <v/>
      </c>
      <c r="S134" s="4" t="str">
        <f t="shared" si="69"/>
        <v/>
      </c>
      <c r="T134" s="4" t="str">
        <f t="shared" si="69"/>
        <v/>
      </c>
      <c r="U134" s="4" t="str">
        <f t="shared" si="69"/>
        <v/>
      </c>
      <c r="V134" s="4" t="str">
        <f t="shared" si="69"/>
        <v/>
      </c>
      <c r="W134" s="4" t="str">
        <f t="shared" si="69"/>
        <v/>
      </c>
      <c r="X134" s="4" t="str">
        <f t="shared" si="69"/>
        <v/>
      </c>
      <c r="Y134" s="4" t="str">
        <f t="shared" si="69"/>
        <v/>
      </c>
      <c r="Z134" s="4" t="str">
        <f t="shared" si="69"/>
        <v/>
      </c>
    </row>
    <row r="135" spans="1:26" outlineLevel="1" x14ac:dyDescent="0.4">
      <c r="A135" s="1">
        <v>29</v>
      </c>
      <c r="B135" t="s">
        <v>68</v>
      </c>
      <c r="C135" s="4"/>
      <c r="D135" s="4">
        <f>IFERROR(D131-D132-D133-D134-D120,"")</f>
        <v>43.729200553081718</v>
      </c>
      <c r="E135" s="4">
        <f t="shared" ref="E135:K135" si="70">IFERROR(E131-E132-E133-E134-E120,"")</f>
        <v>42.307722638142572</v>
      </c>
      <c r="F135" s="4">
        <f t="shared" si="70"/>
        <v>43.855774458025742</v>
      </c>
      <c r="G135" s="4" t="str">
        <f t="shared" si="70"/>
        <v/>
      </c>
      <c r="H135" s="4" t="str">
        <f t="shared" si="70"/>
        <v/>
      </c>
      <c r="I135" s="4" t="str">
        <f t="shared" si="70"/>
        <v/>
      </c>
      <c r="J135" s="4" t="str">
        <f t="shared" si="70"/>
        <v/>
      </c>
      <c r="K135" s="4" t="str">
        <f t="shared" si="70"/>
        <v/>
      </c>
      <c r="L135" s="4" t="str">
        <f t="shared" ref="L135" si="71">IFERROR(L131-L132-L133-L134-L120,"")</f>
        <v/>
      </c>
      <c r="M135" s="4" t="str">
        <f t="shared" ref="M135" si="72">IFERROR(M131-M132-M133-M134-M120,"")</f>
        <v/>
      </c>
      <c r="N135" s="4" t="str">
        <f t="shared" ref="N135" si="73">IFERROR(N131-N132-N133-N134-N120,"")</f>
        <v/>
      </c>
      <c r="O135" s="4" t="str">
        <f t="shared" ref="O135" si="74">IFERROR(O131-O132-O133-O134-O120,"")</f>
        <v/>
      </c>
      <c r="P135" s="4" t="str">
        <f t="shared" ref="P135" si="75">IFERROR(P131-P132-P133-P134-P120,"")</f>
        <v/>
      </c>
      <c r="Q135" s="4" t="str">
        <f t="shared" ref="Q135" si="76">IFERROR(Q131-Q132-Q133-Q134-Q120,"")</f>
        <v/>
      </c>
      <c r="R135" s="4" t="str">
        <f t="shared" ref="R135" si="77">IFERROR(R131-R132-R133-R134-R120,"")</f>
        <v/>
      </c>
      <c r="S135" s="4" t="str">
        <f t="shared" ref="S135" si="78">IFERROR(S131-S132-S133-S134-S120,"")</f>
        <v/>
      </c>
      <c r="T135" s="4" t="str">
        <f t="shared" ref="T135" si="79">IFERROR(T131-T132-T133-T134-T120,"")</f>
        <v/>
      </c>
      <c r="U135" s="4" t="str">
        <f t="shared" ref="U135" si="80">IFERROR(U131-U132-U133-U134-U120,"")</f>
        <v/>
      </c>
      <c r="V135" s="4" t="str">
        <f t="shared" ref="V135" si="81">IFERROR(V131-V132-V133-V134-V120,"")</f>
        <v/>
      </c>
      <c r="W135" s="4" t="str">
        <f t="shared" ref="W135" si="82">IFERROR(W131-W132-W133-W134-W120,"")</f>
        <v/>
      </c>
      <c r="X135" s="4" t="str">
        <f t="shared" ref="X135" si="83">IFERROR(X131-X132-X133-X134-X120,"")</f>
        <v/>
      </c>
      <c r="Y135" s="4" t="str">
        <f t="shared" ref="Y135" si="84">IFERROR(Y131-Y132-Y133-Y134-Y120,"")</f>
        <v/>
      </c>
      <c r="Z135" s="4" t="str">
        <f t="shared" ref="Z135" si="85">IFERROR(Z131-Z132-Z133-Z134-Z120,"")</f>
        <v/>
      </c>
    </row>
    <row r="136" spans="1:26" outlineLevel="1" x14ac:dyDescent="0.4">
      <c r="A136" s="1"/>
      <c r="B136" s="1" t="s">
        <v>44</v>
      </c>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outlineLevel="1" x14ac:dyDescent="0.4">
      <c r="A137" s="1"/>
      <c r="D137" s="4"/>
      <c r="E137" s="4"/>
      <c r="F137" s="4"/>
      <c r="G137" s="4"/>
      <c r="H137" s="4"/>
      <c r="I137" s="4"/>
      <c r="J137" s="4"/>
      <c r="K137" s="4"/>
      <c r="L137" s="4"/>
      <c r="M137" s="4"/>
      <c r="N137" s="4"/>
      <c r="O137" s="4"/>
      <c r="P137" s="4"/>
      <c r="Q137" s="4"/>
      <c r="R137" s="4"/>
      <c r="S137" s="4"/>
      <c r="T137" s="4"/>
      <c r="U137" s="4"/>
      <c r="V137" s="4"/>
      <c r="W137" s="4"/>
      <c r="X137" s="4"/>
      <c r="Y137" s="4"/>
      <c r="Z137" s="4"/>
    </row>
    <row r="138" spans="1:26" outlineLevel="1" x14ac:dyDescent="0.4">
      <c r="A138" s="1"/>
      <c r="B138" s="1" t="s">
        <v>69</v>
      </c>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outlineLevel="1" x14ac:dyDescent="0.4">
      <c r="A139" s="1"/>
      <c r="B139" t="s">
        <v>70</v>
      </c>
      <c r="C139" t="s">
        <v>33</v>
      </c>
      <c r="D139" s="4">
        <f>IFERROR(D194/D$34*100,"")</f>
        <v>-4.8588616381305005</v>
      </c>
      <c r="E139" s="4">
        <f t="shared" ref="E139:K139" si="86">IFERROR(E194/E$34*100,"")</f>
        <v>-2.342774528487884</v>
      </c>
      <c r="F139" s="4">
        <f t="shared" si="86"/>
        <v>-1.7868607680254289</v>
      </c>
      <c r="G139" s="4" t="str">
        <f t="shared" si="86"/>
        <v/>
      </c>
      <c r="H139" s="4" t="str">
        <f t="shared" si="86"/>
        <v/>
      </c>
      <c r="I139" s="4" t="str">
        <f t="shared" si="86"/>
        <v/>
      </c>
      <c r="J139" s="4" t="str">
        <f t="shared" si="86"/>
        <v/>
      </c>
      <c r="K139" s="4" t="str">
        <f t="shared" si="86"/>
        <v/>
      </c>
      <c r="L139" s="4" t="str">
        <f t="shared" ref="L139:Z139" si="87">IFERROR(L194/L$34*100,"")</f>
        <v/>
      </c>
      <c r="M139" s="4" t="str">
        <f t="shared" si="87"/>
        <v/>
      </c>
      <c r="N139" s="4" t="str">
        <f t="shared" si="87"/>
        <v/>
      </c>
      <c r="O139" s="4" t="str">
        <f t="shared" si="87"/>
        <v/>
      </c>
      <c r="P139" s="4" t="str">
        <f t="shared" si="87"/>
        <v/>
      </c>
      <c r="Q139" s="4" t="str">
        <f t="shared" si="87"/>
        <v/>
      </c>
      <c r="R139" s="4" t="str">
        <f t="shared" si="87"/>
        <v/>
      </c>
      <c r="S139" s="4" t="str">
        <f t="shared" si="87"/>
        <v/>
      </c>
      <c r="T139" s="4" t="str">
        <f t="shared" si="87"/>
        <v/>
      </c>
      <c r="U139" s="4" t="str">
        <f t="shared" si="87"/>
        <v/>
      </c>
      <c r="V139" s="4" t="str">
        <f t="shared" si="87"/>
        <v/>
      </c>
      <c r="W139" s="4" t="str">
        <f t="shared" si="87"/>
        <v/>
      </c>
      <c r="X139" s="4" t="str">
        <f t="shared" si="87"/>
        <v/>
      </c>
      <c r="Y139" s="4" t="str">
        <f t="shared" si="87"/>
        <v/>
      </c>
      <c r="Z139" s="4" t="str">
        <f t="shared" si="87"/>
        <v/>
      </c>
    </row>
    <row r="140" spans="1:26" outlineLevel="1" x14ac:dyDescent="0.4">
      <c r="A140" s="1"/>
      <c r="B140" t="s">
        <v>71</v>
      </c>
      <c r="C140" t="s">
        <v>97</v>
      </c>
      <c r="D140" s="4">
        <f>IFERROR(D195/D$34*100,"")</f>
        <v>-5.3664997630837412</v>
      </c>
      <c r="E140" s="4">
        <f t="shared" ref="E140:K140" si="88">IFERROR(E195/E$34*100,"")</f>
        <v>-3.0679250433472771</v>
      </c>
      <c r="F140" s="4">
        <f t="shared" si="88"/>
        <v>-2.8773279740629714</v>
      </c>
      <c r="G140" s="4" t="str">
        <f t="shared" si="88"/>
        <v/>
      </c>
      <c r="H140" s="4" t="str">
        <f t="shared" si="88"/>
        <v/>
      </c>
      <c r="I140" s="4" t="str">
        <f t="shared" si="88"/>
        <v/>
      </c>
      <c r="J140" s="4" t="str">
        <f t="shared" si="88"/>
        <v/>
      </c>
      <c r="K140" s="4" t="str">
        <f t="shared" si="88"/>
        <v/>
      </c>
      <c r="L140" s="4" t="str">
        <f t="shared" ref="L140:Z140" si="89">IFERROR(L195/L$34*100,"")</f>
        <v/>
      </c>
      <c r="M140" s="4" t="str">
        <f t="shared" si="89"/>
        <v/>
      </c>
      <c r="N140" s="4" t="str">
        <f t="shared" si="89"/>
        <v/>
      </c>
      <c r="O140" s="4" t="str">
        <f t="shared" si="89"/>
        <v/>
      </c>
      <c r="P140" s="4" t="str">
        <f t="shared" si="89"/>
        <v/>
      </c>
      <c r="Q140" s="4" t="str">
        <f t="shared" si="89"/>
        <v/>
      </c>
      <c r="R140" s="4" t="str">
        <f t="shared" si="89"/>
        <v/>
      </c>
      <c r="S140" s="4" t="str">
        <f t="shared" si="89"/>
        <v/>
      </c>
      <c r="T140" s="4" t="str">
        <f t="shared" si="89"/>
        <v/>
      </c>
      <c r="U140" s="4" t="str">
        <f t="shared" si="89"/>
        <v/>
      </c>
      <c r="V140" s="4" t="str">
        <f t="shared" si="89"/>
        <v/>
      </c>
      <c r="W140" s="4" t="str">
        <f t="shared" si="89"/>
        <v/>
      </c>
      <c r="X140" s="4" t="str">
        <f t="shared" si="89"/>
        <v/>
      </c>
      <c r="Y140" s="4" t="str">
        <f t="shared" si="89"/>
        <v/>
      </c>
      <c r="Z140" s="4" t="str">
        <f t="shared" si="89"/>
        <v/>
      </c>
    </row>
    <row r="141" spans="1:26" outlineLevel="1" x14ac:dyDescent="0.4">
      <c r="A141" s="1"/>
      <c r="B141" s="1" t="s">
        <v>72</v>
      </c>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outlineLevel="1" x14ac:dyDescent="0.4">
      <c r="A142" s="1"/>
      <c r="B142" t="s">
        <v>0</v>
      </c>
      <c r="C142" t="s">
        <v>704</v>
      </c>
      <c r="D142" s="4">
        <f>IFERROR(D98,"")</f>
        <v>-5.33019</v>
      </c>
      <c r="E142" s="4">
        <f t="shared" ref="E142:K142" si="90">IFERROR(E98,"")</f>
        <v>-2.1063200000000002</v>
      </c>
      <c r="F142" s="4">
        <f t="shared" si="90"/>
        <v>-1.548</v>
      </c>
      <c r="G142" s="4">
        <f t="shared" si="90"/>
        <v>0</v>
      </c>
      <c r="H142" s="4">
        <f t="shared" si="90"/>
        <v>0</v>
      </c>
      <c r="I142" s="4">
        <f t="shared" si="90"/>
        <v>0</v>
      </c>
      <c r="J142" s="4">
        <f t="shared" si="90"/>
        <v>0</v>
      </c>
      <c r="K142" s="4">
        <f t="shared" si="90"/>
        <v>0</v>
      </c>
      <c r="L142" s="4">
        <f t="shared" ref="L142:Z142" si="91">IFERROR(L98,"")</f>
        <v>0</v>
      </c>
      <c r="M142" s="4">
        <f t="shared" si="91"/>
        <v>0</v>
      </c>
      <c r="N142" s="4">
        <f t="shared" si="91"/>
        <v>0</v>
      </c>
      <c r="O142" s="4">
        <f t="shared" si="91"/>
        <v>0</v>
      </c>
      <c r="P142" s="4">
        <f t="shared" si="91"/>
        <v>0</v>
      </c>
      <c r="Q142" s="4">
        <f t="shared" si="91"/>
        <v>0</v>
      </c>
      <c r="R142" s="4">
        <f t="shared" si="91"/>
        <v>0</v>
      </c>
      <c r="S142" s="4">
        <f t="shared" si="91"/>
        <v>0</v>
      </c>
      <c r="T142" s="4">
        <f t="shared" si="91"/>
        <v>0</v>
      </c>
      <c r="U142" s="4">
        <f t="shared" si="91"/>
        <v>0</v>
      </c>
      <c r="V142" s="4">
        <f t="shared" si="91"/>
        <v>0</v>
      </c>
      <c r="W142" s="4">
        <f t="shared" si="91"/>
        <v>0</v>
      </c>
      <c r="X142" s="4">
        <f t="shared" si="91"/>
        <v>0</v>
      </c>
      <c r="Y142" s="4">
        <f t="shared" si="91"/>
        <v>0</v>
      </c>
      <c r="Z142" s="4">
        <f t="shared" si="91"/>
        <v>0</v>
      </c>
    </row>
    <row r="143" spans="1:26" outlineLevel="1" x14ac:dyDescent="0.4">
      <c r="A143" s="1"/>
      <c r="B143" t="s">
        <v>3</v>
      </c>
      <c r="C143" t="s">
        <v>705</v>
      </c>
      <c r="D143" s="4">
        <f>IFERROR(D99,"")</f>
        <v>-4.8225800000000003</v>
      </c>
      <c r="E143" s="4">
        <f t="shared" ref="E143:K143" si="92">IFERROR(E99,"")</f>
        <v>-1.38124</v>
      </c>
      <c r="F143" s="4">
        <f t="shared" si="92"/>
        <v>-0.44949</v>
      </c>
      <c r="G143" s="4">
        <f t="shared" si="92"/>
        <v>0</v>
      </c>
      <c r="H143" s="4">
        <f t="shared" si="92"/>
        <v>0</v>
      </c>
      <c r="I143" s="4">
        <f t="shared" si="92"/>
        <v>0</v>
      </c>
      <c r="J143" s="4">
        <f t="shared" si="92"/>
        <v>0</v>
      </c>
      <c r="K143" s="4">
        <f t="shared" si="92"/>
        <v>0</v>
      </c>
      <c r="L143" s="4">
        <f t="shared" ref="L143:Z143" si="93">IFERROR(L99,"")</f>
        <v>0</v>
      </c>
      <c r="M143" s="4">
        <f t="shared" si="93"/>
        <v>0</v>
      </c>
      <c r="N143" s="4">
        <f t="shared" si="93"/>
        <v>0</v>
      </c>
      <c r="O143" s="4">
        <f t="shared" si="93"/>
        <v>0</v>
      </c>
      <c r="P143" s="4">
        <f t="shared" si="93"/>
        <v>0</v>
      </c>
      <c r="Q143" s="4">
        <f t="shared" si="93"/>
        <v>0</v>
      </c>
      <c r="R143" s="4">
        <f t="shared" si="93"/>
        <v>0</v>
      </c>
      <c r="S143" s="4">
        <f t="shared" si="93"/>
        <v>0</v>
      </c>
      <c r="T143" s="4">
        <f t="shared" si="93"/>
        <v>0</v>
      </c>
      <c r="U143" s="4">
        <f t="shared" si="93"/>
        <v>0</v>
      </c>
      <c r="V143" s="4">
        <f t="shared" si="93"/>
        <v>0</v>
      </c>
      <c r="W143" s="4">
        <f t="shared" si="93"/>
        <v>0</v>
      </c>
      <c r="X143" s="4">
        <f t="shared" si="93"/>
        <v>0</v>
      </c>
      <c r="Y143" s="4">
        <f t="shared" si="93"/>
        <v>0</v>
      </c>
      <c r="Z143" s="4">
        <f t="shared" si="93"/>
        <v>0</v>
      </c>
    </row>
    <row r="144" spans="1:26" outlineLevel="1" x14ac:dyDescent="0.4">
      <c r="A144" s="1"/>
      <c r="B144" s="1" t="s">
        <v>20</v>
      </c>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outlineLevel="1" x14ac:dyDescent="0.4">
      <c r="A145" s="1"/>
      <c r="B145" t="s">
        <v>1</v>
      </c>
      <c r="D145" s="4">
        <f>IFERROR(D200/D$34*100,"")</f>
        <v>44.442997392535617</v>
      </c>
      <c r="E145" s="4">
        <f t="shared" ref="E145:K145" si="94">IFERROR(E200/E$34*100,"")</f>
        <v>44.430318318075436</v>
      </c>
      <c r="F145" s="4">
        <f t="shared" si="94"/>
        <v>46.249535696627248</v>
      </c>
      <c r="G145" s="4" t="str">
        <f t="shared" si="94"/>
        <v/>
      </c>
      <c r="H145" s="4" t="str">
        <f t="shared" si="94"/>
        <v/>
      </c>
      <c r="I145" s="4" t="str">
        <f t="shared" si="94"/>
        <v/>
      </c>
      <c r="J145" s="4" t="str">
        <f t="shared" si="94"/>
        <v/>
      </c>
      <c r="K145" s="4" t="str">
        <f t="shared" si="94"/>
        <v/>
      </c>
      <c r="L145" s="4" t="str">
        <f t="shared" ref="L145:Z145" si="95">IFERROR(L200/L$34*100,"")</f>
        <v/>
      </c>
      <c r="M145" s="4" t="str">
        <f t="shared" si="95"/>
        <v/>
      </c>
      <c r="N145" s="4" t="str">
        <f t="shared" si="95"/>
        <v/>
      </c>
      <c r="O145" s="4" t="str">
        <f t="shared" si="95"/>
        <v/>
      </c>
      <c r="P145" s="4" t="str">
        <f t="shared" si="95"/>
        <v/>
      </c>
      <c r="Q145" s="4" t="str">
        <f t="shared" si="95"/>
        <v/>
      </c>
      <c r="R145" s="4" t="str">
        <f t="shared" si="95"/>
        <v/>
      </c>
      <c r="S145" s="4" t="str">
        <f t="shared" si="95"/>
        <v/>
      </c>
      <c r="T145" s="4" t="str">
        <f t="shared" si="95"/>
        <v/>
      </c>
      <c r="U145" s="4" t="str">
        <f t="shared" si="95"/>
        <v/>
      </c>
      <c r="V145" s="4" t="str">
        <f t="shared" si="95"/>
        <v/>
      </c>
      <c r="W145" s="4" t="str">
        <f t="shared" si="95"/>
        <v/>
      </c>
      <c r="X145" s="4" t="str">
        <f t="shared" si="95"/>
        <v/>
      </c>
      <c r="Y145" s="4" t="str">
        <f t="shared" si="95"/>
        <v/>
      </c>
      <c r="Z145" s="4" t="str">
        <f t="shared" si="95"/>
        <v/>
      </c>
    </row>
    <row r="146" spans="1:26" outlineLevel="1" x14ac:dyDescent="0.4">
      <c r="A146" s="1"/>
      <c r="B146" t="s">
        <v>2</v>
      </c>
      <c r="D146" s="4">
        <f>IFERROR(D201/D$34*100,"")</f>
        <v>0</v>
      </c>
      <c r="E146" s="4">
        <f t="shared" ref="E146:K146" si="96">IFERROR(E201/E$34*100,"")</f>
        <v>3.8913967677850185</v>
      </c>
      <c r="F146" s="4">
        <f t="shared" si="96"/>
        <v>3.0084398668710008</v>
      </c>
      <c r="G146" s="4" t="str">
        <f t="shared" si="96"/>
        <v/>
      </c>
      <c r="H146" s="4" t="str">
        <f t="shared" si="96"/>
        <v/>
      </c>
      <c r="I146" s="4" t="str">
        <f t="shared" si="96"/>
        <v/>
      </c>
      <c r="J146" s="4" t="str">
        <f t="shared" si="96"/>
        <v/>
      </c>
      <c r="K146" s="4" t="str">
        <f t="shared" si="96"/>
        <v/>
      </c>
      <c r="L146" s="4" t="str">
        <f t="shared" ref="L146:Z146" si="97">IFERROR(L201/L$34*100,"")</f>
        <v/>
      </c>
      <c r="M146" s="4" t="str">
        <f t="shared" si="97"/>
        <v/>
      </c>
      <c r="N146" s="4" t="str">
        <f t="shared" si="97"/>
        <v/>
      </c>
      <c r="O146" s="4" t="str">
        <f t="shared" si="97"/>
        <v/>
      </c>
      <c r="P146" s="4" t="str">
        <f t="shared" si="97"/>
        <v/>
      </c>
      <c r="Q146" s="4" t="str">
        <f t="shared" si="97"/>
        <v/>
      </c>
      <c r="R146" s="4" t="str">
        <f t="shared" si="97"/>
        <v/>
      </c>
      <c r="S146" s="4" t="str">
        <f t="shared" si="97"/>
        <v/>
      </c>
      <c r="T146" s="4" t="str">
        <f t="shared" si="97"/>
        <v/>
      </c>
      <c r="U146" s="4" t="str">
        <f t="shared" si="97"/>
        <v/>
      </c>
      <c r="V146" s="4" t="str">
        <f t="shared" si="97"/>
        <v/>
      </c>
      <c r="W146" s="4" t="str">
        <f t="shared" si="97"/>
        <v/>
      </c>
      <c r="X146" s="4" t="str">
        <f t="shared" si="97"/>
        <v/>
      </c>
      <c r="Y146" s="4" t="str">
        <f t="shared" si="97"/>
        <v/>
      </c>
      <c r="Z146" s="4" t="str">
        <f t="shared" si="97"/>
        <v/>
      </c>
    </row>
    <row r="147" spans="1:26" outlineLevel="1" x14ac:dyDescent="0.4">
      <c r="A147" s="1"/>
      <c r="B147" t="s">
        <v>73</v>
      </c>
      <c r="D147" s="4"/>
      <c r="E147" s="4"/>
      <c r="F147" s="4"/>
      <c r="G147" s="4"/>
      <c r="H147" s="4"/>
      <c r="I147" s="4"/>
      <c r="J147" s="4"/>
      <c r="K147" s="4"/>
      <c r="L147" s="4"/>
      <c r="M147" s="4"/>
      <c r="N147" s="4"/>
      <c r="O147" s="4"/>
      <c r="P147" s="4"/>
      <c r="Q147" s="4"/>
      <c r="R147" s="4"/>
      <c r="S147" s="4"/>
      <c r="T147" s="4"/>
      <c r="U147" s="4"/>
      <c r="V147" s="4"/>
      <c r="W147" s="4"/>
      <c r="X147" s="4"/>
      <c r="Y147" s="4"/>
      <c r="Z147" s="4"/>
    </row>
    <row r="148" spans="1:26" outlineLevel="1" x14ac:dyDescent="0.4">
      <c r="A148" s="1"/>
      <c r="B148" t="s">
        <v>74</v>
      </c>
      <c r="D148" s="4">
        <f t="shared" ref="D148:D153" si="98">IFERROR(D203/D$34*100,"")</f>
        <v>5.3664997630837412</v>
      </c>
      <c r="E148" s="4">
        <f t="shared" ref="E148:K148" si="99">IFERROR(E203/E$34*100,"")</f>
        <v>3.0679250433472771</v>
      </c>
      <c r="F148" s="4">
        <f t="shared" si="99"/>
        <v>2.8773279740629714</v>
      </c>
      <c r="G148" s="4" t="str">
        <f t="shared" si="99"/>
        <v/>
      </c>
      <c r="H148" s="4" t="str">
        <f t="shared" si="99"/>
        <v/>
      </c>
      <c r="I148" s="4" t="str">
        <f t="shared" si="99"/>
        <v/>
      </c>
      <c r="J148" s="4" t="str">
        <f t="shared" si="99"/>
        <v/>
      </c>
      <c r="K148" s="4" t="str">
        <f t="shared" si="99"/>
        <v/>
      </c>
      <c r="L148" s="4" t="str">
        <f t="shared" ref="L148:Z148" si="100">IFERROR(L203/L$34*100,"")</f>
        <v/>
      </c>
      <c r="M148" s="4" t="str">
        <f t="shared" si="100"/>
        <v/>
      </c>
      <c r="N148" s="4" t="str">
        <f t="shared" si="100"/>
        <v/>
      </c>
      <c r="O148" s="4" t="str">
        <f t="shared" si="100"/>
        <v/>
      </c>
      <c r="P148" s="4" t="str">
        <f t="shared" si="100"/>
        <v/>
      </c>
      <c r="Q148" s="4" t="str">
        <f t="shared" si="100"/>
        <v/>
      </c>
      <c r="R148" s="4" t="str">
        <f t="shared" si="100"/>
        <v/>
      </c>
      <c r="S148" s="4" t="str">
        <f t="shared" si="100"/>
        <v/>
      </c>
      <c r="T148" s="4" t="str">
        <f t="shared" si="100"/>
        <v/>
      </c>
      <c r="U148" s="4" t="str">
        <f t="shared" si="100"/>
        <v/>
      </c>
      <c r="V148" s="4" t="str">
        <f t="shared" si="100"/>
        <v/>
      </c>
      <c r="W148" s="4" t="str">
        <f t="shared" si="100"/>
        <v/>
      </c>
      <c r="X148" s="4" t="str">
        <f t="shared" si="100"/>
        <v/>
      </c>
      <c r="Y148" s="4" t="str">
        <f t="shared" si="100"/>
        <v/>
      </c>
      <c r="Z148" s="4" t="str">
        <f t="shared" si="100"/>
        <v/>
      </c>
    </row>
    <row r="149" spans="1:26" outlineLevel="1" x14ac:dyDescent="0.4">
      <c r="A149" s="1"/>
      <c r="B149" t="s">
        <v>75</v>
      </c>
      <c r="D149" s="4">
        <f t="shared" si="98"/>
        <v>0</v>
      </c>
      <c r="E149" s="4">
        <f t="shared" ref="E149:K149" si="101">IFERROR(E204/E$34*100,"")</f>
        <v>0</v>
      </c>
      <c r="F149" s="4">
        <f t="shared" si="101"/>
        <v>0</v>
      </c>
      <c r="G149" s="4" t="str">
        <f t="shared" si="101"/>
        <v/>
      </c>
      <c r="H149" s="4" t="str">
        <f t="shared" si="101"/>
        <v/>
      </c>
      <c r="I149" s="4" t="str">
        <f t="shared" si="101"/>
        <v/>
      </c>
      <c r="J149" s="4" t="str">
        <f t="shared" si="101"/>
        <v/>
      </c>
      <c r="K149" s="4" t="str">
        <f t="shared" si="101"/>
        <v/>
      </c>
      <c r="L149" s="4" t="str">
        <f t="shared" ref="L149:Z149" si="102">IFERROR(L204/L$34*100,"")</f>
        <v/>
      </c>
      <c r="M149" s="4" t="str">
        <f t="shared" si="102"/>
        <v/>
      </c>
      <c r="N149" s="4" t="str">
        <f t="shared" si="102"/>
        <v/>
      </c>
      <c r="O149" s="4" t="str">
        <f t="shared" si="102"/>
        <v/>
      </c>
      <c r="P149" s="4" t="str">
        <f t="shared" si="102"/>
        <v/>
      </c>
      <c r="Q149" s="4" t="str">
        <f t="shared" si="102"/>
        <v/>
      </c>
      <c r="R149" s="4" t="str">
        <f t="shared" si="102"/>
        <v/>
      </c>
      <c r="S149" s="4" t="str">
        <f t="shared" si="102"/>
        <v/>
      </c>
      <c r="T149" s="4" t="str">
        <f t="shared" si="102"/>
        <v/>
      </c>
      <c r="U149" s="4" t="str">
        <f t="shared" si="102"/>
        <v/>
      </c>
      <c r="V149" s="4" t="str">
        <f t="shared" si="102"/>
        <v/>
      </c>
      <c r="W149" s="4" t="str">
        <f t="shared" si="102"/>
        <v/>
      </c>
      <c r="X149" s="4" t="str">
        <f t="shared" si="102"/>
        <v/>
      </c>
      <c r="Y149" s="4" t="str">
        <f t="shared" si="102"/>
        <v/>
      </c>
      <c r="Z149" s="4" t="str">
        <f t="shared" si="102"/>
        <v/>
      </c>
    </row>
    <row r="150" spans="1:26" outlineLevel="1" x14ac:dyDescent="0.4">
      <c r="A150" s="1"/>
      <c r="B150" t="s">
        <v>76</v>
      </c>
      <c r="D150" s="4">
        <f t="shared" si="98"/>
        <v>0.50763812495324023</v>
      </c>
      <c r="E150" s="4">
        <f t="shared" ref="E150:K150" si="103">IFERROR(E205/E$34*100,"")</f>
        <v>0.72515051485939308</v>
      </c>
      <c r="F150" s="4">
        <f t="shared" si="103"/>
        <v>1.0904672060375427</v>
      </c>
      <c r="G150" s="4" t="str">
        <f t="shared" si="103"/>
        <v/>
      </c>
      <c r="H150" s="4" t="str">
        <f t="shared" si="103"/>
        <v/>
      </c>
      <c r="I150" s="4" t="str">
        <f t="shared" si="103"/>
        <v/>
      </c>
      <c r="J150" s="4" t="str">
        <f t="shared" si="103"/>
        <v/>
      </c>
      <c r="K150" s="4" t="str">
        <f t="shared" si="103"/>
        <v/>
      </c>
      <c r="L150" s="4" t="str">
        <f t="shared" ref="L150:Z150" si="104">IFERROR(L205/L$34*100,"")</f>
        <v/>
      </c>
      <c r="M150" s="4" t="str">
        <f t="shared" si="104"/>
        <v/>
      </c>
      <c r="N150" s="4" t="str">
        <f t="shared" si="104"/>
        <v/>
      </c>
      <c r="O150" s="4" t="str">
        <f t="shared" si="104"/>
        <v/>
      </c>
      <c r="P150" s="4" t="str">
        <f t="shared" si="104"/>
        <v/>
      </c>
      <c r="Q150" s="4" t="str">
        <f t="shared" si="104"/>
        <v/>
      </c>
      <c r="R150" s="4" t="str">
        <f t="shared" si="104"/>
        <v/>
      </c>
      <c r="S150" s="4" t="str">
        <f t="shared" si="104"/>
        <v/>
      </c>
      <c r="T150" s="4" t="str">
        <f t="shared" si="104"/>
        <v/>
      </c>
      <c r="U150" s="4" t="str">
        <f t="shared" si="104"/>
        <v/>
      </c>
      <c r="V150" s="4" t="str">
        <f t="shared" si="104"/>
        <v/>
      </c>
      <c r="W150" s="4" t="str">
        <f t="shared" si="104"/>
        <v/>
      </c>
      <c r="X150" s="4" t="str">
        <f t="shared" si="104"/>
        <v/>
      </c>
      <c r="Y150" s="4" t="str">
        <f t="shared" si="104"/>
        <v/>
      </c>
      <c r="Z150" s="4" t="str">
        <f t="shared" si="104"/>
        <v/>
      </c>
    </row>
    <row r="151" spans="1:26" outlineLevel="1" x14ac:dyDescent="0.4">
      <c r="A151" s="1"/>
      <c r="B151" t="s">
        <v>77</v>
      </c>
      <c r="D151" s="4">
        <f t="shared" si="98"/>
        <v>0</v>
      </c>
      <c r="E151" s="4">
        <f t="shared" ref="E151:K151" si="105">IFERROR(E206/E$34*100,"")</f>
        <v>0</v>
      </c>
      <c r="F151" s="4">
        <f t="shared" si="105"/>
        <v>0</v>
      </c>
      <c r="G151" s="4" t="str">
        <f t="shared" si="105"/>
        <v/>
      </c>
      <c r="H151" s="4" t="str">
        <f t="shared" si="105"/>
        <v/>
      </c>
      <c r="I151" s="4" t="str">
        <f t="shared" si="105"/>
        <v/>
      </c>
      <c r="J151" s="4" t="str">
        <f t="shared" si="105"/>
        <v/>
      </c>
      <c r="K151" s="4" t="str">
        <f t="shared" si="105"/>
        <v/>
      </c>
      <c r="L151" s="4" t="str">
        <f t="shared" ref="L151:Z151" si="106">IFERROR(L206/L$34*100,"")</f>
        <v/>
      </c>
      <c r="M151" s="4" t="str">
        <f t="shared" si="106"/>
        <v/>
      </c>
      <c r="N151" s="4" t="str">
        <f t="shared" si="106"/>
        <v/>
      </c>
      <c r="O151" s="4" t="str">
        <f t="shared" si="106"/>
        <v/>
      </c>
      <c r="P151" s="4" t="str">
        <f t="shared" si="106"/>
        <v/>
      </c>
      <c r="Q151" s="4" t="str">
        <f t="shared" si="106"/>
        <v/>
      </c>
      <c r="R151" s="4" t="str">
        <f t="shared" si="106"/>
        <v/>
      </c>
      <c r="S151" s="4" t="str">
        <f t="shared" si="106"/>
        <v/>
      </c>
      <c r="T151" s="4" t="str">
        <f t="shared" si="106"/>
        <v/>
      </c>
      <c r="U151" s="4" t="str">
        <f t="shared" si="106"/>
        <v/>
      </c>
      <c r="V151" s="4" t="str">
        <f t="shared" si="106"/>
        <v/>
      </c>
      <c r="W151" s="4" t="str">
        <f t="shared" si="106"/>
        <v/>
      </c>
      <c r="X151" s="4" t="str">
        <f t="shared" si="106"/>
        <v/>
      </c>
      <c r="Y151" s="4" t="str">
        <f t="shared" si="106"/>
        <v/>
      </c>
      <c r="Z151" s="4" t="str">
        <f t="shared" si="106"/>
        <v/>
      </c>
    </row>
    <row r="152" spans="1:26" outlineLevel="1" x14ac:dyDescent="0.4">
      <c r="A152" s="1"/>
      <c r="B152" t="s">
        <v>78</v>
      </c>
      <c r="D152" s="4">
        <f t="shared" si="98"/>
        <v>0</v>
      </c>
      <c r="E152" s="4">
        <f t="shared" ref="E152:K152" si="107">IFERROR(E207/E$34*100,"")</f>
        <v>0</v>
      </c>
      <c r="F152" s="4">
        <f t="shared" si="107"/>
        <v>0</v>
      </c>
      <c r="G152" s="4" t="str">
        <f t="shared" si="107"/>
        <v/>
      </c>
      <c r="H152" s="4" t="str">
        <f t="shared" si="107"/>
        <v/>
      </c>
      <c r="I152" s="4" t="str">
        <f t="shared" si="107"/>
        <v/>
      </c>
      <c r="J152" s="4" t="str">
        <f t="shared" si="107"/>
        <v/>
      </c>
      <c r="K152" s="4" t="str">
        <f t="shared" si="107"/>
        <v/>
      </c>
      <c r="L152" s="4" t="str">
        <f t="shared" ref="L152:Z152" si="108">IFERROR(L207/L$34*100,"")</f>
        <v/>
      </c>
      <c r="M152" s="4" t="str">
        <f t="shared" si="108"/>
        <v/>
      </c>
      <c r="N152" s="4" t="str">
        <f t="shared" si="108"/>
        <v/>
      </c>
      <c r="O152" s="4" t="str">
        <f t="shared" si="108"/>
        <v/>
      </c>
      <c r="P152" s="4" t="str">
        <f t="shared" si="108"/>
        <v/>
      </c>
      <c r="Q152" s="4" t="str">
        <f t="shared" si="108"/>
        <v/>
      </c>
      <c r="R152" s="4" t="str">
        <f t="shared" si="108"/>
        <v/>
      </c>
      <c r="S152" s="4" t="str">
        <f t="shared" si="108"/>
        <v/>
      </c>
      <c r="T152" s="4" t="str">
        <f t="shared" si="108"/>
        <v/>
      </c>
      <c r="U152" s="4" t="str">
        <f t="shared" si="108"/>
        <v/>
      </c>
      <c r="V152" s="4" t="str">
        <f t="shared" si="108"/>
        <v/>
      </c>
      <c r="W152" s="4" t="str">
        <f t="shared" si="108"/>
        <v/>
      </c>
      <c r="X152" s="4" t="str">
        <f t="shared" si="108"/>
        <v/>
      </c>
      <c r="Y152" s="4" t="str">
        <f t="shared" si="108"/>
        <v/>
      </c>
      <c r="Z152" s="4" t="str">
        <f t="shared" si="108"/>
        <v/>
      </c>
    </row>
    <row r="153" spans="1:26" outlineLevel="1" x14ac:dyDescent="0.4">
      <c r="A153" s="1"/>
      <c r="B153" t="s">
        <v>79</v>
      </c>
      <c r="D153" s="4">
        <f t="shared" si="98"/>
        <v>-5.3664997630837412</v>
      </c>
      <c r="E153" s="4">
        <f t="shared" ref="E153:K153" si="109">IFERROR(E208/E$34*100,"")</f>
        <v>0.82347172443774186</v>
      </c>
      <c r="F153" s="4">
        <f t="shared" si="109"/>
        <v>0.13111189280802954</v>
      </c>
      <c r="G153" s="4" t="str">
        <f t="shared" si="109"/>
        <v/>
      </c>
      <c r="H153" s="4" t="str">
        <f t="shared" si="109"/>
        <v/>
      </c>
      <c r="I153" s="4" t="str">
        <f t="shared" si="109"/>
        <v/>
      </c>
      <c r="J153" s="4" t="str">
        <f t="shared" si="109"/>
        <v/>
      </c>
      <c r="K153" s="4" t="str">
        <f t="shared" si="109"/>
        <v/>
      </c>
      <c r="L153" s="4" t="str">
        <f t="shared" ref="L153:Z153" si="110">IFERROR(L208/L$34*100,"")</f>
        <v/>
      </c>
      <c r="M153" s="4" t="str">
        <f t="shared" si="110"/>
        <v/>
      </c>
      <c r="N153" s="4" t="str">
        <f t="shared" si="110"/>
        <v/>
      </c>
      <c r="O153" s="4" t="str">
        <f t="shared" si="110"/>
        <v/>
      </c>
      <c r="P153" s="4" t="str">
        <f t="shared" si="110"/>
        <v/>
      </c>
      <c r="Q153" s="4" t="str">
        <f t="shared" si="110"/>
        <v/>
      </c>
      <c r="R153" s="4" t="str">
        <f t="shared" si="110"/>
        <v/>
      </c>
      <c r="S153" s="4" t="str">
        <f t="shared" si="110"/>
        <v/>
      </c>
      <c r="T153" s="4" t="str">
        <f t="shared" si="110"/>
        <v/>
      </c>
      <c r="U153" s="4" t="str">
        <f t="shared" si="110"/>
        <v/>
      </c>
      <c r="V153" s="4" t="str">
        <f t="shared" si="110"/>
        <v/>
      </c>
      <c r="W153" s="4" t="str">
        <f t="shared" si="110"/>
        <v/>
      </c>
      <c r="X153" s="4" t="str">
        <f t="shared" si="110"/>
        <v/>
      </c>
      <c r="Y153" s="4" t="str">
        <f t="shared" si="110"/>
        <v/>
      </c>
      <c r="Z153" s="4" t="str">
        <f t="shared" si="110"/>
        <v/>
      </c>
    </row>
    <row r="154" spans="1:26" outlineLevel="1"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outlineLevel="1" x14ac:dyDescent="0.4">
      <c r="A155" s="1"/>
      <c r="B155" s="7" t="s">
        <v>80</v>
      </c>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4.65" customHeight="1" outlineLevel="1" x14ac:dyDescent="0.7">
      <c r="A156" s="14"/>
      <c r="B156" s="74"/>
    </row>
    <row r="157" spans="1:26" outlineLevel="1" x14ac:dyDescent="0.4">
      <c r="A157" s="1" t="s">
        <v>710</v>
      </c>
      <c r="B157" s="1"/>
      <c r="C157" s="1" t="s">
        <v>37</v>
      </c>
      <c r="D157" s="82" cm="1">
        <f t="array" ref="D157:F157">_xlfn.SEQUENCE(1, OutturnThrough-MTP_BaseYear+2, MTP_BaseYear-1)</f>
        <v>2022</v>
      </c>
      <c r="E157" s="82">
        <v>2023</v>
      </c>
      <c r="F157" s="82">
        <v>2024</v>
      </c>
      <c r="G157" s="82"/>
      <c r="H157" s="82"/>
      <c r="I157" s="82"/>
      <c r="J157" s="82"/>
      <c r="K157" s="82"/>
      <c r="L157" s="82"/>
      <c r="M157" s="82"/>
      <c r="N157" s="82"/>
      <c r="O157" s="82"/>
      <c r="P157" s="82"/>
      <c r="Q157" s="82"/>
      <c r="R157" s="82"/>
      <c r="S157" s="82"/>
      <c r="T157" s="82"/>
      <c r="U157" s="82"/>
      <c r="V157" s="82"/>
      <c r="W157" s="82"/>
      <c r="X157" s="82"/>
      <c r="Y157" s="82"/>
      <c r="Z157" s="82"/>
    </row>
    <row r="158" spans="1:26" outlineLevel="1" x14ac:dyDescent="0.4">
      <c r="A158" s="1"/>
      <c r="B158" s="1" t="s">
        <v>299</v>
      </c>
      <c r="C158" s="1"/>
      <c r="D158" s="82" t="str" cm="1">
        <f t="array" ref="D158:F158">IF(_xlfn.ANCHORARRAY(D103) = MTP_YearT, "T", "T" &amp; IF(_xlfn.ANCHORARRAY(D103) &gt; MTP_YearT, "+", "") &amp; (_xlfn.ANCHORARRAY(D103) - MTP_YearT))</f>
        <v>T-2</v>
      </c>
      <c r="E158" s="82" t="str">
        <v>T-1</v>
      </c>
      <c r="F158" s="82" t="str">
        <v>T</v>
      </c>
      <c r="G158" s="82"/>
      <c r="H158" s="82"/>
      <c r="I158" s="82"/>
      <c r="J158" s="82"/>
      <c r="K158" s="82"/>
      <c r="L158" s="82"/>
      <c r="M158" s="82"/>
      <c r="N158" s="82"/>
      <c r="O158" s="82"/>
      <c r="P158" s="82"/>
      <c r="Q158" s="82"/>
      <c r="R158" s="82"/>
      <c r="S158" s="82"/>
      <c r="T158" s="82"/>
      <c r="U158" s="82"/>
      <c r="V158" s="82"/>
      <c r="W158" s="82"/>
      <c r="X158" s="82"/>
      <c r="Y158" s="82"/>
      <c r="Z158" s="82"/>
    </row>
    <row r="159" spans="1:26" outlineLevel="1" x14ac:dyDescent="0.4">
      <c r="A159" s="1"/>
      <c r="B159" s="1" t="s">
        <v>36</v>
      </c>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outlineLevel="1" x14ac:dyDescent="0.4">
      <c r="A160" s="1">
        <v>1</v>
      </c>
      <c r="B160" t="s">
        <v>41</v>
      </c>
      <c r="C160" t="s">
        <v>81</v>
      </c>
      <c r="D160" s="9">
        <f t="shared" ref="D160:E160" si="111">D50</f>
        <v>5362.5</v>
      </c>
      <c r="E160" s="9">
        <f t="shared" si="111"/>
        <v>5576.8</v>
      </c>
      <c r="F160" s="9">
        <f t="shared" ref="F160:K160" si="112">F50</f>
        <v>5850.4</v>
      </c>
      <c r="G160" s="9">
        <f t="shared" si="112"/>
        <v>0</v>
      </c>
      <c r="H160" s="9">
        <f t="shared" si="112"/>
        <v>0</v>
      </c>
      <c r="I160" s="9">
        <f t="shared" si="112"/>
        <v>0</v>
      </c>
      <c r="J160" s="9">
        <f t="shared" si="112"/>
        <v>0</v>
      </c>
      <c r="K160" s="9">
        <f t="shared" si="112"/>
        <v>0</v>
      </c>
      <c r="L160" s="9">
        <f t="shared" ref="L160:Z160" si="113">L50</f>
        <v>0</v>
      </c>
      <c r="M160" s="9">
        <f t="shared" si="113"/>
        <v>0</v>
      </c>
      <c r="N160" s="9">
        <f t="shared" si="113"/>
        <v>0</v>
      </c>
      <c r="O160" s="9">
        <f t="shared" si="113"/>
        <v>0</v>
      </c>
      <c r="P160" s="9">
        <f t="shared" si="113"/>
        <v>0</v>
      </c>
      <c r="Q160" s="9">
        <f t="shared" si="113"/>
        <v>0</v>
      </c>
      <c r="R160" s="9">
        <f t="shared" si="113"/>
        <v>0</v>
      </c>
      <c r="S160" s="9">
        <f t="shared" si="113"/>
        <v>0</v>
      </c>
      <c r="T160" s="9">
        <f t="shared" si="113"/>
        <v>0</v>
      </c>
      <c r="U160" s="9">
        <f t="shared" si="113"/>
        <v>0</v>
      </c>
      <c r="V160" s="9">
        <f t="shared" si="113"/>
        <v>0</v>
      </c>
      <c r="W160" s="9">
        <f t="shared" si="113"/>
        <v>0</v>
      </c>
      <c r="X160" s="9">
        <f t="shared" si="113"/>
        <v>0</v>
      </c>
      <c r="Y160" s="9">
        <f t="shared" si="113"/>
        <v>0</v>
      </c>
      <c r="Z160" s="9">
        <f t="shared" si="113"/>
        <v>0</v>
      </c>
    </row>
    <row r="161" spans="1:26" outlineLevel="1" x14ac:dyDescent="0.4">
      <c r="A161" s="1">
        <v>2</v>
      </c>
      <c r="B161" t="s">
        <v>42</v>
      </c>
      <c r="C161" t="s">
        <v>82</v>
      </c>
      <c r="D161" s="9">
        <f t="shared" ref="D161:E161" si="114">D55</f>
        <v>2752.9</v>
      </c>
      <c r="E161" s="9">
        <f t="shared" si="114"/>
        <v>3138.2</v>
      </c>
      <c r="F161" s="9">
        <f t="shared" ref="F161:K161" si="115">F55</f>
        <v>3733.2</v>
      </c>
      <c r="G161" s="9">
        <f t="shared" si="115"/>
        <v>0</v>
      </c>
      <c r="H161" s="9">
        <f t="shared" si="115"/>
        <v>0</v>
      </c>
      <c r="I161" s="9">
        <f t="shared" si="115"/>
        <v>0</v>
      </c>
      <c r="J161" s="9">
        <f t="shared" si="115"/>
        <v>0</v>
      </c>
      <c r="K161" s="9">
        <f t="shared" si="115"/>
        <v>0</v>
      </c>
      <c r="L161" s="9">
        <f t="shared" ref="L161:Z161" si="116">L55</f>
        <v>0</v>
      </c>
      <c r="M161" s="9">
        <f t="shared" si="116"/>
        <v>0</v>
      </c>
      <c r="N161" s="9">
        <f t="shared" si="116"/>
        <v>0</v>
      </c>
      <c r="O161" s="9">
        <f t="shared" si="116"/>
        <v>0</v>
      </c>
      <c r="P161" s="9">
        <f t="shared" si="116"/>
        <v>0</v>
      </c>
      <c r="Q161" s="9">
        <f t="shared" si="116"/>
        <v>0</v>
      </c>
      <c r="R161" s="9">
        <f t="shared" si="116"/>
        <v>0</v>
      </c>
      <c r="S161" s="9">
        <f t="shared" si="116"/>
        <v>0</v>
      </c>
      <c r="T161" s="9">
        <f t="shared" si="116"/>
        <v>0</v>
      </c>
      <c r="U161" s="9">
        <f t="shared" si="116"/>
        <v>0</v>
      </c>
      <c r="V161" s="9">
        <f t="shared" si="116"/>
        <v>0</v>
      </c>
      <c r="W161" s="9">
        <f t="shared" si="116"/>
        <v>0</v>
      </c>
      <c r="X161" s="9">
        <f t="shared" si="116"/>
        <v>0</v>
      </c>
      <c r="Y161" s="9">
        <f t="shared" si="116"/>
        <v>0</v>
      </c>
      <c r="Z161" s="9">
        <f t="shared" si="116"/>
        <v>0</v>
      </c>
    </row>
    <row r="162" spans="1:26" outlineLevel="1" x14ac:dyDescent="0.4">
      <c r="A162" s="1">
        <v>3</v>
      </c>
      <c r="B162" t="s">
        <v>43</v>
      </c>
      <c r="C162" t="s">
        <v>83</v>
      </c>
      <c r="D162" s="9">
        <f t="shared" ref="D162:E162" si="117">D70</f>
        <v>3777.6</v>
      </c>
      <c r="E162" s="9">
        <f t="shared" si="117"/>
        <v>4261.8999999999996</v>
      </c>
      <c r="F162" s="9">
        <f t="shared" ref="F162:K162" si="118">F70</f>
        <v>4668.8999999999996</v>
      </c>
      <c r="G162" s="9">
        <f t="shared" si="118"/>
        <v>0</v>
      </c>
      <c r="H162" s="9">
        <f t="shared" si="118"/>
        <v>0</v>
      </c>
      <c r="I162" s="9">
        <f t="shared" si="118"/>
        <v>0</v>
      </c>
      <c r="J162" s="9">
        <f t="shared" si="118"/>
        <v>0</v>
      </c>
      <c r="K162" s="9">
        <f t="shared" si="118"/>
        <v>0</v>
      </c>
      <c r="L162" s="9">
        <f t="shared" ref="L162:Z162" si="119">L70</f>
        <v>0</v>
      </c>
      <c r="M162" s="9">
        <f t="shared" si="119"/>
        <v>0</v>
      </c>
      <c r="N162" s="9">
        <f t="shared" si="119"/>
        <v>0</v>
      </c>
      <c r="O162" s="9">
        <f t="shared" si="119"/>
        <v>0</v>
      </c>
      <c r="P162" s="9">
        <f t="shared" si="119"/>
        <v>0</v>
      </c>
      <c r="Q162" s="9">
        <f t="shared" si="119"/>
        <v>0</v>
      </c>
      <c r="R162" s="9">
        <f t="shared" si="119"/>
        <v>0</v>
      </c>
      <c r="S162" s="9">
        <f t="shared" si="119"/>
        <v>0</v>
      </c>
      <c r="T162" s="9">
        <f t="shared" si="119"/>
        <v>0</v>
      </c>
      <c r="U162" s="9">
        <f t="shared" si="119"/>
        <v>0</v>
      </c>
      <c r="V162" s="9">
        <f t="shared" si="119"/>
        <v>0</v>
      </c>
      <c r="W162" s="9">
        <f t="shared" si="119"/>
        <v>0</v>
      </c>
      <c r="X162" s="9">
        <f t="shared" si="119"/>
        <v>0</v>
      </c>
      <c r="Y162" s="9">
        <f t="shared" si="119"/>
        <v>0</v>
      </c>
      <c r="Z162" s="9">
        <f t="shared" si="119"/>
        <v>0</v>
      </c>
    </row>
    <row r="163" spans="1:26" outlineLevel="1" x14ac:dyDescent="0.4">
      <c r="A163" s="1">
        <v>4</v>
      </c>
      <c r="B163" t="s">
        <v>45</v>
      </c>
      <c r="C163" t="s">
        <v>84</v>
      </c>
      <c r="D163" s="9">
        <f t="shared" ref="D163:E163" si="120">(D85+D86+D87)+D67+D53+D57</f>
        <v>2054.2999999999997</v>
      </c>
      <c r="E163" s="9">
        <f t="shared" si="120"/>
        <v>2914.9</v>
      </c>
      <c r="F163" s="9">
        <f t="shared" ref="F163:K163" si="121">(F85+F86+F87)+F67+F53+F57</f>
        <v>3072.9000000000005</v>
      </c>
      <c r="G163" s="9">
        <f t="shared" si="121"/>
        <v>0</v>
      </c>
      <c r="H163" s="9">
        <f t="shared" si="121"/>
        <v>0</v>
      </c>
      <c r="I163" s="9">
        <f t="shared" si="121"/>
        <v>0</v>
      </c>
      <c r="J163" s="9">
        <f t="shared" si="121"/>
        <v>0</v>
      </c>
      <c r="K163" s="9">
        <f t="shared" si="121"/>
        <v>0</v>
      </c>
      <c r="L163" s="9">
        <f t="shared" ref="L163:Z163" si="122">(L85+L86+L87)+L67+L53+L57</f>
        <v>0</v>
      </c>
      <c r="M163" s="9">
        <f t="shared" si="122"/>
        <v>0</v>
      </c>
      <c r="N163" s="9">
        <f t="shared" si="122"/>
        <v>0</v>
      </c>
      <c r="O163" s="9">
        <f t="shared" si="122"/>
        <v>0</v>
      </c>
      <c r="P163" s="9">
        <f t="shared" si="122"/>
        <v>0</v>
      </c>
      <c r="Q163" s="9">
        <f t="shared" si="122"/>
        <v>0</v>
      </c>
      <c r="R163" s="9">
        <f t="shared" si="122"/>
        <v>0</v>
      </c>
      <c r="S163" s="9">
        <f t="shared" si="122"/>
        <v>0</v>
      </c>
      <c r="T163" s="9">
        <f t="shared" si="122"/>
        <v>0</v>
      </c>
      <c r="U163" s="9">
        <f t="shared" si="122"/>
        <v>0</v>
      </c>
      <c r="V163" s="9">
        <f t="shared" si="122"/>
        <v>0</v>
      </c>
      <c r="W163" s="9">
        <f t="shared" si="122"/>
        <v>0</v>
      </c>
      <c r="X163" s="9">
        <f t="shared" si="122"/>
        <v>0</v>
      </c>
      <c r="Y163" s="9">
        <f t="shared" si="122"/>
        <v>0</v>
      </c>
      <c r="Z163" s="9">
        <f t="shared" si="122"/>
        <v>0</v>
      </c>
    </row>
    <row r="164" spans="1:26" outlineLevel="1" x14ac:dyDescent="0.4">
      <c r="A164" s="1">
        <v>5</v>
      </c>
      <c r="B164" t="s">
        <v>46</v>
      </c>
      <c r="C164" t="s">
        <v>85</v>
      </c>
      <c r="D164" s="9">
        <f t="shared" ref="D164:E164" si="123">D73</f>
        <v>17.3</v>
      </c>
      <c r="E164" s="9">
        <f t="shared" si="123"/>
        <v>14.4</v>
      </c>
      <c r="F164" s="9">
        <f t="shared" ref="F164:K164" si="124">F73</f>
        <v>15.3</v>
      </c>
      <c r="G164" s="9">
        <f t="shared" si="124"/>
        <v>0</v>
      </c>
      <c r="H164" s="9">
        <f t="shared" si="124"/>
        <v>0</v>
      </c>
      <c r="I164" s="9">
        <f t="shared" si="124"/>
        <v>0</v>
      </c>
      <c r="J164" s="9">
        <f t="shared" si="124"/>
        <v>0</v>
      </c>
      <c r="K164" s="9">
        <f t="shared" si="124"/>
        <v>0</v>
      </c>
      <c r="L164" s="9">
        <f t="shared" ref="L164:Z164" si="125">L73</f>
        <v>0</v>
      </c>
      <c r="M164" s="9">
        <f t="shared" si="125"/>
        <v>0</v>
      </c>
      <c r="N164" s="9">
        <f t="shared" si="125"/>
        <v>0</v>
      </c>
      <c r="O164" s="9">
        <f t="shared" si="125"/>
        <v>0</v>
      </c>
      <c r="P164" s="9">
        <f t="shared" si="125"/>
        <v>0</v>
      </c>
      <c r="Q164" s="9">
        <f t="shared" si="125"/>
        <v>0</v>
      </c>
      <c r="R164" s="9">
        <f t="shared" si="125"/>
        <v>0</v>
      </c>
      <c r="S164" s="9">
        <f t="shared" si="125"/>
        <v>0</v>
      </c>
      <c r="T164" s="9">
        <f t="shared" si="125"/>
        <v>0</v>
      </c>
      <c r="U164" s="9">
        <f t="shared" si="125"/>
        <v>0</v>
      </c>
      <c r="V164" s="9">
        <f t="shared" si="125"/>
        <v>0</v>
      </c>
      <c r="W164" s="9">
        <f t="shared" si="125"/>
        <v>0</v>
      </c>
      <c r="X164" s="9">
        <f t="shared" si="125"/>
        <v>0</v>
      </c>
      <c r="Y164" s="9">
        <f t="shared" si="125"/>
        <v>0</v>
      </c>
      <c r="Z164" s="9">
        <f t="shared" si="125"/>
        <v>0</v>
      </c>
    </row>
    <row r="165" spans="1:26" outlineLevel="1" x14ac:dyDescent="0.4">
      <c r="A165" s="1">
        <v>6</v>
      </c>
      <c r="B165" t="s">
        <v>47</v>
      </c>
      <c r="C165" t="s">
        <v>86</v>
      </c>
      <c r="D165" s="9">
        <f t="shared" ref="D165:E165" si="126">D74+D77</f>
        <v>246.4</v>
      </c>
      <c r="E165" s="9">
        <f t="shared" si="126"/>
        <v>349.5</v>
      </c>
      <c r="F165" s="9">
        <f t="shared" ref="F165:K165" si="127">F74+F77</f>
        <v>346.40000000000003</v>
      </c>
      <c r="G165" s="9">
        <f t="shared" si="127"/>
        <v>0</v>
      </c>
      <c r="H165" s="9">
        <f t="shared" si="127"/>
        <v>0</v>
      </c>
      <c r="I165" s="9">
        <f t="shared" si="127"/>
        <v>0</v>
      </c>
      <c r="J165" s="9">
        <f t="shared" si="127"/>
        <v>0</v>
      </c>
      <c r="K165" s="9">
        <f t="shared" si="127"/>
        <v>0</v>
      </c>
      <c r="L165" s="9">
        <f t="shared" ref="L165:Z165" si="128">L74+L77</f>
        <v>0</v>
      </c>
      <c r="M165" s="9">
        <f t="shared" si="128"/>
        <v>0</v>
      </c>
      <c r="N165" s="9">
        <f t="shared" si="128"/>
        <v>0</v>
      </c>
      <c r="O165" s="9">
        <f t="shared" si="128"/>
        <v>0</v>
      </c>
      <c r="P165" s="9">
        <f t="shared" si="128"/>
        <v>0</v>
      </c>
      <c r="Q165" s="9">
        <f t="shared" si="128"/>
        <v>0</v>
      </c>
      <c r="R165" s="9">
        <f t="shared" si="128"/>
        <v>0</v>
      </c>
      <c r="S165" s="9">
        <f t="shared" si="128"/>
        <v>0</v>
      </c>
      <c r="T165" s="9">
        <f t="shared" si="128"/>
        <v>0</v>
      </c>
      <c r="U165" s="9">
        <f t="shared" si="128"/>
        <v>0</v>
      </c>
      <c r="V165" s="9">
        <f t="shared" si="128"/>
        <v>0</v>
      </c>
      <c r="W165" s="9">
        <f t="shared" si="128"/>
        <v>0</v>
      </c>
      <c r="X165" s="9">
        <f t="shared" si="128"/>
        <v>0</v>
      </c>
      <c r="Y165" s="9">
        <f t="shared" si="128"/>
        <v>0</v>
      </c>
      <c r="Z165" s="9">
        <f t="shared" si="128"/>
        <v>0</v>
      </c>
    </row>
    <row r="166" spans="1:26" outlineLevel="1" x14ac:dyDescent="0.4">
      <c r="A166" s="1">
        <v>7</v>
      </c>
      <c r="B166" t="s">
        <v>48</v>
      </c>
      <c r="C166" t="s">
        <v>87</v>
      </c>
      <c r="D166" s="9">
        <f t="shared" ref="D166:E166" si="129">D160+D161+D162+D163+D164+D165</f>
        <v>14210.999999999998</v>
      </c>
      <c r="E166" s="9">
        <f t="shared" si="129"/>
        <v>16255.699999999999</v>
      </c>
      <c r="F166" s="9">
        <f t="shared" ref="F166:K166" si="130">F160+F161+F162+F163+F164+F165</f>
        <v>17687.099999999999</v>
      </c>
      <c r="G166" s="9">
        <f t="shared" si="130"/>
        <v>0</v>
      </c>
      <c r="H166" s="9">
        <f t="shared" si="130"/>
        <v>0</v>
      </c>
      <c r="I166" s="9">
        <f t="shared" si="130"/>
        <v>0</v>
      </c>
      <c r="J166" s="9">
        <f t="shared" si="130"/>
        <v>0</v>
      </c>
      <c r="K166" s="9">
        <f t="shared" si="130"/>
        <v>0</v>
      </c>
      <c r="L166" s="9">
        <f t="shared" ref="L166:Z166" si="131">L160+L161+L162+L163+L164+L165</f>
        <v>0</v>
      </c>
      <c r="M166" s="9">
        <f t="shared" si="131"/>
        <v>0</v>
      </c>
      <c r="N166" s="9">
        <f t="shared" si="131"/>
        <v>0</v>
      </c>
      <c r="O166" s="9">
        <f t="shared" si="131"/>
        <v>0</v>
      </c>
      <c r="P166" s="9">
        <f t="shared" si="131"/>
        <v>0</v>
      </c>
      <c r="Q166" s="9">
        <f t="shared" si="131"/>
        <v>0</v>
      </c>
      <c r="R166" s="9">
        <f t="shared" si="131"/>
        <v>0</v>
      </c>
      <c r="S166" s="9">
        <f t="shared" si="131"/>
        <v>0</v>
      </c>
      <c r="T166" s="9">
        <f t="shared" si="131"/>
        <v>0</v>
      </c>
      <c r="U166" s="9">
        <f t="shared" si="131"/>
        <v>0</v>
      </c>
      <c r="V166" s="9">
        <f t="shared" si="131"/>
        <v>0</v>
      </c>
      <c r="W166" s="9">
        <f t="shared" si="131"/>
        <v>0</v>
      </c>
      <c r="X166" s="9">
        <f t="shared" si="131"/>
        <v>0</v>
      </c>
      <c r="Y166" s="9">
        <f t="shared" si="131"/>
        <v>0</v>
      </c>
      <c r="Z166" s="9">
        <f t="shared" si="131"/>
        <v>0</v>
      </c>
    </row>
    <row r="167" spans="1:26" outlineLevel="1" x14ac:dyDescent="0.4">
      <c r="A167" s="1">
        <v>8</v>
      </c>
      <c r="B167" s="2" t="s">
        <v>49</v>
      </c>
      <c r="C167" t="s">
        <v>88</v>
      </c>
      <c r="D167" s="9">
        <f t="shared" ref="D167:E167" si="132">SUM(D58+D62)</f>
        <v>428.5</v>
      </c>
      <c r="E167" s="9">
        <f t="shared" si="132"/>
        <v>734.3</v>
      </c>
      <c r="F167" s="9">
        <f t="shared" ref="F167:K167" si="133">SUM(F58+F62)</f>
        <v>755.5</v>
      </c>
      <c r="G167" s="9">
        <f t="shared" si="133"/>
        <v>0</v>
      </c>
      <c r="H167" s="9">
        <f t="shared" si="133"/>
        <v>0</v>
      </c>
      <c r="I167" s="9">
        <f t="shared" si="133"/>
        <v>0</v>
      </c>
      <c r="J167" s="9">
        <f t="shared" si="133"/>
        <v>0</v>
      </c>
      <c r="K167" s="9">
        <f t="shared" si="133"/>
        <v>0</v>
      </c>
      <c r="L167" s="9">
        <f t="shared" ref="L167:Z167" si="134">SUM(L58+L62)</f>
        <v>0</v>
      </c>
      <c r="M167" s="9">
        <f t="shared" si="134"/>
        <v>0</v>
      </c>
      <c r="N167" s="9">
        <f t="shared" si="134"/>
        <v>0</v>
      </c>
      <c r="O167" s="9">
        <f t="shared" si="134"/>
        <v>0</v>
      </c>
      <c r="P167" s="9">
        <f t="shared" si="134"/>
        <v>0</v>
      </c>
      <c r="Q167" s="9">
        <f t="shared" si="134"/>
        <v>0</v>
      </c>
      <c r="R167" s="9">
        <f t="shared" si="134"/>
        <v>0</v>
      </c>
      <c r="S167" s="9">
        <f t="shared" si="134"/>
        <v>0</v>
      </c>
      <c r="T167" s="9">
        <f t="shared" si="134"/>
        <v>0</v>
      </c>
      <c r="U167" s="9">
        <f t="shared" si="134"/>
        <v>0</v>
      </c>
      <c r="V167" s="9">
        <f t="shared" si="134"/>
        <v>0</v>
      </c>
      <c r="W167" s="9">
        <f t="shared" si="134"/>
        <v>0</v>
      </c>
      <c r="X167" s="9">
        <f t="shared" si="134"/>
        <v>0</v>
      </c>
      <c r="Y167" s="9">
        <f t="shared" si="134"/>
        <v>0</v>
      </c>
      <c r="Z167" s="9">
        <f t="shared" si="134"/>
        <v>0</v>
      </c>
    </row>
    <row r="168" spans="1:26" outlineLevel="1" x14ac:dyDescent="0.4">
      <c r="A168" s="1">
        <v>9</v>
      </c>
      <c r="B168" t="s">
        <v>50</v>
      </c>
      <c r="D168" s="9">
        <f t="shared" ref="D168:E168" si="135">D166-D167</f>
        <v>13782.499999999998</v>
      </c>
      <c r="E168" s="9">
        <f t="shared" si="135"/>
        <v>15521.4</v>
      </c>
      <c r="F168" s="9">
        <f t="shared" ref="F168:K168" si="136">F166-F167</f>
        <v>16931.599999999999</v>
      </c>
      <c r="G168" s="9">
        <f t="shared" si="136"/>
        <v>0</v>
      </c>
      <c r="H168" s="9">
        <f t="shared" si="136"/>
        <v>0</v>
      </c>
      <c r="I168" s="9">
        <f t="shared" si="136"/>
        <v>0</v>
      </c>
      <c r="J168" s="9">
        <f t="shared" si="136"/>
        <v>0</v>
      </c>
      <c r="K168" s="9">
        <f t="shared" si="136"/>
        <v>0</v>
      </c>
      <c r="L168" s="9">
        <f t="shared" ref="L168:Z168" si="137">L166-L167</f>
        <v>0</v>
      </c>
      <c r="M168" s="9">
        <f t="shared" si="137"/>
        <v>0</v>
      </c>
      <c r="N168" s="9">
        <f t="shared" si="137"/>
        <v>0</v>
      </c>
      <c r="O168" s="9">
        <f t="shared" si="137"/>
        <v>0</v>
      </c>
      <c r="P168" s="9">
        <f t="shared" si="137"/>
        <v>0</v>
      </c>
      <c r="Q168" s="9">
        <f t="shared" si="137"/>
        <v>0</v>
      </c>
      <c r="R168" s="9">
        <f t="shared" si="137"/>
        <v>0</v>
      </c>
      <c r="S168" s="9">
        <f t="shared" si="137"/>
        <v>0</v>
      </c>
      <c r="T168" s="9">
        <f t="shared" si="137"/>
        <v>0</v>
      </c>
      <c r="U168" s="9">
        <f t="shared" si="137"/>
        <v>0</v>
      </c>
      <c r="V168" s="9">
        <f t="shared" si="137"/>
        <v>0</v>
      </c>
      <c r="W168" s="9">
        <f t="shared" si="137"/>
        <v>0</v>
      </c>
      <c r="X168" s="9">
        <f t="shared" si="137"/>
        <v>0</v>
      </c>
      <c r="Y168" s="9">
        <f t="shared" si="137"/>
        <v>0</v>
      </c>
      <c r="Z168" s="9">
        <f t="shared" si="137"/>
        <v>0</v>
      </c>
    </row>
    <row r="169" spans="1:26" outlineLevel="1" x14ac:dyDescent="0.4">
      <c r="A169" s="1">
        <v>10</v>
      </c>
      <c r="B169" t="s">
        <v>51</v>
      </c>
      <c r="C169" t="s">
        <v>927</v>
      </c>
      <c r="D169" s="9">
        <f>D94</f>
        <v>0</v>
      </c>
      <c r="E169" s="9">
        <f t="shared" ref="E169:F169" si="138">E94</f>
        <v>0</v>
      </c>
      <c r="F169" s="9">
        <f t="shared" si="138"/>
        <v>273.80799999999999</v>
      </c>
      <c r="G169" s="9"/>
      <c r="H169" s="9"/>
      <c r="I169" s="9"/>
      <c r="J169" s="9"/>
      <c r="K169" s="9"/>
      <c r="L169" s="9"/>
      <c r="M169" s="9"/>
      <c r="N169" s="9"/>
      <c r="O169" s="9"/>
      <c r="P169" s="9"/>
      <c r="Q169" s="9"/>
      <c r="R169" s="9"/>
      <c r="S169" s="9"/>
      <c r="T169" s="9"/>
      <c r="U169" s="9"/>
      <c r="V169" s="9"/>
      <c r="W169" s="9"/>
      <c r="X169" s="9"/>
      <c r="Y169" s="9"/>
      <c r="Z169" s="9"/>
    </row>
    <row r="170" spans="1:26" outlineLevel="1" x14ac:dyDescent="0.4">
      <c r="A170" s="1"/>
      <c r="B170" t="s">
        <v>366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319</v>
      </c>
      <c r="C171" t="s">
        <v>726</v>
      </c>
      <c r="D171" s="9">
        <v>0</v>
      </c>
      <c r="E171" s="9">
        <v>0</v>
      </c>
      <c r="F171" s="9">
        <v>1</v>
      </c>
      <c r="G171" s="9">
        <v>2</v>
      </c>
      <c r="H171" s="9">
        <v>3</v>
      </c>
      <c r="I171" s="9">
        <v>4</v>
      </c>
      <c r="J171" s="9">
        <v>5</v>
      </c>
      <c r="K171" s="9">
        <v>6</v>
      </c>
      <c r="L171" s="9">
        <v>7</v>
      </c>
      <c r="M171" s="9">
        <v>8</v>
      </c>
      <c r="N171" s="9">
        <v>9</v>
      </c>
      <c r="O171" s="9">
        <v>10</v>
      </c>
      <c r="P171" s="9">
        <v>11</v>
      </c>
      <c r="Q171" s="9">
        <v>12</v>
      </c>
      <c r="R171" s="9">
        <v>13</v>
      </c>
      <c r="S171" s="9">
        <v>14</v>
      </c>
      <c r="T171" s="9">
        <v>15</v>
      </c>
      <c r="U171" s="9">
        <v>16</v>
      </c>
      <c r="V171" s="9">
        <v>17</v>
      </c>
      <c r="W171" s="9">
        <v>18</v>
      </c>
      <c r="X171" s="9">
        <v>19</v>
      </c>
      <c r="Y171" s="9">
        <v>20</v>
      </c>
      <c r="Z171" s="9">
        <v>21</v>
      </c>
    </row>
    <row r="172" spans="1:26" outlineLevel="1" x14ac:dyDescent="0.4">
      <c r="A172" s="1"/>
      <c r="B172" s="1" t="s">
        <v>35</v>
      </c>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outlineLevel="1" x14ac:dyDescent="0.4">
      <c r="A173" s="1">
        <v>12</v>
      </c>
      <c r="B173" t="s">
        <v>53</v>
      </c>
      <c r="C173" t="s">
        <v>5</v>
      </c>
      <c r="D173" s="9">
        <f t="shared" ref="D173:E173" si="139">D49</f>
        <v>4205.8999999999996</v>
      </c>
      <c r="E173" s="9">
        <f t="shared" si="139"/>
        <v>4793.3999999999996</v>
      </c>
      <c r="F173" s="9">
        <f t="shared" ref="F173:K173" si="140">F49</f>
        <v>5333.3</v>
      </c>
      <c r="G173" s="9">
        <f t="shared" si="140"/>
        <v>0</v>
      </c>
      <c r="H173" s="9">
        <f t="shared" si="140"/>
        <v>0</v>
      </c>
      <c r="I173" s="9">
        <f t="shared" si="140"/>
        <v>0</v>
      </c>
      <c r="J173" s="9">
        <f t="shared" si="140"/>
        <v>0</v>
      </c>
      <c r="K173" s="9">
        <f t="shared" si="140"/>
        <v>0</v>
      </c>
      <c r="L173" s="9">
        <f t="shared" ref="L173:Z173" si="141">L49</f>
        <v>0</v>
      </c>
      <c r="M173" s="9">
        <f t="shared" si="141"/>
        <v>0</v>
      </c>
      <c r="N173" s="9">
        <f t="shared" si="141"/>
        <v>0</v>
      </c>
      <c r="O173" s="9">
        <f t="shared" si="141"/>
        <v>0</v>
      </c>
      <c r="P173" s="9">
        <f t="shared" si="141"/>
        <v>0</v>
      </c>
      <c r="Q173" s="9">
        <f t="shared" si="141"/>
        <v>0</v>
      </c>
      <c r="R173" s="9">
        <f t="shared" si="141"/>
        <v>0</v>
      </c>
      <c r="S173" s="9">
        <f t="shared" si="141"/>
        <v>0</v>
      </c>
      <c r="T173" s="9">
        <f t="shared" si="141"/>
        <v>0</v>
      </c>
      <c r="U173" s="9">
        <f t="shared" si="141"/>
        <v>0</v>
      </c>
      <c r="V173" s="9">
        <f t="shared" si="141"/>
        <v>0</v>
      </c>
      <c r="W173" s="9">
        <f t="shared" si="141"/>
        <v>0</v>
      </c>
      <c r="X173" s="9">
        <f t="shared" si="141"/>
        <v>0</v>
      </c>
      <c r="Y173" s="9">
        <f t="shared" si="141"/>
        <v>0</v>
      </c>
      <c r="Z173" s="9">
        <f t="shared" si="141"/>
        <v>0</v>
      </c>
    </row>
    <row r="174" spans="1:26" outlineLevel="1" x14ac:dyDescent="0.4">
      <c r="A174" s="1">
        <v>13</v>
      </c>
      <c r="B174" t="s">
        <v>54</v>
      </c>
      <c r="C174" t="s">
        <v>89</v>
      </c>
      <c r="D174" s="9">
        <f t="shared" ref="D174:E174" si="142">D79</f>
        <v>2426.8000000000002</v>
      </c>
      <c r="E174" s="9">
        <f t="shared" si="142"/>
        <v>2507.3000000000002</v>
      </c>
      <c r="F174" s="9">
        <f t="shared" ref="F174:K174" si="143">F79</f>
        <v>2481.4</v>
      </c>
      <c r="G174" s="9">
        <f t="shared" si="143"/>
        <v>0</v>
      </c>
      <c r="H174" s="9">
        <f t="shared" si="143"/>
        <v>0</v>
      </c>
      <c r="I174" s="9">
        <f t="shared" si="143"/>
        <v>0</v>
      </c>
      <c r="J174" s="9">
        <f t="shared" si="143"/>
        <v>0</v>
      </c>
      <c r="K174" s="9">
        <f t="shared" si="143"/>
        <v>0</v>
      </c>
      <c r="L174" s="9">
        <f t="shared" ref="L174:Z174" si="144">L79</f>
        <v>0</v>
      </c>
      <c r="M174" s="9">
        <f t="shared" si="144"/>
        <v>0</v>
      </c>
      <c r="N174" s="9">
        <f t="shared" si="144"/>
        <v>0</v>
      </c>
      <c r="O174" s="9">
        <f t="shared" si="144"/>
        <v>0</v>
      </c>
      <c r="P174" s="9">
        <f t="shared" si="144"/>
        <v>0</v>
      </c>
      <c r="Q174" s="9">
        <f t="shared" si="144"/>
        <v>0</v>
      </c>
      <c r="R174" s="9">
        <f t="shared" si="144"/>
        <v>0</v>
      </c>
      <c r="S174" s="9">
        <f t="shared" si="144"/>
        <v>0</v>
      </c>
      <c r="T174" s="9">
        <f t="shared" si="144"/>
        <v>0</v>
      </c>
      <c r="U174" s="9">
        <f t="shared" si="144"/>
        <v>0</v>
      </c>
      <c r="V174" s="9">
        <f t="shared" si="144"/>
        <v>0</v>
      </c>
      <c r="W174" s="9">
        <f t="shared" si="144"/>
        <v>0</v>
      </c>
      <c r="X174" s="9">
        <f t="shared" si="144"/>
        <v>0</v>
      </c>
      <c r="Y174" s="9">
        <f t="shared" si="144"/>
        <v>0</v>
      </c>
      <c r="Z174" s="9">
        <f t="shared" si="144"/>
        <v>0</v>
      </c>
    </row>
    <row r="175" spans="1:26" outlineLevel="1" x14ac:dyDescent="0.4">
      <c r="A175" s="1">
        <v>14</v>
      </c>
      <c r="B175" t="s">
        <v>55</v>
      </c>
      <c r="C175" t="s">
        <v>34</v>
      </c>
      <c r="D175" s="9">
        <f t="shared" ref="D175:E175" si="145">D68</f>
        <v>183.2</v>
      </c>
      <c r="E175" s="9">
        <f t="shared" si="145"/>
        <v>286.89999999999998</v>
      </c>
      <c r="F175" s="9">
        <f t="shared" ref="F175:K175" si="146">F68</f>
        <v>443.3</v>
      </c>
      <c r="G175" s="9">
        <f t="shared" si="146"/>
        <v>0</v>
      </c>
      <c r="H175" s="9">
        <f t="shared" si="146"/>
        <v>0</v>
      </c>
      <c r="I175" s="9">
        <f t="shared" si="146"/>
        <v>0</v>
      </c>
      <c r="J175" s="9">
        <f t="shared" si="146"/>
        <v>0</v>
      </c>
      <c r="K175" s="9">
        <f t="shared" si="146"/>
        <v>0</v>
      </c>
      <c r="L175" s="9">
        <f t="shared" ref="L175:Z175" si="147">L68</f>
        <v>0</v>
      </c>
      <c r="M175" s="9">
        <f t="shared" si="147"/>
        <v>0</v>
      </c>
      <c r="N175" s="9">
        <f t="shared" si="147"/>
        <v>0</v>
      </c>
      <c r="O175" s="9">
        <f t="shared" si="147"/>
        <v>0</v>
      </c>
      <c r="P175" s="9">
        <f t="shared" si="147"/>
        <v>0</v>
      </c>
      <c r="Q175" s="9">
        <f t="shared" si="147"/>
        <v>0</v>
      </c>
      <c r="R175" s="9">
        <f t="shared" si="147"/>
        <v>0</v>
      </c>
      <c r="S175" s="9">
        <f t="shared" si="147"/>
        <v>0</v>
      </c>
      <c r="T175" s="9">
        <f t="shared" si="147"/>
        <v>0</v>
      </c>
      <c r="U175" s="9">
        <f t="shared" si="147"/>
        <v>0</v>
      </c>
      <c r="V175" s="9">
        <f t="shared" si="147"/>
        <v>0</v>
      </c>
      <c r="W175" s="9">
        <f t="shared" si="147"/>
        <v>0</v>
      </c>
      <c r="X175" s="9">
        <f t="shared" si="147"/>
        <v>0</v>
      </c>
      <c r="Y175" s="9">
        <f t="shared" si="147"/>
        <v>0</v>
      </c>
      <c r="Z175" s="9">
        <f t="shared" si="147"/>
        <v>0</v>
      </c>
    </row>
    <row r="176" spans="1:26" outlineLevel="1" x14ac:dyDescent="0.4">
      <c r="A176" s="1">
        <v>15</v>
      </c>
      <c r="B176" t="s">
        <v>56</v>
      </c>
      <c r="C176" t="s">
        <v>90</v>
      </c>
      <c r="D176" s="9">
        <f t="shared" ref="D176:E176" si="148">D71</f>
        <v>4578</v>
      </c>
      <c r="E176" s="9">
        <f t="shared" si="148"/>
        <v>4718.8</v>
      </c>
      <c r="F176" s="9">
        <f t="shared" ref="F176:K176" si="149">F71</f>
        <v>5101.3999999999996</v>
      </c>
      <c r="G176" s="9">
        <f t="shared" si="149"/>
        <v>0</v>
      </c>
      <c r="H176" s="9">
        <f t="shared" si="149"/>
        <v>0</v>
      </c>
      <c r="I176" s="9">
        <f t="shared" si="149"/>
        <v>0</v>
      </c>
      <c r="J176" s="9">
        <f t="shared" si="149"/>
        <v>0</v>
      </c>
      <c r="K176" s="9">
        <f t="shared" si="149"/>
        <v>0</v>
      </c>
      <c r="L176" s="9">
        <f t="shared" ref="L176:Z176" si="150">L71</f>
        <v>0</v>
      </c>
      <c r="M176" s="9">
        <f t="shared" si="150"/>
        <v>0</v>
      </c>
      <c r="N176" s="9">
        <f t="shared" si="150"/>
        <v>0</v>
      </c>
      <c r="O176" s="9">
        <f t="shared" si="150"/>
        <v>0</v>
      </c>
      <c r="P176" s="9">
        <f t="shared" si="150"/>
        <v>0</v>
      </c>
      <c r="Q176" s="9">
        <f t="shared" si="150"/>
        <v>0</v>
      </c>
      <c r="R176" s="9">
        <f t="shared" si="150"/>
        <v>0</v>
      </c>
      <c r="S176" s="9">
        <f t="shared" si="150"/>
        <v>0</v>
      </c>
      <c r="T176" s="9">
        <f t="shared" si="150"/>
        <v>0</v>
      </c>
      <c r="U176" s="9">
        <f t="shared" si="150"/>
        <v>0</v>
      </c>
      <c r="V176" s="9">
        <f t="shared" si="150"/>
        <v>0</v>
      </c>
      <c r="W176" s="9">
        <f t="shared" si="150"/>
        <v>0</v>
      </c>
      <c r="X176" s="9">
        <f t="shared" si="150"/>
        <v>0</v>
      </c>
      <c r="Y176" s="9">
        <f t="shared" si="150"/>
        <v>0</v>
      </c>
      <c r="Z176" s="9">
        <f t="shared" si="150"/>
        <v>0</v>
      </c>
    </row>
    <row r="177" spans="1:26" outlineLevel="1" x14ac:dyDescent="0.4">
      <c r="A177" s="1">
        <v>16</v>
      </c>
      <c r="B177" t="s">
        <v>57</v>
      </c>
      <c r="C177" t="s">
        <v>91</v>
      </c>
      <c r="D177" s="9">
        <f t="shared" ref="D177:E177" si="151">D72</f>
        <v>670.4</v>
      </c>
      <c r="E177" s="9">
        <f t="shared" si="151"/>
        <v>816.2</v>
      </c>
      <c r="F177" s="9">
        <f t="shared" ref="F177:K177" si="152">F72</f>
        <v>870.1</v>
      </c>
      <c r="G177" s="9">
        <f t="shared" si="152"/>
        <v>0</v>
      </c>
      <c r="H177" s="9">
        <f t="shared" si="152"/>
        <v>0</v>
      </c>
      <c r="I177" s="9">
        <f t="shared" si="152"/>
        <v>0</v>
      </c>
      <c r="J177" s="9">
        <f t="shared" si="152"/>
        <v>0</v>
      </c>
      <c r="K177" s="9">
        <f t="shared" si="152"/>
        <v>0</v>
      </c>
      <c r="L177" s="9">
        <f t="shared" ref="L177:Z177" si="153">L72</f>
        <v>0</v>
      </c>
      <c r="M177" s="9">
        <f t="shared" si="153"/>
        <v>0</v>
      </c>
      <c r="N177" s="9">
        <f t="shared" si="153"/>
        <v>0</v>
      </c>
      <c r="O177" s="9">
        <f t="shared" si="153"/>
        <v>0</v>
      </c>
      <c r="P177" s="9">
        <f t="shared" si="153"/>
        <v>0</v>
      </c>
      <c r="Q177" s="9">
        <f t="shared" si="153"/>
        <v>0</v>
      </c>
      <c r="R177" s="9">
        <f t="shared" si="153"/>
        <v>0</v>
      </c>
      <c r="S177" s="9">
        <f t="shared" si="153"/>
        <v>0</v>
      </c>
      <c r="T177" s="9">
        <f t="shared" si="153"/>
        <v>0</v>
      </c>
      <c r="U177" s="9">
        <f t="shared" si="153"/>
        <v>0</v>
      </c>
      <c r="V177" s="9">
        <f t="shared" si="153"/>
        <v>0</v>
      </c>
      <c r="W177" s="9">
        <f t="shared" si="153"/>
        <v>0</v>
      </c>
      <c r="X177" s="9">
        <f t="shared" si="153"/>
        <v>0</v>
      </c>
      <c r="Y177" s="9">
        <f t="shared" si="153"/>
        <v>0</v>
      </c>
      <c r="Z177" s="9">
        <f t="shared" si="153"/>
        <v>0</v>
      </c>
    </row>
    <row r="178" spans="1:26" outlineLevel="1" x14ac:dyDescent="0.4">
      <c r="A178" s="1">
        <v>17</v>
      </c>
      <c r="B178" t="s">
        <v>58</v>
      </c>
      <c r="C178" t="s">
        <v>92</v>
      </c>
      <c r="D178" s="9">
        <f t="shared" ref="D178:E178" si="154">D51</f>
        <v>663</v>
      </c>
      <c r="E178" s="9">
        <f t="shared" si="154"/>
        <v>637.29999999999995</v>
      </c>
      <c r="F178" s="9">
        <f t="shared" ref="F178:K178" si="155">F51</f>
        <v>359.2</v>
      </c>
      <c r="G178" s="9">
        <f t="shared" si="155"/>
        <v>0</v>
      </c>
      <c r="H178" s="9">
        <f t="shared" si="155"/>
        <v>0</v>
      </c>
      <c r="I178" s="9">
        <f t="shared" si="155"/>
        <v>0</v>
      </c>
      <c r="J178" s="9">
        <f t="shared" si="155"/>
        <v>0</v>
      </c>
      <c r="K178" s="9">
        <f t="shared" si="155"/>
        <v>0</v>
      </c>
      <c r="L178" s="9">
        <f t="shared" ref="L178:Z178" si="156">L51</f>
        <v>0</v>
      </c>
      <c r="M178" s="9">
        <f t="shared" si="156"/>
        <v>0</v>
      </c>
      <c r="N178" s="9">
        <f t="shared" si="156"/>
        <v>0</v>
      </c>
      <c r="O178" s="9">
        <f t="shared" si="156"/>
        <v>0</v>
      </c>
      <c r="P178" s="9">
        <f t="shared" si="156"/>
        <v>0</v>
      </c>
      <c r="Q178" s="9">
        <f t="shared" si="156"/>
        <v>0</v>
      </c>
      <c r="R178" s="9">
        <f t="shared" si="156"/>
        <v>0</v>
      </c>
      <c r="S178" s="9">
        <f t="shared" si="156"/>
        <v>0</v>
      </c>
      <c r="T178" s="9">
        <f t="shared" si="156"/>
        <v>0</v>
      </c>
      <c r="U178" s="9">
        <f t="shared" si="156"/>
        <v>0</v>
      </c>
      <c r="V178" s="9">
        <f t="shared" si="156"/>
        <v>0</v>
      </c>
      <c r="W178" s="9">
        <f t="shared" si="156"/>
        <v>0</v>
      </c>
      <c r="X178" s="9">
        <f t="shared" si="156"/>
        <v>0</v>
      </c>
      <c r="Y178" s="9">
        <f t="shared" si="156"/>
        <v>0</v>
      </c>
      <c r="Z178" s="9">
        <f t="shared" si="156"/>
        <v>0</v>
      </c>
    </row>
    <row r="179" spans="1:26" outlineLevel="1" x14ac:dyDescent="0.4">
      <c r="A179" s="1">
        <v>18</v>
      </c>
      <c r="B179" t="s">
        <v>59</v>
      </c>
      <c r="C179" t="s">
        <v>93</v>
      </c>
      <c r="D179" s="9">
        <f t="shared" ref="D179:E179" si="157">D64+(D52-D68)+D54+D56+D59</f>
        <v>946.5</v>
      </c>
      <c r="E179" s="9">
        <f t="shared" si="157"/>
        <v>1052.5</v>
      </c>
      <c r="F179" s="9">
        <f t="shared" ref="F179:K179" si="158">F64+(F52-F68)+F54+F56+F59</f>
        <v>982.80000000000007</v>
      </c>
      <c r="G179" s="9">
        <f t="shared" si="158"/>
        <v>0</v>
      </c>
      <c r="H179" s="9">
        <f t="shared" si="158"/>
        <v>0</v>
      </c>
      <c r="I179" s="9">
        <f t="shared" si="158"/>
        <v>0</v>
      </c>
      <c r="J179" s="9">
        <f t="shared" si="158"/>
        <v>0</v>
      </c>
      <c r="K179" s="9">
        <f t="shared" si="158"/>
        <v>0</v>
      </c>
      <c r="L179" s="9">
        <f t="shared" ref="L179:Z179" si="159">L64+(L52-L68)+L54+L56+L59</f>
        <v>0</v>
      </c>
      <c r="M179" s="9">
        <f t="shared" si="159"/>
        <v>0</v>
      </c>
      <c r="N179" s="9">
        <f t="shared" si="159"/>
        <v>0</v>
      </c>
      <c r="O179" s="9">
        <f t="shared" si="159"/>
        <v>0</v>
      </c>
      <c r="P179" s="9">
        <f t="shared" si="159"/>
        <v>0</v>
      </c>
      <c r="Q179" s="9">
        <f t="shared" si="159"/>
        <v>0</v>
      </c>
      <c r="R179" s="9">
        <f t="shared" si="159"/>
        <v>0</v>
      </c>
      <c r="S179" s="9">
        <f t="shared" si="159"/>
        <v>0</v>
      </c>
      <c r="T179" s="9">
        <f t="shared" si="159"/>
        <v>0</v>
      </c>
      <c r="U179" s="9">
        <f t="shared" si="159"/>
        <v>0</v>
      </c>
      <c r="V179" s="9">
        <f t="shared" si="159"/>
        <v>0</v>
      </c>
      <c r="W179" s="9">
        <f t="shared" si="159"/>
        <v>0</v>
      </c>
      <c r="X179" s="9">
        <f t="shared" si="159"/>
        <v>0</v>
      </c>
      <c r="Y179" s="9">
        <f t="shared" si="159"/>
        <v>0</v>
      </c>
      <c r="Z179" s="9">
        <f t="shared" si="159"/>
        <v>0</v>
      </c>
    </row>
    <row r="180" spans="1:26" outlineLevel="1" x14ac:dyDescent="0.4">
      <c r="A180" s="1">
        <v>19</v>
      </c>
      <c r="B180" t="s">
        <v>10</v>
      </c>
      <c r="C180" t="s">
        <v>4</v>
      </c>
      <c r="D180" s="9">
        <f t="shared" ref="D180:E180" si="160">D83</f>
        <v>1717.6</v>
      </c>
      <c r="E180" s="9">
        <f t="shared" si="160"/>
        <v>2231.3000000000002</v>
      </c>
      <c r="F180" s="9">
        <f t="shared" ref="F180:K180" si="161">F83</f>
        <v>2560.6999999999998</v>
      </c>
      <c r="G180" s="9">
        <f t="shared" si="161"/>
        <v>0</v>
      </c>
      <c r="H180" s="9">
        <f t="shared" si="161"/>
        <v>0</v>
      </c>
      <c r="I180" s="9">
        <f t="shared" si="161"/>
        <v>0</v>
      </c>
      <c r="J180" s="9">
        <f t="shared" si="161"/>
        <v>0</v>
      </c>
      <c r="K180" s="9">
        <f t="shared" si="161"/>
        <v>0</v>
      </c>
      <c r="L180" s="9">
        <f t="shared" ref="L180:Z180" si="162">L83</f>
        <v>0</v>
      </c>
      <c r="M180" s="9">
        <f t="shared" si="162"/>
        <v>0</v>
      </c>
      <c r="N180" s="9">
        <f t="shared" si="162"/>
        <v>0</v>
      </c>
      <c r="O180" s="9">
        <f t="shared" si="162"/>
        <v>0</v>
      </c>
      <c r="P180" s="9">
        <f t="shared" si="162"/>
        <v>0</v>
      </c>
      <c r="Q180" s="9">
        <f t="shared" si="162"/>
        <v>0</v>
      </c>
      <c r="R180" s="9">
        <f t="shared" si="162"/>
        <v>0</v>
      </c>
      <c r="S180" s="9">
        <f t="shared" si="162"/>
        <v>0</v>
      </c>
      <c r="T180" s="9">
        <f t="shared" si="162"/>
        <v>0</v>
      </c>
      <c r="U180" s="9">
        <f t="shared" si="162"/>
        <v>0</v>
      </c>
      <c r="V180" s="9">
        <f t="shared" si="162"/>
        <v>0</v>
      </c>
      <c r="W180" s="9">
        <f t="shared" si="162"/>
        <v>0</v>
      </c>
      <c r="X180" s="9">
        <f t="shared" si="162"/>
        <v>0</v>
      </c>
      <c r="Y180" s="9">
        <f t="shared" si="162"/>
        <v>0</v>
      </c>
      <c r="Z180" s="9">
        <f t="shared" si="162"/>
        <v>0</v>
      </c>
    </row>
    <row r="181" spans="1:26" outlineLevel="1" x14ac:dyDescent="0.4">
      <c r="A181" s="1">
        <v>20</v>
      </c>
      <c r="B181" s="2" t="s">
        <v>60</v>
      </c>
    </row>
    <row r="182" spans="1:26" outlineLevel="1" x14ac:dyDescent="0.4">
      <c r="A182" s="1">
        <v>21</v>
      </c>
      <c r="B182" t="s">
        <v>61</v>
      </c>
      <c r="C182" t="s">
        <v>94</v>
      </c>
      <c r="D182" s="172">
        <f t="shared" ref="D182:E182" si="163">D60</f>
        <v>267.7</v>
      </c>
      <c r="E182" s="172">
        <f t="shared" si="163"/>
        <v>87.9</v>
      </c>
      <c r="F182" s="172">
        <f t="shared" ref="F182:K182" si="164">F60</f>
        <v>128.30000000000001</v>
      </c>
      <c r="G182" s="172">
        <f t="shared" si="164"/>
        <v>0</v>
      </c>
      <c r="H182" s="172">
        <f t="shared" si="164"/>
        <v>0</v>
      </c>
      <c r="I182" s="172">
        <f t="shared" si="164"/>
        <v>0</v>
      </c>
      <c r="J182" s="172">
        <f t="shared" si="164"/>
        <v>0</v>
      </c>
      <c r="K182" s="172">
        <f t="shared" si="164"/>
        <v>0</v>
      </c>
      <c r="L182" s="172">
        <f t="shared" ref="L182:Z182" si="165">L60</f>
        <v>0</v>
      </c>
      <c r="M182" s="172">
        <f t="shared" si="165"/>
        <v>0</v>
      </c>
      <c r="N182" s="172">
        <f t="shared" si="165"/>
        <v>0</v>
      </c>
      <c r="O182" s="172">
        <f t="shared" si="165"/>
        <v>0</v>
      </c>
      <c r="P182" s="172">
        <f t="shared" si="165"/>
        <v>0</v>
      </c>
      <c r="Q182" s="172">
        <f t="shared" si="165"/>
        <v>0</v>
      </c>
      <c r="R182" s="172">
        <f t="shared" si="165"/>
        <v>0</v>
      </c>
      <c r="S182" s="172">
        <f t="shared" si="165"/>
        <v>0</v>
      </c>
      <c r="T182" s="172">
        <f t="shared" si="165"/>
        <v>0</v>
      </c>
      <c r="U182" s="172">
        <f t="shared" si="165"/>
        <v>0</v>
      </c>
      <c r="V182" s="172">
        <f t="shared" si="165"/>
        <v>0</v>
      </c>
      <c r="W182" s="172">
        <f t="shared" si="165"/>
        <v>0</v>
      </c>
      <c r="X182" s="172">
        <f t="shared" si="165"/>
        <v>0</v>
      </c>
      <c r="Y182" s="172">
        <f t="shared" si="165"/>
        <v>0</v>
      </c>
      <c r="Z182" s="172">
        <f t="shared" si="165"/>
        <v>0</v>
      </c>
    </row>
    <row r="183" spans="1:26" outlineLevel="1" x14ac:dyDescent="0.4">
      <c r="A183" s="1">
        <v>22</v>
      </c>
      <c r="B183" t="s">
        <v>62</v>
      </c>
      <c r="C183" t="s">
        <v>95</v>
      </c>
      <c r="D183" s="172">
        <f t="shared" ref="D183:E183" si="166">D84+D78</f>
        <v>305.39999999999998</v>
      </c>
      <c r="E183" s="172">
        <f t="shared" si="166"/>
        <v>51</v>
      </c>
      <c r="F183" s="172">
        <f t="shared" ref="F183:K183" si="167">F84+F78</f>
        <v>153</v>
      </c>
      <c r="G183" s="172">
        <f t="shared" si="167"/>
        <v>0</v>
      </c>
      <c r="H183" s="172">
        <f t="shared" si="167"/>
        <v>0</v>
      </c>
      <c r="I183" s="172">
        <f t="shared" si="167"/>
        <v>0</v>
      </c>
      <c r="J183" s="172">
        <f t="shared" si="167"/>
        <v>0</v>
      </c>
      <c r="K183" s="172">
        <f t="shared" si="167"/>
        <v>0</v>
      </c>
      <c r="L183" s="172">
        <f t="shared" ref="L183:Z183" si="168">L84+L78</f>
        <v>0</v>
      </c>
      <c r="M183" s="172">
        <f t="shared" si="168"/>
        <v>0</v>
      </c>
      <c r="N183" s="172">
        <f t="shared" si="168"/>
        <v>0</v>
      </c>
      <c r="O183" s="172">
        <f t="shared" si="168"/>
        <v>0</v>
      </c>
      <c r="P183" s="172">
        <f t="shared" si="168"/>
        <v>0</v>
      </c>
      <c r="Q183" s="172">
        <f t="shared" si="168"/>
        <v>0</v>
      </c>
      <c r="R183" s="172">
        <f t="shared" si="168"/>
        <v>0</v>
      </c>
      <c r="S183" s="172">
        <f t="shared" si="168"/>
        <v>0</v>
      </c>
      <c r="T183" s="172">
        <f t="shared" si="168"/>
        <v>0</v>
      </c>
      <c r="U183" s="172">
        <f t="shared" si="168"/>
        <v>0</v>
      </c>
      <c r="V183" s="172">
        <f t="shared" si="168"/>
        <v>0</v>
      </c>
      <c r="W183" s="172">
        <f t="shared" si="168"/>
        <v>0</v>
      </c>
      <c r="X183" s="172">
        <f t="shared" si="168"/>
        <v>0</v>
      </c>
      <c r="Y183" s="172">
        <f t="shared" si="168"/>
        <v>0</v>
      </c>
      <c r="Z183" s="172">
        <f t="shared" si="168"/>
        <v>0</v>
      </c>
    </row>
    <row r="184" spans="1:26" outlineLevel="1" x14ac:dyDescent="0.4">
      <c r="A184" s="1">
        <v>23</v>
      </c>
      <c r="B184" t="s">
        <v>63</v>
      </c>
      <c r="C184" t="s">
        <v>96</v>
      </c>
      <c r="D184" s="9">
        <f t="shared" ref="D184" si="169">D173+D174+D175+D176+D177+D178+D179+D180+D182+D183</f>
        <v>15964.5</v>
      </c>
      <c r="E184" s="9">
        <f>E173+E174+E175+E176+E177+E178+E179+E180+E182+E183</f>
        <v>17182.600000000002</v>
      </c>
      <c r="F184" s="9">
        <f t="shared" ref="F184:K184" si="170">F173+F174+F175+F176+F177+F178+F179+F180+F182+F183</f>
        <v>18413.5</v>
      </c>
      <c r="G184" s="9">
        <f t="shared" si="170"/>
        <v>0</v>
      </c>
      <c r="H184" s="9">
        <f t="shared" si="170"/>
        <v>0</v>
      </c>
      <c r="I184" s="9">
        <f t="shared" si="170"/>
        <v>0</v>
      </c>
      <c r="J184" s="9">
        <f t="shared" si="170"/>
        <v>0</v>
      </c>
      <c r="K184" s="9">
        <f t="shared" si="170"/>
        <v>0</v>
      </c>
      <c r="L184" s="9">
        <f t="shared" ref="L184:Z184" si="171">L173+L174+L175+L176+L177+L178+L179+L180+L182+L183</f>
        <v>0</v>
      </c>
      <c r="M184" s="9">
        <f t="shared" si="171"/>
        <v>0</v>
      </c>
      <c r="N184" s="9">
        <f t="shared" si="171"/>
        <v>0</v>
      </c>
      <c r="O184" s="9">
        <f t="shared" si="171"/>
        <v>0</v>
      </c>
      <c r="P184" s="9">
        <f t="shared" si="171"/>
        <v>0</v>
      </c>
      <c r="Q184" s="9">
        <f t="shared" si="171"/>
        <v>0</v>
      </c>
      <c r="R184" s="9">
        <f t="shared" si="171"/>
        <v>0</v>
      </c>
      <c r="S184" s="9">
        <f t="shared" si="171"/>
        <v>0</v>
      </c>
      <c r="T184" s="9">
        <f t="shared" si="171"/>
        <v>0</v>
      </c>
      <c r="U184" s="9">
        <f t="shared" si="171"/>
        <v>0</v>
      </c>
      <c r="V184" s="9">
        <f t="shared" si="171"/>
        <v>0</v>
      </c>
      <c r="W184" s="9">
        <f t="shared" si="171"/>
        <v>0</v>
      </c>
      <c r="X184" s="9">
        <f t="shared" si="171"/>
        <v>0</v>
      </c>
      <c r="Y184" s="9">
        <f t="shared" si="171"/>
        <v>0</v>
      </c>
      <c r="Z184" s="9">
        <f t="shared" si="171"/>
        <v>0</v>
      </c>
    </row>
    <row r="185" spans="1:26" outlineLevel="1" x14ac:dyDescent="0.4">
      <c r="A185" s="1">
        <v>24</v>
      </c>
      <c r="B185" s="2" t="s">
        <v>64</v>
      </c>
      <c r="C185" t="s">
        <v>88</v>
      </c>
      <c r="D185" s="9">
        <f>D167</f>
        <v>428.5</v>
      </c>
      <c r="E185">
        <f t="shared" ref="E185:J185" si="172">E167</f>
        <v>734.3</v>
      </c>
      <c r="F185">
        <f t="shared" si="172"/>
        <v>755.5</v>
      </c>
      <c r="G185">
        <f t="shared" si="172"/>
        <v>0</v>
      </c>
      <c r="H185">
        <f t="shared" si="172"/>
        <v>0</v>
      </c>
      <c r="I185">
        <f t="shared" si="172"/>
        <v>0</v>
      </c>
      <c r="J185">
        <f t="shared" si="172"/>
        <v>0</v>
      </c>
    </row>
    <row r="186" spans="1:26" outlineLevel="1" x14ac:dyDescent="0.4">
      <c r="A186" s="1">
        <v>25</v>
      </c>
      <c r="B186" t="s">
        <v>65</v>
      </c>
      <c r="D186" s="9">
        <f t="shared" ref="D186:E186" si="173">D184-D185</f>
        <v>15536</v>
      </c>
      <c r="E186" s="9">
        <f t="shared" si="173"/>
        <v>16448.300000000003</v>
      </c>
      <c r="F186" s="9">
        <f t="shared" ref="F186:K186" si="174">F184-F185</f>
        <v>17658</v>
      </c>
      <c r="G186" s="9">
        <f t="shared" si="174"/>
        <v>0</v>
      </c>
      <c r="H186" s="9">
        <f t="shared" si="174"/>
        <v>0</v>
      </c>
      <c r="I186" s="9">
        <f t="shared" si="174"/>
        <v>0</v>
      </c>
      <c r="J186" s="9">
        <f t="shared" si="174"/>
        <v>0</v>
      </c>
      <c r="K186" s="9">
        <f t="shared" si="174"/>
        <v>0</v>
      </c>
      <c r="L186" s="9">
        <f t="shared" ref="L186:Z186" si="175">L184-L185</f>
        <v>0</v>
      </c>
      <c r="M186" s="9">
        <f t="shared" si="175"/>
        <v>0</v>
      </c>
      <c r="N186" s="9">
        <f t="shared" si="175"/>
        <v>0</v>
      </c>
      <c r="O186" s="9">
        <f t="shared" si="175"/>
        <v>0</v>
      </c>
      <c r="P186" s="9">
        <f t="shared" si="175"/>
        <v>0</v>
      </c>
      <c r="Q186" s="9">
        <f t="shared" si="175"/>
        <v>0</v>
      </c>
      <c r="R186" s="9">
        <f t="shared" si="175"/>
        <v>0</v>
      </c>
      <c r="S186" s="9">
        <f t="shared" si="175"/>
        <v>0</v>
      </c>
      <c r="T186" s="9">
        <f t="shared" si="175"/>
        <v>0</v>
      </c>
      <c r="U186" s="9">
        <f t="shared" si="175"/>
        <v>0</v>
      </c>
      <c r="V186" s="9">
        <f t="shared" si="175"/>
        <v>0</v>
      </c>
      <c r="W186" s="9">
        <f t="shared" si="175"/>
        <v>0</v>
      </c>
      <c r="X186" s="9">
        <f t="shared" si="175"/>
        <v>0</v>
      </c>
      <c r="Y186" s="9">
        <f t="shared" si="175"/>
        <v>0</v>
      </c>
      <c r="Z186" s="9">
        <f t="shared" si="175"/>
        <v>0</v>
      </c>
    </row>
    <row r="187" spans="1:26" outlineLevel="1" x14ac:dyDescent="0.4">
      <c r="A187" s="1">
        <v>26</v>
      </c>
      <c r="B187" t="s">
        <v>702</v>
      </c>
      <c r="C187" t="s">
        <v>925</v>
      </c>
      <c r="D187" s="9">
        <f>D93</f>
        <v>0</v>
      </c>
      <c r="E187">
        <f t="shared" ref="E187:J187" si="176">E93</f>
        <v>158.25</v>
      </c>
      <c r="F187">
        <f t="shared" si="176"/>
        <v>137.65</v>
      </c>
      <c r="G187">
        <f t="shared" si="176"/>
        <v>0</v>
      </c>
      <c r="H187">
        <f t="shared" si="176"/>
        <v>0</v>
      </c>
      <c r="I187">
        <f t="shared" si="176"/>
        <v>0</v>
      </c>
      <c r="J187">
        <f t="shared" si="176"/>
        <v>0</v>
      </c>
    </row>
    <row r="188" spans="1:26" outlineLevel="1" x14ac:dyDescent="0.4">
      <c r="A188" s="1">
        <v>27</v>
      </c>
      <c r="B188" t="s">
        <v>66</v>
      </c>
      <c r="C188" t="s">
        <v>924</v>
      </c>
      <c r="D188" s="9">
        <f>D96</f>
        <v>0</v>
      </c>
      <c r="E188" s="9">
        <f t="shared" ref="E188:J188" si="177">E96</f>
        <v>-1.262</v>
      </c>
      <c r="F188" s="9">
        <f t="shared" si="177"/>
        <v>4.1689999999999996</v>
      </c>
      <c r="G188" s="9">
        <f t="shared" si="177"/>
        <v>0</v>
      </c>
      <c r="H188" s="9">
        <f t="shared" si="177"/>
        <v>0</v>
      </c>
      <c r="I188" s="9">
        <f t="shared" si="177"/>
        <v>0</v>
      </c>
      <c r="J188" s="9">
        <f t="shared" si="177"/>
        <v>0</v>
      </c>
      <c r="K188" s="9"/>
      <c r="L188" s="9"/>
      <c r="M188" s="9"/>
      <c r="N188" s="9"/>
      <c r="O188" s="9"/>
      <c r="P188" s="9"/>
      <c r="Q188" s="9"/>
      <c r="R188" s="9"/>
      <c r="S188" s="9"/>
      <c r="T188" s="9"/>
      <c r="U188" s="9"/>
      <c r="V188" s="9"/>
      <c r="W188" s="9"/>
      <c r="X188" s="9"/>
      <c r="Y188" s="9"/>
      <c r="Z188" s="9"/>
    </row>
    <row r="189" spans="1:26" outlineLevel="1" x14ac:dyDescent="0.4">
      <c r="A189" s="1">
        <v>28</v>
      </c>
      <c r="B189" t="s">
        <v>67</v>
      </c>
      <c r="C189" t="s">
        <v>926</v>
      </c>
      <c r="D189" s="9">
        <f t="shared" ref="D189:E189" si="178">D97</f>
        <v>0</v>
      </c>
      <c r="E189" s="9">
        <f t="shared" si="178"/>
        <v>0</v>
      </c>
      <c r="F189" s="9">
        <f t="shared" ref="F189:K189" si="179">F97</f>
        <v>0</v>
      </c>
      <c r="G189" s="9">
        <f t="shared" si="179"/>
        <v>0</v>
      </c>
      <c r="H189" s="9">
        <f t="shared" si="179"/>
        <v>0</v>
      </c>
      <c r="I189" s="9">
        <f t="shared" si="179"/>
        <v>0</v>
      </c>
      <c r="J189" s="9">
        <f t="shared" si="179"/>
        <v>0</v>
      </c>
      <c r="K189" s="9">
        <f t="shared" si="179"/>
        <v>0</v>
      </c>
      <c r="L189" s="9">
        <f t="shared" ref="L189:Z189" si="180">L97</f>
        <v>0</v>
      </c>
      <c r="M189" s="9">
        <f t="shared" si="180"/>
        <v>0</v>
      </c>
      <c r="N189" s="9">
        <f t="shared" si="180"/>
        <v>0</v>
      </c>
      <c r="O189" s="9">
        <f t="shared" si="180"/>
        <v>0</v>
      </c>
      <c r="P189" s="9">
        <f t="shared" si="180"/>
        <v>0</v>
      </c>
      <c r="Q189" s="9">
        <f t="shared" si="180"/>
        <v>0</v>
      </c>
      <c r="R189" s="9">
        <f t="shared" si="180"/>
        <v>0</v>
      </c>
      <c r="S189" s="9">
        <f t="shared" si="180"/>
        <v>0</v>
      </c>
      <c r="T189" s="9">
        <f t="shared" si="180"/>
        <v>0</v>
      </c>
      <c r="U189" s="9">
        <f t="shared" si="180"/>
        <v>0</v>
      </c>
      <c r="V189" s="9">
        <f t="shared" si="180"/>
        <v>0</v>
      </c>
      <c r="W189" s="9">
        <f t="shared" si="180"/>
        <v>0</v>
      </c>
      <c r="X189" s="9">
        <f t="shared" si="180"/>
        <v>0</v>
      </c>
      <c r="Y189" s="9">
        <f t="shared" si="180"/>
        <v>0</v>
      </c>
      <c r="Z189" s="9">
        <f t="shared" si="180"/>
        <v>0</v>
      </c>
    </row>
    <row r="190" spans="1:26" outlineLevel="1" x14ac:dyDescent="0.4">
      <c r="A190" s="1">
        <v>29</v>
      </c>
      <c r="B190" t="s">
        <v>68</v>
      </c>
      <c r="D190" s="9">
        <f t="shared" ref="D190:E190" si="181">D186-D187-D188-D189-D175</f>
        <v>15352.8</v>
      </c>
      <c r="E190" s="9">
        <f t="shared" si="181"/>
        <v>16004.412000000004</v>
      </c>
      <c r="F190" s="9">
        <f t="shared" ref="F190:K190" si="182">F186-F187-F188-F189-F175</f>
        <v>17072.880999999998</v>
      </c>
      <c r="G190" s="9">
        <f t="shared" si="182"/>
        <v>0</v>
      </c>
      <c r="H190" s="9">
        <f t="shared" si="182"/>
        <v>0</v>
      </c>
      <c r="I190" s="9">
        <f t="shared" si="182"/>
        <v>0</v>
      </c>
      <c r="J190" s="9">
        <f t="shared" si="182"/>
        <v>0</v>
      </c>
      <c r="K190" s="9">
        <f t="shared" si="182"/>
        <v>0</v>
      </c>
      <c r="L190" s="9">
        <f t="shared" ref="L190:Z190" si="183">L186-L187-L188-L189-L175</f>
        <v>0</v>
      </c>
      <c r="M190" s="9">
        <f t="shared" si="183"/>
        <v>0</v>
      </c>
      <c r="N190" s="9">
        <f t="shared" si="183"/>
        <v>0</v>
      </c>
      <c r="O190" s="9">
        <f t="shared" si="183"/>
        <v>0</v>
      </c>
      <c r="P190" s="9">
        <f t="shared" si="183"/>
        <v>0</v>
      </c>
      <c r="Q190" s="9">
        <f t="shared" si="183"/>
        <v>0</v>
      </c>
      <c r="R190" s="9">
        <f t="shared" si="183"/>
        <v>0</v>
      </c>
      <c r="S190" s="9">
        <f t="shared" si="183"/>
        <v>0</v>
      </c>
      <c r="T190" s="9">
        <f t="shared" si="183"/>
        <v>0</v>
      </c>
      <c r="U190" s="9">
        <f t="shared" si="183"/>
        <v>0</v>
      </c>
      <c r="V190" s="9">
        <f t="shared" si="183"/>
        <v>0</v>
      </c>
      <c r="W190" s="9">
        <f t="shared" si="183"/>
        <v>0</v>
      </c>
      <c r="X190" s="9">
        <f t="shared" si="183"/>
        <v>0</v>
      </c>
      <c r="Y190" s="9">
        <f t="shared" si="183"/>
        <v>0</v>
      </c>
      <c r="Z190" s="9">
        <f t="shared" si="183"/>
        <v>0</v>
      </c>
    </row>
    <row r="191" spans="1:26" outlineLevel="1" x14ac:dyDescent="0.4">
      <c r="A191" s="1"/>
      <c r="B191" s="1" t="s">
        <v>44</v>
      </c>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outlineLevel="1" x14ac:dyDescent="0.4">
      <c r="A192" s="1">
        <v>30</v>
      </c>
      <c r="B192" t="s">
        <v>690</v>
      </c>
      <c r="D192" s="9"/>
      <c r="E192" s="9"/>
      <c r="F192" s="9"/>
      <c r="G192" s="9"/>
      <c r="H192" s="9"/>
      <c r="I192" s="9"/>
      <c r="J192" s="9"/>
      <c r="K192" s="9"/>
      <c r="L192" s="9"/>
      <c r="M192" s="9"/>
      <c r="N192" s="9"/>
      <c r="O192" s="9"/>
      <c r="P192" s="9"/>
      <c r="Q192" s="9"/>
      <c r="R192" s="9"/>
      <c r="S192" s="9"/>
      <c r="T192" s="9"/>
      <c r="U192" s="9"/>
      <c r="V192" s="9"/>
      <c r="W192" s="9"/>
      <c r="X192" s="9"/>
      <c r="Y192" s="9"/>
      <c r="Z192" s="9"/>
    </row>
    <row r="193" spans="1:26" outlineLevel="1" x14ac:dyDescent="0.4">
      <c r="A193" s="1"/>
      <c r="B193" s="1" t="s">
        <v>69</v>
      </c>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outlineLevel="1" x14ac:dyDescent="0.4">
      <c r="A194" s="1">
        <v>31</v>
      </c>
      <c r="B194" t="s">
        <v>70</v>
      </c>
      <c r="C194" t="s">
        <v>33</v>
      </c>
      <c r="D194" s="6">
        <f t="shared" ref="D194:E194" si="184">D166-D184</f>
        <v>-1753.5000000000018</v>
      </c>
      <c r="E194" s="6">
        <f t="shared" si="184"/>
        <v>-926.90000000000327</v>
      </c>
      <c r="F194" s="6">
        <f t="shared" ref="F194:K194" si="185">F166-F184</f>
        <v>-726.40000000000146</v>
      </c>
      <c r="G194" s="6">
        <f t="shared" si="185"/>
        <v>0</v>
      </c>
      <c r="H194" s="6">
        <f t="shared" si="185"/>
        <v>0</v>
      </c>
      <c r="I194" s="6">
        <f t="shared" si="185"/>
        <v>0</v>
      </c>
      <c r="J194" s="6">
        <f t="shared" si="185"/>
        <v>0</v>
      </c>
      <c r="K194" s="6">
        <f t="shared" si="185"/>
        <v>0</v>
      </c>
      <c r="L194" s="6">
        <f t="shared" ref="L194:Z194" si="186">L166-L184</f>
        <v>0</v>
      </c>
      <c r="M194" s="6">
        <f t="shared" si="186"/>
        <v>0</v>
      </c>
      <c r="N194" s="6">
        <f t="shared" si="186"/>
        <v>0</v>
      </c>
      <c r="O194" s="6">
        <f t="shared" si="186"/>
        <v>0</v>
      </c>
      <c r="P194" s="6">
        <f t="shared" si="186"/>
        <v>0</v>
      </c>
      <c r="Q194" s="6">
        <f t="shared" si="186"/>
        <v>0</v>
      </c>
      <c r="R194" s="6">
        <f t="shared" si="186"/>
        <v>0</v>
      </c>
      <c r="S194" s="6">
        <f t="shared" si="186"/>
        <v>0</v>
      </c>
      <c r="T194" s="6">
        <f t="shared" si="186"/>
        <v>0</v>
      </c>
      <c r="U194" s="6">
        <f t="shared" si="186"/>
        <v>0</v>
      </c>
      <c r="V194" s="6">
        <f t="shared" si="186"/>
        <v>0</v>
      </c>
      <c r="W194" s="6">
        <f t="shared" si="186"/>
        <v>0</v>
      </c>
      <c r="X194" s="6">
        <f t="shared" si="186"/>
        <v>0</v>
      </c>
      <c r="Y194" s="6">
        <f t="shared" si="186"/>
        <v>0</v>
      </c>
      <c r="Z194" s="6">
        <f t="shared" si="186"/>
        <v>0</v>
      </c>
    </row>
    <row r="195" spans="1:26" outlineLevel="1" x14ac:dyDescent="0.4">
      <c r="A195" s="1">
        <v>32</v>
      </c>
      <c r="B195" t="s">
        <v>71</v>
      </c>
      <c r="C195" t="s">
        <v>97</v>
      </c>
      <c r="D195" s="6">
        <f t="shared" ref="D195:E195" si="187">D194-D175</f>
        <v>-1936.7000000000019</v>
      </c>
      <c r="E195" s="6">
        <f t="shared" si="187"/>
        <v>-1213.8000000000034</v>
      </c>
      <c r="F195" s="6">
        <f t="shared" ref="F195:K195" si="188">F194-F175</f>
        <v>-1169.7000000000014</v>
      </c>
      <c r="G195" s="6">
        <f t="shared" si="188"/>
        <v>0</v>
      </c>
      <c r="H195" s="6">
        <f t="shared" si="188"/>
        <v>0</v>
      </c>
      <c r="I195" s="6">
        <f t="shared" si="188"/>
        <v>0</v>
      </c>
      <c r="J195" s="6">
        <f t="shared" si="188"/>
        <v>0</v>
      </c>
      <c r="K195" s="6">
        <f t="shared" si="188"/>
        <v>0</v>
      </c>
      <c r="L195" s="6">
        <f t="shared" ref="L195:Z195" si="189">L194-L175</f>
        <v>0</v>
      </c>
      <c r="M195" s="6">
        <f t="shared" si="189"/>
        <v>0</v>
      </c>
      <c r="N195" s="6">
        <f t="shared" si="189"/>
        <v>0</v>
      </c>
      <c r="O195" s="6">
        <f t="shared" si="189"/>
        <v>0</v>
      </c>
      <c r="P195" s="6">
        <f t="shared" si="189"/>
        <v>0</v>
      </c>
      <c r="Q195" s="6">
        <f t="shared" si="189"/>
        <v>0</v>
      </c>
      <c r="R195" s="6">
        <f t="shared" si="189"/>
        <v>0</v>
      </c>
      <c r="S195" s="6">
        <f t="shared" si="189"/>
        <v>0</v>
      </c>
      <c r="T195" s="6">
        <f t="shared" si="189"/>
        <v>0</v>
      </c>
      <c r="U195" s="6">
        <f t="shared" si="189"/>
        <v>0</v>
      </c>
      <c r="V195" s="6">
        <f t="shared" si="189"/>
        <v>0</v>
      </c>
      <c r="W195" s="6">
        <f t="shared" si="189"/>
        <v>0</v>
      </c>
      <c r="X195" s="6">
        <f t="shared" si="189"/>
        <v>0</v>
      </c>
      <c r="Y195" s="6">
        <f t="shared" si="189"/>
        <v>0</v>
      </c>
      <c r="Z195" s="6">
        <f t="shared" si="189"/>
        <v>0</v>
      </c>
    </row>
    <row r="196" spans="1:26" outlineLevel="1" x14ac:dyDescent="0.4">
      <c r="A196" s="1"/>
      <c r="B196" s="1" t="s">
        <v>72</v>
      </c>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outlineLevel="1" x14ac:dyDescent="0.4">
      <c r="A197" s="1">
        <v>33</v>
      </c>
      <c r="B197" t="s">
        <v>0</v>
      </c>
      <c r="C197" t="s">
        <v>704</v>
      </c>
    </row>
    <row r="198" spans="1:26" outlineLevel="1" x14ac:dyDescent="0.4">
      <c r="A198" s="1">
        <v>34</v>
      </c>
      <c r="B198" t="s">
        <v>3</v>
      </c>
      <c r="C198" t="s">
        <v>705</v>
      </c>
    </row>
    <row r="199" spans="1:26" outlineLevel="1" x14ac:dyDescent="0.4">
      <c r="A199" s="1"/>
      <c r="B199" s="1" t="s">
        <v>20</v>
      </c>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outlineLevel="1" x14ac:dyDescent="0.4">
      <c r="A200" s="1">
        <v>35</v>
      </c>
      <c r="B200" t="s">
        <v>1</v>
      </c>
      <c r="D200" s="9">
        <f t="shared" ref="D200:E200" si="190">D88</f>
        <v>16038.9</v>
      </c>
      <c r="E200" s="9">
        <f t="shared" si="190"/>
        <v>17578.5</v>
      </c>
      <c r="F200" s="9">
        <f t="shared" ref="F200:K200" si="191">F88</f>
        <v>18801.5</v>
      </c>
      <c r="G200" s="9">
        <f t="shared" si="191"/>
        <v>0</v>
      </c>
      <c r="H200" s="9">
        <f t="shared" si="191"/>
        <v>0</v>
      </c>
      <c r="I200" s="9">
        <f t="shared" si="191"/>
        <v>0</v>
      </c>
      <c r="J200" s="9">
        <f t="shared" si="191"/>
        <v>0</v>
      </c>
      <c r="K200" s="9">
        <f t="shared" si="191"/>
        <v>0</v>
      </c>
      <c r="L200" s="9">
        <f t="shared" ref="L200:Z200" si="192">L88</f>
        <v>0</v>
      </c>
      <c r="M200" s="9">
        <f t="shared" si="192"/>
        <v>0</v>
      </c>
      <c r="N200" s="9">
        <f t="shared" si="192"/>
        <v>0</v>
      </c>
      <c r="O200" s="9">
        <f t="shared" si="192"/>
        <v>0</v>
      </c>
      <c r="P200" s="9">
        <f t="shared" si="192"/>
        <v>0</v>
      </c>
      <c r="Q200" s="9">
        <f t="shared" si="192"/>
        <v>0</v>
      </c>
      <c r="R200" s="9">
        <f t="shared" si="192"/>
        <v>0</v>
      </c>
      <c r="S200" s="9">
        <f t="shared" si="192"/>
        <v>0</v>
      </c>
      <c r="T200" s="9">
        <f t="shared" si="192"/>
        <v>0</v>
      </c>
      <c r="U200" s="9">
        <f t="shared" si="192"/>
        <v>0</v>
      </c>
      <c r="V200" s="9">
        <f t="shared" si="192"/>
        <v>0</v>
      </c>
      <c r="W200" s="9">
        <f t="shared" si="192"/>
        <v>0</v>
      </c>
      <c r="X200" s="9">
        <f t="shared" si="192"/>
        <v>0</v>
      </c>
      <c r="Y200" s="9">
        <f t="shared" si="192"/>
        <v>0</v>
      </c>
      <c r="Z200" s="9">
        <f t="shared" si="192"/>
        <v>0</v>
      </c>
    </row>
    <row r="201" spans="1:26" outlineLevel="1" x14ac:dyDescent="0.4">
      <c r="A201" s="1">
        <v>36</v>
      </c>
      <c r="B201" t="s">
        <v>2</v>
      </c>
      <c r="D201" s="9"/>
      <c r="E201" s="9">
        <f>E200-D200</f>
        <v>1539.6000000000004</v>
      </c>
      <c r="F201" s="9">
        <f t="shared" ref="F201" si="193">F200-E200</f>
        <v>1223</v>
      </c>
      <c r="G201" s="9">
        <f t="shared" ref="G201" si="194">G200-F200</f>
        <v>-18801.5</v>
      </c>
      <c r="H201" s="9">
        <f t="shared" ref="H201" si="195">H200-G200</f>
        <v>0</v>
      </c>
      <c r="I201" s="9">
        <f t="shared" ref="I201" si="196">I200-H200</f>
        <v>0</v>
      </c>
      <c r="J201" s="9">
        <f t="shared" ref="J201" si="197">J200-I200</f>
        <v>0</v>
      </c>
      <c r="K201" s="9">
        <f t="shared" ref="K201" si="198">K200-J200</f>
        <v>0</v>
      </c>
      <c r="L201" s="9">
        <f t="shared" ref="L201" si="199">L200-K200</f>
        <v>0</v>
      </c>
      <c r="M201" s="9">
        <f t="shared" ref="M201" si="200">M200-L200</f>
        <v>0</v>
      </c>
      <c r="N201" s="9">
        <f t="shared" ref="N201" si="201">N200-M200</f>
        <v>0</v>
      </c>
      <c r="O201" s="9">
        <f t="shared" ref="O201" si="202">O200-N200</f>
        <v>0</v>
      </c>
      <c r="P201" s="9">
        <f t="shared" ref="P201" si="203">P200-O200</f>
        <v>0</v>
      </c>
      <c r="Q201" s="9">
        <f t="shared" ref="Q201" si="204">Q200-P200</f>
        <v>0</v>
      </c>
      <c r="R201" s="9">
        <f t="shared" ref="R201" si="205">R200-Q200</f>
        <v>0</v>
      </c>
      <c r="S201" s="9">
        <f t="shared" ref="S201" si="206">S200-R200</f>
        <v>0</v>
      </c>
      <c r="T201" s="9">
        <f t="shared" ref="T201" si="207">T200-S200</f>
        <v>0</v>
      </c>
      <c r="U201" s="9">
        <f t="shared" ref="U201" si="208">U200-T200</f>
        <v>0</v>
      </c>
      <c r="V201" s="9">
        <f t="shared" ref="V201" si="209">V200-U200</f>
        <v>0</v>
      </c>
      <c r="W201" s="9">
        <f t="shared" ref="W201" si="210">W200-V200</f>
        <v>0</v>
      </c>
      <c r="X201" s="9">
        <f t="shared" ref="X201" si="211">X200-W200</f>
        <v>0</v>
      </c>
      <c r="Y201" s="9">
        <f t="shared" ref="Y201" si="212">Y200-X200</f>
        <v>0</v>
      </c>
      <c r="Z201" s="9">
        <f t="shared" ref="Z201" si="213">Z200-Y200</f>
        <v>0</v>
      </c>
    </row>
    <row r="202" spans="1:26" outlineLevel="1" x14ac:dyDescent="0.4">
      <c r="A202" s="1">
        <v>37</v>
      </c>
      <c r="B202" t="s">
        <v>73</v>
      </c>
    </row>
    <row r="203" spans="1:26" outlineLevel="1" x14ac:dyDescent="0.4">
      <c r="A203" s="1">
        <v>38</v>
      </c>
      <c r="B203" t="s">
        <v>74</v>
      </c>
      <c r="D203" s="9">
        <f t="shared" ref="D203:E203" si="214">-D195</f>
        <v>1936.7000000000019</v>
      </c>
      <c r="E203" s="9">
        <f t="shared" si="214"/>
        <v>1213.8000000000034</v>
      </c>
      <c r="F203" s="9">
        <f t="shared" ref="F203:K203" si="215">-F195</f>
        <v>1169.7000000000014</v>
      </c>
      <c r="G203" s="9">
        <f t="shared" si="215"/>
        <v>0</v>
      </c>
      <c r="H203" s="9">
        <f t="shared" si="215"/>
        <v>0</v>
      </c>
      <c r="I203" s="9">
        <f t="shared" si="215"/>
        <v>0</v>
      </c>
      <c r="J203" s="9">
        <f t="shared" si="215"/>
        <v>0</v>
      </c>
      <c r="K203" s="9">
        <f t="shared" si="215"/>
        <v>0</v>
      </c>
      <c r="L203" s="9">
        <f t="shared" ref="L203:Z203" si="216">-L195</f>
        <v>0</v>
      </c>
      <c r="M203" s="9">
        <f t="shared" si="216"/>
        <v>0</v>
      </c>
      <c r="N203" s="9">
        <f t="shared" si="216"/>
        <v>0</v>
      </c>
      <c r="O203" s="9">
        <f t="shared" si="216"/>
        <v>0</v>
      </c>
      <c r="P203" s="9">
        <f t="shared" si="216"/>
        <v>0</v>
      </c>
      <c r="Q203" s="9">
        <f t="shared" si="216"/>
        <v>0</v>
      </c>
      <c r="R203" s="9">
        <f t="shared" si="216"/>
        <v>0</v>
      </c>
      <c r="S203" s="9">
        <f t="shared" si="216"/>
        <v>0</v>
      </c>
      <c r="T203" s="9">
        <f t="shared" si="216"/>
        <v>0</v>
      </c>
      <c r="U203" s="9">
        <f t="shared" si="216"/>
        <v>0</v>
      </c>
      <c r="V203" s="9">
        <f t="shared" si="216"/>
        <v>0</v>
      </c>
      <c r="W203" s="9">
        <f t="shared" si="216"/>
        <v>0</v>
      </c>
      <c r="X203" s="9">
        <f t="shared" si="216"/>
        <v>0</v>
      </c>
      <c r="Y203" s="9">
        <f t="shared" si="216"/>
        <v>0</v>
      </c>
      <c r="Z203" s="9">
        <f t="shared" si="216"/>
        <v>0</v>
      </c>
    </row>
    <row r="204" spans="1:26" outlineLevel="1" x14ac:dyDescent="0.4">
      <c r="A204" s="1">
        <v>39</v>
      </c>
      <c r="B204" t="s">
        <v>75</v>
      </c>
    </row>
    <row r="205" spans="1:26" outlineLevel="1" x14ac:dyDescent="0.4">
      <c r="A205" s="1">
        <v>40</v>
      </c>
      <c r="B205" t="s">
        <v>76</v>
      </c>
      <c r="D205" s="9">
        <f t="shared" ref="D205:E205" si="217">D175</f>
        <v>183.2</v>
      </c>
      <c r="E205" s="9">
        <f t="shared" si="217"/>
        <v>286.89999999999998</v>
      </c>
      <c r="F205" s="9">
        <f t="shared" ref="F205:K205" si="218">F175</f>
        <v>443.3</v>
      </c>
      <c r="G205" s="9">
        <f t="shared" si="218"/>
        <v>0</v>
      </c>
      <c r="H205" s="9">
        <f t="shared" si="218"/>
        <v>0</v>
      </c>
      <c r="I205" s="9">
        <f t="shared" si="218"/>
        <v>0</v>
      </c>
      <c r="J205" s="9">
        <f t="shared" si="218"/>
        <v>0</v>
      </c>
      <c r="K205" s="9">
        <f t="shared" si="218"/>
        <v>0</v>
      </c>
      <c r="L205" s="9">
        <f t="shared" ref="L205:Z205" si="219">L175</f>
        <v>0</v>
      </c>
      <c r="M205" s="9">
        <f t="shared" si="219"/>
        <v>0</v>
      </c>
      <c r="N205" s="9">
        <f t="shared" si="219"/>
        <v>0</v>
      </c>
      <c r="O205" s="9">
        <f t="shared" si="219"/>
        <v>0</v>
      </c>
      <c r="P205" s="9">
        <f t="shared" si="219"/>
        <v>0</v>
      </c>
      <c r="Q205" s="9">
        <f t="shared" si="219"/>
        <v>0</v>
      </c>
      <c r="R205" s="9">
        <f t="shared" si="219"/>
        <v>0</v>
      </c>
      <c r="S205" s="9">
        <f t="shared" si="219"/>
        <v>0</v>
      </c>
      <c r="T205" s="9">
        <f t="shared" si="219"/>
        <v>0</v>
      </c>
      <c r="U205" s="9">
        <f t="shared" si="219"/>
        <v>0</v>
      </c>
      <c r="V205" s="9">
        <f t="shared" si="219"/>
        <v>0</v>
      </c>
      <c r="W205" s="9">
        <f t="shared" si="219"/>
        <v>0</v>
      </c>
      <c r="X205" s="9">
        <f t="shared" si="219"/>
        <v>0</v>
      </c>
      <c r="Y205" s="9">
        <f t="shared" si="219"/>
        <v>0</v>
      </c>
      <c r="Z205" s="9">
        <f t="shared" si="219"/>
        <v>0</v>
      </c>
    </row>
    <row r="206" spans="1:26" outlineLevel="1" x14ac:dyDescent="0.4">
      <c r="A206" s="1">
        <v>41</v>
      </c>
      <c r="B206" t="s">
        <v>77</v>
      </c>
    </row>
    <row r="207" spans="1:26" outlineLevel="1" x14ac:dyDescent="0.4">
      <c r="A207" s="1">
        <v>42</v>
      </c>
      <c r="B207" t="s">
        <v>78</v>
      </c>
    </row>
    <row r="208" spans="1:26" outlineLevel="1" x14ac:dyDescent="0.4">
      <c r="A208" s="1">
        <v>43</v>
      </c>
      <c r="B208" t="s">
        <v>79</v>
      </c>
      <c r="D208" s="9">
        <f t="shared" ref="D208:E208" si="220">D201-D203-D204</f>
        <v>-1936.7000000000019</v>
      </c>
      <c r="E208" s="9">
        <f t="shared" si="220"/>
        <v>325.799999999997</v>
      </c>
      <c r="F208" s="9">
        <f t="shared" ref="F208:K208" si="221">F201-F203-F204</f>
        <v>53.29999999999859</v>
      </c>
      <c r="G208" s="9">
        <f t="shared" si="221"/>
        <v>-18801.5</v>
      </c>
      <c r="H208" s="9">
        <f t="shared" si="221"/>
        <v>0</v>
      </c>
      <c r="I208" s="9">
        <f t="shared" si="221"/>
        <v>0</v>
      </c>
      <c r="J208" s="9">
        <f t="shared" si="221"/>
        <v>0</v>
      </c>
      <c r="K208" s="9">
        <f t="shared" si="221"/>
        <v>0</v>
      </c>
      <c r="L208" s="9">
        <f t="shared" ref="L208:Z208" si="222">L201-L203-L204</f>
        <v>0</v>
      </c>
      <c r="M208" s="9">
        <f t="shared" si="222"/>
        <v>0</v>
      </c>
      <c r="N208" s="9">
        <f t="shared" si="222"/>
        <v>0</v>
      </c>
      <c r="O208" s="9">
        <f t="shared" si="222"/>
        <v>0</v>
      </c>
      <c r="P208" s="9">
        <f t="shared" si="222"/>
        <v>0</v>
      </c>
      <c r="Q208" s="9">
        <f t="shared" si="222"/>
        <v>0</v>
      </c>
      <c r="R208" s="9">
        <f t="shared" si="222"/>
        <v>0</v>
      </c>
      <c r="S208" s="9">
        <f t="shared" si="222"/>
        <v>0</v>
      </c>
      <c r="T208" s="9">
        <f t="shared" si="222"/>
        <v>0</v>
      </c>
      <c r="U208" s="9">
        <f t="shared" si="222"/>
        <v>0</v>
      </c>
      <c r="V208" s="9">
        <f t="shared" si="222"/>
        <v>0</v>
      </c>
      <c r="W208" s="9">
        <f t="shared" si="222"/>
        <v>0</v>
      </c>
      <c r="X208" s="9">
        <f t="shared" si="222"/>
        <v>0</v>
      </c>
      <c r="Y208" s="9">
        <f t="shared" si="222"/>
        <v>0</v>
      </c>
      <c r="Z208" s="9">
        <f t="shared" si="222"/>
        <v>0</v>
      </c>
    </row>
    <row r="209" spans="1:26" outlineLevel="1"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outlineLevel="1" x14ac:dyDescent="0.4">
      <c r="A210" s="1">
        <v>44</v>
      </c>
      <c r="B210" s="7" t="s">
        <v>80</v>
      </c>
      <c r="C210" s="7"/>
      <c r="D210" s="7"/>
      <c r="E210" s="7"/>
      <c r="F210" s="7"/>
      <c r="G210" s="7"/>
      <c r="H210" s="7"/>
      <c r="I210" s="7"/>
      <c r="J210" s="7"/>
      <c r="K210" s="7"/>
      <c r="L210" s="7"/>
      <c r="M210" s="7"/>
      <c r="N210" s="7"/>
      <c r="O210" s="7"/>
      <c r="P210" s="7"/>
      <c r="Q210" s="7"/>
      <c r="R210" s="7"/>
      <c r="S210" s="7"/>
      <c r="T210" s="7"/>
      <c r="U210" s="7"/>
      <c r="V210" s="7"/>
      <c r="W210" s="7"/>
      <c r="X210" s="7"/>
      <c r="Y210" s="7"/>
      <c r="Z210" s="7"/>
    </row>
  </sheetData>
  <sheetProtection selectLockedCells="1"/>
  <phoneticPr fontId="53" type="noConversion"/>
  <conditionalFormatting sqref="D34:Z99">
    <cfRule type="expression" dxfId="150" priority="11">
      <formula>ISNUMBER(D$33)</formula>
    </cfRule>
  </conditionalFormatting>
  <conditionalFormatting sqref="E4:Z4">
    <cfRule type="expression" dxfId="149" priority="10">
      <formula>ISNUMBER(E4)</formula>
    </cfRule>
  </conditionalFormatting>
  <conditionalFormatting sqref="F5:Z5">
    <cfRule type="expression" dxfId="148" priority="9">
      <formula>F4&lt;&gt;""</formula>
    </cfRule>
  </conditionalFormatting>
  <conditionalFormatting sqref="E27:Z27">
    <cfRule type="expression" dxfId="147" priority="8">
      <formula>ISNUMBER(E4)</formula>
    </cfRule>
  </conditionalFormatting>
  <conditionalFormatting sqref="AT49:AU49 AT58:AU58 AT62:AU62 AT84:AU84 AT88:AU90 AT45:AU47">
    <cfRule type="expression" dxfId="146" priority="136">
      <formula>ISNUMBER(#REF!)</formula>
    </cfRule>
  </conditionalFormatting>
  <conditionalFormatting sqref="F103:Z105 F117:Z168 F170:Z210">
    <cfRule type="expression" dxfId="145" priority="2">
      <formula>NOT(ISNUMBER(F$103))</formula>
    </cfRule>
  </conditionalFormatting>
  <conditionalFormatting sqref="E5">
    <cfRule type="expression" dxfId="144" priority="1">
      <formula>ISNUMBER(E4)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E2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120" t="s">
        <v>966</v>
      </c>
    </row>
    <row r="2" spans="2:16" ht="13.5" customHeight="1" x14ac:dyDescent="0.4"/>
    <row r="3" spans="2:16" ht="13.5" customHeight="1" x14ac:dyDescent="0.4">
      <c r="B3" s="200"/>
      <c r="C3" s="185"/>
      <c r="F3" s="237" t="s">
        <v>930</v>
      </c>
      <c r="G3" s="199">
        <v>2026</v>
      </c>
    </row>
    <row r="4" spans="2:16" ht="13.5" customHeight="1" x14ac:dyDescent="0.4">
      <c r="B4" s="200"/>
      <c r="C4" s="185"/>
    </row>
    <row r="5" spans="2:16" ht="18" x14ac:dyDescent="0.55000000000000004">
      <c r="B5" s="67" t="str">
        <f>ScenarioName</f>
        <v>Draft Budgetary Plan 2026</v>
      </c>
    </row>
    <row r="6" spans="2:16" ht="15.75" x14ac:dyDescent="0.5">
      <c r="B6" s="56" t="s">
        <v>295</v>
      </c>
      <c r="C6" s="115"/>
      <c r="D6" s="61" cm="1">
        <f t="array" ref="D6:G6">_xlfn.SEQUENCE(1, AssessmentEnd-MTP_BaseYear+1, MTP_BaseYear)</f>
        <v>2023</v>
      </c>
      <c r="E6" s="61">
        <v>2024</v>
      </c>
      <c r="F6" s="61">
        <v>2025</v>
      </c>
      <c r="G6" s="61">
        <v>2026</v>
      </c>
      <c r="H6" s="61"/>
      <c r="I6" s="61"/>
      <c r="J6" s="61"/>
      <c r="O6" s="99" t="s">
        <v>918</v>
      </c>
      <c r="P6" s="7"/>
    </row>
    <row r="7" spans="2:16" x14ac:dyDescent="0.4">
      <c r="B7" s="58" t="s">
        <v>320</v>
      </c>
      <c r="C7" s="20"/>
      <c r="D7" s="64" t="str" cm="1">
        <f t="array" ref="D7:G7">IF(
  AND(_xlfn.ANCHORARRAY(D6)&gt;=MTP_YearT-1,_xlfn.ANCHORARRAY( D6)&lt;=MTP_EndYear),
  CHOOSE(SIGN(_xlfn.ANCHORARRAY(D6)-MTP_YearT)+2, "T-1", "T", "T+"&amp;(_xlfn.ANCHORARRAY(D6)-MTP_YearT)),
  ""
)</f>
        <v>T-1</v>
      </c>
      <c r="E7" s="64" t="str">
        <v>T</v>
      </c>
      <c r="F7" s="64" t="str">
        <v>T+1</v>
      </c>
      <c r="G7" s="64" t="str">
        <v>T+2</v>
      </c>
      <c r="H7" s="64"/>
      <c r="I7" s="64"/>
      <c r="J7" s="64"/>
      <c r="O7" t="s">
        <v>915</v>
      </c>
      <c r="P7" s="225" t="s">
        <v>917</v>
      </c>
    </row>
    <row r="8" spans="2:16" x14ac:dyDescent="0.4">
      <c r="B8" s="78" t="s">
        <v>303</v>
      </c>
      <c r="C8" s="61" t="s">
        <v>6</v>
      </c>
      <c r="D8" s="197">
        <f>IF(ISNUMBER(D$6),IF(AND(D$6&gt;=MTP_BaseYear,D$6&lt;=OutturnThrough),'Step 2 - Update outturn data'!E6,INDEX($D$59:$J$59,MATCH(D$6,$D$34:$J$34,0))/100*D$29),"")</f>
        <v>17.182600000000001</v>
      </c>
      <c r="E8" s="197">
        <f>IF(ISNUMBER(E$6),IF(AND(E$6&gt;=MTP_BaseYear,E$6&lt;=OutturnThrough),'Step 2 - Update outturn data'!F6,INDEX($D$59:$J$59,MATCH(E$6,$D$34:$J$34,0))/100*E$29),"")</f>
        <v>18.413499999999999</v>
      </c>
      <c r="F8" s="197">
        <f>IF(ISNUMBER(F$6),IF(AND(F$6&gt;=MTP_BaseYear,F$6&lt;=OutturnThrough),'Step 2 - Update outturn data'!G6,INDEX($D$59:$J$59,MATCH(F$6,$D$34:$J$34,0))/100*F$29),"")</f>
        <v>20.159475570000001</v>
      </c>
      <c r="G8" s="197">
        <f>IF(ISNUMBER(G$6),IF(AND(G$6&gt;=MTP_BaseYear,G$6&lt;=OutturnThrough),'Step 2 - Update outturn data'!H6,INDEX($D$59:$J$59,MATCH(G$6,$D$34:$J$34,0))/100*G$29),"")</f>
        <v>20.884792280507998</v>
      </c>
      <c r="H8" s="197" t="str">
        <f>IF(ISNUMBER(H$6),IF(AND(H$6&gt;=MTP_BaseYear,H$6&lt;=OutturnThrough),'Step 2 - Update outturn data'!I6,INDEX($D$59:$J$59,MATCH(H$6,$D$34:$J$34,0))/100*H$29),"")</f>
        <v/>
      </c>
      <c r="I8" s="197" t="str">
        <f>IF(ISNUMBER(I$6),IF(AND(I$6&gt;=MTP_BaseYear,I$6&lt;=OutturnThrough),'Step 2 - Update outturn data'!#REF!,INDEX($D$59:$J$59,MATCH(I$6,$D$34:$J$34,0))/100*I$29),"")</f>
        <v/>
      </c>
      <c r="J8" s="197" t="str">
        <f>IF(ISNUMBER(J$6),IF(AND(J$6&gt;=MTP_BaseYear,J$6&lt;=OutturnThrough),'Step 2 - Update outturn data'!J6,INDEX($D$59:$J$59,MATCH(J$6,$D$34:$J$34,0))/100*J$29),"")</f>
        <v/>
      </c>
      <c r="K8" s="54"/>
      <c r="L8" s="54"/>
      <c r="M8" s="54"/>
      <c r="N8" s="54"/>
      <c r="O8" t="s">
        <v>916</v>
      </c>
      <c r="P8" s="225" t="s">
        <v>917</v>
      </c>
    </row>
    <row r="9" spans="2:16" x14ac:dyDescent="0.4">
      <c r="B9" s="78" t="s">
        <v>31</v>
      </c>
      <c r="C9" s="61" t="s">
        <v>6</v>
      </c>
      <c r="D9" s="197">
        <f>IF(ISNUMBER(D$6),IF(AND(D$6&gt;=MTP_BaseYear,D$6&lt;=OutturnThrough),'Step 2 - Update outturn data'!E7,INDEX($D$50:$J$50,MATCH(D$6,$D$34:$J$34,0))/100*D$29),"")</f>
        <v>0.28689999999999999</v>
      </c>
      <c r="E9" s="197">
        <f>IF(ISNUMBER(E$6),IF(AND(E$6&gt;=MTP_BaseYear,E$6&lt;=OutturnThrough),'Step 2 - Update outturn data'!F7,INDEX($D$50:$J$50,MATCH(E$6,$D$34:$J$34,0))/100*E$29),"")</f>
        <v>0.44330000000000003</v>
      </c>
      <c r="F9" s="197">
        <f>IF(ISNUMBER(F$6),IF(AND(F$6&gt;=MTP_BaseYear,F$6&lt;=OutturnThrough),'Step 2 - Update outturn data'!G7,INDEX($D$50:$J$50,MATCH(F$6,$D$34:$J$34,0))/100*F$29),"")</f>
        <v>0.50929201440000005</v>
      </c>
      <c r="G9" s="197">
        <f>IF(ISNUMBER(G$6),IF(AND(G$6&gt;=MTP_BaseYear,G$6&lt;=OutturnThrough),'Step 2 - Update outturn data'!H7,INDEX($D$50:$J$50,MATCH(G$6,$D$34:$J$34,0))/100*G$29),"")</f>
        <v>0.62210019558959995</v>
      </c>
      <c r="H9" s="197" t="str">
        <f>IF(ISNUMBER(H$6),IF(AND(H$6&gt;=MTP_BaseYear,H$6&lt;=OutturnThrough),'Step 2 - Update outturn data'!I7,INDEX($D$50:$J$50,MATCH(H$6,$D$34:$J$34,0))/100*H$29),"")</f>
        <v/>
      </c>
      <c r="I9" s="197" t="str">
        <f>IF(ISNUMBER(I$6),IF(AND(I$6&gt;=MTP_BaseYear,I$6&lt;=OutturnThrough),'Step 2 - Update outturn data'!#REF!,INDEX($D$50:$J$50,MATCH(I$6,$D$34:$J$34,0))/100*I$29),"")</f>
        <v/>
      </c>
      <c r="J9" s="197" t="str">
        <f>IF(ISNUMBER(J$6),IF(AND(J$6&gt;=MTP_BaseYear,J$6&lt;=OutturnThrough),'Step 2 - Update outturn data'!J7,INDEX($D$50:$J$50,MATCH(J$6,$D$34:$J$34,0))/100*J$29),"")</f>
        <v/>
      </c>
      <c r="K9" s="54"/>
      <c r="L9" s="54"/>
      <c r="M9" s="54"/>
      <c r="N9" s="54"/>
      <c r="O9" t="s">
        <v>906</v>
      </c>
      <c r="P9" s="225">
        <v>2024</v>
      </c>
    </row>
    <row r="10" spans="2:16" x14ac:dyDescent="0.4">
      <c r="B10" s="78" t="s">
        <v>322</v>
      </c>
      <c r="C10" s="61" t="s">
        <v>6</v>
      </c>
      <c r="D10" s="197">
        <f>IF(ISNUMBER(D$6),IF(AND(D$6&gt;=MTP_BaseYear,D$6&lt;=OutturnThrough),'Step 2 - Update outturn data'!E8,INDEX($D$63:$J$63,MATCH(D$6,$D$34:$J$34,0))/100*D$29),"")</f>
        <v>-1.2620000000000001E-3</v>
      </c>
      <c r="E10" s="197">
        <f>IF(ISNUMBER(E$6),IF(AND(E$6&gt;=MTP_BaseYear,E$6&lt;=OutturnThrough),'Step 2 - Update outturn data'!F8,INDEX($D$63:$J$63,MATCH(E$6,$D$34:$J$34,0))/100*E$29),"")</f>
        <v>4.169E-3</v>
      </c>
      <c r="F10" s="197">
        <f>IF(ISNUMBER(F$6),IF(AND(F$6&gt;=MTP_BaseYear,F$6&lt;=OutturnThrough),'Step 2 - Update outturn data'!G8,INDEX($D$63:$J$63,MATCH(F$6,$D$34:$J$34,0))/100*F$29),"")</f>
        <v>1.6976400480000001E-2</v>
      </c>
      <c r="G10" s="197">
        <f>IF(ISNUMBER(G$6),IF(AND(G$6&gt;=MTP_BaseYear,G$6&lt;=OutturnThrough),'Step 2 - Update outturn data'!H8,INDEX($D$63:$J$63,MATCH(G$6,$D$34:$J$34,0))/100*G$29),"")</f>
        <v>8.8871456512799995E-3</v>
      </c>
      <c r="H10" s="197" t="str">
        <f>IF(ISNUMBER(H$6),IF(AND(H$6&gt;=MTP_BaseYear,H$6&lt;=OutturnThrough),'Step 2 - Update outturn data'!I8,INDEX($D$63:$J$63,MATCH(H$6,$D$34:$J$34,0))/100*H$29),"")</f>
        <v/>
      </c>
      <c r="I10" s="197" t="str">
        <f>IF(ISNUMBER(I$6),IF(AND(I$6&gt;=MTP_BaseYear,I$6&lt;=OutturnThrough),'Step 2 - Update outturn data'!#REF!,INDEX($D$63:$J$63,MATCH(I$6,$D$34:$J$34,0))/100*I$29),"")</f>
        <v/>
      </c>
      <c r="J10" s="197" t="str">
        <f>IF(ISNUMBER(J$6),IF(AND(J$6&gt;=MTP_BaseYear,J$6&lt;=OutturnThrough),'Step 2 - Update outturn data'!J8,INDEX($D$63:$J$63,MATCH(J$6,$D$34:$J$34,0))/100*J$29),"")</f>
        <v/>
      </c>
      <c r="K10" s="54"/>
      <c r="L10" s="54"/>
      <c r="M10" s="54"/>
      <c r="N10" s="54"/>
      <c r="O10" t="s">
        <v>910</v>
      </c>
      <c r="P10" s="225" t="s">
        <v>911</v>
      </c>
    </row>
    <row r="11" spans="2:16" x14ac:dyDescent="0.4">
      <c r="B11" s="78" t="s">
        <v>323</v>
      </c>
      <c r="C11" s="61" t="s">
        <v>6</v>
      </c>
      <c r="D11" s="197">
        <f>IF(ISNUMBER(D$6),IF(AND(D$6&gt;=MTP_BaseYear,D$6&lt;=OutturnThrough),'Step 2 - Update outturn data'!E9,INDEX($D$60:$J$60,MATCH(D$6,$D$34:$J$34,0))/100*D$29),"")</f>
        <v>0.73429999999999995</v>
      </c>
      <c r="E11" s="197">
        <f>IF(ISNUMBER(E$6),IF(AND(E$6&gt;=MTP_BaseYear,E$6&lt;=OutturnThrough),'Step 2 - Update outturn data'!F9,INDEX($D$60:$J$60,MATCH(E$6,$D$34:$J$34,0))/100*E$29),"")</f>
        <v>0.75549999999999995</v>
      </c>
      <c r="F11" s="197">
        <f>IF(ISNUMBER(F$6),IF(AND(F$6&gt;=MTP_BaseYear,F$6&lt;=OutturnThrough),'Step 2 - Update outturn data'!G9,INDEX($D$60:$J$60,MATCH(F$6,$D$34:$J$34,0))/100*F$29),"")</f>
        <v>1.1034660312000002</v>
      </c>
      <c r="G11" s="197">
        <f>IF(ISNUMBER(G$6),IF(AND(G$6&gt;=MTP_BaseYear,G$6&lt;=OutturnThrough),'Step 2 - Update outturn data'!H9,INDEX($D$60:$J$60,MATCH(G$6,$D$34:$J$34,0))/100*G$29),"")</f>
        <v>0.88871456512799996</v>
      </c>
      <c r="H11" s="197" t="str">
        <f>IF(ISNUMBER(H$6),IF(AND(H$6&gt;=MTP_BaseYear,H$6&lt;=OutturnThrough),'Step 2 - Update outturn data'!I9,INDEX($D$60:$J$60,MATCH(H$6,$D$34:$J$34,0))/100*H$29),"")</f>
        <v/>
      </c>
      <c r="I11" s="197" t="str">
        <f>IF(ISNUMBER(I$6),IF(AND(I$6&gt;=MTP_BaseYear,I$6&lt;=OutturnThrough),'Step 2 - Update outturn data'!#REF!,INDEX($D$60:$J$60,MATCH(I$6,$D$34:$J$34,0))/100*I$29),"")</f>
        <v/>
      </c>
      <c r="J11" s="197" t="str">
        <f>IF(ISNUMBER(J$6),IF(AND(J$6&gt;=MTP_BaseYear,J$6&lt;=OutturnThrough),'Step 2 - Update outturn data'!J9,INDEX($D$60:$J$60,MATCH(J$6,$D$34:$J$34,0))/100*J$29),"")</f>
        <v/>
      </c>
      <c r="K11" s="54"/>
      <c r="L11" s="54"/>
      <c r="M11" s="54"/>
      <c r="N11" s="54"/>
      <c r="O11" t="s">
        <v>909</v>
      </c>
      <c r="P11" s="225" t="s">
        <v>912</v>
      </c>
    </row>
    <row r="12" spans="2:16" x14ac:dyDescent="0.4">
      <c r="B12" s="78" t="s">
        <v>324</v>
      </c>
      <c r="C12" s="61" t="s">
        <v>6</v>
      </c>
      <c r="D12" s="197">
        <f>IF(ISNUMBER(D$6),IF(AND(D$6&gt;=MTP_BaseYear,D$6&lt;=OutturnThrough),'Step 2 - Update outturn data'!E10,INDEX($D$62:$J$62,MATCH(D$6,$D$34:$J$34,0))/100*D$29),"")</f>
        <v>0.15825</v>
      </c>
      <c r="E12" s="197">
        <f>IF(ISNUMBER(E$6),IF(AND(E$6&gt;=MTP_BaseYear,E$6&lt;=OutturnThrough),'Step 2 - Update outturn data'!F10,INDEX($D$62:$J$62,MATCH(E$6,$D$34:$J$34,0))/100*E$29),"")</f>
        <v>0.13764999999999999</v>
      </c>
      <c r="F12" s="197">
        <f>IF(ISNUMBER(F$6),IF(AND(F$6&gt;=MTP_BaseYear,F$6&lt;=OutturnThrough),'Step 2 - Update outturn data'!G10,INDEX($D$62:$J$62,MATCH(F$6,$D$34:$J$34,0))/100*F$29),"")</f>
        <v>0.21220500600000003</v>
      </c>
      <c r="G12" s="197">
        <f>IF(ISNUMBER(G$6),IF(AND(G$6&gt;=MTP_BaseYear,G$6&lt;=OutturnThrough),'Step 2 - Update outturn data'!H10,INDEX($D$62:$J$62,MATCH(G$6,$D$34:$J$34,0))/100*G$29),"")</f>
        <v>0.1333071847692</v>
      </c>
      <c r="H12" s="197" t="str">
        <f>IF(ISNUMBER(H$6),IF(AND(H$6&gt;=MTP_BaseYear,H$6&lt;=OutturnThrough),'Step 2 - Update outturn data'!I10,INDEX($D$62:$J$62,MATCH(H$6,$D$34:$J$34,0))/100*H$29),"")</f>
        <v/>
      </c>
      <c r="I12" s="197" t="str">
        <f>IF(ISNUMBER(I$6),IF(AND(I$6&gt;=MTP_BaseYear,I$6&lt;=OutturnThrough),'Step 2 - Update outturn data'!#REF!,INDEX($D$62:$J$62,MATCH(I$6,$D$34:$J$34,0))/100*I$29),"")</f>
        <v/>
      </c>
      <c r="J12" s="197" t="str">
        <f>IF(ISNUMBER(J$6),IF(AND(J$6&gt;=MTP_BaseYear,J$6&lt;=OutturnThrough),'Step 2 - Update outturn data'!J10,INDEX($D$62:$J$62,MATCH(J$6,$D$34:$J$34,0))/100*J$29),"")</f>
        <v/>
      </c>
      <c r="K12" s="54"/>
      <c r="L12" s="54"/>
      <c r="M12" s="54"/>
      <c r="N12" s="54"/>
      <c r="O12" t="s">
        <v>914</v>
      </c>
      <c r="P12" s="225">
        <v>2</v>
      </c>
    </row>
    <row r="13" spans="2:16" x14ac:dyDescent="0.4">
      <c r="B13" s="78" t="s">
        <v>436</v>
      </c>
      <c r="C13" s="61" t="s">
        <v>6</v>
      </c>
      <c r="D13" s="197">
        <f>IF(ISNUMBER(D$6),IF(AND(D$6&gt;=MTP_BaseYear,D$6&lt;=OutturnThrough),'Step 2 - Update outturn data'!E11,INDEX($D$64:$J$64,MATCH(D$6,$D$34:$J$34,0))/100*D$29),"")</f>
        <v>0</v>
      </c>
      <c r="E13" s="197">
        <f>IF(ISNUMBER(E$6),IF(AND(E$6&gt;=MTP_BaseYear,E$6&lt;=OutturnThrough),'Step 2 - Update outturn data'!F11,INDEX($D$64:$J$64,MATCH(E$6,$D$34:$J$34,0))/100*E$29),"")</f>
        <v>0</v>
      </c>
      <c r="F13" s="197">
        <f>IF(ISNUMBER(F$6),IF(AND(F$6&gt;=MTP_BaseYear,F$6&lt;=OutturnThrough),'Step 2 - Update outturn data'!G11,INDEX($D$64:$J$64,MATCH(F$6,$D$34:$J$34,0))/100*F$29),"")</f>
        <v>0</v>
      </c>
      <c r="G13" s="197">
        <f>IF(ISNUMBER(G$6),IF(AND(G$6&gt;=MTP_BaseYear,G$6&lt;=OutturnThrough),'Step 2 - Update outturn data'!H11,INDEX($D$64:$J$64,MATCH(G$6,$D$34:$J$34,0))/100*G$29),"")</f>
        <v>0</v>
      </c>
      <c r="H13" s="197" t="str">
        <f>IF(ISNUMBER(H$6),IF(AND(H$6&gt;=MTP_BaseYear,H$6&lt;=OutturnThrough),'Step 2 - Update outturn data'!I11,INDEX($D$64:$J$64,MATCH(H$6,$D$34:$J$34,0))/100*H$29),"")</f>
        <v/>
      </c>
      <c r="I13" s="197" t="str">
        <f>IF(ISNUMBER(I$6),IF(AND(I$6&gt;=MTP_BaseYear,I$6&lt;=OutturnThrough),'Step 2 - Update outturn data'!#REF!,INDEX($D$64:$J$64,MATCH(I$6,$D$34:$J$34,0))/100*I$29),"")</f>
        <v/>
      </c>
      <c r="J13" s="197" t="str">
        <f>IF(ISNUMBER(J$6),IF(AND(J$6&gt;=MTP_BaseYear,J$6&lt;=OutturnThrough),'Step 2 - Update outturn data'!J11,INDEX($D$64:$J$64,MATCH(J$6,$D$34:$J$34,0))/100*J$29),"")</f>
        <v/>
      </c>
      <c r="K13" s="54"/>
      <c r="L13" s="54"/>
      <c r="M13" s="54"/>
      <c r="N13" s="54"/>
      <c r="O13" t="s">
        <v>913</v>
      </c>
      <c r="P13" s="225">
        <v>60</v>
      </c>
    </row>
    <row r="14" spans="2:16" x14ac:dyDescent="0.4">
      <c r="B14" s="78" t="s">
        <v>357</v>
      </c>
      <c r="C14" s="61" t="s">
        <v>6</v>
      </c>
      <c r="D14" s="197">
        <f>IF(ISNUMBER(D$6),IF(AND(D$6&gt;=MTP_BaseYear,D$6&lt;=OutturnThrough),'Step 2 - Update outturn data'!E12,INDEX($D$65:$J$65,MATCH(D$6,$D$34:$J$34,0))/100*D$29),"")</f>
        <v>16.004412000000006</v>
      </c>
      <c r="E14" s="197">
        <f>IF(ISNUMBER(E$6),IF(AND(E$6&gt;=MTP_BaseYear,E$6&lt;=OutturnThrough),'Step 2 - Update outturn data'!F12,INDEX($D$65:$J$65,MATCH(E$6,$D$34:$J$34,0))/100*E$29),"")</f>
        <v>17.072880999999999</v>
      </c>
      <c r="F14" s="197">
        <f>IF(ISNUMBER(F$6),IF(AND(F$6&gt;=MTP_BaseYear,F$6&lt;=OutturnThrough),'Step 2 - Update outturn data'!G12,INDEX($D$65:$J$65,MATCH(F$6,$D$34:$J$34,0))/100*F$29),"")</f>
        <v>18.334512518400004</v>
      </c>
      <c r="G14" s="197">
        <f>IF(ISNUMBER(G$6),IF(AND(G$6&gt;=MTP_BaseYear,G$6&lt;=OutturnThrough),'Step 2 - Update outturn data'!H12,INDEX($D$65:$J$65,MATCH(G$6,$D$34:$J$34,0))/100*G$29),"")</f>
        <v>19.196234606764801</v>
      </c>
      <c r="H14" s="197" t="str">
        <f>IF(ISNUMBER(H$6),IF(AND(H$6&gt;=MTP_BaseYear,H$6&lt;=OutturnThrough),'Step 2 - Update outturn data'!I12,INDEX($D$65:$J$65,MATCH(H$6,$D$34:$J$34,0))/100*H$29),"")</f>
        <v/>
      </c>
      <c r="I14" s="197" t="str">
        <f>IF(ISNUMBER(I$6),IF(AND(I$6&gt;=MTP_BaseYear,I$6&lt;=OutturnThrough),'Step 2 - Update outturn data'!#REF!,INDEX($D$65:$J$65,MATCH(I$6,$D$34:$J$34,0))/100*I$29),"")</f>
        <v/>
      </c>
      <c r="J14" s="197" t="str">
        <f>IF(ISNUMBER(J$6),IF(AND(J$6&gt;=MTP_BaseYear,J$6&lt;=OutturnThrough),'Step 2 - Update outturn data'!J12,INDEX($D$65:$J$65,MATCH(J$6,$D$34:$J$34,0))/100*J$29),"")</f>
        <v/>
      </c>
      <c r="K14" s="54"/>
      <c r="L14" s="54"/>
      <c r="M14" s="54"/>
      <c r="N14" s="54"/>
    </row>
    <row r="15" spans="2:16" x14ac:dyDescent="0.4">
      <c r="B15" s="78" t="s">
        <v>686</v>
      </c>
      <c r="C15" s="61" t="s">
        <v>6</v>
      </c>
      <c r="D15" s="197">
        <f>IF(ISNUMBER(D$6),IF(AND(D$6&gt;=MTP_BaseYear,D$6&lt;=OutturnThrough),'Step 2 - Update outturn data'!E13,(INDEX($D$45:$J$45,MATCH(D$6,$D$34:$J$34,0))-INDEX($D$46:$J$46,MATCH(D$6,$D$34:$J$34,0)))/100*D$29),"")</f>
        <v>0</v>
      </c>
      <c r="E15" s="197">
        <f>IF(ISNUMBER(E$6),IF(AND(E$6&gt;=MTP_BaseYear,E$6&lt;=OutturnThrough),'Step 2 - Update outturn data'!F13,(INDEX($D$45:$J$45,MATCH(E$6,$D$34:$J$34,0))-INDEX($D$46:$J$46,MATCH(E$6,$D$34:$J$34,0)))/100*E$29),"")</f>
        <v>0.273808</v>
      </c>
      <c r="F15" s="197">
        <f>IF(ISNUMBER(F$6),IF(AND(F$6&gt;=MTP_BaseYear,F$6&lt;=OutturnThrough),'Step 2 - Update outturn data'!G13,(INDEX($D$45:$J$45,MATCH(F$6,$D$34:$J$34,0))-INDEX($D$46:$J$46,MATCH(F$6,$D$34:$J$34,0)))/100*F$29),"")</f>
        <v>8.4882002400000003E-2</v>
      </c>
      <c r="G15" s="197">
        <f>IF(ISNUMBER(G$6),IF(AND(G$6&gt;=MTP_BaseYear,G$6&lt;=OutturnThrough),'Step 2 - Update outturn data'!H13,(INDEX($D$45:$J$45,MATCH(G$6,$D$34:$J$34,0))-INDEX($D$46:$J$46,MATCH(G$6,$D$34:$J$34,0)))/100*G$29),"")</f>
        <v>-4.4435728256399999E-2</v>
      </c>
      <c r="H15" s="197" t="str">
        <f>IF(ISNUMBER(H$6),IF(AND(H$6&gt;=MTP_BaseYear,H$6&lt;=OutturnThrough),'Step 2 - Update outturn data'!I13,(INDEX($D$45:$J$45,MATCH(H$6,$D$34:$J$34,0))-INDEX($D$46:$J$46,MATCH(H$6,$D$34:$J$34,0)))/100*H$29),"")</f>
        <v/>
      </c>
      <c r="I15" s="197" t="str">
        <f>IF(ISNUMBER(I$6),IF(AND(I$6&gt;=MTP_BaseYear,I$6&lt;=OutturnThrough),'Step 2 - Update outturn data'!#REF!,(INDEX($D$45:$J$45,MATCH(I$6,$D$34:$J$34,0))-INDEX($D$46:$J$46,MATCH(I$6,$D$34:$J$34,0)))/100*I$29),"")</f>
        <v/>
      </c>
      <c r="J15" s="197" t="str">
        <f>IF(ISNUMBER(J$6),IF(AND(J$6&gt;=MTP_BaseYear,J$6&lt;=OutturnThrough),'Step 2 - Update outturn data'!J13,(INDEX($D$45:$J$45,MATCH(J$6,$D$34:$J$34,0))-INDEX($D$46:$J$46,MATCH(J$6,$D$34:$J$34,0)))/100*J$29),"")</f>
        <v/>
      </c>
      <c r="K15" s="54"/>
      <c r="L15" s="54"/>
      <c r="M15" s="54"/>
      <c r="N15" s="54"/>
      <c r="O15" t="s">
        <v>929</v>
      </c>
    </row>
    <row r="16" spans="2:16" x14ac:dyDescent="0.4">
      <c r="B16" s="78" t="s">
        <v>688</v>
      </c>
      <c r="C16" s="61" t="s">
        <v>6</v>
      </c>
      <c r="D16" s="197">
        <f>IF(ISNUMBER(D$6),IF(AND(D$6&gt;=MTP_BaseYear,D$6&lt;=OutturnThrough),'Step 2 - Update outturn data'!E14,INDEX($D$87:$J$87,MATCH(D$6,$D$34:$J$34,0))/100*D$29),"")</f>
        <v>1.0249299999999999</v>
      </c>
      <c r="E16" s="197">
        <f>IF(ISNUMBER(E$6),IF(AND(E$6&gt;=MTP_BaseYear,E$6&lt;=OutturnThrough),'Step 2 - Update outturn data'!F14,INDEX($D$87:$J$87,MATCH(E$6,$D$34:$J$34,0))/100*E$29),"")</f>
        <v>1.1083700000000001</v>
      </c>
      <c r="F16" s="197">
        <f>IF(ISNUMBER(F$6),IF(AND(F$6&gt;=MTP_BaseYear,F$6&lt;=OutturnThrough),'Step 2 - Update outturn data'!G14,INDEX($D$87:$J$87,MATCH(F$6,$D$34:$J$34,0))/100*F$29),"")</f>
        <v>1.4005530396000001</v>
      </c>
      <c r="G16" s="197">
        <f>IF(ISNUMBER(G$6),IF(AND(G$6&gt;=MTP_BaseYear,G$6&lt;=OutturnThrough),'Step 2 - Update outturn data'!H14,INDEX($D$87:$J$87,MATCH(G$6,$D$34:$J$34,0))/100*G$29),"")</f>
        <v>1.8663005867688001</v>
      </c>
      <c r="H16" s="197" t="str">
        <f>IF(ISNUMBER(H$6),IF(AND(H$6&gt;=MTP_BaseYear,H$6&lt;=OutturnThrough),'Step 2 - Update outturn data'!I14,INDEX($D$87:$J$87,MATCH(H$6,$D$34:$J$34,0))/100*H$29),"")</f>
        <v/>
      </c>
      <c r="I16" s="197" t="str">
        <f>IF(ISNUMBER(I$6),IF(AND(I$6&gt;=MTP_BaseYear,I$6&lt;=OutturnThrough),'Step 2 - Update outturn data'!#REF!,INDEX($D$87:$J$87,MATCH(I$6,$D$34:$J$34,0))/100*I$29),"")</f>
        <v/>
      </c>
      <c r="J16" s="197" t="str">
        <f>IF(ISNUMBER(J$6),IF(AND(J$6&gt;=MTP_BaseYear,J$6&lt;=OutturnThrough),'Step 2 - Update outturn data'!J14,INDEX($D$87:$J$87,MATCH(J$6,$D$34:$J$34,0))/100*J$29),"")</f>
        <v/>
      </c>
      <c r="K16" s="54"/>
      <c r="L16" s="54"/>
      <c r="M16" s="54"/>
      <c r="N16" s="54"/>
    </row>
    <row r="17" spans="2:15" x14ac:dyDescent="0.4">
      <c r="B17" s="78" t="s">
        <v>359</v>
      </c>
      <c r="C17" s="61" t="s">
        <v>729</v>
      </c>
      <c r="D17" s="197" t="str">
        <f>IF(ISNUMBER(D$6),IF(AND(D$6&gt;=MTP_BaseYear,D$6&lt;=OutturnThrough),'Step 2 - Update outturn data'!E15,INDEX($D$67:$J$67,MATCH(D$6,$D$34:$J$34,0))),"")</f>
        <v/>
      </c>
      <c r="E17" s="197">
        <f>IF(ISNUMBER(E$6),IF(AND(E$6&gt;=MTP_BaseYear,E$6&lt;=OutturnThrough),'Step 2 - Update outturn data'!F15,INDEX($D$67:$J$67,MATCH(E$6,$D$34:$J$34,0))),"")</f>
        <v>4.9652620789816915</v>
      </c>
      <c r="F17" s="197">
        <f>IF(ISNUMBER(F$6),IF(AND(F$6&gt;=MTP_BaseYear,F$6&lt;=OutturnThrough),'Step 2 - Update outturn data'!G15,INDEX($D$67:$J$67,MATCH(F$6,$D$34:$J$34,0))),"")</f>
        <v>6.2</v>
      </c>
      <c r="G17" s="197">
        <f>IF(ISNUMBER(G$6),IF(AND(G$6&gt;=MTP_BaseYear,G$6&lt;=OutturnThrough),'Step 2 - Update outturn data'!H15,INDEX($D$67:$J$67,MATCH(G$6,$D$34:$J$34,0))),"")</f>
        <v>5</v>
      </c>
      <c r="H17" s="197" t="str">
        <f>IF(ISNUMBER(H$6),IF(AND(H$6&gt;=MTP_BaseYear,H$6&lt;=OutturnThrough),'Step 2 - Update outturn data'!I15,INDEX($D$67:$J$67,MATCH(H$6,$D$34:$J$34,0))),"")</f>
        <v/>
      </c>
      <c r="I17" s="197" t="str">
        <f>IF(ISNUMBER(I$6),IF(AND(I$6&gt;=MTP_BaseYear,I$6&lt;=OutturnThrough),'Step 2 - Update outturn data'!#REF!,INDEX($D$67:$J$67,MATCH(I$6,$D$34:$J$34,0))),"")</f>
        <v/>
      </c>
      <c r="J17" s="197" t="str">
        <f>IF(ISNUMBER(J$6),IF(AND(J$6&gt;=MTP_BaseYear,J$6&lt;=OutturnThrough),'Step 2 - Update outturn data'!J15,INDEX($D$67:$J$67,MATCH(J$6,$D$34:$J$34,0))),"")</f>
        <v/>
      </c>
      <c r="K17" s="54"/>
      <c r="L17" s="54"/>
      <c r="M17" s="54"/>
      <c r="N17" s="54"/>
    </row>
    <row r="18" spans="2:15" x14ac:dyDescent="0.4">
      <c r="B18" s="78" t="s">
        <v>358</v>
      </c>
      <c r="C18" s="61" t="s">
        <v>729</v>
      </c>
      <c r="D18" s="88" t="str">
        <f>IF(ISNUMBER(D$6),IF(D$6&lt;=MTP_BaseYear,"",IF(ISNUMBER(C18),((1+C18/100)*(1+D17/100)-1)*100,D17)),"")</f>
        <v/>
      </c>
      <c r="E18" s="88">
        <f>IF(ISNUMBER(E$6),IF(E$6&lt;=MTP_BaseYear,"",IF(ISNUMBER(D18),((1+D18/100)*(1+E17/100)-1)*100,E17)),"")</f>
        <v>4.9652620789816915</v>
      </c>
      <c r="F18" s="88">
        <f>IF(ISNUMBER(F$6),IF(F$6&lt;=MTP_BaseYear,"",IF(ISNUMBER(E18),((1+E18/100)*(1+F17/100)-1)*100,F17)),"")</f>
        <v>11.473108327878556</v>
      </c>
      <c r="G18" s="88">
        <f>IF(ISNUMBER(G$6),IF(G$6&lt;=MTP_BaseYear,"",IF(ISNUMBER(F18),((1+F18/100)*(1+G17/100)-1)*100,G17)),"")</f>
        <v>17.046763744272496</v>
      </c>
      <c r="H18" s="88" t="str">
        <f>IF(ISNUMBER(H$6),IF(H$6&lt;=MTP_BaseYear,"",IF(ISNUMBER(G18),((1+G18/100)*(1+H17/100)-1)*100,H17)),"")</f>
        <v/>
      </c>
      <c r="I18" s="88" t="str">
        <f>IF(ISNUMBER(I$6),IF(I$6&lt;=MTP_YearT,"",IF(ISNUMBER(H18),((1+H18/100)*(1+I17/100)-1)*100,I17)),"")</f>
        <v/>
      </c>
      <c r="J18" s="197"/>
      <c r="K18" s="54"/>
      <c r="L18" s="54"/>
      <c r="M18" s="54"/>
      <c r="N18" s="54"/>
    </row>
    <row r="19" spans="2:15" x14ac:dyDescent="0.4">
      <c r="B19" s="72" t="s">
        <v>215</v>
      </c>
      <c r="C19" s="61" t="s">
        <v>694</v>
      </c>
      <c r="D19" s="197">
        <f>IF(ISNUMBER(D$6),IF(AND(D$6&gt;=MTP_BaseYear,D$6&lt;=OutturnThrough),'Step 2 - Update outturn data'!E17,INDEX($D$69:$J$69,MATCH(D$6,$D$34:$J$34,0))),"")</f>
        <v>-2.342774528487884</v>
      </c>
      <c r="E19" s="197">
        <f>IF(ISNUMBER(E$6),IF(AND(E$6&gt;=MTP_BaseYear,E$6&lt;=OutturnThrough),'Step 2 - Update outturn data'!F17,INDEX($D$69:$J$69,MATCH(E$6,$D$34:$J$34,0))),"")</f>
        <v>-1.7868607680254289</v>
      </c>
      <c r="F19" s="197">
        <f>IF(ISNUMBER(F$6),IF(AND(F$6&gt;=MTP_BaseYear,F$6&lt;=OutturnThrough),'Step 2 - Update outturn data'!G17,INDEX($D$69:$J$69,MATCH(F$6,$D$34:$J$34,0))),"")</f>
        <v>-2.9</v>
      </c>
      <c r="G19" s="197">
        <f>IF(ISNUMBER(G$6),IF(AND(G$6&gt;=MTP_BaseYear,G$6&lt;=OutturnThrough),'Step 2 - Update outturn data'!H17,INDEX($D$69:$J$69,MATCH(G$6,$D$34:$J$34,0))),"")</f>
        <v>-3.3</v>
      </c>
      <c r="H19" s="197" t="str">
        <f>IF(ISNUMBER(H$6),IF(AND(H$6&gt;=MTP_BaseYear,H$6&lt;=OutturnThrough),'Step 2 - Update outturn data'!I17,INDEX($D$69:$J$69,MATCH(H$6,$D$34:$J$34,0))),"")</f>
        <v/>
      </c>
      <c r="I19" s="197" t="str">
        <f>IF(ISNUMBER(I$6),IF(AND(I$6&gt;=MTP_BaseYear,I$6&lt;=OutturnThrough),'Step 2 - Update outturn data'!#REF!,INDEX($D$69:$J$69,MATCH(I$6,$D$34:$J$34,0))),"")</f>
        <v/>
      </c>
      <c r="J19" s="197" t="str">
        <f>IF(ISNUMBER(J$6),IF(AND(J$6&gt;=MTP_BaseYear,J$6&lt;=OutturnThrough),'Step 2 - Update outturn data'!J17,INDEX($D$69:$J$69,MATCH(J$6,$D$34:$J$34,0))),"")</f>
        <v/>
      </c>
      <c r="K19" s="54"/>
      <c r="L19" s="54"/>
      <c r="M19" s="54"/>
      <c r="N19" s="54"/>
    </row>
    <row r="20" spans="2:15" x14ac:dyDescent="0.4">
      <c r="B20" s="72" t="s">
        <v>0</v>
      </c>
      <c r="C20" s="61" t="s">
        <v>694</v>
      </c>
      <c r="D20" s="197">
        <f>IF(ISNUMBER(D$6),IF(AND(D$6&gt;=MTP_BaseYear,D$6&lt;=OutturnThrough),'Step 2 - Update outturn data'!E18,INDEX($D$72:$J$72,MATCH(D$6,$D$34:$J$34,0))),"")</f>
        <v>-2.1063200000000002</v>
      </c>
      <c r="E20" s="197">
        <f>IF(ISNUMBER(E$6),IF(AND(E$6&gt;=MTP_BaseYear,E$6&lt;=OutturnThrough),'Step 2 - Update outturn data'!F18,INDEX($D$72:$J$72,MATCH(E$6,$D$34:$J$34,0))),"")</f>
        <v>-1.548</v>
      </c>
      <c r="F20" s="197">
        <f>IF(ISNUMBER(F$6),IF(AND(F$6&gt;=MTP_BaseYear,F$6&lt;=OutturnThrough),'Step 2 - Update outturn data'!G18,INDEX($D$72:$J$72,MATCH(F$6,$D$34:$J$34,0))),"")</f>
        <v>-2.4</v>
      </c>
      <c r="G20" s="197">
        <f>IF(ISNUMBER(G$6),IF(AND(G$6&gt;=MTP_BaseYear,G$6&lt;=OutturnThrough),'Step 2 - Update outturn data'!H18,INDEX($D$72:$J$72,MATCH(G$6,$D$34:$J$34,0))),"")</f>
        <v>-3</v>
      </c>
      <c r="H20" s="197" t="str">
        <f>IF(ISNUMBER(H$6),IF(AND(H$6&gt;=MTP_BaseYear,H$6&lt;=OutturnThrough),'Step 2 - Update outturn data'!I18,INDEX($D$72:$J$72,MATCH(H$6,$D$34:$J$34,0))),"")</f>
        <v/>
      </c>
      <c r="I20" s="197" t="str">
        <f>IF(ISNUMBER(I$6),IF(AND(I$6&gt;=MTP_BaseYear,I$6&lt;=OutturnThrough),'Step 2 - Update outturn data'!#REF!,INDEX($D$72:$J$72,MATCH(I$6,$D$34:$J$34,0))),"")</f>
        <v/>
      </c>
      <c r="J20" s="197" t="str">
        <f>IF(ISNUMBER(J$6),IF(AND(J$6&gt;=MTP_BaseYear,J$6&lt;=OutturnThrough),'Step 2 - Update outturn data'!J18,INDEX($D$72:$J$72,MATCH(J$6,$D$34:$J$34,0))),"")</f>
        <v/>
      </c>
      <c r="K20" s="54"/>
      <c r="L20" s="54"/>
      <c r="M20" s="54"/>
      <c r="N20" s="54"/>
    </row>
    <row r="21" spans="2:15" x14ac:dyDescent="0.4">
      <c r="B21" s="72" t="s">
        <v>3</v>
      </c>
      <c r="C21" s="61" t="s">
        <v>694</v>
      </c>
      <c r="D21" s="197">
        <f>IF(ISNUMBER(D$6),IF(AND(D$6&gt;=MTP_BaseYear,D$6&lt;=OutturnThrough),'Step 2 - Update outturn data'!E19,INDEX($D$73:$J$73,MATCH(D$6,$D$34:$J$34,0))),"")</f>
        <v>-1.38124</v>
      </c>
      <c r="E21" s="197">
        <f>IF(ISNUMBER(E$6),IF(AND(E$6&gt;=MTP_BaseYear,E$6&lt;=OutturnThrough),'Step 2 - Update outturn data'!F19,INDEX($D$73:$J$73,MATCH(E$6,$D$34:$J$34,0))),"")</f>
        <v>-0.44949</v>
      </c>
      <c r="F21" s="197">
        <f>IF(ISNUMBER(F$6),IF(AND(F$6&gt;=MTP_BaseYear,F$6&lt;=OutturnThrough),'Step 2 - Update outturn data'!G19,INDEX($D$73:$J$73,MATCH(F$6,$D$34:$J$34,0))),"")</f>
        <v>-1.2</v>
      </c>
      <c r="G21" s="197">
        <f>IF(ISNUMBER(G$6),IF(AND(G$6&gt;=MTP_BaseYear,G$6&lt;=OutturnThrough),'Step 2 - Update outturn data'!H19,INDEX($D$73:$J$73,MATCH(G$6,$D$34:$J$34,0))),"")</f>
        <v>-1.6</v>
      </c>
      <c r="H21" s="197" t="str">
        <f>IF(ISNUMBER(H$6),IF(AND(H$6&gt;=MTP_BaseYear,H$6&lt;=OutturnThrough),'Step 2 - Update outturn data'!I19,INDEX($D$73:$J$73,MATCH(H$6,$D$34:$J$34,0))),"")</f>
        <v/>
      </c>
      <c r="I21" s="197" t="str">
        <f>IF(ISNUMBER(I$6),IF(AND(I$6&gt;=MTP_BaseYear,I$6&lt;=OutturnThrough),'Step 2 - Update outturn data'!#REF!,INDEX($D$73:$J$73,MATCH(I$6,$D$34:$J$34,0))),"")</f>
        <v/>
      </c>
      <c r="J21" s="197" t="str">
        <f>IF(ISNUMBER(J$6),IF(AND(J$6&gt;=MTP_BaseYear,J$6&lt;=OutturnThrough),'Step 2 - Update outturn data'!J19,INDEX($D$73:$J$73,MATCH(J$6,$D$34:$J$34,0))),"")</f>
        <v/>
      </c>
      <c r="K21" s="54"/>
      <c r="L21" s="54"/>
      <c r="M21" s="54"/>
      <c r="N21" s="54"/>
    </row>
    <row r="22" spans="2:15" x14ac:dyDescent="0.4">
      <c r="B22" s="72" t="s">
        <v>1</v>
      </c>
      <c r="C22" s="61" t="s">
        <v>694</v>
      </c>
      <c r="D22" s="197">
        <f>IF(ISNUMBER(D$6),IF(AND(D$6&gt;=MTP_BaseYear,D$6&lt;=OutturnThrough),'Step 2 - Update outturn data'!E20,INDEX($D$75:$J$75,MATCH(D$6,$D$34:$J$34,0))),"")</f>
        <v>44.430318318075436</v>
      </c>
      <c r="E22" s="197">
        <f>IF(ISNUMBER(E$6),IF(AND(E$6&gt;=MTP_BaseYear,E$6&lt;=OutturnThrough),'Step 2 - Update outturn data'!F20,INDEX($D$75:$J$75,MATCH(E$6,$D$34:$J$34,0))),"")</f>
        <v>46.249535696627248</v>
      </c>
      <c r="F22" s="197">
        <f>IF(ISNUMBER(F$6),IF(AND(F$6&gt;=MTP_BaseYear,F$6&lt;=OutturnThrough),'Step 2 - Update outturn data'!G20,INDEX($D$75:$J$75,MATCH(F$6,$D$34:$J$34,0))),"")</f>
        <v>48.9</v>
      </c>
      <c r="G22" s="197">
        <f>IF(ISNUMBER(G$6),IF(AND(G$6&gt;=MTP_BaseYear,G$6&lt;=OutturnThrough),'Step 2 - Update outturn data'!H20,INDEX($D$75:$J$75,MATCH(G$6,$D$34:$J$34,0))),"")</f>
        <v>50.6</v>
      </c>
      <c r="H22" s="197" t="str">
        <f>IF(ISNUMBER(H$6),IF(AND(H$6&gt;=MTP_BaseYear,H$6&lt;=OutturnThrough),'Step 2 - Update outturn data'!I20,INDEX($D$75:$J$75,MATCH(H$6,$D$34:$J$34,0))),"")</f>
        <v/>
      </c>
      <c r="I22" s="197" t="str">
        <f>IF(ISNUMBER(I$6),IF(AND(I$6&gt;=MTP_BaseYear,I$6&lt;=OutturnThrough),'Step 2 - Update outturn data'!#REF!,INDEX($D$75:$J$75,MATCH(I$6,$D$34:$J$34,0))),"")</f>
        <v/>
      </c>
      <c r="J22" s="197" t="str">
        <f>IF(ISNUMBER(J$6),IF(AND(J$6&gt;=MTP_BaseYear,J$6&lt;=OutturnThrough),'Step 2 - Update outturn data'!J20,INDEX($D$75:$J$75,MATCH(J$6,$D$34:$J$34,0))),"")</f>
        <v/>
      </c>
      <c r="K22" s="54"/>
      <c r="L22" s="54"/>
      <c r="M22" s="54"/>
      <c r="N22" s="54"/>
    </row>
    <row r="23" spans="2:15" x14ac:dyDescent="0.4">
      <c r="B23" s="72" t="s">
        <v>2</v>
      </c>
      <c r="C23" s="61" t="s">
        <v>694</v>
      </c>
      <c r="D23" s="197">
        <f>IF(ISNUMBER(D$6),IF(AND(D$6&gt;=MTP_BaseYear,D$6&lt;=OutturnThrough),'Step 2 - Update outturn data'!E21,INDEX($D$76:$J$76,MATCH(D$6,$D$34:$J$34,0))),"")</f>
        <v>0</v>
      </c>
      <c r="E23" s="197">
        <f>IF(ISNUMBER(E$6),IF(AND(E$6&gt;=MTP_BaseYear,E$6&lt;=OutturnThrough),'Step 2 - Update outturn data'!F21,INDEX($D$76:$J$76,MATCH(E$6,$D$34:$J$34,0))),"")</f>
        <v>0</v>
      </c>
      <c r="F23" s="197">
        <f>IF(ISNUMBER(F$6),IF(AND(F$6&gt;=MTP_BaseYear,F$6&lt;=OutturnThrough),'Step 2 - Update outturn data'!G21,INDEX($D$76:$J$76,MATCH(F$6,$D$34:$J$34,0))),"")</f>
        <v>2.1</v>
      </c>
      <c r="G23" s="197">
        <f>IF(ISNUMBER(G$6),IF(AND(G$6&gt;=MTP_BaseYear,G$6&lt;=OutturnThrough),'Step 2 - Update outturn data'!H21,INDEX($D$76:$J$76,MATCH(G$6,$D$34:$J$34,0))),"")</f>
        <v>1.7</v>
      </c>
      <c r="H23" s="197" t="str">
        <f>IF(ISNUMBER(H$6),IF(AND(H$6&gt;=MTP_BaseYear,H$6&lt;=OutturnThrough),'Step 2 - Update outturn data'!I21,INDEX($D$76:$J$76,MATCH(H$6,$D$34:$J$34,0))),"")</f>
        <v/>
      </c>
      <c r="I23" s="197" t="str">
        <f>IF(ISNUMBER(I$6),IF(AND(I$6&gt;=MTP_BaseYear,I$6&lt;=OutturnThrough),'Step 2 - Update outturn data'!#REF!,INDEX($D$76:$J$76,MATCH(I$6,$D$34:$J$34,0))),"")</f>
        <v/>
      </c>
      <c r="J23" s="197" t="str">
        <f>IF(ISNUMBER(J$6),IF(AND(J$6&gt;=MTP_BaseYear,J$6&lt;=OutturnThrough),'Step 2 - Update outturn data'!J21,INDEX($D$76:$J$76,MATCH(J$6,$D$34:$J$34,0))),"")</f>
        <v/>
      </c>
      <c r="K23" s="54"/>
      <c r="L23" s="54"/>
      <c r="M23" s="54"/>
      <c r="N23" s="54"/>
    </row>
    <row r="24" spans="2:15" x14ac:dyDescent="0.4">
      <c r="B24" s="72" t="s">
        <v>326</v>
      </c>
      <c r="C24" s="61" t="s">
        <v>728</v>
      </c>
      <c r="D24" s="197">
        <f>IF(ISNUMBER(D$6),IF(AND(D$6&gt;=MTP_BaseYear,D$6&lt;=OutturnThrough),'Step 2 - Update outturn data'!E22,INDEX($D$94:$J$94,MATCH(D$6,$D$92:$J$92,0))),"")</f>
        <v>-0.9414574313402313</v>
      </c>
      <c r="E24" s="197">
        <f>IF(ISNUMBER(E$6),IF(AND(E$6&gt;=MTP_BaseYear,E$6&lt;=OutturnThrough),'Step 2 - Update outturn data'!F22,INDEX($D$94:$J$94,MATCH(E$6,$D$92:$J$92,0))),"")</f>
        <v>-3.7310985009997299E-2</v>
      </c>
      <c r="F24" s="197">
        <f>IF(ISNUMBER(F$6),IF(AND(F$6&gt;=MTP_BaseYear,F$6&lt;=OutturnThrough),'Step 2 - Update outturn data'!G22,INDEX($D$94:$J$94,MATCH(F$6,$D$92:$J$92,0))),"")</f>
        <v>1.1000000000000001</v>
      </c>
      <c r="G24" s="197">
        <f>IF(ISNUMBER(G$6),IF(AND(G$6&gt;=MTP_BaseYear,G$6&lt;=OutturnThrough),'Step 2 - Update outturn data'!H22,INDEX($D$94:$J$94,MATCH(G$6,$D$92:$J$92,0))),"")</f>
        <v>2.1</v>
      </c>
      <c r="H24" s="197" t="str">
        <f>IF(ISNUMBER(H$6),IF(AND(H$6&gt;=MTP_BaseYear,H$6&lt;=OutturnThrough),'Step 2 - Update outturn data'!I22,INDEX($D$94:$J$94,MATCH(H$6,$D$92:$J$92,0))),"")</f>
        <v/>
      </c>
      <c r="I24" s="197" t="str">
        <f>IF(ISNUMBER(I$6),IF(AND(I$6&gt;=MTP_BaseYear,I$6&lt;=OutturnThrough),'Step 2 - Update outturn data'!#REF!,INDEX($D$94:$J$94,MATCH(I$6,$D$92:$J$92,0))),"")</f>
        <v/>
      </c>
      <c r="J24" s="197" t="str">
        <f>IF(ISNUMBER(J$6),IF(AND(J$6&gt;=MTP_BaseYear,J$6&lt;=OutturnThrough),'Step 2 - Update outturn data'!J22,INDEX($D$94:$J$94,MATCH(J$6,$D$92:$J$92,0))),"")</f>
        <v/>
      </c>
      <c r="K24" s="54"/>
      <c r="L24" s="54"/>
      <c r="M24" s="54"/>
      <c r="N24" s="54"/>
    </row>
    <row r="25" spans="2:15" x14ac:dyDescent="0.4">
      <c r="B25" s="72" t="s">
        <v>327</v>
      </c>
      <c r="C25" s="61" t="s">
        <v>728</v>
      </c>
      <c r="D25" s="197">
        <f>IF(ISNUMBER(D$6),IF(AND(D$6&gt;=MTP_BaseYear,D$6&lt;=OutturnThrough),'Step 2 - Update outturn data'!E23,INDEX($D$95:$J$95,MATCH(D$6,$D$92:$J$92,0))),"")</f>
        <v>10.672371603556009</v>
      </c>
      <c r="E25" s="197">
        <f>IF(ISNUMBER(E$6),IF(AND(E$6&gt;=MTP_BaseYear,E$6&lt;=OutturnThrough),'Step 2 - Update outturn data'!F23,INDEX($D$95:$J$95,MATCH(E$6,$D$92:$J$92,0))),"")</f>
        <v>2.7885650030008202</v>
      </c>
      <c r="F25" s="197">
        <f>IF(ISNUMBER(F$6),IF(AND(F$6&gt;=MTP_BaseYear,F$6&lt;=OutturnThrough),'Step 2 - Update outturn data'!G23,INDEX($D$95:$J$95,MATCH(F$6,$D$92:$J$92,0))),"")</f>
        <v>3.3</v>
      </c>
      <c r="G25" s="197">
        <f>IF(ISNUMBER(G$6),IF(AND(G$6&gt;=MTP_BaseYear,G$6&lt;=OutturnThrough),'Step 2 - Update outturn data'!H23,INDEX($D$95:$J$95,MATCH(G$6,$D$92:$J$92,0))),"")</f>
        <v>2.5</v>
      </c>
      <c r="H25" s="197" t="str">
        <f>IF(ISNUMBER(H$6),IF(AND(H$6&gt;=MTP_BaseYear,H$6&lt;=OutturnThrough),'Step 2 - Update outturn data'!I23,INDEX($D$95:$J$95,MATCH(H$6,$D$92:$J$92,0))),"")</f>
        <v/>
      </c>
      <c r="I25" s="197" t="str">
        <f>IF(ISNUMBER(I$6),IF(AND(I$6&gt;=MTP_BaseYear,I$6&lt;=OutturnThrough),'Step 2 - Update outturn data'!#REF!,INDEX($D$95:$J$95,MATCH(I$6,$D$92:$J$92,0))),"")</f>
        <v/>
      </c>
      <c r="J25" s="197" t="str">
        <f>IF(ISNUMBER(J$6),IF(AND(J$6&gt;=MTP_BaseYear,J$6&lt;=OutturnThrough),'Step 2 - Update outturn data'!J23,INDEX($D$95:$J$95,MATCH(J$6,$D$92:$J$92,0))),"")</f>
        <v/>
      </c>
      <c r="K25" s="54"/>
      <c r="L25" s="54"/>
      <c r="M25" s="54"/>
      <c r="N25" s="54"/>
    </row>
    <row r="26" spans="2:15" x14ac:dyDescent="0.4">
      <c r="B26" s="72" t="s">
        <v>328</v>
      </c>
      <c r="C26" s="61" t="s">
        <v>728</v>
      </c>
      <c r="D26" s="197">
        <f>IF(ISNUMBER(D$6),IF(AND(D$6&gt;=MTP_BaseYear,D$6&lt;=OutturnThrough),'Step 2 - Update outturn data'!E24,INDEX($D$96:$J$96,MATCH(D$6,$D$92:$J$92,0))),"")</f>
        <v>9.630438336653846</v>
      </c>
      <c r="E26" s="197">
        <f>IF(ISNUMBER(E$6),IF(AND(E$6&gt;=MTP_BaseYear,E$6&lt;=OutturnThrough),'Step 2 - Update outturn data'!F24,INDEX($D$96:$J$96,MATCH(E$6,$D$92:$J$92,0))),"")</f>
        <v>2.7502135769205571</v>
      </c>
      <c r="F26" s="197">
        <f>IF(ISNUMBER(F$6),IF(AND(F$6&gt;=MTP_BaseYear,F$6&lt;=OutturnThrough),'Step 2 - Update outturn data'!G24,INDEX($D$96:$J$96,MATCH(F$6,$D$92:$J$92,0))),"")</f>
        <v>4.4000000000000004</v>
      </c>
      <c r="G26" s="197">
        <f>IF(ISNUMBER(G$6),IF(AND(G$6&gt;=MTP_BaseYear,G$6&lt;=OutturnThrough),'Step 2 - Update outturn data'!H24,INDEX($D$96:$J$96,MATCH(G$6,$D$92:$J$92,0))),"")</f>
        <v>4.7</v>
      </c>
      <c r="H26" s="197" t="str">
        <f>IF(ISNUMBER(H$6),IF(AND(H$6&gt;=MTP_BaseYear,H$6&lt;=OutturnThrough),'Step 2 - Update outturn data'!I24,INDEX($D$96:$J$96,MATCH(H$6,$D$92:$J$92,0))),"")</f>
        <v/>
      </c>
      <c r="I26" s="197" t="str">
        <f>IF(ISNUMBER(I$6),IF(AND(I$6&gt;=MTP_BaseYear,I$6&lt;=OutturnThrough),'Step 2 - Update outturn data'!#REF!,INDEX($D$96:$J$96,MATCH(I$6,$D$92:$J$92,0))),"")</f>
        <v/>
      </c>
      <c r="J26" s="197" t="str">
        <f>IF(ISNUMBER(J$6),IF(AND(J$6&gt;=MTP_BaseYear,J$6&lt;=OutturnThrough),'Step 2 - Update outturn data'!J24,INDEX($D$96:$J$96,MATCH(J$6,$D$92:$J$92,0))),"")</f>
        <v/>
      </c>
      <c r="K26" s="54"/>
      <c r="L26" s="54"/>
      <c r="M26" s="54"/>
      <c r="N26" s="54"/>
    </row>
    <row r="27" spans="2:15" x14ac:dyDescent="0.4">
      <c r="B27" s="72" t="s">
        <v>329</v>
      </c>
      <c r="C27" s="61" t="s">
        <v>728</v>
      </c>
      <c r="D27" s="197">
        <f>IF(ISNUMBER(D$6),IF(AND(D$6&gt;=MTP_BaseYear,D$6&lt;=OutturnThrough),'Step 2 - Update outturn data'!E25,INDEX($D$125:$J$125,MATCH(D$6,$D$92:$J$92,0))),"")</f>
        <v>0.97435418160733978</v>
      </c>
      <c r="E27" s="197">
        <f>IF(ISNUMBER(E$6),IF(AND(E$6&gt;=MTP_BaseYear,E$6&lt;=OutturnThrough),'Step 2 - Update outturn data'!F25,INDEX($D$125:$J$125,MATCH(E$6,$D$92:$J$92,0))),"")</f>
        <v>-1.8794702349533843E-2</v>
      </c>
      <c r="F27" s="197">
        <f>IF(ISNUMBER(F$6),IF(AND(F$6&gt;=MTP_BaseYear,F$6&lt;=OutturnThrough),'Step 2 - Update outturn data'!G25,INDEX($D$125:$J$125,MATCH(F$6,$D$92:$J$92,0))),"")</f>
        <v>1.7</v>
      </c>
      <c r="G27" s="197">
        <f>IF(ISNUMBER(G$6),IF(AND(G$6&gt;=MTP_BaseYear,G$6&lt;=OutturnThrough),'Step 2 - Update outturn data'!H25,INDEX($D$125:$J$125,MATCH(G$6,$D$92:$J$92,0))),"")</f>
        <v>1.7</v>
      </c>
      <c r="H27" s="197" t="str">
        <f>IF(ISNUMBER(H$6),IF(AND(H$6&gt;=MTP_BaseYear,H$6&lt;=OutturnThrough),'Step 2 - Update outturn data'!I25,INDEX($D$125:$J$125,MATCH(H$6,$D$92:$J$92,0))),"")</f>
        <v/>
      </c>
      <c r="I27" s="197" t="str">
        <f>IF(ISNUMBER(I$6),IF(AND(I$6&gt;=MTP_BaseYear,I$6&lt;=OutturnThrough),'Step 2 - Update outturn data'!#REF!,INDEX($D$125:$J$125,MATCH(I$6,$D$92:$J$92,0))),"")</f>
        <v/>
      </c>
      <c r="J27" s="197" t="str">
        <f>IF(ISNUMBER(J$6),IF(AND(J$6&gt;=MTP_BaseYear,J$6&lt;=OutturnThrough),'Step 2 - Update outturn data'!J25,INDEX($D$125:$J$125,MATCH(J$6,$D$92:$J$92,0))),"")</f>
        <v/>
      </c>
      <c r="K27" s="54"/>
      <c r="L27" s="54"/>
      <c r="M27" s="54"/>
      <c r="N27" s="54"/>
    </row>
    <row r="28" spans="2:15" x14ac:dyDescent="0.4">
      <c r="B28" s="72" t="s">
        <v>318</v>
      </c>
      <c r="C28" s="61" t="s">
        <v>689</v>
      </c>
      <c r="D28" s="197">
        <f>IF(ISNUMBER(D$6),IF(AND(D$6&gt;=MTP_BaseYear,D$6&lt;=OutturnThrough),'Step 2 - Update outturn data'!E26,INDEX($D$131:$J$131,MATCH(D$6,$D$92:$J$92,0))),"")</f>
        <v>-0.67509815273575358</v>
      </c>
      <c r="E28" s="197">
        <f>IF(ISNUMBER(E$6),IF(AND(E$6&gt;=MTP_BaseYear,E$6&lt;=OutturnThrough),'Step 2 - Update outturn data'!F26,INDEX($D$131:$J$131,MATCH(E$6,$D$92:$J$92,0))),"")</f>
        <v>-0.70221013089490913</v>
      </c>
      <c r="F28" s="197">
        <f>IF(ISNUMBER(F$6),IF(AND(F$6&gt;=MTP_BaseYear,F$6&lt;=OutturnThrough),'Step 2 - Update outturn data'!G26,INDEX($D$131:$J$131,MATCH(F$6,$D$92:$J$92,0))),"")</f>
        <v>-1.3</v>
      </c>
      <c r="G28" s="197">
        <f>IF(ISNUMBER(G$6),IF(AND(G$6&gt;=MTP_BaseYear,G$6&lt;=OutturnThrough),'Step 2 - Update outturn data'!H26,INDEX($D$131:$J$131,MATCH(G$6,$D$92:$J$92,0))),"")</f>
        <v>-0.9</v>
      </c>
      <c r="H28" s="197" t="str">
        <f>IF(ISNUMBER(H$6),IF(AND(H$6&gt;=MTP_BaseYear,H$6&lt;=OutturnThrough),'Step 2 - Update outturn data'!I26,INDEX($D$131:$J$131,MATCH(H$6,$D$92:$J$92,0))),"")</f>
        <v/>
      </c>
      <c r="I28" s="197" t="str">
        <f>IF(ISNUMBER(I$6),IF(AND(I$6&gt;=MTP_BaseYear,I$6&lt;=OutturnThrough),'Step 2 - Update outturn data'!#REF!,INDEX($D$131:$J$131,MATCH(I$6,$D$92:$J$92,0))),"")</f>
        <v/>
      </c>
      <c r="J28" s="197" t="str">
        <f>IF(ISNUMBER(J$6),IF(AND(J$6&gt;=MTP_BaseYear,J$6&lt;=OutturnThrough),'Step 2 - Update outturn data'!J26,INDEX($D$131:$J$131,MATCH(J$6,$D$92:$J$92,0))),"")</f>
        <v/>
      </c>
      <c r="K28" s="54"/>
      <c r="L28" s="54"/>
      <c r="M28" s="54"/>
      <c r="N28" s="54"/>
      <c r="O28" s="54"/>
    </row>
    <row r="29" spans="2:15" x14ac:dyDescent="0.4">
      <c r="B29" s="80" t="s">
        <v>338</v>
      </c>
      <c r="C29" s="59" t="s">
        <v>730</v>
      </c>
      <c r="D29" s="198">
        <f>IF(ISNUMBER(D$6),IF(AND(D$6&gt;=MTP_BaseYear,D$6&lt;=OutturnThrough),'Step 2 - Update outturn data'!E27,C29*(1+INDEX($D$96:$J$96,MATCH(D$6,$D$92:$J$92,0))/100)),"")</f>
        <v>39.5642</v>
      </c>
      <c r="E29" s="198">
        <f>IF(ISNUMBER(E$6),IF(AND(E$6&gt;=MTP_BaseYear,E$6&lt;=OutturnThrough),'Step 2 - Update outturn data'!F27,D29*(1+INDEX($D$96:$J$96,MATCH(E$6,$D$92:$J$92,0))/100)),"")</f>
        <v>40.652300000000004</v>
      </c>
      <c r="F29" s="198">
        <f>IF(ISNUMBER(F$6),IF(AND(F$6&gt;=MTP_BaseYear,F$6&lt;=OutturnThrough),'Step 2 - Update outturn data'!G27,E29*(1+INDEX($D$96:$J$96,MATCH(F$6,$D$92:$J$92,0))/100)),"")</f>
        <v>42.441001200000002</v>
      </c>
      <c r="G29" s="198">
        <f>IF(ISNUMBER(G$6),IF(AND(G$6&gt;=MTP_BaseYear,G$6&lt;=OutturnThrough),'Step 2 - Update outturn data'!H27,F29*(1+INDEX($D$96:$J$96,MATCH(G$6,$D$92:$J$92,0))/100)),"")</f>
        <v>44.435728256399997</v>
      </c>
      <c r="H29" s="198" t="str">
        <f>IF(ISNUMBER(H$6),IF(AND(H$6&gt;=MTP_BaseYear,H$6&lt;=OutturnThrough),'Step 2 - Update outturn data'!I27,G29*(1+INDEX($D$96:$J$96,MATCH(H$6,$D$92:$J$92,0))/100)),"")</f>
        <v/>
      </c>
      <c r="I29" s="198" t="str">
        <f>IF(ISNUMBER(I$6),IF(AND(I$6&gt;=MTP_BaseYear,I$6&lt;=OutturnThrough),'Step 2 - Update outturn data'!#REF!,H29*(1+INDEX($D$96:$J$96,MATCH(I$6,$D$92:$J$92,0))/100)),"")</f>
        <v/>
      </c>
      <c r="J29" s="198"/>
      <c r="K29" s="54"/>
      <c r="L29" s="54"/>
      <c r="M29" s="54"/>
      <c r="N29" s="54"/>
    </row>
    <row r="33" spans="1:10" ht="23.25" x14ac:dyDescent="0.7">
      <c r="A33" s="14" t="s">
        <v>907</v>
      </c>
    </row>
    <row r="34" spans="1:10" x14ac:dyDescent="0.4">
      <c r="A34" s="213"/>
      <c r="B34" s="213"/>
      <c r="C34" s="213"/>
      <c r="D34" s="213">
        <f>P9</f>
        <v>2024</v>
      </c>
      <c r="E34" s="213" cm="1">
        <f t="array" ref="E34:I34">_xlfn.SEQUENCE(1, MTP_EndYear-P9+1, P9)</f>
        <v>2024</v>
      </c>
      <c r="F34" s="213">
        <v>2025</v>
      </c>
      <c r="G34" s="213">
        <v>2026</v>
      </c>
      <c r="H34" s="213">
        <v>2027</v>
      </c>
      <c r="I34" s="213">
        <v>2028</v>
      </c>
      <c r="J34" s="213"/>
    </row>
    <row r="35" spans="1:10" x14ac:dyDescent="0.4">
      <c r="A35" s="214"/>
      <c r="B35" s="214" t="s">
        <v>36</v>
      </c>
      <c r="C35" s="214" t="s">
        <v>37</v>
      </c>
      <c r="D35" s="215" t="s">
        <v>6</v>
      </c>
      <c r="E35" s="215" t="str" cm="1">
        <f t="array" ref="E35:I35">IF(ISNUMBER(_xlfn.ANCHORARRAY(E$34)),"% of GDP","")</f>
        <v>% of GDP</v>
      </c>
      <c r="F35" s="215" t="str">
        <v>% of GDP</v>
      </c>
      <c r="G35" s="215" t="str">
        <v>% of GDP</v>
      </c>
      <c r="H35" s="215" t="str">
        <v>% of GDP</v>
      </c>
      <c r="I35" s="215" t="str">
        <v>% of GDP</v>
      </c>
      <c r="J35" s="215"/>
    </row>
    <row r="36" spans="1:10" x14ac:dyDescent="0.4">
      <c r="A36" s="214">
        <v>1</v>
      </c>
      <c r="B36" s="216" t="s">
        <v>41</v>
      </c>
      <c r="C36" s="216" t="s">
        <v>81</v>
      </c>
      <c r="D36" s="4">
        <v>5.9</v>
      </c>
      <c r="E36" s="4">
        <v>14.5</v>
      </c>
      <c r="F36" s="4">
        <v>14.8</v>
      </c>
      <c r="G36" s="4">
        <v>14.7</v>
      </c>
      <c r="H36" s="4"/>
      <c r="I36" s="4"/>
      <c r="J36" s="4"/>
    </row>
    <row r="37" spans="1:10" x14ac:dyDescent="0.4">
      <c r="A37" s="214">
        <v>2</v>
      </c>
      <c r="B37" s="216" t="s">
        <v>42</v>
      </c>
      <c r="C37" s="216" t="s">
        <v>82</v>
      </c>
      <c r="D37" s="4">
        <v>3.7</v>
      </c>
      <c r="E37" s="4">
        <v>9.3000000000000007</v>
      </c>
      <c r="F37" s="4">
        <v>8.6999999999999993</v>
      </c>
      <c r="G37" s="4">
        <v>8.6999999999999993</v>
      </c>
      <c r="H37" s="4"/>
      <c r="I37" s="4"/>
      <c r="J37" s="4"/>
    </row>
    <row r="38" spans="1:10" x14ac:dyDescent="0.4">
      <c r="A38" s="214">
        <v>3</v>
      </c>
      <c r="B38" s="216" t="s">
        <v>43</v>
      </c>
      <c r="C38" s="216" t="s">
        <v>83</v>
      </c>
      <c r="D38" s="4">
        <v>4.7</v>
      </c>
      <c r="E38" s="4">
        <v>11.6</v>
      </c>
      <c r="F38" s="4">
        <v>12.1</v>
      </c>
      <c r="G38" s="4">
        <v>12.3</v>
      </c>
      <c r="H38" s="4"/>
      <c r="I38" s="4"/>
      <c r="J38" s="4"/>
    </row>
    <row r="39" spans="1:10" x14ac:dyDescent="0.4">
      <c r="A39" s="214">
        <v>4</v>
      </c>
      <c r="B39" s="216" t="s">
        <v>45</v>
      </c>
      <c r="C39" s="216" t="s">
        <v>84</v>
      </c>
      <c r="D39" s="4">
        <v>3</v>
      </c>
      <c r="E39" s="4">
        <v>7.6</v>
      </c>
      <c r="F39" s="4">
        <v>7</v>
      </c>
      <c r="G39" s="4">
        <v>6.4</v>
      </c>
      <c r="H39" s="4"/>
      <c r="I39" s="4"/>
      <c r="J39" s="4"/>
    </row>
    <row r="40" spans="1:10" x14ac:dyDescent="0.4">
      <c r="A40" s="214">
        <v>5</v>
      </c>
      <c r="B40" s="216" t="s">
        <v>46</v>
      </c>
      <c r="C40" s="216" t="s">
        <v>85</v>
      </c>
      <c r="D40" s="4">
        <v>0</v>
      </c>
      <c r="E40" s="4">
        <v>0</v>
      </c>
      <c r="F40" s="4">
        <v>0</v>
      </c>
      <c r="G40" s="4">
        <v>0</v>
      </c>
      <c r="H40" s="4"/>
      <c r="I40" s="4"/>
      <c r="J40" s="4"/>
    </row>
    <row r="41" spans="1:10" x14ac:dyDescent="0.4">
      <c r="A41" s="214">
        <v>6</v>
      </c>
      <c r="B41" s="216" t="s">
        <v>47</v>
      </c>
      <c r="C41" s="216" t="s">
        <v>86</v>
      </c>
      <c r="D41" s="4">
        <v>0.3</v>
      </c>
      <c r="E41" s="4">
        <v>0.9</v>
      </c>
      <c r="F41" s="4">
        <v>1.9</v>
      </c>
      <c r="G41" s="4">
        <v>1.5</v>
      </c>
      <c r="H41" s="4"/>
      <c r="I41" s="4"/>
      <c r="J41" s="4"/>
    </row>
    <row r="42" spans="1:10" x14ac:dyDescent="0.4">
      <c r="A42" s="214">
        <v>7</v>
      </c>
      <c r="B42" s="216" t="s">
        <v>48</v>
      </c>
      <c r="C42" s="216" t="s">
        <v>87</v>
      </c>
      <c r="D42" s="216">
        <v>17.7</v>
      </c>
      <c r="E42" s="216">
        <v>43.9</v>
      </c>
      <c r="F42" s="216">
        <v>44.6</v>
      </c>
      <c r="G42" s="216">
        <v>43.7</v>
      </c>
      <c r="H42" s="216"/>
      <c r="I42" s="216"/>
      <c r="J42" s="216"/>
    </row>
    <row r="43" spans="1:10" x14ac:dyDescent="0.4">
      <c r="A43" s="214">
        <v>8</v>
      </c>
      <c r="B43" s="216" t="s">
        <v>49</v>
      </c>
      <c r="C43" s="216" t="s">
        <v>88</v>
      </c>
      <c r="D43" s="4">
        <v>0.8</v>
      </c>
      <c r="E43" s="4">
        <v>2</v>
      </c>
      <c r="F43" s="4">
        <v>2.6</v>
      </c>
      <c r="G43" s="4">
        <v>2</v>
      </c>
      <c r="H43" s="4"/>
      <c r="I43" s="4"/>
      <c r="J43" s="4"/>
    </row>
    <row r="44" spans="1:10" x14ac:dyDescent="0.4">
      <c r="A44" s="214">
        <v>9</v>
      </c>
      <c r="B44" s="216" t="s">
        <v>50</v>
      </c>
      <c r="C44" s="216"/>
      <c r="D44" s="216">
        <v>16.899999999999999</v>
      </c>
      <c r="E44" s="216">
        <v>42</v>
      </c>
      <c r="F44" s="216">
        <v>42</v>
      </c>
      <c r="G44" s="216">
        <v>41.7</v>
      </c>
      <c r="H44" s="216"/>
      <c r="I44" s="216"/>
      <c r="J44" s="216"/>
    </row>
    <row r="45" spans="1:10" x14ac:dyDescent="0.4">
      <c r="A45" s="214">
        <v>10</v>
      </c>
      <c r="B45" s="216" t="s">
        <v>51</v>
      </c>
      <c r="C45" s="216"/>
      <c r="D45" s="4">
        <v>0.2</v>
      </c>
      <c r="E45" s="4">
        <v>0.6</v>
      </c>
      <c r="F45" s="4">
        <v>0.2</v>
      </c>
      <c r="G45" s="4">
        <v>-0.1</v>
      </c>
      <c r="H45" s="4"/>
      <c r="I45" s="4"/>
      <c r="J45" s="4"/>
    </row>
    <row r="46" spans="1:10" x14ac:dyDescent="0.4">
      <c r="A46" s="214">
        <v>11</v>
      </c>
      <c r="B46" s="216" t="s">
        <v>52</v>
      </c>
      <c r="C46" s="216"/>
      <c r="D46" s="4"/>
      <c r="E46" s="4"/>
      <c r="F46" s="4"/>
      <c r="G46" s="4"/>
      <c r="H46" s="4"/>
      <c r="I46" s="4"/>
      <c r="J46" s="4"/>
    </row>
    <row r="47" spans="1:10" x14ac:dyDescent="0.4">
      <c r="A47" s="214"/>
      <c r="B47" s="214" t="s">
        <v>35</v>
      </c>
      <c r="C47" s="214" t="s">
        <v>37</v>
      </c>
      <c r="D47" s="231" t="s">
        <v>6</v>
      </c>
      <c r="E47" s="231" t="str" cm="1">
        <f t="array" ref="E47:I47">IF(ISNUMBER(_xlfn.ANCHORARRAY(E$34)),"% of GDP","")</f>
        <v>% of GDP</v>
      </c>
      <c r="F47" s="231" t="str">
        <v>% of GDP</v>
      </c>
      <c r="G47" s="231" t="str">
        <v>% of GDP</v>
      </c>
      <c r="H47" s="231" t="str">
        <v>% of GDP</v>
      </c>
      <c r="I47" s="231" t="str">
        <v>% of GDP</v>
      </c>
      <c r="J47" s="231"/>
    </row>
    <row r="48" spans="1:10" x14ac:dyDescent="0.4">
      <c r="A48" s="214">
        <v>12</v>
      </c>
      <c r="B48" s="218" t="s">
        <v>53</v>
      </c>
      <c r="C48" s="218" t="s">
        <v>5</v>
      </c>
      <c r="D48" s="4">
        <v>5.3</v>
      </c>
      <c r="E48" s="4">
        <v>13.2</v>
      </c>
      <c r="F48" s="4">
        <v>13.1</v>
      </c>
      <c r="G48" s="4">
        <v>12.7</v>
      </c>
      <c r="H48" s="4"/>
      <c r="I48" s="4"/>
      <c r="J48" s="4"/>
    </row>
    <row r="49" spans="1:10" x14ac:dyDescent="0.4">
      <c r="A49" s="214">
        <v>13</v>
      </c>
      <c r="B49" s="218" t="s">
        <v>54</v>
      </c>
      <c r="C49" s="218" t="s">
        <v>89</v>
      </c>
      <c r="D49" s="4">
        <v>2.6</v>
      </c>
      <c r="E49" s="4">
        <v>6.4</v>
      </c>
      <c r="F49" s="4">
        <v>6.6</v>
      </c>
      <c r="G49" s="4">
        <v>6.2</v>
      </c>
      <c r="H49" s="4"/>
      <c r="I49" s="4"/>
      <c r="J49" s="4"/>
    </row>
    <row r="50" spans="1:10" x14ac:dyDescent="0.4">
      <c r="A50" s="214">
        <v>14</v>
      </c>
      <c r="B50" s="218" t="s">
        <v>55</v>
      </c>
      <c r="C50" s="218" t="s">
        <v>34</v>
      </c>
      <c r="D50" s="4">
        <v>0.4</v>
      </c>
      <c r="E50" s="4">
        <v>1.1000000000000001</v>
      </c>
      <c r="F50" s="4">
        <v>1.2</v>
      </c>
      <c r="G50" s="4">
        <v>1.4</v>
      </c>
      <c r="H50" s="4"/>
      <c r="I50" s="4"/>
      <c r="J50" s="4"/>
    </row>
    <row r="51" spans="1:10" x14ac:dyDescent="0.4">
      <c r="A51" s="214">
        <v>15</v>
      </c>
      <c r="B51" s="218" t="s">
        <v>56</v>
      </c>
      <c r="C51" s="218" t="s">
        <v>90</v>
      </c>
      <c r="D51" s="4">
        <v>5.4</v>
      </c>
      <c r="E51" s="4">
        <v>13.3</v>
      </c>
      <c r="F51" s="4">
        <v>13.5</v>
      </c>
      <c r="G51" s="4">
        <v>13.8</v>
      </c>
      <c r="H51" s="4"/>
      <c r="I51" s="4"/>
      <c r="J51" s="4"/>
    </row>
    <row r="52" spans="1:10" x14ac:dyDescent="0.4">
      <c r="A52" s="214">
        <v>16</v>
      </c>
      <c r="B52" s="218" t="s">
        <v>57</v>
      </c>
      <c r="C52" s="218" t="s">
        <v>91</v>
      </c>
      <c r="D52" s="4">
        <v>0.7</v>
      </c>
      <c r="E52" s="4">
        <v>1.7</v>
      </c>
      <c r="F52" s="4">
        <v>1.9</v>
      </c>
      <c r="G52" s="4">
        <v>1.8</v>
      </c>
      <c r="H52" s="4"/>
      <c r="I52" s="4"/>
      <c r="J52" s="4"/>
    </row>
    <row r="53" spans="1:10" x14ac:dyDescent="0.4">
      <c r="A53" s="214">
        <v>17</v>
      </c>
      <c r="B53" s="218" t="s">
        <v>58</v>
      </c>
      <c r="C53" s="218" t="s">
        <v>92</v>
      </c>
      <c r="D53" s="4">
        <v>0.3</v>
      </c>
      <c r="E53" s="4">
        <v>0.7</v>
      </c>
      <c r="F53" s="4">
        <v>0.8</v>
      </c>
      <c r="G53" s="4">
        <v>0.8</v>
      </c>
      <c r="H53" s="4"/>
      <c r="I53" s="4"/>
      <c r="J53" s="4"/>
    </row>
    <row r="54" spans="1:10" x14ac:dyDescent="0.4">
      <c r="A54" s="214">
        <v>18</v>
      </c>
      <c r="B54" s="218" t="s">
        <v>59</v>
      </c>
      <c r="C54" s="218" t="s">
        <v>93</v>
      </c>
      <c r="D54" s="4">
        <v>1.1000000000000001</v>
      </c>
      <c r="E54" s="4">
        <v>2.6</v>
      </c>
      <c r="F54" s="4">
        <v>3.5</v>
      </c>
      <c r="G54" s="4">
        <v>3.4</v>
      </c>
      <c r="H54" s="4"/>
      <c r="I54" s="4"/>
      <c r="J54" s="4"/>
    </row>
    <row r="55" spans="1:10" x14ac:dyDescent="0.4">
      <c r="A55" s="214">
        <v>19</v>
      </c>
      <c r="B55" s="218" t="s">
        <v>10</v>
      </c>
      <c r="C55" s="218" t="s">
        <v>4</v>
      </c>
      <c r="D55" s="4">
        <v>2.2999999999999998</v>
      </c>
      <c r="E55" s="4">
        <v>5.7</v>
      </c>
      <c r="F55" s="4">
        <v>6.4</v>
      </c>
      <c r="G55" s="4">
        <v>6.3</v>
      </c>
      <c r="H55" s="4"/>
      <c r="I55" s="4"/>
      <c r="J55" s="4"/>
    </row>
    <row r="56" spans="1:10" x14ac:dyDescent="0.4">
      <c r="A56" s="214">
        <v>20</v>
      </c>
      <c r="B56" s="218" t="s">
        <v>60</v>
      </c>
      <c r="C56" s="218"/>
      <c r="D56" s="4">
        <v>2</v>
      </c>
      <c r="E56" s="4">
        <v>4.9000000000000004</v>
      </c>
      <c r="F56" s="4">
        <v>4.7</v>
      </c>
      <c r="G56" s="4">
        <v>5</v>
      </c>
      <c r="H56" s="4"/>
      <c r="I56" s="4"/>
      <c r="J56" s="4"/>
    </row>
    <row r="57" spans="1:10" x14ac:dyDescent="0.4">
      <c r="A57" s="214">
        <v>21</v>
      </c>
      <c r="B57" s="218" t="s">
        <v>61</v>
      </c>
      <c r="C57" s="218" t="s">
        <v>94</v>
      </c>
      <c r="D57" s="4">
        <v>0.1</v>
      </c>
      <c r="E57" s="4">
        <v>0.3</v>
      </c>
      <c r="F57" s="4">
        <v>0.3</v>
      </c>
      <c r="G57" s="4">
        <v>0.5</v>
      </c>
      <c r="H57" s="4"/>
      <c r="I57" s="4"/>
      <c r="J57" s="4"/>
    </row>
    <row r="58" spans="1:10" x14ac:dyDescent="0.4">
      <c r="A58" s="214">
        <v>22</v>
      </c>
      <c r="B58" s="218" t="s">
        <v>62</v>
      </c>
      <c r="C58" s="218" t="s">
        <v>95</v>
      </c>
      <c r="D58" s="4">
        <v>0.2</v>
      </c>
      <c r="E58" s="4">
        <v>0.6</v>
      </c>
      <c r="F58" s="4">
        <v>0.2</v>
      </c>
      <c r="G58" s="4">
        <v>0.2</v>
      </c>
      <c r="H58" s="4"/>
      <c r="I58" s="4"/>
      <c r="J58" s="4"/>
    </row>
    <row r="59" spans="1:10" x14ac:dyDescent="0.4">
      <c r="A59" s="214">
        <v>23</v>
      </c>
      <c r="B59" s="218" t="s">
        <v>63</v>
      </c>
      <c r="C59" s="218" t="s">
        <v>96</v>
      </c>
      <c r="D59" s="216">
        <v>18.399999999999999</v>
      </c>
      <c r="E59" s="216">
        <v>45.7</v>
      </c>
      <c r="F59" s="216">
        <v>47.5</v>
      </c>
      <c r="G59" s="216">
        <v>47</v>
      </c>
      <c r="H59" s="216"/>
      <c r="I59" s="216"/>
      <c r="J59" s="216"/>
    </row>
    <row r="60" spans="1:10" x14ac:dyDescent="0.4">
      <c r="A60" s="214">
        <v>24</v>
      </c>
      <c r="B60" s="218" t="s">
        <v>64</v>
      </c>
      <c r="C60" s="218" t="s">
        <v>88</v>
      </c>
      <c r="D60" s="4">
        <v>0.8</v>
      </c>
      <c r="E60" s="4">
        <v>2</v>
      </c>
      <c r="F60" s="4">
        <v>2.6</v>
      </c>
      <c r="G60" s="4">
        <v>2</v>
      </c>
      <c r="H60" s="4"/>
      <c r="I60" s="4"/>
      <c r="J60" s="4"/>
    </row>
    <row r="61" spans="1:10" x14ac:dyDescent="0.4">
      <c r="A61" s="214">
        <v>25</v>
      </c>
      <c r="B61" s="218" t="s">
        <v>65</v>
      </c>
      <c r="C61" s="218"/>
      <c r="D61" s="216">
        <v>17.600000000000001</v>
      </c>
      <c r="E61" s="216">
        <v>43.7</v>
      </c>
      <c r="F61" s="216">
        <v>44.9</v>
      </c>
      <c r="G61" s="216">
        <v>45</v>
      </c>
      <c r="H61" s="216"/>
      <c r="I61" s="216"/>
      <c r="J61" s="216"/>
    </row>
    <row r="62" spans="1:10" x14ac:dyDescent="0.4">
      <c r="A62" s="214">
        <v>26</v>
      </c>
      <c r="B62" s="218" t="s">
        <v>856</v>
      </c>
      <c r="C62" s="218"/>
      <c r="D62" s="4">
        <v>0.1</v>
      </c>
      <c r="E62" s="4">
        <v>0.3</v>
      </c>
      <c r="F62" s="4">
        <v>0.5</v>
      </c>
      <c r="G62" s="4">
        <v>0.3</v>
      </c>
      <c r="H62" s="4"/>
      <c r="I62" s="4"/>
      <c r="J62" s="4"/>
    </row>
    <row r="63" spans="1:10" x14ac:dyDescent="0.4">
      <c r="A63" s="214">
        <v>27</v>
      </c>
      <c r="B63" s="218" t="s">
        <v>66</v>
      </c>
      <c r="C63" s="218"/>
      <c r="D63" s="4">
        <v>0.01</v>
      </c>
      <c r="E63" s="4">
        <v>0.03</v>
      </c>
      <c r="F63" s="4">
        <v>0.04</v>
      </c>
      <c r="G63" s="4">
        <v>0.02</v>
      </c>
      <c r="H63" s="4"/>
      <c r="I63" s="4"/>
      <c r="J63" s="4"/>
    </row>
    <row r="64" spans="1:10" x14ac:dyDescent="0.4">
      <c r="A64" s="214">
        <v>28</v>
      </c>
      <c r="B64" s="218" t="s">
        <v>67</v>
      </c>
      <c r="C64" s="218"/>
      <c r="D64" s="4">
        <v>0</v>
      </c>
      <c r="E64" s="4">
        <v>0</v>
      </c>
      <c r="F64" s="4">
        <v>0</v>
      </c>
      <c r="G64" s="4">
        <v>0</v>
      </c>
      <c r="H64" s="4"/>
      <c r="I64" s="4"/>
      <c r="J64" s="4"/>
    </row>
    <row r="65" spans="1:10" x14ac:dyDescent="0.4">
      <c r="A65" s="214">
        <v>29</v>
      </c>
      <c r="B65" s="218" t="s">
        <v>68</v>
      </c>
      <c r="C65" s="218"/>
      <c r="D65" s="216">
        <v>17</v>
      </c>
      <c r="E65" s="216">
        <v>42.3</v>
      </c>
      <c r="F65" s="216">
        <v>43.2</v>
      </c>
      <c r="G65" s="216">
        <v>43.2</v>
      </c>
      <c r="H65" s="216"/>
      <c r="I65" s="216"/>
      <c r="J65" s="216"/>
    </row>
    <row r="66" spans="1:10" x14ac:dyDescent="0.4">
      <c r="A66" s="214"/>
      <c r="B66" s="214" t="s">
        <v>44</v>
      </c>
      <c r="C66" s="214"/>
      <c r="D66" s="226"/>
      <c r="E66" s="226" t="str" cm="1">
        <f t="array" ref="E66:I66">IF(ISNUMBER(_xlfn.ANCHORARRAY(E$34)),"growth rate","")</f>
        <v>growth rate</v>
      </c>
      <c r="F66" s="226" t="str">
        <v>growth rate</v>
      </c>
      <c r="G66" s="226" t="str">
        <v>growth rate</v>
      </c>
      <c r="H66" s="226" t="str">
        <v>growth rate</v>
      </c>
      <c r="I66" s="226" t="str">
        <v>growth rate</v>
      </c>
      <c r="J66" s="226"/>
    </row>
    <row r="67" spans="1:10" ht="14.25" x14ac:dyDescent="0.45">
      <c r="A67" s="214">
        <v>30</v>
      </c>
      <c r="B67" s="218" t="s">
        <v>931</v>
      </c>
      <c r="C67" s="218" t="s">
        <v>857</v>
      </c>
      <c r="D67" s="227"/>
      <c r="E67" s="4"/>
      <c r="F67" s="4">
        <v>6.2</v>
      </c>
      <c r="G67" s="4">
        <v>5</v>
      </c>
      <c r="H67" s="4"/>
      <c r="I67" s="4"/>
      <c r="J67" s="4"/>
    </row>
    <row r="68" spans="1:10" x14ac:dyDescent="0.4">
      <c r="A68" s="214"/>
      <c r="B68" s="214" t="s">
        <v>69</v>
      </c>
      <c r="C68" s="214"/>
      <c r="D68" s="226" t="s">
        <v>6</v>
      </c>
      <c r="E68" s="226" t="str" cm="1">
        <f t="array" ref="E68:I68">IF(ISNUMBER(_xlfn.ANCHORARRAY(E$34)),"% of GDP","")</f>
        <v>% of GDP</v>
      </c>
      <c r="F68" s="226" t="str">
        <v>% of GDP</v>
      </c>
      <c r="G68" s="226" t="str">
        <v>% of GDP</v>
      </c>
      <c r="H68" s="226" t="str">
        <v>% of GDP</v>
      </c>
      <c r="I68" s="226" t="str">
        <v>% of GDP</v>
      </c>
      <c r="J68" s="226"/>
    </row>
    <row r="69" spans="1:10" x14ac:dyDescent="0.4">
      <c r="A69" s="214">
        <v>31</v>
      </c>
      <c r="B69" s="218" t="s">
        <v>70</v>
      </c>
      <c r="C69" s="218" t="s">
        <v>33</v>
      </c>
      <c r="D69" s="4">
        <v>-0.7</v>
      </c>
      <c r="E69" s="4">
        <v>-1.8</v>
      </c>
      <c r="F69" s="4">
        <v>-2.9</v>
      </c>
      <c r="G69" s="4">
        <v>-3.3</v>
      </c>
      <c r="H69" s="4"/>
      <c r="I69" s="4"/>
      <c r="J69" s="4"/>
    </row>
    <row r="70" spans="1:10" x14ac:dyDescent="0.4">
      <c r="A70" s="214">
        <v>32</v>
      </c>
      <c r="B70" s="218" t="s">
        <v>71</v>
      </c>
      <c r="C70" s="218" t="s">
        <v>97</v>
      </c>
      <c r="D70" s="4">
        <v>-0.3</v>
      </c>
      <c r="E70" s="4">
        <v>-0.7</v>
      </c>
      <c r="F70" s="4">
        <v>-1.7</v>
      </c>
      <c r="G70" s="4">
        <v>-1.9</v>
      </c>
      <c r="H70" s="4"/>
      <c r="I70" s="4"/>
      <c r="J70" s="4"/>
    </row>
    <row r="71" spans="1:10" x14ac:dyDescent="0.4">
      <c r="A71" s="214"/>
      <c r="B71" s="214" t="s">
        <v>72</v>
      </c>
      <c r="C71" s="214"/>
      <c r="D71" s="226"/>
      <c r="E71" s="226" t="str" cm="1">
        <f t="array" ref="E71:I71">IF(ISNUMBER(_xlfn.ANCHORARRAY(E$34)),"% of GDP","")</f>
        <v>% of GDP</v>
      </c>
      <c r="F71" s="226" t="str">
        <v>% of GDP</v>
      </c>
      <c r="G71" s="226" t="str">
        <v>% of GDP</v>
      </c>
      <c r="H71" s="226" t="str">
        <v>% of GDP</v>
      </c>
      <c r="I71" s="226" t="str">
        <v>% of GDP</v>
      </c>
      <c r="J71" s="226"/>
    </row>
    <row r="72" spans="1:10" ht="14.25" x14ac:dyDescent="0.45">
      <c r="A72" s="214">
        <v>33</v>
      </c>
      <c r="B72" s="217" t="s">
        <v>0</v>
      </c>
      <c r="C72" s="217"/>
      <c r="D72" s="227"/>
      <c r="E72" s="4">
        <v>-1.5</v>
      </c>
      <c r="F72" s="4">
        <v>-2.4</v>
      </c>
      <c r="G72" s="4">
        <v>-3</v>
      </c>
      <c r="H72" s="4"/>
      <c r="I72" s="4"/>
      <c r="J72" s="4"/>
    </row>
    <row r="73" spans="1:10" ht="14.25" x14ac:dyDescent="0.45">
      <c r="A73" s="214">
        <v>34</v>
      </c>
      <c r="B73" s="217" t="s">
        <v>3</v>
      </c>
      <c r="C73" s="217"/>
      <c r="D73" s="227"/>
      <c r="E73" s="4">
        <v>-0.4</v>
      </c>
      <c r="F73" s="4">
        <v>-1.2</v>
      </c>
      <c r="G73" s="4">
        <v>-1.6</v>
      </c>
      <c r="H73" s="4"/>
      <c r="I73" s="4"/>
      <c r="J73" s="4"/>
    </row>
    <row r="74" spans="1:10" x14ac:dyDescent="0.4">
      <c r="A74" s="214"/>
      <c r="B74" s="214" t="s">
        <v>20</v>
      </c>
      <c r="C74" s="214"/>
      <c r="D74" s="226" t="s">
        <v>6</v>
      </c>
      <c r="E74" s="226" t="s">
        <v>694</v>
      </c>
      <c r="F74" s="226" t="s">
        <v>694</v>
      </c>
      <c r="G74" s="226" t="s">
        <v>694</v>
      </c>
      <c r="H74" s="226"/>
      <c r="I74" s="226"/>
      <c r="J74" s="226"/>
    </row>
    <row r="75" spans="1:10" x14ac:dyDescent="0.4">
      <c r="A75" s="214">
        <v>35</v>
      </c>
      <c r="B75" s="218" t="s">
        <v>1</v>
      </c>
      <c r="C75" s="218"/>
      <c r="D75" s="4">
        <v>18.8</v>
      </c>
      <c r="E75" s="4">
        <v>46.8</v>
      </c>
      <c r="F75" s="4">
        <v>48.9</v>
      </c>
      <c r="G75" s="4">
        <v>50.6</v>
      </c>
      <c r="H75" s="4"/>
      <c r="I75" s="4"/>
      <c r="J75" s="4"/>
    </row>
    <row r="76" spans="1:10" x14ac:dyDescent="0.4">
      <c r="A76" s="214">
        <v>36</v>
      </c>
      <c r="B76" s="218" t="s">
        <v>2</v>
      </c>
      <c r="C76" s="218"/>
      <c r="D76" s="4">
        <v>1.2</v>
      </c>
      <c r="E76" s="4">
        <v>2.1</v>
      </c>
      <c r="F76" s="4">
        <v>2.1</v>
      </c>
      <c r="G76" s="4">
        <v>1.7</v>
      </c>
      <c r="H76" s="4"/>
      <c r="I76" s="4"/>
      <c r="J76" s="4"/>
    </row>
    <row r="77" spans="1:10" x14ac:dyDescent="0.4">
      <c r="A77" s="214">
        <v>37</v>
      </c>
      <c r="B77" s="218" t="s">
        <v>73</v>
      </c>
      <c r="C77" s="218"/>
      <c r="D77" s="228"/>
      <c r="E77" s="228"/>
      <c r="F77" s="228"/>
      <c r="G77" s="228"/>
      <c r="H77" s="216"/>
      <c r="I77" s="216"/>
      <c r="J77" s="216"/>
    </row>
    <row r="78" spans="1:10" ht="14.25" x14ac:dyDescent="0.45">
      <c r="A78" s="214">
        <v>38</v>
      </c>
      <c r="B78" s="220" t="s">
        <v>858</v>
      </c>
      <c r="C78" s="218"/>
      <c r="D78" s="227"/>
      <c r="E78" s="4">
        <v>0.7</v>
      </c>
      <c r="F78" s="4">
        <v>1.7</v>
      </c>
      <c r="G78" s="4">
        <v>1.9</v>
      </c>
      <c r="H78" s="4"/>
      <c r="I78" s="4"/>
      <c r="J78" s="4"/>
    </row>
    <row r="79" spans="1:10" ht="14.25" x14ac:dyDescent="0.45">
      <c r="A79" s="214">
        <v>39</v>
      </c>
      <c r="B79" s="220" t="s">
        <v>859</v>
      </c>
      <c r="C79" s="218"/>
      <c r="D79" s="227"/>
      <c r="E79" s="4">
        <v>0.2</v>
      </c>
      <c r="F79" s="4">
        <v>-0.7</v>
      </c>
      <c r="G79" s="4">
        <v>-0.8</v>
      </c>
      <c r="H79" s="4"/>
      <c r="I79" s="4"/>
      <c r="J79" s="4"/>
    </row>
    <row r="80" spans="1:10" ht="14.25" x14ac:dyDescent="0.45">
      <c r="A80" s="214">
        <v>40</v>
      </c>
      <c r="B80" s="221" t="s">
        <v>860</v>
      </c>
      <c r="C80" s="218"/>
      <c r="D80" s="227"/>
      <c r="E80" s="4">
        <v>1.1000000000000001</v>
      </c>
      <c r="F80" s="4">
        <v>1.2</v>
      </c>
      <c r="G80" s="4">
        <v>1.4</v>
      </c>
      <c r="H80" s="4"/>
      <c r="I80" s="4"/>
      <c r="J80" s="4"/>
    </row>
    <row r="81" spans="1:10" ht="14.25" x14ac:dyDescent="0.45">
      <c r="A81" s="214">
        <v>41</v>
      </c>
      <c r="B81" s="221" t="s">
        <v>861</v>
      </c>
      <c r="C81" s="218"/>
      <c r="D81" s="227"/>
      <c r="E81" s="4">
        <v>0.2</v>
      </c>
      <c r="F81" s="4">
        <v>-0.5</v>
      </c>
      <c r="G81" s="4">
        <v>-1</v>
      </c>
      <c r="H81" s="4"/>
      <c r="I81" s="4"/>
      <c r="J81" s="4"/>
    </row>
    <row r="82" spans="1:10" ht="14.25" x14ac:dyDescent="0.45">
      <c r="A82" s="214">
        <v>42</v>
      </c>
      <c r="B82" s="221" t="s">
        <v>862</v>
      </c>
      <c r="C82" s="218"/>
      <c r="D82" s="227"/>
      <c r="E82" s="4">
        <v>-1.1000000000000001</v>
      </c>
      <c r="F82" s="4">
        <v>-1.5</v>
      </c>
      <c r="G82" s="4">
        <v>-1.2</v>
      </c>
      <c r="H82" s="4"/>
      <c r="I82" s="4"/>
      <c r="J82" s="4"/>
    </row>
    <row r="83" spans="1:10" ht="14.25" x14ac:dyDescent="0.45">
      <c r="A83" s="214">
        <v>43</v>
      </c>
      <c r="B83" s="220" t="s">
        <v>863</v>
      </c>
      <c r="C83" s="218"/>
      <c r="D83" s="227"/>
      <c r="E83" s="4">
        <v>1.3</v>
      </c>
      <c r="F83" s="4">
        <v>1.2</v>
      </c>
      <c r="G83" s="4">
        <v>0.6</v>
      </c>
      <c r="H83" s="4"/>
      <c r="I83" s="4"/>
      <c r="J83" s="4"/>
    </row>
    <row r="84" spans="1:10" x14ac:dyDescent="0.4">
      <c r="A84" s="214"/>
      <c r="B84" s="214"/>
      <c r="C84" s="214"/>
      <c r="D84" s="226"/>
      <c r="E84" s="231" t="str" cm="1">
        <f t="array" ref="E84:I84">IF(ISNUMBER(_xlfn.ANCHORARRAY(E$34)),"%","")</f>
        <v>%</v>
      </c>
      <c r="F84" s="231" t="str">
        <v>%</v>
      </c>
      <c r="G84" s="231" t="str">
        <v>%</v>
      </c>
      <c r="H84" s="231" t="str">
        <v>%</v>
      </c>
      <c r="I84" s="231" t="str">
        <v>%</v>
      </c>
      <c r="J84" s="231"/>
    </row>
    <row r="85" spans="1:10" ht="14.25" x14ac:dyDescent="0.45">
      <c r="A85" s="214">
        <v>44</v>
      </c>
      <c r="B85" s="222" t="s">
        <v>80</v>
      </c>
      <c r="C85" s="222"/>
      <c r="D85" s="229"/>
      <c r="E85" s="4">
        <v>2.5</v>
      </c>
      <c r="F85" s="4">
        <v>2.8</v>
      </c>
      <c r="G85" s="4">
        <v>3</v>
      </c>
      <c r="H85" s="4"/>
      <c r="I85" s="4"/>
      <c r="J85" s="4"/>
    </row>
    <row r="86" spans="1:10" x14ac:dyDescent="0.4">
      <c r="A86" s="214"/>
      <c r="B86" s="214"/>
      <c r="C86" s="214"/>
      <c r="D86" s="226"/>
      <c r="E86" s="226"/>
      <c r="F86" s="226"/>
      <c r="G86" s="226"/>
      <c r="H86" s="226"/>
      <c r="I86" s="226"/>
      <c r="J86" s="226"/>
    </row>
    <row r="87" spans="1:10" x14ac:dyDescent="0.4">
      <c r="A87" s="214">
        <v>45</v>
      </c>
      <c r="B87" s="217" t="s">
        <v>864</v>
      </c>
      <c r="C87" s="217" t="s">
        <v>865</v>
      </c>
      <c r="D87" s="4">
        <v>1.2</v>
      </c>
      <c r="E87" s="4">
        <v>3</v>
      </c>
      <c r="F87" s="4">
        <v>3.3</v>
      </c>
      <c r="G87" s="4">
        <v>4.2</v>
      </c>
      <c r="H87" s="4"/>
      <c r="I87" s="4"/>
      <c r="J87" s="4"/>
    </row>
    <row r="88" spans="1:10" x14ac:dyDescent="0.4">
      <c r="A88" s="214">
        <v>46</v>
      </c>
      <c r="B88" s="217" t="s">
        <v>866</v>
      </c>
      <c r="C88" s="217" t="s">
        <v>867</v>
      </c>
      <c r="D88" s="4">
        <v>0.3</v>
      </c>
      <c r="E88" s="4">
        <v>0.8</v>
      </c>
      <c r="F88" s="4">
        <v>1.4</v>
      </c>
      <c r="G88" s="4">
        <v>2.1</v>
      </c>
      <c r="H88" s="4"/>
      <c r="I88" s="4"/>
      <c r="J88" s="4"/>
    </row>
    <row r="91" spans="1:10" ht="23.25" x14ac:dyDescent="0.7">
      <c r="A91" s="14" t="s">
        <v>908</v>
      </c>
    </row>
    <row r="92" spans="1:10" x14ac:dyDescent="0.4">
      <c r="A92" s="213"/>
      <c r="B92" s="213" t="s">
        <v>8</v>
      </c>
      <c r="C92" s="213" t="s">
        <v>37</v>
      </c>
      <c r="D92" s="213">
        <f>P9</f>
        <v>2024</v>
      </c>
      <c r="E92" s="213" cm="1">
        <f t="array" ref="E92:I92">_xlfn.SEQUENCE(1, MTP_EndYear-P9+1, P9)</f>
        <v>2024</v>
      </c>
      <c r="F92" s="213">
        <v>2025</v>
      </c>
      <c r="G92" s="213">
        <v>2026</v>
      </c>
      <c r="H92" s="213">
        <v>2027</v>
      </c>
      <c r="I92" s="213">
        <v>2028</v>
      </c>
      <c r="J92" s="213"/>
    </row>
    <row r="93" spans="1:10" x14ac:dyDescent="0.4">
      <c r="A93" s="214"/>
      <c r="B93" s="214"/>
      <c r="C93" s="214"/>
      <c r="D93" s="215" t="s">
        <v>6</v>
      </c>
      <c r="E93" s="215" t="str" cm="1">
        <f t="array" ref="E93:I93">IF(ISNUMBER(_xlfn.ANCHORARRAY(E$34)),"growth rate","")</f>
        <v>growth rate</v>
      </c>
      <c r="F93" s="215" t="str">
        <v>growth rate</v>
      </c>
      <c r="G93" s="215" t="str">
        <v>growth rate</v>
      </c>
      <c r="H93" s="215" t="str">
        <v>growth rate</v>
      </c>
      <c r="I93" s="215" t="str">
        <v>growth rate</v>
      </c>
      <c r="J93" s="215"/>
    </row>
    <row r="94" spans="1:10" ht="14.25" x14ac:dyDescent="0.45">
      <c r="A94" s="214">
        <v>1</v>
      </c>
      <c r="B94" s="218" t="s">
        <v>7</v>
      </c>
      <c r="C94" s="218" t="s">
        <v>868</v>
      </c>
      <c r="D94" s="219"/>
      <c r="E94">
        <v>-0.4</v>
      </c>
      <c r="F94">
        <v>1.1000000000000001</v>
      </c>
      <c r="G94">
        <v>2.1</v>
      </c>
      <c r="H94" s="4"/>
      <c r="I94" s="4"/>
      <c r="J94" s="4"/>
    </row>
    <row r="95" spans="1:10" ht="14.25" x14ac:dyDescent="0.45">
      <c r="A95" s="214">
        <v>2</v>
      </c>
      <c r="B95" s="218" t="s">
        <v>8</v>
      </c>
      <c r="C95" s="218"/>
      <c r="D95" s="219"/>
      <c r="E95">
        <v>2.6</v>
      </c>
      <c r="F95">
        <v>3.3</v>
      </c>
      <c r="G95">
        <v>2.5</v>
      </c>
      <c r="H95" s="4"/>
      <c r="I95" s="4"/>
      <c r="J95" s="4"/>
    </row>
    <row r="96" spans="1:10" x14ac:dyDescent="0.4">
      <c r="A96" s="214">
        <v>3</v>
      </c>
      <c r="B96" s="218" t="s">
        <v>9</v>
      </c>
      <c r="C96" s="218" t="s">
        <v>868</v>
      </c>
      <c r="D96" s="171">
        <v>40208</v>
      </c>
      <c r="E96">
        <v>2.1</v>
      </c>
      <c r="F96">
        <v>4.4000000000000004</v>
      </c>
      <c r="G96">
        <v>4.7</v>
      </c>
      <c r="H96" s="4"/>
      <c r="I96" s="4"/>
      <c r="J96" s="4"/>
    </row>
    <row r="97" spans="1:10" x14ac:dyDescent="0.4">
      <c r="A97" s="214"/>
      <c r="B97" s="214" t="s">
        <v>869</v>
      </c>
      <c r="C97" s="214"/>
      <c r="D97" s="215" t="s">
        <v>6</v>
      </c>
      <c r="E97" s="215" t="str" cm="1">
        <f t="array" ref="E97:I97">IF(ISNUMBER(_xlfn.ANCHORARRAY(E$34)),"growth rate","")</f>
        <v>growth rate</v>
      </c>
      <c r="F97" s="215" t="str">
        <v>growth rate</v>
      </c>
      <c r="G97" s="215" t="str">
        <v>growth rate</v>
      </c>
      <c r="H97" s="231" t="str">
        <v>growth rate</v>
      </c>
      <c r="I97" s="231" t="str">
        <v>growth rate</v>
      </c>
      <c r="J97" s="231"/>
    </row>
    <row r="98" spans="1:10" ht="14.25" x14ac:dyDescent="0.45">
      <c r="A98" s="214">
        <v>4</v>
      </c>
      <c r="B98" s="218" t="s">
        <v>870</v>
      </c>
      <c r="C98" s="218" t="s">
        <v>871</v>
      </c>
      <c r="D98" s="219"/>
      <c r="E98">
        <v>0.5</v>
      </c>
      <c r="F98">
        <v>0.2</v>
      </c>
      <c r="G98">
        <v>1.9</v>
      </c>
      <c r="H98" s="4"/>
      <c r="I98" s="4"/>
      <c r="J98" s="4"/>
    </row>
    <row r="99" spans="1:10" ht="14.25" x14ac:dyDescent="0.45">
      <c r="A99" s="214">
        <v>5</v>
      </c>
      <c r="B99" s="218" t="s">
        <v>872</v>
      </c>
      <c r="C99" s="218" t="s">
        <v>871</v>
      </c>
      <c r="D99" s="219"/>
      <c r="E99">
        <v>7.6</v>
      </c>
      <c r="F99">
        <v>4.4000000000000004</v>
      </c>
      <c r="G99">
        <v>3</v>
      </c>
      <c r="H99" s="4"/>
      <c r="I99" s="4"/>
      <c r="J99" s="4"/>
    </row>
    <row r="100" spans="1:10" ht="14.25" x14ac:dyDescent="0.45">
      <c r="A100" s="214">
        <v>6</v>
      </c>
      <c r="B100" s="218" t="s">
        <v>10</v>
      </c>
      <c r="C100" s="218" t="s">
        <v>4</v>
      </c>
      <c r="D100" s="219"/>
      <c r="E100">
        <v>-6.7</v>
      </c>
      <c r="F100">
        <v>3.7</v>
      </c>
      <c r="G100">
        <v>4.5</v>
      </c>
      <c r="H100" s="4"/>
      <c r="I100" s="4"/>
      <c r="J100" s="4"/>
    </row>
    <row r="101" spans="1:10" ht="14.25" x14ac:dyDescent="0.45">
      <c r="A101" s="214">
        <v>7</v>
      </c>
      <c r="B101" s="218" t="s">
        <v>873</v>
      </c>
      <c r="C101" s="218" t="s">
        <v>874</v>
      </c>
      <c r="D101" s="219"/>
      <c r="E101" s="223"/>
      <c r="F101" s="223"/>
      <c r="G101" s="223"/>
      <c r="H101" s="232"/>
      <c r="I101" s="232"/>
      <c r="J101" s="232"/>
    </row>
    <row r="102" spans="1:10" ht="14.25" x14ac:dyDescent="0.45">
      <c r="A102" s="214">
        <v>8</v>
      </c>
      <c r="B102" s="218" t="s">
        <v>875</v>
      </c>
      <c r="C102" s="218" t="s">
        <v>876</v>
      </c>
      <c r="D102" s="219"/>
      <c r="E102">
        <v>-1.6</v>
      </c>
      <c r="F102">
        <v>1.9</v>
      </c>
      <c r="G102">
        <v>2.4</v>
      </c>
      <c r="H102" s="4"/>
      <c r="I102" s="4"/>
      <c r="J102" s="4"/>
    </row>
    <row r="103" spans="1:10" ht="14.25" x14ac:dyDescent="0.45">
      <c r="A103" s="214">
        <v>9</v>
      </c>
      <c r="B103" s="218" t="s">
        <v>877</v>
      </c>
      <c r="C103" s="218" t="s">
        <v>878</v>
      </c>
      <c r="D103" s="219"/>
      <c r="E103">
        <v>-2.2999999999999998</v>
      </c>
      <c r="F103">
        <v>3.2</v>
      </c>
      <c r="G103">
        <v>3.2</v>
      </c>
      <c r="H103" s="4"/>
      <c r="I103" s="4"/>
      <c r="J103" s="4"/>
    </row>
    <row r="104" spans="1:10" x14ac:dyDescent="0.4">
      <c r="A104" s="214"/>
      <c r="B104" s="218" t="s">
        <v>879</v>
      </c>
      <c r="C104" s="218"/>
      <c r="D104" s="218"/>
      <c r="E104" s="218"/>
      <c r="F104" s="218"/>
      <c r="G104" s="218"/>
      <c r="H104" s="228"/>
      <c r="I104" s="228"/>
      <c r="J104" s="228"/>
    </row>
    <row r="105" spans="1:10" ht="14.25" x14ac:dyDescent="0.45">
      <c r="A105" s="214">
        <v>10</v>
      </c>
      <c r="B105" s="224" t="s">
        <v>880</v>
      </c>
      <c r="C105" s="218"/>
      <c r="D105" s="219"/>
      <c r="E105">
        <v>-1</v>
      </c>
      <c r="F105">
        <v>2</v>
      </c>
      <c r="G105">
        <v>2.8</v>
      </c>
      <c r="H105" s="4"/>
      <c r="I105" s="4"/>
      <c r="J105" s="4"/>
    </row>
    <row r="106" spans="1:10" ht="14.25" x14ac:dyDescent="0.45">
      <c r="A106" s="214">
        <v>11</v>
      </c>
      <c r="B106" s="224" t="s">
        <v>881</v>
      </c>
      <c r="C106" s="218" t="s">
        <v>874</v>
      </c>
      <c r="D106" s="219"/>
      <c r="E106">
        <v>-1.3</v>
      </c>
      <c r="F106">
        <v>0</v>
      </c>
      <c r="G106">
        <v>0</v>
      </c>
      <c r="H106" s="4"/>
      <c r="I106" s="4"/>
      <c r="J106" s="4"/>
    </row>
    <row r="107" spans="1:10" ht="14.25" x14ac:dyDescent="0.45">
      <c r="A107" s="214">
        <v>12</v>
      </c>
      <c r="B107" s="224" t="s">
        <v>882</v>
      </c>
      <c r="C107" s="218" t="s">
        <v>883</v>
      </c>
      <c r="D107" s="219"/>
      <c r="E107">
        <v>0.6</v>
      </c>
      <c r="F107">
        <v>-0.9</v>
      </c>
      <c r="G107">
        <v>-0.7</v>
      </c>
      <c r="H107" s="4"/>
      <c r="I107" s="4"/>
      <c r="J107" s="4"/>
    </row>
    <row r="108" spans="1:10" x14ac:dyDescent="0.4">
      <c r="A108" s="214"/>
      <c r="B108" s="214" t="s">
        <v>884</v>
      </c>
      <c r="C108" s="214"/>
      <c r="D108" s="215"/>
      <c r="E108" s="215" t="str" cm="1">
        <f t="array" ref="E108:I108">IF(ISNUMBER(_xlfn.ANCHORARRAY(E$34)),"growth rate","")</f>
        <v>growth rate</v>
      </c>
      <c r="F108" s="215" t="str">
        <v>growth rate</v>
      </c>
      <c r="G108" s="215" t="str">
        <v>growth rate</v>
      </c>
      <c r="H108" s="231" t="str">
        <v>growth rate</v>
      </c>
      <c r="I108" s="231" t="str">
        <v>growth rate</v>
      </c>
      <c r="J108" s="231"/>
    </row>
    <row r="109" spans="1:10" ht="14.25" x14ac:dyDescent="0.45">
      <c r="A109" s="214">
        <v>13</v>
      </c>
      <c r="B109" s="218" t="s">
        <v>885</v>
      </c>
      <c r="C109" s="218"/>
      <c r="D109" s="219"/>
      <c r="E109">
        <v>3.4</v>
      </c>
      <c r="F109">
        <v>3.5</v>
      </c>
      <c r="G109">
        <v>2.2999999999999998</v>
      </c>
      <c r="H109" s="4"/>
      <c r="I109" s="4"/>
      <c r="J109" s="4"/>
    </row>
    <row r="110" spans="1:10" ht="14.25" x14ac:dyDescent="0.45">
      <c r="A110" s="214">
        <v>14</v>
      </c>
      <c r="B110" s="220" t="s">
        <v>886</v>
      </c>
      <c r="C110" s="218"/>
      <c r="D110" s="219"/>
      <c r="E110">
        <v>1.3</v>
      </c>
      <c r="F110">
        <v>3.5</v>
      </c>
      <c r="G110">
        <v>2.2999999999999998</v>
      </c>
      <c r="H110" s="4"/>
      <c r="I110" s="4"/>
      <c r="J110" s="4"/>
    </row>
    <row r="111" spans="1:10" ht="14.25" x14ac:dyDescent="0.45">
      <c r="A111" s="214">
        <v>15</v>
      </c>
      <c r="B111" s="218" t="s">
        <v>887</v>
      </c>
      <c r="C111" s="218"/>
      <c r="D111" s="219"/>
      <c r="E111">
        <v>0.6</v>
      </c>
      <c r="F111">
        <v>4.3</v>
      </c>
      <c r="G111">
        <v>-1.2</v>
      </c>
      <c r="H111" s="4"/>
      <c r="I111" s="4"/>
      <c r="J111" s="4"/>
    </row>
    <row r="112" spans="1:10" ht="14.25" x14ac:dyDescent="0.45">
      <c r="A112" s="214">
        <v>16</v>
      </c>
      <c r="B112" s="218" t="s">
        <v>888</v>
      </c>
      <c r="C112" s="218"/>
      <c r="D112" s="219"/>
      <c r="E112">
        <v>2.5</v>
      </c>
      <c r="F112">
        <v>3.7</v>
      </c>
      <c r="G112">
        <v>3.4</v>
      </c>
      <c r="H112" s="4"/>
      <c r="I112" s="4"/>
      <c r="J112" s="4"/>
    </row>
    <row r="113" spans="1:10" ht="14.25" x14ac:dyDescent="0.45">
      <c r="A113" s="214">
        <v>17</v>
      </c>
      <c r="B113" s="218" t="s">
        <v>889</v>
      </c>
      <c r="C113" s="218"/>
      <c r="D113" s="219"/>
      <c r="E113">
        <v>0.9</v>
      </c>
      <c r="F113">
        <v>1.6</v>
      </c>
      <c r="G113">
        <v>2.9</v>
      </c>
      <c r="H113" s="4"/>
      <c r="I113" s="4"/>
      <c r="J113" s="4"/>
    </row>
    <row r="114" spans="1:10" ht="14.25" x14ac:dyDescent="0.45">
      <c r="A114" s="214">
        <v>18</v>
      </c>
      <c r="B114" s="218" t="s">
        <v>890</v>
      </c>
      <c r="C114" s="218"/>
      <c r="D114" s="219"/>
      <c r="E114">
        <v>0.1</v>
      </c>
      <c r="F114">
        <v>2</v>
      </c>
      <c r="G114">
        <v>2.2999999999999998</v>
      </c>
      <c r="H114" s="4"/>
      <c r="I114" s="4"/>
      <c r="J114" s="4"/>
    </row>
    <row r="115" spans="1:10" x14ac:dyDescent="0.4">
      <c r="A115" s="214"/>
      <c r="B115" s="214" t="s">
        <v>891</v>
      </c>
      <c r="C115" s="214" t="s">
        <v>32</v>
      </c>
      <c r="D115" s="215" t="s">
        <v>892</v>
      </c>
      <c r="E115" s="215" t="str" cm="1">
        <f t="array" ref="E115:I115">IF(ISNUMBER(_xlfn.ANCHORARRAY(E$34)),"growth rate","")</f>
        <v>growth rate</v>
      </c>
      <c r="F115" s="215" t="str">
        <v>growth rate</v>
      </c>
      <c r="G115" s="215" t="str">
        <v>growth rate</v>
      </c>
      <c r="H115" s="231" t="str">
        <v>growth rate</v>
      </c>
      <c r="I115" s="231" t="str">
        <v>growth rate</v>
      </c>
      <c r="J115" s="231"/>
    </row>
    <row r="116" spans="1:10" x14ac:dyDescent="0.4">
      <c r="A116" s="214">
        <v>19</v>
      </c>
      <c r="B116" s="218" t="s">
        <v>893</v>
      </c>
      <c r="C116" s="218"/>
      <c r="D116" s="171">
        <v>877</v>
      </c>
      <c r="E116" s="3">
        <v>-0.8</v>
      </c>
      <c r="F116">
        <v>-0.2</v>
      </c>
      <c r="G116" s="3">
        <v>-0.2</v>
      </c>
      <c r="H116" s="83"/>
      <c r="I116" s="83"/>
      <c r="J116" s="83"/>
    </row>
    <row r="117" spans="1:10" x14ac:dyDescent="0.4">
      <c r="A117" s="214">
        <v>20</v>
      </c>
      <c r="B117" s="218" t="s">
        <v>894</v>
      </c>
      <c r="C117" s="218"/>
      <c r="D117" s="171">
        <v>1771</v>
      </c>
      <c r="E117">
        <v>0.7</v>
      </c>
      <c r="F117">
        <v>0</v>
      </c>
      <c r="G117">
        <v>0</v>
      </c>
      <c r="H117" s="4"/>
      <c r="I117" s="4"/>
      <c r="J117" s="4"/>
    </row>
    <row r="118" spans="1:10" ht="14.25" x14ac:dyDescent="0.45">
      <c r="A118" s="214">
        <v>21</v>
      </c>
      <c r="B118" s="218" t="s">
        <v>895</v>
      </c>
      <c r="C118" s="218"/>
      <c r="D118" s="219"/>
      <c r="E118">
        <v>0.3</v>
      </c>
      <c r="F118">
        <v>1.3</v>
      </c>
      <c r="G118">
        <v>2.2999999999999998</v>
      </c>
      <c r="H118" s="4"/>
      <c r="I118" s="4"/>
      <c r="J118" s="4"/>
    </row>
    <row r="119" spans="1:10" ht="14.25" x14ac:dyDescent="0.45">
      <c r="A119" s="214">
        <v>22</v>
      </c>
      <c r="B119" s="218" t="s">
        <v>896</v>
      </c>
      <c r="C119" s="218"/>
      <c r="D119" s="219"/>
      <c r="E119">
        <v>-0.2</v>
      </c>
      <c r="F119">
        <v>1.3</v>
      </c>
      <c r="G119">
        <v>2.2999999999999998</v>
      </c>
      <c r="H119" s="4"/>
      <c r="I119" s="4"/>
      <c r="J119" s="4"/>
    </row>
    <row r="120" spans="1:10" x14ac:dyDescent="0.4">
      <c r="A120" s="214">
        <v>23</v>
      </c>
      <c r="B120" s="218" t="s">
        <v>897</v>
      </c>
      <c r="C120" s="218" t="s">
        <v>5</v>
      </c>
      <c r="D120" s="171">
        <v>22281</v>
      </c>
      <c r="E120">
        <v>7.7</v>
      </c>
      <c r="F120">
        <v>7.3</v>
      </c>
      <c r="G120">
        <v>5.8</v>
      </c>
      <c r="H120" s="4"/>
      <c r="I120" s="4"/>
      <c r="J120" s="4"/>
    </row>
    <row r="121" spans="1:10" x14ac:dyDescent="0.4">
      <c r="A121" s="214">
        <v>24</v>
      </c>
      <c r="B121" s="218" t="s">
        <v>898</v>
      </c>
      <c r="C121" s="218"/>
      <c r="D121">
        <v>0.03</v>
      </c>
      <c r="E121">
        <v>9.6</v>
      </c>
      <c r="F121">
        <v>7.5</v>
      </c>
      <c r="G121">
        <v>6</v>
      </c>
      <c r="H121" s="4"/>
      <c r="I121" s="4"/>
      <c r="J121" s="4"/>
    </row>
    <row r="122" spans="1:10" x14ac:dyDescent="0.4">
      <c r="A122" s="214"/>
      <c r="B122" s="214"/>
      <c r="C122" s="214"/>
      <c r="D122" s="215"/>
      <c r="E122" s="215" t="str" cm="1">
        <f t="array" ref="E122:I122">IF(ISNUMBER(_xlfn.ANCHORARRAY(E$34)),"%","")</f>
        <v>%</v>
      </c>
      <c r="F122" s="215" t="str">
        <v>%</v>
      </c>
      <c r="G122" s="215" t="str">
        <v>%</v>
      </c>
      <c r="H122" s="231" t="str">
        <v>%</v>
      </c>
      <c r="I122" s="231" t="str">
        <v>%</v>
      </c>
      <c r="J122" s="231"/>
    </row>
    <row r="123" spans="1:10" ht="14.25" x14ac:dyDescent="0.45">
      <c r="A123" s="214">
        <v>25</v>
      </c>
      <c r="B123" s="218" t="s">
        <v>899</v>
      </c>
      <c r="C123" s="218"/>
      <c r="D123" s="219"/>
      <c r="E123">
        <v>6.9</v>
      </c>
      <c r="F123">
        <v>6.9</v>
      </c>
      <c r="G123">
        <v>6.3</v>
      </c>
      <c r="H123" s="4"/>
      <c r="I123" s="4"/>
      <c r="J123" s="4"/>
    </row>
    <row r="124" spans="1:10" x14ac:dyDescent="0.4">
      <c r="A124" s="214"/>
      <c r="B124" s="214" t="s">
        <v>900</v>
      </c>
      <c r="C124" s="214"/>
      <c r="D124" s="215"/>
      <c r="E124" s="215" t="str" cm="1">
        <f t="array" ref="E124:I124">IF(ISNUMBER(_xlfn.ANCHORARRAY(E$34)),"growth rate","")</f>
        <v>growth rate</v>
      </c>
      <c r="F124" s="215" t="str">
        <v>growth rate</v>
      </c>
      <c r="G124" s="215" t="str">
        <v>growth rate</v>
      </c>
      <c r="H124" s="231" t="str">
        <v>growth rate</v>
      </c>
      <c r="I124" s="231" t="str">
        <v>growth rate</v>
      </c>
      <c r="J124" s="231"/>
    </row>
    <row r="125" spans="1:10" ht="14.25" x14ac:dyDescent="0.45">
      <c r="A125" s="214">
        <v>26</v>
      </c>
      <c r="B125" s="218" t="s">
        <v>901</v>
      </c>
      <c r="C125" s="218"/>
      <c r="D125" s="219"/>
      <c r="E125">
        <v>2</v>
      </c>
      <c r="F125">
        <v>1.7</v>
      </c>
      <c r="G125">
        <v>1.7</v>
      </c>
      <c r="H125" s="4"/>
      <c r="I125" s="4"/>
      <c r="J125" s="4"/>
    </row>
    <row r="126" spans="1:10" x14ac:dyDescent="0.4">
      <c r="A126" s="214"/>
      <c r="B126" s="218" t="s">
        <v>902</v>
      </c>
      <c r="C126" s="218"/>
      <c r="D126" s="218"/>
      <c r="E126" s="218"/>
      <c r="F126" s="218"/>
      <c r="G126" s="218"/>
      <c r="H126" s="228"/>
      <c r="I126" s="228"/>
      <c r="J126" s="228"/>
    </row>
    <row r="127" spans="1:10" ht="14.25" x14ac:dyDescent="0.45">
      <c r="A127" s="214">
        <v>27</v>
      </c>
      <c r="B127" s="220" t="s">
        <v>903</v>
      </c>
      <c r="C127" s="218"/>
      <c r="D127" s="219"/>
      <c r="E127">
        <v>0</v>
      </c>
      <c r="F127">
        <v>-0.3</v>
      </c>
      <c r="G127">
        <v>-0.5</v>
      </c>
      <c r="H127" s="4"/>
      <c r="I127" s="4"/>
      <c r="J127" s="4"/>
    </row>
    <row r="128" spans="1:10" ht="14.25" x14ac:dyDescent="0.45">
      <c r="A128" s="214">
        <v>28</v>
      </c>
      <c r="B128" s="220" t="s">
        <v>904</v>
      </c>
      <c r="C128" s="218"/>
      <c r="D128" s="219"/>
      <c r="E128">
        <v>0.6</v>
      </c>
      <c r="F128">
        <v>0.7</v>
      </c>
      <c r="G128">
        <v>0.8</v>
      </c>
      <c r="H128" s="4"/>
      <c r="I128" s="4"/>
      <c r="J128" s="4"/>
    </row>
    <row r="129" spans="1:10" ht="14.25" x14ac:dyDescent="0.45">
      <c r="A129" s="214">
        <v>29</v>
      </c>
      <c r="B129" s="220" t="s">
        <v>905</v>
      </c>
      <c r="C129" s="218"/>
      <c r="D129" s="219"/>
      <c r="E129">
        <v>1.4</v>
      </c>
      <c r="F129">
        <v>1.4</v>
      </c>
      <c r="G129">
        <v>1.4</v>
      </c>
      <c r="H129" s="4"/>
      <c r="I129" s="4"/>
      <c r="J129" s="4"/>
    </row>
    <row r="130" spans="1:10" x14ac:dyDescent="0.4">
      <c r="A130" s="214"/>
      <c r="B130" s="214"/>
      <c r="C130" s="214"/>
      <c r="D130" s="215"/>
      <c r="E130" s="230" t="str" cm="1">
        <f t="array" ref="E130:I130">IF(ISNUMBER(_xlfn.ANCHORARRAY(E$34)),"% pot. GDP","")</f>
        <v>% pot. GDP</v>
      </c>
      <c r="F130" s="215" t="str">
        <v>% pot. GDP</v>
      </c>
      <c r="G130" s="215" t="str">
        <v>% pot. GDP</v>
      </c>
      <c r="H130" s="231" t="str">
        <v>% pot. GDP</v>
      </c>
      <c r="I130" s="231" t="str">
        <v>% pot. GDP</v>
      </c>
      <c r="J130" s="231"/>
    </row>
    <row r="131" spans="1:10" ht="14.25" x14ac:dyDescent="0.45">
      <c r="A131" s="214">
        <v>30</v>
      </c>
      <c r="B131" s="218" t="s">
        <v>98</v>
      </c>
      <c r="C131" s="218"/>
      <c r="D131" s="219"/>
      <c r="E131">
        <v>-0.7</v>
      </c>
      <c r="F131">
        <v>-1.3</v>
      </c>
      <c r="G131">
        <v>-0.9</v>
      </c>
      <c r="H131" s="4"/>
      <c r="I131" s="4"/>
      <c r="J131" s="4"/>
    </row>
  </sheetData>
  <conditionalFormatting sqref="D7:J7">
    <cfRule type="expression" dxfId="143" priority="8">
      <formula>ISNUMBER(D6)</formula>
    </cfRule>
  </conditionalFormatting>
  <conditionalFormatting sqref="D6:J6">
    <cfRule type="expression" dxfId="142" priority="7">
      <formula>ISNUMBER(D6)</formula>
    </cfRule>
  </conditionalFormatting>
  <conditionalFormatting sqref="D29:J29">
    <cfRule type="expression" dxfId="141"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AX176"/>
  <sheetViews>
    <sheetView showGridLines="0" zoomScaleNormal="100" zoomScalePageLayoutView="55" workbookViewId="0"/>
  </sheetViews>
  <sheetFormatPr defaultColWidth="9" defaultRowHeight="14.25" x14ac:dyDescent="0.45"/>
  <cols>
    <col min="1" max="1" width="7.42578125" style="23" customWidth="1"/>
    <col min="2" max="2" width="59.7109375" style="23" customWidth="1"/>
    <col min="3" max="9" width="9" style="23" customWidth="1"/>
    <col min="10" max="10" width="14.7109375" style="23" customWidth="1"/>
    <col min="11" max="13" width="9" style="23" customWidth="1"/>
    <col min="14" max="14" width="10" style="23" customWidth="1"/>
    <col min="15" max="15" width="11.42578125" style="23" customWidth="1"/>
    <col min="16" max="19" width="9" style="23" customWidth="1"/>
    <col min="20" max="16384" width="9" style="23"/>
  </cols>
  <sheetData>
    <row r="1" spans="1:50" ht="48.75" customHeight="1" x14ac:dyDescent="1">
      <c r="A1" s="21"/>
      <c r="B1" s="96" t="str">
        <f>Country&amp;"'s adherence to Regulation (EU) 2024/1263 and associated guidance"</f>
        <v>Latvia's adherence to Regulation (EU) 2024/1263 and associated guidance</v>
      </c>
      <c r="D1" s="51"/>
      <c r="E1" s="51"/>
      <c r="F1" s="135"/>
      <c r="G1" s="51"/>
      <c r="H1"/>
      <c r="I1"/>
      <c r="J1"/>
      <c r="K1"/>
      <c r="L1"/>
      <c r="M1"/>
      <c r="N1"/>
      <c r="O1"/>
      <c r="P1"/>
      <c r="Q1"/>
      <c r="R1"/>
      <c r="S1"/>
    </row>
    <row r="2" spans="1:50" ht="18" x14ac:dyDescent="0.55000000000000004">
      <c r="A2" s="26"/>
      <c r="M2" s="24"/>
      <c r="N2" s="24"/>
      <c r="O2" s="24"/>
      <c r="P2" s="22"/>
      <c r="Q2" s="22"/>
      <c r="R2" s="22"/>
      <c r="S2" s="22"/>
    </row>
    <row r="3" spans="1:50" customFormat="1" ht="23.25" x14ac:dyDescent="0.45">
      <c r="B3" s="74" t="str">
        <f>IF(AssessmentRound="Implementation of an endorsed MTP","Assessing the implementation of the endorsed Medium-Term Plan","Assessing a new or revised MTP")</f>
        <v>Assessing the implementation of the endorsed Medium-Term Plan</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91"/>
      <c r="AV3" s="25"/>
    </row>
    <row r="4" spans="1:50" x14ac:dyDescent="0.45">
      <c r="A4" s="21"/>
      <c r="M4" s="28"/>
      <c r="N4" s="28"/>
      <c r="Q4" s="30"/>
      <c r="R4" s="30"/>
      <c r="AU4" s="204"/>
    </row>
    <row r="5" spans="1:50" x14ac:dyDescent="0.45">
      <c r="A5" s="21"/>
      <c r="B5" s="205" t="str">
        <f>CHAR(149)&amp;" This checks whether "&amp;Country&amp;" is adhering to its Council-endorsed medium-term structural-fiscal plan."</f>
        <v>• This checks whether Latvia is adhering to its Council-endorsed medium-term structural-fiscal plan.</v>
      </c>
      <c r="M5" s="28"/>
      <c r="N5" s="28"/>
      <c r="Q5" s="30"/>
      <c r="R5" s="30"/>
      <c r="AU5" s="204"/>
      <c r="AV5" s="26"/>
    </row>
    <row r="6" spans="1:50" customFormat="1" x14ac:dyDescent="0.45">
      <c r="B6" s="160" t="str">
        <f>CHAR(149)&amp;" "&amp;MTP_Requirement</f>
        <v>• Latvia does not receive a reference trajectory but its MTP must contain a net expenditure path that complies with TFEU general government debt and deficit sustainability requirements.</v>
      </c>
      <c r="C6" s="37"/>
      <c r="D6" s="37"/>
      <c r="E6" s="37"/>
      <c r="F6" s="37"/>
      <c r="G6" s="37"/>
      <c r="H6" s="37"/>
      <c r="I6" s="37"/>
      <c r="J6" s="37"/>
      <c r="K6" s="23"/>
      <c r="L6" s="23"/>
      <c r="O6" s="23"/>
      <c r="P6" s="23"/>
      <c r="T6" s="23"/>
      <c r="U6" s="23"/>
      <c r="V6" s="23"/>
      <c r="W6" s="23"/>
      <c r="X6" s="23"/>
      <c r="Y6" s="23"/>
      <c r="Z6" s="23"/>
      <c r="AA6" s="23"/>
      <c r="AB6" s="23"/>
      <c r="AC6" s="23"/>
      <c r="AD6" s="23"/>
      <c r="AE6" s="23"/>
      <c r="AF6" s="23"/>
      <c r="AG6" s="23"/>
      <c r="AH6" s="23"/>
      <c r="AI6" s="23"/>
      <c r="AJ6" s="23"/>
      <c r="AK6" s="23"/>
      <c r="AL6" s="23"/>
      <c r="AU6" s="91"/>
      <c r="AV6" s="23"/>
    </row>
    <row r="7" spans="1:50" x14ac:dyDescent="0.45">
      <c r="A7" s="21"/>
      <c r="B7" s="160"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7" s="37"/>
      <c r="D7" s="37"/>
      <c r="E7" s="37"/>
      <c r="F7" s="37"/>
      <c r="G7" s="37"/>
      <c r="H7" s="37"/>
      <c r="I7" s="37"/>
      <c r="J7" s="37"/>
      <c r="M7" s="28"/>
      <c r="N7" s="28"/>
      <c r="Q7" s="28"/>
      <c r="R7" s="28"/>
      <c r="S7" s="22"/>
      <c r="AU7" s="204"/>
      <c r="AV7" s="21"/>
    </row>
    <row r="8" spans="1:50" x14ac:dyDescent="0.45">
      <c r="A8" s="22"/>
      <c r="B8" s="206"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8" s="186"/>
      <c r="AV8" s="185"/>
    </row>
    <row r="9" spans="1:50" x14ac:dyDescent="0.45">
      <c r="A9" s="22"/>
    </row>
    <row r="10" spans="1:50" ht="15.75" x14ac:dyDescent="0.5">
      <c r="A10" s="133"/>
      <c r="B10" s="136" t="s">
        <v>18</v>
      </c>
      <c r="C10" s="136" t="s">
        <v>17</v>
      </c>
      <c r="D10" s="137"/>
      <c r="E10" s="137" t="s">
        <v>519</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row>
    <row r="11" spans="1:50" ht="19.149999999999999" customHeight="1" x14ac:dyDescent="0.7">
      <c r="A11" s="134" t="s">
        <v>444</v>
      </c>
      <c r="B11" s="97" t="s">
        <v>531</v>
      </c>
      <c r="C11" s="97" t="str">
        <f>IF(AssessmentRound="A new or revised MTP","N/A",IF(
  OR(
    Assessment!C98="Not applicable (all years adhere to the net expenditure path)",
    Assessment!C98=TRUE
  ),
  "Compliant",
  IF(
    Assessment!C96=FALSE,
    "Breach",
    IF(
      IFERROR(Assessment!C97=FALSE,FALSE),
      "Caution",
      "Compliant"
    )
  )
))</f>
        <v>Compliant</v>
      </c>
      <c r="D11" s="94" t="s">
        <v>254</v>
      </c>
      <c r="E11" s="23" t="str">
        <f>IF(AssessmentRound="A new or revised MTP",NA(),Assessment!C100)</f>
        <v>Latvia's observed net expenditure to 2024 adheres to the net expenditure path in its latest Council-endorsed MTP, but planned net expenditure to 2026 does not. Deviations occur only in years covered by an escape clause.</v>
      </c>
      <c r="AU11" s="191"/>
      <c r="AV11" s="191"/>
      <c r="AW11" s="191"/>
      <c r="AX11" s="191"/>
    </row>
    <row r="12" spans="1:50" ht="19.149999999999999" customHeight="1" x14ac:dyDescent="0.7">
      <c r="A12" s="134" t="s">
        <v>445</v>
      </c>
      <c r="B12" s="97" t="s">
        <v>539</v>
      </c>
      <c r="C12" s="97" t="str">
        <f>IF(
  AssessmentRound="A new or revised MTP",
  "N/A",
  IF(
    OR(IF(ISNA(Assessment!C151),FALSE,Assessment!C151),
       IF(ISNA(Assessment!C152),FALSE,Assessment!C152)),
    "Breach",
    IF(
      AND(OR(Assessment!C149,Assessment!C150),
          NOT(Assessment!C153)),
      "Breach",
      IF(
        AND(OR(Assessment!C147,Assessment!C148),
            NOT(Assessment!C153)),
        "Caution",
        "Compliant"
      )
    )
  )
)</f>
        <v>Compliant</v>
      </c>
      <c r="D12" s="94" t="s">
        <v>254</v>
      </c>
      <c r="E12" s="23" t="str">
        <f>IF(AssessmentRound="A new or revised MTP",NA(),Assessment!C156)</f>
        <v>At the end of the assessment period (2026), the balance in Latvia's cumulative control account is a credit (underspend) of 1.5 percentage points of GDP. Observed annual and cumulative deviations do not exceed the respective 0.3 and 0.6 percentage points of GDP limits.</v>
      </c>
    </row>
    <row r="13" spans="1:50" ht="19.149999999999999" customHeight="1" x14ac:dyDescent="0.7">
      <c r="A13" s="134" t="s">
        <v>146</v>
      </c>
      <c r="B13" s="97" t="s">
        <v>682</v>
      </c>
      <c r="C13" s="97" t="str">
        <f>IF(AssessmentRound="A new or revised MTP", "N/A", IF(
  OR(
    NOT(Receives_reference_trajectory),
    NOT(OR(Assessment!C159, Assessment!C160))
  ),
  "N/A",
  IF(
    OR(
      IF(Assessment!C159, NOT(Assessment!C161), FALSE),
      IF(Assessment!C160, NOT(Assessment!C162), FALSE)
    ),
    "Caution",
    "Compliant"
  )
))</f>
        <v>N/A</v>
      </c>
      <c r="D13" s="94" t="s">
        <v>254</v>
      </c>
      <c r="E13" s="23" t="str">
        <f>IF(AssessmentRound="A new or revised MTP",NA(),Assessment!C164)</f>
        <v>Latvia does not receive a reference trajectory and is not assessed against the debt sustainability safeguard.</v>
      </c>
    </row>
    <row r="14" spans="1:50" ht="19.149999999999999" customHeight="1" x14ac:dyDescent="0.7">
      <c r="A14" s="134" t="s">
        <v>518</v>
      </c>
      <c r="B14" s="97" t="s">
        <v>683</v>
      </c>
      <c r="C14" s="97" t="str">
        <f>IF(AssessmentRound="A new or revised MTP","N/A",IF(
  NOT(Receives_reference_trajectory),
  "N/A",
  IF(
    ISNA(Assessment!C174),
    "N/A",
    IF(Assessment!C174,"Compliant","Caution")
  )
))</f>
        <v>N/A</v>
      </c>
      <c r="D14" s="94" t="s">
        <v>254</v>
      </c>
      <c r="E14" s="23" t="str">
        <f>IF(AssessmentRound="A new or revised MTP",NA(),Assessment!C176)</f>
        <v>Latvia does not receive a reference trajectory and is not assessed against the deficit resilience safeguard.</v>
      </c>
    </row>
    <row r="15" spans="1:50" ht="19.149999999999999" customHeight="1" x14ac:dyDescent="0.7">
      <c r="A15" s="134" t="s">
        <v>562</v>
      </c>
      <c r="B15" s="97" t="s">
        <v>687</v>
      </c>
      <c r="C15" s="97" t="str">
        <f>IF(AssessmentRound="A new or revised MTP","N/A",IF(Assessment!C185,"Compliant",IF(EscapeClauseActivated,"Compliant","Caution")))</f>
        <v>Compliant</v>
      </c>
      <c r="D15" s="94" t="s">
        <v>254</v>
      </c>
      <c r="E15" s="23" t="str">
        <f>IF(AssessmentRound="A new or revised MTP",NA(),Assessment!C187)</f>
        <v>Latvia's SPB already exceeds the target level by 0.9 pp of GDP, but the planned path implies a deterioration of 0.6 pp of GDP per year on average over the assessment period. Additional adjustment in later years may be needed to maintain the target, creating a risk of backloading. However, an escape clause has been activated.</v>
      </c>
    </row>
    <row r="16" spans="1:50" customFormat="1" ht="19.149999999999999" customHeight="1" thickBot="1" x14ac:dyDescent="0.75">
      <c r="A16" s="134" t="s">
        <v>149</v>
      </c>
      <c r="B16" s="92" t="s">
        <v>532</v>
      </c>
      <c r="C16" s="166" t="str">
        <f>IF(AssessmentRound="A new or revised MTP","N/A",IF(COUNTIF(C11:C12,"Breach")=0,"Compliant","Breach"))</f>
        <v>Compliant</v>
      </c>
      <c r="D16" s="93" t="s">
        <v>254</v>
      </c>
      <c r="E16" s="92" t="str">
        <f>IF(AssessmentRound="A new or revised MTP",NA(),IF(
  C16="Compliant",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row>
    <row r="17" spans="2:19" customFormat="1" ht="19.149999999999999" customHeight="1" thickTop="1" x14ac:dyDescent="0.4"/>
    <row r="18" spans="2:19" customFormat="1" ht="19.149999999999999" customHeight="1" x14ac:dyDescent="0.7">
      <c r="B18" s="141" t="s">
        <v>755</v>
      </c>
      <c r="C18" s="23"/>
      <c r="D18" s="23"/>
      <c r="E18" s="23"/>
      <c r="F18" s="23"/>
      <c r="G18" s="23"/>
    </row>
    <row r="19" spans="2:19" customFormat="1" ht="19.149999999999999" customHeight="1" x14ac:dyDescent="0.85">
      <c r="B19" s="152" t="str" cm="1">
        <f t="array" ref="B19">_xlfn.LET(
  _xlpm.esc, IFERROR('Step 1 - Set global parameters'!B13:H13,""),
  _xlpm.defence, IFERROR('Step 1 - Set global parameters'!B12:G12,FALSE),
  _xlpm.type, IFERROR('Step 1 - Set global parameters'!B14:G14,""),
  _xlpm.anyDefence, SUMPRODUCT((_xlpm.defence=TRUE)*(_xlpm.type="Defence"))&gt;0,
  _xlpm.anyGeneral, COUNTIF(_xlpm.esc,"General")+COUNTIF(_xlpm.esc,"Both")&gt;0,
  _xlpm.anyCountry, COUNTIF(_xlpm.esc,"Country")+COUNTIF(_xlpm.esc,"Both")&gt;0,
  _xlfn.IFS(
    _xlpm.anyDefence, "A defence-related national escape clause has been activated. Debits in such years exclude increases in defence spending.",
    AND(_xlpm.anyGeneral, _xlpm.anyCountry), "Both the general escape clause and the country-specific escape clause have been activated; deviations in years covered by an escape clause are not recorded and are shown for information only",
    _xlpm.anyCountry, "A country-specific escape clause has been activated; deviations in years covered by an escape clause are not recorded and are shown for information only",
    _xlpm.anyGeneral, "A general escape clause has been activated; deviations in years covered by an escape clause are not recorded and are shown for information only",
    TRUE, "No escape clause has been activated so deviations are being recorded"
  )
)</f>
        <v>A defence-related national escape clause has been activated. Debits in such years exclude increases in defence spending.</v>
      </c>
      <c r="C19" s="23"/>
      <c r="D19" s="23"/>
      <c r="E19" s="23"/>
      <c r="F19" s="23"/>
      <c r="G19" s="23"/>
      <c r="I19" s="23"/>
      <c r="J19" s="253" t="str">
        <f>"Key fiscal indicators, latest outturn ("&amp;OutturnThrough&amp;")"</f>
        <v>Key fiscal indicators, latest outturn (2024)</v>
      </c>
      <c r="K19" s="254"/>
      <c r="L19" s="254"/>
      <c r="M19" s="254"/>
      <c r="N19" s="254"/>
      <c r="O19" s="254"/>
      <c r="P19" s="207"/>
      <c r="Q19" s="207"/>
    </row>
    <row r="20" spans="2:19" customFormat="1" ht="19.149999999999999" customHeight="1" x14ac:dyDescent="0.7">
      <c r="B20" s="85" t="str" cm="1">
        <f t="array" ref="B20">_xlfn.LET(
  _xlpm.defence, IFERROR('Step 1 - Set global parameters'!B12:G12,FALSE),
  _xlpm.type, IFERROR('Step 1 - Set global parameters'!B14:G14,""),
  IF(SUMPRODUCT((_xlpm.defence=TRUE)*(_xlpm.type="Defence"))&gt;0,
     """Augmented"" control account (defence-related escape clauses)",
     ""
  )
)</f>
        <v>"Augmented" control account (defence-related escape clauses)</v>
      </c>
      <c r="C20" s="34" t="str" cm="1">
        <f t="array" ref="C20:G20">IF((_xlfn.ANCHORARRAY(C21)&gt;=MTP_YearT-1)*(_xlfn.ANCHORARRAY(C21)&lt;=AdjustmentPeriodEnd), IF(_xlfn.ANCHORARRAY(C21)=MTP_YearT-1, "T-1", IF(_xlfn.ANCHORARRAY(C21)=MTP_YearT, "T", "T+"&amp;(_xlfn.ANCHORARRAY(C21)-MTP_YearT))), "")</f>
        <v>T</v>
      </c>
      <c r="D20" s="34" t="str">
        <v>T+1</v>
      </c>
      <c r="E20" s="34" t="str">
        <v>T+2</v>
      </c>
      <c r="F20" s="34" t="str">
        <v>T+3</v>
      </c>
      <c r="G20" s="34" t="str">
        <v>T+4</v>
      </c>
      <c r="H20" s="34"/>
      <c r="I20" s="23"/>
      <c r="J20" s="257" t="s">
        <v>585</v>
      </c>
      <c r="K20" s="40"/>
      <c r="L20" s="40"/>
      <c r="M20" s="208"/>
      <c r="N20" s="208"/>
      <c r="O20" s="257" t="s">
        <v>853</v>
      </c>
    </row>
    <row r="21" spans="2:19" customFormat="1" ht="19.149999999999999" customHeight="1" x14ac:dyDescent="0.7">
      <c r="B21" s="85"/>
      <c r="C21" s="33" cm="1">
        <f t="array" ref="C21:G21">_xlfn.SEQUENCE(1, AdjustmentPeriodEnd+1-MTP_YearT, MTP_YearT)</f>
        <v>2024</v>
      </c>
      <c r="D21" s="33">
        <v>2025</v>
      </c>
      <c r="E21" s="33">
        <v>2026</v>
      </c>
      <c r="F21" s="33">
        <v>2027</v>
      </c>
      <c r="G21" s="23">
        <v>2028</v>
      </c>
      <c r="H21" s="23"/>
      <c r="I21" s="23"/>
      <c r="J21" s="247"/>
      <c r="K21" s="23"/>
      <c r="L21" s="23"/>
      <c r="M21" s="208"/>
      <c r="N21" s="208"/>
      <c r="O21" s="247"/>
    </row>
    <row r="22" spans="2:19" customFormat="1" ht="19.149999999999999" customHeight="1" x14ac:dyDescent="0.45">
      <c r="B22" s="85" t="s">
        <v>300</v>
      </c>
      <c r="C22" s="34" t="str" cm="1">
        <f t="array" ref="C22:G22">IF(AssessmentRound="New or revised MTP", "", IF(_xlfn.ANCHORARRAY(C21)&lt;=AdjustmentPeriodEnd, IF(_xlfn.ANCHORARRAY(C21)&lt;=OutturnThrough, "Observed", "Planned"), ""))</f>
        <v>Observed</v>
      </c>
      <c r="D22" s="34" t="str">
        <v>Planned</v>
      </c>
      <c r="E22" s="34" t="str">
        <v>Planned</v>
      </c>
      <c r="F22" s="34" t="str">
        <v>Planned</v>
      </c>
      <c r="G22" s="34" t="str">
        <v>Planned</v>
      </c>
      <c r="H22" s="34"/>
      <c r="I22" s="23"/>
      <c r="J22" s="249" cm="1">
        <f t="array" ref="J22">INDEX(
  Assessment!15:15,
  _xlfn.XMATCH(
    OutturnThrough,
    Assessment!4:4,
    0
  )
)</f>
        <v>4.9652620789816915</v>
      </c>
      <c r="K22" s="248" t="s">
        <v>289</v>
      </c>
      <c r="L22" s="243"/>
      <c r="M22" s="243"/>
      <c r="N22" s="243"/>
      <c r="O22" s="251" cm="1">
        <f t="array" ref="O22">INDEX(
  Assessment!34:34,
  _xlfn.XMATCH(
    OutturnThrough,
    Assessment!32:32,
    0
  )
)</f>
        <v>9.1</v>
      </c>
    </row>
    <row r="23" spans="2:19" customFormat="1" ht="19.149999999999999" customHeight="1" x14ac:dyDescent="0.45">
      <c r="B23" s="117" t="s">
        <v>554</v>
      </c>
      <c r="C23" s="118" t="str" cm="1">
        <f t="array" aca="1" ref="C23:G23" ca="1">IF(AssessmentRound="New or revised MTP", "", IF(AssessmentRound="Revised MTP","",_xlfn.HSTACK("",IF(OFFSET(Assessment!$F$141,0,0,1,COLUMNS(_xlfn.ANCHORARRAY(C21))-1),"Yes","No"))))</f>
        <v/>
      </c>
      <c r="D23" s="118" t="str">
        <f ca="1"/>
        <v>Yes</v>
      </c>
      <c r="E23" s="118" t="str">
        <f ca="1"/>
        <v>Yes</v>
      </c>
      <c r="F23" s="118" t="str">
        <f ca="1"/>
        <v>Yes</v>
      </c>
      <c r="G23" s="118" t="str">
        <f ca="1"/>
        <v>Yes</v>
      </c>
      <c r="H23" s="118"/>
      <c r="I23" s="23"/>
      <c r="J23" s="250"/>
      <c r="K23" s="243"/>
      <c r="L23" s="243"/>
      <c r="M23" s="243"/>
      <c r="N23" s="243"/>
      <c r="O23" s="252"/>
    </row>
    <row r="24" spans="2:19" customFormat="1" ht="19.350000000000001" customHeight="1" x14ac:dyDescent="0.9">
      <c r="B24" s="23" t="str">
        <f>"Net expenditure growth "&amp;IF(MTP_Council_Endorsed,"(Council-recommended path)","(proposed)")</f>
        <v>Net expenditure growth (Council-recommended path)</v>
      </c>
      <c r="C24" s="35" cm="1">
        <f t="array" ref="C24:G24">IF(AssessmentRound="New or revised MTP","",INDEX(Assessment!34:34, _xlfn.SEQUENCE(1, MTP_PlanningHorizon+1, COLUMN(Assessment!E34))))</f>
        <v>9.1</v>
      </c>
      <c r="D24" s="35">
        <v>5.9</v>
      </c>
      <c r="E24" s="35">
        <v>3.6</v>
      </c>
      <c r="F24" s="35">
        <v>3.4</v>
      </c>
      <c r="G24" s="173">
        <v>3.3</v>
      </c>
      <c r="H24" s="173"/>
      <c r="I24" s="23"/>
      <c r="J24" s="244" cm="1">
        <f t="array" ref="J24">INDEX(
  Assessment!17:17,
  _xlfn.XMATCH(
    OutturnThrough,
    Assessment!4:4,
    0
  )
)</f>
        <v>-1.7868607680254289</v>
      </c>
      <c r="K24" s="248" t="s">
        <v>223</v>
      </c>
      <c r="L24" s="243"/>
      <c r="M24" s="243"/>
      <c r="N24" s="243"/>
      <c r="O24" s="246" cm="1">
        <f t="array" ref="O24">INDEX(
  Assessment!35:35,
  _xlfn.XMATCH(
    OutturnThrough,
    Assessment!32:32,
    0
  )
)</f>
        <v>-2.6</v>
      </c>
      <c r="P24" s="209"/>
      <c r="R24" s="23"/>
      <c r="S24" s="23"/>
    </row>
    <row r="25" spans="2:19" customFormat="1" ht="14.25" customHeight="1" x14ac:dyDescent="0.9">
      <c r="B25" s="23" t="s">
        <v>341</v>
      </c>
      <c r="C25" s="36" cm="1">
        <f t="array" ref="C25:E25">IF(AssessmentRound="New or revised MTP", "", INDEX(Assessment!15:15, _xlfn.SEQUENCE(1, AssessmentEnd-MTP_YearT+1, COLUMN(Assessment!E15))))</f>
        <v>4.9652620789816915</v>
      </c>
      <c r="D25" s="36">
        <v>6.2</v>
      </c>
      <c r="E25" s="36">
        <v>5</v>
      </c>
      <c r="F25" s="36"/>
      <c r="G25" s="173"/>
      <c r="H25" s="173"/>
      <c r="I25" s="23"/>
      <c r="J25" s="245"/>
      <c r="K25" s="243"/>
      <c r="L25" s="243"/>
      <c r="M25" s="243"/>
      <c r="N25" s="243"/>
      <c r="O25" s="247"/>
      <c r="P25" s="209"/>
      <c r="R25" s="23"/>
      <c r="S25" s="23"/>
    </row>
    <row r="26" spans="2:19" customFormat="1" ht="19.350000000000001" customHeight="1" x14ac:dyDescent="0.9">
      <c r="B26" s="23" t="s">
        <v>438</v>
      </c>
      <c r="C26" s="23"/>
      <c r="D26" s="23"/>
      <c r="E26" s="23"/>
      <c r="F26" s="23"/>
      <c r="G26" s="29"/>
      <c r="H26" s="29"/>
      <c r="I26" s="23"/>
      <c r="J26" s="244" cm="1">
        <f t="array" ref="J26">INDEX(
  Assessment!19:19,
  _xlfn.XMATCH(
    OutturnThrough,
    Assessment!4:4,
    0
  )
)</f>
        <v>-0.44949</v>
      </c>
      <c r="K26" s="248" t="s">
        <v>224</v>
      </c>
      <c r="L26" s="243"/>
      <c r="M26" s="243"/>
      <c r="N26" s="243"/>
      <c r="O26" s="246" cm="1">
        <f t="array" ref="O26">INDEX(
  Assessment!37:37,
  _xlfn.XMATCH(
    OutturnThrough,
    Assessment!32:32,
    0
  )
)</f>
        <v>-0.8</v>
      </c>
      <c r="P26" s="209"/>
      <c r="R26" s="23"/>
      <c r="S26" s="23"/>
    </row>
    <row r="27" spans="2:19" customFormat="1" ht="14.65" customHeight="1" x14ac:dyDescent="0.9">
      <c r="B27" s="37" t="str" cm="1">
        <f t="array" ref="B27">_xlfn.LET(
  _xlpm.defence, IFERROR('Step 1 - Set global parameters'!B12:G12,FALSE),
  _xlpm.type, IFERROR('Step 1 - Set global parameters'!B14:G14,""),
  IF(SUMPRODUCT((_xlpm.defence=TRUE)*(_xlpm.type="Defence"))&gt;0,
     Assessment!B135,
     Assessment!B134
  )
)</f>
        <v>Debit excluding increase in defence expenditure</v>
      </c>
      <c r="C27" s="110" cm="1">
        <f t="array" ref="C27:E27">IF(AssessmentRound="New or revised MTP", "", IF(COUNTIF('Step 1 - Set global parameters'!B14:G14,"Defence")&gt;0,INDEX(Assessment!135:135, _xlfn.SEQUENCE(1, AssessmentEnd-MTP_YearT+1, COLUMN(Assessment!E135))),INDEX(Assessment!134:134, _xlfn.SEQUENCE(1, AssessmentEnd-MTP_YearT+1, COLUMN(Assessment!E134)))))</f>
        <v>0</v>
      </c>
      <c r="D27" s="110">
        <v>0</v>
      </c>
      <c r="E27" s="110">
        <v>0</v>
      </c>
      <c r="F27" s="110"/>
      <c r="G27" s="110"/>
      <c r="H27" s="110"/>
      <c r="I27" s="23"/>
      <c r="J27" s="245"/>
      <c r="K27" s="243"/>
      <c r="L27" s="243"/>
      <c r="M27" s="243"/>
      <c r="N27" s="243"/>
      <c r="O27" s="247"/>
      <c r="P27" s="209"/>
      <c r="R27" s="23"/>
      <c r="S27" s="23"/>
    </row>
    <row r="28" spans="2:19" customFormat="1" ht="14.65" customHeight="1" x14ac:dyDescent="0.9">
      <c r="B28" s="37" t="str">
        <f>Assessment!B136</f>
        <v>Credit</v>
      </c>
      <c r="C28" s="35" cm="1">
        <f t="array" ref="C28:E28">IF(AssessmentRound="New or revised MTP", "", INDEX(Assessment!136:136, _xlfn.SEQUENCE(1, AssessmentEnd-MTP_YearT+1, COLUMN(Assessment!E136))))</f>
        <v>0.66174049200000729</v>
      </c>
      <c r="D28" s="35">
        <v>0</v>
      </c>
      <c r="E28" s="35">
        <v>0</v>
      </c>
      <c r="F28" s="35"/>
      <c r="G28" s="35"/>
      <c r="H28" s="35"/>
      <c r="I28" s="23"/>
      <c r="J28" s="244" cm="1">
        <f t="array" ref="J28">INDEX(
  Assessment!20:20,
  _xlfn.XMATCH(
    OutturnThrough,
    Assessment!4:4,
    0
  )
)</f>
        <v>46.249535696627248</v>
      </c>
      <c r="K28" s="248" t="s">
        <v>225</v>
      </c>
      <c r="L28" s="243"/>
      <c r="M28" s="243"/>
      <c r="N28" s="243"/>
      <c r="O28" s="246" cm="1">
        <f t="array" ref="O28">INDEX(
  Assessment!38:38,
  _xlfn.XMATCH(
    OutturnThrough,
    Assessment!32:32,
    0
  )
)</f>
        <v>45.8</v>
      </c>
      <c r="P28" s="209"/>
      <c r="R28" s="23"/>
      <c r="S28" s="23"/>
    </row>
    <row r="29" spans="2:19" customFormat="1" ht="16.149999999999999" customHeight="1" x14ac:dyDescent="0.9">
      <c r="B29" s="23" t="str">
        <f>Assessment!B139&amp;" (% GDP)"</f>
        <v>Annual balance  (% GDP)</v>
      </c>
      <c r="C29" s="35" cm="1">
        <f t="array" ref="C29:E29">IF(AssessmentRound="New or revised MTP", "", INDEX(Assessment!139:139, _xlfn.SEQUENCE(1, AssessmentEnd-MTP_YearT+1, COLUMN(Assessment!E139))))</f>
        <v>-1.6278057871264535</v>
      </c>
      <c r="D29" s="35">
        <v>0</v>
      </c>
      <c r="E29" s="35">
        <v>0</v>
      </c>
      <c r="F29" s="35"/>
      <c r="G29" s="35"/>
      <c r="H29" s="35"/>
      <c r="I29" s="23"/>
      <c r="J29" s="245"/>
      <c r="K29" s="243"/>
      <c r="L29" s="243"/>
      <c r="M29" s="243"/>
      <c r="N29" s="243"/>
      <c r="O29" s="247"/>
      <c r="P29" s="209"/>
      <c r="R29" s="23"/>
      <c r="S29" s="23"/>
    </row>
    <row r="30" spans="2:19" customFormat="1" ht="14.65" customHeight="1" x14ac:dyDescent="0.45">
      <c r="B30" s="39" t="str">
        <f>Assessment!B140&amp;" (% GDP)"</f>
        <v>Cumulated balance (% GDP)</v>
      </c>
      <c r="C30" s="35" cm="1">
        <f t="array" ref="C30:E30">IF(AssessmentRound="New or revised MTP", "", INDEX(Assessment!140:140, _xlfn.SEQUENCE(1, AssessmentEnd-MTP_YearT+1, COLUMN(Assessment!E140))))</f>
        <v>-1.6278057871264535</v>
      </c>
      <c r="D30" s="35">
        <v>-1.5592009455234228</v>
      </c>
      <c r="E30" s="35">
        <v>-1.4892081619134891</v>
      </c>
      <c r="F30" s="35"/>
      <c r="G30" s="146"/>
      <c r="H30" s="146"/>
      <c r="I30" s="23"/>
    </row>
    <row r="31" spans="2:19" customFormat="1" ht="14.65" customHeight="1" x14ac:dyDescent="0.45">
      <c r="B31" s="255" t="s">
        <v>754</v>
      </c>
      <c r="C31" s="256"/>
      <c r="D31" s="256"/>
      <c r="E31" s="256"/>
      <c r="F31" s="256"/>
      <c r="G31" s="256"/>
      <c r="H31" s="23"/>
    </row>
    <row r="32" spans="2:19" customFormat="1" x14ac:dyDescent="0.45">
      <c r="B32" s="256"/>
      <c r="C32" s="256"/>
      <c r="D32" s="256"/>
      <c r="E32" s="256"/>
      <c r="F32" s="256"/>
      <c r="G32" s="256"/>
      <c r="H32" s="23"/>
    </row>
    <row r="33" spans="2:25" customFormat="1" x14ac:dyDescent="0.45">
      <c r="B33" s="139"/>
      <c r="C33" s="139"/>
      <c r="D33" s="139"/>
      <c r="E33" s="139"/>
      <c r="F33" s="139"/>
      <c r="G33" s="139"/>
      <c r="H33" s="23"/>
    </row>
    <row r="34" spans="2:25" customFormat="1" ht="14.65" customHeight="1" x14ac:dyDescent="0.45">
      <c r="B34" s="139"/>
      <c r="C34" s="139"/>
      <c r="D34" s="139"/>
      <c r="E34" s="139"/>
      <c r="F34" s="139"/>
      <c r="G34" s="23"/>
      <c r="H34" s="23"/>
      <c r="J34" s="83"/>
      <c r="K34" s="83"/>
      <c r="L34" s="23"/>
      <c r="M34" s="23"/>
      <c r="N34" s="23"/>
      <c r="O34" s="23"/>
      <c r="P34" s="23"/>
      <c r="Q34" s="23"/>
      <c r="R34" s="23"/>
    </row>
    <row r="35" spans="2:25" customFormat="1" ht="19.149999999999999" customHeight="1" x14ac:dyDescent="0.7">
      <c r="B35" s="141" t="s">
        <v>544</v>
      </c>
      <c r="C35" s="23"/>
      <c r="D35" s="23"/>
      <c r="E35" s="23"/>
      <c r="F35" s="23"/>
      <c r="G35" s="23"/>
      <c r="H35" s="23"/>
      <c r="I35" s="83"/>
      <c r="M35" s="23"/>
      <c r="N35" s="23"/>
      <c r="O35" s="23"/>
      <c r="P35" s="23"/>
      <c r="Q35" s="23"/>
      <c r="R35" s="23"/>
      <c r="T35" s="23"/>
      <c r="U35" s="23"/>
      <c r="V35" s="23"/>
      <c r="W35" s="23"/>
      <c r="X35" s="23"/>
      <c r="Y35" s="23"/>
    </row>
    <row r="36" spans="2:25" customFormat="1" ht="14.65" customHeight="1" x14ac:dyDescent="0.45">
      <c r="B36" s="85" t="s">
        <v>360</v>
      </c>
      <c r="C36" s="34" t="str" cm="1">
        <f t="array" ref="C36:H36">IF(_xlfn.SEQUENCE(1,MTP_PlanningHorizon+2,-1)=-1, "T-1", IF(_xlfn.SEQUENCE(1,MTP_PlanningHorizon+2,-1)=0, "T", "T+"&amp;_xlfn.SEQUENCE(1,MTP_PlanningHorizon+2,-1)))</f>
        <v>T-1</v>
      </c>
      <c r="D36" s="34" t="str">
        <v>T</v>
      </c>
      <c r="E36" s="34" t="str">
        <v>T+1</v>
      </c>
      <c r="F36" s="34" t="str">
        <v>T+2</v>
      </c>
      <c r="G36" s="34" t="str">
        <v>T+3</v>
      </c>
      <c r="H36" s="34" t="str">
        <v>T+4</v>
      </c>
      <c r="I36" s="34"/>
      <c r="M36" s="23"/>
      <c r="N36" s="23"/>
      <c r="O36" s="23"/>
      <c r="P36" s="23"/>
      <c r="Q36" s="23"/>
      <c r="R36" s="23"/>
      <c r="T36" s="23"/>
      <c r="U36" s="23"/>
      <c r="W36" s="23"/>
      <c r="X36" s="23"/>
      <c r="Y36" s="23"/>
    </row>
    <row r="37" spans="2:25" customFormat="1" ht="14.65" customHeight="1" x14ac:dyDescent="0.45">
      <c r="B37" s="85"/>
      <c r="C37" s="34" cm="1">
        <f t="array" ref="C37:H37">_xlfn.SEQUENCE(1, MTP_EndYear - MTP_BaseYear+1, MTP_BaseYear)</f>
        <v>2023</v>
      </c>
      <c r="D37" s="34">
        <v>2024</v>
      </c>
      <c r="E37" s="34">
        <v>2025</v>
      </c>
      <c r="F37" s="34">
        <v>2026</v>
      </c>
      <c r="G37" s="34">
        <v>2027</v>
      </c>
      <c r="H37" s="34">
        <v>2028</v>
      </c>
      <c r="I37" s="34"/>
      <c r="M37" s="23"/>
      <c r="N37" s="23"/>
      <c r="O37" s="23"/>
      <c r="P37" s="23"/>
      <c r="Q37" s="23"/>
      <c r="R37" s="23"/>
      <c r="T37" s="23"/>
      <c r="U37" s="23"/>
      <c r="W37" s="23"/>
      <c r="X37" s="23"/>
      <c r="Y37" s="23"/>
    </row>
    <row r="38" spans="2:25" customFormat="1" ht="14.65" customHeight="1" x14ac:dyDescent="0.45">
      <c r="B38" s="86"/>
      <c r="C38" s="34" t="str">
        <f t="shared" ref="C38:I38" si="0">IF(C37="", "", IF(C37&lt;=OutturnThrough, "Observed", "Planned"))</f>
        <v>Observed</v>
      </c>
      <c r="D38" s="34" t="str">
        <f t="shared" si="0"/>
        <v>Observed</v>
      </c>
      <c r="E38" s="34" t="str">
        <f t="shared" si="0"/>
        <v>Planned</v>
      </c>
      <c r="F38" s="34" t="str">
        <f t="shared" si="0"/>
        <v>Planned</v>
      </c>
      <c r="G38" s="34" t="str">
        <f t="shared" si="0"/>
        <v>Planned</v>
      </c>
      <c r="H38" s="34" t="str">
        <f t="shared" si="0"/>
        <v>Planned</v>
      </c>
      <c r="I38" s="34" t="str">
        <f t="shared" si="0"/>
        <v/>
      </c>
      <c r="J38" s="62"/>
      <c r="K38" s="62"/>
      <c r="L38" s="62"/>
      <c r="M38" s="23"/>
      <c r="N38" s="23"/>
      <c r="O38" s="23"/>
      <c r="P38" s="23"/>
      <c r="Q38" s="23"/>
      <c r="R38" s="23"/>
      <c r="S38" s="23"/>
      <c r="T38" s="23"/>
      <c r="U38" s="23"/>
      <c r="W38" s="23"/>
      <c r="X38" s="23"/>
      <c r="Y38" s="23"/>
    </row>
    <row r="39" spans="2:25" customFormat="1" ht="14.65" customHeight="1" x14ac:dyDescent="0.45">
      <c r="B39" s="63" t="s">
        <v>359</v>
      </c>
      <c r="C39" s="62" t="str" cm="1">
        <f t="array" ref="C39:H39">INDEX(
  Assessment!$34:$34,
  1,
  MATCH(MTP_BaseYear,Assessment!$32:$32,0)
    + _xlfn.SEQUENCE(1, COLUMNS(_xlfn.ANCHORARRAY(C37)), 0)
)</f>
        <v/>
      </c>
      <c r="D39" s="62">
        <v>9.1</v>
      </c>
      <c r="E39" s="62">
        <v>5.9</v>
      </c>
      <c r="F39" s="62">
        <v>3.6</v>
      </c>
      <c r="G39" s="64">
        <v>3.4</v>
      </c>
      <c r="H39" s="62">
        <v>3.3</v>
      </c>
      <c r="I39" s="62"/>
      <c r="J39" s="83"/>
      <c r="K39" s="83"/>
      <c r="L39" s="83"/>
      <c r="M39" s="23"/>
      <c r="N39" s="23"/>
      <c r="O39" s="23"/>
      <c r="P39" s="23"/>
      <c r="Q39" s="23"/>
      <c r="R39" s="23"/>
      <c r="S39" s="23"/>
      <c r="T39" s="23"/>
      <c r="U39" s="23"/>
      <c r="W39" s="23"/>
      <c r="X39" s="23"/>
      <c r="Y39" s="23"/>
    </row>
    <row r="40" spans="2:25" customFormat="1" ht="14.65" customHeight="1" x14ac:dyDescent="0.45">
      <c r="B40" s="162" t="str">
        <f>ScenarioName</f>
        <v>Draft Budgetary Plan 2026</v>
      </c>
      <c r="C40" s="83" t="str" cm="1">
        <f t="array" ref="C40:H40">INDEX(
  Assessment!$15:$15,
  1,
  MATCH(MTP_BaseYear,Assessment!$4:$4,0)
    + _xlfn.SEQUENCE(1, COLUMNS(_xlfn.ANCHORARRAY(C37)), 0)
)</f>
        <v/>
      </c>
      <c r="D40" s="83">
        <v>4.9652620789816915</v>
      </c>
      <c r="E40" s="83">
        <v>6.2</v>
      </c>
      <c r="F40" s="83">
        <v>5</v>
      </c>
      <c r="G40" s="83" t="str">
        <v/>
      </c>
      <c r="H40" s="83" t="str">
        <v/>
      </c>
      <c r="I40" s="83"/>
      <c r="J40" s="64"/>
      <c r="K40" s="64"/>
      <c r="L40" s="64"/>
      <c r="M40" s="23"/>
      <c r="N40" s="23"/>
      <c r="O40" s="23"/>
      <c r="P40" s="23"/>
      <c r="Q40" s="23"/>
      <c r="R40" s="23"/>
      <c r="S40" s="23"/>
      <c r="T40" s="23"/>
      <c r="U40" s="23"/>
      <c r="W40" s="23"/>
      <c r="X40" s="23"/>
      <c r="Y40" s="23"/>
    </row>
    <row r="41" spans="2:25" customFormat="1" ht="14.65" customHeight="1" x14ac:dyDescent="0.45">
      <c r="B41" s="63" t="s">
        <v>215</v>
      </c>
      <c r="C41" s="62" cm="1">
        <f t="array" ref="C41:H41">INDEX(
  Assessment!$35:$35,
  1,
  MATCH(MTP_BaseYear,Assessment!$32:$32,0)
    + _xlfn.SEQUENCE(1, COLUMNS(_xlfn.ANCHORARRAY(C37)), 0)
)</f>
        <v>-2.2000000000000002</v>
      </c>
      <c r="D41" s="62">
        <v>-2.6</v>
      </c>
      <c r="E41" s="62">
        <v>-2.9</v>
      </c>
      <c r="F41" s="62">
        <v>-2.9</v>
      </c>
      <c r="G41" s="64">
        <v>-2.9</v>
      </c>
      <c r="H41" s="64">
        <v>-2.9</v>
      </c>
      <c r="I41" s="64"/>
      <c r="J41" s="83"/>
      <c r="K41" s="83"/>
      <c r="L41" s="83"/>
      <c r="M41" s="23"/>
      <c r="N41" s="23"/>
      <c r="O41" s="23"/>
      <c r="P41" s="23"/>
      <c r="Q41" s="23"/>
      <c r="R41" s="23"/>
      <c r="S41" s="23"/>
      <c r="T41" s="23"/>
      <c r="U41" s="23"/>
      <c r="W41" s="23"/>
      <c r="X41" s="23"/>
      <c r="Y41" s="23"/>
    </row>
    <row r="42" spans="2:25" customFormat="1" ht="14.65" customHeight="1" x14ac:dyDescent="0.45">
      <c r="B42" s="162" t="str">
        <f>ScenarioName</f>
        <v>Draft Budgetary Plan 2026</v>
      </c>
      <c r="C42" s="83" cm="1">
        <f t="array" ref="C42:H42">INDEX(
  Assessment!$17:$17,
  1,
  MATCH(MTP_BaseYear,Assessment!$4:$4,0)
    + _xlfn.SEQUENCE(1, COLUMNS(_xlfn.ANCHORARRAY(C37)), 0)
)</f>
        <v>-2.342774528487884</v>
      </c>
      <c r="D42" s="83">
        <v>-1.7868607680254289</v>
      </c>
      <c r="E42" s="83">
        <v>-2.9</v>
      </c>
      <c r="F42" s="83">
        <v>-3.3</v>
      </c>
      <c r="G42" s="83" t="str">
        <v/>
      </c>
      <c r="H42" s="83" t="str">
        <v/>
      </c>
      <c r="I42" s="83"/>
      <c r="J42" s="64"/>
      <c r="K42" s="64"/>
      <c r="L42" s="64"/>
      <c r="M42" s="23"/>
      <c r="N42" s="23"/>
      <c r="O42" s="23"/>
      <c r="P42" s="23"/>
      <c r="Q42" s="23"/>
      <c r="R42" s="23"/>
      <c r="S42" s="23"/>
      <c r="T42" s="23"/>
      <c r="U42" s="23"/>
      <c r="W42" s="23"/>
      <c r="X42" s="23"/>
      <c r="Y42" s="23"/>
    </row>
    <row r="43" spans="2:25" customFormat="1" ht="14.65" customHeight="1" x14ac:dyDescent="0.45">
      <c r="B43" s="63" t="s">
        <v>0</v>
      </c>
      <c r="C43" s="64" cm="1">
        <f t="array" ref="C43:H43">INDEX(
  Assessment!$36:$36,
  1,
  MATCH(MTP_BaseYear,Assessment!$32:$32,0)
    + _xlfn.SEQUENCE(1, COLUMNS(_xlfn.ANCHORARRAY(C37)), 0)
)</f>
        <v>-1.8</v>
      </c>
      <c r="D43" s="64">
        <v>-1.9</v>
      </c>
      <c r="E43" s="64">
        <v>-2.5</v>
      </c>
      <c r="F43" s="64">
        <v>-2.6</v>
      </c>
      <c r="G43" s="64">
        <v>-2.7</v>
      </c>
      <c r="H43" s="64">
        <v>-2.7</v>
      </c>
      <c r="I43" s="64"/>
      <c r="J43" s="83"/>
      <c r="K43" s="83"/>
      <c r="L43" s="83"/>
      <c r="M43" s="23"/>
      <c r="N43" s="23"/>
      <c r="O43" s="23"/>
      <c r="P43" s="23"/>
      <c r="Q43" s="23"/>
      <c r="R43" s="23"/>
      <c r="S43" s="23"/>
      <c r="T43" s="23"/>
      <c r="U43" s="23"/>
      <c r="W43" s="23"/>
      <c r="X43" s="23"/>
      <c r="Y43" s="23"/>
    </row>
    <row r="44" spans="2:25" customFormat="1" ht="14.65" customHeight="1" x14ac:dyDescent="0.45">
      <c r="B44" s="162" t="str">
        <f>ScenarioName</f>
        <v>Draft Budgetary Plan 2026</v>
      </c>
      <c r="C44" s="83" cm="1">
        <f t="array" ref="C44:H44">INDEX(
  Assessment!$18:$18,
  1,
  MATCH(MTP_BaseYear,Assessment!$4:$4,0)
    + _xlfn.SEQUENCE(1, COLUMNS(_xlfn.ANCHORARRAY(C37)), 0)
)</f>
        <v>-2.1063200000000002</v>
      </c>
      <c r="D44" s="83">
        <v>-1.548</v>
      </c>
      <c r="E44" s="83">
        <v>-2.4</v>
      </c>
      <c r="F44" s="83">
        <v>-3</v>
      </c>
      <c r="G44" s="83" t="str">
        <v/>
      </c>
      <c r="H44" s="83" t="str">
        <v/>
      </c>
      <c r="I44" s="83"/>
      <c r="J44" s="64"/>
      <c r="K44" s="64"/>
      <c r="L44" s="64"/>
      <c r="M44" s="23"/>
      <c r="N44" s="23"/>
      <c r="O44" s="23"/>
      <c r="P44" s="23"/>
      <c r="Q44" s="23"/>
      <c r="R44" s="23"/>
      <c r="S44" s="23"/>
      <c r="T44" s="23"/>
      <c r="U44" s="23"/>
      <c r="W44" s="23"/>
      <c r="X44" s="23"/>
      <c r="Y44" s="23"/>
    </row>
    <row r="45" spans="2:25" customFormat="1" ht="14.65" customHeight="1" x14ac:dyDescent="0.45">
      <c r="B45" s="63" t="s">
        <v>3</v>
      </c>
      <c r="C45" s="62" cm="1">
        <f t="array" ref="C45:H45">INDEX(
  Assessment!$37:$37,
  1,
  MATCH(MTP_BaseYear,Assessment!$32:$32,0)
    + _xlfn.SEQUENCE(1, COLUMNS(_xlfn.ANCHORARRAY(C37)), 0)
)</f>
        <v>-1.2</v>
      </c>
      <c r="D45" s="62">
        <v>-0.8</v>
      </c>
      <c r="E45" s="62">
        <v>-1.3</v>
      </c>
      <c r="F45" s="62">
        <v>-1.3</v>
      </c>
      <c r="G45" s="64">
        <v>-1.3</v>
      </c>
      <c r="H45" s="64">
        <v>-1.3</v>
      </c>
      <c r="I45" s="64"/>
      <c r="J45" s="83"/>
      <c r="K45" s="83"/>
      <c r="L45" s="83"/>
      <c r="M45" s="23"/>
      <c r="N45" s="23"/>
      <c r="O45" s="23"/>
      <c r="P45" s="23"/>
      <c r="Q45" s="23"/>
      <c r="R45" s="23"/>
      <c r="S45" s="23"/>
      <c r="T45" s="23"/>
      <c r="U45" s="23"/>
      <c r="W45" s="23"/>
      <c r="X45" s="23"/>
      <c r="Y45" s="23"/>
    </row>
    <row r="46" spans="2:25" customFormat="1" ht="14.65" customHeight="1" x14ac:dyDescent="0.45">
      <c r="B46" s="162" t="str">
        <f>ScenarioName</f>
        <v>Draft Budgetary Plan 2026</v>
      </c>
      <c r="C46" s="83" cm="1">
        <f t="array" ref="C46:H46">INDEX(
  Assessment!$19:$19,
  1,
  MATCH(MTP_BaseYear,Assessment!$4:$4,0)
    + _xlfn.SEQUENCE(1, COLUMNS(_xlfn.ANCHORARRAY(C37)), 0)
)</f>
        <v>-1.38124</v>
      </c>
      <c r="D46" s="83">
        <v>-0.44949</v>
      </c>
      <c r="E46" s="83">
        <v>-1.2</v>
      </c>
      <c r="F46" s="83">
        <v>-1.6</v>
      </c>
      <c r="G46" s="83" t="str">
        <v/>
      </c>
      <c r="H46" s="83" t="str">
        <v/>
      </c>
      <c r="I46" s="83"/>
      <c r="J46" s="64"/>
      <c r="K46" s="64"/>
      <c r="L46" s="64"/>
      <c r="M46" s="23"/>
      <c r="N46" s="23"/>
      <c r="O46" s="23"/>
      <c r="P46" s="23"/>
      <c r="Q46" s="23"/>
      <c r="R46" s="23"/>
      <c r="S46" s="23"/>
      <c r="T46" s="23"/>
      <c r="U46" s="23"/>
      <c r="W46" s="23"/>
      <c r="X46" s="23"/>
      <c r="Y46" s="23"/>
    </row>
    <row r="47" spans="2:25" customFormat="1" ht="14.65" customHeight="1" x14ac:dyDescent="0.45">
      <c r="B47" s="63" t="s">
        <v>1</v>
      </c>
      <c r="C47" s="62" cm="1">
        <f t="array" ref="C47:H47">INDEX(
  Assessment!$38:$38,
  1,
  MATCH(MTP_BaseYear,Assessment!$32:$32,0)
    + _xlfn.SEQUENCE(1, COLUMNS(_xlfn.ANCHORARRAY(C37)), 0)
)</f>
        <v>43.6</v>
      </c>
      <c r="D47" s="62">
        <v>45.8</v>
      </c>
      <c r="E47" s="62">
        <v>47.5</v>
      </c>
      <c r="F47" s="62">
        <v>48.5</v>
      </c>
      <c r="G47" s="62">
        <v>49.7</v>
      </c>
      <c r="H47" s="62">
        <v>50.8</v>
      </c>
      <c r="I47" s="62"/>
      <c r="J47" s="83"/>
      <c r="K47" s="83"/>
      <c r="L47" s="83"/>
      <c r="M47" s="23"/>
      <c r="N47" s="23"/>
      <c r="O47" s="23"/>
      <c r="P47" s="23"/>
      <c r="Q47" s="23"/>
      <c r="R47" s="23"/>
      <c r="S47" s="23"/>
      <c r="T47" s="23"/>
      <c r="U47" s="23"/>
      <c r="W47" s="23"/>
      <c r="X47" s="23"/>
      <c r="Y47" s="23"/>
    </row>
    <row r="48" spans="2:25" customFormat="1" ht="14.65" customHeight="1" x14ac:dyDescent="0.45">
      <c r="B48" s="162" t="str">
        <f>ScenarioName</f>
        <v>Draft Budgetary Plan 2026</v>
      </c>
      <c r="C48" s="83" cm="1">
        <f t="array" ref="C48:H48">INDEX(
  Assessment!$20:$20,
  1,
  MATCH(MTP_BaseYear,Assessment!$4:$4,0)
    + _xlfn.SEQUENCE(1, COLUMNS(_xlfn.ANCHORARRAY(C37)), 0)
)</f>
        <v>44.430318318075436</v>
      </c>
      <c r="D48" s="83">
        <v>46.249535696627248</v>
      </c>
      <c r="E48" s="83">
        <v>48.9</v>
      </c>
      <c r="F48" s="83">
        <v>50.6</v>
      </c>
      <c r="G48" s="83" t="str">
        <v/>
      </c>
      <c r="H48" s="83" t="str">
        <v/>
      </c>
      <c r="I48" s="83"/>
      <c r="J48" s="64"/>
      <c r="K48" s="64"/>
      <c r="L48" s="64"/>
      <c r="M48" s="23"/>
      <c r="N48" s="23"/>
      <c r="O48" s="23"/>
      <c r="P48" s="23"/>
      <c r="Q48" s="23"/>
      <c r="R48" s="23"/>
      <c r="S48" s="23"/>
      <c r="T48" s="23"/>
      <c r="U48" s="23"/>
      <c r="W48" s="23"/>
      <c r="X48" s="23"/>
      <c r="Y48" s="23"/>
    </row>
    <row r="49" spans="2:25" customFormat="1" ht="14.85" customHeight="1" x14ac:dyDescent="0.45">
      <c r="B49" s="63" t="s">
        <v>2</v>
      </c>
      <c r="C49" s="62" cm="1">
        <f t="array" ref="C49:H49">INDEX(
  Assessment!$39:$39,
  1,
  MATCH(MTP_BaseYear,Assessment!$32:$32,0)
    + _xlfn.SEQUENCE(1, COLUMNS(_xlfn.ANCHORARRAY(C37)), 0)
)</f>
        <v>1.8</v>
      </c>
      <c r="D49" s="62">
        <v>2.2999999999999998</v>
      </c>
      <c r="E49" s="62">
        <v>1.6</v>
      </c>
      <c r="F49" s="62">
        <v>1.1000000000000001</v>
      </c>
      <c r="G49" s="62">
        <v>1.2</v>
      </c>
      <c r="H49" s="62">
        <v>1.2</v>
      </c>
      <c r="I49" s="62"/>
      <c r="J49" s="83"/>
      <c r="K49" s="83"/>
      <c r="L49" s="83"/>
      <c r="M49" s="23"/>
      <c r="N49" s="23"/>
      <c r="O49" s="23"/>
      <c r="P49" s="23"/>
      <c r="Q49" s="23"/>
      <c r="R49" s="23"/>
      <c r="S49" s="23"/>
      <c r="T49" s="23"/>
      <c r="U49" s="23"/>
      <c r="W49" s="23"/>
      <c r="X49" s="23"/>
      <c r="Y49" s="23"/>
    </row>
    <row r="50" spans="2:25" customFormat="1" ht="14.85" customHeight="1" x14ac:dyDescent="0.45">
      <c r="B50" s="162" t="str">
        <f>ScenarioName</f>
        <v>Draft Budgetary Plan 2026</v>
      </c>
      <c r="C50" s="83" t="str" cm="1">
        <f t="array" ref="C50:H50">INDEX(
  Assessment!$21:$21,
  1,
  MATCH(MTP_BaseYear,Assessment!$4:$4,0)
    + _xlfn.SEQUENCE(1, COLUMNS(_xlfn.ANCHORARRAY(C37)), 0)
)</f>
        <v/>
      </c>
      <c r="D50" s="83" t="str">
        <v/>
      </c>
      <c r="E50" s="83">
        <v>2.1</v>
      </c>
      <c r="F50" s="83">
        <v>1.7</v>
      </c>
      <c r="G50" s="83" t="str">
        <v/>
      </c>
      <c r="H50" s="83" t="str">
        <v/>
      </c>
      <c r="I50" s="83"/>
      <c r="J50" s="64"/>
      <c r="K50" s="64"/>
      <c r="L50" s="64"/>
      <c r="M50" s="23"/>
      <c r="N50" s="23"/>
      <c r="O50" s="23"/>
      <c r="P50" s="23"/>
      <c r="Q50" s="23"/>
      <c r="R50" s="23"/>
      <c r="S50" s="23"/>
      <c r="T50" s="23"/>
      <c r="U50" s="23"/>
      <c r="W50" s="23"/>
      <c r="X50" s="23"/>
      <c r="Y50" s="23"/>
    </row>
    <row r="51" spans="2:25" customFormat="1" ht="14.85" customHeight="1" x14ac:dyDescent="0.45">
      <c r="B51" s="37"/>
      <c r="C51" s="23"/>
      <c r="D51" s="23"/>
      <c r="E51" s="23"/>
      <c r="F51" s="23"/>
      <c r="G51" s="23"/>
      <c r="H51" s="23"/>
      <c r="I51" s="23"/>
      <c r="J51" s="129"/>
      <c r="K51" s="129"/>
      <c r="L51" s="129"/>
      <c r="M51" s="23"/>
      <c r="N51" s="23"/>
      <c r="O51" s="23"/>
      <c r="P51" s="23"/>
      <c r="Q51" s="23"/>
      <c r="R51" s="23"/>
      <c r="S51" s="23"/>
      <c r="T51" s="23"/>
      <c r="U51" s="23"/>
      <c r="W51" s="23"/>
      <c r="X51" s="23"/>
      <c r="Y51" s="23"/>
    </row>
    <row r="52" spans="2:25" customFormat="1" ht="14.85" customHeight="1" x14ac:dyDescent="0.45">
      <c r="B52" s="201" t="s">
        <v>326</v>
      </c>
      <c r="C52" s="129" cm="1">
        <f t="array" ref="C52:H52">INDEX(
  Assessment!$40:$40,
  1,
  MATCH(MTP_BaseYear,Assessment!$32:$32,0)
    + _xlfn.SEQUENCE(1, COLUMNS(_xlfn.ANCHORARRAY(C37)), 0)
)</f>
        <v>-0.3</v>
      </c>
      <c r="D52" s="129">
        <v>1.4</v>
      </c>
      <c r="E52" s="129">
        <v>2.9</v>
      </c>
      <c r="F52" s="129">
        <v>1.6</v>
      </c>
      <c r="G52" s="129">
        <v>1.2</v>
      </c>
      <c r="H52" s="129">
        <v>1.1000000000000001</v>
      </c>
      <c r="I52" s="129"/>
      <c r="J52" s="130"/>
      <c r="K52" s="130"/>
      <c r="L52" s="130"/>
      <c r="M52" s="23"/>
      <c r="N52" s="23"/>
      <c r="O52" s="23"/>
      <c r="P52" s="23"/>
      <c r="Q52" s="23"/>
      <c r="R52" s="23"/>
      <c r="S52" s="23"/>
      <c r="T52" s="23"/>
      <c r="U52" s="23"/>
      <c r="W52" s="23"/>
      <c r="X52" s="23"/>
      <c r="Y52" s="23"/>
    </row>
    <row r="53" spans="2:25" customFormat="1" ht="14.85" customHeight="1" x14ac:dyDescent="0.45">
      <c r="B53" s="202" t="str">
        <f>ScenarioName</f>
        <v>Draft Budgetary Plan 2026</v>
      </c>
      <c r="C53" s="130" cm="1">
        <f t="array" ref="C53:H53">INDEX(
  Assessment!$22:$22,
  1,
  MATCH(MTP_BaseYear,Assessment!$4:$4,0)
    + _xlfn.SEQUENCE(1, COLUMNS(_xlfn.ANCHORARRAY(C37)), 0)
)</f>
        <v>-0.9414574313402313</v>
      </c>
      <c r="D53" s="83">
        <v>-3.7310985009997299E-2</v>
      </c>
      <c r="E53" s="83">
        <v>1.1000000000000001</v>
      </c>
      <c r="F53" s="83">
        <v>2.1</v>
      </c>
      <c r="G53" s="83" t="str">
        <v/>
      </c>
      <c r="H53" s="83" t="str">
        <v/>
      </c>
      <c r="I53" s="83"/>
      <c r="J53" s="64"/>
      <c r="K53" s="64"/>
      <c r="L53" s="64"/>
      <c r="M53" s="23"/>
      <c r="N53" s="23"/>
      <c r="O53" s="23"/>
      <c r="P53" s="23"/>
      <c r="Q53" s="23"/>
      <c r="R53" s="23"/>
      <c r="S53" s="23"/>
      <c r="T53" s="23"/>
      <c r="U53" s="23"/>
    </row>
    <row r="54" spans="2:25" customFormat="1" ht="14.85" customHeight="1" x14ac:dyDescent="0.45">
      <c r="B54" s="201" t="s">
        <v>327</v>
      </c>
      <c r="C54" s="129" cm="1">
        <f t="array" ref="C54:H54">INDEX(
  Assessment!$41:$41,
  1,
  MATCH(MTP_BaseYear,Assessment!$32:$32,0)
    + _xlfn.SEQUENCE(1, COLUMNS(_xlfn.ANCHORARRAY(C37)), 0)
)</f>
        <v>5.4</v>
      </c>
      <c r="D54" s="129">
        <v>2.4</v>
      </c>
      <c r="E54" s="129">
        <v>2.5</v>
      </c>
      <c r="F54" s="129">
        <v>2.5</v>
      </c>
      <c r="G54" s="129">
        <v>2.5</v>
      </c>
      <c r="H54" s="129">
        <v>2.5</v>
      </c>
      <c r="I54" s="129"/>
      <c r="J54" s="130"/>
      <c r="K54" s="130"/>
      <c r="L54" s="130"/>
      <c r="M54" s="23"/>
      <c r="N54" s="23"/>
      <c r="O54" s="23"/>
      <c r="P54" s="23"/>
      <c r="Q54" s="23"/>
      <c r="R54" s="23"/>
      <c r="S54" s="23"/>
      <c r="T54" s="23"/>
      <c r="U54" s="23"/>
    </row>
    <row r="55" spans="2:25" customFormat="1" ht="14.85" customHeight="1" x14ac:dyDescent="0.45">
      <c r="B55" s="202" t="str">
        <f>ScenarioName</f>
        <v>Draft Budgetary Plan 2026</v>
      </c>
      <c r="C55" s="130" cm="1">
        <f t="array" ref="C55:H55">INDEX(
  Assessment!$23:$23,
  1,
  MATCH(MTP_BaseYear,Assessment!$4:$4,0)
    + _xlfn.SEQUENCE(1, COLUMNS(_xlfn.ANCHORARRAY(C37)), 0)
)</f>
        <v>10.672371603556009</v>
      </c>
      <c r="D55" s="83">
        <v>2.7885650030008202</v>
      </c>
      <c r="E55" s="83">
        <v>3.3</v>
      </c>
      <c r="F55" s="83">
        <v>2.5</v>
      </c>
      <c r="G55" s="83" t="str">
        <v/>
      </c>
      <c r="H55" s="83" t="str">
        <v/>
      </c>
      <c r="I55" s="83"/>
      <c r="J55" s="64"/>
      <c r="K55" s="64"/>
      <c r="L55" s="64"/>
      <c r="M55" s="23"/>
      <c r="N55" s="23"/>
      <c r="O55" s="23"/>
      <c r="P55" s="23"/>
      <c r="Q55" s="23"/>
      <c r="R55" s="23"/>
      <c r="S55" s="23"/>
      <c r="T55" s="23"/>
      <c r="U55" s="23"/>
    </row>
    <row r="56" spans="2:25" customFormat="1" ht="14.85" customHeight="1" x14ac:dyDescent="0.45">
      <c r="B56" s="201" t="s">
        <v>328</v>
      </c>
      <c r="C56" s="129" cm="1">
        <f t="array" ref="C56:H56">INDEX(
  Assessment!$42:$42,
  1,
  MATCH(MTP_BaseYear,Assessment!$32:$32,0)
    + _xlfn.SEQUENCE(1, COLUMNS(_xlfn.ANCHORARRAY(C37)), 0)
)</f>
        <v>5.0999999999999996</v>
      </c>
      <c r="D56" s="129">
        <v>3.8</v>
      </c>
      <c r="E56" s="129">
        <v>5.5</v>
      </c>
      <c r="F56" s="129">
        <v>4.0999999999999996</v>
      </c>
      <c r="G56" s="129">
        <v>3.7</v>
      </c>
      <c r="H56" s="129">
        <v>3.6</v>
      </c>
      <c r="I56" s="129"/>
      <c r="J56" s="130"/>
      <c r="K56" s="130"/>
      <c r="L56" s="130"/>
      <c r="M56" s="23"/>
      <c r="N56" s="23"/>
      <c r="O56" s="23"/>
      <c r="P56" s="23"/>
      <c r="Q56" s="23"/>
      <c r="R56" s="23"/>
      <c r="S56" s="23"/>
      <c r="T56" s="23"/>
      <c r="U56" s="23"/>
    </row>
    <row r="57" spans="2:25" customFormat="1" ht="14.85" customHeight="1" x14ac:dyDescent="0.45">
      <c r="B57" s="202" t="str">
        <f>ScenarioName</f>
        <v>Draft Budgetary Plan 2026</v>
      </c>
      <c r="C57" s="130" cm="1">
        <f t="array" ref="C57:H57">INDEX(
  Assessment!$24:$24,
  1,
  MATCH(MTP_BaseYear,Assessment!$4:$4,0)
    + _xlfn.SEQUENCE(1, COLUMNS(_xlfn.ANCHORARRAY(C37)), 0)
)</f>
        <v>9.630438336653846</v>
      </c>
      <c r="D57" s="83">
        <v>2.7502135769205571</v>
      </c>
      <c r="E57" s="83">
        <v>4.4000000000000004</v>
      </c>
      <c r="F57" s="83">
        <v>4.7</v>
      </c>
      <c r="G57" s="83" t="str">
        <v/>
      </c>
      <c r="H57" s="83" t="str">
        <v/>
      </c>
      <c r="I57" s="83"/>
      <c r="J57" s="64"/>
      <c r="K57" s="64"/>
      <c r="L57" s="64"/>
      <c r="M57" s="23"/>
      <c r="N57" s="23"/>
      <c r="O57" s="23"/>
      <c r="P57" s="23"/>
      <c r="Q57" s="23"/>
      <c r="R57" s="23"/>
      <c r="S57" s="23"/>
      <c r="T57" s="23"/>
      <c r="U57" s="23"/>
    </row>
    <row r="58" spans="2:25" customFormat="1" ht="14.85" customHeight="1" x14ac:dyDescent="0.45">
      <c r="B58" s="201" t="s">
        <v>321</v>
      </c>
      <c r="C58" s="129" cm="1">
        <f t="array" ref="C58:H58">INDEX(
  Assessment!$43:$43,
  1,
  MATCH(MTP_BaseYear,Assessment!$32:$32,0)
    + _xlfn.SEQUENCE(1, COLUMNS(_xlfn.ANCHORARRAY(C37)), 0)
)</f>
        <v>2.2999999999999998</v>
      </c>
      <c r="D58" s="129">
        <v>2.2000000000000002</v>
      </c>
      <c r="E58" s="129">
        <v>2.1</v>
      </c>
      <c r="F58" s="129">
        <v>1.2</v>
      </c>
      <c r="G58" s="129">
        <v>0.9</v>
      </c>
      <c r="H58" s="129">
        <v>0.9</v>
      </c>
      <c r="I58" s="129"/>
      <c r="J58" s="130"/>
      <c r="K58" s="130"/>
      <c r="L58" s="130"/>
      <c r="M58" s="23"/>
      <c r="N58" s="23"/>
      <c r="O58" s="23"/>
      <c r="P58" s="23"/>
      <c r="Q58" s="23"/>
      <c r="R58" s="23"/>
      <c r="S58" s="23"/>
      <c r="T58" s="23"/>
      <c r="U58" s="23"/>
    </row>
    <row r="59" spans="2:25" customFormat="1" ht="14.85" customHeight="1" x14ac:dyDescent="0.45">
      <c r="B59" s="202" t="str">
        <f>ScenarioName</f>
        <v>Draft Budgetary Plan 2026</v>
      </c>
      <c r="C59" s="130" cm="1">
        <f t="array" ref="C59:H59">INDEX(
  Assessment!$25:$25,
  1,
  MATCH(MTP_BaseYear,Assessment!$4:$4,0)
    + _xlfn.SEQUENCE(1, COLUMNS(_xlfn.ANCHORARRAY(C37)), 0)
)</f>
        <v>0.97435418160733978</v>
      </c>
      <c r="D59" s="83">
        <v>-1.8794702349533843E-2</v>
      </c>
      <c r="E59" s="83">
        <v>1.7</v>
      </c>
      <c r="F59" s="83">
        <v>1.7</v>
      </c>
      <c r="G59" s="83" t="str">
        <v/>
      </c>
      <c r="H59" s="83" t="str">
        <v/>
      </c>
      <c r="I59" s="83"/>
      <c r="J59" s="64"/>
      <c r="K59" s="64"/>
      <c r="L59" s="64"/>
      <c r="M59" s="23"/>
      <c r="N59" s="23"/>
      <c r="O59" s="23"/>
      <c r="P59" s="23"/>
      <c r="Q59" s="23"/>
      <c r="R59" s="23"/>
      <c r="S59" s="23"/>
      <c r="T59" s="23"/>
      <c r="U59" s="23"/>
    </row>
    <row r="60" spans="2:25" customFormat="1" ht="14.85" customHeight="1" x14ac:dyDescent="0.45">
      <c r="B60" s="201" t="s">
        <v>318</v>
      </c>
      <c r="C60" s="129" cm="1">
        <f t="array" ref="C60:H60">INDEX(
  Assessment!$44:$44,
  1,
  MATCH(MTP_BaseYear,Assessment!$32:$32,0)
    + _xlfn.SEQUENCE(1, COLUMNS(_xlfn.ANCHORARRAY(C37)), 0)
)</f>
        <v>-1</v>
      </c>
      <c r="D60" s="129">
        <v>-1.8</v>
      </c>
      <c r="E60" s="129">
        <v>-1</v>
      </c>
      <c r="F60" s="129">
        <v>-0.7</v>
      </c>
      <c r="G60" s="129">
        <v>-0.5</v>
      </c>
      <c r="H60" s="129">
        <v>-0.4</v>
      </c>
      <c r="I60" s="129"/>
      <c r="J60" s="130"/>
      <c r="K60" s="130"/>
      <c r="L60" s="130"/>
      <c r="M60" s="23"/>
      <c r="N60" s="23"/>
      <c r="O60" s="23"/>
      <c r="P60" s="23"/>
      <c r="Q60" s="23"/>
      <c r="R60" s="23"/>
      <c r="S60" s="23"/>
      <c r="T60" s="23"/>
      <c r="U60" s="23"/>
    </row>
    <row r="61" spans="2:25" customFormat="1" ht="14.85" customHeight="1" x14ac:dyDescent="0.45">
      <c r="B61" s="203" t="str">
        <f>ScenarioName</f>
        <v>Draft Budgetary Plan 2026</v>
      </c>
      <c r="C61" s="131" cm="1">
        <f t="array" ref="C61:H61">INDEX(
  Assessment!$26:$26,
  1,
  MATCH(MTP_BaseYear,Assessment!$4:$4,0)
    + _xlfn.SEQUENCE(1, COLUMNS(_xlfn.ANCHORARRAY(C37)), 0)
)</f>
        <v>-0.67509815273575358</v>
      </c>
      <c r="D61" s="131">
        <v>-0.70221013089490913</v>
      </c>
      <c r="E61" s="131">
        <v>-1.3</v>
      </c>
      <c r="F61" s="131">
        <v>-0.9</v>
      </c>
      <c r="G61" s="131" t="str">
        <v/>
      </c>
      <c r="H61" s="131" t="str">
        <v/>
      </c>
      <c r="I61" s="130"/>
      <c r="M61" s="23"/>
      <c r="N61" s="23"/>
      <c r="O61" s="23"/>
      <c r="P61" s="23"/>
      <c r="Q61" s="23"/>
      <c r="R61" s="23"/>
      <c r="S61" s="23"/>
      <c r="T61" s="23"/>
      <c r="U61" s="23"/>
    </row>
    <row r="62" spans="2:25" customFormat="1" ht="14.65" customHeight="1" x14ac:dyDescent="0.45">
      <c r="B62" s="181" t="str">
        <f>"Numbers in green indicate "&amp;ScenarioName&amp;" is outperforming the medium-term plan"</f>
        <v>Numbers in green indicate Draft Budgetary Plan 2026 is outperforming the medium-term plan</v>
      </c>
      <c r="C62" s="130"/>
      <c r="D62" s="130"/>
      <c r="E62" s="130"/>
      <c r="F62" s="130"/>
      <c r="G62" s="130"/>
      <c r="H62" s="130"/>
      <c r="M62" s="23"/>
      <c r="N62" s="23"/>
      <c r="O62" s="23"/>
      <c r="P62" s="23"/>
      <c r="Q62" s="23"/>
      <c r="R62" s="23"/>
      <c r="S62" s="23"/>
      <c r="T62" s="23"/>
      <c r="U62" s="23"/>
    </row>
    <row r="63" spans="2:25" customFormat="1" ht="14.65" customHeight="1" x14ac:dyDescent="0.45">
      <c r="B63" s="180" t="str">
        <f>"Numbers in red indicate "&amp;ScenarioName&amp;" is underperforming the medium-term plan"</f>
        <v>Numbers in red indicate Draft Budgetary Plan 2026 is underperforming the medium-term plan</v>
      </c>
      <c r="C63" s="130"/>
      <c r="D63" s="130"/>
      <c r="E63" s="130"/>
      <c r="F63" s="130"/>
      <c r="G63" s="130"/>
      <c r="H63" s="130"/>
      <c r="M63" s="23"/>
      <c r="N63" s="23"/>
      <c r="O63" s="23"/>
      <c r="P63" s="23"/>
      <c r="Q63" s="23"/>
      <c r="R63" s="23"/>
      <c r="S63" s="23"/>
      <c r="T63" s="23"/>
      <c r="U63" s="23"/>
    </row>
    <row r="64" spans="2:25" customFormat="1" ht="14.65" customHeight="1" x14ac:dyDescent="0.45">
      <c r="B64" s="182" t="str">
        <f>"Numbers in amber indicate "&amp;ScenarioName&amp;" is underperforming the medium-term plan but an escape clause is in place"</f>
        <v>Numbers in amber indicate Draft Budgetary Plan 2026 is underperforming the medium-term plan but an escape clause is in place</v>
      </c>
      <c r="J64" s="23"/>
      <c r="K64" s="23"/>
      <c r="L64" s="23"/>
      <c r="M64" s="23"/>
      <c r="N64" s="23"/>
      <c r="O64" s="23"/>
      <c r="P64" s="23"/>
      <c r="Q64" s="23"/>
      <c r="R64" s="3"/>
      <c r="S64" s="23"/>
      <c r="T64" s="23"/>
      <c r="U64" s="23"/>
    </row>
    <row r="65" spans="3:20" ht="14.65" customHeight="1" x14ac:dyDescent="0.45">
      <c r="R65" s="3"/>
    </row>
    <row r="66" spans="3:20" ht="14.65" customHeight="1" x14ac:dyDescent="0.7">
      <c r="R66" s="161"/>
    </row>
    <row r="67" spans="3:20" ht="14.65" customHeight="1" x14ac:dyDescent="0.7">
      <c r="R67" s="161"/>
    </row>
    <row r="68" spans="3:20" ht="14.65" customHeight="1" x14ac:dyDescent="1">
      <c r="R68" s="76"/>
    </row>
    <row r="69" spans="3:20" ht="14.65" customHeight="1" x14ac:dyDescent="0.45"/>
    <row r="70" spans="3:20" ht="14.65" customHeight="1" x14ac:dyDescent="1">
      <c r="R70" s="76"/>
      <c r="S70" s="162"/>
    </row>
    <row r="71" spans="3:20" ht="14.65" customHeight="1" x14ac:dyDescent="1">
      <c r="R71" s="76"/>
      <c r="S71" s="162"/>
    </row>
    <row r="72" spans="3:20" ht="14.65" customHeight="1" x14ac:dyDescent="0.45"/>
    <row r="73" spans="3:20" ht="14.65" customHeight="1" x14ac:dyDescent="1">
      <c r="R73" s="76"/>
    </row>
    <row r="74" spans="3:20" ht="14.65" customHeight="1" x14ac:dyDescent="1">
      <c r="R74" s="76"/>
    </row>
    <row r="75" spans="3:20" ht="14.65" customHeight="1" x14ac:dyDescent="0.45"/>
    <row r="76" spans="3:20" ht="14.65" customHeight="1" x14ac:dyDescent="1">
      <c r="R76" s="77"/>
    </row>
    <row r="77" spans="3:20" ht="14.65" customHeight="1" x14ac:dyDescent="1">
      <c r="R77" s="77"/>
      <c r="T77"/>
    </row>
    <row r="78" spans="3:20" ht="14.65" customHeight="1" x14ac:dyDescent="0.45">
      <c r="T78" s="43"/>
    </row>
    <row r="79" spans="3:20" ht="14.65" customHeight="1" x14ac:dyDescent="0.45">
      <c r="L79" s="44"/>
      <c r="M79" s="44"/>
      <c r="N79" s="44"/>
      <c r="O79" s="44"/>
      <c r="P79" s="44"/>
      <c r="Q79" s="44"/>
      <c r="R79" s="44"/>
      <c r="T79" s="42"/>
    </row>
    <row r="80" spans="3:20" ht="14.65" customHeight="1" x14ac:dyDescent="0.45">
      <c r="C80" s="41"/>
      <c r="D80" s="41"/>
      <c r="E80" s="41"/>
      <c r="F80" s="41"/>
      <c r="K80" s="98"/>
      <c r="L80" s="42"/>
      <c r="M80" s="42"/>
      <c r="N80" s="42"/>
      <c r="O80" s="42"/>
      <c r="P80" s="42"/>
      <c r="Q80" s="42"/>
      <c r="R80" s="42"/>
      <c r="S80"/>
      <c r="T80" s="44"/>
    </row>
    <row r="81" spans="2:20" ht="14.65" customHeight="1" x14ac:dyDescent="1">
      <c r="B81" s="159"/>
      <c r="C81" s="243"/>
      <c r="D81" s="243"/>
      <c r="E81" s="243"/>
      <c r="F81" s="243"/>
      <c r="G81" s="77"/>
      <c r="H81" s="77"/>
      <c r="J81"/>
      <c r="K81"/>
      <c r="L81"/>
      <c r="M81"/>
      <c r="N81"/>
      <c r="O81"/>
      <c r="P81"/>
      <c r="Q81"/>
      <c r="R81"/>
      <c r="S81" s="43"/>
      <c r="T81" s="42"/>
    </row>
    <row r="82" spans="2:20" customFormat="1" ht="14.65" customHeight="1" x14ac:dyDescent="0.45">
      <c r="S82" s="42"/>
    </row>
    <row r="83" spans="2:20" customFormat="1" ht="14.65" customHeight="1" x14ac:dyDescent="0.45">
      <c r="J83" s="23"/>
      <c r="K83" s="23"/>
      <c r="L83" s="23"/>
      <c r="M83" s="23"/>
      <c r="N83" s="23"/>
      <c r="O83" s="23"/>
      <c r="P83" s="23"/>
      <c r="Q83" s="23"/>
      <c r="R83" s="23"/>
      <c r="S83" s="44"/>
    </row>
    <row r="84" spans="2:20" ht="23.25" x14ac:dyDescent="0.7">
      <c r="B84" s="141" t="str">
        <f>IF(Receives_reference_trajectory,"Observed debt compared to the deterministic and stochastic DSA scenarios using the methodology in the Commission’s Debt Sustainability Monitor 2023 (% of GDP)",Country&amp;"'s deficit and debt were below the Treaty thresholds in Year T-1, therefore the Commission does not issue a full set of deterministic and stochastic DSA stress scenarios")</f>
        <v>Latvia's deficit and debt were below the Treaty thresholds in Year T-1, therefore the Commission does not issue a full set of deterministic and stochastic DSA stress scenarios</v>
      </c>
      <c r="S84" s="42"/>
    </row>
    <row r="85" spans="2:20" x14ac:dyDescent="0.45">
      <c r="B85" s="127" t="str">
        <f>IF(NOT(Receives_reference_trajectory),Country&amp;"'s deficit and debt were below the Treaty thresholds in Year T-1, therefore the Commission does not issue a full set of deterministic and stochastic DSA stress scenarios","")</f>
        <v>Latvia's deficit and debt were below the Treaty thresholds in Year T-1, therefore the Commission does not issue a full set of deterministic and stochastic DSA stress scenarios</v>
      </c>
      <c r="S85"/>
    </row>
    <row r="86" spans="2:20" x14ac:dyDescent="0.45">
      <c r="S86"/>
    </row>
    <row r="101" spans="1:20" x14ac:dyDescent="0.45">
      <c r="J101"/>
      <c r="K101"/>
      <c r="L101"/>
      <c r="M101"/>
      <c r="N101"/>
      <c r="O101"/>
      <c r="P101"/>
      <c r="Q101"/>
      <c r="R101"/>
    </row>
    <row r="102" spans="1:20" customFormat="1" ht="19.149999999999999" customHeight="1" x14ac:dyDescent="0.45">
      <c r="J102" s="23"/>
      <c r="K102" s="23"/>
      <c r="L102" s="23"/>
      <c r="M102" s="23"/>
      <c r="N102" s="23"/>
      <c r="O102" s="23"/>
      <c r="P102" s="23"/>
      <c r="Q102" s="23"/>
      <c r="R102" s="23"/>
      <c r="S102" s="23"/>
    </row>
    <row r="103" spans="1:20" hidden="1" x14ac:dyDescent="0.45">
      <c r="A103" s="22"/>
      <c r="C103" s="38"/>
      <c r="D103" s="38"/>
      <c r="E103" s="38"/>
      <c r="F103" s="38"/>
      <c r="G103" s="38"/>
      <c r="H103" s="38"/>
      <c r="I103" s="38"/>
      <c r="L103" s="32" t="s">
        <v>25</v>
      </c>
      <c r="M103" s="32" t="s">
        <v>26</v>
      </c>
      <c r="N103" s="32" t="s">
        <v>27</v>
      </c>
      <c r="O103" s="32" t="s">
        <v>28</v>
      </c>
      <c r="P103" s="32" t="s">
        <v>29</v>
      </c>
      <c r="Q103" s="32" t="s">
        <v>30</v>
      </c>
      <c r="R103" s="32" t="s">
        <v>38</v>
      </c>
    </row>
    <row r="104" spans="1:20" hidden="1" x14ac:dyDescent="0.45">
      <c r="A104" s="22"/>
      <c r="C104" s="38"/>
      <c r="D104" s="38"/>
      <c r="E104" s="38"/>
      <c r="F104" s="38"/>
      <c r="G104" s="38"/>
      <c r="H104" s="38"/>
      <c r="L104" s="32">
        <v>2024</v>
      </c>
      <c r="M104" s="32">
        <v>2025</v>
      </c>
      <c r="N104" s="32">
        <v>2026</v>
      </c>
      <c r="O104" s="32">
        <v>2027</v>
      </c>
      <c r="P104" s="32">
        <v>2028</v>
      </c>
      <c r="Q104" s="32">
        <v>2029</v>
      </c>
      <c r="R104" s="32">
        <v>2030</v>
      </c>
      <c r="T104" s="32" t="s">
        <v>40</v>
      </c>
    </row>
    <row r="105" spans="1:20" hidden="1" x14ac:dyDescent="0.45">
      <c r="A105" s="22"/>
      <c r="L105" s="32" t="s">
        <v>255</v>
      </c>
      <c r="M105" s="32" t="s">
        <v>256</v>
      </c>
      <c r="N105" s="32" t="s">
        <v>256</v>
      </c>
      <c r="O105" s="32" t="s">
        <v>256</v>
      </c>
      <c r="P105" s="32" t="s">
        <v>256</v>
      </c>
      <c r="Q105" s="32" t="s">
        <v>256</v>
      </c>
      <c r="R105" s="32" t="s">
        <v>256</v>
      </c>
      <c r="S105"/>
      <c r="T105" s="32">
        <v>2032</v>
      </c>
    </row>
    <row r="106" spans="1:20" hidden="1" x14ac:dyDescent="0.45">
      <c r="A106" s="22"/>
      <c r="B106" s="45" t="s">
        <v>257</v>
      </c>
      <c r="K106" s="23" t="s">
        <v>265</v>
      </c>
      <c r="T106" s="32" t="s">
        <v>256</v>
      </c>
    </row>
    <row r="107" spans="1:20" hidden="1" x14ac:dyDescent="0.45">
      <c r="A107" s="22"/>
      <c r="K107" s="23" t="s">
        <v>266</v>
      </c>
      <c r="S107" s="32" t="s">
        <v>39</v>
      </c>
    </row>
    <row r="108" spans="1:20" hidden="1" x14ac:dyDescent="0.45">
      <c r="A108" s="22"/>
      <c r="B108" s="46" t="s">
        <v>258</v>
      </c>
      <c r="K108" s="23" t="s">
        <v>267</v>
      </c>
      <c r="S108" s="32">
        <v>2031</v>
      </c>
    </row>
    <row r="109" spans="1:20" hidden="1" x14ac:dyDescent="0.45">
      <c r="A109" s="22"/>
      <c r="B109" s="23" t="s">
        <v>259</v>
      </c>
      <c r="K109" s="23" t="s">
        <v>268</v>
      </c>
      <c r="S109" s="32" t="s">
        <v>256</v>
      </c>
    </row>
    <row r="110" spans="1:20" hidden="1" x14ac:dyDescent="0.45">
      <c r="A110" s="22"/>
      <c r="B110" s="23" t="s">
        <v>260</v>
      </c>
      <c r="K110" s="23" t="s">
        <v>269</v>
      </c>
    </row>
    <row r="111" spans="1:20" hidden="1" x14ac:dyDescent="0.45">
      <c r="A111" s="22"/>
      <c r="K111" s="23" t="s">
        <v>270</v>
      </c>
      <c r="R111" s="27"/>
    </row>
    <row r="112" spans="1:20" hidden="1" x14ac:dyDescent="0.45">
      <c r="B112" s="46" t="s">
        <v>222</v>
      </c>
      <c r="P112" s="27"/>
      <c r="Q112" s="27"/>
    </row>
    <row r="113" spans="2:2" hidden="1" x14ac:dyDescent="0.45">
      <c r="B113" s="23" t="s">
        <v>301</v>
      </c>
    </row>
    <row r="114" spans="2:2" hidden="1" x14ac:dyDescent="0.45">
      <c r="B114" s="47" t="s">
        <v>261</v>
      </c>
    </row>
    <row r="115" spans="2:2" hidden="1" x14ac:dyDescent="0.45">
      <c r="B115" s="47" t="s">
        <v>262</v>
      </c>
    </row>
    <row r="116" spans="2:2" hidden="1" x14ac:dyDescent="0.45">
      <c r="B116" s="47"/>
    </row>
    <row r="117" spans="2:2" hidden="1" x14ac:dyDescent="0.45">
      <c r="B117" s="48" t="s">
        <v>263</v>
      </c>
    </row>
    <row r="118" spans="2:2" hidden="1" x14ac:dyDescent="0.45">
      <c r="B118" s="47" t="s">
        <v>264</v>
      </c>
    </row>
    <row r="119" spans="2:2" hidden="1" x14ac:dyDescent="0.45"/>
    <row r="120" spans="2:2" hidden="1" x14ac:dyDescent="0.45"/>
    <row r="121" spans="2:2" hidden="1" x14ac:dyDescent="0.45"/>
    <row r="122" spans="2:2" hidden="1" x14ac:dyDescent="0.45"/>
    <row r="123" spans="2:2" hidden="1" x14ac:dyDescent="0.45"/>
    <row r="124" spans="2:2" hidden="1" x14ac:dyDescent="0.45">
      <c r="B124" s="23" t="s">
        <v>271</v>
      </c>
    </row>
    <row r="125" spans="2:2" hidden="1" x14ac:dyDescent="0.45"/>
    <row r="126" spans="2:2" hidden="1" x14ac:dyDescent="0.45"/>
    <row r="127" spans="2:2" hidden="1" x14ac:dyDescent="0.45">
      <c r="B127" s="23" t="s">
        <v>272</v>
      </c>
    </row>
    <row r="128" spans="2:2" hidden="1" x14ac:dyDescent="0.45">
      <c r="B128" s="23" t="s">
        <v>273</v>
      </c>
    </row>
    <row r="129" spans="2:2" hidden="1" x14ac:dyDescent="0.45"/>
    <row r="130" spans="2:2" hidden="1" x14ac:dyDescent="0.45">
      <c r="B130" s="23" t="s">
        <v>274</v>
      </c>
    </row>
    <row r="131" spans="2:2" hidden="1" x14ac:dyDescent="0.45">
      <c r="B131" s="23" t="s">
        <v>275</v>
      </c>
    </row>
    <row r="132" spans="2:2" hidden="1" x14ac:dyDescent="0.45">
      <c r="B132" s="23" t="s">
        <v>276</v>
      </c>
    </row>
    <row r="133" spans="2:2" hidden="1" x14ac:dyDescent="0.45">
      <c r="B133" s="23" t="s">
        <v>277</v>
      </c>
    </row>
    <row r="134" spans="2:2" hidden="1" x14ac:dyDescent="0.45"/>
    <row r="135" spans="2:2" hidden="1" x14ac:dyDescent="0.45">
      <c r="B135" s="23" t="s">
        <v>278</v>
      </c>
    </row>
    <row r="136" spans="2:2" hidden="1" x14ac:dyDescent="0.45">
      <c r="B136" s="23" t="s">
        <v>279</v>
      </c>
    </row>
    <row r="137" spans="2:2" hidden="1" x14ac:dyDescent="0.45">
      <c r="B137" s="23" t="s">
        <v>280</v>
      </c>
    </row>
    <row r="138" spans="2:2" hidden="1" x14ac:dyDescent="0.45">
      <c r="B138" s="23" t="s">
        <v>281</v>
      </c>
    </row>
    <row r="139" spans="2:2" hidden="1" x14ac:dyDescent="0.45">
      <c r="B139" s="23" t="s">
        <v>282</v>
      </c>
    </row>
    <row r="140" spans="2:2" hidden="1" x14ac:dyDescent="0.45"/>
    <row r="141" spans="2:2" hidden="1" x14ac:dyDescent="0.45"/>
    <row r="142" spans="2:2" hidden="1" x14ac:dyDescent="0.45"/>
    <row r="143" spans="2:2" hidden="1" x14ac:dyDescent="0.45"/>
    <row r="144" spans="2:2" hidden="1" x14ac:dyDescent="0.45"/>
    <row r="145" spans="2:2" hidden="1" x14ac:dyDescent="0.45"/>
    <row r="146" spans="2:2" hidden="1" x14ac:dyDescent="0.45"/>
    <row r="147" spans="2:2" hidden="1" x14ac:dyDescent="0.45"/>
    <row r="148" spans="2:2" hidden="1" x14ac:dyDescent="0.45">
      <c r="B148" s="23" t="s">
        <v>283</v>
      </c>
    </row>
    <row r="149" spans="2:2" hidden="1" x14ac:dyDescent="0.45"/>
    <row r="150" spans="2:2" ht="21" hidden="1" x14ac:dyDescent="0.65">
      <c r="B150" s="49" t="s">
        <v>284</v>
      </c>
    </row>
    <row r="151" spans="2:2" hidden="1" x14ac:dyDescent="0.45"/>
    <row r="152" spans="2:2" hidden="1" x14ac:dyDescent="0.45"/>
    <row r="153" spans="2:2" hidden="1" x14ac:dyDescent="0.45"/>
    <row r="154" spans="2:2" ht="26.65" hidden="1" x14ac:dyDescent="0.85">
      <c r="B154" s="31" t="s">
        <v>290</v>
      </c>
    </row>
    <row r="155" spans="2:2" ht="23.25" x14ac:dyDescent="0.7">
      <c r="B155" s="14" t="s">
        <v>644</v>
      </c>
    </row>
    <row r="156" spans="2:2" x14ac:dyDescent="0.45">
      <c r="B156" s="127"/>
    </row>
    <row r="174" spans="1:2" ht="23.25" x14ac:dyDescent="0.7">
      <c r="A174" s="22"/>
      <c r="B174" s="14" t="s">
        <v>663</v>
      </c>
    </row>
    <row r="175" spans="1:2" x14ac:dyDescent="0.45">
      <c r="A175" s="22"/>
    </row>
    <row r="176" spans="1:2" x14ac:dyDescent="0.45">
      <c r="A176" s="22"/>
    </row>
  </sheetData>
  <mergeCells count="17">
    <mergeCell ref="K22:N23"/>
    <mergeCell ref="J22:J23"/>
    <mergeCell ref="O22:O23"/>
    <mergeCell ref="J19:O19"/>
    <mergeCell ref="B31:G32"/>
    <mergeCell ref="J20:J21"/>
    <mergeCell ref="O20:O21"/>
    <mergeCell ref="C81:F81"/>
    <mergeCell ref="J24:J25"/>
    <mergeCell ref="J26:J27"/>
    <mergeCell ref="J28:J29"/>
    <mergeCell ref="O24:O25"/>
    <mergeCell ref="O26:O27"/>
    <mergeCell ref="O28:O29"/>
    <mergeCell ref="K24:N25"/>
    <mergeCell ref="K26:N27"/>
    <mergeCell ref="K28:N29"/>
  </mergeCells>
  <conditionalFormatting sqref="J22">
    <cfRule type="expression" dxfId="140" priority="126">
      <formula>J22&gt;O22</formula>
    </cfRule>
    <cfRule type="expression" dxfId="139" priority="127">
      <formula>J22&lt;=O22</formula>
    </cfRule>
  </conditionalFormatting>
  <conditionalFormatting sqref="J24 B81:B83">
    <cfRule type="expression" dxfId="138" priority="124">
      <formula>B24&lt;G24</formula>
    </cfRule>
    <cfRule type="expression" dxfId="137" priority="125">
      <formula>B24&gt;=G24</formula>
    </cfRule>
  </conditionalFormatting>
  <conditionalFormatting sqref="J26">
    <cfRule type="expression" dxfId="136" priority="122">
      <formula>J26&lt;O26</formula>
    </cfRule>
    <cfRule type="expression" dxfId="135" priority="123">
      <formula>J26&gt;=O26</formula>
    </cfRule>
  </conditionalFormatting>
  <conditionalFormatting sqref="J28">
    <cfRule type="expression" dxfId="134" priority="120">
      <formula>J28&gt;O28</formula>
    </cfRule>
    <cfRule type="expression" dxfId="133" priority="121">
      <formula>J28&lt;=O28</formula>
    </cfRule>
  </conditionalFormatting>
  <conditionalFormatting sqref="C36:H38 I38 C20:H22">
    <cfRule type="expression" dxfId="132" priority="119">
      <formula>C20&lt;&gt;""</formula>
    </cfRule>
  </conditionalFormatting>
  <conditionalFormatting sqref="C28:H28">
    <cfRule type="expression" dxfId="131" priority="107">
      <formula>ISNUMBER(C21)</formula>
    </cfRule>
  </conditionalFormatting>
  <conditionalFormatting sqref="C20:H22">
    <cfRule type="expression" dxfId="130" priority="140">
      <formula>C$21&lt;&gt;""</formula>
    </cfRule>
  </conditionalFormatting>
  <conditionalFormatting sqref="I35">
    <cfRule type="expression" dxfId="129" priority="141">
      <formula>ROUND(I32,1)&lt;ROUND(I35,1)</formula>
    </cfRule>
    <cfRule type="expression" dxfId="128" priority="142">
      <formula>ROUND(I32,1)&gt;=ROUND(I35,1)</formula>
    </cfRule>
  </conditionalFormatting>
  <conditionalFormatting sqref="C30:H30">
    <cfRule type="expression" dxfId="127" priority="92">
      <formula>ISNUMBER(C$21)</formula>
    </cfRule>
  </conditionalFormatting>
  <conditionalFormatting sqref="C62:H64 L79:Q100 K24 K21:L21 K20:M20 K22 O22 K26 K28 O24 O26 O28">
    <cfRule type="expression" dxfId="126" priority="143">
      <formula>ROUND(#REF!,1)&gt;ROUND(C20,1)</formula>
    </cfRule>
    <cfRule type="expression" dxfId="125" priority="144">
      <formula>ROUND(#REF!,1)&lt;=ROUND(C20,1)</formula>
    </cfRule>
  </conditionalFormatting>
  <conditionalFormatting sqref="B16:AX16">
    <cfRule type="expression" dxfId="124" priority="52">
      <formula>$C$16="Compliant"</formula>
    </cfRule>
    <cfRule type="expression" dxfId="123" priority="93">
      <formula>$C$16="Caution"</formula>
    </cfRule>
    <cfRule type="expression" dxfId="122" priority="94">
      <formula>$C$16="Breach"</formula>
    </cfRule>
    <cfRule type="expression" dxfId="121" priority="95">
      <formula>$C$16="N/A"</formula>
    </cfRule>
  </conditionalFormatting>
  <conditionalFormatting sqref="D11:D15">
    <cfRule type="expression" dxfId="120" priority="58">
      <formula>C11="Caution"</formula>
    </cfRule>
    <cfRule type="expression" dxfId="119" priority="59">
      <formula>C11="Breach"</formula>
    </cfRule>
    <cfRule type="expression" dxfId="118" priority="60">
      <formula>C11="Compliant"</formula>
    </cfRule>
    <cfRule type="expression" dxfId="117" priority="61">
      <formula>AND(C11&lt;&gt;"Compliant", C11&lt;&gt;"Caution", C11&lt;&gt;"Breach")</formula>
    </cfRule>
  </conditionalFormatting>
  <conditionalFormatting sqref="I36:I37">
    <cfRule type="expression" dxfId="116" priority="57">
      <formula>I36&lt;&gt;""</formula>
    </cfRule>
  </conditionalFormatting>
  <conditionalFormatting sqref="I61">
    <cfRule type="expression" dxfId="115" priority="53">
      <formula>ISNUMBER(I$37)</formula>
    </cfRule>
  </conditionalFormatting>
  <conditionalFormatting sqref="K34">
    <cfRule type="expression" dxfId="114" priority="487">
      <formula>ROUND(#REF!,1)&lt;ROUND(K34,1)</formula>
    </cfRule>
    <cfRule type="expression" dxfId="113" priority="488">
      <formula>ROUND(#REF!,1)&gt;=ROUND(K34,1)</formula>
    </cfRule>
  </conditionalFormatting>
  <conditionalFormatting sqref="J60:L60">
    <cfRule type="expression" dxfId="112" priority="534">
      <formula>ISNUMBER(J$36)</formula>
    </cfRule>
  </conditionalFormatting>
  <conditionalFormatting sqref="J34">
    <cfRule type="expression" dxfId="111" priority="586">
      <formula>ROUND(J32,1)&lt;ROUND(J34,1)</formula>
    </cfRule>
    <cfRule type="expression" dxfId="110" priority="587">
      <formula>ROUND(J32,1)&gt;=ROUND(J34,1)</formula>
    </cfRule>
  </conditionalFormatting>
  <conditionalFormatting sqref="D40:L40 D55:L55 D48:L48 D50:L50">
    <cfRule type="expression" dxfId="109" priority="49">
      <formula>ROUND(D39,1)&gt;=ROUND(D40,1)</formula>
    </cfRule>
  </conditionalFormatting>
  <conditionalFormatting sqref="D42:L42 D44:L44 D46:L46 D53:L53 D57:L57 D59:L59">
    <cfRule type="expression" dxfId="108" priority="46">
      <formula>ROUND(D41,1)&lt;=ROUND(D42,1)</formula>
    </cfRule>
  </conditionalFormatting>
  <conditionalFormatting sqref="D61:L61">
    <cfRule type="expression" dxfId="107" priority="1">
      <formula>ROUND(D60,1)&lt;=ROUND(D61,1)</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39" id="{F4A825A6-C682-485B-AAED-B04C19ADE900}">
            <xm:f>'Step 1 - Set global parameters'!B$12</xm:f>
            <x14:dxf>
              <font>
                <color theme="7" tint="-0.24994659260841701"/>
              </font>
            </x14:dxf>
          </x14:cfRule>
          <xm:sqref>C27:H28</xm:sqref>
        </x14:conditionalFormatting>
        <x14:conditionalFormatting xmlns:xm="http://schemas.microsoft.com/office/excel/2006/main">
          <x14:cfRule type="expression" priority="50" id="{D895BA0B-C90F-449F-BE88-F0B0E0478CB1}">
            <xm:f>AND(ROUND(D39,1)&lt;ROUND(D40,1),'Step 1 - Set global parameters'!B$12=TRUE)</xm:f>
            <x14:dxf>
              <font>
                <strike val="0"/>
                <color theme="7" tint="-0.24994659260841701"/>
              </font>
            </x14:dxf>
          </x14:cfRule>
          <x14:cfRule type="expression" priority="51" id="{99C27ECD-2434-4CC7-A87E-74BB134CC6F5}">
            <xm:f>AND(ROUND(D39,1)&lt;ROUND(D40,1),'Step 1 - Set global parameters'!B$12=FALSE)</xm:f>
            <x14:dxf>
              <font>
                <strike val="0"/>
                <color rgb="FFC00000"/>
              </font>
            </x14:dxf>
          </x14:cfRule>
          <xm:sqref>D40:L40 D55:L55 D48:L48 D50:L50</xm:sqref>
        </x14:conditionalFormatting>
        <x14:conditionalFormatting xmlns:xm="http://schemas.microsoft.com/office/excel/2006/main">
          <x14:cfRule type="expression" priority="47" id="{7FEDD692-BADA-4C05-B9E9-6CFFAF3EED47}">
            <xm:f>AND(ROUND(D41,1)&gt;ROUND(D42,1),'Step 1 - Set global parameters'!B$12=TRUE)</xm:f>
            <x14:dxf>
              <font>
                <strike val="0"/>
                <color theme="7" tint="-0.24994659260841701"/>
              </font>
            </x14:dxf>
          </x14:cfRule>
          <x14:cfRule type="expression" priority="48" id="{ABC8EC5E-D081-4FDB-A0EB-3B863F1C4B09}">
            <xm:f>AND(ROUND(D41,1)&gt;ROUND(D42,1),'Step 1 - Set global parameters'!B$12=FALSE)</xm:f>
            <x14:dxf>
              <font>
                <strike val="0"/>
                <color rgb="FFC00000"/>
              </font>
            </x14:dxf>
          </x14:cfRule>
          <xm:sqref>D42:L42 D44:L44 D46:L46 D53:L53 D57:L57 D59:L59</xm:sqref>
        </x14:conditionalFormatting>
        <x14:conditionalFormatting xmlns:xm="http://schemas.microsoft.com/office/excel/2006/main">
          <x14:cfRule type="expression" priority="2" id="{CA0F55F7-2D52-4917-BC86-CC04D630406C}">
            <xm:f>AND(ROUND(D60,1)&gt;ROUND(D61,1),'Step 1 - Set global parameters'!B$12=FALSE)</xm:f>
            <x14:dxf>
              <font>
                <color rgb="FFC00000"/>
              </font>
            </x14:dxf>
          </x14:cfRule>
          <x14:cfRule type="expression" priority="3" id="{C7061373-A33E-4425-9F49-D651E91E2586}">
            <xm:f>AND(ROUND(D60,1)&gt;ROUND(D61,1),'Step 1 - Set global parameters'!B$12=TRUE)</xm:f>
            <x14:dxf>
              <font>
                <color theme="7" tint="-0.24994659260841701"/>
              </font>
            </x14:dxf>
          </x14:cfRule>
          <xm:sqref>D61:L61</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Y76"/>
  <sheetViews>
    <sheetView showGridLines="0" zoomScaleNormal="100" workbookViewId="0"/>
  </sheetViews>
  <sheetFormatPr defaultRowHeight="13.15" x14ac:dyDescent="0.4"/>
  <cols>
    <col min="1" max="1" width="5.140625" customWidth="1"/>
    <col min="2" max="2" width="67.140625" customWidth="1"/>
    <col min="3" max="3" width="12.85546875" bestFit="1" customWidth="1"/>
  </cols>
  <sheetData>
    <row r="1" spans="2:23" ht="23.25" x14ac:dyDescent="0.7">
      <c r="B1" s="14" t="s">
        <v>810</v>
      </c>
      <c r="C1" s="15"/>
    </row>
    <row r="2" spans="2:23" ht="28.5" customHeight="1" x14ac:dyDescent="0.55000000000000004">
      <c r="B2" s="67" t="s">
        <v>841</v>
      </c>
    </row>
    <row r="3" spans="2:23" ht="13.5" customHeight="1" x14ac:dyDescent="0.4">
      <c r="B3" s="187" t="s">
        <v>307</v>
      </c>
      <c r="C3" s="239">
        <v>2023</v>
      </c>
      <c r="O3" s="242"/>
      <c r="P3"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4" spans="2:23" ht="13.5" customHeight="1" x14ac:dyDescent="0.4">
      <c r="B4" s="187" t="s">
        <v>306</v>
      </c>
      <c r="C4" s="239">
        <v>2024</v>
      </c>
      <c r="D4" s="3"/>
    </row>
    <row r="5" spans="2:23" ht="13.5" customHeight="1" x14ac:dyDescent="0.55000000000000004">
      <c r="B5" s="187" t="s">
        <v>308</v>
      </c>
      <c r="C5" s="239">
        <v>4</v>
      </c>
      <c r="D5" s="67"/>
    </row>
    <row r="6" spans="2:23" ht="13.5" customHeight="1" x14ac:dyDescent="0.4">
      <c r="B6" t="s">
        <v>298</v>
      </c>
      <c r="C6" s="239">
        <v>4</v>
      </c>
    </row>
    <row r="7" spans="2:23" ht="13.5" customHeight="1" x14ac:dyDescent="0.6">
      <c r="B7" s="187" t="s">
        <v>354</v>
      </c>
      <c r="C7" s="240" t="b">
        <v>1</v>
      </c>
      <c r="D7" s="67"/>
      <c r="N7" s="11"/>
    </row>
    <row r="8" spans="2:23" ht="13.5" customHeight="1" x14ac:dyDescent="0.4">
      <c r="B8" s="187" t="s">
        <v>377</v>
      </c>
      <c r="C8" s="240" t="b">
        <v>1</v>
      </c>
    </row>
    <row r="9" spans="2:23" ht="13.5" customHeight="1" x14ac:dyDescent="0.4">
      <c r="B9" s="187" t="s">
        <v>920</v>
      </c>
      <c r="C9" s="240" t="b">
        <v>0</v>
      </c>
    </row>
    <row r="10" spans="2:23" ht="13.5" customHeight="1" x14ac:dyDescent="0.4">
      <c r="B10" t="s">
        <v>840</v>
      </c>
      <c r="C10" s="241">
        <v>45473</v>
      </c>
    </row>
    <row r="12" spans="2:23" ht="18" x14ac:dyDescent="0.55000000000000004">
      <c r="B12" s="67" t="s">
        <v>362</v>
      </c>
      <c r="C12" s="15"/>
    </row>
    <row r="13" spans="2:23" ht="15.75" x14ac:dyDescent="0.5">
      <c r="B13" s="99" t="s">
        <v>360</v>
      </c>
      <c r="C13" s="15"/>
      <c r="D13" s="61"/>
      <c r="E13" s="61"/>
      <c r="F13" s="61"/>
      <c r="G13" s="61"/>
      <c r="H13" s="61"/>
      <c r="I13" s="61"/>
      <c r="J13" s="61"/>
      <c r="K13" s="61"/>
      <c r="L13" s="61"/>
      <c r="M13" s="61"/>
      <c r="N13" s="61"/>
      <c r="O13" s="61"/>
      <c r="P13" s="61"/>
      <c r="Q13" s="61"/>
      <c r="R13" s="61"/>
      <c r="S13" s="61"/>
      <c r="T13" s="61"/>
      <c r="U13" s="61"/>
    </row>
    <row r="14" spans="2:23" x14ac:dyDescent="0.4">
      <c r="B14" s="56" t="s">
        <v>295</v>
      </c>
      <c r="C14" s="115"/>
      <c r="D14" s="61" cm="1">
        <f t="array" ref="D14:I14">_xlfn.SEQUENCE(1, MTP_EndYear-MTP_PlanFirstYear+1, MTP_PlanFirstYear)</f>
        <v>2023</v>
      </c>
      <c r="E14" s="61">
        <v>2024</v>
      </c>
      <c r="F14" s="61">
        <v>2025</v>
      </c>
      <c r="G14" s="61">
        <v>2026</v>
      </c>
      <c r="H14" s="61">
        <v>2027</v>
      </c>
      <c r="I14" s="61">
        <v>2028</v>
      </c>
      <c r="J14" s="61"/>
      <c r="K14" s="61"/>
      <c r="L14" s="61"/>
      <c r="M14" s="61"/>
      <c r="N14" s="61"/>
      <c r="O14" s="61"/>
      <c r="P14" s="61"/>
      <c r="Q14" s="61"/>
      <c r="R14" s="61"/>
      <c r="S14" s="61"/>
      <c r="T14" s="61"/>
      <c r="U14" s="61"/>
    </row>
    <row r="15" spans="2:23" x14ac:dyDescent="0.4">
      <c r="B15" s="58" t="s">
        <v>320</v>
      </c>
      <c r="C15" s="20"/>
      <c r="D15" s="64" t="str" cm="1">
        <f t="array" ref="D15:I15">_xlfn.LET(
  _xlpm.n, _xlfn.SEQUENCE(1, MTP_EndYear - MTP_PlanFirstYear + 1, MTP_PlanFirstYear - MTP_YearT),
  CHOOSE(SIGN(_xlpm.n) + 2, "T" &amp; _xlpm.n, "T", "T+" &amp; _xlpm.n)
)</f>
        <v>T-1</v>
      </c>
      <c r="E15" s="64" t="str">
        <v>T</v>
      </c>
      <c r="F15" s="64" t="str">
        <v>T+1</v>
      </c>
      <c r="G15" s="64" t="str">
        <v>T+2</v>
      </c>
      <c r="H15" s="64" t="str">
        <v>T+3</v>
      </c>
      <c r="I15" s="64" t="str">
        <v>T+4</v>
      </c>
      <c r="J15" s="64"/>
      <c r="K15" s="64"/>
      <c r="L15" s="64"/>
      <c r="M15" s="64"/>
      <c r="N15" s="64"/>
      <c r="O15" s="61"/>
      <c r="P15" s="61"/>
      <c r="Q15" s="61"/>
      <c r="R15" s="61"/>
      <c r="S15" s="61"/>
      <c r="T15" s="61"/>
      <c r="U15" s="61"/>
    </row>
    <row r="16" spans="2:23" ht="19.149999999999999" customHeight="1" x14ac:dyDescent="0.4">
      <c r="B16" s="61" t="str">
        <f>"Planned path for net expenditure growth in MTP"&amp;IF(MTP_Council_Endorsed," (endorsed by Council)"," (not yet endorsed by Council)")</f>
        <v>Planned path for net expenditure growth in MTP (endorsed by Council)</v>
      </c>
      <c r="C16" s="61" t="s">
        <v>729</v>
      </c>
      <c r="D16" s="54" t="s">
        <v>799</v>
      </c>
      <c r="E16" s="54">
        <v>9.1</v>
      </c>
      <c r="F16" s="192">
        <v>5.9</v>
      </c>
      <c r="G16" s="192">
        <v>3.6</v>
      </c>
      <c r="H16" s="192">
        <v>3.4</v>
      </c>
      <c r="I16" s="192">
        <v>3.3</v>
      </c>
      <c r="J16" s="54" t="s">
        <v>799</v>
      </c>
      <c r="K16" s="54"/>
      <c r="L16" s="54"/>
      <c r="M16" s="54"/>
      <c r="N16" s="54"/>
      <c r="O16" s="54"/>
      <c r="P16" s="54"/>
      <c r="Q16" s="54"/>
      <c r="R16" s="54"/>
      <c r="S16" s="54"/>
      <c r="T16" s="54"/>
      <c r="U16" s="54"/>
      <c r="V16" s="61"/>
      <c r="W16" s="61"/>
    </row>
    <row r="17" spans="1:23" ht="20.25" customHeight="1" x14ac:dyDescent="0.4">
      <c r="B17" s="72" t="s">
        <v>215</v>
      </c>
      <c r="C17" s="61"/>
      <c r="D17" s="193">
        <v>-2.2000000000000002</v>
      </c>
      <c r="E17" s="193">
        <v>-2.6</v>
      </c>
      <c r="F17" s="193">
        <v>-2.9</v>
      </c>
      <c r="G17" s="193">
        <v>-2.9</v>
      </c>
      <c r="H17" s="193">
        <v>-2.9</v>
      </c>
      <c r="I17" s="193">
        <v>-2.9</v>
      </c>
      <c r="J17" s="193" t="s">
        <v>799</v>
      </c>
      <c r="K17" s="193"/>
      <c r="L17" s="193"/>
      <c r="M17" s="193"/>
      <c r="N17" s="193"/>
      <c r="O17" s="193"/>
      <c r="P17" s="193"/>
      <c r="Q17" s="193"/>
      <c r="R17" s="193"/>
      <c r="S17" s="193"/>
      <c r="T17" s="193"/>
      <c r="U17" s="193"/>
      <c r="V17" s="75"/>
      <c r="W17" s="75"/>
    </row>
    <row r="18" spans="1:23" x14ac:dyDescent="0.4">
      <c r="B18" s="72" t="s">
        <v>0</v>
      </c>
      <c r="C18" s="61"/>
      <c r="D18" s="193">
        <v>-1.8</v>
      </c>
      <c r="E18" s="193">
        <v>-1.9</v>
      </c>
      <c r="F18" s="193">
        <v>-2.5</v>
      </c>
      <c r="G18" s="193">
        <v>-2.6</v>
      </c>
      <c r="H18" s="193">
        <v>-2.7</v>
      </c>
      <c r="I18" s="193">
        <v>-2.7</v>
      </c>
      <c r="J18" s="193" t="s">
        <v>799</v>
      </c>
      <c r="K18" s="193"/>
      <c r="L18" s="193"/>
      <c r="M18" s="193"/>
      <c r="N18" s="193"/>
      <c r="O18" s="193"/>
      <c r="P18" s="193"/>
      <c r="Q18" s="193"/>
      <c r="R18" s="193"/>
      <c r="S18" s="193"/>
      <c r="T18" s="193"/>
      <c r="U18" s="193"/>
      <c r="V18" s="75"/>
      <c r="W18" s="75"/>
    </row>
    <row r="19" spans="1:23" x14ac:dyDescent="0.4">
      <c r="B19" s="72" t="s">
        <v>3</v>
      </c>
      <c r="C19" s="61"/>
      <c r="D19" s="193">
        <v>-1.2</v>
      </c>
      <c r="E19" s="193">
        <v>-0.8</v>
      </c>
      <c r="F19" s="193">
        <v>-1.3</v>
      </c>
      <c r="G19" s="193">
        <v>-1.3</v>
      </c>
      <c r="H19" s="193">
        <v>-1.3</v>
      </c>
      <c r="I19" s="193">
        <v>-1.3</v>
      </c>
      <c r="J19" s="193" t="s">
        <v>799</v>
      </c>
      <c r="K19" s="193"/>
      <c r="L19" s="193"/>
      <c r="M19" s="193"/>
      <c r="N19" s="193"/>
      <c r="O19" s="193"/>
      <c r="P19" s="193"/>
      <c r="Q19" s="193"/>
      <c r="R19" s="193"/>
      <c r="S19" s="193"/>
      <c r="T19" s="193"/>
      <c r="U19" s="193"/>
      <c r="V19" s="75"/>
      <c r="W19" s="75"/>
    </row>
    <row r="20" spans="1:23" x14ac:dyDescent="0.4">
      <c r="B20" s="72" t="s">
        <v>1</v>
      </c>
      <c r="C20" s="61"/>
      <c r="D20" s="193">
        <v>43.6</v>
      </c>
      <c r="E20" s="193">
        <v>45.8</v>
      </c>
      <c r="F20" s="193">
        <v>47.5</v>
      </c>
      <c r="G20" s="193">
        <v>48.5</v>
      </c>
      <c r="H20" s="193">
        <v>49.7</v>
      </c>
      <c r="I20" s="193">
        <v>50.8</v>
      </c>
      <c r="J20" s="193" t="s">
        <v>799</v>
      </c>
      <c r="K20" s="193"/>
      <c r="L20" s="193"/>
      <c r="M20" s="193"/>
      <c r="N20" s="193"/>
      <c r="O20" s="193"/>
      <c r="P20" s="193"/>
      <c r="Q20" s="193"/>
      <c r="R20" s="193"/>
      <c r="S20" s="193"/>
      <c r="T20" s="193"/>
      <c r="U20" s="193"/>
      <c r="V20" s="75"/>
      <c r="W20" s="75"/>
    </row>
    <row r="21" spans="1:23" x14ac:dyDescent="0.4">
      <c r="B21" s="72" t="s">
        <v>2</v>
      </c>
      <c r="C21" s="61"/>
      <c r="D21" s="193">
        <v>1.8</v>
      </c>
      <c r="E21" s="193">
        <v>2.2999999999999998</v>
      </c>
      <c r="F21" s="193">
        <v>1.6</v>
      </c>
      <c r="G21" s="193">
        <v>1.1000000000000001</v>
      </c>
      <c r="H21" s="193">
        <v>1.2</v>
      </c>
      <c r="I21" s="193">
        <v>1.2</v>
      </c>
      <c r="J21" s="193" t="s">
        <v>799</v>
      </c>
      <c r="K21" s="193"/>
      <c r="L21" s="193"/>
      <c r="M21" s="193"/>
      <c r="N21" s="193"/>
      <c r="O21" s="193"/>
      <c r="P21" s="193"/>
      <c r="Q21" s="193"/>
      <c r="R21" s="193"/>
      <c r="S21" s="193"/>
      <c r="T21" s="193"/>
      <c r="U21" s="193"/>
      <c r="V21" s="75"/>
      <c r="W21" s="75"/>
    </row>
    <row r="22" spans="1:23" ht="20.25" customHeight="1" x14ac:dyDescent="0.4">
      <c r="B22" s="72" t="s">
        <v>7</v>
      </c>
      <c r="C22" s="61" t="s">
        <v>728</v>
      </c>
      <c r="D22" s="193">
        <v>-0.3</v>
      </c>
      <c r="E22" s="193">
        <v>1.4</v>
      </c>
      <c r="F22" s="193">
        <v>2.9</v>
      </c>
      <c r="G22" s="193">
        <v>1.6</v>
      </c>
      <c r="H22" s="193">
        <v>1.2</v>
      </c>
      <c r="I22" s="193">
        <v>1.1000000000000001</v>
      </c>
      <c r="J22" s="193" t="s">
        <v>799</v>
      </c>
      <c r="K22" s="193"/>
      <c r="L22" s="193"/>
      <c r="M22" s="193"/>
      <c r="N22" s="193"/>
      <c r="O22" s="193"/>
      <c r="P22" s="193"/>
      <c r="Q22" s="193"/>
      <c r="R22" s="193"/>
      <c r="S22" s="193"/>
      <c r="T22" s="193"/>
      <c r="U22" s="193"/>
      <c r="V22" s="75"/>
      <c r="W22" s="75"/>
    </row>
    <row r="23" spans="1:23" x14ac:dyDescent="0.4">
      <c r="B23" s="72" t="s">
        <v>8</v>
      </c>
      <c r="C23" s="61" t="s">
        <v>728</v>
      </c>
      <c r="D23" s="193">
        <v>5.4</v>
      </c>
      <c r="E23" s="193">
        <v>2.4</v>
      </c>
      <c r="F23" s="193">
        <v>2.5</v>
      </c>
      <c r="G23" s="193">
        <v>2.5</v>
      </c>
      <c r="H23" s="193">
        <v>2.5</v>
      </c>
      <c r="I23" s="193">
        <v>2.5</v>
      </c>
      <c r="J23" s="193" t="s">
        <v>799</v>
      </c>
      <c r="K23" s="193"/>
      <c r="L23" s="193"/>
      <c r="M23" s="193"/>
      <c r="N23" s="193"/>
      <c r="O23" s="193"/>
      <c r="P23" s="193"/>
      <c r="Q23" s="193"/>
      <c r="R23" s="193"/>
      <c r="S23" s="193"/>
      <c r="T23" s="193"/>
      <c r="U23" s="193"/>
      <c r="V23" s="75"/>
      <c r="W23" s="75"/>
    </row>
    <row r="24" spans="1:23" x14ac:dyDescent="0.4">
      <c r="B24" s="72" t="s">
        <v>9</v>
      </c>
      <c r="C24" s="61" t="s">
        <v>728</v>
      </c>
      <c r="D24" s="193">
        <v>5.0999999999999996</v>
      </c>
      <c r="E24" s="193">
        <v>3.8</v>
      </c>
      <c r="F24" s="193">
        <v>5.5</v>
      </c>
      <c r="G24" s="193">
        <v>4.0999999999999996</v>
      </c>
      <c r="H24" s="193">
        <v>3.7</v>
      </c>
      <c r="I24" s="193">
        <v>3.6</v>
      </c>
      <c r="J24" s="193" t="s">
        <v>799</v>
      </c>
      <c r="K24" s="193"/>
      <c r="L24" s="193"/>
      <c r="M24" s="193"/>
      <c r="N24" s="193"/>
      <c r="O24" s="193"/>
      <c r="P24" s="193"/>
      <c r="Q24" s="193"/>
      <c r="R24" s="193"/>
      <c r="S24" s="193"/>
      <c r="T24" s="193"/>
      <c r="U24" s="193"/>
      <c r="V24" s="75"/>
      <c r="W24" s="75"/>
    </row>
    <row r="25" spans="1:23" x14ac:dyDescent="0.4">
      <c r="B25" s="72" t="s">
        <v>321</v>
      </c>
      <c r="C25" s="61" t="s">
        <v>728</v>
      </c>
      <c r="D25" s="54">
        <v>2.2999999999999998</v>
      </c>
      <c r="E25" s="54">
        <v>2.2000000000000002</v>
      </c>
      <c r="F25" s="54">
        <v>2.1</v>
      </c>
      <c r="G25" s="54">
        <v>1.2</v>
      </c>
      <c r="H25" s="54">
        <v>0.9</v>
      </c>
      <c r="I25" s="54">
        <v>0.9</v>
      </c>
      <c r="J25" s="54" t="s">
        <v>799</v>
      </c>
      <c r="K25" s="54"/>
      <c r="L25" s="54"/>
      <c r="M25" s="54"/>
      <c r="N25" s="54"/>
      <c r="O25" s="54"/>
      <c r="P25" s="54"/>
      <c r="Q25" s="54"/>
      <c r="R25" s="54"/>
      <c r="S25" s="54"/>
      <c r="T25" s="54"/>
      <c r="U25" s="54"/>
      <c r="V25" s="61"/>
      <c r="W25" s="61"/>
    </row>
    <row r="26" spans="1:23" x14ac:dyDescent="0.4">
      <c r="B26" s="72" t="s">
        <v>98</v>
      </c>
      <c r="C26" s="72" t="s">
        <v>689</v>
      </c>
      <c r="D26" s="192">
        <v>-1</v>
      </c>
      <c r="E26" s="192">
        <v>-1.8</v>
      </c>
      <c r="F26" s="192">
        <v>-1</v>
      </c>
      <c r="G26" s="192">
        <v>-0.7</v>
      </c>
      <c r="H26" s="192">
        <v>-0.5</v>
      </c>
      <c r="I26" s="192">
        <v>-0.4</v>
      </c>
      <c r="J26" s="192" t="s">
        <v>799</v>
      </c>
      <c r="K26" s="192"/>
      <c r="L26" s="192"/>
      <c r="M26" s="192"/>
      <c r="N26" s="192"/>
      <c r="O26" s="192"/>
      <c r="P26" s="192"/>
      <c r="Q26" s="192"/>
      <c r="R26" s="192"/>
      <c r="S26" s="192"/>
      <c r="T26" s="192"/>
      <c r="U26" s="192"/>
      <c r="V26" s="65"/>
      <c r="W26" s="65"/>
    </row>
    <row r="27" spans="1:23" ht="19.149999999999999" customHeight="1" x14ac:dyDescent="0.4">
      <c r="B27" s="72" t="s">
        <v>855</v>
      </c>
      <c r="C27" s="72"/>
      <c r="D27" s="192"/>
      <c r="E27" s="192"/>
      <c r="F27" s="192"/>
      <c r="G27" s="192"/>
      <c r="H27" s="192"/>
      <c r="I27" s="192"/>
      <c r="J27" s="192"/>
      <c r="K27" s="192"/>
      <c r="L27" s="192"/>
      <c r="M27" s="192"/>
      <c r="N27" s="192"/>
      <c r="O27" s="192"/>
      <c r="P27" s="192"/>
      <c r="Q27" s="192"/>
      <c r="R27" s="192"/>
      <c r="S27" s="192"/>
      <c r="T27" s="192"/>
      <c r="U27" s="192"/>
      <c r="V27" s="65"/>
      <c r="W27" s="65"/>
    </row>
    <row r="28" spans="1:23" x14ac:dyDescent="0.4">
      <c r="B28" s="211" t="s">
        <v>31</v>
      </c>
      <c r="C28" s="61" t="s">
        <v>6</v>
      </c>
      <c r="D28" s="197"/>
      <c r="E28" s="197"/>
      <c r="F28" s="197"/>
      <c r="G28" s="197"/>
      <c r="H28" s="197"/>
      <c r="I28" s="197"/>
      <c r="J28" s="210"/>
      <c r="K28" s="54"/>
      <c r="L28" s="54"/>
      <c r="M28" s="54"/>
      <c r="N28" s="54"/>
      <c r="O28" s="54"/>
    </row>
    <row r="29" spans="1:23" x14ac:dyDescent="0.4">
      <c r="B29" s="212" t="s">
        <v>685</v>
      </c>
      <c r="C29" s="80" t="s">
        <v>730</v>
      </c>
      <c r="D29" s="192"/>
      <c r="E29" s="192"/>
      <c r="F29" s="192"/>
      <c r="G29" s="192"/>
      <c r="H29" s="192"/>
      <c r="I29" s="192"/>
      <c r="J29" s="192"/>
      <c r="K29" s="192"/>
      <c r="L29" s="192"/>
      <c r="M29" s="192"/>
      <c r="N29" s="192"/>
      <c r="O29" s="192"/>
      <c r="P29" s="192"/>
      <c r="Q29" s="192"/>
      <c r="R29" s="192"/>
      <c r="S29" s="192"/>
      <c r="T29" s="192"/>
      <c r="U29" s="192"/>
      <c r="V29" s="65"/>
      <c r="W29" s="65"/>
    </row>
    <row r="30" spans="1:23" x14ac:dyDescent="0.4">
      <c r="B30" s="72"/>
      <c r="C30" s="72"/>
      <c r="D30" s="65"/>
      <c r="E30" s="65"/>
      <c r="F30" s="65"/>
      <c r="G30" s="65"/>
      <c r="H30" s="65"/>
      <c r="I30" s="65"/>
      <c r="J30" s="65"/>
      <c r="K30" s="65"/>
      <c r="L30" s="65"/>
      <c r="M30" s="65"/>
      <c r="N30" s="65"/>
      <c r="O30" s="65"/>
      <c r="P30" s="65"/>
      <c r="Q30" s="65"/>
      <c r="R30" s="65"/>
      <c r="S30" s="65"/>
      <c r="T30" s="65"/>
      <c r="U30" s="65"/>
      <c r="V30" s="65"/>
      <c r="W30" s="65"/>
    </row>
    <row r="31" spans="1:23" s="15" customFormat="1" x14ac:dyDescent="0.4">
      <c r="A31"/>
      <c r="B31" s="56" t="s">
        <v>295</v>
      </c>
      <c r="C31" s="56"/>
      <c r="D31" s="61" cm="1">
        <f t="array" ref="D31:S31">_xlfn.SEQUENCE(1, MTP_YearT + MTP_PlanningHorizon + 10 - MTP_PlanFirstYear + 1, MTP_PlanFirstYear)</f>
        <v>2023</v>
      </c>
      <c r="E31" s="79">
        <v>2024</v>
      </c>
      <c r="F31" s="79">
        <v>2025</v>
      </c>
      <c r="G31" s="79">
        <v>2026</v>
      </c>
      <c r="H31" s="79">
        <v>2027</v>
      </c>
      <c r="I31" s="79">
        <v>2028</v>
      </c>
      <c r="J31" s="79">
        <v>2029</v>
      </c>
      <c r="K31" s="79">
        <v>2030</v>
      </c>
      <c r="L31" s="79">
        <v>2031</v>
      </c>
      <c r="M31" s="79">
        <v>2032</v>
      </c>
      <c r="N31" s="79">
        <v>2033</v>
      </c>
      <c r="O31" s="79">
        <v>2034</v>
      </c>
      <c r="P31" s="79">
        <v>2035</v>
      </c>
      <c r="Q31" s="79">
        <v>2036</v>
      </c>
      <c r="R31" s="79">
        <v>2037</v>
      </c>
      <c r="S31" s="79">
        <v>2038</v>
      </c>
      <c r="T31" s="79"/>
      <c r="U31" s="79"/>
      <c r="V31" s="79"/>
      <c r="W31" s="79"/>
    </row>
    <row r="32" spans="1:23" s="15" customFormat="1" x14ac:dyDescent="0.4">
      <c r="A32"/>
      <c r="B32" s="58" t="s">
        <v>320</v>
      </c>
      <c r="C32" s="20"/>
      <c r="D32" s="64" t="str" cm="1">
        <f t="array" ref="D32:I32">_xlfn.LET(
  _xlpm.n, _xlfn.SEQUENCE(1, MTP_EndYear - MTP_PlanFirstYear + 1, MTP_PlanFirstYear - MTP_YearT),
  CHOOSE(SIGN(_xlpm.n) + 2, "T" &amp; _xlpm.n, "T", "T+" &amp; _xlpm.n)
)</f>
        <v>T-1</v>
      </c>
      <c r="E32" s="64" t="str">
        <v>T</v>
      </c>
      <c r="F32" s="64" t="str">
        <v>T+1</v>
      </c>
      <c r="G32" s="64" t="str">
        <v>T+2</v>
      </c>
      <c r="H32" s="64" t="str">
        <v>T+3</v>
      </c>
      <c r="I32" s="64" t="str">
        <v>T+4</v>
      </c>
      <c r="J32" s="64"/>
      <c r="K32" s="64"/>
      <c r="L32" s="64"/>
      <c r="M32" s="64"/>
      <c r="N32" s="64"/>
      <c r="O32" s="64"/>
      <c r="P32" s="64"/>
      <c r="Q32" s="64" t="s">
        <v>799</v>
      </c>
      <c r="R32" s="64" t="s">
        <v>799</v>
      </c>
      <c r="S32" s="64" t="s">
        <v>799</v>
      </c>
      <c r="T32" s="64" t="s">
        <v>799</v>
      </c>
      <c r="U32" s="64" t="s">
        <v>799</v>
      </c>
      <c r="V32" s="64" t="s">
        <v>799</v>
      </c>
      <c r="W32" s="64" t="s">
        <v>799</v>
      </c>
    </row>
    <row r="33" spans="1:25" x14ac:dyDescent="0.4">
      <c r="B33" s="72" t="str">
        <f>"Main budgetary variables under the planned fiscal path ("&amp;AdjustmentPeriod&amp;"-year adjustment period)"</f>
        <v>Main budgetary variables under the planned fiscal path (4-year adjustment period)</v>
      </c>
      <c r="C33" s="15"/>
      <c r="D33" s="54"/>
      <c r="E33" s="54"/>
      <c r="F33" s="54"/>
      <c r="G33" s="54"/>
      <c r="H33" s="54"/>
      <c r="I33" s="54"/>
      <c r="J33" s="54"/>
      <c r="K33" s="54"/>
      <c r="L33" s="54"/>
      <c r="M33" s="54"/>
      <c r="N33" s="54"/>
      <c r="O33" s="54"/>
      <c r="P33" s="54"/>
      <c r="Q33" s="54"/>
      <c r="R33" s="54"/>
      <c r="S33" s="54"/>
      <c r="T33" s="54"/>
      <c r="U33" s="54"/>
      <c r="V33" s="54"/>
      <c r="W33" s="54"/>
      <c r="X33" s="54"/>
      <c r="Y33" s="54"/>
    </row>
    <row r="34" spans="1:25" x14ac:dyDescent="0.4">
      <c r="B34" s="63" t="s">
        <v>361</v>
      </c>
      <c r="C34" s="15"/>
      <c r="D34" s="194"/>
      <c r="E34" s="194"/>
      <c r="F34" s="194"/>
      <c r="G34" s="194"/>
      <c r="H34" s="194"/>
      <c r="I34" s="194"/>
      <c r="J34" s="194"/>
      <c r="K34" s="194"/>
      <c r="L34" s="194"/>
      <c r="M34" s="194"/>
      <c r="N34" s="194"/>
      <c r="O34" s="194"/>
      <c r="P34" s="194"/>
      <c r="Q34" s="194"/>
      <c r="R34" s="194"/>
      <c r="S34" s="194"/>
      <c r="T34" s="194"/>
      <c r="U34" s="194"/>
      <c r="V34" s="194"/>
      <c r="W34" s="194"/>
      <c r="X34" s="54"/>
      <c r="Y34" s="54"/>
    </row>
    <row r="35" spans="1:25" x14ac:dyDescent="0.4">
      <c r="B35" s="63" t="s">
        <v>215</v>
      </c>
      <c r="C35" s="15"/>
      <c r="D35" s="194">
        <v>-2.2000000000000002</v>
      </c>
      <c r="E35" s="194">
        <v>-2.6</v>
      </c>
      <c r="F35" s="194">
        <v>-2.9</v>
      </c>
      <c r="G35" s="194">
        <v>-2.9</v>
      </c>
      <c r="H35" s="194">
        <v>-2.9</v>
      </c>
      <c r="I35" s="194">
        <v>-2.9</v>
      </c>
      <c r="J35" s="194">
        <v>-2.9</v>
      </c>
      <c r="K35" s="194">
        <v>-2.9</v>
      </c>
      <c r="L35" s="194">
        <v>-2.9</v>
      </c>
      <c r="M35" s="194">
        <v>-3</v>
      </c>
      <c r="N35" s="194">
        <v>-3</v>
      </c>
      <c r="O35" s="194">
        <v>-3</v>
      </c>
      <c r="P35" s="194">
        <v>-3</v>
      </c>
      <c r="Q35" s="194">
        <v>-3</v>
      </c>
      <c r="R35" s="194">
        <v>-3</v>
      </c>
      <c r="S35" s="194">
        <v>-2.9</v>
      </c>
      <c r="T35" s="194" t="s">
        <v>799</v>
      </c>
      <c r="U35" s="194" t="s">
        <v>799</v>
      </c>
      <c r="V35" s="194" t="s">
        <v>799</v>
      </c>
      <c r="W35" s="194" t="s">
        <v>799</v>
      </c>
      <c r="X35" s="54"/>
      <c r="Y35" s="54"/>
    </row>
    <row r="36" spans="1:25" x14ac:dyDescent="0.4">
      <c r="B36" s="63" t="s">
        <v>0</v>
      </c>
      <c r="C36" s="15"/>
      <c r="D36" s="194"/>
      <c r="E36" s="194"/>
      <c r="F36" s="194"/>
      <c r="G36" s="194"/>
      <c r="H36" s="194"/>
      <c r="I36" s="194"/>
      <c r="J36" s="194"/>
      <c r="K36" s="194"/>
      <c r="L36" s="194"/>
      <c r="M36" s="194"/>
      <c r="N36" s="194"/>
      <c r="O36" s="194"/>
      <c r="P36" s="194"/>
      <c r="Q36" s="194"/>
      <c r="R36" s="194"/>
      <c r="S36" s="194"/>
      <c r="T36" s="194"/>
      <c r="U36" s="194"/>
      <c r="V36" s="194"/>
      <c r="W36" s="194"/>
      <c r="X36" s="54"/>
      <c r="Y36" s="54"/>
    </row>
    <row r="37" spans="1:25" x14ac:dyDescent="0.4">
      <c r="B37" s="63" t="s">
        <v>3</v>
      </c>
      <c r="C37" s="15"/>
      <c r="D37" s="194"/>
      <c r="E37" s="194"/>
      <c r="F37" s="194"/>
      <c r="G37" s="194"/>
      <c r="H37" s="194"/>
      <c r="I37" s="194"/>
      <c r="J37" s="194"/>
      <c r="K37" s="194"/>
      <c r="L37" s="194"/>
      <c r="M37" s="194"/>
      <c r="N37" s="194"/>
      <c r="O37" s="194"/>
      <c r="P37" s="194"/>
      <c r="Q37" s="194"/>
      <c r="R37" s="194"/>
      <c r="S37" s="194"/>
      <c r="T37" s="194" t="s">
        <v>799</v>
      </c>
      <c r="U37" s="194" t="s">
        <v>799</v>
      </c>
      <c r="V37" s="194" t="s">
        <v>799</v>
      </c>
      <c r="W37" s="194" t="s">
        <v>799</v>
      </c>
      <c r="X37" s="54"/>
      <c r="Y37" s="54"/>
    </row>
    <row r="38" spans="1:25" s="15" customFormat="1" x14ac:dyDescent="0.4">
      <c r="A38"/>
      <c r="B38" s="63" t="s">
        <v>1</v>
      </c>
      <c r="D38" s="194">
        <v>43.6</v>
      </c>
      <c r="E38" s="194">
        <v>45.8</v>
      </c>
      <c r="F38" s="194">
        <v>47.5</v>
      </c>
      <c r="G38" s="194">
        <v>48.5</v>
      </c>
      <c r="H38" s="194">
        <v>49.7</v>
      </c>
      <c r="I38" s="194">
        <v>50.8</v>
      </c>
      <c r="J38" s="194">
        <v>51.9</v>
      </c>
      <c r="K38" s="194">
        <v>53</v>
      </c>
      <c r="L38" s="194">
        <v>53.9</v>
      </c>
      <c r="M38" s="194">
        <v>54.9</v>
      </c>
      <c r="N38" s="194">
        <v>55.9</v>
      </c>
      <c r="O38" s="194">
        <v>56.8</v>
      </c>
      <c r="P38" s="194">
        <v>57.7</v>
      </c>
      <c r="Q38" s="194">
        <v>58.5</v>
      </c>
      <c r="R38" s="194">
        <v>59.2</v>
      </c>
      <c r="S38" s="194">
        <v>59.9</v>
      </c>
      <c r="T38" s="194" t="s">
        <v>799</v>
      </c>
      <c r="U38" s="194" t="s">
        <v>799</v>
      </c>
      <c r="V38" s="194" t="s">
        <v>799</v>
      </c>
      <c r="W38" s="194" t="s">
        <v>799</v>
      </c>
      <c r="X38" s="54"/>
      <c r="Y38" s="54"/>
    </row>
    <row r="39" spans="1:25" ht="20.65" customHeight="1" x14ac:dyDescent="0.4">
      <c r="B39" s="72" t="s">
        <v>365</v>
      </c>
      <c r="C39" s="15"/>
      <c r="D39" s="192"/>
      <c r="E39" s="192"/>
      <c r="F39" s="192"/>
      <c r="G39" s="192"/>
      <c r="H39" s="192"/>
      <c r="I39" s="192"/>
      <c r="J39" s="192"/>
      <c r="K39" s="192"/>
      <c r="L39" s="192"/>
      <c r="M39" s="192"/>
      <c r="N39" s="192"/>
      <c r="O39" s="192"/>
      <c r="P39" s="192"/>
      <c r="Q39" s="192"/>
      <c r="R39" s="192"/>
      <c r="S39" s="192"/>
      <c r="T39" s="192"/>
      <c r="U39" s="192"/>
      <c r="V39" s="192"/>
      <c r="W39" s="192"/>
      <c r="X39" s="54"/>
      <c r="Y39" s="54"/>
    </row>
    <row r="40" spans="1:25" s="15" customFormat="1" x14ac:dyDescent="0.4">
      <c r="A40"/>
      <c r="B40" s="63" t="s">
        <v>333</v>
      </c>
      <c r="D40" s="194"/>
      <c r="E40" s="194"/>
      <c r="F40" s="194"/>
      <c r="G40" s="194"/>
      <c r="H40" s="194"/>
      <c r="I40" s="194"/>
      <c r="J40" s="194"/>
      <c r="K40" s="194"/>
      <c r="L40" s="194"/>
      <c r="M40" s="194"/>
      <c r="N40" s="194"/>
      <c r="O40" s="194"/>
      <c r="P40" s="194"/>
      <c r="Q40" s="194"/>
      <c r="R40" s="194"/>
      <c r="S40" s="194"/>
      <c r="T40" s="194" t="s">
        <v>799</v>
      </c>
      <c r="U40" s="194" t="s">
        <v>799</v>
      </c>
      <c r="V40" s="194" t="s">
        <v>799</v>
      </c>
      <c r="W40" s="194" t="s">
        <v>799</v>
      </c>
      <c r="X40" s="54"/>
      <c r="Y40" s="54"/>
    </row>
    <row r="41" spans="1:25" s="15" customFormat="1" x14ac:dyDescent="0.4">
      <c r="A41"/>
      <c r="B41" s="63" t="s">
        <v>335</v>
      </c>
      <c r="D41" s="194"/>
      <c r="E41" s="194"/>
      <c r="F41" s="194"/>
      <c r="G41" s="194"/>
      <c r="H41" s="194"/>
      <c r="I41" s="194"/>
      <c r="J41" s="194"/>
      <c r="K41" s="194"/>
      <c r="L41" s="194"/>
      <c r="M41" s="194"/>
      <c r="N41" s="194"/>
      <c r="O41" s="194"/>
      <c r="P41" s="194"/>
      <c r="Q41" s="194"/>
      <c r="R41" s="194"/>
      <c r="S41" s="194"/>
      <c r="T41" s="194" t="s">
        <v>799</v>
      </c>
      <c r="U41" s="194" t="s">
        <v>799</v>
      </c>
      <c r="V41" s="194" t="s">
        <v>799</v>
      </c>
      <c r="W41" s="194" t="s">
        <v>799</v>
      </c>
      <c r="X41" s="54"/>
      <c r="Y41" s="54"/>
    </row>
    <row r="42" spans="1:25" s="15" customFormat="1" x14ac:dyDescent="0.4">
      <c r="A42"/>
      <c r="B42" s="63" t="s">
        <v>336</v>
      </c>
      <c r="D42" s="194"/>
      <c r="E42" s="194"/>
      <c r="F42" s="194"/>
      <c r="G42" s="194"/>
      <c r="H42" s="194"/>
      <c r="I42" s="194"/>
      <c r="J42" s="194"/>
      <c r="K42" s="194"/>
      <c r="L42" s="194"/>
      <c r="M42" s="194"/>
      <c r="N42" s="194"/>
      <c r="O42" s="194"/>
      <c r="P42" s="194"/>
      <c r="Q42" s="194"/>
      <c r="R42" s="194"/>
      <c r="S42" s="194"/>
      <c r="T42" s="194" t="s">
        <v>799</v>
      </c>
      <c r="U42" s="194" t="s">
        <v>799</v>
      </c>
      <c r="V42" s="194" t="s">
        <v>799</v>
      </c>
      <c r="W42" s="194" t="s">
        <v>799</v>
      </c>
      <c r="X42" s="54"/>
      <c r="Y42" s="54"/>
    </row>
    <row r="43" spans="1:25" s="15" customFormat="1" x14ac:dyDescent="0.4">
      <c r="A43"/>
      <c r="B43" s="63" t="s">
        <v>337</v>
      </c>
      <c r="D43" s="194"/>
      <c r="E43" s="194"/>
      <c r="F43" s="194"/>
      <c r="G43" s="194"/>
      <c r="H43" s="194"/>
      <c r="I43" s="194"/>
      <c r="J43" s="194"/>
      <c r="K43" s="194"/>
      <c r="L43" s="194"/>
      <c r="M43" s="194"/>
      <c r="N43" s="194"/>
      <c r="O43" s="194"/>
      <c r="P43" s="194"/>
      <c r="Q43" s="194"/>
      <c r="R43" s="194"/>
      <c r="S43" s="194"/>
      <c r="T43" s="194" t="s">
        <v>799</v>
      </c>
      <c r="U43" s="194" t="s">
        <v>799</v>
      </c>
      <c r="V43" s="194" t="s">
        <v>799</v>
      </c>
      <c r="W43" s="194" t="s">
        <v>799</v>
      </c>
      <c r="X43" s="54"/>
      <c r="Y43" s="54"/>
    </row>
    <row r="44" spans="1:25" s="15" customFormat="1" ht="12.4" customHeight="1" x14ac:dyDescent="0.4">
      <c r="A44"/>
      <c r="B44" s="80" t="s">
        <v>405</v>
      </c>
      <c r="C44" s="20"/>
      <c r="D44" s="142"/>
      <c r="E44" s="192"/>
      <c r="F44" s="192"/>
      <c r="G44" s="192"/>
      <c r="H44" s="192"/>
      <c r="I44" s="192"/>
      <c r="J44" s="192"/>
      <c r="K44" s="192"/>
      <c r="L44" s="192"/>
      <c r="M44" s="192"/>
      <c r="N44" s="192"/>
      <c r="O44" s="192"/>
      <c r="P44" s="192"/>
      <c r="Q44" s="192"/>
      <c r="R44" s="192"/>
      <c r="S44" s="192"/>
      <c r="T44" s="192"/>
      <c r="U44" s="192"/>
      <c r="V44" s="192"/>
      <c r="W44" s="192"/>
      <c r="X44" s="54"/>
      <c r="Y44" s="54"/>
    </row>
    <row r="45" spans="1:25" x14ac:dyDescent="0.4">
      <c r="B45" s="72"/>
      <c r="C45" s="15"/>
      <c r="D45" s="65"/>
      <c r="E45" s="65"/>
      <c r="F45" s="65"/>
      <c r="G45" s="65"/>
      <c r="H45" s="65"/>
      <c r="I45" s="65"/>
      <c r="J45" s="65"/>
      <c r="K45" s="65"/>
      <c r="L45" s="65"/>
      <c r="M45" s="65"/>
      <c r="N45" s="65"/>
      <c r="O45" s="65"/>
      <c r="P45" s="65"/>
      <c r="Q45" s="65"/>
      <c r="R45" s="65"/>
      <c r="S45" s="65"/>
      <c r="T45" s="65"/>
      <c r="U45" s="65"/>
      <c r="V45" s="65"/>
      <c r="W45" s="65"/>
    </row>
    <row r="46" spans="1:25" ht="18" x14ac:dyDescent="0.55000000000000004">
      <c r="B46" s="67" t="str">
        <f>IF(Receives_reference_trajectory,"Prior guidance: reference trajectory and DSA","Prior guidance: technical information and DSA")</f>
        <v>Prior guidance: technical information and DSA</v>
      </c>
      <c r="D46" s="65"/>
      <c r="E46" s="65"/>
      <c r="F46" s="65"/>
      <c r="G46" s="65"/>
      <c r="H46" s="65"/>
      <c r="I46" s="65"/>
    </row>
    <row r="47" spans="1:25" ht="15.75" x14ac:dyDescent="0.5">
      <c r="B47" s="99" t="s">
        <v>360</v>
      </c>
      <c r="C47" s="15"/>
      <c r="D47" s="65"/>
      <c r="E47" s="65"/>
      <c r="F47" s="65"/>
      <c r="G47" s="65"/>
      <c r="H47" s="65"/>
      <c r="I47" s="65"/>
    </row>
    <row r="48" spans="1:25" s="15" customFormat="1" x14ac:dyDescent="0.4">
      <c r="A48"/>
      <c r="B48" s="56" t="s">
        <v>295</v>
      </c>
      <c r="C48" s="115"/>
      <c r="D48" s="61" cm="1">
        <f t="array" ref="D48:S48">_xlfn.SEQUENCE(1, MTP_YearT + MTP_PlanningHorizon + 10 - MTP_PlanFirstYear + 1, MTP_PlanFirstYear)</f>
        <v>2023</v>
      </c>
      <c r="E48" s="79">
        <v>2024</v>
      </c>
      <c r="F48" s="79">
        <v>2025</v>
      </c>
      <c r="G48" s="79">
        <v>2026</v>
      </c>
      <c r="H48" s="79">
        <v>2027</v>
      </c>
      <c r="I48" s="79">
        <v>2028</v>
      </c>
      <c r="J48" s="79">
        <v>2029</v>
      </c>
      <c r="K48" s="79">
        <v>2030</v>
      </c>
      <c r="L48" s="79">
        <v>2031</v>
      </c>
      <c r="M48" s="79">
        <v>2032</v>
      </c>
      <c r="N48" s="79">
        <v>2033</v>
      </c>
      <c r="O48" s="79">
        <v>2034</v>
      </c>
      <c r="P48" s="79">
        <v>2035</v>
      </c>
      <c r="Q48" s="79">
        <v>2036</v>
      </c>
      <c r="R48" s="79">
        <v>2037</v>
      </c>
      <c r="S48" s="79">
        <v>2038</v>
      </c>
      <c r="T48" s="79"/>
      <c r="U48" s="79"/>
      <c r="V48" s="79"/>
      <c r="W48" s="79"/>
    </row>
    <row r="49" spans="1:24" s="15" customFormat="1" x14ac:dyDescent="0.4">
      <c r="A49"/>
      <c r="B49" s="58" t="s">
        <v>320</v>
      </c>
      <c r="C49" s="20"/>
      <c r="D49" s="64" t="str" cm="1">
        <f t="array" ref="D49:I49">_xlfn.LET(
  _xlpm.n, _xlfn.SEQUENCE(1, MTP_EndYear - MTP_PlanFirstYear + 1, MTP_PlanFirstYear - MTP_YearT),
  CHOOSE(SIGN(_xlpm.n) + 2, "T" &amp; _xlpm.n, "T", "T+" &amp; _xlpm.n)
)</f>
        <v>T-1</v>
      </c>
      <c r="E49" s="64" t="str">
        <v>T</v>
      </c>
      <c r="F49" s="64" t="str">
        <v>T+1</v>
      </c>
      <c r="G49" s="64" t="str">
        <v>T+2</v>
      </c>
      <c r="H49" s="64" t="str">
        <v>T+3</v>
      </c>
      <c r="I49" s="64" t="str">
        <v>T+4</v>
      </c>
      <c r="J49" s="64"/>
      <c r="K49" s="64"/>
      <c r="L49" s="64"/>
      <c r="M49" s="64"/>
      <c r="N49" s="64"/>
      <c r="O49" s="64"/>
      <c r="P49" s="64"/>
      <c r="Q49" s="64"/>
      <c r="R49" s="64"/>
      <c r="S49" s="64"/>
      <c r="T49" s="64"/>
      <c r="U49" s="64"/>
      <c r="V49" s="64"/>
      <c r="W49" s="64"/>
    </row>
    <row r="50" spans="1:24" s="15" customFormat="1" x14ac:dyDescent="0.4">
      <c r="A50"/>
      <c r="B50" s="72" t="str">
        <f>"Reference trajectory provided by the Commission"&amp;IF(NOT(Receives_reference_trajectory)," (not applicable)","")</f>
        <v>Reference trajectory provided by the Commission (not applicable)</v>
      </c>
      <c r="D50" s="195" t="s">
        <v>799</v>
      </c>
      <c r="E50" s="195" t="s">
        <v>799</v>
      </c>
      <c r="F50" s="195" t="s">
        <v>799</v>
      </c>
      <c r="G50" s="195" t="s">
        <v>799</v>
      </c>
      <c r="H50" s="195" t="s">
        <v>799</v>
      </c>
      <c r="I50" s="195" t="s">
        <v>799</v>
      </c>
      <c r="J50" s="195" t="s">
        <v>799</v>
      </c>
      <c r="K50" s="195" t="s">
        <v>799</v>
      </c>
      <c r="L50" s="195" t="s">
        <v>799</v>
      </c>
      <c r="M50" s="195" t="s">
        <v>799</v>
      </c>
      <c r="N50" s="195" t="s">
        <v>799</v>
      </c>
      <c r="O50" s="195" t="s">
        <v>799</v>
      </c>
      <c r="P50" s="195" t="s">
        <v>799</v>
      </c>
      <c r="Q50" s="195" t="s">
        <v>799</v>
      </c>
      <c r="R50" s="195" t="s">
        <v>799</v>
      </c>
      <c r="S50" s="195" t="s">
        <v>799</v>
      </c>
      <c r="T50" s="195" t="s">
        <v>799</v>
      </c>
      <c r="U50" s="195" t="s">
        <v>799</v>
      </c>
      <c r="V50" s="195" t="s">
        <v>799</v>
      </c>
      <c r="W50" s="195" t="s">
        <v>799</v>
      </c>
      <c r="X50" s="104"/>
    </row>
    <row r="51" spans="1:24" s="15" customFormat="1" ht="16.899999999999999" customHeight="1" x14ac:dyDescent="0.4">
      <c r="A51"/>
      <c r="B51" s="72" t="str">
        <f>"Minimum level for the structural primary balance in "&amp;AdjustmentPeriodEnd&amp;IF(Receives_reference_trajectory," (not applicable)","")&amp;", no safeguard"</f>
        <v>Minimum level for the structural primary balance in 2028, no safeguard</v>
      </c>
      <c r="D51" s="194" t="s">
        <v>799</v>
      </c>
      <c r="E51" s="194" t="s">
        <v>799</v>
      </c>
      <c r="F51" s="194" t="s">
        <v>799</v>
      </c>
      <c r="G51" s="194" t="s">
        <v>799</v>
      </c>
      <c r="H51" s="194" t="s">
        <v>799</v>
      </c>
      <c r="I51" s="194">
        <v>-1.3</v>
      </c>
      <c r="J51" s="194" t="s">
        <v>799</v>
      </c>
      <c r="K51" s="194" t="s">
        <v>799</v>
      </c>
      <c r="L51" s="194" t="s">
        <v>799</v>
      </c>
      <c r="M51" s="194" t="s">
        <v>799</v>
      </c>
      <c r="N51" s="194" t="s">
        <v>799</v>
      </c>
      <c r="O51" s="194" t="s">
        <v>799</v>
      </c>
      <c r="P51" s="194" t="s">
        <v>799</v>
      </c>
      <c r="Q51" s="194" t="s">
        <v>799</v>
      </c>
      <c r="R51" s="194" t="s">
        <v>799</v>
      </c>
      <c r="S51" s="194" t="s">
        <v>799</v>
      </c>
      <c r="T51" s="194" t="s">
        <v>799</v>
      </c>
      <c r="U51" s="194" t="s">
        <v>799</v>
      </c>
      <c r="V51" s="194" t="s">
        <v>799</v>
      </c>
      <c r="W51" s="194" t="s">
        <v>799</v>
      </c>
    </row>
    <row r="52" spans="1:24" s="15" customFormat="1" x14ac:dyDescent="0.4">
      <c r="A52"/>
      <c r="B52" s="72" t="str">
        <f>"Minimum level for the structural primary balance in "&amp;AdjustmentPeriodEnd&amp;IF(Receives_reference_trajectory," (not applicable)","")&amp;", with safeguard"</f>
        <v>Minimum level for the structural primary balance in 2028, with safeguard</v>
      </c>
      <c r="D52" s="194" t="s">
        <v>799</v>
      </c>
      <c r="E52" s="194" t="s">
        <v>799</v>
      </c>
      <c r="F52" s="194" t="s">
        <v>799</v>
      </c>
      <c r="G52" s="194" t="s">
        <v>799</v>
      </c>
      <c r="H52" s="194" t="s">
        <v>799</v>
      </c>
      <c r="I52" s="194">
        <v>-0.1424659999999999</v>
      </c>
      <c r="J52" s="194" t="s">
        <v>799</v>
      </c>
      <c r="K52" s="194" t="s">
        <v>799</v>
      </c>
      <c r="L52" s="194" t="s">
        <v>799</v>
      </c>
      <c r="M52" s="194" t="s">
        <v>799</v>
      </c>
      <c r="N52" s="194" t="s">
        <v>799</v>
      </c>
      <c r="O52" s="194" t="s">
        <v>799</v>
      </c>
      <c r="P52" s="194" t="s">
        <v>799</v>
      </c>
      <c r="Q52" s="194" t="s">
        <v>799</v>
      </c>
      <c r="R52" s="194" t="s">
        <v>799</v>
      </c>
      <c r="S52" s="194" t="s">
        <v>799</v>
      </c>
      <c r="T52" s="194" t="s">
        <v>799</v>
      </c>
      <c r="U52" s="194" t="s">
        <v>799</v>
      </c>
      <c r="V52" s="194" t="s">
        <v>799</v>
      </c>
      <c r="W52" s="194" t="s">
        <v>799</v>
      </c>
      <c r="X52" s="104"/>
    </row>
    <row r="53" spans="1:24" ht="20.25" customHeight="1" x14ac:dyDescent="0.4">
      <c r="B53" s="101" t="str">
        <f>IF(Receives_reference_trajectory,"EC reference trajectory","EC technical information - Path to meet all requirements and safeguard.")</f>
        <v>EC technical information - Path to meet all requirements and safeguard.</v>
      </c>
      <c r="C53" s="15"/>
      <c r="D53" s="54"/>
      <c r="E53" s="54"/>
      <c r="F53" s="54"/>
      <c r="G53" s="54"/>
      <c r="H53" s="54"/>
      <c r="I53" s="54"/>
      <c r="J53" s="54"/>
      <c r="K53" s="54"/>
      <c r="L53" s="54"/>
      <c r="M53" s="54"/>
      <c r="N53" s="54"/>
      <c r="O53" s="54"/>
      <c r="P53" s="54"/>
      <c r="Q53" s="54"/>
      <c r="R53" s="54"/>
      <c r="S53" s="54"/>
      <c r="T53" s="54"/>
      <c r="U53" s="54"/>
      <c r="V53" s="54"/>
      <c r="W53" s="54"/>
    </row>
    <row r="54" spans="1:24" x14ac:dyDescent="0.4">
      <c r="B54" s="72" t="str">
        <f>"Main budgetary variables ("&amp;AdjustmentPeriod&amp;"-year adjustment period)"</f>
        <v>Main budgetary variables (4-year adjustment period)</v>
      </c>
      <c r="C54" s="15"/>
      <c r="D54" s="54"/>
      <c r="E54" s="54"/>
      <c r="F54" s="54"/>
      <c r="G54" s="54"/>
      <c r="H54" s="54"/>
      <c r="I54" s="54"/>
      <c r="J54" s="54"/>
      <c r="K54" s="54"/>
      <c r="L54" s="54"/>
      <c r="M54" s="54"/>
      <c r="N54" s="54"/>
      <c r="O54" s="54"/>
      <c r="P54" s="54"/>
      <c r="Q54" s="54"/>
      <c r="R54" s="54"/>
      <c r="S54" s="54"/>
      <c r="T54" s="54"/>
      <c r="U54" s="54"/>
      <c r="V54" s="54"/>
      <c r="W54" s="54"/>
    </row>
    <row r="55" spans="1:24" x14ac:dyDescent="0.4">
      <c r="B55" s="63" t="s">
        <v>376</v>
      </c>
      <c r="C55" s="15"/>
      <c r="D55" s="194">
        <v>8.0055138637424594</v>
      </c>
      <c r="E55" s="194">
        <v>4.918973667178153</v>
      </c>
      <c r="F55" s="194">
        <v>3.6413061968341944</v>
      </c>
      <c r="G55" s="194">
        <v>2.7436451968341951</v>
      </c>
      <c r="H55" s="194">
        <v>2.461675896834195</v>
      </c>
      <c r="I55" s="194">
        <v>3.3855692598417098</v>
      </c>
      <c r="J55" s="194">
        <v>3.5328969999999997</v>
      </c>
      <c r="K55" s="194">
        <v>3.6117759999999999</v>
      </c>
      <c r="L55" s="194">
        <v>3.6942360000000001</v>
      </c>
      <c r="M55" s="194">
        <v>3.7719449999999997</v>
      </c>
      <c r="N55" s="194">
        <v>3.828627</v>
      </c>
      <c r="O55" s="194">
        <v>3.86795</v>
      </c>
      <c r="P55" s="194">
        <v>3.9072739999999997</v>
      </c>
      <c r="Q55" s="194">
        <v>3.9465969999999997</v>
      </c>
      <c r="R55" s="194">
        <v>3.9263029999999999</v>
      </c>
      <c r="S55" s="194">
        <v>3.8353979999999996</v>
      </c>
      <c r="T55" s="194" t="s">
        <v>799</v>
      </c>
      <c r="U55" s="194" t="s">
        <v>799</v>
      </c>
      <c r="V55" s="194" t="s">
        <v>799</v>
      </c>
      <c r="W55" s="194" t="s">
        <v>799</v>
      </c>
    </row>
    <row r="56" spans="1:24" x14ac:dyDescent="0.4">
      <c r="B56" s="63" t="s">
        <v>215</v>
      </c>
      <c r="C56" s="15"/>
      <c r="D56" s="194">
        <v>-2.2135657932845034</v>
      </c>
      <c r="E56" s="194">
        <v>-2.8062079681304199</v>
      </c>
      <c r="F56" s="194">
        <v>-2.5067619901395064</v>
      </c>
      <c r="G56" s="194">
        <v>-2.206873278489728</v>
      </c>
      <c r="H56" s="194">
        <v>-1.8633060345306278</v>
      </c>
      <c r="I56" s="194">
        <v>-1.7774675734684697</v>
      </c>
      <c r="J56" s="194">
        <v>-1.7167045015305469</v>
      </c>
      <c r="K56" s="194">
        <v>-1.6555205259541206</v>
      </c>
      <c r="L56" s="194">
        <v>-1.5927242706681042</v>
      </c>
      <c r="M56" s="194">
        <v>-1.5979566180112279</v>
      </c>
      <c r="N56" s="194">
        <v>-1.5895477796554016</v>
      </c>
      <c r="O56" s="194">
        <v>-1.562134310040352</v>
      </c>
      <c r="P56" s="194">
        <v>-1.5207800482895599</v>
      </c>
      <c r="Q56" s="194">
        <v>-1.4556895151252958</v>
      </c>
      <c r="R56" s="194">
        <v>-1.3706903715705556</v>
      </c>
      <c r="S56" s="194">
        <v>-1.2815148227983149</v>
      </c>
      <c r="T56" s="194" t="s">
        <v>799</v>
      </c>
      <c r="U56" s="194" t="s">
        <v>799</v>
      </c>
      <c r="V56" s="194" t="s">
        <v>799</v>
      </c>
      <c r="W56" s="194" t="s">
        <v>799</v>
      </c>
    </row>
    <row r="57" spans="1:24" x14ac:dyDescent="0.4">
      <c r="B57" s="63" t="s">
        <v>0</v>
      </c>
      <c r="C57" s="15"/>
      <c r="D57" s="194">
        <v>-1.8903966364015796</v>
      </c>
      <c r="E57" s="194">
        <v>-2.3959118502934231</v>
      </c>
      <c r="F57" s="194">
        <v>-2.126882668592577</v>
      </c>
      <c r="G57" s="194">
        <v>-1.8427172558704836</v>
      </c>
      <c r="H57" s="194">
        <v>-1.509262871575078</v>
      </c>
      <c r="I57" s="194">
        <v>-1.5358742741939031</v>
      </c>
      <c r="J57" s="194">
        <v>-1.5556423020141679</v>
      </c>
      <c r="K57" s="194">
        <v>-1.5749894261959374</v>
      </c>
      <c r="L57" s="194">
        <v>-1.5927242706681044</v>
      </c>
      <c r="M57" s="194">
        <v>-1.5979558712233803</v>
      </c>
      <c r="N57" s="194">
        <v>-1.5895488990065676</v>
      </c>
      <c r="O57" s="194">
        <v>-1.5621358023732452</v>
      </c>
      <c r="P57" s="194">
        <v>-1.5207793042066837</v>
      </c>
      <c r="Q57" s="194">
        <v>-1.4556880260614364</v>
      </c>
      <c r="R57" s="194">
        <v>-1.3706877651145823</v>
      </c>
      <c r="S57" s="194">
        <v>-1.2815129617361063</v>
      </c>
      <c r="T57" s="194" t="s">
        <v>799</v>
      </c>
      <c r="U57" s="194" t="s">
        <v>799</v>
      </c>
      <c r="V57" s="194" t="s">
        <v>799</v>
      </c>
      <c r="W57" s="194" t="s">
        <v>799</v>
      </c>
    </row>
    <row r="58" spans="1:24" x14ac:dyDescent="0.4">
      <c r="B58" s="63" t="s">
        <v>3</v>
      </c>
      <c r="C58" s="15"/>
      <c r="D58" s="194">
        <v>-1.2598830000000001</v>
      </c>
      <c r="E58" s="194">
        <v>-1.362466</v>
      </c>
      <c r="F58" s="194">
        <v>-0.96246599999999993</v>
      </c>
      <c r="G58" s="194">
        <v>-0.56246599999999991</v>
      </c>
      <c r="H58" s="194">
        <v>-0.16246599999999989</v>
      </c>
      <c r="I58" s="194">
        <v>-0.1424659999999999</v>
      </c>
      <c r="J58" s="194">
        <v>-0.1424659999999999</v>
      </c>
      <c r="K58" s="194">
        <v>-0.1424659999999999</v>
      </c>
      <c r="L58" s="194">
        <v>-0.1424659999999999</v>
      </c>
      <c r="M58" s="194">
        <v>-0.1424659999999999</v>
      </c>
      <c r="N58" s="194">
        <v>-0.1424659999999999</v>
      </c>
      <c r="O58" s="194">
        <v>-0.1424659999999999</v>
      </c>
      <c r="P58" s="194">
        <v>-0.1424659999999999</v>
      </c>
      <c r="Q58" s="194">
        <v>-0.1424659999999999</v>
      </c>
      <c r="R58" s="194">
        <v>-0.1424659999999999</v>
      </c>
      <c r="S58" s="194">
        <v>-0.1424659999999999</v>
      </c>
      <c r="T58" s="194" t="s">
        <v>799</v>
      </c>
      <c r="U58" s="194" t="s">
        <v>799</v>
      </c>
      <c r="V58" s="194" t="s">
        <v>799</v>
      </c>
      <c r="W58" s="194" t="s">
        <v>799</v>
      </c>
    </row>
    <row r="59" spans="1:24" x14ac:dyDescent="0.4">
      <c r="B59" s="63" t="s">
        <v>1</v>
      </c>
      <c r="C59" s="15"/>
      <c r="D59" s="194">
        <v>43.57443441662371</v>
      </c>
      <c r="E59" s="194">
        <v>44.530802034460706</v>
      </c>
      <c r="F59" s="194">
        <v>46.07468666579198</v>
      </c>
      <c r="G59" s="194">
        <v>46.609273528729865</v>
      </c>
      <c r="H59" s="194">
        <v>46.913196864360586</v>
      </c>
      <c r="I59" s="194">
        <v>46.987538518920367</v>
      </c>
      <c r="J59" s="194">
        <v>46.992494901737786</v>
      </c>
      <c r="K59" s="194">
        <v>46.901039914718936</v>
      </c>
      <c r="L59" s="194">
        <v>46.713659492186132</v>
      </c>
      <c r="M59" s="194">
        <v>46.600070694684284</v>
      </c>
      <c r="N59" s="194">
        <v>46.457173073428706</v>
      </c>
      <c r="O59" s="194">
        <v>46.274673295393931</v>
      </c>
      <c r="P59" s="194">
        <v>46.040270608994206</v>
      </c>
      <c r="Q59" s="194">
        <v>45.732378994117418</v>
      </c>
      <c r="R59" s="194">
        <v>45.359965431679584</v>
      </c>
      <c r="S59" s="194">
        <v>44.951568205826447</v>
      </c>
      <c r="T59" s="194" t="s">
        <v>799</v>
      </c>
      <c r="U59" s="194" t="s">
        <v>799</v>
      </c>
      <c r="V59" s="194" t="s">
        <v>799</v>
      </c>
      <c r="W59" s="194" t="s">
        <v>799</v>
      </c>
    </row>
    <row r="60" spans="1:24" s="15" customFormat="1" ht="20.25" customHeight="1" x14ac:dyDescent="0.4">
      <c r="A60"/>
      <c r="B60" s="61" t="str">
        <f>"Debt sustainability assessment ("&amp;AdjustmentPeriod&amp;"-year adjustment period)"</f>
        <v>Debt sustainability assessment (4-year adjustment period)</v>
      </c>
      <c r="D60" s="193"/>
      <c r="E60" s="193"/>
      <c r="F60" s="193"/>
      <c r="G60" s="193"/>
      <c r="H60" s="193"/>
      <c r="I60" s="193"/>
      <c r="J60" s="193"/>
      <c r="K60" s="193"/>
      <c r="L60" s="193"/>
      <c r="M60" s="193"/>
      <c r="N60" s="193"/>
      <c r="O60" s="193"/>
      <c r="P60" s="193"/>
      <c r="Q60" s="193"/>
      <c r="R60" s="193"/>
      <c r="S60" s="193"/>
      <c r="T60" s="193"/>
      <c r="U60" s="193"/>
      <c r="V60" s="193"/>
      <c r="W60" s="193"/>
      <c r="X60"/>
    </row>
    <row r="61" spans="1:24" s="15" customFormat="1" x14ac:dyDescent="0.4">
      <c r="A61"/>
      <c r="B61" s="63" t="s">
        <v>333</v>
      </c>
      <c r="D61" s="194" t="s">
        <v>799</v>
      </c>
      <c r="E61" s="194" t="s">
        <v>799</v>
      </c>
      <c r="F61" s="194" t="s">
        <v>799</v>
      </c>
      <c r="G61" s="194" t="s">
        <v>799</v>
      </c>
      <c r="H61" s="194" t="s">
        <v>799</v>
      </c>
      <c r="I61" s="194" t="s">
        <v>799</v>
      </c>
      <c r="J61" s="194" t="s">
        <v>799</v>
      </c>
      <c r="K61" s="194" t="s">
        <v>799</v>
      </c>
      <c r="L61" s="194" t="s">
        <v>799</v>
      </c>
      <c r="M61" s="194" t="s">
        <v>799</v>
      </c>
      <c r="N61" s="194" t="s">
        <v>799</v>
      </c>
      <c r="O61" s="194" t="s">
        <v>799</v>
      </c>
      <c r="P61" s="194" t="s">
        <v>799</v>
      </c>
      <c r="Q61" s="194" t="s">
        <v>799</v>
      </c>
      <c r="R61" s="194" t="s">
        <v>799</v>
      </c>
      <c r="S61" s="194" t="s">
        <v>799</v>
      </c>
      <c r="T61" s="194" t="s">
        <v>799</v>
      </c>
      <c r="U61" s="194" t="s">
        <v>799</v>
      </c>
      <c r="V61" s="194" t="s">
        <v>799</v>
      </c>
      <c r="W61" s="194" t="s">
        <v>799</v>
      </c>
      <c r="X61"/>
    </row>
    <row r="62" spans="1:24" s="15" customFormat="1" x14ac:dyDescent="0.4">
      <c r="A62"/>
      <c r="B62" s="63" t="s">
        <v>334</v>
      </c>
      <c r="D62" s="194" t="s">
        <v>799</v>
      </c>
      <c r="E62" s="194" t="s">
        <v>799</v>
      </c>
      <c r="F62" s="194" t="s">
        <v>799</v>
      </c>
      <c r="G62" s="194" t="s">
        <v>799</v>
      </c>
      <c r="H62" s="194" t="s">
        <v>799</v>
      </c>
      <c r="I62" s="194" t="s">
        <v>799</v>
      </c>
      <c r="J62" s="194" t="s">
        <v>799</v>
      </c>
      <c r="K62" s="194" t="s">
        <v>799</v>
      </c>
      <c r="L62" s="194" t="s">
        <v>799</v>
      </c>
      <c r="M62" s="194" t="s">
        <v>799</v>
      </c>
      <c r="N62" s="194" t="s">
        <v>799</v>
      </c>
      <c r="O62" s="194" t="s">
        <v>799</v>
      </c>
      <c r="P62" s="194" t="s">
        <v>799</v>
      </c>
      <c r="Q62" s="194" t="s">
        <v>799</v>
      </c>
      <c r="R62" s="194" t="s">
        <v>799</v>
      </c>
      <c r="S62" s="194" t="s">
        <v>799</v>
      </c>
      <c r="T62" s="194" t="s">
        <v>799</v>
      </c>
      <c r="U62" s="194" t="s">
        <v>799</v>
      </c>
      <c r="V62" s="194" t="s">
        <v>799</v>
      </c>
      <c r="W62" s="194" t="s">
        <v>799</v>
      </c>
      <c r="X62"/>
    </row>
    <row r="63" spans="1:24" s="15" customFormat="1" x14ac:dyDescent="0.4">
      <c r="A63"/>
      <c r="B63" s="63" t="s">
        <v>335</v>
      </c>
      <c r="D63" s="194" t="s">
        <v>799</v>
      </c>
      <c r="E63" s="194" t="s">
        <v>799</v>
      </c>
      <c r="F63" s="194" t="s">
        <v>799</v>
      </c>
      <c r="G63" s="194" t="s">
        <v>799</v>
      </c>
      <c r="H63" s="194" t="s">
        <v>799</v>
      </c>
      <c r="I63" s="194" t="s">
        <v>799</v>
      </c>
      <c r="J63" s="194" t="s">
        <v>799</v>
      </c>
      <c r="K63" s="194" t="s">
        <v>799</v>
      </c>
      <c r="L63" s="194" t="s">
        <v>799</v>
      </c>
      <c r="M63" s="194" t="s">
        <v>799</v>
      </c>
      <c r="N63" s="194" t="s">
        <v>799</v>
      </c>
      <c r="O63" s="194" t="s">
        <v>799</v>
      </c>
      <c r="P63" s="194" t="s">
        <v>799</v>
      </c>
      <c r="Q63" s="194" t="s">
        <v>799</v>
      </c>
      <c r="R63" s="194" t="s">
        <v>799</v>
      </c>
      <c r="S63" s="194" t="s">
        <v>799</v>
      </c>
      <c r="T63" s="194" t="s">
        <v>799</v>
      </c>
      <c r="U63" s="194" t="s">
        <v>799</v>
      </c>
      <c r="V63" s="194" t="s">
        <v>799</v>
      </c>
      <c r="W63" s="194" t="s">
        <v>799</v>
      </c>
      <c r="X63"/>
    </row>
    <row r="64" spans="1:24" s="15" customFormat="1" x14ac:dyDescent="0.4">
      <c r="A64"/>
      <c r="B64" s="63" t="s">
        <v>336</v>
      </c>
      <c r="D64" s="194" t="s">
        <v>799</v>
      </c>
      <c r="E64" s="194" t="s">
        <v>799</v>
      </c>
      <c r="F64" s="194" t="s">
        <v>799</v>
      </c>
      <c r="G64" s="194" t="s">
        <v>799</v>
      </c>
      <c r="H64" s="194" t="s">
        <v>799</v>
      </c>
      <c r="I64" s="194" t="s">
        <v>799</v>
      </c>
      <c r="J64" s="194" t="s">
        <v>799</v>
      </c>
      <c r="K64" s="194" t="s">
        <v>799</v>
      </c>
      <c r="L64" s="194" t="s">
        <v>799</v>
      </c>
      <c r="M64" s="194" t="s">
        <v>799</v>
      </c>
      <c r="N64" s="194" t="s">
        <v>799</v>
      </c>
      <c r="O64" s="194" t="s">
        <v>799</v>
      </c>
      <c r="P64" s="194" t="s">
        <v>799</v>
      </c>
      <c r="Q64" s="194" t="s">
        <v>799</v>
      </c>
      <c r="R64" s="194" t="s">
        <v>799</v>
      </c>
      <c r="S64" s="194" t="s">
        <v>799</v>
      </c>
      <c r="T64" s="194" t="s">
        <v>799</v>
      </c>
      <c r="U64" s="194" t="s">
        <v>799</v>
      </c>
      <c r="V64" s="194" t="s">
        <v>799</v>
      </c>
      <c r="W64" s="194" t="s">
        <v>799</v>
      </c>
      <c r="X64"/>
    </row>
    <row r="65" spans="1:24" s="15" customFormat="1" x14ac:dyDescent="0.4">
      <c r="A65"/>
      <c r="B65" s="63" t="s">
        <v>337</v>
      </c>
      <c r="D65" s="194" t="s">
        <v>799</v>
      </c>
      <c r="E65" s="194" t="s">
        <v>799</v>
      </c>
      <c r="F65" s="194" t="s">
        <v>799</v>
      </c>
      <c r="G65" s="194" t="s">
        <v>799</v>
      </c>
      <c r="H65" s="194" t="s">
        <v>799</v>
      </c>
      <c r="I65" s="194" t="s">
        <v>799</v>
      </c>
      <c r="J65" s="194" t="s">
        <v>799</v>
      </c>
      <c r="K65" s="194" t="s">
        <v>799</v>
      </c>
      <c r="L65" s="194" t="s">
        <v>799</v>
      </c>
      <c r="M65" s="194" t="s">
        <v>799</v>
      </c>
      <c r="N65" s="194" t="s">
        <v>799</v>
      </c>
      <c r="O65" s="194" t="s">
        <v>799</v>
      </c>
      <c r="P65" s="194" t="s">
        <v>799</v>
      </c>
      <c r="Q65" s="194" t="s">
        <v>799</v>
      </c>
      <c r="R65" s="194" t="s">
        <v>799</v>
      </c>
      <c r="S65" s="194" t="s">
        <v>799</v>
      </c>
      <c r="T65" s="194" t="s">
        <v>799</v>
      </c>
      <c r="U65" s="194" t="s">
        <v>799</v>
      </c>
      <c r="V65" s="194" t="s">
        <v>799</v>
      </c>
      <c r="W65" s="194" t="s">
        <v>799</v>
      </c>
      <c r="X65"/>
    </row>
    <row r="66" spans="1:24" s="15" customFormat="1" x14ac:dyDescent="0.4">
      <c r="A66"/>
      <c r="B66" s="63" t="str">
        <f>"Stochastic debt projections, "&amp;AdjustmentPeriodEnd+1&amp;"-"&amp;StochasticLastYear</f>
        <v>Stochastic debt projections, 2029-2033</v>
      </c>
      <c r="D66" s="194"/>
      <c r="E66" s="194"/>
      <c r="F66" s="194"/>
      <c r="G66" s="194"/>
      <c r="H66" s="194"/>
      <c r="I66" s="194"/>
      <c r="J66" s="194"/>
      <c r="K66" s="194"/>
      <c r="L66" s="194"/>
      <c r="M66" s="194"/>
      <c r="N66" s="194"/>
      <c r="O66" s="194"/>
      <c r="P66" s="194"/>
      <c r="Q66" s="194"/>
      <c r="R66" s="194"/>
      <c r="S66" s="194"/>
      <c r="T66" s="194"/>
      <c r="U66" s="194"/>
      <c r="V66" s="194"/>
      <c r="W66" s="194"/>
      <c r="X66"/>
    </row>
    <row r="67" spans="1:24" s="15" customFormat="1" x14ac:dyDescent="0.4">
      <c r="A67"/>
      <c r="B67" s="102" t="s">
        <v>367</v>
      </c>
      <c r="D67" s="194" t="s">
        <v>799</v>
      </c>
      <c r="E67" s="194" t="s">
        <v>799</v>
      </c>
      <c r="F67" s="194" t="s">
        <v>799</v>
      </c>
      <c r="G67" s="194" t="s">
        <v>799</v>
      </c>
      <c r="H67" s="194" t="s">
        <v>799</v>
      </c>
      <c r="I67" s="194" t="s">
        <v>799</v>
      </c>
      <c r="J67" s="194" t="s">
        <v>799</v>
      </c>
      <c r="K67" s="194" t="s">
        <v>799</v>
      </c>
      <c r="L67" s="194" t="s">
        <v>799</v>
      </c>
      <c r="M67" s="194" t="s">
        <v>799</v>
      </c>
      <c r="N67" s="194" t="s">
        <v>799</v>
      </c>
      <c r="O67" s="194" t="s">
        <v>799</v>
      </c>
      <c r="P67" s="194" t="s">
        <v>799</v>
      </c>
      <c r="Q67" s="194" t="s">
        <v>799</v>
      </c>
      <c r="R67" s="194" t="s">
        <v>799</v>
      </c>
      <c r="S67" s="194" t="s">
        <v>799</v>
      </c>
      <c r="T67" s="194" t="s">
        <v>799</v>
      </c>
      <c r="U67" s="194" t="s">
        <v>799</v>
      </c>
      <c r="V67" s="194" t="s">
        <v>799</v>
      </c>
      <c r="W67" s="194" t="s">
        <v>799</v>
      </c>
      <c r="X67"/>
    </row>
    <row r="68" spans="1:24" s="15" customFormat="1" x14ac:dyDescent="0.4">
      <c r="A68"/>
      <c r="B68" s="102" t="s">
        <v>368</v>
      </c>
      <c r="D68" s="194" t="s">
        <v>799</v>
      </c>
      <c r="E68" s="194" t="s">
        <v>799</v>
      </c>
      <c r="F68" s="194" t="s">
        <v>799</v>
      </c>
      <c r="G68" s="194" t="s">
        <v>799</v>
      </c>
      <c r="H68" s="194" t="s">
        <v>799</v>
      </c>
      <c r="I68" s="194" t="s">
        <v>799</v>
      </c>
      <c r="J68" s="194" t="s">
        <v>799</v>
      </c>
      <c r="K68" s="194" t="s">
        <v>799</v>
      </c>
      <c r="L68" s="194" t="s">
        <v>799</v>
      </c>
      <c r="M68" s="194" t="s">
        <v>799</v>
      </c>
      <c r="N68" s="194" t="s">
        <v>799</v>
      </c>
      <c r="O68" s="194" t="s">
        <v>799</v>
      </c>
      <c r="P68" s="194" t="s">
        <v>799</v>
      </c>
      <c r="Q68" s="194" t="s">
        <v>799</v>
      </c>
      <c r="R68" s="194" t="s">
        <v>799</v>
      </c>
      <c r="S68" s="194" t="s">
        <v>799</v>
      </c>
      <c r="T68" s="194" t="s">
        <v>799</v>
      </c>
      <c r="U68" s="194" t="s">
        <v>799</v>
      </c>
      <c r="V68" s="194" t="s">
        <v>799</v>
      </c>
      <c r="W68" s="194" t="s">
        <v>799</v>
      </c>
      <c r="X68"/>
    </row>
    <row r="69" spans="1:24" s="15" customFormat="1" x14ac:dyDescent="0.4">
      <c r="A69"/>
      <c r="B69" s="102" t="s">
        <v>369</v>
      </c>
      <c r="D69" s="194" t="s">
        <v>799</v>
      </c>
      <c r="E69" s="194" t="s">
        <v>799</v>
      </c>
      <c r="F69" s="194" t="s">
        <v>799</v>
      </c>
      <c r="G69" s="194" t="s">
        <v>799</v>
      </c>
      <c r="H69" s="194" t="s">
        <v>799</v>
      </c>
      <c r="I69" s="194" t="s">
        <v>799</v>
      </c>
      <c r="J69" s="194" t="s">
        <v>799</v>
      </c>
      <c r="K69" s="194" t="s">
        <v>799</v>
      </c>
      <c r="L69" s="194" t="s">
        <v>799</v>
      </c>
      <c r="M69" s="194" t="s">
        <v>799</v>
      </c>
      <c r="N69" s="194" t="s">
        <v>799</v>
      </c>
      <c r="O69" s="194" t="s">
        <v>799</v>
      </c>
      <c r="P69" s="194" t="s">
        <v>799</v>
      </c>
      <c r="Q69" s="194" t="s">
        <v>799</v>
      </c>
      <c r="R69" s="194" t="s">
        <v>799</v>
      </c>
      <c r="S69" s="194" t="s">
        <v>799</v>
      </c>
      <c r="T69" s="194" t="s">
        <v>799</v>
      </c>
      <c r="U69" s="194" t="s">
        <v>799</v>
      </c>
      <c r="V69" s="194" t="s">
        <v>799</v>
      </c>
      <c r="W69" s="194" t="s">
        <v>799</v>
      </c>
      <c r="X69"/>
    </row>
    <row r="70" spans="1:24" s="15" customFormat="1" x14ac:dyDescent="0.4">
      <c r="A70"/>
      <c r="B70" s="102" t="s">
        <v>370</v>
      </c>
      <c r="D70" s="194" t="s">
        <v>799</v>
      </c>
      <c r="E70" s="194" t="s">
        <v>799</v>
      </c>
      <c r="F70" s="194" t="s">
        <v>799</v>
      </c>
      <c r="G70" s="194" t="s">
        <v>799</v>
      </c>
      <c r="H70" s="194" t="s">
        <v>799</v>
      </c>
      <c r="I70" s="194" t="s">
        <v>799</v>
      </c>
      <c r="J70" s="194" t="s">
        <v>799</v>
      </c>
      <c r="K70" s="194" t="s">
        <v>799</v>
      </c>
      <c r="L70" s="194" t="s">
        <v>799</v>
      </c>
      <c r="M70" s="194" t="s">
        <v>799</v>
      </c>
      <c r="N70" s="194" t="s">
        <v>799</v>
      </c>
      <c r="O70" s="194" t="s">
        <v>799</v>
      </c>
      <c r="P70" s="194" t="s">
        <v>799</v>
      </c>
      <c r="Q70" s="194" t="s">
        <v>799</v>
      </c>
      <c r="R70" s="194" t="s">
        <v>799</v>
      </c>
      <c r="S70" s="194" t="s">
        <v>799</v>
      </c>
      <c r="T70" s="194" t="s">
        <v>799</v>
      </c>
      <c r="U70" s="194" t="s">
        <v>799</v>
      </c>
      <c r="V70" s="194" t="s">
        <v>799</v>
      </c>
      <c r="W70" s="194" t="s">
        <v>799</v>
      </c>
      <c r="X70"/>
    </row>
    <row r="71" spans="1:24" s="15" customFormat="1" x14ac:dyDescent="0.4">
      <c r="A71"/>
      <c r="B71" s="102" t="s">
        <v>371</v>
      </c>
      <c r="D71" s="194" t="s">
        <v>799</v>
      </c>
      <c r="E71" s="194" t="s">
        <v>799</v>
      </c>
      <c r="F71" s="194" t="s">
        <v>799</v>
      </c>
      <c r="G71" s="194" t="s">
        <v>799</v>
      </c>
      <c r="H71" s="194" t="s">
        <v>799</v>
      </c>
      <c r="I71" s="194" t="s">
        <v>799</v>
      </c>
      <c r="J71" s="194" t="s">
        <v>799</v>
      </c>
      <c r="K71" s="194" t="s">
        <v>799</v>
      </c>
      <c r="L71" s="194" t="s">
        <v>799</v>
      </c>
      <c r="M71" s="194" t="s">
        <v>799</v>
      </c>
      <c r="N71" s="194" t="s">
        <v>799</v>
      </c>
      <c r="O71" s="194" t="s">
        <v>799</v>
      </c>
      <c r="P71" s="194" t="s">
        <v>799</v>
      </c>
      <c r="Q71" s="194" t="s">
        <v>799</v>
      </c>
      <c r="R71" s="194" t="s">
        <v>799</v>
      </c>
      <c r="S71" s="194" t="s">
        <v>799</v>
      </c>
      <c r="T71" s="194" t="s">
        <v>799</v>
      </c>
      <c r="U71" s="194" t="s">
        <v>799</v>
      </c>
      <c r="V71" s="194" t="s">
        <v>799</v>
      </c>
      <c r="W71" s="194" t="s">
        <v>799</v>
      </c>
      <c r="X71"/>
    </row>
    <row r="72" spans="1:24" s="15" customFormat="1" x14ac:dyDescent="0.4">
      <c r="A72"/>
      <c r="B72" s="102" t="s">
        <v>367</v>
      </c>
      <c r="D72" s="194" t="s">
        <v>799</v>
      </c>
      <c r="E72" s="194" t="s">
        <v>799</v>
      </c>
      <c r="F72" s="194" t="s">
        <v>799</v>
      </c>
      <c r="G72" s="194" t="s">
        <v>799</v>
      </c>
      <c r="H72" s="194" t="s">
        <v>799</v>
      </c>
      <c r="I72" s="194" t="s">
        <v>799</v>
      </c>
      <c r="J72" s="194" t="s">
        <v>799</v>
      </c>
      <c r="K72" s="194" t="s">
        <v>799</v>
      </c>
      <c r="L72" s="194" t="s">
        <v>799</v>
      </c>
      <c r="M72" s="194" t="s">
        <v>799</v>
      </c>
      <c r="N72" s="194" t="s">
        <v>799</v>
      </c>
      <c r="O72" s="194" t="s">
        <v>799</v>
      </c>
      <c r="P72" s="194" t="s">
        <v>799</v>
      </c>
      <c r="Q72" s="194" t="s">
        <v>799</v>
      </c>
      <c r="R72" s="194" t="s">
        <v>799</v>
      </c>
      <c r="S72" s="194" t="s">
        <v>799</v>
      </c>
      <c r="T72" s="194" t="s">
        <v>799</v>
      </c>
      <c r="U72" s="194" t="s">
        <v>799</v>
      </c>
      <c r="V72" s="194" t="s">
        <v>799</v>
      </c>
      <c r="W72" s="194" t="s">
        <v>799</v>
      </c>
      <c r="X72"/>
    </row>
    <row r="73" spans="1:24" x14ac:dyDescent="0.4">
      <c r="B73" s="102" t="s">
        <v>372</v>
      </c>
      <c r="C73" s="15"/>
      <c r="D73" s="194" t="s">
        <v>799</v>
      </c>
      <c r="E73" s="194" t="s">
        <v>799</v>
      </c>
      <c r="F73" s="194" t="s">
        <v>799</v>
      </c>
      <c r="G73" s="194" t="s">
        <v>799</v>
      </c>
      <c r="H73" s="194" t="s">
        <v>799</v>
      </c>
      <c r="I73" s="194" t="s">
        <v>799</v>
      </c>
      <c r="J73" s="194" t="s">
        <v>799</v>
      </c>
      <c r="K73" s="194" t="s">
        <v>799</v>
      </c>
      <c r="L73" s="194" t="s">
        <v>799</v>
      </c>
      <c r="M73" s="194" t="s">
        <v>799</v>
      </c>
      <c r="N73" s="194" t="s">
        <v>799</v>
      </c>
      <c r="O73" s="194" t="s">
        <v>799</v>
      </c>
      <c r="P73" s="194" t="s">
        <v>799</v>
      </c>
      <c r="Q73" s="194" t="s">
        <v>799</v>
      </c>
      <c r="R73" s="194" t="s">
        <v>799</v>
      </c>
      <c r="S73" s="194" t="s">
        <v>799</v>
      </c>
      <c r="T73" s="194" t="s">
        <v>799</v>
      </c>
      <c r="U73" s="194" t="s">
        <v>799</v>
      </c>
      <c r="V73" s="194" t="s">
        <v>799</v>
      </c>
      <c r="W73" s="194" t="s">
        <v>799</v>
      </c>
      <c r="X73" s="89"/>
    </row>
    <row r="74" spans="1:24" x14ac:dyDescent="0.4">
      <c r="B74" s="102" t="s">
        <v>373</v>
      </c>
      <c r="C74" s="15"/>
      <c r="D74" s="194" t="s">
        <v>799</v>
      </c>
      <c r="E74" s="194" t="s">
        <v>799</v>
      </c>
      <c r="F74" s="194" t="s">
        <v>799</v>
      </c>
      <c r="G74" s="194" t="s">
        <v>799</v>
      </c>
      <c r="H74" s="194" t="s">
        <v>799</v>
      </c>
      <c r="I74" s="194" t="s">
        <v>799</v>
      </c>
      <c r="J74" s="194" t="s">
        <v>799</v>
      </c>
      <c r="K74" s="194" t="s">
        <v>799</v>
      </c>
      <c r="L74" s="194" t="s">
        <v>799</v>
      </c>
      <c r="M74" s="194" t="s">
        <v>799</v>
      </c>
      <c r="N74" s="194" t="s">
        <v>799</v>
      </c>
      <c r="O74" s="194" t="s">
        <v>799</v>
      </c>
      <c r="P74" s="194" t="s">
        <v>799</v>
      </c>
      <c r="Q74" s="194" t="s">
        <v>799</v>
      </c>
      <c r="R74" s="194" t="s">
        <v>799</v>
      </c>
      <c r="S74" s="194" t="s">
        <v>799</v>
      </c>
      <c r="T74" s="194" t="s">
        <v>799</v>
      </c>
      <c r="U74" s="194" t="s">
        <v>799</v>
      </c>
      <c r="V74" s="194" t="s">
        <v>799</v>
      </c>
      <c r="W74" s="194" t="s">
        <v>799</v>
      </c>
      <c r="X74" s="89"/>
    </row>
    <row r="75" spans="1:24" x14ac:dyDescent="0.4">
      <c r="B75" s="102" t="s">
        <v>374</v>
      </c>
      <c r="C75" s="15"/>
      <c r="D75" s="194" t="s">
        <v>799</v>
      </c>
      <c r="E75" s="194" t="s">
        <v>799</v>
      </c>
      <c r="F75" s="194" t="s">
        <v>799</v>
      </c>
      <c r="G75" s="194" t="s">
        <v>799</v>
      </c>
      <c r="H75" s="194" t="s">
        <v>799</v>
      </c>
      <c r="I75" s="194" t="s">
        <v>799</v>
      </c>
      <c r="J75" s="194" t="s">
        <v>799</v>
      </c>
      <c r="K75" s="194" t="s">
        <v>799</v>
      </c>
      <c r="L75" s="194" t="s">
        <v>799</v>
      </c>
      <c r="M75" s="194" t="s">
        <v>799</v>
      </c>
      <c r="N75" s="194" t="s">
        <v>799</v>
      </c>
      <c r="O75" s="194" t="s">
        <v>799</v>
      </c>
      <c r="P75" s="194" t="s">
        <v>799</v>
      </c>
      <c r="Q75" s="194" t="s">
        <v>799</v>
      </c>
      <c r="R75" s="194" t="s">
        <v>799</v>
      </c>
      <c r="S75" s="194" t="s">
        <v>799</v>
      </c>
      <c r="T75" s="194" t="s">
        <v>799</v>
      </c>
      <c r="U75" s="194" t="s">
        <v>799</v>
      </c>
      <c r="V75" s="194" t="s">
        <v>799</v>
      </c>
      <c r="W75" s="194" t="s">
        <v>799</v>
      </c>
      <c r="X75" s="89"/>
    </row>
    <row r="76" spans="1:24" x14ac:dyDescent="0.4">
      <c r="B76" s="103" t="s">
        <v>375</v>
      </c>
      <c r="C76" s="20"/>
      <c r="D76" s="194" t="s">
        <v>799</v>
      </c>
      <c r="E76" s="194" t="s">
        <v>799</v>
      </c>
      <c r="F76" s="194" t="s">
        <v>799</v>
      </c>
      <c r="G76" s="194" t="s">
        <v>799</v>
      </c>
      <c r="H76" s="194" t="s">
        <v>799</v>
      </c>
      <c r="I76" s="194" t="s">
        <v>799</v>
      </c>
      <c r="J76" s="194" t="s">
        <v>799</v>
      </c>
      <c r="K76" s="194" t="s">
        <v>799</v>
      </c>
      <c r="L76" s="194" t="s">
        <v>799</v>
      </c>
      <c r="M76" s="194" t="s">
        <v>799</v>
      </c>
      <c r="N76" s="194" t="s">
        <v>799</v>
      </c>
      <c r="O76" s="194" t="s">
        <v>799</v>
      </c>
      <c r="P76" s="194" t="s">
        <v>799</v>
      </c>
      <c r="Q76" s="194" t="s">
        <v>799</v>
      </c>
      <c r="R76" s="194" t="s">
        <v>799</v>
      </c>
      <c r="S76" s="194" t="s">
        <v>799</v>
      </c>
      <c r="T76" s="194" t="s">
        <v>799</v>
      </c>
      <c r="U76" s="194" t="s">
        <v>799</v>
      </c>
      <c r="V76" s="194" t="s">
        <v>799</v>
      </c>
      <c r="W76" s="194" t="s">
        <v>799</v>
      </c>
      <c r="X76" s="89"/>
    </row>
  </sheetData>
  <dataConsolidate/>
  <conditionalFormatting sqref="D15:N15">
    <cfRule type="expression" dxfId="99" priority="18">
      <formula>ISNUMBER(D14)</formula>
    </cfRule>
  </conditionalFormatting>
  <conditionalFormatting sqref="D14:N14">
    <cfRule type="expression" dxfId="98" priority="17">
      <formula>ISNUMBER(D14)</formula>
    </cfRule>
  </conditionalFormatting>
  <conditionalFormatting sqref="D29:K29">
    <cfRule type="expression" dxfId="97" priority="16">
      <formula>ISNUMBER(D$14)</formula>
    </cfRule>
  </conditionalFormatting>
  <conditionalFormatting sqref="D76:W76">
    <cfRule type="expression" dxfId="96" priority="15">
      <formula>ISNUMBER(D48)</formula>
    </cfRule>
  </conditionalFormatting>
  <conditionalFormatting sqref="D48:W48">
    <cfRule type="expression" dxfId="95" priority="14">
      <formula>ISNUMBER(D48)</formula>
    </cfRule>
  </conditionalFormatting>
  <conditionalFormatting sqref="X50 D32:W32 D49:W50">
    <cfRule type="expression" dxfId="94" priority="13">
      <formula>ISNUMBER(D31)</formula>
    </cfRule>
  </conditionalFormatting>
  <conditionalFormatting sqref="D31:W31">
    <cfRule type="expression" dxfId="93" priority="12">
      <formula>ISNUMBER(D31)</formula>
    </cfRule>
  </conditionalFormatting>
  <conditionalFormatting sqref="D44:W44">
    <cfRule type="expression" dxfId="92" priority="11">
      <formula>ISNUMBER(D$58)</formula>
    </cfRule>
  </conditionalFormatting>
  <conditionalFormatting sqref="D16:Q16">
    <cfRule type="expression" dxfId="91" priority="548">
      <formula>ISNUMBER(D15)</formula>
    </cfRule>
  </conditionalFormatting>
  <conditionalFormatting sqref="D51:Z52">
    <cfRule type="expression" dxfId="90" priority="10">
      <formula>AND(D$48=AdjustmentPeriodEnd, Receives_reference_trajectory=FALSE)</formula>
    </cfRule>
  </conditionalFormatting>
  <conditionalFormatting sqref="D35:Z35 D38:Z38">
    <cfRule type="expression" dxfId="89" priority="9">
      <formula>AND(D$48&lt;&gt;"", Receives_reference_trajectory=FALSE)</formula>
    </cfRule>
  </conditionalFormatting>
  <conditionalFormatting sqref="D55:Z59">
    <cfRule type="expression" dxfId="88" priority="8">
      <formula>AND(D$48&lt;&gt;"", Receives_reference_trajectory=FALSE)</formula>
    </cfRule>
  </conditionalFormatting>
  <conditionalFormatting sqref="D44">
    <cfRule type="expression" dxfId="87" priority="6">
      <formula>AND(Receives_reference_trajectory=TRUE,D$31&lt;&gt;"")</formula>
    </cfRule>
  </conditionalFormatting>
  <conditionalFormatting sqref="D35:Z35 D37:Z38 D40:Z43">
    <cfRule type="expression" dxfId="86" priority="5">
      <formula>AND(Receives_reference_trajectory=TRUE,D$31&lt;&gt;"")</formula>
    </cfRule>
  </conditionalFormatting>
  <conditionalFormatting sqref="D55:Z59 D61:Z65">
    <cfRule type="expression" dxfId="85" priority="4">
      <formula>AND(Receives_reference_trajectory,D$48&lt;&gt;"")</formula>
    </cfRule>
  </conditionalFormatting>
  <conditionalFormatting sqref="F50:L50">
    <cfRule type="expression" dxfId="84" priority="3">
      <formula>AND(Receives_reference_trajectory,F$49&lt;&gt;"")</formula>
    </cfRule>
  </conditionalFormatting>
  <conditionalFormatting sqref="D67:Z75">
    <cfRule type="expression" dxfId="83" priority="2">
      <formula>AND(D$48&gt;AdjustmentPeriodEnd,D$48&lt;=StochasticLastYear,Receives_reference_trajectory)</formula>
    </cfRule>
  </conditionalFormatting>
  <conditionalFormatting sqref="D76:Z76">
    <cfRule type="expression" dxfId="82" priority="1">
      <formula>AND(D$48&gt;AdjustmentPeriodEnd,D$48&lt;=StochasticLastYear,Receives_reference_trajectory)</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414610F3-EEFC-4688-A2D4-63E1DEE92F35}">
          <x14:formula1>
            <xm:f>Validation!$A$3:$A$32</xm:f>
          </x14:formula1>
          <xm:sqref>C3</xm:sqref>
        </x14:dataValidation>
        <x14:dataValidation type="list" allowBlank="1" showInputMessage="1" showErrorMessage="1" xr:uid="{713B6A27-143F-4DB2-9B70-D9AD4D994E5C}">
          <x14:formula1>
            <xm:f>Validation!$A$4:$A$31</xm:f>
          </x14:formula1>
          <xm:sqref>C4</xm:sqref>
        </x14:dataValidation>
        <x14:dataValidation type="list" allowBlank="1" showInputMessage="1" showErrorMessage="1" xr:uid="{4063DD47-253F-4570-96F7-A406EF578100}">
          <x14:formula1>
            <xm:f>Validation!$F$3:$F$4</xm:f>
          </x14:formula1>
          <xm:sqref>C7:C9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G45"/>
  <sheetViews>
    <sheetView showGridLines="0" zoomScaleNormal="100" workbookViewId="0"/>
  </sheetViews>
  <sheetFormatPr defaultRowHeight="13.15" outlineLevelCol="1" x14ac:dyDescent="0.4"/>
  <cols>
    <col min="1" max="1" width="5.28515625" customWidth="1"/>
    <col min="2" max="2" width="214.140625" bestFit="1" customWidth="1"/>
    <col min="3" max="3" width="18.28515625" hidden="1" customWidth="1" outlineLevel="1"/>
    <col min="4" max="4" width="18.85546875" hidden="1" customWidth="1" outlineLevel="1"/>
    <col min="5" max="5" width="21.28515625" hidden="1" customWidth="1" outlineLevel="1"/>
    <col min="6" max="6" width="12.42578125" customWidth="1" collapsed="1"/>
    <col min="7" max="7" width="4" customWidth="1"/>
  </cols>
  <sheetData>
    <row r="2" spans="2:7" ht="18" x14ac:dyDescent="0.55000000000000004">
      <c r="B2" s="67" t="s">
        <v>738</v>
      </c>
      <c r="F2" s="3"/>
    </row>
    <row r="3" spans="2:7" ht="15" customHeight="1" x14ac:dyDescent="0.4">
      <c r="B3" t="s">
        <v>378</v>
      </c>
      <c r="C3" t="s">
        <v>379</v>
      </c>
      <c r="F3" s="69" t="s">
        <v>23</v>
      </c>
      <c r="G3" s="10" t="str">
        <f t="shared" ref="G3:G4" si="0">HYPERLINK("#"&amp;ADDRESS(ROW(),COLUMN()-1),CHAR(128))</f>
        <v>€</v>
      </c>
    </row>
    <row r="4" spans="2:7" x14ac:dyDescent="0.4">
      <c r="B4" t="s">
        <v>809</v>
      </c>
      <c r="F4" s="69" t="s">
        <v>23</v>
      </c>
      <c r="G4" s="10" t="str">
        <f t="shared" si="0"/>
        <v>€</v>
      </c>
    </row>
    <row r="5" spans="2:7" x14ac:dyDescent="0.4">
      <c r="F5" s="70"/>
    </row>
    <row r="6" spans="2:7" ht="18" x14ac:dyDescent="0.55000000000000004">
      <c r="B6" s="67" t="s">
        <v>739</v>
      </c>
      <c r="F6" s="70"/>
    </row>
    <row r="7" spans="2:7" ht="15" customHeight="1" x14ac:dyDescent="0.4">
      <c r="B7" t="s">
        <v>187</v>
      </c>
      <c r="C7" t="s">
        <v>188</v>
      </c>
      <c r="F7" s="69" t="b">
        <v>1</v>
      </c>
      <c r="G7" s="10" t="str">
        <f t="shared" ref="G7:G27" si="1">HYPERLINK("#"&amp;ADDRESS(ROW(),COLUMN()-1),CHAR(128))</f>
        <v>€</v>
      </c>
    </row>
    <row r="8" spans="2:7" x14ac:dyDescent="0.4">
      <c r="B8" s="13" t="s">
        <v>189</v>
      </c>
      <c r="C8" t="s">
        <v>190</v>
      </c>
      <c r="F8" s="69" t="b">
        <v>1</v>
      </c>
      <c r="G8" s="10" t="str">
        <f t="shared" si="1"/>
        <v>€</v>
      </c>
    </row>
    <row r="9" spans="2:7" x14ac:dyDescent="0.4">
      <c r="B9" s="13" t="s">
        <v>191</v>
      </c>
      <c r="C9" t="s">
        <v>190</v>
      </c>
      <c r="F9" s="69" t="b">
        <v>1</v>
      </c>
      <c r="G9" s="10" t="str">
        <f t="shared" si="1"/>
        <v>€</v>
      </c>
    </row>
    <row r="10" spans="2:7" x14ac:dyDescent="0.4">
      <c r="B10" t="s">
        <v>192</v>
      </c>
      <c r="C10" t="s">
        <v>193</v>
      </c>
      <c r="F10" s="69" t="b">
        <v>1</v>
      </c>
      <c r="G10" s="10" t="str">
        <f t="shared" si="1"/>
        <v>€</v>
      </c>
    </row>
    <row r="11" spans="2:7" x14ac:dyDescent="0.4">
      <c r="B11" t="s">
        <v>194</v>
      </c>
      <c r="C11" t="s">
        <v>193</v>
      </c>
      <c r="F11" s="69" t="b">
        <v>1</v>
      </c>
      <c r="G11" s="10" t="str">
        <f t="shared" si="1"/>
        <v>€</v>
      </c>
    </row>
    <row r="12" spans="2:7" x14ac:dyDescent="0.4">
      <c r="B12" t="s">
        <v>195</v>
      </c>
      <c r="C12" t="s">
        <v>196</v>
      </c>
      <c r="F12" s="69" t="b">
        <v>1</v>
      </c>
      <c r="G12" s="10" t="str">
        <f t="shared" si="1"/>
        <v>€</v>
      </c>
    </row>
    <row r="13" spans="2:7" x14ac:dyDescent="0.4">
      <c r="B13" t="s">
        <v>197</v>
      </c>
      <c r="C13" t="s">
        <v>198</v>
      </c>
      <c r="F13" s="69" t="b">
        <v>1</v>
      </c>
      <c r="G13" s="10" t="str">
        <f t="shared" si="1"/>
        <v>€</v>
      </c>
    </row>
    <row r="14" spans="2:7" x14ac:dyDescent="0.4">
      <c r="B14" t="s">
        <v>199</v>
      </c>
      <c r="C14" t="s">
        <v>200</v>
      </c>
      <c r="F14" s="69" t="b">
        <v>1</v>
      </c>
      <c r="G14" s="10" t="str">
        <f t="shared" si="1"/>
        <v>€</v>
      </c>
    </row>
    <row r="15" spans="2:7" x14ac:dyDescent="0.4">
      <c r="B15" t="s">
        <v>201</v>
      </c>
      <c r="C15" t="s">
        <v>391</v>
      </c>
      <c r="F15" s="69" t="b">
        <v>1</v>
      </c>
      <c r="G15" s="10" t="str">
        <f t="shared" si="1"/>
        <v>€</v>
      </c>
    </row>
    <row r="16" spans="2:7" x14ac:dyDescent="0.4">
      <c r="B16" s="2" t="s">
        <v>202</v>
      </c>
      <c r="C16" t="s">
        <v>392</v>
      </c>
      <c r="F16" s="69" t="b">
        <v>1</v>
      </c>
      <c r="G16" s="10" t="str">
        <f t="shared" si="1"/>
        <v>€</v>
      </c>
    </row>
    <row r="17" spans="2:7" x14ac:dyDescent="0.4">
      <c r="B17" s="2" t="s">
        <v>386</v>
      </c>
      <c r="C17" t="s">
        <v>393</v>
      </c>
      <c r="F17" s="69" t="b">
        <v>1</v>
      </c>
      <c r="G17" s="10" t="str">
        <f t="shared" si="1"/>
        <v>€</v>
      </c>
    </row>
    <row r="18" spans="2:7" x14ac:dyDescent="0.4">
      <c r="B18" s="2" t="s">
        <v>387</v>
      </c>
      <c r="C18" t="s">
        <v>394</v>
      </c>
      <c r="F18" s="69" t="b">
        <v>1</v>
      </c>
      <c r="G18" s="10" t="str">
        <f t="shared" si="1"/>
        <v>€</v>
      </c>
    </row>
    <row r="19" spans="2:7" x14ac:dyDescent="0.4">
      <c r="B19" s="2" t="s">
        <v>388</v>
      </c>
      <c r="C19" t="s">
        <v>395</v>
      </c>
      <c r="F19" s="69" t="b">
        <v>1</v>
      </c>
      <c r="G19" s="10" t="str">
        <f t="shared" si="1"/>
        <v>€</v>
      </c>
    </row>
    <row r="20" spans="2:7" x14ac:dyDescent="0.4">
      <c r="B20" s="2" t="s">
        <v>384</v>
      </c>
      <c r="C20" t="s">
        <v>385</v>
      </c>
      <c r="F20" s="69" t="b">
        <v>1</v>
      </c>
      <c r="G20" s="10" t="str">
        <f t="shared" si="1"/>
        <v>€</v>
      </c>
    </row>
    <row r="21" spans="2:7" x14ac:dyDescent="0.4">
      <c r="B21" s="2" t="s">
        <v>389</v>
      </c>
      <c r="C21" t="s">
        <v>390</v>
      </c>
      <c r="F21" s="69" t="b">
        <v>1</v>
      </c>
      <c r="G21" s="10" t="str">
        <f t="shared" si="1"/>
        <v>€</v>
      </c>
    </row>
    <row r="22" spans="2:7" x14ac:dyDescent="0.4">
      <c r="B22" t="s">
        <v>203</v>
      </c>
      <c r="C22" t="s">
        <v>204</v>
      </c>
      <c r="F22" s="69" t="b">
        <v>1</v>
      </c>
      <c r="G22" s="10" t="str">
        <f t="shared" si="1"/>
        <v>€</v>
      </c>
    </row>
    <row r="23" spans="2:7" x14ac:dyDescent="0.4">
      <c r="B23" t="s">
        <v>205</v>
      </c>
      <c r="C23" t="s">
        <v>206</v>
      </c>
      <c r="F23" s="69" t="b">
        <v>1</v>
      </c>
      <c r="G23" s="10" t="str">
        <f t="shared" si="1"/>
        <v>€</v>
      </c>
    </row>
    <row r="24" spans="2:7" x14ac:dyDescent="0.4">
      <c r="B24" s="2" t="s">
        <v>207</v>
      </c>
      <c r="C24" t="s">
        <v>214</v>
      </c>
      <c r="F24" s="69" t="b">
        <v>1</v>
      </c>
      <c r="G24" s="10" t="str">
        <f t="shared" si="1"/>
        <v>€</v>
      </c>
    </row>
    <row r="25" spans="2:7" x14ac:dyDescent="0.4">
      <c r="B25" t="s">
        <v>208</v>
      </c>
      <c r="C25" t="s">
        <v>209</v>
      </c>
      <c r="F25" s="69" t="b">
        <v>1</v>
      </c>
      <c r="G25" s="10" t="str">
        <f t="shared" si="1"/>
        <v>€</v>
      </c>
    </row>
    <row r="26" spans="2:7" x14ac:dyDescent="0.4">
      <c r="B26" t="s">
        <v>210</v>
      </c>
      <c r="C26" t="s">
        <v>211</v>
      </c>
      <c r="F26" s="69" t="b">
        <v>1</v>
      </c>
      <c r="G26" s="10" t="str">
        <f t="shared" si="1"/>
        <v>€</v>
      </c>
    </row>
    <row r="27" spans="2:7" x14ac:dyDescent="0.4">
      <c r="B27" t="s">
        <v>212</v>
      </c>
      <c r="C27" t="s">
        <v>213</v>
      </c>
      <c r="F27" s="69" t="b">
        <v>1</v>
      </c>
      <c r="G27" s="10" t="str">
        <f t="shared" si="1"/>
        <v>€</v>
      </c>
    </row>
    <row r="29" spans="2:7" ht="18" x14ac:dyDescent="0.55000000000000004">
      <c r="B29" s="67" t="s">
        <v>740</v>
      </c>
    </row>
    <row r="30" spans="2:7" ht="15" customHeight="1" x14ac:dyDescent="0.4">
      <c r="B30" s="158" t="s">
        <v>604</v>
      </c>
      <c r="C30" s="158" t="s">
        <v>605</v>
      </c>
      <c r="F30" s="69" t="b">
        <v>0</v>
      </c>
      <c r="G30" s="10" t="str">
        <f t="shared" ref="G30:G42" si="2">HYPERLINK("#"&amp;ADDRESS(ROW(),COLUMN()-1),CHAR(128))</f>
        <v>€</v>
      </c>
    </row>
    <row r="31" spans="2:7" x14ac:dyDescent="0.4">
      <c r="B31" s="158" t="s">
        <v>606</v>
      </c>
      <c r="C31" s="158" t="s">
        <v>607</v>
      </c>
      <c r="F31" s="69" t="s">
        <v>317</v>
      </c>
      <c r="G31" s="10" t="str">
        <f t="shared" si="2"/>
        <v>€</v>
      </c>
    </row>
    <row r="32" spans="2:7" x14ac:dyDescent="0.4">
      <c r="B32" s="158" t="s">
        <v>608</v>
      </c>
      <c r="C32" s="158" t="s">
        <v>609</v>
      </c>
      <c r="F32" s="69" t="s">
        <v>317</v>
      </c>
      <c r="G32" s="10" t="str">
        <f t="shared" si="2"/>
        <v>€</v>
      </c>
    </row>
    <row r="33" spans="2:7" x14ac:dyDescent="0.4">
      <c r="B33" s="158" t="s">
        <v>610</v>
      </c>
      <c r="C33" s="158" t="s">
        <v>611</v>
      </c>
      <c r="F33" s="69" t="s">
        <v>317</v>
      </c>
      <c r="G33" s="10" t="str">
        <f t="shared" si="2"/>
        <v>€</v>
      </c>
    </row>
    <row r="34" spans="2:7" x14ac:dyDescent="0.4">
      <c r="B34" s="158" t="s">
        <v>612</v>
      </c>
      <c r="C34" s="158" t="s">
        <v>613</v>
      </c>
      <c r="F34" s="69" t="s">
        <v>317</v>
      </c>
      <c r="G34" s="10" t="str">
        <f t="shared" si="2"/>
        <v>€</v>
      </c>
    </row>
    <row r="35" spans="2:7" x14ac:dyDescent="0.4">
      <c r="B35" s="158" t="s">
        <v>614</v>
      </c>
      <c r="C35" s="158" t="s">
        <v>615</v>
      </c>
      <c r="F35" s="69" t="s">
        <v>317</v>
      </c>
      <c r="G35" s="10" t="str">
        <f t="shared" si="2"/>
        <v>€</v>
      </c>
    </row>
    <row r="36" spans="2:7" x14ac:dyDescent="0.4">
      <c r="B36" s="158" t="s">
        <v>616</v>
      </c>
      <c r="C36" s="158" t="s">
        <v>617</v>
      </c>
      <c r="F36" s="69" t="s">
        <v>317</v>
      </c>
      <c r="G36" s="10" t="str">
        <f t="shared" si="2"/>
        <v>€</v>
      </c>
    </row>
    <row r="37" spans="2:7" x14ac:dyDescent="0.4">
      <c r="B37" s="158" t="s">
        <v>618</v>
      </c>
      <c r="C37" s="158" t="s">
        <v>619</v>
      </c>
      <c r="F37" s="69" t="s">
        <v>317</v>
      </c>
      <c r="G37" s="10" t="str">
        <f t="shared" si="2"/>
        <v>€</v>
      </c>
    </row>
    <row r="38" spans="2:7" x14ac:dyDescent="0.4">
      <c r="B38" s="158" t="s">
        <v>620</v>
      </c>
      <c r="C38" s="158" t="s">
        <v>621</v>
      </c>
      <c r="F38" s="69" t="s">
        <v>317</v>
      </c>
      <c r="G38" s="10" t="str">
        <f t="shared" si="2"/>
        <v>€</v>
      </c>
    </row>
    <row r="39" spans="2:7" x14ac:dyDescent="0.4">
      <c r="B39" s="158" t="s">
        <v>622</v>
      </c>
      <c r="C39" s="158" t="s">
        <v>623</v>
      </c>
      <c r="F39" s="69" t="s">
        <v>317</v>
      </c>
      <c r="G39" s="10" t="str">
        <f t="shared" si="2"/>
        <v>€</v>
      </c>
    </row>
    <row r="40" spans="2:7" x14ac:dyDescent="0.4">
      <c r="B40" s="158" t="s">
        <v>624</v>
      </c>
      <c r="C40" s="158" t="s">
        <v>625</v>
      </c>
      <c r="F40" s="69" t="s">
        <v>317</v>
      </c>
      <c r="G40" s="10" t="str">
        <f t="shared" si="2"/>
        <v>€</v>
      </c>
    </row>
    <row r="41" spans="2:7" x14ac:dyDescent="0.4">
      <c r="B41" s="158" t="s">
        <v>626</v>
      </c>
      <c r="C41" s="158" t="s">
        <v>625</v>
      </c>
      <c r="F41" s="69" t="s">
        <v>317</v>
      </c>
      <c r="G41" s="10" t="str">
        <f t="shared" si="2"/>
        <v>€</v>
      </c>
    </row>
    <row r="42" spans="2:7" x14ac:dyDescent="0.4">
      <c r="B42" s="158" t="s">
        <v>627</v>
      </c>
      <c r="C42" s="158" t="s">
        <v>628</v>
      </c>
      <c r="F42" s="69" t="s">
        <v>317</v>
      </c>
      <c r="G42" s="10" t="str">
        <f t="shared" si="2"/>
        <v>€</v>
      </c>
    </row>
    <row r="43" spans="2:7" ht="18" x14ac:dyDescent="0.55000000000000004">
      <c r="B43" s="67"/>
    </row>
    <row r="44" spans="2:7" ht="18" x14ac:dyDescent="0.55000000000000004">
      <c r="B44" s="67" t="s">
        <v>741</v>
      </c>
      <c r="D44" t="s">
        <v>603</v>
      </c>
    </row>
    <row r="45" spans="2:7" x14ac:dyDescent="0.4">
      <c r="B45" s="164" t="s">
        <v>515</v>
      </c>
      <c r="F45" s="69" t="s">
        <v>23</v>
      </c>
      <c r="G45" s="10" t="str">
        <f t="shared" ref="G45"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F3:F4 F45</xm:sqref>
        </x14:dataValidation>
        <x14:dataValidation type="list" allowBlank="1" showInputMessage="1" showErrorMessage="1" xr:uid="{84432622-41E7-4A98-B45C-0CE41F521885}">
          <x14:formula1>
            <xm:f>Validation!$F$3:$F$4</xm:f>
          </x14:formula1>
          <xm:sqref>F7:F27 F30</xm:sqref>
        </x14:dataValidation>
        <x14:dataValidation type="list" allowBlank="1" showInputMessage="1" showErrorMessage="1" xr:uid="{DC58A366-AE19-438B-9E43-813774766B98}">
          <x14:formula1>
            <xm:f>Validation!$F$3:$F$5</xm:f>
          </x14:formula1>
          <xm:sqref>F31:F42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G42"/>
  <sheetViews>
    <sheetView showGridLines="0" zoomScaleNormal="100" zoomScalePageLayoutView="55" workbookViewId="0"/>
  </sheetViews>
  <sheetFormatPr defaultColWidth="9" defaultRowHeight="14.25" x14ac:dyDescent="0.45"/>
  <cols>
    <col min="1" max="1" width="7.42578125" style="23" customWidth="1"/>
    <col min="2" max="2" width="59.7109375" style="23" customWidth="1"/>
    <col min="3" max="6" width="10.5703125" style="23" customWidth="1"/>
    <col min="7" max="7" width="12.42578125" style="23" customWidth="1"/>
    <col min="8" max="9" width="12" style="23" customWidth="1"/>
    <col min="10" max="10" width="15.28515625" style="23" customWidth="1"/>
    <col min="11" max="11" width="60" style="23" customWidth="1"/>
    <col min="12" max="19" width="9.7109375" style="23" customWidth="1"/>
    <col min="20" max="16384" width="9" style="23"/>
  </cols>
  <sheetData>
    <row r="1" spans="1:33" ht="48.75" customHeight="1" x14ac:dyDescent="1">
      <c r="A1" s="21"/>
      <c r="B1" s="96" t="str">
        <f>Country&amp;"'s adherence to Regulation (EU) 2024/1263 and associated guidance"</f>
        <v>Latvia's adherence to Regulation (EU) 2024/1263 and associated guidance</v>
      </c>
      <c r="D1" s="51"/>
      <c r="E1" s="51"/>
      <c r="F1" s="135"/>
      <c r="G1" s="51"/>
      <c r="H1"/>
      <c r="I1"/>
      <c r="J1"/>
      <c r="K1"/>
      <c r="L1"/>
      <c r="M1"/>
      <c r="N1"/>
      <c r="O1"/>
      <c r="P1"/>
      <c r="Q1"/>
      <c r="R1"/>
      <c r="S1"/>
      <c r="T1"/>
      <c r="U1"/>
      <c r="V1"/>
      <c r="W1"/>
      <c r="X1"/>
      <c r="Y1"/>
      <c r="Z1" s="3"/>
    </row>
    <row r="2" spans="1:33" ht="18" x14ac:dyDescent="0.55000000000000004">
      <c r="A2" s="26"/>
      <c r="P2" s="24"/>
      <c r="Q2" s="24"/>
      <c r="R2" s="24"/>
      <c r="S2" s="24"/>
      <c r="T2" s="24"/>
      <c r="U2" s="22"/>
      <c r="V2" s="22"/>
      <c r="W2" s="22"/>
      <c r="X2" s="22"/>
      <c r="Y2"/>
      <c r="Z2" s="3"/>
    </row>
    <row r="3" spans="1:33" customFormat="1" ht="17.25" customHeight="1" x14ac:dyDescent="0.45">
      <c r="B3" s="74" t="str">
        <f>IF(AssessmentRound="Implementation of an endorsed MTP","The Medium-Term Plan has been endorsed, the below is for information only (the scenario is set to assess the implementation of an endorsed MTP)","Assessing a new or revised MTP")</f>
        <v>The Medium-Term Plan has been endorsed, the below is for information only (the scenario is set to assess the implementation of an endorsed MTP)</v>
      </c>
      <c r="C3" s="23"/>
      <c r="D3" s="23"/>
      <c r="E3" s="23"/>
      <c r="F3" s="23"/>
      <c r="G3" s="23"/>
      <c r="H3" s="23"/>
      <c r="I3" s="23"/>
      <c r="J3" s="23"/>
      <c r="K3" s="91"/>
      <c r="L3" s="25"/>
      <c r="M3" s="23"/>
      <c r="N3" s="23"/>
      <c r="O3" s="23"/>
    </row>
    <row r="4" spans="1:33" x14ac:dyDescent="0.45">
      <c r="A4" s="21"/>
      <c r="K4" s="204"/>
      <c r="P4" s="28"/>
      <c r="Q4" s="28"/>
      <c r="R4" s="28"/>
      <c r="S4" s="28"/>
      <c r="T4" s="28"/>
      <c r="U4" s="30"/>
      <c r="V4" s="30"/>
      <c r="W4" s="30"/>
    </row>
    <row r="5" spans="1:33" x14ac:dyDescent="0.45">
      <c r="A5" s="21"/>
      <c r="B5" s="205" t="str">
        <f>CHAR(149)&amp;" This checks whether "&amp;Country&amp;" is adhering to its Council-endorsed medium-term structural-fiscal plan."</f>
        <v>• This checks whether Latvia is adhering to its Council-endorsed medium-term structural-fiscal plan.</v>
      </c>
      <c r="K5" s="204"/>
      <c r="L5" s="26"/>
      <c r="P5" s="28"/>
      <c r="Q5" s="28"/>
      <c r="R5" s="28"/>
      <c r="S5" s="28"/>
      <c r="T5" s="28"/>
      <c r="U5" s="30"/>
      <c r="V5" s="30"/>
      <c r="W5" s="30"/>
    </row>
    <row r="6" spans="1:33" customFormat="1" x14ac:dyDescent="0.45">
      <c r="B6" s="160" t="str">
        <f>CHAR(149)&amp;" "&amp;MTP_Requirement</f>
        <v>• Latvia does not receive a reference trajectory but its MTP must contain a net expenditure path that complies with TFEU general government debt and deficit sustainability requirements.</v>
      </c>
      <c r="C6" s="37"/>
      <c r="D6" s="37"/>
      <c r="E6" s="37"/>
      <c r="F6" s="37"/>
      <c r="G6" s="37"/>
      <c r="H6" s="37"/>
      <c r="I6" s="37"/>
      <c r="J6" s="37"/>
      <c r="K6" s="91"/>
      <c r="L6" s="23"/>
      <c r="M6" s="23"/>
      <c r="N6" s="23"/>
      <c r="O6" s="23"/>
    </row>
    <row r="7" spans="1:33" x14ac:dyDescent="0.45">
      <c r="A7" s="21"/>
      <c r="B7" s="160"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7" s="37"/>
      <c r="D7" s="37"/>
      <c r="E7" s="37"/>
      <c r="F7" s="37"/>
      <c r="G7" s="37"/>
      <c r="H7" s="37"/>
      <c r="I7" s="37"/>
      <c r="J7" s="37"/>
      <c r="K7" s="204"/>
      <c r="L7" s="21"/>
      <c r="P7" s="28"/>
      <c r="Q7" s="28"/>
      <c r="R7" s="28"/>
      <c r="S7" s="28"/>
      <c r="T7" s="28"/>
      <c r="U7" s="28"/>
      <c r="V7" s="28"/>
      <c r="W7" s="28"/>
      <c r="X7" s="22"/>
      <c r="Y7" s="22"/>
    </row>
    <row r="8" spans="1:33" x14ac:dyDescent="0.45">
      <c r="A8" s="22"/>
      <c r="B8" s="160"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K8" s="186"/>
      <c r="L8" s="185"/>
    </row>
    <row r="9" spans="1:33" x14ac:dyDescent="0.45">
      <c r="A9" s="22"/>
    </row>
    <row r="10" spans="1:33" ht="15.75" x14ac:dyDescent="0.5">
      <c r="A10" s="133"/>
      <c r="B10" s="136" t="s">
        <v>18</v>
      </c>
      <c r="C10" s="136" t="s">
        <v>17</v>
      </c>
      <c r="D10" s="137"/>
      <c r="E10" s="137" t="s">
        <v>442</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row>
    <row r="11" spans="1:33" ht="19.149999999999999" customHeight="1" x14ac:dyDescent="0.7">
      <c r="A11" s="134" t="s">
        <v>446</v>
      </c>
      <c r="B11" s="97" t="s">
        <v>330</v>
      </c>
      <c r="C11" s="29" t="str">
        <f>IF(Assessment!C198,"Compliant","Breach")</f>
        <v>Compliant</v>
      </c>
      <c r="D11" s="94" t="s">
        <v>254</v>
      </c>
      <c r="E11" s="23" t="str">
        <f>Assessment!C199</f>
        <v>Latvia's net borrowing (general government deficit) in 2023 was 2.3% of GDP, which does not exceed the 3% TFEU deficit reference value.</v>
      </c>
    </row>
    <row r="12" spans="1:33" ht="19.149999999999999" customHeight="1" x14ac:dyDescent="0.7">
      <c r="A12" s="134" t="s">
        <v>447</v>
      </c>
      <c r="B12" s="97" t="s">
        <v>331</v>
      </c>
      <c r="C12" s="29" t="str">
        <f>IF(Assessment!C194,"Compliant","Breach")</f>
        <v>Compliant</v>
      </c>
      <c r="D12" s="94" t="s">
        <v>254</v>
      </c>
      <c r="E12" s="23" t="str">
        <f>Assessment!C195</f>
        <v>Latvia's gross general government debt in 2023 was 44.4% of GDP, below the 60% TFEU reference value.</v>
      </c>
    </row>
    <row r="13" spans="1:33" ht="19.149999999999999" customHeight="1" x14ac:dyDescent="0.7">
      <c r="A13" s="134" t="s">
        <v>448</v>
      </c>
      <c r="B13" s="97" t="s">
        <v>672</v>
      </c>
      <c r="C13" s="29" t="str">
        <f>IF(Receives_reference_trajectory,"Yes","No")</f>
        <v>No</v>
      </c>
      <c r="D13" s="94" t="s">
        <v>254</v>
      </c>
      <c r="E13" s="23" t="str">
        <f>MTP_Requirement</f>
        <v>Latvia does not receive a reference trajectory but its MTP must contain a net expenditure path that complies with TFEU general government debt and deficit sustainability requirements.</v>
      </c>
    </row>
    <row r="14" spans="1:33" ht="19.149999999999999" customHeight="1" x14ac:dyDescent="0.7">
      <c r="A14" s="134" t="s">
        <v>449</v>
      </c>
      <c r="B14" s="97" t="s">
        <v>578</v>
      </c>
      <c r="C14" s="29" t="str">
        <f>IF(Assessment!$C$209,"Compliant","Breach")</f>
        <v>Compliant</v>
      </c>
      <c r="D14" s="94" t="s">
        <v>254</v>
      </c>
      <c r="E14" s="23" t="str">
        <f>Assessment!C210</f>
        <v>The Fiscal Discipline Council has concluded that the plan contains all information required by Article 13 of Regulation (EU) 2024/1263.</v>
      </c>
    </row>
    <row r="15" spans="1:33" ht="19.149999999999999" customHeight="1" x14ac:dyDescent="0.7">
      <c r="A15" s="134" t="s">
        <v>450</v>
      </c>
      <c r="B15" s="97" t="s">
        <v>602</v>
      </c>
      <c r="C15" s="29" t="str">
        <f>IF(
  AdjustmentPeriod=7,
  IF(Assessment!C214, "Compliant", "Breach"),
  "N/A"
)</f>
        <v>N/A</v>
      </c>
      <c r="D15" s="94" t="s">
        <v>254</v>
      </c>
      <c r="E15" s="23" t="str">
        <f>Assessment!C215</f>
        <v>Not applicable. Latvia has not requested an extension of the adjustment period.</v>
      </c>
    </row>
    <row r="16" spans="1:33" ht="19.149999999999999" customHeight="1" x14ac:dyDescent="0.7">
      <c r="A16" s="134" t="s">
        <v>451</v>
      </c>
      <c r="B16" s="97" t="s">
        <v>577</v>
      </c>
      <c r="C16" s="29" t="str">
        <f>IF(
  NOT(Receives_reference_trajectory),
  "N/A",
  IF(
    NOT(Assessment!$C$223),
    "Compliant",
    IF(
      Assessment!$C$224,
      "Compliant",
      "Breach"
    )
  )
)</f>
        <v>N/A</v>
      </c>
      <c r="D16" s="94" t="s">
        <v>254</v>
      </c>
      <c r="E16" s="23" t="str">
        <f>Assessment!C225</f>
        <v>The average net expenditure growth reported in Latvia's plan over the adjustment period (2025–2028) is higher than the technical information path transmitted by the Commission on 30 June 2024. but remaining below the technical information path is not required.</v>
      </c>
    </row>
    <row r="17" spans="1:33" ht="19.149999999999999" customHeight="1" x14ac:dyDescent="0.7">
      <c r="A17" s="134" t="s">
        <v>452</v>
      </c>
      <c r="B17" s="97" t="s">
        <v>552</v>
      </c>
      <c r="C17" s="29" t="str">
        <f>IF(Receives_reference_trajectory,IF(Assessment!C231,"Compliant","Breach"),IF(Assessment!C241,"Compliant","Breach"))</f>
        <v>Compliant</v>
      </c>
      <c r="D17" s="94" t="s">
        <v>254</v>
      </c>
      <c r="E17" s="23" t="str">
        <f>IF(Receives_reference_trajectory,Assessment!C232,Assessment!C242)</f>
        <v>The net expenditure path in Latvia's latest MTP ensures the primary structural balance is above the minimum level of the Commission's prior guidance at the end of the adjustment period.</v>
      </c>
    </row>
    <row r="18" spans="1:33" ht="19.149999999999999" customHeight="1" x14ac:dyDescent="0.7">
      <c r="A18" s="134" t="s">
        <v>453</v>
      </c>
      <c r="B18" s="97" t="s">
        <v>670</v>
      </c>
      <c r="C18" s="29" t="str">
        <f>IF(Receives_reference_trajectory,IF(Assessment!C254,"Compliant","Breach"),IF(Assessment!C258,"Compliant","Breach"))</f>
        <v>Compliant</v>
      </c>
      <c r="D18" s="94" t="s">
        <v>254</v>
      </c>
      <c r="E18" s="23" t="str">
        <f>IF(Receives_reference_trajectory,Assessment!$C$255,Assessment!$C$259)</f>
        <v>Latvia's debt remains below the TFEU debt reference level in each of the ten years following the adjustment period.</v>
      </c>
    </row>
    <row r="19" spans="1:33" ht="19.149999999999999" customHeight="1" x14ac:dyDescent="0.7">
      <c r="A19" s="134" t="s">
        <v>454</v>
      </c>
      <c r="B19" s="97" t="s">
        <v>671</v>
      </c>
      <c r="C19" s="29" t="str">
        <f>IF(Receives_reference_trajectory,IF(Assessment!C264,"Compliant","Breach"),IF(Assessment!C268,"Compliant","Breach"))</f>
        <v>Compliant</v>
      </c>
      <c r="D19" s="94" t="s">
        <v>254</v>
      </c>
      <c r="E19" s="23" t="str">
        <f>IF(Receives_reference_trajectory,Assessment!$C$265,Assessment!$C$272)</f>
        <v>Latvia's deficit remains below the TFEU reference level in the final year of the adjustment period and throughout the following ten years.</v>
      </c>
    </row>
    <row r="20" spans="1:33" ht="19.149999999999999" customHeight="1" x14ac:dyDescent="0.7">
      <c r="A20" s="134" t="s">
        <v>455</v>
      </c>
      <c r="B20" s="97" t="s">
        <v>559</v>
      </c>
      <c r="C20" s="29" t="str">
        <f>IF(Receives_reference_trajectory,IF(Assessment!C283,"Compliant","Breach"),"N/A")</f>
        <v>N/A</v>
      </c>
      <c r="D20" s="94" t="s">
        <v>254</v>
      </c>
      <c r="E20" s="23" t="str">
        <f>Assessment!C285</f>
        <v>Not applicable - Latvia is not required to comply with a reference trajectory.</v>
      </c>
    </row>
    <row r="21" spans="1:33" ht="19.149999999999999" customHeight="1" x14ac:dyDescent="0.7">
      <c r="A21" s="134" t="s">
        <v>456</v>
      </c>
      <c r="B21" s="97" t="s">
        <v>339</v>
      </c>
      <c r="C21" s="97" t="str">
        <f>_xlfn.IFNA(IF(Assessment!C296,"Compliant",IF(NOT(Assessment!C305),"Breach")),"N/A")</f>
        <v>N/A</v>
      </c>
      <c r="D21" s="94" t="s">
        <v>254</v>
      </c>
      <c r="E21" s="23" t="str">
        <f>Assessment!C297</f>
        <v>The Council has not opened an excessive deficit procedure against Latvia.</v>
      </c>
    </row>
    <row r="22" spans="1:33" ht="19.149999999999999" customHeight="1" x14ac:dyDescent="0.7">
      <c r="A22" s="134" t="s">
        <v>516</v>
      </c>
      <c r="B22" s="97" t="s">
        <v>514</v>
      </c>
      <c r="C22" s="29" t="str">
        <f>IF(
  NOT(Receives_reference_trajectory),
  "N/A",
  IF(
    OR(Assessment!C302, Assessment!C303),
    IF(
      OR(
        IF(Assessment!C302,NOT(Assessment!C304), FALSE),
        IF(Assessment!C303,NOT(Assessment!C305), FALSE)
      ),
      "Breach",
      "Compliant"
    ),
    "The debt sustainability safeguard does not apply."
  )
)</f>
        <v>N/A</v>
      </c>
      <c r="D22" s="94" t="s">
        <v>254</v>
      </c>
      <c r="E22" s="23" t="str">
        <f>Assessment!C308</f>
        <v>Latvia does not receive a reference trajectory and its MTP is not assessed against the debt sustainability safeguard.</v>
      </c>
    </row>
    <row r="23" spans="1:33" ht="19.149999999999999" customHeight="1" x14ac:dyDescent="0.7">
      <c r="A23" s="134" t="s">
        <v>584</v>
      </c>
      <c r="B23" s="97" t="s">
        <v>681</v>
      </c>
      <c r="C23" s="29" t="str">
        <f>IF(
  NOT(Receives_reference_trajectory),
  "N/A",
  IF(
    OR(Assessment!C317=FALSE, ISNA(Assessment!C319)),
    "N/A",
    IF(Assessment!C319, "Compliant", "Breach")
  )
)</f>
        <v>N/A</v>
      </c>
      <c r="D23" s="94" t="s">
        <v>254</v>
      </c>
      <c r="E23" s="23" t="str">
        <f>Assessment!C321</f>
        <v>Latvia does not receive a reference trajectory and its MTP is not assessed against the deficit resilience safeguard.</v>
      </c>
    </row>
    <row r="24" spans="1:33" ht="19.149999999999999" customHeight="1" x14ac:dyDescent="0.7">
      <c r="A24" s="134" t="s">
        <v>601</v>
      </c>
      <c r="B24" s="97" t="s">
        <v>807</v>
      </c>
      <c r="C24" s="97" t="str">
        <f>IF(
  Receives_reference_trajectory,
  IF(
    OR(ISNA(Assessment!C325), ISNA(Assessment!C326)),
    "N/A",
    IF(
      Assessment!C326 &gt;= Assessment!C325,
      "Compliant",
      IF(
        EscapeClauseActivated,
        "Caution",
        "Caution"
      )
    )
  ),
  IF(
    ISNA(Assessment!$C$337),
    "N/A",
    IF(
      Assessment!$C$337,
      "Compliant",
      "Breach"
    )
  )
)</f>
        <v>Compliant</v>
      </c>
      <c r="D24" s="94" t="s">
        <v>254</v>
      </c>
      <c r="E24" s="23" t="str">
        <f>IF(Receives_reference_trajectory,Assessment!C331,Assessment!C340)</f>
        <v>Latvia is required to meet the structural primary balance condition without a safeguard. This condition is met, although the safeguard threshold is not.</v>
      </c>
    </row>
    <row r="25" spans="1:33" ht="23.65" thickBot="1" x14ac:dyDescent="0.75">
      <c r="A25" s="134" t="s">
        <v>674</v>
      </c>
      <c r="B25" s="92" t="s">
        <v>568</v>
      </c>
      <c r="C25" s="92" t="str">
        <f>IF(COUNTIF(C14:C23,"Breach")&gt;0,"Breach",IF(COUNTIF(C16:C23,"Caution")&gt;0,"Caution","Compliant"))</f>
        <v>Compliant</v>
      </c>
      <c r="D25" s="93" t="s">
        <v>254</v>
      </c>
      <c r="E25" s="92" t="str">
        <f>IF(Receives_reference_trajectory,Assessment!C345,Assessment!C349)</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row>
    <row r="26" spans="1:33" customFormat="1" ht="19.149999999999999" customHeight="1" thickTop="1" x14ac:dyDescent="0.4"/>
    <row r="27" spans="1:33" customFormat="1" ht="19.149999999999999" customHeight="1" x14ac:dyDescent="0.45">
      <c r="I27" s="23"/>
      <c r="J27" s="23"/>
      <c r="K27" s="23"/>
      <c r="L27" s="23"/>
      <c r="M27" s="23"/>
      <c r="N27" s="23"/>
      <c r="O27" s="23"/>
      <c r="P27" s="23"/>
      <c r="Q27" s="23"/>
      <c r="R27" s="23"/>
      <c r="S27" s="23"/>
      <c r="T27" s="23"/>
      <c r="U27" s="23"/>
    </row>
    <row r="28" spans="1:33" customFormat="1" ht="19.149999999999999" customHeight="1" x14ac:dyDescent="0.45">
      <c r="B28" s="23"/>
      <c r="I28" s="23"/>
      <c r="J28" s="23"/>
      <c r="K28" s="23"/>
      <c r="L28" s="23"/>
      <c r="M28" s="23"/>
      <c r="N28" s="23"/>
      <c r="O28" s="23"/>
      <c r="P28" s="23"/>
      <c r="Q28" s="23"/>
      <c r="R28" s="23"/>
      <c r="S28" s="23"/>
      <c r="T28" s="23"/>
      <c r="U28" s="23"/>
    </row>
    <row r="29" spans="1:33" customFormat="1" ht="19.149999999999999" customHeight="1" x14ac:dyDescent="0.45">
      <c r="I29" s="23"/>
      <c r="J29" s="23"/>
      <c r="K29" s="23"/>
      <c r="L29" s="23"/>
      <c r="M29" s="23"/>
      <c r="N29" s="23"/>
      <c r="O29" s="23"/>
      <c r="P29" s="23"/>
      <c r="Q29" s="23"/>
      <c r="R29" s="23"/>
      <c r="S29" s="23"/>
      <c r="T29" s="23"/>
      <c r="U29" s="23"/>
    </row>
    <row r="30" spans="1:33" customFormat="1" ht="19.149999999999999" customHeight="1" x14ac:dyDescent="0.45">
      <c r="I30" s="23"/>
      <c r="J30" s="23"/>
      <c r="K30" s="23"/>
      <c r="L30" s="23"/>
      <c r="M30" s="23"/>
      <c r="N30" s="23"/>
      <c r="O30" s="23"/>
      <c r="P30" s="23"/>
      <c r="Q30" s="23"/>
      <c r="R30" s="23"/>
      <c r="S30" s="23"/>
      <c r="T30" s="23"/>
      <c r="U30" s="23"/>
    </row>
    <row r="31" spans="1:33" customFormat="1" ht="19.149999999999999" customHeight="1" x14ac:dyDescent="0.45">
      <c r="I31" s="23"/>
      <c r="J31" s="23"/>
      <c r="K31" s="23"/>
      <c r="L31" s="23"/>
      <c r="M31" s="23"/>
      <c r="N31" s="23"/>
      <c r="O31" s="23"/>
      <c r="P31" s="23"/>
      <c r="Q31" s="23"/>
      <c r="R31" s="23"/>
      <c r="S31" s="23"/>
      <c r="T31" s="23"/>
      <c r="U31" s="23"/>
    </row>
    <row r="32" spans="1:33" customFormat="1" ht="19.149999999999999" customHeight="1" x14ac:dyDescent="0.45">
      <c r="I32" s="23"/>
      <c r="J32" s="23"/>
      <c r="K32" s="23"/>
      <c r="L32" s="23"/>
      <c r="M32" s="23"/>
      <c r="N32" s="23"/>
      <c r="O32" s="23"/>
      <c r="P32" s="23"/>
      <c r="Q32" s="23"/>
      <c r="R32" s="23"/>
      <c r="S32" s="23"/>
      <c r="T32" s="23"/>
      <c r="U32" s="23"/>
    </row>
    <row r="33" spans="2:21" customFormat="1" ht="19.149999999999999" customHeight="1" x14ac:dyDescent="0.45">
      <c r="I33" s="23"/>
      <c r="J33" s="23"/>
      <c r="K33" s="23"/>
      <c r="L33" s="23"/>
      <c r="M33" s="23"/>
      <c r="N33" s="23"/>
      <c r="O33" s="23"/>
      <c r="P33" s="23"/>
      <c r="Q33" s="23"/>
      <c r="R33" s="23"/>
      <c r="S33" s="23"/>
      <c r="T33" s="23"/>
      <c r="U33" s="23"/>
    </row>
    <row r="34" spans="2:21" customFormat="1" ht="19.350000000000001" customHeight="1" x14ac:dyDescent="0.45">
      <c r="I34" s="23"/>
      <c r="J34" s="23"/>
      <c r="K34" s="23"/>
      <c r="L34" s="23"/>
      <c r="M34" s="23"/>
      <c r="N34" s="23"/>
      <c r="O34" s="23"/>
      <c r="P34" s="23"/>
      <c r="Q34" s="23"/>
      <c r="R34" s="23"/>
      <c r="S34" s="23"/>
      <c r="T34" s="23"/>
      <c r="U34" s="23"/>
    </row>
    <row r="35" spans="2:21" customFormat="1" x14ac:dyDescent="0.45">
      <c r="I35" s="23"/>
      <c r="J35" s="23"/>
      <c r="K35" s="23"/>
      <c r="L35" s="23"/>
      <c r="M35" s="23"/>
      <c r="N35" s="23"/>
      <c r="O35" s="23"/>
      <c r="P35" s="23"/>
      <c r="Q35" s="23"/>
      <c r="R35" s="23"/>
      <c r="S35" s="23"/>
      <c r="T35" s="23"/>
      <c r="U35" s="23"/>
    </row>
    <row r="36" spans="2:21" customFormat="1" ht="19.350000000000001" customHeight="1" x14ac:dyDescent="0.45">
      <c r="B36" s="23"/>
      <c r="C36" s="23"/>
      <c r="D36" s="23"/>
      <c r="E36" s="23"/>
      <c r="F36" s="23"/>
      <c r="G36" s="23"/>
      <c r="H36" s="23"/>
      <c r="I36" s="23"/>
      <c r="J36" s="23"/>
      <c r="K36" s="23"/>
      <c r="L36" s="23"/>
      <c r="M36" s="23"/>
      <c r="N36" s="23"/>
      <c r="O36" s="23"/>
      <c r="P36" s="23"/>
      <c r="Q36" s="23"/>
      <c r="R36" s="23"/>
      <c r="S36" s="23"/>
      <c r="T36" s="23"/>
      <c r="U36" s="23"/>
    </row>
    <row r="37" spans="2:21" customFormat="1" ht="14.65" customHeight="1" x14ac:dyDescent="0.45">
      <c r="B37" s="23"/>
      <c r="C37" s="23"/>
      <c r="D37" s="23"/>
      <c r="E37" s="23"/>
      <c r="F37" s="23"/>
      <c r="G37" s="23"/>
      <c r="H37" s="23"/>
      <c r="I37" s="23"/>
      <c r="J37" s="23"/>
      <c r="K37" s="23"/>
      <c r="L37" s="23"/>
      <c r="M37" s="23"/>
      <c r="N37" s="23"/>
      <c r="O37" s="23"/>
      <c r="P37" s="23"/>
      <c r="Q37" s="23"/>
      <c r="R37" s="23"/>
      <c r="S37" s="23"/>
      <c r="T37" s="23"/>
      <c r="U37" s="23"/>
    </row>
    <row r="38" spans="2:21" customFormat="1" ht="14.65" customHeight="1" x14ac:dyDescent="0.45">
      <c r="B38" s="23"/>
      <c r="C38" s="23"/>
      <c r="D38" s="23"/>
      <c r="E38" s="23"/>
      <c r="F38" s="23"/>
      <c r="G38" s="23"/>
      <c r="H38" s="23"/>
      <c r="I38" s="23"/>
      <c r="J38" s="23"/>
      <c r="K38" s="23"/>
      <c r="L38" s="23"/>
      <c r="M38" s="23"/>
      <c r="N38" s="23"/>
      <c r="O38" s="23"/>
      <c r="P38" s="23"/>
      <c r="Q38" s="23"/>
      <c r="R38" s="23"/>
      <c r="S38" s="23"/>
      <c r="T38" s="23"/>
      <c r="U38" s="23"/>
    </row>
    <row r="39" spans="2:21" customFormat="1" ht="16.149999999999999" customHeight="1" x14ac:dyDescent="0.45">
      <c r="B39" s="23"/>
      <c r="C39" s="23"/>
      <c r="D39" s="23"/>
      <c r="E39" s="23"/>
      <c r="F39" s="23"/>
      <c r="G39" s="23"/>
      <c r="H39" s="23"/>
      <c r="I39" s="23"/>
      <c r="J39" s="23"/>
      <c r="K39" s="23"/>
      <c r="L39" s="23"/>
      <c r="M39" s="23"/>
      <c r="N39" s="23"/>
      <c r="O39" s="23"/>
      <c r="P39" s="23"/>
      <c r="Q39" s="23"/>
      <c r="R39" s="23"/>
      <c r="S39" s="23"/>
      <c r="T39" s="23"/>
      <c r="U39" s="23"/>
    </row>
    <row r="40" spans="2:21" customFormat="1" ht="14.65" customHeight="1" x14ac:dyDescent="0.45">
      <c r="B40" s="23"/>
      <c r="C40" s="23"/>
      <c r="D40" s="23"/>
      <c r="E40" s="23"/>
      <c r="F40" s="23"/>
      <c r="G40" s="23"/>
      <c r="H40" s="23"/>
      <c r="I40" s="23"/>
      <c r="J40" s="23"/>
      <c r="K40" s="23"/>
      <c r="L40" s="23"/>
      <c r="M40" s="23"/>
      <c r="N40" s="23"/>
      <c r="O40" s="23"/>
      <c r="P40" s="23"/>
      <c r="Q40" s="23"/>
      <c r="R40" s="23"/>
      <c r="S40" s="23"/>
      <c r="T40" s="23"/>
      <c r="U40" s="23"/>
    </row>
    <row r="41" spans="2:21" customFormat="1" ht="14.65" customHeight="1" x14ac:dyDescent="0.45">
      <c r="B41" s="23"/>
      <c r="C41" s="23"/>
      <c r="D41" s="23"/>
      <c r="E41" s="23"/>
      <c r="F41" s="23"/>
      <c r="G41" s="23"/>
      <c r="H41" s="23"/>
      <c r="I41" s="23"/>
      <c r="J41" s="23"/>
      <c r="K41" s="23"/>
      <c r="L41" s="23"/>
      <c r="M41" s="23"/>
      <c r="N41" s="23"/>
      <c r="O41" s="23"/>
      <c r="P41" s="23"/>
      <c r="Q41" s="23"/>
      <c r="R41" s="23"/>
      <c r="S41" s="23"/>
      <c r="T41" s="23"/>
      <c r="U41" s="23"/>
    </row>
    <row r="42" spans="2:21" customFormat="1" ht="26.25" customHeight="1" x14ac:dyDescent="0.45">
      <c r="B42" s="23"/>
      <c r="C42" s="23"/>
      <c r="D42" s="23"/>
      <c r="E42" s="23"/>
      <c r="F42" s="23"/>
      <c r="G42" s="23"/>
      <c r="H42" s="23"/>
      <c r="I42" s="23"/>
      <c r="J42" s="23"/>
      <c r="K42" s="23"/>
      <c r="L42" s="23"/>
      <c r="M42" s="23"/>
      <c r="N42" s="23"/>
      <c r="O42" s="23"/>
      <c r="P42" s="23"/>
      <c r="Q42" s="23"/>
      <c r="R42" s="23"/>
      <c r="S42" s="23"/>
      <c r="T42" s="23"/>
      <c r="U42" s="23"/>
    </row>
  </sheetData>
  <phoneticPr fontId="4" type="noConversion"/>
  <conditionalFormatting sqref="D11:D12">
    <cfRule type="expression" dxfId="81" priority="101">
      <formula>C11="Caution"</formula>
    </cfRule>
    <cfRule type="expression" dxfId="80" priority="102">
      <formula>C11="Breach"</formula>
    </cfRule>
    <cfRule type="expression" dxfId="79" priority="103">
      <formula>C11="Compliant"</formula>
    </cfRule>
    <cfRule type="expression" dxfId="78" priority="104">
      <formula>AND(C11&lt;&gt;"Compliant", C11&lt;&gt;"Caution", C11&lt;&gt;"Breach")</formula>
    </cfRule>
  </conditionalFormatting>
  <conditionalFormatting sqref="D17">
    <cfRule type="expression" dxfId="77" priority="97">
      <formula>C17="Caution"</formula>
    </cfRule>
    <cfRule type="expression" dxfId="76" priority="98">
      <formula>C17="Breach"</formula>
    </cfRule>
    <cfRule type="expression" dxfId="75" priority="99">
      <formula>C17="Compliant"</formula>
    </cfRule>
    <cfRule type="expression" dxfId="74" priority="100">
      <formula>AND(C17&lt;&gt;"Compliant", C17&lt;&gt;"Caution", C17&lt;&gt;"Breach")</formula>
    </cfRule>
  </conditionalFormatting>
  <conditionalFormatting sqref="B25:AG25">
    <cfRule type="expression" dxfId="73" priority="131">
      <formula>$C$25="Compliant"</formula>
    </cfRule>
    <cfRule type="expression" dxfId="72" priority="132">
      <formula>$C$25="Caution"</formula>
    </cfRule>
    <cfRule type="expression" dxfId="71" priority="133">
      <formula>$C$25="Breach"</formula>
    </cfRule>
  </conditionalFormatting>
  <conditionalFormatting sqref="D19">
    <cfRule type="expression" dxfId="70" priority="105">
      <formula>C19="Caution"</formula>
    </cfRule>
    <cfRule type="expression" dxfId="69" priority="106">
      <formula>C19="Breach"</formula>
    </cfRule>
    <cfRule type="expression" dxfId="68" priority="107">
      <formula>C19="Compliant"</formula>
    </cfRule>
  </conditionalFormatting>
  <conditionalFormatting sqref="D24">
    <cfRule type="expression" dxfId="67" priority="41">
      <formula>C24="Caution"</formula>
    </cfRule>
    <cfRule type="expression" dxfId="66" priority="42">
      <formula>C24="Breach"</formula>
    </cfRule>
    <cfRule type="expression" dxfId="65" priority="43">
      <formula>C24="Compliant"</formula>
    </cfRule>
    <cfRule type="expression" dxfId="64" priority="44">
      <formula>AND(C24&lt;&gt;"Compliant", C24&lt;&gt;"Caution", C24&lt;&gt;"Breach")</formula>
    </cfRule>
  </conditionalFormatting>
  <conditionalFormatting sqref="D20:D23">
    <cfRule type="expression" dxfId="63" priority="37">
      <formula>C20="Caution"</formula>
    </cfRule>
    <cfRule type="expression" dxfId="62" priority="38">
      <formula>C20="Breach"</formula>
    </cfRule>
    <cfRule type="expression" dxfId="61" priority="39">
      <formula>C20="Compliant"</formula>
    </cfRule>
    <cfRule type="expression" dxfId="60" priority="40">
      <formula>AND(C20&lt;&gt;"Compliant", C20&lt;&gt;"Caution", C20&lt;&gt;"Breach")</formula>
    </cfRule>
  </conditionalFormatting>
  <conditionalFormatting sqref="D18">
    <cfRule type="expression" dxfId="59" priority="33">
      <formula>C18="Caution"</formula>
    </cfRule>
    <cfRule type="expression" dxfId="58" priority="34">
      <formula>C18="Breach"</formula>
    </cfRule>
    <cfRule type="expression" dxfId="57" priority="35">
      <formula>C18="Compliant"</formula>
    </cfRule>
    <cfRule type="expression" dxfId="56" priority="36">
      <formula>AND(C18&lt;&gt;"Compliant", C18&lt;&gt;"Caution", C18&lt;&gt;"Breach")</formula>
    </cfRule>
  </conditionalFormatting>
  <conditionalFormatting sqref="D16">
    <cfRule type="expression" dxfId="55" priority="29">
      <formula>C16="Caution"</formula>
    </cfRule>
    <cfRule type="expression" dxfId="54" priority="30">
      <formula>C16="Breach"</formula>
    </cfRule>
    <cfRule type="expression" dxfId="53" priority="31">
      <formula>C16="Compliant"</formula>
    </cfRule>
    <cfRule type="expression" dxfId="52" priority="32">
      <formula>AND(C16&lt;&gt;"Compliant", C16&lt;&gt;"Caution", C16&lt;&gt;"Breach")</formula>
    </cfRule>
  </conditionalFormatting>
  <conditionalFormatting sqref="D15">
    <cfRule type="expression" dxfId="51" priority="25">
      <formula>C15="Caution"</formula>
    </cfRule>
    <cfRule type="expression" dxfId="50" priority="26">
      <formula>C15="Breach"</formula>
    </cfRule>
    <cfRule type="expression" dxfId="49" priority="27">
      <formula>C15="Compliant"</formula>
    </cfRule>
    <cfRule type="expression" dxfId="48" priority="28">
      <formula>AND(C15&lt;&gt;"Compliant", C15&lt;&gt;"Caution", C15&lt;&gt;"Breach")</formula>
    </cfRule>
  </conditionalFormatting>
  <conditionalFormatting sqref="D14">
    <cfRule type="expression" dxfId="47" priority="21">
      <formula>C14="Caution"</formula>
    </cfRule>
    <cfRule type="expression" dxfId="46" priority="22">
      <formula>C14="Breach"</formula>
    </cfRule>
    <cfRule type="expression" dxfId="45" priority="23">
      <formula>C14="Compliant"</formula>
    </cfRule>
    <cfRule type="expression" dxfId="44" priority="24">
      <formula>AND(C14&lt;&gt;"Compliant", C14&lt;&gt;"Caution", C14&lt;&gt;"Breach")</formula>
    </cfRule>
  </conditionalFormatting>
  <conditionalFormatting sqref="D13">
    <cfRule type="expression" dxfId="43" priority="6">
      <formula>$C$13="No"</formula>
    </cfRule>
    <cfRule type="expression" dxfId="42" priority="7">
      <formula>$C$13="Yes"</formula>
    </cfRule>
  </conditionalFormatting>
  <pageMargins left="0.23622047244094491" right="0.23622047244094491" top="0" bottom="0" header="0.31496062992125984" footer="0.31496062992125984"/>
  <pageSetup paperSize="9" scale="45" fitToHeight="0" orientation="landscape" r:id="rId1"/>
  <colBreaks count="1" manualBreakCount="1">
    <brk id="23" max="1048575" man="1"/>
  </col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L8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49"/>
  <sheetViews>
    <sheetView showGridLines="0" zoomScaleNormal="100" workbookViewId="0"/>
  </sheetViews>
  <sheetFormatPr defaultColWidth="9" defaultRowHeight="13.15" x14ac:dyDescent="0.4"/>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4">
      <c r="B1" s="120" t="s">
        <v>965</v>
      </c>
    </row>
    <row r="2" spans="2:23" customFormat="1" ht="23.25" x14ac:dyDescent="0.7">
      <c r="B2" s="14" t="str">
        <f>"Latest outturn data to "&amp;OutturnThrough&amp;IF(OutturnThrough=AssessmentEnd,""," and "&amp;ScenarioName)</f>
        <v>Latest outturn data to 2024 and Draft Budgetary Plan 2026</v>
      </c>
    </row>
    <row r="3" spans="2:23" customFormat="1" ht="15.75" x14ac:dyDescent="0.5">
      <c r="B3" s="99"/>
    </row>
    <row r="4" spans="2:23" customFormat="1" ht="14.65" customHeight="1" x14ac:dyDescent="0.4">
      <c r="B4" s="56" t="s">
        <v>295</v>
      </c>
      <c r="C4" s="115"/>
      <c r="D4" s="61" cm="1">
        <f t="array" ref="D4:G4">_xlfn.SEQUENCE(1, AssessmentEnd-MTP_BaseYear+1, MTP_BaseYear)</f>
        <v>2023</v>
      </c>
      <c r="E4" s="61">
        <v>2024</v>
      </c>
      <c r="F4" s="61">
        <v>2025</v>
      </c>
      <c r="G4" s="61">
        <v>2026</v>
      </c>
      <c r="H4" s="61"/>
      <c r="I4" s="61"/>
      <c r="J4" s="61"/>
      <c r="K4" s="61"/>
      <c r="L4" s="61"/>
      <c r="M4" s="61"/>
      <c r="N4" s="61"/>
      <c r="O4" s="61"/>
      <c r="P4" s="61"/>
      <c r="Q4" s="61"/>
      <c r="R4" s="61"/>
      <c r="S4" s="61"/>
      <c r="T4" s="61"/>
      <c r="U4" s="61"/>
      <c r="V4" s="61"/>
      <c r="W4" s="61"/>
    </row>
    <row r="5" spans="2:23" customFormat="1" ht="14.65" customHeight="1" x14ac:dyDescent="0.4">
      <c r="B5" s="58" t="s">
        <v>320</v>
      </c>
      <c r="C5" s="20"/>
      <c r="D5" s="64" t="str" cm="1">
        <f t="array" ref="D5:G5">IF(
  AND(_xlfn.ANCHORARRAY(D4)&gt;=MTP_YearT-1,_xlfn.ANCHORARRAY( D4)&lt;=MTP_EndYear),
  CHOOSE(SIGN(_xlfn.ANCHORARRAY(D4)-MTP_YearT)+2, "T-1", "T", "T+"&amp;(_xlfn.ANCHORARRAY(D4)-MTP_YearT)),
  ""
)</f>
        <v>T-1</v>
      </c>
      <c r="E5" s="64" t="str">
        <v>T</v>
      </c>
      <c r="F5" s="64" t="str">
        <v>T+1</v>
      </c>
      <c r="G5" s="64" t="str">
        <v>T+2</v>
      </c>
      <c r="H5" s="64"/>
      <c r="I5" s="64"/>
      <c r="J5" s="64"/>
      <c r="K5" s="64"/>
      <c r="L5" s="64"/>
      <c r="M5" s="64"/>
      <c r="N5" s="64"/>
      <c r="O5" s="64"/>
      <c r="P5" s="64"/>
      <c r="Q5" s="64"/>
      <c r="R5" s="64"/>
      <c r="S5" s="64"/>
      <c r="T5" s="64"/>
      <c r="U5" s="64"/>
      <c r="V5" s="64"/>
      <c r="W5" s="64"/>
    </row>
    <row r="6" spans="2:23" customFormat="1" ht="14.65" customHeight="1" x14ac:dyDescent="0.4">
      <c r="B6" s="78" t="s">
        <v>303</v>
      </c>
      <c r="C6" s="61" t="s">
        <v>6</v>
      </c>
      <c r="D6" s="183">
        <f>IF(D$4&lt;=OutturnThrough,IF(ISNUMBER('Step 2 - Update outturn data'!E6),'Step 2 - Update outturn data'!E6,""),IF(ISNUMBER('Step 3 (IMPL) - Enter outlook'!D8),'Step 3 (IMPL) - Enter outlook'!D8,""))</f>
        <v>17.182600000000001</v>
      </c>
      <c r="E6" s="183">
        <f>IF(E$4&lt;=OutturnThrough,IF(ISNUMBER('Step 2 - Update outturn data'!F6),'Step 2 - Update outturn data'!F6,""),IF(ISNUMBER('Step 3 (IMPL) - Enter outlook'!E8),'Step 3 (IMPL) - Enter outlook'!E8,""))</f>
        <v>18.413499999999999</v>
      </c>
      <c r="F6" s="183">
        <f>IF(F$4&lt;=OutturnThrough,IF(ISNUMBER('Step 2 - Update outturn data'!G6),'Step 2 - Update outturn data'!G6,""),IF(ISNUMBER('Step 3 (IMPL) - Enter outlook'!F8),'Step 3 (IMPL) - Enter outlook'!F8,""))</f>
        <v>20.159475570000001</v>
      </c>
      <c r="G6" s="183">
        <f>IF(G$4&lt;=OutturnThrough,IF(ISNUMBER('Step 2 - Update outturn data'!H6),'Step 2 - Update outturn data'!H6,""),IF(ISNUMBER('Step 3 (IMPL) - Enter outlook'!G8),'Step 3 (IMPL) - Enter outlook'!G8,""))</f>
        <v>20.884792280507998</v>
      </c>
      <c r="H6" s="183" t="str">
        <f>IF(H$4&lt;=OutturnThrough,IF(ISNUMBER('Step 2 - Update outturn data'!I6),'Step 2 - Update outturn data'!I6,""),IF(ISNUMBER('Step 3 (IMPL) - Enter outlook'!H8),'Step 3 (IMPL) - Enter outlook'!H8,""))</f>
        <v/>
      </c>
      <c r="I6" s="183" t="str">
        <f>IF(I$4&lt;=OutturnThrough,IF(ISNUMBER('Step 2 - Update outturn data'!#REF!),'Step 2 - Update outturn data'!#REF!,""),IF(ISNUMBER('Step 3 (IMPL) - Enter outlook'!I8),'Step 3 (IMPL) - Enter outlook'!I8,""))</f>
        <v/>
      </c>
      <c r="J6" s="183" t="str">
        <f>IF(J$4&lt;=OutturnThrough,IF(ISNUMBER('Step 2 - Update outturn data'!J6),'Step 2 - Update outturn data'!J6,""),IF(ISNUMBER('Step 3 (IMPL) - Enter outlook'!J8),'Step 3 (IMPL) - Enter outlook'!J8,""))</f>
        <v/>
      </c>
      <c r="K6" s="183" t="str">
        <f>IF(K$4&lt;=OutturnThrough,IF(ISNUMBER('Step 2 - Update outturn data'!K6),'Step 2 - Update outturn data'!K6,""),IF(ISNUMBER('Step 3 (IMPL) - Enter outlook'!K8),'Step 3 (IMPL) - Enter outlook'!K8,""))</f>
        <v/>
      </c>
      <c r="L6" s="88"/>
      <c r="M6" s="88"/>
      <c r="N6" s="81"/>
      <c r="O6" s="81"/>
      <c r="P6" s="81"/>
      <c r="Q6" s="81"/>
      <c r="R6" s="81"/>
      <c r="S6" s="81"/>
      <c r="T6" s="81"/>
      <c r="U6" s="81"/>
      <c r="V6" s="81"/>
      <c r="W6" s="81"/>
    </row>
    <row r="7" spans="2:23" customFormat="1" ht="14.65" customHeight="1" x14ac:dyDescent="0.4">
      <c r="B7" s="78" t="s">
        <v>31</v>
      </c>
      <c r="C7" s="61" t="s">
        <v>6</v>
      </c>
      <c r="D7" s="183">
        <f>IF(D$4&lt;=OutturnThrough,IF(ISNUMBER('Step 2 - Update outturn data'!E7),'Step 2 - Update outturn data'!E7,""),IF(ISNUMBER('Step 3 (IMPL) - Enter outlook'!D9),'Step 3 (IMPL) - Enter outlook'!D9,""))</f>
        <v>0.28689999999999999</v>
      </c>
      <c r="E7" s="183">
        <f>IF(E$4&lt;=OutturnThrough,IF(ISNUMBER('Step 2 - Update outturn data'!F7),'Step 2 - Update outturn data'!F7,""),IF(ISNUMBER('Step 3 (IMPL) - Enter outlook'!E9),'Step 3 (IMPL) - Enter outlook'!E9,""))</f>
        <v>0.44330000000000003</v>
      </c>
      <c r="F7" s="183">
        <f>IF(F$4&lt;=OutturnThrough,IF(ISNUMBER('Step 2 - Update outturn data'!G7),'Step 2 - Update outturn data'!G7,""),IF(ISNUMBER('Step 3 (IMPL) - Enter outlook'!F9),'Step 3 (IMPL) - Enter outlook'!F9,""))</f>
        <v>0.50929201440000005</v>
      </c>
      <c r="G7" s="183">
        <f>IF(G$4&lt;=OutturnThrough,IF(ISNUMBER('Step 2 - Update outturn data'!H7),'Step 2 - Update outturn data'!H7,""),IF(ISNUMBER('Step 3 (IMPL) - Enter outlook'!G9),'Step 3 (IMPL) - Enter outlook'!G9,""))</f>
        <v>0.62210019558959995</v>
      </c>
      <c r="H7" s="183" t="str">
        <f>IF(H$4&lt;=OutturnThrough,IF(ISNUMBER('Step 2 - Update outturn data'!I7),'Step 2 - Update outturn data'!I7,""),IF(ISNUMBER('Step 3 (IMPL) - Enter outlook'!H9),'Step 3 (IMPL) - Enter outlook'!H9,""))</f>
        <v/>
      </c>
      <c r="I7" s="183" t="str">
        <f>IF(I$4&lt;=OutturnThrough,IF(ISNUMBER('Step 2 - Update outturn data'!#REF!),'Step 2 - Update outturn data'!#REF!,""),IF(ISNUMBER('Step 3 (IMPL) - Enter outlook'!I9),'Step 3 (IMPL) - Enter outlook'!I9,""))</f>
        <v/>
      </c>
      <c r="J7" s="183" t="str">
        <f>IF(J$4&lt;=OutturnThrough,IF(ISNUMBER('Step 2 - Update outturn data'!J7),'Step 2 - Update outturn data'!J7,""),IF(ISNUMBER('Step 3 (IMPL) - Enter outlook'!J9),'Step 3 (IMPL) - Enter outlook'!J9,""))</f>
        <v/>
      </c>
      <c r="K7" s="183" t="str">
        <f>IF(K$4&lt;=OutturnThrough,IF(ISNUMBER('Step 2 - Update outturn data'!K7),'Step 2 - Update outturn data'!K7,""),IF(ISNUMBER('Step 3 (IMPL) - Enter outlook'!K9),'Step 3 (IMPL) - Enter outlook'!K9,""))</f>
        <v/>
      </c>
      <c r="L7" s="88"/>
      <c r="M7" s="88"/>
      <c r="N7" s="81"/>
      <c r="O7" s="81"/>
      <c r="P7" s="81"/>
      <c r="Q7" s="81"/>
      <c r="R7" s="81"/>
      <c r="S7" s="81"/>
      <c r="T7" s="81"/>
      <c r="U7" s="81"/>
      <c r="V7" s="81"/>
      <c r="W7" s="81"/>
    </row>
    <row r="8" spans="2:23" customFormat="1" ht="14.65" customHeight="1" x14ac:dyDescent="0.4">
      <c r="B8" s="78" t="s">
        <v>322</v>
      </c>
      <c r="C8" s="61" t="s">
        <v>6</v>
      </c>
      <c r="D8" s="183">
        <f>IF(D$4&lt;=OutturnThrough,IF(ISNUMBER('Step 2 - Update outturn data'!E8),'Step 2 - Update outturn data'!E8,""),IF(ISNUMBER('Step 3 (IMPL) - Enter outlook'!D10),'Step 3 (IMPL) - Enter outlook'!D10,""))</f>
        <v>-1.2620000000000001E-3</v>
      </c>
      <c r="E8" s="183">
        <f>IF(E$4&lt;=OutturnThrough,IF(ISNUMBER('Step 2 - Update outturn data'!F8),'Step 2 - Update outturn data'!F8,""),IF(ISNUMBER('Step 3 (IMPL) - Enter outlook'!E10),'Step 3 (IMPL) - Enter outlook'!E10,""))</f>
        <v>4.169E-3</v>
      </c>
      <c r="F8" s="183">
        <f>IF(F$4&lt;=OutturnThrough,IF(ISNUMBER('Step 2 - Update outturn data'!G8),'Step 2 - Update outturn data'!G8,""),IF(ISNUMBER('Step 3 (IMPL) - Enter outlook'!F10),'Step 3 (IMPL) - Enter outlook'!F10,""))</f>
        <v>1.6976400480000001E-2</v>
      </c>
      <c r="G8" s="183">
        <f>IF(G$4&lt;=OutturnThrough,IF(ISNUMBER('Step 2 - Update outturn data'!H8),'Step 2 - Update outturn data'!H8,""),IF(ISNUMBER('Step 3 (IMPL) - Enter outlook'!G10),'Step 3 (IMPL) - Enter outlook'!G10,""))</f>
        <v>8.8871456512799995E-3</v>
      </c>
      <c r="H8" s="183" t="str">
        <f>IF(H$4&lt;=OutturnThrough,IF(ISNUMBER('Step 2 - Update outturn data'!I8),'Step 2 - Update outturn data'!I8,""),IF(ISNUMBER('Step 3 (IMPL) - Enter outlook'!H10),'Step 3 (IMPL) - Enter outlook'!H10,""))</f>
        <v/>
      </c>
      <c r="I8" s="183" t="str">
        <f>IF(I$4&lt;=OutturnThrough,IF(ISNUMBER('Step 2 - Update outturn data'!#REF!),'Step 2 - Update outturn data'!#REF!,""),IF(ISNUMBER('Step 3 (IMPL) - Enter outlook'!I10),'Step 3 (IMPL) - Enter outlook'!I10,""))</f>
        <v/>
      </c>
      <c r="J8" s="183" t="str">
        <f>IF(J$4&lt;=OutturnThrough,IF(ISNUMBER('Step 2 - Update outturn data'!J8),'Step 2 - Update outturn data'!J8,""),IF(ISNUMBER('Step 3 (IMPL) - Enter outlook'!J10),'Step 3 (IMPL) - Enter outlook'!J10,""))</f>
        <v/>
      </c>
      <c r="K8" s="183" t="str">
        <f>IF(K$4&lt;=OutturnThrough,IF(ISNUMBER('Step 2 - Update outturn data'!K8),'Step 2 - Update outturn data'!K8,""),IF(ISNUMBER('Step 3 (IMPL) - Enter outlook'!K10),'Step 3 (IMPL) - Enter outlook'!K10,""))</f>
        <v/>
      </c>
      <c r="L8" s="88"/>
      <c r="M8" s="88"/>
      <c r="N8" s="81"/>
      <c r="O8" s="81"/>
      <c r="P8" s="81"/>
      <c r="Q8" s="81"/>
      <c r="R8" s="81"/>
      <c r="S8" s="81"/>
      <c r="T8" s="81"/>
      <c r="U8" s="81"/>
      <c r="V8" s="81"/>
      <c r="W8" s="81"/>
    </row>
    <row r="9" spans="2:23" customFormat="1" ht="14.65" customHeight="1" x14ac:dyDescent="0.4">
      <c r="B9" s="78" t="s">
        <v>323</v>
      </c>
      <c r="C9" s="61" t="s">
        <v>6</v>
      </c>
      <c r="D9" s="183">
        <f>IF(D$4&lt;=OutturnThrough,IF(ISNUMBER('Step 2 - Update outturn data'!E9),'Step 2 - Update outturn data'!E9,""),IF(ISNUMBER('Step 3 (IMPL) - Enter outlook'!D11),'Step 3 (IMPL) - Enter outlook'!D11,""))</f>
        <v>0.73429999999999995</v>
      </c>
      <c r="E9" s="183">
        <f>IF(E$4&lt;=OutturnThrough,IF(ISNUMBER('Step 2 - Update outturn data'!F9),'Step 2 - Update outturn data'!F9,""),IF(ISNUMBER('Step 3 (IMPL) - Enter outlook'!E11),'Step 3 (IMPL) - Enter outlook'!E11,""))</f>
        <v>0.75549999999999995</v>
      </c>
      <c r="F9" s="183">
        <f>IF(F$4&lt;=OutturnThrough,IF(ISNUMBER('Step 2 - Update outturn data'!G9),'Step 2 - Update outturn data'!G9,""),IF(ISNUMBER('Step 3 (IMPL) - Enter outlook'!F11),'Step 3 (IMPL) - Enter outlook'!F11,""))</f>
        <v>1.1034660312000002</v>
      </c>
      <c r="G9" s="183">
        <f>IF(G$4&lt;=OutturnThrough,IF(ISNUMBER('Step 2 - Update outturn data'!H9),'Step 2 - Update outturn data'!H9,""),IF(ISNUMBER('Step 3 (IMPL) - Enter outlook'!G11),'Step 3 (IMPL) - Enter outlook'!G11,""))</f>
        <v>0.88871456512799996</v>
      </c>
      <c r="H9" s="183" t="str">
        <f>IF(H$4&lt;=OutturnThrough,IF(ISNUMBER('Step 2 - Update outturn data'!I9),'Step 2 - Update outturn data'!I9,""),IF(ISNUMBER('Step 3 (IMPL) - Enter outlook'!H11),'Step 3 (IMPL) - Enter outlook'!H11,""))</f>
        <v/>
      </c>
      <c r="I9" s="183" t="str">
        <f>IF(I$4&lt;=OutturnThrough,IF(ISNUMBER('Step 2 - Update outturn data'!#REF!),'Step 2 - Update outturn data'!#REF!,""),IF(ISNUMBER('Step 3 (IMPL) - Enter outlook'!I11),'Step 3 (IMPL) - Enter outlook'!I11,""))</f>
        <v/>
      </c>
      <c r="J9" s="183" t="str">
        <f>IF(J$4&lt;=OutturnThrough,IF(ISNUMBER('Step 2 - Update outturn data'!J9),'Step 2 - Update outturn data'!J9,""),IF(ISNUMBER('Step 3 (IMPL) - Enter outlook'!J11),'Step 3 (IMPL) - Enter outlook'!J11,""))</f>
        <v/>
      </c>
      <c r="K9" s="183" t="str">
        <f>IF(K$4&lt;=OutturnThrough,IF(ISNUMBER('Step 2 - Update outturn data'!K9),'Step 2 - Update outturn data'!K9,""),IF(ISNUMBER('Step 3 (IMPL) - Enter outlook'!K11),'Step 3 (IMPL) - Enter outlook'!K11,""))</f>
        <v/>
      </c>
      <c r="L9" s="88"/>
      <c r="M9" s="88"/>
      <c r="N9" s="81"/>
      <c r="O9" s="81"/>
      <c r="P9" s="81"/>
      <c r="Q9" s="81"/>
      <c r="R9" s="81"/>
      <c r="S9" s="81"/>
      <c r="T9" s="81"/>
      <c r="U9" s="81"/>
      <c r="V9" s="81"/>
      <c r="W9" s="81"/>
    </row>
    <row r="10" spans="2:23" customFormat="1" ht="14.65" customHeight="1" x14ac:dyDescent="0.4">
      <c r="B10" s="78" t="s">
        <v>324</v>
      </c>
      <c r="C10" s="61" t="s">
        <v>6</v>
      </c>
      <c r="D10" s="183">
        <f>IF(D$4&lt;=OutturnThrough,IF(ISNUMBER('Step 2 - Update outturn data'!E10),'Step 2 - Update outturn data'!E10,""),IF(ISNUMBER('Step 3 (IMPL) - Enter outlook'!D12),'Step 3 (IMPL) - Enter outlook'!D12,""))</f>
        <v>0.15825</v>
      </c>
      <c r="E10" s="183">
        <f>IF(E$4&lt;=OutturnThrough,IF(ISNUMBER('Step 2 - Update outturn data'!F10),'Step 2 - Update outturn data'!F10,""),IF(ISNUMBER('Step 3 (IMPL) - Enter outlook'!E12),'Step 3 (IMPL) - Enter outlook'!E12,""))</f>
        <v>0.13764999999999999</v>
      </c>
      <c r="F10" s="183">
        <f>IF(F$4&lt;=OutturnThrough,IF(ISNUMBER('Step 2 - Update outturn data'!G10),'Step 2 - Update outturn data'!G10,""),IF(ISNUMBER('Step 3 (IMPL) - Enter outlook'!F12),'Step 3 (IMPL) - Enter outlook'!F12,""))</f>
        <v>0.21220500600000003</v>
      </c>
      <c r="G10" s="183">
        <f>IF(G$4&lt;=OutturnThrough,IF(ISNUMBER('Step 2 - Update outturn data'!H10),'Step 2 - Update outturn data'!H10,""),IF(ISNUMBER('Step 3 (IMPL) - Enter outlook'!G12),'Step 3 (IMPL) - Enter outlook'!G12,""))</f>
        <v>0.1333071847692</v>
      </c>
      <c r="H10" s="183" t="str">
        <f>IF(H$4&lt;=OutturnThrough,IF(ISNUMBER('Step 2 - Update outturn data'!I10),'Step 2 - Update outturn data'!I10,""),IF(ISNUMBER('Step 3 (IMPL) - Enter outlook'!H12),'Step 3 (IMPL) - Enter outlook'!H12,""))</f>
        <v/>
      </c>
      <c r="I10" s="183" t="str">
        <f>IF(I$4&lt;=OutturnThrough,IF(ISNUMBER('Step 2 - Update outturn data'!#REF!),'Step 2 - Update outturn data'!#REF!,""),IF(ISNUMBER('Step 3 (IMPL) - Enter outlook'!I12),'Step 3 (IMPL) - Enter outlook'!I12,""))</f>
        <v/>
      </c>
      <c r="J10" s="183" t="str">
        <f>IF(J$4&lt;=OutturnThrough,IF(ISNUMBER('Step 2 - Update outturn data'!J10),'Step 2 - Update outturn data'!J10,""),IF(ISNUMBER('Step 3 (IMPL) - Enter outlook'!J12),'Step 3 (IMPL) - Enter outlook'!J12,""))</f>
        <v/>
      </c>
      <c r="K10" s="183" t="str">
        <f>IF(K$4&lt;=OutturnThrough,IF(ISNUMBER('Step 2 - Update outturn data'!K10),'Step 2 - Update outturn data'!K10,""),IF(ISNUMBER('Step 3 (IMPL) - Enter outlook'!K12),'Step 3 (IMPL) - Enter outlook'!K12,""))</f>
        <v/>
      </c>
      <c r="L10" s="88"/>
      <c r="M10" s="88"/>
      <c r="N10" s="81"/>
      <c r="O10" s="81"/>
      <c r="P10" s="81"/>
      <c r="Q10" s="81"/>
      <c r="R10" s="81"/>
      <c r="S10" s="81"/>
      <c r="T10" s="81"/>
      <c r="U10" s="81"/>
      <c r="V10" s="81"/>
      <c r="W10" s="81"/>
    </row>
    <row r="11" spans="2:23" customFormat="1" ht="14.65" customHeight="1" x14ac:dyDescent="0.4">
      <c r="B11" s="78" t="s">
        <v>436</v>
      </c>
      <c r="C11" s="61" t="s">
        <v>6</v>
      </c>
      <c r="D11" s="183">
        <f>IF(D$4&lt;=OutturnThrough,IF(ISNUMBER('Step 2 - Update outturn data'!E11),'Step 2 - Update outturn data'!E11,""),IF(ISNUMBER('Step 3 (IMPL) - Enter outlook'!D13),'Step 3 (IMPL) - Enter outlook'!D13,""))</f>
        <v>0</v>
      </c>
      <c r="E11" s="183">
        <f>IF(E$4&lt;=OutturnThrough,IF(ISNUMBER('Step 2 - Update outturn data'!F11),'Step 2 - Update outturn data'!F11,""),IF(ISNUMBER('Step 3 (IMPL) - Enter outlook'!E13),'Step 3 (IMPL) - Enter outlook'!E13,""))</f>
        <v>0</v>
      </c>
      <c r="F11" s="183">
        <f>IF(F$4&lt;=OutturnThrough,IF(ISNUMBER('Step 2 - Update outturn data'!G11),'Step 2 - Update outturn data'!G11,""),IF(ISNUMBER('Step 3 (IMPL) - Enter outlook'!F13),'Step 3 (IMPL) - Enter outlook'!F13,""))</f>
        <v>0</v>
      </c>
      <c r="G11" s="183">
        <f>IF(G$4&lt;=OutturnThrough,IF(ISNUMBER('Step 2 - Update outturn data'!H11),'Step 2 - Update outturn data'!H11,""),IF(ISNUMBER('Step 3 (IMPL) - Enter outlook'!G13),'Step 3 (IMPL) - Enter outlook'!G13,""))</f>
        <v>0</v>
      </c>
      <c r="H11" s="183" t="str">
        <f>IF(H$4&lt;=OutturnThrough,IF(ISNUMBER('Step 2 - Update outturn data'!I11),'Step 2 - Update outturn data'!I11,""),IF(ISNUMBER('Step 3 (IMPL) - Enter outlook'!H13),'Step 3 (IMPL) - Enter outlook'!H13,""))</f>
        <v/>
      </c>
      <c r="I11" s="183" t="str">
        <f>IF(I$4&lt;=OutturnThrough,IF(ISNUMBER('Step 2 - Update outturn data'!#REF!),'Step 2 - Update outturn data'!#REF!,""),IF(ISNUMBER('Step 3 (IMPL) - Enter outlook'!I13),'Step 3 (IMPL) - Enter outlook'!I13,""))</f>
        <v/>
      </c>
      <c r="J11" s="183" t="str">
        <f>IF(J$4&lt;=OutturnThrough,IF(ISNUMBER('Step 2 - Update outturn data'!J11),'Step 2 - Update outturn data'!J11,""),IF(ISNUMBER('Step 3 (IMPL) - Enter outlook'!J13),'Step 3 (IMPL) - Enter outlook'!J13,""))</f>
        <v/>
      </c>
      <c r="K11" s="183" t="str">
        <f>IF(K$4&lt;=OutturnThrough,IF(ISNUMBER('Step 2 - Update outturn data'!K11),'Step 2 - Update outturn data'!K11,""),IF(ISNUMBER('Step 3 (IMPL) - Enter outlook'!K13),'Step 3 (IMPL) - Enter outlook'!K13,""))</f>
        <v/>
      </c>
      <c r="L11" s="88"/>
      <c r="M11" s="88"/>
      <c r="N11" s="81"/>
      <c r="O11" s="81"/>
      <c r="P11" s="81"/>
      <c r="Q11" s="81"/>
      <c r="R11" s="81"/>
      <c r="S11" s="81"/>
      <c r="T11" s="81"/>
      <c r="U11" s="81"/>
      <c r="V11" s="81"/>
      <c r="W11" s="81"/>
    </row>
    <row r="12" spans="2:23" customFormat="1" ht="14.65" customHeight="1" x14ac:dyDescent="0.4">
      <c r="B12" s="78" t="s">
        <v>357</v>
      </c>
      <c r="C12" s="61" t="s">
        <v>6</v>
      </c>
      <c r="D12" s="183">
        <f>IF(D$4&lt;=OutturnThrough,IF(ISNUMBER('Step 2 - Update outturn data'!E12),'Step 2 - Update outturn data'!E12,""),IF(ISNUMBER('Step 3 (IMPL) - Enter outlook'!D14),'Step 3 (IMPL) - Enter outlook'!D14,""))</f>
        <v>16.004412000000006</v>
      </c>
      <c r="E12" s="183">
        <f>IF(E$4&lt;=OutturnThrough,IF(ISNUMBER('Step 2 - Update outturn data'!F12),'Step 2 - Update outturn data'!F12,""),IF(ISNUMBER('Step 3 (IMPL) - Enter outlook'!E14),'Step 3 (IMPL) - Enter outlook'!E14,""))</f>
        <v>17.072880999999999</v>
      </c>
      <c r="F12" s="183">
        <f>IF(F$4&lt;=OutturnThrough,IF(ISNUMBER('Step 2 - Update outturn data'!G12),'Step 2 - Update outturn data'!G12,""),IF(ISNUMBER('Step 3 (IMPL) - Enter outlook'!F14),'Step 3 (IMPL) - Enter outlook'!F14,""))</f>
        <v>18.334512518400004</v>
      </c>
      <c r="G12" s="183">
        <f>IF(G$4&lt;=OutturnThrough,IF(ISNUMBER('Step 2 - Update outturn data'!H12),'Step 2 - Update outturn data'!H12,""),IF(ISNUMBER('Step 3 (IMPL) - Enter outlook'!G14),'Step 3 (IMPL) - Enter outlook'!G14,""))</f>
        <v>19.196234606764801</v>
      </c>
      <c r="H12" s="183" t="str">
        <f>IF(H$4&lt;=OutturnThrough,IF(ISNUMBER('Step 2 - Update outturn data'!I12),'Step 2 - Update outturn data'!I12,""),IF(ISNUMBER('Step 3 (IMPL) - Enter outlook'!H14),'Step 3 (IMPL) - Enter outlook'!H14,""))</f>
        <v/>
      </c>
      <c r="I12" s="183" t="str">
        <f>IF(I$4&lt;=OutturnThrough,IF(ISNUMBER('Step 2 - Update outturn data'!#REF!),'Step 2 - Update outturn data'!#REF!,""),IF(ISNUMBER('Step 3 (IMPL) - Enter outlook'!I14),'Step 3 (IMPL) - Enter outlook'!I14,""))</f>
        <v/>
      </c>
      <c r="J12" s="183" t="str">
        <f>IF(J$4&lt;=OutturnThrough,IF(ISNUMBER('Step 2 - Update outturn data'!J12),'Step 2 - Update outturn data'!J12,""),IF(ISNUMBER('Step 3 (IMPL) - Enter outlook'!J14),'Step 3 (IMPL) - Enter outlook'!J14,""))</f>
        <v/>
      </c>
      <c r="K12" s="183" t="str">
        <f>IF(K$4&lt;=OutturnThrough,IF(ISNUMBER('Step 2 - Update outturn data'!K12),'Step 2 - Update outturn data'!K12,""),IF(ISNUMBER('Step 3 (IMPL) - Enter outlook'!K14),'Step 3 (IMPL) - Enter outlook'!K14,""))</f>
        <v/>
      </c>
      <c r="L12" s="88"/>
      <c r="M12" s="88"/>
      <c r="N12" s="81"/>
      <c r="O12" s="81"/>
      <c r="P12" s="81"/>
      <c r="Q12" s="81"/>
      <c r="R12" s="81"/>
      <c r="S12" s="81"/>
      <c r="T12" s="81"/>
      <c r="U12" s="81"/>
      <c r="V12" s="81"/>
      <c r="W12" s="81"/>
    </row>
    <row r="13" spans="2:23" customFormat="1" ht="14.65" customHeight="1" x14ac:dyDescent="0.4">
      <c r="B13" s="78" t="s">
        <v>686</v>
      </c>
      <c r="C13" s="61" t="s">
        <v>6</v>
      </c>
      <c r="D13" s="183">
        <f>IF(D$4&lt;=OutturnThrough,IF(ISNUMBER('Step 2 - Update outturn data'!E13),'Step 2 - Update outturn data'!E13,""),IF(ISNUMBER('Step 3 (IMPL) - Enter outlook'!D15),'Step 3 (IMPL) - Enter outlook'!D15,""))</f>
        <v>0</v>
      </c>
      <c r="E13" s="183">
        <f>IF(E$4&lt;=OutturnThrough,IF(ISNUMBER('Step 2 - Update outturn data'!F13),'Step 2 - Update outturn data'!F13,""),IF(ISNUMBER('Step 3 (IMPL) - Enter outlook'!E15),'Step 3 (IMPL) - Enter outlook'!E15,""))</f>
        <v>0.273808</v>
      </c>
      <c r="F13" s="183">
        <f>IF(F$4&lt;=OutturnThrough,IF(ISNUMBER('Step 2 - Update outturn data'!G13),'Step 2 - Update outturn data'!G13,""),IF(ISNUMBER('Step 3 (IMPL) - Enter outlook'!F15),'Step 3 (IMPL) - Enter outlook'!F15,""))</f>
        <v>8.4882002400000003E-2</v>
      </c>
      <c r="G13" s="183">
        <f>IF(G$4&lt;=OutturnThrough,IF(ISNUMBER('Step 2 - Update outturn data'!H13),'Step 2 - Update outturn data'!H13,""),IF(ISNUMBER('Step 3 (IMPL) - Enter outlook'!G15),'Step 3 (IMPL) - Enter outlook'!G15,""))</f>
        <v>-4.4435728256399999E-2</v>
      </c>
      <c r="H13" s="183" t="str">
        <f>IF(H$4&lt;=OutturnThrough,IF(ISNUMBER('Step 2 - Update outturn data'!I13),'Step 2 - Update outturn data'!I13,""),IF(ISNUMBER('Step 3 (IMPL) - Enter outlook'!H15),'Step 3 (IMPL) - Enter outlook'!H15,""))</f>
        <v/>
      </c>
      <c r="I13" s="183" t="str">
        <f>IF(I$4&lt;=OutturnThrough,IF(ISNUMBER('Step 2 - Update outturn data'!#REF!),'Step 2 - Update outturn data'!#REF!,""),IF(ISNUMBER('Step 3 (IMPL) - Enter outlook'!I15),'Step 3 (IMPL) - Enter outlook'!I15,""))</f>
        <v/>
      </c>
      <c r="J13" s="183" t="str">
        <f>IF(J$4&lt;=OutturnThrough,IF(ISNUMBER('Step 2 - Update outturn data'!J13),'Step 2 - Update outturn data'!J13,""),IF(ISNUMBER('Step 3 (IMPL) - Enter outlook'!J15),'Step 3 (IMPL) - Enter outlook'!J15,""))</f>
        <v/>
      </c>
      <c r="K13" s="183" t="str">
        <f>IF(K$4&lt;=OutturnThrough,IF(ISNUMBER('Step 2 - Update outturn data'!K13),'Step 2 - Update outturn data'!K13,""),IF(ISNUMBER('Step 3 (IMPL) - Enter outlook'!K15),'Step 3 (IMPL) - Enter outlook'!K15,""))</f>
        <v/>
      </c>
      <c r="L13" s="88"/>
      <c r="M13" s="88"/>
      <c r="N13" s="81"/>
      <c r="O13" s="81"/>
      <c r="P13" s="81"/>
      <c r="Q13" s="81"/>
      <c r="R13" s="81"/>
      <c r="S13" s="81"/>
      <c r="T13" s="81"/>
      <c r="U13" s="81"/>
      <c r="V13" s="81"/>
      <c r="W13" s="81"/>
    </row>
    <row r="14" spans="2:23" customFormat="1" ht="14.65" customHeight="1" x14ac:dyDescent="0.4">
      <c r="B14" s="78" t="s">
        <v>688</v>
      </c>
      <c r="C14" s="61" t="s">
        <v>6</v>
      </c>
      <c r="D14" s="183">
        <f>IF(D$4&lt;=OutturnThrough,IF(ISNUMBER('Step 2 - Update outturn data'!E14),'Step 2 - Update outturn data'!E14,""),IF(ISNUMBER('Step 3 (IMPL) - Enter outlook'!D16),'Step 3 (IMPL) - Enter outlook'!D16,""))</f>
        <v>1.0249299999999999</v>
      </c>
      <c r="E14" s="183">
        <f>IF(E$4&lt;=OutturnThrough,IF(ISNUMBER('Step 2 - Update outturn data'!F14),'Step 2 - Update outturn data'!F14,""),IF(ISNUMBER('Step 3 (IMPL) - Enter outlook'!E16),'Step 3 (IMPL) - Enter outlook'!E16,""))</f>
        <v>1.1083700000000001</v>
      </c>
      <c r="F14" s="183">
        <f>IF(F$4&lt;=OutturnThrough,IF(ISNUMBER('Step 2 - Update outturn data'!G14),'Step 2 - Update outturn data'!G14,""),IF(ISNUMBER('Step 3 (IMPL) - Enter outlook'!F16),'Step 3 (IMPL) - Enter outlook'!F16,""))</f>
        <v>1.4005530396000001</v>
      </c>
      <c r="G14" s="183">
        <f>IF(G$4&lt;=OutturnThrough,IF(ISNUMBER('Step 2 - Update outturn data'!H14),'Step 2 - Update outturn data'!H14,""),IF(ISNUMBER('Step 3 (IMPL) - Enter outlook'!G16),'Step 3 (IMPL) - Enter outlook'!G16,""))</f>
        <v>1.8663005867688001</v>
      </c>
      <c r="H14" s="183" t="str">
        <f>IF(H$4&lt;=OutturnThrough,IF(ISNUMBER('Step 2 - Update outturn data'!I14),'Step 2 - Update outturn data'!I14,""),IF(ISNUMBER('Step 3 (IMPL) - Enter outlook'!H16),'Step 3 (IMPL) - Enter outlook'!H16,""))</f>
        <v/>
      </c>
      <c r="I14" s="183" t="str">
        <f>IF(I$4&lt;=OutturnThrough,IF(ISNUMBER('Step 2 - Update outturn data'!#REF!),'Step 2 - Update outturn data'!#REF!,""),IF(ISNUMBER('Step 3 (IMPL) - Enter outlook'!I16),'Step 3 (IMPL) - Enter outlook'!I16,""))</f>
        <v/>
      </c>
      <c r="J14" s="183" t="str">
        <f>IF(J$4&lt;=OutturnThrough,IF(ISNUMBER('Step 2 - Update outturn data'!J14),'Step 2 - Update outturn data'!J14,""),IF(ISNUMBER('Step 3 (IMPL) - Enter outlook'!J16),'Step 3 (IMPL) - Enter outlook'!J16,""))</f>
        <v/>
      </c>
      <c r="K14" s="183" t="str">
        <f>IF(K$4&lt;=OutturnThrough,IF(ISNUMBER('Step 2 - Update outturn data'!K14),'Step 2 - Update outturn data'!K14,""),IF(ISNUMBER('Step 3 (IMPL) - Enter outlook'!K16),'Step 3 (IMPL) - Enter outlook'!K16,""))</f>
        <v/>
      </c>
      <c r="L14" s="88"/>
      <c r="M14" s="88"/>
      <c r="N14" s="81"/>
      <c r="O14" s="81"/>
      <c r="P14" s="81"/>
      <c r="Q14" s="81"/>
      <c r="R14" s="81"/>
      <c r="S14" s="81"/>
      <c r="T14" s="81"/>
      <c r="U14" s="81"/>
      <c r="V14" s="81"/>
      <c r="W14" s="81"/>
    </row>
    <row r="15" spans="2:23" customFormat="1" ht="20.25" customHeight="1" x14ac:dyDescent="0.4">
      <c r="B15" s="78" t="s">
        <v>359</v>
      </c>
      <c r="C15" s="61" t="s">
        <v>729</v>
      </c>
      <c r="D15" s="183" t="str">
        <f>IF(D$4&lt;=OutturnThrough,IF(ISNUMBER('Step 2 - Update outturn data'!E15),'Step 2 - Update outturn data'!E15,""),IF(ISNUMBER('Step 3 (IMPL) - Enter outlook'!D17),'Step 3 (IMPL) - Enter outlook'!D17,""))</f>
        <v/>
      </c>
      <c r="E15" s="183">
        <f>IF(E$4&lt;=OutturnThrough,IF(ISNUMBER('Step 2 - Update outturn data'!F15),'Step 2 - Update outturn data'!F15,""),IF(ISNUMBER('Step 3 (IMPL) - Enter outlook'!E17),'Step 3 (IMPL) - Enter outlook'!E17,""))</f>
        <v>4.9652620789816915</v>
      </c>
      <c r="F15" s="183">
        <f>IF(F$4&lt;=OutturnThrough,IF(ISNUMBER('Step 2 - Update outturn data'!G15),'Step 2 - Update outturn data'!G15,""),IF(ISNUMBER('Step 3 (IMPL) - Enter outlook'!F17),'Step 3 (IMPL) - Enter outlook'!F17,""))</f>
        <v>6.2</v>
      </c>
      <c r="G15" s="183">
        <f>IF(G$4&lt;=OutturnThrough,IF(ISNUMBER('Step 2 - Update outturn data'!H15),'Step 2 - Update outturn data'!H15,""),IF(ISNUMBER('Step 3 (IMPL) - Enter outlook'!G17),'Step 3 (IMPL) - Enter outlook'!G17,""))</f>
        <v>5</v>
      </c>
      <c r="H15" s="183" t="str">
        <f>IF(H$4&lt;=OutturnThrough,IF(ISNUMBER('Step 2 - Update outturn data'!I15),'Step 2 - Update outturn data'!I15,""),IF(ISNUMBER('Step 3 (IMPL) - Enter outlook'!H17),'Step 3 (IMPL) - Enter outlook'!H17,""))</f>
        <v/>
      </c>
      <c r="I15" s="183" t="str">
        <f>IF(I$4&lt;=OutturnThrough,IF(ISNUMBER('Step 2 - Update outturn data'!#REF!),'Step 2 - Update outturn data'!#REF!,""),IF(ISNUMBER('Step 3 (IMPL) - Enter outlook'!I17),'Step 3 (IMPL) - Enter outlook'!I17,""))</f>
        <v/>
      </c>
      <c r="J15" s="183" t="str">
        <f>IF(J$4&lt;=OutturnThrough,IF(ISNUMBER('Step 2 - Update outturn data'!J15),'Step 2 - Update outturn data'!J15,""),IF(ISNUMBER('Step 3 (IMPL) - Enter outlook'!J17),'Step 3 (IMPL) - Enter outlook'!J17,""))</f>
        <v/>
      </c>
      <c r="K15" s="183" t="str">
        <f>IF(K$4&lt;=OutturnThrough,IF(ISNUMBER('Step 2 - Update outturn data'!K15),'Step 2 - Update outturn data'!K15,""),IF(ISNUMBER('Step 3 (IMPL) - Enter outlook'!K17),'Step 3 (IMPL) - Enter outlook'!K17,""))</f>
        <v/>
      </c>
      <c r="L15" s="183"/>
      <c r="M15" s="88"/>
      <c r="N15" s="81"/>
      <c r="O15" s="81"/>
      <c r="P15" s="81"/>
      <c r="Q15" s="81"/>
      <c r="R15" s="81"/>
      <c r="S15" s="81"/>
      <c r="T15" s="81"/>
      <c r="U15" s="81"/>
      <c r="V15" s="81"/>
      <c r="W15" s="81"/>
    </row>
    <row r="16" spans="2:23" customFormat="1" ht="14.65" customHeight="1" x14ac:dyDescent="0.4">
      <c r="B16" s="78" t="s">
        <v>358</v>
      </c>
      <c r="C16" s="61" t="s">
        <v>729</v>
      </c>
      <c r="D16" s="183" t="str">
        <f>IF(D$4&lt;=OutturnThrough,IF(ISNUMBER('Step 2 - Update outturn data'!E16),'Step 2 - Update outturn data'!E16,""),IF(ISNUMBER('Step 3 (IMPL) - Enter outlook'!D18),'Step 3 (IMPL) - Enter outlook'!D18,""))</f>
        <v/>
      </c>
      <c r="E16" s="183">
        <f>IF(E$4&lt;=OutturnThrough,IF(ISNUMBER('Step 2 - Update outturn data'!F16),'Step 2 - Update outturn data'!F16,""),IF(ISNUMBER('Step 3 (IMPL) - Enter outlook'!E18),'Step 3 (IMPL) - Enter outlook'!E18,""))</f>
        <v>4.9652620789816915</v>
      </c>
      <c r="F16" s="183">
        <f>IF(F$4&lt;=OutturnThrough,IF(ISNUMBER('Step 2 - Update outturn data'!G15),'Step 2 - Update outturn data'!G15,""),IF(ISNUMBER('Step 3 (IMPL) - Enter outlook'!F18),'Step 3 (IMPL) - Enter outlook'!F18,""))</f>
        <v>11.473108327878556</v>
      </c>
      <c r="G16" s="183">
        <f>IF(G$4&lt;=OutturnThrough,IF(ISNUMBER('Step 2 - Update outturn data'!H16),'Step 2 - Update outturn data'!H16,""),IF(ISNUMBER('Step 3 (IMPL) - Enter outlook'!G18),'Step 3 (IMPL) - Enter outlook'!G18,""))</f>
        <v>17.046763744272496</v>
      </c>
      <c r="H16" s="183" t="str">
        <f>IF(H$4&lt;=OutturnThrough,IF(ISNUMBER('Step 2 - Update outturn data'!I16),'Step 2 - Update outturn data'!I16,""),IF(ISNUMBER('Step 3 (IMPL) - Enter outlook'!H18),'Step 3 (IMPL) - Enter outlook'!H18,""))</f>
        <v/>
      </c>
      <c r="I16" s="183" t="str">
        <f>IF(I$4&lt;=OutturnThrough,IF(ISNUMBER('Step 2 - Update outturn data'!#REF!),'Step 2 - Update outturn data'!#REF!,""),IF(ISNUMBER('Step 3 (IMPL) - Enter outlook'!I18),'Step 3 (IMPL) - Enter outlook'!I18,""))</f>
        <v/>
      </c>
      <c r="J16" s="183" t="str">
        <f>IF(J$4&lt;=OutturnThrough,IF(ISNUMBER('Step 2 - Update outturn data'!J16),'Step 2 - Update outturn data'!J16,""),IF(ISNUMBER('Step 3 (IMPL) - Enter outlook'!J18),'Step 3 (IMPL) - Enter outlook'!J18,""))</f>
        <v/>
      </c>
      <c r="K16" s="183" t="str">
        <f>IF(K$4&lt;=OutturnThrough,IF(ISNUMBER('Step 2 - Update outturn data'!K16),'Step 2 - Update outturn data'!K16,""),IF(ISNUMBER('Step 3 (IMPL) - Enter outlook'!K18),'Step 3 (IMPL) - Enter outlook'!K18,""))</f>
        <v/>
      </c>
      <c r="L16" s="88"/>
      <c r="M16" s="88"/>
      <c r="N16" s="81"/>
      <c r="O16" s="81"/>
      <c r="P16" s="81"/>
      <c r="Q16" s="81"/>
      <c r="R16" s="81"/>
      <c r="S16" s="81"/>
      <c r="T16" s="81"/>
      <c r="U16" s="81"/>
      <c r="V16" s="81"/>
      <c r="W16" s="81"/>
    </row>
    <row r="17" spans="2:23" customFormat="1" ht="20.25" customHeight="1" x14ac:dyDescent="0.4">
      <c r="B17" s="72" t="s">
        <v>215</v>
      </c>
      <c r="C17" s="61" t="s">
        <v>694</v>
      </c>
      <c r="D17" s="183">
        <f>IF(D$4&lt;=OutturnThrough,IF(ISNUMBER('Step 2 - Update outturn data'!E17),'Step 2 - Update outturn data'!E17,""),IF(ISNUMBER('Step 3 (IMPL) - Enter outlook'!D19),'Step 3 (IMPL) - Enter outlook'!D19,""))</f>
        <v>-2.342774528487884</v>
      </c>
      <c r="E17" s="183">
        <f>IF(E$4&lt;=OutturnThrough,IF(ISNUMBER('Step 2 - Update outturn data'!F17),'Step 2 - Update outturn data'!F17,""),IF(ISNUMBER('Step 3 (IMPL) - Enter outlook'!E19),'Step 3 (IMPL) - Enter outlook'!E19,""))</f>
        <v>-1.7868607680254289</v>
      </c>
      <c r="F17" s="183">
        <f>IF(F$4&lt;=OutturnThrough,IF(ISNUMBER('Step 2 - Update outturn data'!G17),'Step 2 - Update outturn data'!G17,""),IF(ISNUMBER('Step 3 (IMPL) - Enter outlook'!F19),'Step 3 (IMPL) - Enter outlook'!F19,""))</f>
        <v>-2.9</v>
      </c>
      <c r="G17" s="183">
        <f>IF(G$4&lt;=OutturnThrough,IF(ISNUMBER('Step 2 - Update outturn data'!H17),'Step 2 - Update outturn data'!H17,""),IF(ISNUMBER('Step 3 (IMPL) - Enter outlook'!G19),'Step 3 (IMPL) - Enter outlook'!G19,""))</f>
        <v>-3.3</v>
      </c>
      <c r="H17" s="183" t="str">
        <f>IF(H$4&lt;=OutturnThrough,IF(ISNUMBER('Step 2 - Update outturn data'!I17),'Step 2 - Update outturn data'!I17,""),IF(ISNUMBER('Step 3 (IMPL) - Enter outlook'!H19),'Step 3 (IMPL) - Enter outlook'!H19,""))</f>
        <v/>
      </c>
      <c r="I17" s="183" t="str">
        <f>IF(I$4&lt;=OutturnThrough,IF(ISNUMBER('Step 2 - Update outturn data'!#REF!),'Step 2 - Update outturn data'!#REF!,""),IF(ISNUMBER('Step 3 (IMPL) - Enter outlook'!I19),'Step 3 (IMPL) - Enter outlook'!I19,""))</f>
        <v/>
      </c>
      <c r="J17" s="183" t="str">
        <f>IF(J$4&lt;=OutturnThrough,IF(ISNUMBER('Step 2 - Update outturn data'!J17),'Step 2 - Update outturn data'!J17,""),IF(ISNUMBER('Step 3 (IMPL) - Enter outlook'!J19),'Step 3 (IMPL) - Enter outlook'!J19,""))</f>
        <v/>
      </c>
      <c r="K17" s="183" t="str">
        <f>IF(K$4&lt;=OutturnThrough,IF(ISNUMBER('Step 2 - Update outturn data'!K17),'Step 2 - Update outturn data'!K17,""),IF(ISNUMBER('Step 3 (IMPL) - Enter outlook'!K19),'Step 3 (IMPL) - Enter outlook'!K19,""))</f>
        <v/>
      </c>
      <c r="L17" s="88"/>
      <c r="M17" s="88"/>
      <c r="N17" s="81"/>
      <c r="O17" s="81"/>
      <c r="P17" s="81"/>
      <c r="Q17" s="81"/>
      <c r="R17" s="81"/>
      <c r="S17" s="81"/>
      <c r="T17" s="81"/>
      <c r="U17" s="81"/>
      <c r="V17" s="81"/>
      <c r="W17" s="81"/>
    </row>
    <row r="18" spans="2:23" customFormat="1" ht="14.65" customHeight="1" x14ac:dyDescent="0.4">
      <c r="B18" s="72" t="s">
        <v>0</v>
      </c>
      <c r="C18" s="61" t="s">
        <v>694</v>
      </c>
      <c r="D18" s="183">
        <f>IF(D$4&lt;=OutturnThrough,IF(ISNUMBER('Step 2 - Update outturn data'!E18),'Step 2 - Update outturn data'!E18,""),IF(ISNUMBER('Step 3 (IMPL) - Enter outlook'!D20),'Step 3 (IMPL) - Enter outlook'!D20,""))</f>
        <v>-2.1063200000000002</v>
      </c>
      <c r="E18" s="183">
        <f>IF(E$4&lt;=OutturnThrough,IF(ISNUMBER('Step 2 - Update outturn data'!F18),'Step 2 - Update outturn data'!F18,""),IF(ISNUMBER('Step 3 (IMPL) - Enter outlook'!E20),'Step 3 (IMPL) - Enter outlook'!E20,""))</f>
        <v>-1.548</v>
      </c>
      <c r="F18" s="183">
        <f>IF(F$4&lt;=OutturnThrough,IF(ISNUMBER('Step 2 - Update outturn data'!G18),'Step 2 - Update outturn data'!G18,""),IF(ISNUMBER('Step 3 (IMPL) - Enter outlook'!F20),'Step 3 (IMPL) - Enter outlook'!F20,""))</f>
        <v>-2.4</v>
      </c>
      <c r="G18" s="183">
        <f>IF(G$4&lt;=OutturnThrough,IF(ISNUMBER('Step 2 - Update outturn data'!H18),'Step 2 - Update outturn data'!H18,""),IF(ISNUMBER('Step 3 (IMPL) - Enter outlook'!G20),'Step 3 (IMPL) - Enter outlook'!G20,""))</f>
        <v>-3</v>
      </c>
      <c r="H18" s="183" t="str">
        <f>IF(H$4&lt;=OutturnThrough,IF(ISNUMBER('Step 2 - Update outturn data'!I18),'Step 2 - Update outturn data'!I18,""),IF(ISNUMBER('Step 3 (IMPL) - Enter outlook'!H20),'Step 3 (IMPL) - Enter outlook'!H20,""))</f>
        <v/>
      </c>
      <c r="I18" s="183" t="str">
        <f>IF(I$4&lt;=OutturnThrough,IF(ISNUMBER('Step 2 - Update outturn data'!#REF!),'Step 2 - Update outturn data'!#REF!,""),IF(ISNUMBER('Step 3 (IMPL) - Enter outlook'!I20),'Step 3 (IMPL) - Enter outlook'!I20,""))</f>
        <v/>
      </c>
      <c r="J18" s="183" t="str">
        <f>IF(J$4&lt;=OutturnThrough,IF(ISNUMBER('Step 2 - Update outturn data'!J18),'Step 2 - Update outturn data'!J18,""),IF(ISNUMBER('Step 3 (IMPL) - Enter outlook'!J20),'Step 3 (IMPL) - Enter outlook'!J20,""))</f>
        <v/>
      </c>
      <c r="K18" s="183" t="str">
        <f>IF(K$4&lt;=OutturnThrough,IF(ISNUMBER('Step 2 - Update outturn data'!K18),'Step 2 - Update outturn data'!K18,""),IF(ISNUMBER('Step 3 (IMPL) - Enter outlook'!K20),'Step 3 (IMPL) - Enter outlook'!K20,""))</f>
        <v/>
      </c>
      <c r="L18" s="88"/>
      <c r="M18" s="88"/>
      <c r="N18" s="81"/>
      <c r="O18" s="81"/>
      <c r="P18" s="81"/>
      <c r="Q18" s="81"/>
      <c r="R18" s="81"/>
      <c r="S18" s="81"/>
      <c r="T18" s="81"/>
      <c r="U18" s="81"/>
      <c r="V18" s="81"/>
      <c r="W18" s="81"/>
    </row>
    <row r="19" spans="2:23" customFormat="1" ht="14.65" customHeight="1" x14ac:dyDescent="0.4">
      <c r="B19" s="72" t="s">
        <v>3</v>
      </c>
      <c r="C19" s="61" t="s">
        <v>694</v>
      </c>
      <c r="D19" s="183">
        <f>IF(D$4&lt;=OutturnThrough,IF(ISNUMBER('Step 2 - Update outturn data'!E19),'Step 2 - Update outturn data'!E19,""),IF(ISNUMBER('Step 3 (IMPL) - Enter outlook'!D21),'Step 3 (IMPL) - Enter outlook'!D21,""))</f>
        <v>-1.38124</v>
      </c>
      <c r="E19" s="183">
        <f>IF(E$4&lt;=OutturnThrough,IF(ISNUMBER('Step 2 - Update outturn data'!F19),'Step 2 - Update outturn data'!F19,""),IF(ISNUMBER('Step 3 (IMPL) - Enter outlook'!E21),'Step 3 (IMPL) - Enter outlook'!E21,""))</f>
        <v>-0.44949</v>
      </c>
      <c r="F19" s="183">
        <f>IF(F$4&lt;=OutturnThrough,IF(ISNUMBER('Step 2 - Update outturn data'!G19),'Step 2 - Update outturn data'!G19,""),IF(ISNUMBER('Step 3 (IMPL) - Enter outlook'!F21),'Step 3 (IMPL) - Enter outlook'!F21,""))</f>
        <v>-1.2</v>
      </c>
      <c r="G19" s="183">
        <f>IF(G$4&lt;=OutturnThrough,IF(ISNUMBER('Step 2 - Update outturn data'!H19),'Step 2 - Update outturn data'!H19,""),IF(ISNUMBER('Step 3 (IMPL) - Enter outlook'!G21),'Step 3 (IMPL) - Enter outlook'!G21,""))</f>
        <v>-1.6</v>
      </c>
      <c r="H19" s="183" t="str">
        <f>IF(H$4&lt;=OutturnThrough,IF(ISNUMBER('Step 2 - Update outturn data'!I19),'Step 2 - Update outturn data'!I19,""),IF(ISNUMBER('Step 3 (IMPL) - Enter outlook'!H21),'Step 3 (IMPL) - Enter outlook'!H21,""))</f>
        <v/>
      </c>
      <c r="I19" s="183" t="str">
        <f>IF(I$4&lt;=OutturnThrough,IF(ISNUMBER('Step 2 - Update outturn data'!#REF!),'Step 2 - Update outturn data'!#REF!,""),IF(ISNUMBER('Step 3 (IMPL) - Enter outlook'!I21),'Step 3 (IMPL) - Enter outlook'!I21,""))</f>
        <v/>
      </c>
      <c r="J19" s="183" t="str">
        <f>IF(J$4&lt;=OutturnThrough,IF(ISNUMBER('Step 2 - Update outturn data'!J19),'Step 2 - Update outturn data'!J19,""),IF(ISNUMBER('Step 3 (IMPL) - Enter outlook'!J21),'Step 3 (IMPL) - Enter outlook'!J21,""))</f>
        <v/>
      </c>
      <c r="K19" s="183" t="str">
        <f>IF(K$4&lt;=OutturnThrough,IF(ISNUMBER('Step 2 - Update outturn data'!K19),'Step 2 - Update outturn data'!K19,""),IF(ISNUMBER('Step 3 (IMPL) - Enter outlook'!K21),'Step 3 (IMPL) - Enter outlook'!K21,""))</f>
        <v/>
      </c>
      <c r="L19" s="88"/>
      <c r="M19" s="88"/>
      <c r="N19" s="81"/>
      <c r="O19" s="81"/>
      <c r="P19" s="81"/>
      <c r="Q19" s="81"/>
      <c r="R19" s="81"/>
      <c r="S19" s="81"/>
      <c r="T19" s="81"/>
      <c r="U19" s="81"/>
      <c r="V19" s="81"/>
      <c r="W19" s="81"/>
    </row>
    <row r="20" spans="2:23" customFormat="1" ht="14.65" customHeight="1" x14ac:dyDescent="0.4">
      <c r="B20" s="72" t="s">
        <v>1</v>
      </c>
      <c r="C20" s="61" t="s">
        <v>694</v>
      </c>
      <c r="D20" s="183">
        <f>IF(D$4&lt;=OutturnThrough,IF(ISNUMBER('Step 2 - Update outturn data'!E20),'Step 2 - Update outturn data'!E20,""),IF(ISNUMBER('Step 3 (IMPL) - Enter outlook'!D22),'Step 3 (IMPL) - Enter outlook'!D22,""))</f>
        <v>44.430318318075436</v>
      </c>
      <c r="E20" s="183">
        <f>IF(E$4&lt;=OutturnThrough,IF(ISNUMBER('Step 2 - Update outturn data'!F20),'Step 2 - Update outturn data'!F20,""),IF(ISNUMBER('Step 3 (IMPL) - Enter outlook'!E22),'Step 3 (IMPL) - Enter outlook'!E22,""))</f>
        <v>46.249535696627248</v>
      </c>
      <c r="F20" s="183">
        <f>IF(F$4&lt;=OutturnThrough,IF(ISNUMBER('Step 2 - Update outturn data'!G20),'Step 2 - Update outturn data'!G20,""),IF(ISNUMBER('Step 3 (IMPL) - Enter outlook'!F22),'Step 3 (IMPL) - Enter outlook'!F22,""))</f>
        <v>48.9</v>
      </c>
      <c r="G20" s="183">
        <f>IF(G$4&lt;=OutturnThrough,IF(ISNUMBER('Step 2 - Update outturn data'!H20),'Step 2 - Update outturn data'!H20,""),IF(ISNUMBER('Step 3 (IMPL) - Enter outlook'!G22),'Step 3 (IMPL) - Enter outlook'!G22,""))</f>
        <v>50.6</v>
      </c>
      <c r="H20" s="183" t="str">
        <f>IF(H$4&lt;=OutturnThrough,IF(ISNUMBER('Step 2 - Update outturn data'!I20),'Step 2 - Update outturn data'!I20,""),IF(ISNUMBER('Step 3 (IMPL) - Enter outlook'!H22),'Step 3 (IMPL) - Enter outlook'!H22,""))</f>
        <v/>
      </c>
      <c r="I20" s="183" t="str">
        <f>IF(I$4&lt;=OutturnThrough,IF(ISNUMBER('Step 2 - Update outturn data'!#REF!),'Step 2 - Update outturn data'!#REF!,""),IF(ISNUMBER('Step 3 (IMPL) - Enter outlook'!I22),'Step 3 (IMPL) - Enter outlook'!I22,""))</f>
        <v/>
      </c>
      <c r="J20" s="183" t="str">
        <f>IF(J$4&lt;=OutturnThrough,IF(ISNUMBER('Step 2 - Update outturn data'!J20),'Step 2 - Update outturn data'!J20,""),IF(ISNUMBER('Step 3 (IMPL) - Enter outlook'!J22),'Step 3 (IMPL) - Enter outlook'!J22,""))</f>
        <v/>
      </c>
      <c r="K20" s="183" t="str">
        <f>IF(K$4&lt;=OutturnThrough,IF(ISNUMBER('Step 2 - Update outturn data'!K20),'Step 2 - Update outturn data'!K20,""),IF(ISNUMBER('Step 3 (IMPL) - Enter outlook'!K22),'Step 3 (IMPL) - Enter outlook'!K22,""))</f>
        <v/>
      </c>
      <c r="L20" s="88"/>
      <c r="M20" s="88"/>
      <c r="N20" s="81"/>
      <c r="O20" s="81"/>
      <c r="P20" s="81"/>
      <c r="Q20" s="81"/>
      <c r="R20" s="81"/>
      <c r="S20" s="81"/>
      <c r="T20" s="81"/>
      <c r="U20" s="81"/>
      <c r="V20" s="81"/>
      <c r="W20" s="81"/>
    </row>
    <row r="21" spans="2:23" customFormat="1" ht="14.65" customHeight="1" x14ac:dyDescent="0.4">
      <c r="B21" s="72" t="s">
        <v>2</v>
      </c>
      <c r="C21" s="61" t="s">
        <v>694</v>
      </c>
      <c r="D21" s="183" t="str">
        <f>IF(D$4&lt;=OutturnThrough,IF(ISNUMBER('Step 2 - Update outturn data'!E21),'Step 2 - Update outturn data'!E21,""),IF(ISNUMBER('Step 3 (IMPL) - Enter outlook'!D23),'Step 3 (IMPL) - Enter outlook'!D23,""))</f>
        <v/>
      </c>
      <c r="E21" s="183" t="str">
        <f>IF(E$4&lt;=OutturnThrough,IF(ISNUMBER('Step 2 - Update outturn data'!F21),'Step 2 - Update outturn data'!F21,""),IF(ISNUMBER('Step 3 (IMPL) - Enter outlook'!E23),'Step 3 (IMPL) - Enter outlook'!E23,""))</f>
        <v/>
      </c>
      <c r="F21" s="183">
        <f>IF(F$4&lt;=OutturnThrough,IF(ISNUMBER('Step 2 - Update outturn data'!G21),'Step 2 - Update outturn data'!G21,""),IF(ISNUMBER('Step 3 (IMPL) - Enter outlook'!F23),'Step 3 (IMPL) - Enter outlook'!F23,""))</f>
        <v>2.1</v>
      </c>
      <c r="G21" s="183">
        <f>IF(G$4&lt;=OutturnThrough,IF(ISNUMBER('Step 2 - Update outturn data'!H21),'Step 2 - Update outturn data'!H21,""),IF(ISNUMBER('Step 3 (IMPL) - Enter outlook'!G23),'Step 3 (IMPL) - Enter outlook'!G23,""))</f>
        <v>1.7</v>
      </c>
      <c r="H21" s="183" t="str">
        <f>IF(H$4&lt;=OutturnThrough,IF(ISNUMBER('Step 2 - Update outturn data'!I21),'Step 2 - Update outturn data'!I21,""),IF(ISNUMBER('Step 3 (IMPL) - Enter outlook'!H23),'Step 3 (IMPL) - Enter outlook'!H23,""))</f>
        <v/>
      </c>
      <c r="I21" s="183" t="str">
        <f>IF(I$4&lt;=OutturnThrough,IF(ISNUMBER('Step 2 - Update outturn data'!#REF!),'Step 2 - Update outturn data'!#REF!,""),IF(ISNUMBER('Step 3 (IMPL) - Enter outlook'!I23),'Step 3 (IMPL) - Enter outlook'!I23,""))</f>
        <v/>
      </c>
      <c r="J21" s="183" t="str">
        <f>IF(J$4&lt;=OutturnThrough,IF(ISNUMBER('Step 2 - Update outturn data'!J21),'Step 2 - Update outturn data'!J21,""),IF(ISNUMBER('Step 3 (IMPL) - Enter outlook'!J23),'Step 3 (IMPL) - Enter outlook'!J23,""))</f>
        <v/>
      </c>
      <c r="K21" s="183" t="str">
        <f>IF(K$4&lt;=OutturnThrough,IF(ISNUMBER('Step 2 - Update outturn data'!K21),'Step 2 - Update outturn data'!K21,""),IF(ISNUMBER('Step 3 (IMPL) - Enter outlook'!K23),'Step 3 (IMPL) - Enter outlook'!K23,""))</f>
        <v/>
      </c>
      <c r="L21" s="88"/>
      <c r="M21" s="88"/>
      <c r="N21" s="81"/>
      <c r="O21" s="81"/>
      <c r="P21" s="81"/>
      <c r="Q21" s="81"/>
      <c r="R21" s="81"/>
      <c r="S21" s="81"/>
      <c r="T21" s="81"/>
      <c r="U21" s="81"/>
      <c r="V21" s="81"/>
      <c r="W21" s="81"/>
    </row>
    <row r="22" spans="2:23" customFormat="1" ht="20.25" customHeight="1" x14ac:dyDescent="0.4">
      <c r="B22" s="72" t="s">
        <v>326</v>
      </c>
      <c r="C22" s="61" t="s">
        <v>728</v>
      </c>
      <c r="D22" s="183">
        <f>IF(D$4&lt;=OutturnThrough,IF(ISNUMBER('Step 2 - Update outturn data'!E22),'Step 2 - Update outturn data'!E22,""),IF(ISNUMBER('Step 3 (IMPL) - Enter outlook'!D24),'Step 3 (IMPL) - Enter outlook'!D24,""))</f>
        <v>-0.9414574313402313</v>
      </c>
      <c r="E22" s="183">
        <f>IF(E$4&lt;=OutturnThrough,IF(ISNUMBER('Step 2 - Update outturn data'!F22),'Step 2 - Update outturn data'!F22,""),IF(ISNUMBER('Step 3 (IMPL) - Enter outlook'!E24),'Step 3 (IMPL) - Enter outlook'!E24,""))</f>
        <v>-3.7310985009997299E-2</v>
      </c>
      <c r="F22" s="183">
        <f>IF(F$4&lt;=OutturnThrough,IF(ISNUMBER('Step 2 - Update outturn data'!G22),'Step 2 - Update outturn data'!G22,""),IF(ISNUMBER('Step 3 (IMPL) - Enter outlook'!F24),'Step 3 (IMPL) - Enter outlook'!F24,""))</f>
        <v>1.1000000000000001</v>
      </c>
      <c r="G22" s="183">
        <f>IF(G$4&lt;=OutturnThrough,IF(ISNUMBER('Step 2 - Update outturn data'!H22),'Step 2 - Update outturn data'!H22,""),IF(ISNUMBER('Step 3 (IMPL) - Enter outlook'!G24),'Step 3 (IMPL) - Enter outlook'!G24,""))</f>
        <v>2.1</v>
      </c>
      <c r="H22" s="183" t="str">
        <f>IF(H$4&lt;=OutturnThrough,IF(ISNUMBER('Step 2 - Update outturn data'!I22),'Step 2 - Update outturn data'!I22,""),IF(ISNUMBER('Step 3 (IMPL) - Enter outlook'!H24),'Step 3 (IMPL) - Enter outlook'!H24,""))</f>
        <v/>
      </c>
      <c r="I22" s="183" t="str">
        <f>IF(I$4&lt;=OutturnThrough,IF(ISNUMBER('Step 2 - Update outturn data'!#REF!),'Step 2 - Update outturn data'!#REF!,""),IF(ISNUMBER('Step 3 (IMPL) - Enter outlook'!I24),'Step 3 (IMPL) - Enter outlook'!I24,""))</f>
        <v/>
      </c>
      <c r="J22" s="183" t="str">
        <f>IF(J$4&lt;=OutturnThrough,IF(ISNUMBER('Step 2 - Update outturn data'!J22),'Step 2 - Update outturn data'!J22,""),IF(ISNUMBER('Step 3 (IMPL) - Enter outlook'!J24),'Step 3 (IMPL) - Enter outlook'!J24,""))</f>
        <v/>
      </c>
      <c r="K22" s="183" t="str">
        <f>IF(K$4&lt;=OutturnThrough,IF(ISNUMBER('Step 2 - Update outturn data'!K22),'Step 2 - Update outturn data'!K22,""),IF(ISNUMBER('Step 3 (IMPL) - Enter outlook'!K24),'Step 3 (IMPL) - Enter outlook'!K24,""))</f>
        <v/>
      </c>
      <c r="L22" s="88"/>
      <c r="M22" s="88"/>
      <c r="N22" s="81"/>
      <c r="O22" s="81"/>
      <c r="P22" s="81"/>
      <c r="Q22" s="81"/>
      <c r="R22" s="81"/>
      <c r="S22" s="81"/>
      <c r="T22" s="81"/>
      <c r="U22" s="81"/>
      <c r="V22" s="81"/>
      <c r="W22" s="81"/>
    </row>
    <row r="23" spans="2:23" customFormat="1" ht="14.65" customHeight="1" x14ac:dyDescent="0.4">
      <c r="B23" s="72" t="s">
        <v>327</v>
      </c>
      <c r="C23" s="61" t="s">
        <v>728</v>
      </c>
      <c r="D23" s="183">
        <f>IF(D$4&lt;=OutturnThrough,IF(ISNUMBER('Step 2 - Update outturn data'!E23),'Step 2 - Update outturn data'!E23,""),IF(ISNUMBER('Step 3 (IMPL) - Enter outlook'!D25),'Step 3 (IMPL) - Enter outlook'!D25,""))</f>
        <v>10.672371603556009</v>
      </c>
      <c r="E23" s="183">
        <f>IF(E$4&lt;=OutturnThrough,IF(ISNUMBER('Step 2 - Update outturn data'!F23),'Step 2 - Update outturn data'!F23,""),IF(ISNUMBER('Step 3 (IMPL) - Enter outlook'!E25),'Step 3 (IMPL) - Enter outlook'!E25,""))</f>
        <v>2.7885650030008202</v>
      </c>
      <c r="F23" s="183">
        <f>IF(F$4&lt;=OutturnThrough,IF(ISNUMBER('Step 2 - Update outturn data'!G23),'Step 2 - Update outturn data'!G23,""),IF(ISNUMBER('Step 3 (IMPL) - Enter outlook'!F25),'Step 3 (IMPL) - Enter outlook'!F25,""))</f>
        <v>3.3</v>
      </c>
      <c r="G23" s="183">
        <f>IF(G$4&lt;=OutturnThrough,IF(ISNUMBER('Step 2 - Update outturn data'!H23),'Step 2 - Update outturn data'!H23,""),IF(ISNUMBER('Step 3 (IMPL) - Enter outlook'!G25),'Step 3 (IMPL) - Enter outlook'!G25,""))</f>
        <v>2.5</v>
      </c>
      <c r="H23" s="183" t="str">
        <f>IF(H$4&lt;=OutturnThrough,IF(ISNUMBER('Step 2 - Update outturn data'!I23),'Step 2 - Update outturn data'!I23,""),IF(ISNUMBER('Step 3 (IMPL) - Enter outlook'!H25),'Step 3 (IMPL) - Enter outlook'!H25,""))</f>
        <v/>
      </c>
      <c r="I23" s="183" t="str">
        <f>IF(I$4&lt;=OutturnThrough,IF(ISNUMBER('Step 2 - Update outturn data'!#REF!),'Step 2 - Update outturn data'!#REF!,""),IF(ISNUMBER('Step 3 (IMPL) - Enter outlook'!I25),'Step 3 (IMPL) - Enter outlook'!I25,""))</f>
        <v/>
      </c>
      <c r="J23" s="183" t="str">
        <f>IF(J$4&lt;=OutturnThrough,IF(ISNUMBER('Step 2 - Update outturn data'!J23),'Step 2 - Update outturn data'!J23,""),IF(ISNUMBER('Step 3 (IMPL) - Enter outlook'!J25),'Step 3 (IMPL) - Enter outlook'!J25,""))</f>
        <v/>
      </c>
      <c r="K23" s="183" t="str">
        <f>IF(K$4&lt;=OutturnThrough,IF(ISNUMBER('Step 2 - Update outturn data'!K23),'Step 2 - Update outturn data'!K23,""),IF(ISNUMBER('Step 3 (IMPL) - Enter outlook'!K25),'Step 3 (IMPL) - Enter outlook'!K25,""))</f>
        <v/>
      </c>
      <c r="L23" s="88"/>
      <c r="M23" s="88"/>
      <c r="N23" s="81"/>
      <c r="O23" s="81"/>
      <c r="P23" s="81"/>
      <c r="Q23" s="81"/>
      <c r="R23" s="81"/>
      <c r="S23" s="81"/>
      <c r="T23" s="81"/>
      <c r="U23" s="81"/>
      <c r="V23" s="81"/>
      <c r="W23" s="81"/>
    </row>
    <row r="24" spans="2:23" customFormat="1" ht="14.65" customHeight="1" x14ac:dyDescent="0.4">
      <c r="B24" s="72" t="s">
        <v>328</v>
      </c>
      <c r="C24" s="61" t="s">
        <v>728</v>
      </c>
      <c r="D24" s="183">
        <f>IF(D$4&lt;=OutturnThrough,IF(ISNUMBER('Step 2 - Update outturn data'!E24),'Step 2 - Update outturn data'!E24,""),IF(ISNUMBER('Step 3 (IMPL) - Enter outlook'!D26),'Step 3 (IMPL) - Enter outlook'!D26,""))</f>
        <v>9.630438336653846</v>
      </c>
      <c r="E24" s="183">
        <f>IF(E$4&lt;=OutturnThrough,IF(ISNUMBER('Step 2 - Update outturn data'!F24),'Step 2 - Update outturn data'!F24,""),IF(ISNUMBER('Step 3 (IMPL) - Enter outlook'!E26),'Step 3 (IMPL) - Enter outlook'!E26,""))</f>
        <v>2.7502135769205571</v>
      </c>
      <c r="F24" s="183">
        <f>IF(F$4&lt;=OutturnThrough,IF(ISNUMBER('Step 2 - Update outturn data'!G24),'Step 2 - Update outturn data'!G24,""),IF(ISNUMBER('Step 3 (IMPL) - Enter outlook'!F26),'Step 3 (IMPL) - Enter outlook'!F26,""))</f>
        <v>4.4000000000000004</v>
      </c>
      <c r="G24" s="183">
        <f>IF(G$4&lt;=OutturnThrough,IF(ISNUMBER('Step 2 - Update outturn data'!H24),'Step 2 - Update outturn data'!H24,""),IF(ISNUMBER('Step 3 (IMPL) - Enter outlook'!G26),'Step 3 (IMPL) - Enter outlook'!G26,""))</f>
        <v>4.7</v>
      </c>
      <c r="H24" s="183" t="str">
        <f>IF(H$4&lt;=OutturnThrough,IF(ISNUMBER('Step 2 - Update outturn data'!I24),'Step 2 - Update outturn data'!I24,""),IF(ISNUMBER('Step 3 (IMPL) - Enter outlook'!H26),'Step 3 (IMPL) - Enter outlook'!H26,""))</f>
        <v/>
      </c>
      <c r="I24" s="183" t="str">
        <f>IF(I$4&lt;=OutturnThrough,IF(ISNUMBER('Step 2 - Update outturn data'!#REF!),'Step 2 - Update outturn data'!#REF!,""),IF(ISNUMBER('Step 3 (IMPL) - Enter outlook'!I26),'Step 3 (IMPL) - Enter outlook'!I26,""))</f>
        <v/>
      </c>
      <c r="J24" s="183" t="str">
        <f>IF(J$4&lt;=OutturnThrough,IF(ISNUMBER('Step 2 - Update outturn data'!J24),'Step 2 - Update outturn data'!J24,""),IF(ISNUMBER('Step 3 (IMPL) - Enter outlook'!J26),'Step 3 (IMPL) - Enter outlook'!J26,""))</f>
        <v/>
      </c>
      <c r="K24" s="183" t="str">
        <f>IF(K$4&lt;=OutturnThrough,IF(ISNUMBER('Step 2 - Update outturn data'!K24),'Step 2 - Update outturn data'!K24,""),IF(ISNUMBER('Step 3 (IMPL) - Enter outlook'!K26),'Step 3 (IMPL) - Enter outlook'!K26,""))</f>
        <v/>
      </c>
      <c r="L24" s="88"/>
      <c r="M24" s="88"/>
      <c r="N24" s="81"/>
      <c r="O24" s="81"/>
      <c r="P24" s="81"/>
      <c r="Q24" s="81"/>
      <c r="R24" s="81"/>
      <c r="S24" s="81"/>
      <c r="T24" s="81"/>
      <c r="U24" s="81"/>
      <c r="V24" s="81"/>
      <c r="W24" s="81"/>
    </row>
    <row r="25" spans="2:23" customFormat="1" ht="14.65" customHeight="1" x14ac:dyDescent="0.4">
      <c r="B25" s="72" t="s">
        <v>329</v>
      </c>
      <c r="C25" s="61" t="s">
        <v>728</v>
      </c>
      <c r="D25" s="183">
        <f>IF(D$4&lt;=OutturnThrough,IF(ISNUMBER('Step 2 - Update outturn data'!E25),'Step 2 - Update outturn data'!E25,""),IF(ISNUMBER('Step 3 (IMPL) - Enter outlook'!D27),'Step 3 (IMPL) - Enter outlook'!D27,""))</f>
        <v>0.97435418160733978</v>
      </c>
      <c r="E25" s="183">
        <f>IF(E$4&lt;=OutturnThrough,IF(ISNUMBER('Step 2 - Update outturn data'!F25),'Step 2 - Update outturn data'!F25,""),IF(ISNUMBER('Step 3 (IMPL) - Enter outlook'!E27),'Step 3 (IMPL) - Enter outlook'!E27,""))</f>
        <v>-1.8794702349533843E-2</v>
      </c>
      <c r="F25" s="183">
        <f>IF(F$4&lt;=OutturnThrough,IF(ISNUMBER('Step 2 - Update outturn data'!G25),'Step 2 - Update outturn data'!G25,""),IF(ISNUMBER('Step 3 (IMPL) - Enter outlook'!F27),'Step 3 (IMPL) - Enter outlook'!F27,""))</f>
        <v>1.7</v>
      </c>
      <c r="G25" s="183">
        <f>IF(G$4&lt;=OutturnThrough,IF(ISNUMBER('Step 2 - Update outturn data'!H25),'Step 2 - Update outturn data'!H25,""),IF(ISNUMBER('Step 3 (IMPL) - Enter outlook'!G27),'Step 3 (IMPL) - Enter outlook'!G27,""))</f>
        <v>1.7</v>
      </c>
      <c r="H25" s="183" t="str">
        <f>IF(H$4&lt;=OutturnThrough,IF(ISNUMBER('Step 2 - Update outturn data'!I25),'Step 2 - Update outturn data'!I25,""),IF(ISNUMBER('Step 3 (IMPL) - Enter outlook'!H27),'Step 3 (IMPL) - Enter outlook'!H27,""))</f>
        <v/>
      </c>
      <c r="I25" s="183" t="str">
        <f>IF(I$4&lt;=OutturnThrough,IF(ISNUMBER('Step 2 - Update outturn data'!#REF!),'Step 2 - Update outturn data'!#REF!,""),IF(ISNUMBER('Step 3 (IMPL) - Enter outlook'!I27),'Step 3 (IMPL) - Enter outlook'!I27,""))</f>
        <v/>
      </c>
      <c r="J25" s="183" t="str">
        <f>IF(J$4&lt;=OutturnThrough,IF(ISNUMBER('Step 2 - Update outturn data'!J25),'Step 2 - Update outturn data'!J25,""),IF(ISNUMBER('Step 3 (IMPL) - Enter outlook'!J27),'Step 3 (IMPL) - Enter outlook'!J27,""))</f>
        <v/>
      </c>
      <c r="K25" s="183" t="str">
        <f>IF(K$4&lt;=OutturnThrough,IF(ISNUMBER('Step 2 - Update outturn data'!K25),'Step 2 - Update outturn data'!K25,""),IF(ISNUMBER('Step 3 (IMPL) - Enter outlook'!K27),'Step 3 (IMPL) - Enter outlook'!K27,""))</f>
        <v/>
      </c>
      <c r="L25" s="88"/>
      <c r="M25" s="88"/>
      <c r="N25" s="81"/>
      <c r="O25" s="81"/>
      <c r="P25" s="81"/>
      <c r="Q25" s="81"/>
      <c r="R25" s="81"/>
      <c r="S25" s="81"/>
      <c r="T25" s="81"/>
      <c r="U25" s="81"/>
      <c r="V25" s="81"/>
      <c r="W25" s="81"/>
    </row>
    <row r="26" spans="2:23" customFormat="1" ht="14.65" customHeight="1" x14ac:dyDescent="0.4">
      <c r="B26" s="72" t="s">
        <v>318</v>
      </c>
      <c r="C26" s="61" t="s">
        <v>689</v>
      </c>
      <c r="D26" s="183">
        <f>IF(D$4&lt;=OutturnThrough,IF(ISNUMBER('Step 2 - Update outturn data'!E26),'Step 2 - Update outturn data'!E26,""),IF(ISNUMBER('Step 3 (IMPL) - Enter outlook'!D28),'Step 3 (IMPL) - Enter outlook'!D28,""))</f>
        <v>-0.67509815273575358</v>
      </c>
      <c r="E26" s="183">
        <f>IF(E$4&lt;=OutturnThrough,IF(ISNUMBER('Step 2 - Update outturn data'!F26),'Step 2 - Update outturn data'!F26,""),IF(ISNUMBER('Step 3 (IMPL) - Enter outlook'!E28),'Step 3 (IMPL) - Enter outlook'!E28,""))</f>
        <v>-0.70221013089490913</v>
      </c>
      <c r="F26" s="183">
        <f>IF(F$4&lt;=OutturnThrough,IF(ISNUMBER('Step 2 - Update outturn data'!G26),'Step 2 - Update outturn data'!G26,""),IF(ISNUMBER('Step 3 (IMPL) - Enter outlook'!F28),'Step 3 (IMPL) - Enter outlook'!F28,""))</f>
        <v>-1.3</v>
      </c>
      <c r="G26" s="183">
        <f>IF(G$4&lt;=OutturnThrough,IF(ISNUMBER('Step 2 - Update outturn data'!H26),'Step 2 - Update outturn data'!H26,""),IF(ISNUMBER('Step 3 (IMPL) - Enter outlook'!G28),'Step 3 (IMPL) - Enter outlook'!G28,""))</f>
        <v>-0.9</v>
      </c>
      <c r="H26" s="183" t="str">
        <f>IF(H$4&lt;=OutturnThrough,IF(ISNUMBER('Step 2 - Update outturn data'!I26),'Step 2 - Update outturn data'!I26,""),IF(ISNUMBER('Step 3 (IMPL) - Enter outlook'!H28),'Step 3 (IMPL) - Enter outlook'!H28,""))</f>
        <v/>
      </c>
      <c r="I26" s="183" t="str">
        <f>IF(I$4&lt;=OutturnThrough,IF(ISNUMBER('Step 2 - Update outturn data'!#REF!),'Step 2 - Update outturn data'!#REF!,""),IF(ISNUMBER('Step 3 (IMPL) - Enter outlook'!I28),'Step 3 (IMPL) - Enter outlook'!I28,""))</f>
        <v/>
      </c>
      <c r="J26" s="183" t="str">
        <f>IF(J$4&lt;=OutturnThrough,IF(ISNUMBER('Step 2 - Update outturn data'!J26),'Step 2 - Update outturn data'!J26,""),IF(ISNUMBER('Step 3 (IMPL) - Enter outlook'!J28),'Step 3 (IMPL) - Enter outlook'!J28,""))</f>
        <v/>
      </c>
      <c r="K26" s="183" t="str">
        <f>IF(K$4&lt;=OutturnThrough,IF(ISNUMBER('Step 2 - Update outturn data'!K26),'Step 2 - Update outturn data'!K26,""),IF(ISNUMBER('Step 3 (IMPL) - Enter outlook'!K28),'Step 3 (IMPL) - Enter outlook'!K28,""))</f>
        <v/>
      </c>
      <c r="L26" s="88"/>
      <c r="M26" s="88"/>
      <c r="N26" s="81"/>
      <c r="O26" s="81"/>
      <c r="P26" s="81"/>
      <c r="Q26" s="81"/>
      <c r="R26" s="81"/>
      <c r="S26" s="81"/>
      <c r="T26" s="81"/>
      <c r="U26" s="81"/>
      <c r="V26" s="81"/>
      <c r="W26" s="81"/>
    </row>
    <row r="27" spans="2:23" customFormat="1" ht="14.65" customHeight="1" x14ac:dyDescent="0.4">
      <c r="B27" s="80" t="s">
        <v>338</v>
      </c>
      <c r="C27" s="59" t="s">
        <v>730</v>
      </c>
      <c r="D27" s="184">
        <f>IF(D$4&lt;=OutturnThrough,IF(ISNUMBER('Step 2 - Update outturn data'!E27),'Step 2 - Update outturn data'!E27,""),IF(ISNUMBER('Step 3 (IMPL) - Enter outlook'!D29),'Step 3 (IMPL) - Enter outlook'!D29,""))</f>
        <v>39.5642</v>
      </c>
      <c r="E27" s="184">
        <f>IF(E$4&lt;=OutturnThrough,IF(ISNUMBER('Step 2 - Update outturn data'!F27),'Step 2 - Update outturn data'!F27,""),IF(ISNUMBER('Step 3 (IMPL) - Enter outlook'!E29),'Step 3 (IMPL) - Enter outlook'!E29,""))</f>
        <v>40.652300000000004</v>
      </c>
      <c r="F27" s="184">
        <f>IF(F$4&lt;=OutturnThrough,IF(ISNUMBER('Step 2 - Update outturn data'!G27),'Step 2 - Update outturn data'!G27,""),IF(ISNUMBER('Step 3 (IMPL) - Enter outlook'!F29),'Step 3 (IMPL) - Enter outlook'!F29,""))</f>
        <v>42.441001200000002</v>
      </c>
      <c r="G27" s="184">
        <f>IF(G$4&lt;=OutturnThrough,IF(ISNUMBER('Step 2 - Update outturn data'!H27),'Step 2 - Update outturn data'!H27,""),IF(ISNUMBER('Step 3 (IMPL) - Enter outlook'!G29),'Step 3 (IMPL) - Enter outlook'!G29,""))</f>
        <v>44.435728256399997</v>
      </c>
      <c r="H27" s="184" t="str">
        <f>IF(H$4&lt;=OutturnThrough,IF(ISNUMBER('Step 2 - Update outturn data'!I27),'Step 2 - Update outturn data'!I27,""),IF(ISNUMBER('Step 3 (IMPL) - Enter outlook'!H29),'Step 3 (IMPL) - Enter outlook'!H29,""))</f>
        <v/>
      </c>
      <c r="I27" s="184" t="str">
        <f>IF(I$4&lt;=OutturnThrough,IF(ISNUMBER('Step 2 - Update outturn data'!#REF!),'Step 2 - Update outturn data'!#REF!,""),IF(ISNUMBER('Step 3 (IMPL) - Enter outlook'!I29),'Step 3 (IMPL) - Enter outlook'!I29,""))</f>
        <v/>
      </c>
      <c r="J27" s="184" t="str">
        <f>IF(J$4&lt;=OutturnThrough,IF(ISNUMBER('Step 2 - Update outturn data'!J27),'Step 2 - Update outturn data'!J27,""),IF(ISNUMBER('Step 3 (IMPL) - Enter outlook'!J29),'Step 3 (IMPL) - Enter outlook'!J29,""))</f>
        <v/>
      </c>
      <c r="K27" s="184" t="str">
        <f>IF(K$4&lt;=OutturnThrough,IF(ISNUMBER('Step 2 - Update outturn data'!K27),'Step 2 - Update outturn data'!K27,""),IF(ISNUMBER('Step 3 (IMPL) - Enter outlook'!K29),'Step 3 (IMPL) - Enter outlook'!K29,""))</f>
        <v/>
      </c>
      <c r="L27" s="121"/>
      <c r="M27" s="121"/>
      <c r="N27" s="121"/>
      <c r="O27" s="121"/>
      <c r="P27" s="121"/>
      <c r="Q27" s="121"/>
      <c r="R27" s="121"/>
      <c r="S27" s="121"/>
      <c r="T27" s="121"/>
      <c r="U27" s="121"/>
      <c r="V27" s="121"/>
      <c r="W27" s="121"/>
    </row>
    <row r="28" spans="2:23" customFormat="1" x14ac:dyDescent="0.4">
      <c r="C28" s="15"/>
    </row>
    <row r="29" spans="2:23" customFormat="1" ht="23.25" x14ac:dyDescent="0.7">
      <c r="B29" s="14"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5"/>
    </row>
    <row r="30" spans="2:23" customFormat="1" ht="18" x14ac:dyDescent="0.55000000000000004">
      <c r="B30" s="67" t="s">
        <v>362</v>
      </c>
      <c r="C30" s="15"/>
    </row>
    <row r="31" spans="2:23" customFormat="1" ht="15.75" x14ac:dyDescent="0.5">
      <c r="B31" s="99" t="s">
        <v>360</v>
      </c>
      <c r="C31" s="15"/>
      <c r="D31" s="61"/>
      <c r="E31" s="61"/>
      <c r="F31" s="61"/>
      <c r="G31" s="61"/>
      <c r="H31" s="61"/>
      <c r="I31" s="61"/>
      <c r="J31" s="61"/>
      <c r="K31" s="61"/>
      <c r="L31" s="61"/>
      <c r="M31" s="61"/>
      <c r="N31" s="61"/>
      <c r="O31" s="61"/>
      <c r="P31" s="61"/>
      <c r="Q31" s="61"/>
      <c r="R31" s="61"/>
      <c r="S31" s="61"/>
      <c r="T31" s="61"/>
      <c r="U31" s="61"/>
    </row>
    <row r="32" spans="2:23" customFormat="1" x14ac:dyDescent="0.4">
      <c r="B32" s="56" t="s">
        <v>295</v>
      </c>
      <c r="C32" s="115"/>
      <c r="D32" s="61" cm="1">
        <f t="array" ref="D32:I32">_xlfn.SEQUENCE(1, MTP_EndYear-MTP_BaseYear+1, MTP_BaseYear)</f>
        <v>2023</v>
      </c>
      <c r="E32" s="61">
        <v>2024</v>
      </c>
      <c r="F32" s="61">
        <v>2025</v>
      </c>
      <c r="G32" s="61">
        <v>2026</v>
      </c>
      <c r="H32" s="61">
        <v>2027</v>
      </c>
      <c r="I32" s="61">
        <v>2028</v>
      </c>
      <c r="J32" s="61"/>
      <c r="K32" s="61"/>
      <c r="L32" s="61"/>
      <c r="M32" s="61"/>
      <c r="N32" s="61"/>
      <c r="O32" s="61"/>
      <c r="P32" s="61"/>
      <c r="Q32" s="61"/>
      <c r="R32" s="61"/>
      <c r="S32" s="61"/>
      <c r="T32" s="61"/>
      <c r="U32" s="61"/>
    </row>
    <row r="33" spans="2:23" customFormat="1" x14ac:dyDescent="0.4">
      <c r="B33" s="58" t="s">
        <v>320</v>
      </c>
      <c r="C33" s="20"/>
      <c r="D33" s="64" t="str" cm="1">
        <f t="array" ref="D33:I33">CHOOSE(
  SIGN(_xlfn.SEQUENCE(1, MTP_PlanningHorizon+2, -1)) + 2,
  "T" &amp; _xlfn.SEQUENCE(1, MTP_PlanningHorizon+2, -1),
  "T",
  "T+" &amp; _xlfn.SEQUENCE(1, MTP_PlanningHorizon+2, -1)
)</f>
        <v>T-1</v>
      </c>
      <c r="E33" s="64" t="str">
        <v>T</v>
      </c>
      <c r="F33" s="64" t="str">
        <v>T+1</v>
      </c>
      <c r="G33" s="64" t="str">
        <v>T+2</v>
      </c>
      <c r="H33" s="64" t="str">
        <v>T+3</v>
      </c>
      <c r="I33" s="64" t="str">
        <v>T+4</v>
      </c>
      <c r="J33" s="64"/>
      <c r="K33" s="64"/>
      <c r="L33" s="64"/>
      <c r="M33" s="64"/>
      <c r="N33" s="64"/>
      <c r="O33" s="61"/>
      <c r="P33" s="61"/>
      <c r="Q33" s="61"/>
      <c r="R33" s="61"/>
      <c r="S33" s="61"/>
      <c r="T33" s="61"/>
      <c r="U33" s="61"/>
    </row>
    <row r="34" spans="2:23" customFormat="1" x14ac:dyDescent="0.4">
      <c r="B34" s="61" t="str">
        <f>'Step 3 (MTP) - Plan and prior'!B50</f>
        <v>Reference trajectory provided by the Commission (not applicable)</v>
      </c>
      <c r="C34" s="15"/>
      <c r="D34" s="61" t="str">
        <f>IF(ISNUMBER('Step 3 (MTP) - Plan and prior'!D16),'Step 3 (MTP) - Plan and prior'!D16,"")</f>
        <v/>
      </c>
      <c r="E34" s="61">
        <f>IF(ISNUMBER('Step 3 (MTP) - Plan and prior'!E16),'Step 3 (MTP) - Plan and prior'!E16,"")</f>
        <v>9.1</v>
      </c>
      <c r="F34" s="61">
        <f>IF(ISNUMBER('Step 3 (MTP) - Plan and prior'!F16),'Step 3 (MTP) - Plan and prior'!F16,"")</f>
        <v>5.9</v>
      </c>
      <c r="G34" s="61">
        <f>IF(ISNUMBER('Step 3 (MTP) - Plan and prior'!G16),'Step 3 (MTP) - Plan and prior'!G16,"")</f>
        <v>3.6</v>
      </c>
      <c r="H34" s="61">
        <f>IF(ISNUMBER('Step 3 (MTP) - Plan and prior'!H16),'Step 3 (MTP) - Plan and prior'!H16,"")</f>
        <v>3.4</v>
      </c>
      <c r="I34" s="61">
        <f>IF(ISNUMBER('Step 3 (MTP) - Plan and prior'!I16),'Step 3 (MTP) - Plan and prior'!I16,"")</f>
        <v>3.3</v>
      </c>
      <c r="J34" s="61" t="str">
        <f>IF(ISNUMBER('Step 3 (MTP) - Plan and prior'!J16),'Step 3 (MTP) - Plan and prior'!J16,"")</f>
        <v/>
      </c>
      <c r="K34" s="61" t="str">
        <f>IF(ISNUMBER('Step 3 (MTP) - Plan and prior'!K16),'Step 3 (MTP) - Plan and prior'!K16,"")</f>
        <v/>
      </c>
      <c r="L34" s="61" t="str">
        <f>IF(ISNUMBER('Step 3 (MTP) - Plan and prior'!L16),'Step 3 (MTP) - Plan and prior'!L16,"")</f>
        <v/>
      </c>
      <c r="M34" s="61" t="str">
        <f>IF(ISNUMBER('Step 3 (MTP) - Plan and prior'!M16),'Step 3 (MTP) - Plan and prior'!M16,"")</f>
        <v/>
      </c>
      <c r="N34" s="61" t="str">
        <f>IF(ISNUMBER('Step 3 (MTP) - Plan and prior'!N16),'Step 3 (MTP) - Plan and prior'!N16,"")</f>
        <v/>
      </c>
      <c r="O34" s="61"/>
      <c r="P34" s="61"/>
      <c r="Q34" s="61"/>
      <c r="R34" s="61"/>
      <c r="S34" s="61"/>
      <c r="T34" s="61"/>
      <c r="U34" s="61"/>
      <c r="V34" s="61"/>
      <c r="W34" s="61"/>
    </row>
    <row r="35" spans="2:23" customFormat="1" ht="20.25" customHeight="1" x14ac:dyDescent="0.4">
      <c r="B35" s="72" t="s">
        <v>215</v>
      </c>
      <c r="C35" s="15"/>
      <c r="D35" s="75">
        <f>IF(ISNUMBER('Step 3 (MTP) - Plan and prior'!D17),'Step 3 (MTP) - Plan and prior'!D17,"")</f>
        <v>-2.2000000000000002</v>
      </c>
      <c r="E35" s="75">
        <f>IF(ISNUMBER('Step 3 (MTP) - Plan and prior'!E17),'Step 3 (MTP) - Plan and prior'!E17,"")</f>
        <v>-2.6</v>
      </c>
      <c r="F35" s="75">
        <f>IF(ISNUMBER('Step 3 (MTP) - Plan and prior'!F17),'Step 3 (MTP) - Plan and prior'!F17,"")</f>
        <v>-2.9</v>
      </c>
      <c r="G35" s="75">
        <f>IF(ISNUMBER('Step 3 (MTP) - Plan and prior'!G17),'Step 3 (MTP) - Plan and prior'!G17,"")</f>
        <v>-2.9</v>
      </c>
      <c r="H35" s="75">
        <f>IF(ISNUMBER('Step 3 (MTP) - Plan and prior'!H17),'Step 3 (MTP) - Plan and prior'!H17,"")</f>
        <v>-2.9</v>
      </c>
      <c r="I35" s="75">
        <f>IF(ISNUMBER('Step 3 (MTP) - Plan and prior'!I17),'Step 3 (MTP) - Plan and prior'!I17,"")</f>
        <v>-2.9</v>
      </c>
      <c r="J35" s="75" t="str">
        <f>IF(ISNUMBER('Step 3 (MTP) - Plan and prior'!J17),'Step 3 (MTP) - Plan and prior'!J17,"")</f>
        <v/>
      </c>
      <c r="K35" s="75" t="str">
        <f>IF(ISNUMBER('Step 3 (MTP) - Plan and prior'!K17),'Step 3 (MTP) - Plan and prior'!K17,"")</f>
        <v/>
      </c>
      <c r="L35" s="75" t="str">
        <f>IF(ISNUMBER('Step 3 (MTP) - Plan and prior'!L17),'Step 3 (MTP) - Plan and prior'!L17,"")</f>
        <v/>
      </c>
      <c r="M35" s="75" t="str">
        <f>IF(ISNUMBER('Step 3 (MTP) - Plan and prior'!M17),'Step 3 (MTP) - Plan and prior'!M17,"")</f>
        <v/>
      </c>
      <c r="N35" s="75" t="str">
        <f>IF(ISNUMBER('Step 3 (MTP) - Plan and prior'!N17),'Step 3 (MTP) - Plan and prior'!N17,"")</f>
        <v/>
      </c>
      <c r="O35" s="75"/>
      <c r="P35" s="75"/>
      <c r="Q35" s="75"/>
      <c r="R35" s="75"/>
      <c r="S35" s="75"/>
      <c r="T35" s="75"/>
      <c r="U35" s="75"/>
      <c r="V35" s="75"/>
      <c r="W35" s="75"/>
    </row>
    <row r="36" spans="2:23" customFormat="1" x14ac:dyDescent="0.4">
      <c r="B36" s="72" t="s">
        <v>0</v>
      </c>
      <c r="C36" s="15"/>
      <c r="D36" s="75">
        <f>IF(ISNUMBER('Step 3 (MTP) - Plan and prior'!D18),'Step 3 (MTP) - Plan and prior'!D18,"")</f>
        <v>-1.8</v>
      </c>
      <c r="E36" s="75">
        <f>IF(ISNUMBER('Step 3 (MTP) - Plan and prior'!E18),'Step 3 (MTP) - Plan and prior'!E18,"")</f>
        <v>-1.9</v>
      </c>
      <c r="F36" s="75">
        <f>IF(ISNUMBER('Step 3 (MTP) - Plan and prior'!F18),'Step 3 (MTP) - Plan and prior'!F18,"")</f>
        <v>-2.5</v>
      </c>
      <c r="G36" s="75">
        <f>IF(ISNUMBER('Step 3 (MTP) - Plan and prior'!G18),'Step 3 (MTP) - Plan and prior'!G18,"")</f>
        <v>-2.6</v>
      </c>
      <c r="H36" s="75">
        <f>IF(ISNUMBER('Step 3 (MTP) - Plan and prior'!H18),'Step 3 (MTP) - Plan and prior'!H18,"")</f>
        <v>-2.7</v>
      </c>
      <c r="I36" s="75">
        <f>IF(ISNUMBER('Step 3 (MTP) - Plan and prior'!I18),'Step 3 (MTP) - Plan and prior'!I18,"")</f>
        <v>-2.7</v>
      </c>
      <c r="J36" s="75" t="str">
        <f>IF(ISNUMBER('Step 3 (MTP) - Plan and prior'!J18),'Step 3 (MTP) - Plan and prior'!J18,"")</f>
        <v/>
      </c>
      <c r="K36" s="75" t="str">
        <f>IF(ISNUMBER('Step 3 (MTP) - Plan and prior'!K18),'Step 3 (MTP) - Plan and prior'!K18,"")</f>
        <v/>
      </c>
      <c r="L36" s="75" t="str">
        <f>IF(ISNUMBER('Step 3 (MTP) - Plan and prior'!L18),'Step 3 (MTP) - Plan and prior'!L18,"")</f>
        <v/>
      </c>
      <c r="M36" s="75" t="str">
        <f>IF(ISNUMBER('Step 3 (MTP) - Plan and prior'!M18),'Step 3 (MTP) - Plan and prior'!M18,"")</f>
        <v/>
      </c>
      <c r="N36" s="75" t="str">
        <f>IF(ISNUMBER('Step 3 (MTP) - Plan and prior'!N18),'Step 3 (MTP) - Plan and prior'!N18,"")</f>
        <v/>
      </c>
      <c r="O36" s="75"/>
      <c r="P36" s="75"/>
      <c r="Q36" s="75"/>
      <c r="R36" s="75"/>
      <c r="S36" s="75"/>
      <c r="T36" s="75"/>
      <c r="U36" s="75"/>
      <c r="V36" s="75"/>
      <c r="W36" s="75"/>
    </row>
    <row r="37" spans="2:23" customFormat="1" x14ac:dyDescent="0.4">
      <c r="B37" s="72" t="s">
        <v>3</v>
      </c>
      <c r="C37" s="15"/>
      <c r="D37" s="75">
        <f>IF(ISNUMBER('Step 3 (MTP) - Plan and prior'!D19),'Step 3 (MTP) - Plan and prior'!D19,"")</f>
        <v>-1.2</v>
      </c>
      <c r="E37" s="75">
        <f>IF(ISNUMBER('Step 3 (MTP) - Plan and prior'!E19),'Step 3 (MTP) - Plan and prior'!E19,"")</f>
        <v>-0.8</v>
      </c>
      <c r="F37" s="75">
        <f>IF(ISNUMBER('Step 3 (MTP) - Plan and prior'!F19),'Step 3 (MTP) - Plan and prior'!F19,"")</f>
        <v>-1.3</v>
      </c>
      <c r="G37" s="75">
        <f>IF(ISNUMBER('Step 3 (MTP) - Plan and prior'!G19),'Step 3 (MTP) - Plan and prior'!G19,"")</f>
        <v>-1.3</v>
      </c>
      <c r="H37" s="75">
        <f>IF(ISNUMBER('Step 3 (MTP) - Plan and prior'!H19),'Step 3 (MTP) - Plan and prior'!H19,"")</f>
        <v>-1.3</v>
      </c>
      <c r="I37" s="75">
        <f>IF(ISNUMBER('Step 3 (MTP) - Plan and prior'!I19),'Step 3 (MTP) - Plan and prior'!I19,"")</f>
        <v>-1.3</v>
      </c>
      <c r="J37" s="75" t="str">
        <f>IF(ISNUMBER('Step 3 (MTP) - Plan and prior'!J19),'Step 3 (MTP) - Plan and prior'!J19,"")</f>
        <v/>
      </c>
      <c r="K37" s="75" t="str">
        <f>IF(ISNUMBER('Step 3 (MTP) - Plan and prior'!K19),'Step 3 (MTP) - Plan and prior'!K19,"")</f>
        <v/>
      </c>
      <c r="L37" s="75" t="str">
        <f>IF(ISNUMBER('Step 3 (MTP) - Plan and prior'!L19),'Step 3 (MTP) - Plan and prior'!L19,"")</f>
        <v/>
      </c>
      <c r="M37" s="75" t="str">
        <f>IF(ISNUMBER('Step 3 (MTP) - Plan and prior'!M19),'Step 3 (MTP) - Plan and prior'!M19,"")</f>
        <v/>
      </c>
      <c r="N37" s="75" t="str">
        <f>IF(ISNUMBER('Step 3 (MTP) - Plan and prior'!N19),'Step 3 (MTP) - Plan and prior'!N19,"")</f>
        <v/>
      </c>
      <c r="O37" s="75"/>
      <c r="P37" s="75"/>
      <c r="Q37" s="75"/>
      <c r="R37" s="75"/>
      <c r="S37" s="75"/>
      <c r="T37" s="75"/>
      <c r="U37" s="75"/>
      <c r="V37" s="75"/>
      <c r="W37" s="75"/>
    </row>
    <row r="38" spans="2:23" customFormat="1" x14ac:dyDescent="0.4">
      <c r="B38" s="72" t="s">
        <v>1</v>
      </c>
      <c r="C38" s="15"/>
      <c r="D38" s="75">
        <f>IF(ISNUMBER('Step 3 (MTP) - Plan and prior'!D20),'Step 3 (MTP) - Plan and prior'!D20,"")</f>
        <v>43.6</v>
      </c>
      <c r="E38" s="75">
        <f>IF(ISNUMBER('Step 3 (MTP) - Plan and prior'!E20),'Step 3 (MTP) - Plan and prior'!E20,"")</f>
        <v>45.8</v>
      </c>
      <c r="F38" s="75">
        <f>IF(ISNUMBER('Step 3 (MTP) - Plan and prior'!F20),'Step 3 (MTP) - Plan and prior'!F20,"")</f>
        <v>47.5</v>
      </c>
      <c r="G38" s="75">
        <f>IF(ISNUMBER('Step 3 (MTP) - Plan and prior'!G20),'Step 3 (MTP) - Plan and prior'!G20,"")</f>
        <v>48.5</v>
      </c>
      <c r="H38" s="75">
        <f>IF(ISNUMBER('Step 3 (MTP) - Plan and prior'!H20),'Step 3 (MTP) - Plan and prior'!H20,"")</f>
        <v>49.7</v>
      </c>
      <c r="I38" s="75">
        <f>IF(ISNUMBER('Step 3 (MTP) - Plan and prior'!I20),'Step 3 (MTP) - Plan and prior'!I20,"")</f>
        <v>50.8</v>
      </c>
      <c r="J38" s="75" t="str">
        <f>IF(ISNUMBER('Step 3 (MTP) - Plan and prior'!J20),'Step 3 (MTP) - Plan and prior'!J20,"")</f>
        <v/>
      </c>
      <c r="K38" s="75" t="str">
        <f>IF(ISNUMBER('Step 3 (MTP) - Plan and prior'!K20),'Step 3 (MTP) - Plan and prior'!K20,"")</f>
        <v/>
      </c>
      <c r="L38" s="75" t="str">
        <f>IF(ISNUMBER('Step 3 (MTP) - Plan and prior'!L20),'Step 3 (MTP) - Plan and prior'!L20,"")</f>
        <v/>
      </c>
      <c r="M38" s="75" t="str">
        <f>IF(ISNUMBER('Step 3 (MTP) - Plan and prior'!M20),'Step 3 (MTP) - Plan and prior'!M20,"")</f>
        <v/>
      </c>
      <c r="N38" s="75" t="str">
        <f>IF(ISNUMBER('Step 3 (MTP) - Plan and prior'!N20),'Step 3 (MTP) - Plan and prior'!N20,"")</f>
        <v/>
      </c>
      <c r="O38" s="75"/>
      <c r="P38" s="75"/>
      <c r="Q38" s="75"/>
      <c r="R38" s="75"/>
      <c r="S38" s="75"/>
      <c r="T38" s="75"/>
      <c r="U38" s="75"/>
      <c r="V38" s="75"/>
      <c r="W38" s="75"/>
    </row>
    <row r="39" spans="2:23" customFormat="1" x14ac:dyDescent="0.4">
      <c r="B39" s="72" t="s">
        <v>2</v>
      </c>
      <c r="C39" s="15"/>
      <c r="D39" s="75">
        <f>IF(ISNUMBER('Step 3 (MTP) - Plan and prior'!D21),'Step 3 (MTP) - Plan and prior'!D21,"")</f>
        <v>1.8</v>
      </c>
      <c r="E39" s="75">
        <f>IF(ISNUMBER('Step 3 (MTP) - Plan and prior'!E21),'Step 3 (MTP) - Plan and prior'!E21,"")</f>
        <v>2.2999999999999998</v>
      </c>
      <c r="F39" s="75">
        <f>IF(ISNUMBER('Step 3 (MTP) - Plan and prior'!F21),'Step 3 (MTP) - Plan and prior'!F21,"")</f>
        <v>1.6</v>
      </c>
      <c r="G39" s="75">
        <f>IF(ISNUMBER('Step 3 (MTP) - Plan and prior'!G21),'Step 3 (MTP) - Plan and prior'!G21,"")</f>
        <v>1.1000000000000001</v>
      </c>
      <c r="H39" s="75">
        <f>IF(ISNUMBER('Step 3 (MTP) - Plan and prior'!H21),'Step 3 (MTP) - Plan and prior'!H21,"")</f>
        <v>1.2</v>
      </c>
      <c r="I39" s="75">
        <f>IF(ISNUMBER('Step 3 (MTP) - Plan and prior'!I21),'Step 3 (MTP) - Plan and prior'!I21,"")</f>
        <v>1.2</v>
      </c>
      <c r="J39" s="75" t="str">
        <f>IF(ISNUMBER('Step 3 (MTP) - Plan and prior'!J21),'Step 3 (MTP) - Plan and prior'!J21,"")</f>
        <v/>
      </c>
      <c r="K39" s="75" t="str">
        <f>IF(ISNUMBER('Step 3 (MTP) - Plan and prior'!K21),'Step 3 (MTP) - Plan and prior'!K21,"")</f>
        <v/>
      </c>
      <c r="L39" s="75" t="str">
        <f>IF(ISNUMBER('Step 3 (MTP) - Plan and prior'!L21),'Step 3 (MTP) - Plan and prior'!L21,"")</f>
        <v/>
      </c>
      <c r="M39" s="75" t="str">
        <f>IF(ISNUMBER('Step 3 (MTP) - Plan and prior'!M21),'Step 3 (MTP) - Plan and prior'!M21,"")</f>
        <v/>
      </c>
      <c r="N39" s="75" t="str">
        <f>IF(ISNUMBER('Step 3 (MTP) - Plan and prior'!N21),'Step 3 (MTP) - Plan and prior'!N21,"")</f>
        <v/>
      </c>
      <c r="O39" s="75"/>
      <c r="P39" s="75"/>
      <c r="Q39" s="75"/>
      <c r="R39" s="75"/>
      <c r="S39" s="75"/>
      <c r="T39" s="75"/>
      <c r="U39" s="75"/>
      <c r="V39" s="75"/>
      <c r="W39" s="75"/>
    </row>
    <row r="40" spans="2:23" customFormat="1" ht="20.25" customHeight="1" x14ac:dyDescent="0.4">
      <c r="B40" s="72" t="s">
        <v>7</v>
      </c>
      <c r="C40" s="15"/>
      <c r="D40" s="75">
        <f>IF(ISNUMBER('Step 3 (MTP) - Plan and prior'!D22),'Step 3 (MTP) - Plan and prior'!D22,"")</f>
        <v>-0.3</v>
      </c>
      <c r="E40" s="75">
        <f>IF(ISNUMBER('Step 3 (MTP) - Plan and prior'!E22),'Step 3 (MTP) - Plan and prior'!E22,"")</f>
        <v>1.4</v>
      </c>
      <c r="F40" s="75">
        <f>IF(ISNUMBER('Step 3 (MTP) - Plan and prior'!F22),'Step 3 (MTP) - Plan and prior'!F22,"")</f>
        <v>2.9</v>
      </c>
      <c r="G40" s="75">
        <f>IF(ISNUMBER('Step 3 (MTP) - Plan and prior'!G22),'Step 3 (MTP) - Plan and prior'!G22,"")</f>
        <v>1.6</v>
      </c>
      <c r="H40" s="75">
        <f>IF(ISNUMBER('Step 3 (MTP) - Plan and prior'!H22),'Step 3 (MTP) - Plan and prior'!H22,"")</f>
        <v>1.2</v>
      </c>
      <c r="I40" s="75">
        <f>IF(ISNUMBER('Step 3 (MTP) - Plan and prior'!I22),'Step 3 (MTP) - Plan and prior'!I22,"")</f>
        <v>1.1000000000000001</v>
      </c>
      <c r="J40" s="75" t="str">
        <f>IF(ISNUMBER('Step 3 (MTP) - Plan and prior'!J22),'Step 3 (MTP) - Plan and prior'!J22,"")</f>
        <v/>
      </c>
      <c r="K40" s="75" t="str">
        <f>IF(ISNUMBER('Step 3 (MTP) - Plan and prior'!K22),'Step 3 (MTP) - Plan and prior'!K22,"")</f>
        <v/>
      </c>
      <c r="L40" s="75" t="str">
        <f>IF(ISNUMBER('Step 3 (MTP) - Plan and prior'!L22),'Step 3 (MTP) - Plan and prior'!L22,"")</f>
        <v/>
      </c>
      <c r="M40" s="75" t="str">
        <f>IF(ISNUMBER('Step 3 (MTP) - Plan and prior'!M22),'Step 3 (MTP) - Plan and prior'!M22,"")</f>
        <v/>
      </c>
      <c r="N40" s="75" t="str">
        <f>IF(ISNUMBER('Step 3 (MTP) - Plan and prior'!N22),'Step 3 (MTP) - Plan and prior'!N22,"")</f>
        <v/>
      </c>
      <c r="O40" s="75"/>
      <c r="P40" s="75"/>
      <c r="Q40" s="75"/>
      <c r="R40" s="75"/>
      <c r="S40" s="75"/>
      <c r="T40" s="75"/>
      <c r="U40" s="75"/>
      <c r="V40" s="75"/>
      <c r="W40" s="75"/>
    </row>
    <row r="41" spans="2:23" customFormat="1" x14ac:dyDescent="0.4">
      <c r="B41" s="72" t="s">
        <v>8</v>
      </c>
      <c r="C41" s="15"/>
      <c r="D41" s="75">
        <f>IF(ISNUMBER('Step 3 (MTP) - Plan and prior'!D23),'Step 3 (MTP) - Plan and prior'!D23,"")</f>
        <v>5.4</v>
      </c>
      <c r="E41" s="75">
        <f>IF(ISNUMBER('Step 3 (MTP) - Plan and prior'!E23),'Step 3 (MTP) - Plan and prior'!E23,"")</f>
        <v>2.4</v>
      </c>
      <c r="F41" s="75">
        <f>IF(ISNUMBER('Step 3 (MTP) - Plan and prior'!F23),'Step 3 (MTP) - Plan and prior'!F23,"")</f>
        <v>2.5</v>
      </c>
      <c r="G41" s="75">
        <f>IF(ISNUMBER('Step 3 (MTP) - Plan and prior'!G23),'Step 3 (MTP) - Plan and prior'!G23,"")</f>
        <v>2.5</v>
      </c>
      <c r="H41" s="75">
        <f>IF(ISNUMBER('Step 3 (MTP) - Plan and prior'!H23),'Step 3 (MTP) - Plan and prior'!H23,"")</f>
        <v>2.5</v>
      </c>
      <c r="I41" s="75">
        <f>IF(ISNUMBER('Step 3 (MTP) - Plan and prior'!I23),'Step 3 (MTP) - Plan and prior'!I23,"")</f>
        <v>2.5</v>
      </c>
      <c r="J41" s="75" t="str">
        <f>IF(ISNUMBER('Step 3 (MTP) - Plan and prior'!J23),'Step 3 (MTP) - Plan and prior'!J23,"")</f>
        <v/>
      </c>
      <c r="K41" s="75" t="str">
        <f>IF(ISNUMBER('Step 3 (MTP) - Plan and prior'!K23),'Step 3 (MTP) - Plan and prior'!K23,"")</f>
        <v/>
      </c>
      <c r="L41" s="75" t="str">
        <f>IF(ISNUMBER('Step 3 (MTP) - Plan and prior'!L23),'Step 3 (MTP) - Plan and prior'!L23,"")</f>
        <v/>
      </c>
      <c r="M41" s="75" t="str">
        <f>IF(ISNUMBER('Step 3 (MTP) - Plan and prior'!M23),'Step 3 (MTP) - Plan and prior'!M23,"")</f>
        <v/>
      </c>
      <c r="N41" s="75" t="str">
        <f>IF(ISNUMBER('Step 3 (MTP) - Plan and prior'!N23),'Step 3 (MTP) - Plan and prior'!N23,"")</f>
        <v/>
      </c>
      <c r="O41" s="75"/>
      <c r="P41" s="75"/>
      <c r="Q41" s="75"/>
      <c r="R41" s="75"/>
      <c r="S41" s="75"/>
      <c r="T41" s="75"/>
      <c r="U41" s="75"/>
      <c r="V41" s="75"/>
      <c r="W41" s="75"/>
    </row>
    <row r="42" spans="2:23" customFormat="1" x14ac:dyDescent="0.4">
      <c r="B42" s="72" t="s">
        <v>9</v>
      </c>
      <c r="C42" s="15"/>
      <c r="D42" s="75">
        <f>IF(ISNUMBER('Step 3 (MTP) - Plan and prior'!D24),'Step 3 (MTP) - Plan and prior'!D24,"")</f>
        <v>5.0999999999999996</v>
      </c>
      <c r="E42" s="75">
        <f>IF(ISNUMBER('Step 3 (MTP) - Plan and prior'!E24),'Step 3 (MTP) - Plan and prior'!E24,"")</f>
        <v>3.8</v>
      </c>
      <c r="F42" s="75">
        <f>IF(ISNUMBER('Step 3 (MTP) - Plan and prior'!F24),'Step 3 (MTP) - Plan and prior'!F24,"")</f>
        <v>5.5</v>
      </c>
      <c r="G42" s="75">
        <f>IF(ISNUMBER('Step 3 (MTP) - Plan and prior'!G24),'Step 3 (MTP) - Plan and prior'!G24,"")</f>
        <v>4.0999999999999996</v>
      </c>
      <c r="H42" s="75">
        <f>IF(ISNUMBER('Step 3 (MTP) - Plan and prior'!H24),'Step 3 (MTP) - Plan and prior'!H24,"")</f>
        <v>3.7</v>
      </c>
      <c r="I42" s="75">
        <f>IF(ISNUMBER('Step 3 (MTP) - Plan and prior'!I24),'Step 3 (MTP) - Plan and prior'!I24,"")</f>
        <v>3.6</v>
      </c>
      <c r="J42" s="75" t="str">
        <f>IF(ISNUMBER('Step 3 (MTP) - Plan and prior'!J24),'Step 3 (MTP) - Plan and prior'!J24,"")</f>
        <v/>
      </c>
      <c r="K42" s="75" t="str">
        <f>IF(ISNUMBER('Step 3 (MTP) - Plan and prior'!K24),'Step 3 (MTP) - Plan and prior'!K24,"")</f>
        <v/>
      </c>
      <c r="L42" s="75" t="str">
        <f>IF(ISNUMBER('Step 3 (MTP) - Plan and prior'!L24),'Step 3 (MTP) - Plan and prior'!L24,"")</f>
        <v/>
      </c>
      <c r="M42" s="75" t="str">
        <f>IF(ISNUMBER('Step 3 (MTP) - Plan and prior'!M24),'Step 3 (MTP) - Plan and prior'!M24,"")</f>
        <v/>
      </c>
      <c r="N42" s="75" t="str">
        <f>IF(ISNUMBER('Step 3 (MTP) - Plan and prior'!N24),'Step 3 (MTP) - Plan and prior'!N24,"")</f>
        <v/>
      </c>
      <c r="O42" s="75"/>
      <c r="P42" s="75"/>
      <c r="Q42" s="75"/>
      <c r="R42" s="75"/>
      <c r="S42" s="75"/>
      <c r="T42" s="75"/>
      <c r="U42" s="75"/>
      <c r="V42" s="75"/>
      <c r="W42" s="75"/>
    </row>
    <row r="43" spans="2:23" customFormat="1" x14ac:dyDescent="0.4">
      <c r="B43" s="72" t="s">
        <v>321</v>
      </c>
      <c r="C43" s="15"/>
      <c r="D43" s="61">
        <f>IF(ISNUMBER('Step 3 (MTP) - Plan and prior'!D25),'Step 3 (MTP) - Plan and prior'!D25,"")</f>
        <v>2.2999999999999998</v>
      </c>
      <c r="E43" s="61">
        <f>IF(ISNUMBER('Step 3 (MTP) - Plan and prior'!E25),'Step 3 (MTP) - Plan and prior'!E25,"")</f>
        <v>2.2000000000000002</v>
      </c>
      <c r="F43" s="61">
        <f>IF(ISNUMBER('Step 3 (MTP) - Plan and prior'!F25),'Step 3 (MTP) - Plan and prior'!F25,"")</f>
        <v>2.1</v>
      </c>
      <c r="G43" s="61">
        <f>IF(ISNUMBER('Step 3 (MTP) - Plan and prior'!G25),'Step 3 (MTP) - Plan and prior'!G25,"")</f>
        <v>1.2</v>
      </c>
      <c r="H43" s="61">
        <f>IF(ISNUMBER('Step 3 (MTP) - Plan and prior'!H25),'Step 3 (MTP) - Plan and prior'!H25,"")</f>
        <v>0.9</v>
      </c>
      <c r="I43" s="61">
        <f>IF(ISNUMBER('Step 3 (MTP) - Plan and prior'!I25),'Step 3 (MTP) - Plan and prior'!I25,"")</f>
        <v>0.9</v>
      </c>
      <c r="J43" s="61" t="str">
        <f>IF(ISNUMBER('Step 3 (MTP) - Plan and prior'!J25),'Step 3 (MTP) - Plan and prior'!J25,"")</f>
        <v/>
      </c>
      <c r="K43" s="61" t="str">
        <f>IF(ISNUMBER('Step 3 (MTP) - Plan and prior'!K25),'Step 3 (MTP) - Plan and prior'!K25,"")</f>
        <v/>
      </c>
      <c r="L43" s="61" t="str">
        <f>IF(ISNUMBER('Step 3 (MTP) - Plan and prior'!L25),'Step 3 (MTP) - Plan and prior'!L25,"")</f>
        <v/>
      </c>
      <c r="M43" s="61" t="str">
        <f>IF(ISNUMBER('Step 3 (MTP) - Plan and prior'!M25),'Step 3 (MTP) - Plan and prior'!M25,"")</f>
        <v/>
      </c>
      <c r="N43" s="61" t="str">
        <f>IF(ISNUMBER('Step 3 (MTP) - Plan and prior'!N25),'Step 3 (MTP) - Plan and prior'!N25,"")</f>
        <v/>
      </c>
      <c r="O43" s="61"/>
      <c r="P43" s="61"/>
      <c r="Q43" s="61"/>
      <c r="R43" s="61"/>
      <c r="S43" s="61"/>
      <c r="T43" s="61"/>
      <c r="U43" s="61"/>
      <c r="V43" s="61"/>
      <c r="W43" s="61"/>
    </row>
    <row r="44" spans="2:23" customFormat="1" x14ac:dyDescent="0.4">
      <c r="B44" s="80" t="s">
        <v>98</v>
      </c>
      <c r="C44" s="15"/>
      <c r="D44" s="65">
        <f>IF(ISNUMBER('Step 3 (MTP) - Plan and prior'!D26),'Step 3 (MTP) - Plan and prior'!D26,"")</f>
        <v>-1</v>
      </c>
      <c r="E44" s="65">
        <f>IF(ISNUMBER('Step 3 (MTP) - Plan and prior'!E26),'Step 3 (MTP) - Plan and prior'!E26,"")</f>
        <v>-1.8</v>
      </c>
      <c r="F44" s="65">
        <f>IF(ISNUMBER('Step 3 (MTP) - Plan and prior'!F26),'Step 3 (MTP) - Plan and prior'!F26,"")</f>
        <v>-1</v>
      </c>
      <c r="G44" s="65">
        <f>IF(ISNUMBER('Step 3 (MTP) - Plan and prior'!G26),'Step 3 (MTP) - Plan and prior'!G26,"")</f>
        <v>-0.7</v>
      </c>
      <c r="H44" s="65">
        <f>IF(ISNUMBER('Step 3 (MTP) - Plan and prior'!H26),'Step 3 (MTP) - Plan and prior'!H26,"")</f>
        <v>-0.5</v>
      </c>
      <c r="I44" s="65">
        <f>IF(ISNUMBER('Step 3 (MTP) - Plan and prior'!I26),'Step 3 (MTP) - Plan and prior'!I26,"")</f>
        <v>-0.4</v>
      </c>
      <c r="J44" s="65" t="str">
        <f>IF(ISNUMBER('Step 3 (MTP) - Plan and prior'!J26),'Step 3 (MTP) - Plan and prior'!J26,"")</f>
        <v/>
      </c>
      <c r="K44" s="65" t="str">
        <f>IF(ISNUMBER('Step 3 (MTP) - Plan and prior'!K26),'Step 3 (MTP) - Plan and prior'!K26,"")</f>
        <v/>
      </c>
      <c r="L44" s="65" t="str">
        <f>IF(ISNUMBER('Step 3 (MTP) - Plan and prior'!L26),'Step 3 (MTP) - Plan and prior'!L26,"")</f>
        <v/>
      </c>
      <c r="M44" s="65" t="str">
        <f>IF(ISNUMBER('Step 3 (MTP) - Plan and prior'!M26),'Step 3 (MTP) - Plan and prior'!M26,"")</f>
        <v/>
      </c>
      <c r="N44" s="65" t="str">
        <f>IF(ISNUMBER('Step 3 (MTP) - Plan and prior'!N26),'Step 3 (MTP) - Plan and prior'!N26,"")</f>
        <v/>
      </c>
      <c r="O44" s="65"/>
      <c r="P44" s="65"/>
      <c r="Q44" s="65"/>
      <c r="R44" s="65"/>
      <c r="S44" s="65"/>
      <c r="T44" s="65"/>
      <c r="U44" s="65"/>
      <c r="V44" s="65"/>
      <c r="W44" s="65"/>
    </row>
    <row r="45" spans="2:23" customFormat="1" x14ac:dyDescent="0.4">
      <c r="B45" s="72"/>
      <c r="C45" s="138"/>
      <c r="D45" s="65"/>
      <c r="E45" s="65"/>
      <c r="F45" s="65"/>
      <c r="G45" s="65"/>
      <c r="H45" s="65"/>
      <c r="I45" s="65"/>
      <c r="J45" s="65"/>
      <c r="K45" s="65"/>
      <c r="L45" s="65"/>
      <c r="M45" s="65"/>
      <c r="N45" s="65"/>
      <c r="O45" s="65"/>
      <c r="P45" s="65"/>
      <c r="Q45" s="65"/>
      <c r="R45" s="65"/>
      <c r="S45" s="65"/>
      <c r="T45" s="65"/>
      <c r="U45" s="65"/>
      <c r="V45" s="65"/>
      <c r="W45" s="65"/>
    </row>
    <row r="46" spans="2:23" x14ac:dyDescent="0.4">
      <c r="B46" s="56" t="s">
        <v>295</v>
      </c>
      <c r="D46" s="61" cm="1">
        <f t="array" ref="D46:S46">_xlfn.SEQUENCE(1, AdjustmentPeriodEnd+10-MTP_BaseYear+1, MTP_BaseYear)</f>
        <v>2023</v>
      </c>
      <c r="E46" s="79">
        <v>2024</v>
      </c>
      <c r="F46" s="79">
        <v>2025</v>
      </c>
      <c r="G46" s="79">
        <v>2026</v>
      </c>
      <c r="H46" s="79">
        <v>2027</v>
      </c>
      <c r="I46" s="79">
        <v>2028</v>
      </c>
      <c r="J46" s="79">
        <v>2029</v>
      </c>
      <c r="K46" s="79">
        <v>2030</v>
      </c>
      <c r="L46" s="79">
        <v>2031</v>
      </c>
      <c r="M46" s="79">
        <v>2032</v>
      </c>
      <c r="N46" s="79">
        <v>2033</v>
      </c>
      <c r="O46" s="79">
        <v>2034</v>
      </c>
      <c r="P46" s="79">
        <v>2035</v>
      </c>
      <c r="Q46" s="79">
        <v>2036</v>
      </c>
      <c r="R46" s="79">
        <v>2037</v>
      </c>
      <c r="S46" s="79">
        <v>2038</v>
      </c>
      <c r="T46" s="79"/>
      <c r="U46" s="79"/>
      <c r="V46" s="79"/>
      <c r="W46" s="79"/>
    </row>
    <row r="47" spans="2:23" x14ac:dyDescent="0.4">
      <c r="B47" s="58" t="s">
        <v>320</v>
      </c>
      <c r="C47" s="20"/>
      <c r="D47" s="64" t="str">
        <f t="shared" ref="D47:W47" si="0">IF(AND(D$46&gt;=MTP_YearT-1, D$46&lt;=AdjustmentPeriodEnd), IF(D$46=MTP_YearT-1, "T-1", IF(D$46=MTP_YearT, "T", "T+"&amp;(D$46-MTP_YearT))), "")</f>
        <v>T-1</v>
      </c>
      <c r="E47" s="64" t="str">
        <f t="shared" si="0"/>
        <v>T</v>
      </c>
      <c r="F47" s="64" t="str">
        <f t="shared" si="0"/>
        <v>T+1</v>
      </c>
      <c r="G47" s="64" t="str">
        <f t="shared" si="0"/>
        <v>T+2</v>
      </c>
      <c r="H47" s="64" t="str">
        <f t="shared" si="0"/>
        <v>T+3</v>
      </c>
      <c r="I47" s="64" t="str">
        <f t="shared" si="0"/>
        <v>T+4</v>
      </c>
      <c r="J47" s="64" t="str">
        <f t="shared" si="0"/>
        <v/>
      </c>
      <c r="K47" s="64" t="str">
        <f t="shared" si="0"/>
        <v/>
      </c>
      <c r="L47" s="64" t="str">
        <f t="shared" si="0"/>
        <v/>
      </c>
      <c r="M47" s="64" t="str">
        <f t="shared" si="0"/>
        <v/>
      </c>
      <c r="N47" s="64" t="str">
        <f t="shared" si="0"/>
        <v/>
      </c>
      <c r="O47" s="64" t="str">
        <f t="shared" si="0"/>
        <v/>
      </c>
      <c r="P47" s="64" t="str">
        <f t="shared" si="0"/>
        <v/>
      </c>
      <c r="Q47" s="64" t="str">
        <f t="shared" si="0"/>
        <v/>
      </c>
      <c r="R47" s="64" t="str">
        <f t="shared" si="0"/>
        <v/>
      </c>
      <c r="S47" s="64" t="str">
        <f t="shared" si="0"/>
        <v/>
      </c>
      <c r="T47" s="64" t="str">
        <f t="shared" si="0"/>
        <v/>
      </c>
      <c r="U47" s="64" t="str">
        <f t="shared" si="0"/>
        <v/>
      </c>
      <c r="V47" s="64" t="str">
        <f t="shared" si="0"/>
        <v/>
      </c>
      <c r="W47" s="64" t="str">
        <f t="shared" si="0"/>
        <v/>
      </c>
    </row>
    <row r="48" spans="2:23" customFormat="1" x14ac:dyDescent="0.4">
      <c r="B48" s="72" t="str">
        <f>'Step 3 (MTP) - Plan and prior'!B54</f>
        <v>Main budgetary variables (4-year adjustment period)</v>
      </c>
      <c r="C48" s="15"/>
    </row>
    <row r="49" spans="2:24" customFormat="1" x14ac:dyDescent="0.4">
      <c r="B49" s="63" t="s">
        <v>361</v>
      </c>
      <c r="C49" s="15"/>
      <c r="D49" s="87" t="str">
        <f>IF(ISNUMBER('Step 3 (MTP) - Plan and prior'!D34),'Step 3 (MTP) - Plan and prior'!D34,"")</f>
        <v/>
      </c>
      <c r="E49" s="87" t="str">
        <f>IF(ISNUMBER('Step 3 (MTP) - Plan and prior'!E34),'Step 3 (MTP) - Plan and prior'!E34,"")</f>
        <v/>
      </c>
      <c r="F49" s="87" t="str">
        <f>IF(ISNUMBER('Step 3 (MTP) - Plan and prior'!F34),'Step 3 (MTP) - Plan and prior'!F34,"")</f>
        <v/>
      </c>
      <c r="G49" s="87" t="str">
        <f>IF(ISNUMBER('Step 3 (MTP) - Plan and prior'!G34),'Step 3 (MTP) - Plan and prior'!G34,"")</f>
        <v/>
      </c>
      <c r="H49" s="87" t="str">
        <f>IF(ISNUMBER('Step 3 (MTP) - Plan and prior'!H34),'Step 3 (MTP) - Plan and prior'!H34,"")</f>
        <v/>
      </c>
      <c r="I49" s="87" t="str">
        <f>IF(ISNUMBER('Step 3 (MTP) - Plan and prior'!I34),'Step 3 (MTP) - Plan and prior'!I34,"")</f>
        <v/>
      </c>
      <c r="J49" s="87" t="str">
        <f>IF(ISNUMBER('Step 3 (MTP) - Plan and prior'!J34),'Step 3 (MTP) - Plan and prior'!J34,"")</f>
        <v/>
      </c>
      <c r="K49" s="87" t="str">
        <f>IF(ISNUMBER('Step 3 (MTP) - Plan and prior'!K34),'Step 3 (MTP) - Plan and prior'!K34,"")</f>
        <v/>
      </c>
      <c r="L49" s="87" t="str">
        <f>IF(ISNUMBER('Step 3 (MTP) - Plan and prior'!L34),'Step 3 (MTP) - Plan and prior'!L34,"")</f>
        <v/>
      </c>
      <c r="M49" s="87" t="str">
        <f>IF(ISNUMBER('Step 3 (MTP) - Plan and prior'!M34),'Step 3 (MTP) - Plan and prior'!M34,"")</f>
        <v/>
      </c>
      <c r="N49" s="87" t="str">
        <f>IF(ISNUMBER('Step 3 (MTP) - Plan and prior'!N34),'Step 3 (MTP) - Plan and prior'!N34,"")</f>
        <v/>
      </c>
      <c r="O49" s="87" t="str">
        <f>IF(ISNUMBER('Step 3 (MTP) - Plan and prior'!O34),'Step 3 (MTP) - Plan and prior'!O34,"")</f>
        <v/>
      </c>
      <c r="P49" s="87" t="str">
        <f>IF(ISNUMBER('Step 3 (MTP) - Plan and prior'!P34),'Step 3 (MTP) - Plan and prior'!P34,"")</f>
        <v/>
      </c>
      <c r="Q49" s="87" t="str">
        <f>IF(ISNUMBER('Step 3 (MTP) - Plan and prior'!Q34),'Step 3 (MTP) - Plan and prior'!Q34,"")</f>
        <v/>
      </c>
      <c r="R49" s="87" t="str">
        <f>IF(ISNUMBER('Step 3 (MTP) - Plan and prior'!R34),'Step 3 (MTP) - Plan and prior'!R34,"")</f>
        <v/>
      </c>
      <c r="S49" s="87" t="str">
        <f>IF(ISNUMBER('Step 3 (MTP) - Plan and prior'!S34),'Step 3 (MTP) - Plan and prior'!S34,"")</f>
        <v/>
      </c>
      <c r="T49" s="87" t="str">
        <f>IF(ISNUMBER('Step 3 (MTP) - Plan and prior'!T34),'Step 3 (MTP) - Plan and prior'!T34,"")</f>
        <v/>
      </c>
      <c r="U49" s="87" t="str">
        <f>IF(ISNUMBER('Step 3 (MTP) - Plan and prior'!U34),'Step 3 (MTP) - Plan and prior'!U34,"")</f>
        <v/>
      </c>
      <c r="V49" s="87" t="str">
        <f>IF(ISNUMBER('Step 3 (MTP) - Plan and prior'!V34),'Step 3 (MTP) - Plan and prior'!V34,"")</f>
        <v/>
      </c>
      <c r="W49" s="87" t="str">
        <f>IF(ISNUMBER('Step 3 (MTP) - Plan and prior'!W34),'Step 3 (MTP) - Plan and prior'!W34,"")</f>
        <v/>
      </c>
    </row>
    <row r="50" spans="2:24" customFormat="1" x14ac:dyDescent="0.4">
      <c r="B50" s="63" t="s">
        <v>215</v>
      </c>
      <c r="C50" s="15"/>
      <c r="D50" s="87">
        <f>IF(ISNUMBER('Step 3 (MTP) - Plan and prior'!D35),'Step 3 (MTP) - Plan and prior'!D35,"")</f>
        <v>-2.2000000000000002</v>
      </c>
      <c r="E50" s="87">
        <f>IF(ISNUMBER('Step 3 (MTP) - Plan and prior'!E35),'Step 3 (MTP) - Plan and prior'!E35,"")</f>
        <v>-2.6</v>
      </c>
      <c r="F50" s="87">
        <f>IF(ISNUMBER('Step 3 (MTP) - Plan and prior'!F35),'Step 3 (MTP) - Plan and prior'!F35,"")</f>
        <v>-2.9</v>
      </c>
      <c r="G50" s="87">
        <f>IF(ISNUMBER('Step 3 (MTP) - Plan and prior'!G35),'Step 3 (MTP) - Plan and prior'!G35,"")</f>
        <v>-2.9</v>
      </c>
      <c r="H50" s="87">
        <f>IF(ISNUMBER('Step 3 (MTP) - Plan and prior'!H35),'Step 3 (MTP) - Plan and prior'!H35,"")</f>
        <v>-2.9</v>
      </c>
      <c r="I50" s="87">
        <f>IF(ISNUMBER('Step 3 (MTP) - Plan and prior'!I35),'Step 3 (MTP) - Plan and prior'!I35,"")</f>
        <v>-2.9</v>
      </c>
      <c r="J50" s="87">
        <f>IF(ISNUMBER('Step 3 (MTP) - Plan and prior'!J35),'Step 3 (MTP) - Plan and prior'!J35,"")</f>
        <v>-2.9</v>
      </c>
      <c r="K50" s="87">
        <f>IF(ISNUMBER('Step 3 (MTP) - Plan and prior'!K35),'Step 3 (MTP) - Plan and prior'!K35,"")</f>
        <v>-2.9</v>
      </c>
      <c r="L50" s="87">
        <f>IF(ISNUMBER('Step 3 (MTP) - Plan and prior'!L35),'Step 3 (MTP) - Plan and prior'!L35,"")</f>
        <v>-2.9</v>
      </c>
      <c r="M50" s="87">
        <f>IF(ISNUMBER('Step 3 (MTP) - Plan and prior'!M35),'Step 3 (MTP) - Plan and prior'!M35,"")</f>
        <v>-3</v>
      </c>
      <c r="N50" s="87">
        <f>IF(ISNUMBER('Step 3 (MTP) - Plan and prior'!N35),'Step 3 (MTP) - Plan and prior'!N35,"")</f>
        <v>-3</v>
      </c>
      <c r="O50" s="87">
        <f>IF(ISNUMBER('Step 3 (MTP) - Plan and prior'!O35),'Step 3 (MTP) - Plan and prior'!O35,"")</f>
        <v>-3</v>
      </c>
      <c r="P50" s="87">
        <f>IF(ISNUMBER('Step 3 (MTP) - Plan and prior'!P35),'Step 3 (MTP) - Plan and prior'!P35,"")</f>
        <v>-3</v>
      </c>
      <c r="Q50" s="87">
        <f>IF(ISNUMBER('Step 3 (MTP) - Plan and prior'!Q35),'Step 3 (MTP) - Plan and prior'!Q35,"")</f>
        <v>-3</v>
      </c>
      <c r="R50" s="87">
        <f>IF(ISNUMBER('Step 3 (MTP) - Plan and prior'!R35),'Step 3 (MTP) - Plan and prior'!R35,"")</f>
        <v>-3</v>
      </c>
      <c r="S50" s="87">
        <f>IF(ISNUMBER('Step 3 (MTP) - Plan and prior'!S35),'Step 3 (MTP) - Plan and prior'!S35,"")</f>
        <v>-2.9</v>
      </c>
      <c r="T50" s="87" t="str">
        <f>IF(ISNUMBER('Step 3 (MTP) - Plan and prior'!T35),'Step 3 (MTP) - Plan and prior'!T35,"")</f>
        <v/>
      </c>
      <c r="U50" s="87" t="str">
        <f>IF(ISNUMBER('Step 3 (MTP) - Plan and prior'!U35),'Step 3 (MTP) - Plan and prior'!U35,"")</f>
        <v/>
      </c>
      <c r="V50" s="87" t="str">
        <f>IF(ISNUMBER('Step 3 (MTP) - Plan and prior'!V35),'Step 3 (MTP) - Plan and prior'!V35,"")</f>
        <v/>
      </c>
      <c r="W50" s="87" t="str">
        <f>IF(ISNUMBER('Step 3 (MTP) - Plan and prior'!W35),'Step 3 (MTP) - Plan and prior'!W35,"")</f>
        <v/>
      </c>
    </row>
    <row r="51" spans="2:24" customFormat="1" x14ac:dyDescent="0.4">
      <c r="B51" s="63" t="s">
        <v>0</v>
      </c>
      <c r="C51" s="15"/>
      <c r="D51" s="87" t="str">
        <f>IF(ISNUMBER('Step 3 (MTP) - Plan and prior'!D36),'Step 3 (MTP) - Plan and prior'!D36,"")</f>
        <v/>
      </c>
      <c r="E51" s="87" t="str">
        <f>IF(ISNUMBER('Step 3 (MTP) - Plan and prior'!E36),'Step 3 (MTP) - Plan and prior'!E36,"")</f>
        <v/>
      </c>
      <c r="F51" s="87" t="str">
        <f>IF(ISNUMBER('Step 3 (MTP) - Plan and prior'!F36),'Step 3 (MTP) - Plan and prior'!F36,"")</f>
        <v/>
      </c>
      <c r="G51" s="87" t="str">
        <f>IF(ISNUMBER('Step 3 (MTP) - Plan and prior'!G36),'Step 3 (MTP) - Plan and prior'!G36,"")</f>
        <v/>
      </c>
      <c r="H51" s="87" t="str">
        <f>IF(ISNUMBER('Step 3 (MTP) - Plan and prior'!H36),'Step 3 (MTP) - Plan and prior'!H36,"")</f>
        <v/>
      </c>
      <c r="I51" s="87" t="str">
        <f>IF(ISNUMBER('Step 3 (MTP) - Plan and prior'!I36),'Step 3 (MTP) - Plan and prior'!I36,"")</f>
        <v/>
      </c>
      <c r="J51" s="87" t="str">
        <f>IF(ISNUMBER('Step 3 (MTP) - Plan and prior'!J36),'Step 3 (MTP) - Plan and prior'!J36,"")</f>
        <v/>
      </c>
      <c r="K51" s="87" t="str">
        <f>IF(ISNUMBER('Step 3 (MTP) - Plan and prior'!K36),'Step 3 (MTP) - Plan and prior'!K36,"")</f>
        <v/>
      </c>
      <c r="L51" s="87" t="str">
        <f>IF(ISNUMBER('Step 3 (MTP) - Plan and prior'!L36),'Step 3 (MTP) - Plan and prior'!L36,"")</f>
        <v/>
      </c>
      <c r="M51" s="87" t="str">
        <f>IF(ISNUMBER('Step 3 (MTP) - Plan and prior'!M36),'Step 3 (MTP) - Plan and prior'!M36,"")</f>
        <v/>
      </c>
      <c r="N51" s="87" t="str">
        <f>IF(ISNUMBER('Step 3 (MTP) - Plan and prior'!N36),'Step 3 (MTP) - Plan and prior'!N36,"")</f>
        <v/>
      </c>
      <c r="O51" s="87" t="str">
        <f>IF(ISNUMBER('Step 3 (MTP) - Plan and prior'!O36),'Step 3 (MTP) - Plan and prior'!O36,"")</f>
        <v/>
      </c>
      <c r="P51" s="87" t="str">
        <f>IF(ISNUMBER('Step 3 (MTP) - Plan and prior'!P36),'Step 3 (MTP) - Plan and prior'!P36,"")</f>
        <v/>
      </c>
      <c r="Q51" s="87" t="str">
        <f>IF(ISNUMBER('Step 3 (MTP) - Plan and prior'!Q36),'Step 3 (MTP) - Plan and prior'!Q36,"")</f>
        <v/>
      </c>
      <c r="R51" s="87" t="str">
        <f>IF(ISNUMBER('Step 3 (MTP) - Plan and prior'!R36),'Step 3 (MTP) - Plan and prior'!R36,"")</f>
        <v/>
      </c>
      <c r="S51" s="87" t="str">
        <f>IF(ISNUMBER('Step 3 (MTP) - Plan and prior'!S36),'Step 3 (MTP) - Plan and prior'!S36,"")</f>
        <v/>
      </c>
      <c r="T51" s="87" t="str">
        <f>IF(ISNUMBER('Step 3 (MTP) - Plan and prior'!T36),'Step 3 (MTP) - Plan and prior'!T36,"")</f>
        <v/>
      </c>
      <c r="U51" s="87" t="str">
        <f>IF(ISNUMBER('Step 3 (MTP) - Plan and prior'!U36),'Step 3 (MTP) - Plan and prior'!U36,"")</f>
        <v/>
      </c>
      <c r="V51" s="87" t="str">
        <f>IF(ISNUMBER('Step 3 (MTP) - Plan and prior'!V36),'Step 3 (MTP) - Plan and prior'!V36,"")</f>
        <v/>
      </c>
      <c r="W51" s="87" t="str">
        <f>IF(ISNUMBER('Step 3 (MTP) - Plan and prior'!W36),'Step 3 (MTP) - Plan and prior'!W36,"")</f>
        <v/>
      </c>
    </row>
    <row r="52" spans="2:24" customFormat="1" x14ac:dyDescent="0.4">
      <c r="B52" s="63" t="s">
        <v>3</v>
      </c>
      <c r="C52" s="15"/>
      <c r="D52" s="87" t="str">
        <f>IF(ISNUMBER('Step 3 (MTP) - Plan and prior'!D37),'Step 3 (MTP) - Plan and prior'!D37,"")</f>
        <v/>
      </c>
      <c r="E52" s="87" t="str">
        <f>IF(ISNUMBER('Step 3 (MTP) - Plan and prior'!E37),'Step 3 (MTP) - Plan and prior'!E37,"")</f>
        <v/>
      </c>
      <c r="F52" s="87" t="str">
        <f>IF(ISNUMBER('Step 3 (MTP) - Plan and prior'!F37),'Step 3 (MTP) - Plan and prior'!F37,"")</f>
        <v/>
      </c>
      <c r="G52" s="87" t="str">
        <f>IF(ISNUMBER('Step 3 (MTP) - Plan and prior'!G37),'Step 3 (MTP) - Plan and prior'!G37,"")</f>
        <v/>
      </c>
      <c r="H52" s="87" t="str">
        <f>IF(ISNUMBER('Step 3 (MTP) - Plan and prior'!H37),'Step 3 (MTP) - Plan and prior'!H37,"")</f>
        <v/>
      </c>
      <c r="I52" s="87" t="str">
        <f>IF(ISNUMBER('Step 3 (MTP) - Plan and prior'!I37),'Step 3 (MTP) - Plan and prior'!I37,"")</f>
        <v/>
      </c>
      <c r="J52" s="87" t="str">
        <f>IF(ISNUMBER('Step 3 (MTP) - Plan and prior'!J37),'Step 3 (MTP) - Plan and prior'!J37,"")</f>
        <v/>
      </c>
      <c r="K52" s="87" t="str">
        <f>IF(ISNUMBER('Step 3 (MTP) - Plan and prior'!K37),'Step 3 (MTP) - Plan and prior'!K37,"")</f>
        <v/>
      </c>
      <c r="L52" s="87" t="str">
        <f>IF(ISNUMBER('Step 3 (MTP) - Plan and prior'!L37),'Step 3 (MTP) - Plan and prior'!L37,"")</f>
        <v/>
      </c>
      <c r="M52" s="87" t="str">
        <f>IF(ISNUMBER('Step 3 (MTP) - Plan and prior'!M37),'Step 3 (MTP) - Plan and prior'!M37,"")</f>
        <v/>
      </c>
      <c r="N52" s="87" t="str">
        <f>IF(ISNUMBER('Step 3 (MTP) - Plan and prior'!N37),'Step 3 (MTP) - Plan and prior'!N37,"")</f>
        <v/>
      </c>
      <c r="O52" s="87" t="str">
        <f>IF(ISNUMBER('Step 3 (MTP) - Plan and prior'!O37),'Step 3 (MTP) - Plan and prior'!O37,"")</f>
        <v/>
      </c>
      <c r="P52" s="87" t="str">
        <f>IF(ISNUMBER('Step 3 (MTP) - Plan and prior'!P37),'Step 3 (MTP) - Plan and prior'!P37,"")</f>
        <v/>
      </c>
      <c r="Q52" s="87" t="str">
        <f>IF(ISNUMBER('Step 3 (MTP) - Plan and prior'!Q37),'Step 3 (MTP) - Plan and prior'!Q37,"")</f>
        <v/>
      </c>
      <c r="R52" s="87" t="str">
        <f>IF(ISNUMBER('Step 3 (MTP) - Plan and prior'!R37),'Step 3 (MTP) - Plan and prior'!R37,"")</f>
        <v/>
      </c>
      <c r="S52" s="87" t="str">
        <f>IF(ISNUMBER('Step 3 (MTP) - Plan and prior'!S37),'Step 3 (MTP) - Plan and prior'!S37,"")</f>
        <v/>
      </c>
      <c r="T52" s="87" t="str">
        <f>IF(ISNUMBER('Step 3 (MTP) - Plan and prior'!T37),'Step 3 (MTP) - Plan and prior'!T37,"")</f>
        <v/>
      </c>
      <c r="U52" s="87" t="str">
        <f>IF(ISNUMBER('Step 3 (MTP) - Plan and prior'!U37),'Step 3 (MTP) - Plan and prior'!U37,"")</f>
        <v/>
      </c>
      <c r="V52" s="87" t="str">
        <f>IF(ISNUMBER('Step 3 (MTP) - Plan and prior'!V37),'Step 3 (MTP) - Plan and prior'!V37,"")</f>
        <v/>
      </c>
      <c r="W52" s="87" t="str">
        <f>IF(ISNUMBER('Step 3 (MTP) - Plan and prior'!W37),'Step 3 (MTP) - Plan and prior'!W37,"")</f>
        <v/>
      </c>
    </row>
    <row r="53" spans="2:24" x14ac:dyDescent="0.4">
      <c r="B53" s="63" t="s">
        <v>1</v>
      </c>
      <c r="D53" s="87">
        <f>IF(ISNUMBER('Step 3 (MTP) - Plan and prior'!D38),'Step 3 (MTP) - Plan and prior'!D38,"")</f>
        <v>43.6</v>
      </c>
      <c r="E53" s="87">
        <f>IF(ISNUMBER('Step 3 (MTP) - Plan and prior'!E38),'Step 3 (MTP) - Plan and prior'!E38,"")</f>
        <v>45.8</v>
      </c>
      <c r="F53" s="87">
        <f>IF(ISNUMBER('Step 3 (MTP) - Plan and prior'!F38),'Step 3 (MTP) - Plan and prior'!F38,"")</f>
        <v>47.5</v>
      </c>
      <c r="G53" s="87">
        <f>IF(ISNUMBER('Step 3 (MTP) - Plan and prior'!G38),'Step 3 (MTP) - Plan and prior'!G38,"")</f>
        <v>48.5</v>
      </c>
      <c r="H53" s="87">
        <f>IF(ISNUMBER('Step 3 (MTP) - Plan and prior'!H38),'Step 3 (MTP) - Plan and prior'!H38,"")</f>
        <v>49.7</v>
      </c>
      <c r="I53" s="87">
        <f>IF(ISNUMBER('Step 3 (MTP) - Plan and prior'!I38),'Step 3 (MTP) - Plan and prior'!I38,"")</f>
        <v>50.8</v>
      </c>
      <c r="J53" s="87">
        <f>IF(ISNUMBER('Step 3 (MTP) - Plan and prior'!J38),'Step 3 (MTP) - Plan and prior'!J38,"")</f>
        <v>51.9</v>
      </c>
      <c r="K53" s="87">
        <f>IF(ISNUMBER('Step 3 (MTP) - Plan and prior'!K38),'Step 3 (MTP) - Plan and prior'!K38,"")</f>
        <v>53</v>
      </c>
      <c r="L53" s="87">
        <f>IF(ISNUMBER('Step 3 (MTP) - Plan and prior'!L38),'Step 3 (MTP) - Plan and prior'!L38,"")</f>
        <v>53.9</v>
      </c>
      <c r="M53" s="87">
        <f>IF(ISNUMBER('Step 3 (MTP) - Plan and prior'!M38),'Step 3 (MTP) - Plan and prior'!M38,"")</f>
        <v>54.9</v>
      </c>
      <c r="N53" s="87">
        <f>IF(ISNUMBER('Step 3 (MTP) - Plan and prior'!N38),'Step 3 (MTP) - Plan and prior'!N38,"")</f>
        <v>55.9</v>
      </c>
      <c r="O53" s="87">
        <f>IF(ISNUMBER('Step 3 (MTP) - Plan and prior'!O38),'Step 3 (MTP) - Plan and prior'!O38,"")</f>
        <v>56.8</v>
      </c>
      <c r="P53" s="87">
        <f>IF(ISNUMBER('Step 3 (MTP) - Plan and prior'!P38),'Step 3 (MTP) - Plan and prior'!P38,"")</f>
        <v>57.7</v>
      </c>
      <c r="Q53" s="87">
        <f>IF(ISNUMBER('Step 3 (MTP) - Plan and prior'!Q38),'Step 3 (MTP) - Plan and prior'!Q38,"")</f>
        <v>58.5</v>
      </c>
      <c r="R53" s="87">
        <f>IF(ISNUMBER('Step 3 (MTP) - Plan and prior'!R38),'Step 3 (MTP) - Plan and prior'!R38,"")</f>
        <v>59.2</v>
      </c>
      <c r="S53" s="87">
        <f>IF(ISNUMBER('Step 3 (MTP) - Plan and prior'!S38),'Step 3 (MTP) - Plan and prior'!S38,"")</f>
        <v>59.9</v>
      </c>
      <c r="T53" s="87" t="str">
        <f>IF(ISNUMBER('Step 3 (MTP) - Plan and prior'!T38),'Step 3 (MTP) - Plan and prior'!T38,"")</f>
        <v/>
      </c>
      <c r="U53" s="87" t="str">
        <f>IF(ISNUMBER('Step 3 (MTP) - Plan and prior'!U38),'Step 3 (MTP) - Plan and prior'!U38,"")</f>
        <v/>
      </c>
      <c r="V53" s="87" t="str">
        <f>IF(ISNUMBER('Step 3 (MTP) - Plan and prior'!V38),'Step 3 (MTP) - Plan and prior'!V38,"")</f>
        <v/>
      </c>
      <c r="W53" s="87" t="str">
        <f>IF(ISNUMBER('Step 3 (MTP) - Plan and prior'!W38),'Step 3 (MTP) - Plan and prior'!W38,"")</f>
        <v/>
      </c>
      <c r="X53"/>
    </row>
    <row r="54" spans="2:24" customFormat="1" x14ac:dyDescent="0.4">
      <c r="B54" s="72" t="s">
        <v>365</v>
      </c>
      <c r="C54" s="15"/>
      <c r="D54" s="65"/>
      <c r="E54" s="65"/>
      <c r="F54" s="65"/>
      <c r="G54" s="65"/>
      <c r="H54" s="65"/>
      <c r="I54" s="65"/>
      <c r="J54" s="65"/>
      <c r="K54" s="65"/>
      <c r="L54" s="65"/>
      <c r="M54" s="65"/>
      <c r="N54" s="65"/>
      <c r="O54" s="65"/>
      <c r="P54" s="65"/>
      <c r="Q54" s="65"/>
      <c r="R54" s="65"/>
      <c r="S54" s="65"/>
      <c r="T54" s="65"/>
      <c r="U54" s="65"/>
      <c r="V54" s="65"/>
      <c r="W54" s="65"/>
    </row>
    <row r="55" spans="2:24" x14ac:dyDescent="0.4">
      <c r="B55" s="63" t="s">
        <v>333</v>
      </c>
      <c r="D55" s="87" t="str">
        <f>IF(ISNUMBER('Step 3 (MTP) - Plan and prior'!D40),'Step 3 (MTP) - Plan and prior'!D40,"")</f>
        <v/>
      </c>
      <c r="E55" s="87" t="str">
        <f>IF(ISNUMBER('Step 3 (MTP) - Plan and prior'!E40),'Step 3 (MTP) - Plan and prior'!E40,"")</f>
        <v/>
      </c>
      <c r="F55" s="87" t="str">
        <f>IF(ISNUMBER('Step 3 (MTP) - Plan and prior'!F40),'Step 3 (MTP) - Plan and prior'!F40,"")</f>
        <v/>
      </c>
      <c r="G55" s="87" t="str">
        <f>IF(ISNUMBER('Step 3 (MTP) - Plan and prior'!G40),'Step 3 (MTP) - Plan and prior'!G40,"")</f>
        <v/>
      </c>
      <c r="H55" s="87" t="str">
        <f>IF(ISNUMBER('Step 3 (MTP) - Plan and prior'!H40),'Step 3 (MTP) - Plan and prior'!H40,"")</f>
        <v/>
      </c>
      <c r="I55" s="87" t="str">
        <f>IF(ISNUMBER('Step 3 (MTP) - Plan and prior'!I40),'Step 3 (MTP) - Plan and prior'!I40,"")</f>
        <v/>
      </c>
      <c r="J55" s="87" t="str">
        <f>IF(ISNUMBER('Step 3 (MTP) - Plan and prior'!J40),'Step 3 (MTP) - Plan and prior'!J40,"")</f>
        <v/>
      </c>
      <c r="K55" s="87" t="str">
        <f>IF(ISNUMBER('Step 3 (MTP) - Plan and prior'!K40),'Step 3 (MTP) - Plan and prior'!K40,"")</f>
        <v/>
      </c>
      <c r="L55" s="87" t="str">
        <f>IF(ISNUMBER('Step 3 (MTP) - Plan and prior'!L40),'Step 3 (MTP) - Plan and prior'!L40,"")</f>
        <v/>
      </c>
      <c r="M55" s="87" t="str">
        <f>IF(ISNUMBER('Step 3 (MTP) - Plan and prior'!M40),'Step 3 (MTP) - Plan and prior'!M40,"")</f>
        <v/>
      </c>
      <c r="N55" s="87" t="str">
        <f>IF(ISNUMBER('Step 3 (MTP) - Plan and prior'!N40),'Step 3 (MTP) - Plan and prior'!N40,"")</f>
        <v/>
      </c>
      <c r="O55" s="87" t="str">
        <f>IF(ISNUMBER('Step 3 (MTP) - Plan and prior'!O40),'Step 3 (MTP) - Plan and prior'!O40,"")</f>
        <v/>
      </c>
      <c r="P55" s="87" t="str">
        <f>IF(ISNUMBER('Step 3 (MTP) - Plan and prior'!P40),'Step 3 (MTP) - Plan and prior'!P40,"")</f>
        <v/>
      </c>
      <c r="Q55" s="87" t="str">
        <f>IF(ISNUMBER('Step 3 (MTP) - Plan and prior'!Q40),'Step 3 (MTP) - Plan and prior'!Q40,"")</f>
        <v/>
      </c>
      <c r="R55" s="87" t="str">
        <f>IF(ISNUMBER('Step 3 (MTP) - Plan and prior'!R40),'Step 3 (MTP) - Plan and prior'!R40,"")</f>
        <v/>
      </c>
      <c r="S55" s="87" t="str">
        <f>IF(ISNUMBER('Step 3 (MTP) - Plan and prior'!S40),'Step 3 (MTP) - Plan and prior'!S40,"")</f>
        <v/>
      </c>
      <c r="T55" s="87" t="str">
        <f>IF(ISNUMBER('Step 3 (MTP) - Plan and prior'!T40),'Step 3 (MTP) - Plan and prior'!T40,"")</f>
        <v/>
      </c>
      <c r="U55" s="87" t="str">
        <f>IF(ISNUMBER('Step 3 (MTP) - Plan and prior'!U40),'Step 3 (MTP) - Plan and prior'!U40,"")</f>
        <v/>
      </c>
      <c r="V55" s="87" t="str">
        <f>IF(ISNUMBER('Step 3 (MTP) - Plan and prior'!V40),'Step 3 (MTP) - Plan and prior'!V40,"")</f>
        <v/>
      </c>
      <c r="W55" s="87" t="str">
        <f>IF(ISNUMBER('Step 3 (MTP) - Plan and prior'!W40),'Step 3 (MTP) - Plan and prior'!W40,"")</f>
        <v/>
      </c>
      <c r="X55"/>
    </row>
    <row r="56" spans="2:24" x14ac:dyDescent="0.4">
      <c r="B56" s="63" t="s">
        <v>335</v>
      </c>
      <c r="D56" s="87" t="str">
        <f>IF(ISNUMBER('Step 3 (MTP) - Plan and prior'!D41),'Step 3 (MTP) - Plan and prior'!D41,"")</f>
        <v/>
      </c>
      <c r="E56" s="87" t="str">
        <f>IF(ISNUMBER('Step 3 (MTP) - Plan and prior'!E41),'Step 3 (MTP) - Plan and prior'!E41,"")</f>
        <v/>
      </c>
      <c r="F56" s="87" t="str">
        <f>IF(ISNUMBER('Step 3 (MTP) - Plan and prior'!F41),'Step 3 (MTP) - Plan and prior'!F41,"")</f>
        <v/>
      </c>
      <c r="G56" s="87" t="str">
        <f>IF(ISNUMBER('Step 3 (MTP) - Plan and prior'!G41),'Step 3 (MTP) - Plan and prior'!G41,"")</f>
        <v/>
      </c>
      <c r="H56" s="87" t="str">
        <f>IF(ISNUMBER('Step 3 (MTP) - Plan and prior'!H41),'Step 3 (MTP) - Plan and prior'!H41,"")</f>
        <v/>
      </c>
      <c r="I56" s="87" t="str">
        <f>IF(ISNUMBER('Step 3 (MTP) - Plan and prior'!I41),'Step 3 (MTP) - Plan and prior'!I41,"")</f>
        <v/>
      </c>
      <c r="J56" s="87" t="str">
        <f>IF(ISNUMBER('Step 3 (MTP) - Plan and prior'!J41),'Step 3 (MTP) - Plan and prior'!J41,"")</f>
        <v/>
      </c>
      <c r="K56" s="87" t="str">
        <f>IF(ISNUMBER('Step 3 (MTP) - Plan and prior'!K41),'Step 3 (MTP) - Plan and prior'!K41,"")</f>
        <v/>
      </c>
      <c r="L56" s="87" t="str">
        <f>IF(ISNUMBER('Step 3 (MTP) - Plan and prior'!L41),'Step 3 (MTP) - Plan and prior'!L41,"")</f>
        <v/>
      </c>
      <c r="M56" s="87" t="str">
        <f>IF(ISNUMBER('Step 3 (MTP) - Plan and prior'!M41),'Step 3 (MTP) - Plan and prior'!M41,"")</f>
        <v/>
      </c>
      <c r="N56" s="87" t="str">
        <f>IF(ISNUMBER('Step 3 (MTP) - Plan and prior'!N41),'Step 3 (MTP) - Plan and prior'!N41,"")</f>
        <v/>
      </c>
      <c r="O56" s="87" t="str">
        <f>IF(ISNUMBER('Step 3 (MTP) - Plan and prior'!O41),'Step 3 (MTP) - Plan and prior'!O41,"")</f>
        <v/>
      </c>
      <c r="P56" s="87" t="str">
        <f>IF(ISNUMBER('Step 3 (MTP) - Plan and prior'!P41),'Step 3 (MTP) - Plan and prior'!P41,"")</f>
        <v/>
      </c>
      <c r="Q56" s="87" t="str">
        <f>IF(ISNUMBER('Step 3 (MTP) - Plan and prior'!Q41),'Step 3 (MTP) - Plan and prior'!Q41,"")</f>
        <v/>
      </c>
      <c r="R56" s="87" t="str">
        <f>IF(ISNUMBER('Step 3 (MTP) - Plan and prior'!R41),'Step 3 (MTP) - Plan and prior'!R41,"")</f>
        <v/>
      </c>
      <c r="S56" s="87" t="str">
        <f>IF(ISNUMBER('Step 3 (MTP) - Plan and prior'!S41),'Step 3 (MTP) - Plan and prior'!S41,"")</f>
        <v/>
      </c>
      <c r="T56" s="87" t="str">
        <f>IF(ISNUMBER('Step 3 (MTP) - Plan and prior'!T41),'Step 3 (MTP) - Plan and prior'!T41,"")</f>
        <v/>
      </c>
      <c r="U56" s="87" t="str">
        <f>IF(ISNUMBER('Step 3 (MTP) - Plan and prior'!U41),'Step 3 (MTP) - Plan and prior'!U41,"")</f>
        <v/>
      </c>
      <c r="V56" s="87" t="str">
        <f>IF(ISNUMBER('Step 3 (MTP) - Plan and prior'!V41),'Step 3 (MTP) - Plan and prior'!V41,"")</f>
        <v/>
      </c>
      <c r="W56" s="87" t="str">
        <f>IF(ISNUMBER('Step 3 (MTP) - Plan and prior'!W41),'Step 3 (MTP) - Plan and prior'!W41,"")</f>
        <v/>
      </c>
      <c r="X56"/>
    </row>
    <row r="57" spans="2:24" x14ac:dyDescent="0.4">
      <c r="B57" s="63" t="s">
        <v>336</v>
      </c>
      <c r="D57" s="87" t="str">
        <f>IF(ISNUMBER('Step 3 (MTP) - Plan and prior'!D42),'Step 3 (MTP) - Plan and prior'!D42,"")</f>
        <v/>
      </c>
      <c r="E57" s="87" t="str">
        <f>IF(ISNUMBER('Step 3 (MTP) - Plan and prior'!E42),'Step 3 (MTP) - Plan and prior'!E42,"")</f>
        <v/>
      </c>
      <c r="F57" s="87" t="str">
        <f>IF(ISNUMBER('Step 3 (MTP) - Plan and prior'!F42),'Step 3 (MTP) - Plan and prior'!F42,"")</f>
        <v/>
      </c>
      <c r="G57" s="87" t="str">
        <f>IF(ISNUMBER('Step 3 (MTP) - Plan and prior'!G42),'Step 3 (MTP) - Plan and prior'!G42,"")</f>
        <v/>
      </c>
      <c r="H57" s="87" t="str">
        <f>IF(ISNUMBER('Step 3 (MTP) - Plan and prior'!H42),'Step 3 (MTP) - Plan and prior'!H42,"")</f>
        <v/>
      </c>
      <c r="I57" s="87" t="str">
        <f>IF(ISNUMBER('Step 3 (MTP) - Plan and prior'!I42),'Step 3 (MTP) - Plan and prior'!I42,"")</f>
        <v/>
      </c>
      <c r="J57" s="87" t="str">
        <f>IF(ISNUMBER('Step 3 (MTP) - Plan and prior'!J42),'Step 3 (MTP) - Plan and prior'!J42,"")</f>
        <v/>
      </c>
      <c r="K57" s="87" t="str">
        <f>IF(ISNUMBER('Step 3 (MTP) - Plan and prior'!K42),'Step 3 (MTP) - Plan and prior'!K42,"")</f>
        <v/>
      </c>
      <c r="L57" s="87" t="str">
        <f>IF(ISNUMBER('Step 3 (MTP) - Plan and prior'!L42),'Step 3 (MTP) - Plan and prior'!L42,"")</f>
        <v/>
      </c>
      <c r="M57" s="87" t="str">
        <f>IF(ISNUMBER('Step 3 (MTP) - Plan and prior'!M42),'Step 3 (MTP) - Plan and prior'!M42,"")</f>
        <v/>
      </c>
      <c r="N57" s="87" t="str">
        <f>IF(ISNUMBER('Step 3 (MTP) - Plan and prior'!N42),'Step 3 (MTP) - Plan and prior'!N42,"")</f>
        <v/>
      </c>
      <c r="O57" s="87" t="str">
        <f>IF(ISNUMBER('Step 3 (MTP) - Plan and prior'!O42),'Step 3 (MTP) - Plan and prior'!O42,"")</f>
        <v/>
      </c>
      <c r="P57" s="87" t="str">
        <f>IF(ISNUMBER('Step 3 (MTP) - Plan and prior'!P42),'Step 3 (MTP) - Plan and prior'!P42,"")</f>
        <v/>
      </c>
      <c r="Q57" s="87" t="str">
        <f>IF(ISNUMBER('Step 3 (MTP) - Plan and prior'!Q42),'Step 3 (MTP) - Plan and prior'!Q42,"")</f>
        <v/>
      </c>
      <c r="R57" s="87" t="str">
        <f>IF(ISNUMBER('Step 3 (MTP) - Plan and prior'!R42),'Step 3 (MTP) - Plan and prior'!R42,"")</f>
        <v/>
      </c>
      <c r="S57" s="87" t="str">
        <f>IF(ISNUMBER('Step 3 (MTP) - Plan and prior'!S42),'Step 3 (MTP) - Plan and prior'!S42,"")</f>
        <v/>
      </c>
      <c r="T57" s="87" t="str">
        <f>IF(ISNUMBER('Step 3 (MTP) - Plan and prior'!T42),'Step 3 (MTP) - Plan and prior'!T42,"")</f>
        <v/>
      </c>
      <c r="U57" s="87" t="str">
        <f>IF(ISNUMBER('Step 3 (MTP) - Plan and prior'!U42),'Step 3 (MTP) - Plan and prior'!U42,"")</f>
        <v/>
      </c>
      <c r="V57" s="87" t="str">
        <f>IF(ISNUMBER('Step 3 (MTP) - Plan and prior'!V42),'Step 3 (MTP) - Plan and prior'!V42,"")</f>
        <v/>
      </c>
      <c r="W57" s="87" t="str">
        <f>IF(ISNUMBER('Step 3 (MTP) - Plan and prior'!W42),'Step 3 (MTP) - Plan and prior'!W42,"")</f>
        <v/>
      </c>
      <c r="X57"/>
    </row>
    <row r="58" spans="2:24" x14ac:dyDescent="0.4">
      <c r="B58" s="63" t="s">
        <v>337</v>
      </c>
      <c r="D58" s="87" t="str">
        <f>IF(ISNUMBER('Step 3 (MTP) - Plan and prior'!D43),'Step 3 (MTP) - Plan and prior'!D43,"")</f>
        <v/>
      </c>
      <c r="E58" s="87" t="str">
        <f>IF(ISNUMBER('Step 3 (MTP) - Plan and prior'!E43),'Step 3 (MTP) - Plan and prior'!E43,"")</f>
        <v/>
      </c>
      <c r="F58" s="87" t="str">
        <f>IF(ISNUMBER('Step 3 (MTP) - Plan and prior'!F43),'Step 3 (MTP) - Plan and prior'!F43,"")</f>
        <v/>
      </c>
      <c r="G58" s="87" t="str">
        <f>IF(ISNUMBER('Step 3 (MTP) - Plan and prior'!G43),'Step 3 (MTP) - Plan and prior'!G43,"")</f>
        <v/>
      </c>
      <c r="H58" s="87" t="str">
        <f>IF(ISNUMBER('Step 3 (MTP) - Plan and prior'!H43),'Step 3 (MTP) - Plan and prior'!H43,"")</f>
        <v/>
      </c>
      <c r="I58" s="87" t="str">
        <f>IF(ISNUMBER('Step 3 (MTP) - Plan and prior'!I43),'Step 3 (MTP) - Plan and prior'!I43,"")</f>
        <v/>
      </c>
      <c r="J58" s="87" t="str">
        <f>IF(ISNUMBER('Step 3 (MTP) - Plan and prior'!J43),'Step 3 (MTP) - Plan and prior'!J43,"")</f>
        <v/>
      </c>
      <c r="K58" s="87" t="str">
        <f>IF(ISNUMBER('Step 3 (MTP) - Plan and prior'!K43),'Step 3 (MTP) - Plan and prior'!K43,"")</f>
        <v/>
      </c>
      <c r="L58" s="87" t="str">
        <f>IF(ISNUMBER('Step 3 (MTP) - Plan and prior'!L43),'Step 3 (MTP) - Plan and prior'!L43,"")</f>
        <v/>
      </c>
      <c r="M58" s="87" t="str">
        <f>IF(ISNUMBER('Step 3 (MTP) - Plan and prior'!M43),'Step 3 (MTP) - Plan and prior'!M43,"")</f>
        <v/>
      </c>
      <c r="N58" s="87" t="str">
        <f>IF(ISNUMBER('Step 3 (MTP) - Plan and prior'!N43),'Step 3 (MTP) - Plan and prior'!N43,"")</f>
        <v/>
      </c>
      <c r="O58" s="87" t="str">
        <f>IF(ISNUMBER('Step 3 (MTP) - Plan and prior'!O43),'Step 3 (MTP) - Plan and prior'!O43,"")</f>
        <v/>
      </c>
      <c r="P58" s="87" t="str">
        <f>IF(ISNUMBER('Step 3 (MTP) - Plan and prior'!P43),'Step 3 (MTP) - Plan and prior'!P43,"")</f>
        <v/>
      </c>
      <c r="Q58" s="87" t="str">
        <f>IF(ISNUMBER('Step 3 (MTP) - Plan and prior'!Q43),'Step 3 (MTP) - Plan and prior'!Q43,"")</f>
        <v/>
      </c>
      <c r="R58" s="87" t="str">
        <f>IF(ISNUMBER('Step 3 (MTP) - Plan and prior'!R43),'Step 3 (MTP) - Plan and prior'!R43,"")</f>
        <v/>
      </c>
      <c r="S58" s="87" t="str">
        <f>IF(ISNUMBER('Step 3 (MTP) - Plan and prior'!S43),'Step 3 (MTP) - Plan and prior'!S43,"")</f>
        <v/>
      </c>
      <c r="T58" s="87" t="str">
        <f>IF(ISNUMBER('Step 3 (MTP) - Plan and prior'!T43),'Step 3 (MTP) - Plan and prior'!T43,"")</f>
        <v/>
      </c>
      <c r="U58" s="87" t="str">
        <f>IF(ISNUMBER('Step 3 (MTP) - Plan and prior'!U43),'Step 3 (MTP) - Plan and prior'!U43,"")</f>
        <v/>
      </c>
      <c r="V58" s="87" t="str">
        <f>IF(ISNUMBER('Step 3 (MTP) - Plan and prior'!V43),'Step 3 (MTP) - Plan and prior'!V43,"")</f>
        <v/>
      </c>
      <c r="W58" s="87" t="str">
        <f>IF(ISNUMBER('Step 3 (MTP) - Plan and prior'!W43),'Step 3 (MTP) - Plan and prior'!W43,"")</f>
        <v/>
      </c>
      <c r="X58"/>
    </row>
    <row r="59" spans="2:24" ht="12.4" customHeight="1" x14ac:dyDescent="0.4">
      <c r="B59" s="80" t="s">
        <v>405</v>
      </c>
      <c r="C59" s="20"/>
      <c r="D59" s="65" t="str">
        <f>IF(ISNUMBER('Step 3 (MTP) - Plan and prior'!D44),'Step 3 (MTP) - Plan and prior'!D44,"")</f>
        <v/>
      </c>
      <c r="E59" s="65" t="str">
        <f>IF(ISNUMBER('Step 3 (MTP) - Plan and prior'!E44),'Step 3 (MTP) - Plan and prior'!E44,"")</f>
        <v/>
      </c>
      <c r="F59" s="65" t="str">
        <f>IF(ISNUMBER('Step 3 (MTP) - Plan and prior'!F44),'Step 3 (MTP) - Plan and prior'!F44,"")</f>
        <v/>
      </c>
      <c r="G59" s="65" t="str">
        <f>IF(ISNUMBER('Step 3 (MTP) - Plan and prior'!G44),'Step 3 (MTP) - Plan and prior'!G44,"")</f>
        <v/>
      </c>
      <c r="H59" s="65" t="str">
        <f>IF(ISNUMBER('Step 3 (MTP) - Plan and prior'!H44),'Step 3 (MTP) - Plan and prior'!H44,"")</f>
        <v/>
      </c>
      <c r="I59" s="65" t="str">
        <f>IF(ISNUMBER('Step 3 (MTP) - Plan and prior'!I44),'Step 3 (MTP) - Plan and prior'!I44,"")</f>
        <v/>
      </c>
      <c r="J59" s="65" t="str">
        <f>IF(ISNUMBER('Step 3 (MTP) - Plan and prior'!J44),'Step 3 (MTP) - Plan and prior'!J44,"")</f>
        <v/>
      </c>
      <c r="K59" s="65" t="str">
        <f>IF(ISNUMBER('Step 3 (MTP) - Plan and prior'!K44),'Step 3 (MTP) - Plan and prior'!K44,"")</f>
        <v/>
      </c>
      <c r="L59" s="65" t="str">
        <f>IF(ISNUMBER('Step 3 (MTP) - Plan and prior'!L44),'Step 3 (MTP) - Plan and prior'!L44,"")</f>
        <v/>
      </c>
      <c r="M59" s="65" t="str">
        <f>IF(ISNUMBER('Step 3 (MTP) - Plan and prior'!M44),'Step 3 (MTP) - Plan and prior'!M44,"")</f>
        <v/>
      </c>
      <c r="N59" s="65" t="str">
        <f>IF(ISNUMBER('Step 3 (MTP) - Plan and prior'!N44),'Step 3 (MTP) - Plan and prior'!N44,"")</f>
        <v/>
      </c>
      <c r="O59" s="65" t="str">
        <f>IF(ISNUMBER('Step 3 (MTP) - Plan and prior'!O44),'Step 3 (MTP) - Plan and prior'!O44,"")</f>
        <v/>
      </c>
      <c r="P59" s="65" t="str">
        <f>IF(ISNUMBER('Step 3 (MTP) - Plan and prior'!P44),'Step 3 (MTP) - Plan and prior'!P44,"")</f>
        <v/>
      </c>
      <c r="Q59" s="65" t="str">
        <f>IF(ISNUMBER('Step 3 (MTP) - Plan and prior'!Q44),'Step 3 (MTP) - Plan and prior'!Q44,"")</f>
        <v/>
      </c>
      <c r="R59" s="65" t="str">
        <f>IF(ISNUMBER('Step 3 (MTP) - Plan and prior'!R44),'Step 3 (MTP) - Plan and prior'!R44,"")</f>
        <v/>
      </c>
      <c r="S59" s="65" t="str">
        <f>IF(ISNUMBER('Step 3 (MTP) - Plan and prior'!S44),'Step 3 (MTP) - Plan and prior'!S44,"")</f>
        <v/>
      </c>
      <c r="T59" s="65" t="str">
        <f>IF(ISNUMBER('Step 3 (MTP) - Plan and prior'!T44),'Step 3 (MTP) - Plan and prior'!T44,"")</f>
        <v/>
      </c>
      <c r="U59" s="65" t="str">
        <f>IF(ISNUMBER('Step 3 (MTP) - Plan and prior'!U44),'Step 3 (MTP) - Plan and prior'!U44,"")</f>
        <v/>
      </c>
      <c r="V59" s="65" t="str">
        <f>IF(ISNUMBER('Step 3 (MTP) - Plan and prior'!V44),'Step 3 (MTP) - Plan and prior'!V44,"")</f>
        <v/>
      </c>
      <c r="W59" s="65" t="str">
        <f>IF(ISNUMBER('Step 3 (MTP) - Plan and prior'!W44),'Step 3 (MTP) - Plan and prior'!W44,"")</f>
        <v/>
      </c>
      <c r="X59"/>
    </row>
    <row r="60" spans="2:24" customFormat="1" x14ac:dyDescent="0.4">
      <c r="B60" s="72"/>
      <c r="C60" s="15"/>
      <c r="D60" s="65"/>
      <c r="E60" s="65"/>
      <c r="F60" s="65"/>
      <c r="G60" s="65"/>
      <c r="H60" s="65"/>
      <c r="I60" s="65"/>
      <c r="J60" s="65"/>
      <c r="K60" s="65"/>
      <c r="L60" s="65"/>
      <c r="M60" s="65"/>
      <c r="N60" s="65"/>
      <c r="O60" s="65"/>
      <c r="P60" s="65"/>
      <c r="Q60" s="65"/>
      <c r="R60" s="65"/>
      <c r="S60" s="65"/>
      <c r="T60" s="65"/>
      <c r="U60" s="65"/>
      <c r="V60" s="65"/>
      <c r="W60" s="65"/>
    </row>
    <row r="61" spans="2:24" customFormat="1" ht="18" x14ac:dyDescent="0.55000000000000004">
      <c r="B61" s="67" t="str">
        <f>IF(Receives_reference_trajectory,"Prior guidance: reference trajectory and DSA","Prior guidance: technical information and DSA")</f>
        <v>Prior guidance: technical information and DSA</v>
      </c>
      <c r="C61" s="15"/>
      <c r="D61" s="65"/>
      <c r="E61" s="65"/>
      <c r="F61" s="65"/>
      <c r="G61" s="65"/>
      <c r="H61" s="65"/>
      <c r="I61" s="65"/>
    </row>
    <row r="62" spans="2:24" customFormat="1" ht="15.75" x14ac:dyDescent="0.5">
      <c r="B62" s="99" t="s">
        <v>360</v>
      </c>
      <c r="C62" s="15"/>
      <c r="D62" s="65"/>
      <c r="E62" s="65"/>
      <c r="F62" s="65"/>
      <c r="G62" s="65"/>
      <c r="H62" s="65"/>
      <c r="I62" s="65"/>
    </row>
    <row r="63" spans="2:24" x14ac:dyDescent="0.4">
      <c r="B63" s="56" t="s">
        <v>295</v>
      </c>
      <c r="C63" s="115"/>
      <c r="D63" s="61" cm="1">
        <f t="array" ref="D63:S63">_xlfn.SEQUENCE(1, AdjustmentPeriodEnd+10-MTP_BaseYear+1, MTP_BaseYear)</f>
        <v>2023</v>
      </c>
      <c r="E63" s="79">
        <v>2024</v>
      </c>
      <c r="F63" s="79">
        <v>2025</v>
      </c>
      <c r="G63" s="79">
        <v>2026</v>
      </c>
      <c r="H63" s="79">
        <v>2027</v>
      </c>
      <c r="I63" s="79">
        <v>2028</v>
      </c>
      <c r="J63" s="79">
        <v>2029</v>
      </c>
      <c r="K63" s="79">
        <v>2030</v>
      </c>
      <c r="L63" s="79">
        <v>2031</v>
      </c>
      <c r="M63" s="79">
        <v>2032</v>
      </c>
      <c r="N63" s="79">
        <v>2033</v>
      </c>
      <c r="O63" s="79">
        <v>2034</v>
      </c>
      <c r="P63" s="79">
        <v>2035</v>
      </c>
      <c r="Q63" s="79">
        <v>2036</v>
      </c>
      <c r="R63" s="79">
        <v>2037</v>
      </c>
      <c r="S63" s="79">
        <v>2038</v>
      </c>
      <c r="T63" s="79"/>
      <c r="U63" s="79"/>
      <c r="V63" s="79"/>
      <c r="W63" s="79"/>
    </row>
    <row r="64" spans="2:24" x14ac:dyDescent="0.4">
      <c r="B64" s="58" t="s">
        <v>320</v>
      </c>
      <c r="C64" s="20"/>
      <c r="D64" s="64" t="str">
        <f t="shared" ref="D64:W64" si="1">IF(AND(D$63&gt;=MTP_YearT-1, D$63&lt;=AdjustmentPeriodEnd), IF(D$63=MTP_YearT-1, "T-1", IF(D$63=MTP_YearT, "T", "T+"&amp;(D$63-MTP_YearT))), "")</f>
        <v>T-1</v>
      </c>
      <c r="E64" s="64" t="str">
        <f t="shared" si="1"/>
        <v>T</v>
      </c>
      <c r="F64" s="64" t="str">
        <f t="shared" si="1"/>
        <v>T+1</v>
      </c>
      <c r="G64" s="64" t="str">
        <f t="shared" si="1"/>
        <v>T+2</v>
      </c>
      <c r="H64" s="64" t="str">
        <f t="shared" si="1"/>
        <v>T+3</v>
      </c>
      <c r="I64" s="64" t="str">
        <f t="shared" si="1"/>
        <v>T+4</v>
      </c>
      <c r="J64" s="64" t="str">
        <f t="shared" si="1"/>
        <v/>
      </c>
      <c r="K64" s="64" t="str">
        <f t="shared" si="1"/>
        <v/>
      </c>
      <c r="L64" s="64" t="str">
        <f t="shared" si="1"/>
        <v/>
      </c>
      <c r="M64" s="64" t="str">
        <f t="shared" si="1"/>
        <v/>
      </c>
      <c r="N64" s="64" t="str">
        <f t="shared" si="1"/>
        <v/>
      </c>
      <c r="O64" s="64" t="str">
        <f t="shared" si="1"/>
        <v/>
      </c>
      <c r="P64" s="64" t="str">
        <f t="shared" si="1"/>
        <v/>
      </c>
      <c r="Q64" s="64" t="str">
        <f t="shared" si="1"/>
        <v/>
      </c>
      <c r="R64" s="64" t="str">
        <f t="shared" si="1"/>
        <v/>
      </c>
      <c r="S64" s="64" t="str">
        <f t="shared" si="1"/>
        <v/>
      </c>
      <c r="T64" s="64" t="str">
        <f t="shared" si="1"/>
        <v/>
      </c>
      <c r="U64" s="64" t="str">
        <f t="shared" si="1"/>
        <v/>
      </c>
      <c r="V64" s="64" t="str">
        <f t="shared" si="1"/>
        <v/>
      </c>
      <c r="W64" s="64" t="str">
        <f t="shared" si="1"/>
        <v/>
      </c>
    </row>
    <row r="65" spans="2:24" x14ac:dyDescent="0.4">
      <c r="B65" s="72" t="s">
        <v>800</v>
      </c>
      <c r="D65" s="104" t="str">
        <f>IF(ISNUMBER('Step 3 (MTP) - Plan and prior'!D50),'Step 3 (MTP) - Plan and prior'!D50,"")</f>
        <v/>
      </c>
      <c r="E65" s="104" t="str">
        <f>IF(ISNUMBER('Step 3 (MTP) - Plan and prior'!E50),'Step 3 (MTP) - Plan and prior'!E50,"")</f>
        <v/>
      </c>
      <c r="F65" s="104" t="str">
        <f>IF(ISNUMBER('Step 3 (MTP) - Plan and prior'!F50),'Step 3 (MTP) - Plan and prior'!F50,"")</f>
        <v/>
      </c>
      <c r="G65" s="104" t="str">
        <f>IF(ISNUMBER('Step 3 (MTP) - Plan and prior'!G50),'Step 3 (MTP) - Plan and prior'!G50,"")</f>
        <v/>
      </c>
      <c r="H65" s="104" t="str">
        <f>IF(ISNUMBER('Step 3 (MTP) - Plan and prior'!H50),'Step 3 (MTP) - Plan and prior'!H50,"")</f>
        <v/>
      </c>
      <c r="I65" s="104" t="str">
        <f>IF(ISNUMBER('Step 3 (MTP) - Plan and prior'!I50),'Step 3 (MTP) - Plan and prior'!I50,"")</f>
        <v/>
      </c>
      <c r="J65" s="104" t="str">
        <f>IF(ISNUMBER('Step 3 (MTP) - Plan and prior'!J50),'Step 3 (MTP) - Plan and prior'!J50,"")</f>
        <v/>
      </c>
      <c r="K65" s="104" t="str">
        <f>IF(ISNUMBER('Step 3 (MTP) - Plan and prior'!K50),'Step 3 (MTP) - Plan and prior'!K50,"")</f>
        <v/>
      </c>
      <c r="L65" s="104" t="str">
        <f>IF(ISNUMBER('Step 3 (MTP) - Plan and prior'!L50),'Step 3 (MTP) - Plan and prior'!L50,"")</f>
        <v/>
      </c>
      <c r="M65" s="104" t="str">
        <f>IF(ISNUMBER('Step 3 (MTP) - Plan and prior'!M50),'Step 3 (MTP) - Plan and prior'!M50,"")</f>
        <v/>
      </c>
      <c r="N65" s="104" t="str">
        <f>IF(ISNUMBER('Step 3 (MTP) - Plan and prior'!N50),'Step 3 (MTP) - Plan and prior'!N50,"")</f>
        <v/>
      </c>
      <c r="O65" s="104" t="str">
        <f>IF(ISNUMBER('Step 3 (MTP) - Plan and prior'!O50),'Step 3 (MTP) - Plan and prior'!O50,"")</f>
        <v/>
      </c>
      <c r="P65" s="104" t="str">
        <f>IF(ISNUMBER('Step 3 (MTP) - Plan and prior'!P50),'Step 3 (MTP) - Plan and prior'!P50,"")</f>
        <v/>
      </c>
      <c r="Q65" s="104" t="str">
        <f>IF(ISNUMBER('Step 3 (MTP) - Plan and prior'!Q50),'Step 3 (MTP) - Plan and prior'!Q50,"")</f>
        <v/>
      </c>
      <c r="R65" s="104" t="str">
        <f>IF(ISNUMBER('Step 3 (MTP) - Plan and prior'!R50),'Step 3 (MTP) - Plan and prior'!R50,"")</f>
        <v/>
      </c>
      <c r="S65" s="104" t="str">
        <f>IF(ISNUMBER('Step 3 (MTP) - Plan and prior'!S50),'Step 3 (MTP) - Plan and prior'!S50,"")</f>
        <v/>
      </c>
      <c r="T65" s="104" t="str">
        <f>IF(ISNUMBER('Step 3 (MTP) - Plan and prior'!T50),'Step 3 (MTP) - Plan and prior'!T50,"")</f>
        <v/>
      </c>
      <c r="U65" s="104" t="str">
        <f>IF(ISNUMBER('Step 3 (MTP) - Plan and prior'!U50),'Step 3 (MTP) - Plan and prior'!U50,"")</f>
        <v/>
      </c>
      <c r="V65" s="104" t="str">
        <f>IF(ISNUMBER('Step 3 (MTP) - Plan and prior'!V50),'Step 3 (MTP) - Plan and prior'!V50,"")</f>
        <v/>
      </c>
      <c r="W65" s="104" t="str">
        <f>IF(ISNUMBER('Step 3 (MTP) - Plan and prior'!W50),'Step 3 (MTP) - Plan and prior'!W50,"")</f>
        <v/>
      </c>
      <c r="X65" s="104" t="str">
        <f>IF(ISNUMBER('Step 3 (MTP) - Plan and prior'!X50),'Step 3 (MTP) - Plan and prior'!X50,"")</f>
        <v/>
      </c>
    </row>
    <row r="66" spans="2:24" ht="16.899999999999999" customHeight="1" x14ac:dyDescent="0.4">
      <c r="B66" s="72" t="str">
        <f>'Step 3 (MTP) - Plan and prior'!B51</f>
        <v>Minimum level for the structural primary balance in 2028, no safeguard</v>
      </c>
      <c r="D66" s="87" t="str">
        <f>IF(ISNUMBER('Step 3 (MTP) - Plan and prior'!D51),'Step 3 (MTP) - Plan and prior'!D51,"")</f>
        <v/>
      </c>
      <c r="E66" s="87" t="str">
        <f>IF(ISNUMBER('Step 3 (MTP) - Plan and prior'!E51),'Step 3 (MTP) - Plan and prior'!E51,"")</f>
        <v/>
      </c>
      <c r="F66" s="87" t="str">
        <f>IF(ISNUMBER('Step 3 (MTP) - Plan and prior'!F51),'Step 3 (MTP) - Plan and prior'!F51,"")</f>
        <v/>
      </c>
      <c r="G66" s="87" t="str">
        <f>IF(ISNUMBER('Step 3 (MTP) - Plan and prior'!G51),'Step 3 (MTP) - Plan and prior'!G51,"")</f>
        <v/>
      </c>
      <c r="H66" s="87" t="str">
        <f>IF(ISNUMBER('Step 3 (MTP) - Plan and prior'!H51),'Step 3 (MTP) - Plan and prior'!H51,"")</f>
        <v/>
      </c>
      <c r="I66" s="87">
        <f>IF(ISNUMBER('Step 3 (MTP) - Plan and prior'!I51),'Step 3 (MTP) - Plan and prior'!I51,"")</f>
        <v>-1.3</v>
      </c>
      <c r="J66" s="87" t="str">
        <f>IF(ISNUMBER('Step 3 (MTP) - Plan and prior'!J51),'Step 3 (MTP) - Plan and prior'!J51,"")</f>
        <v/>
      </c>
      <c r="K66" s="87" t="str">
        <f>IF(ISNUMBER('Step 3 (MTP) - Plan and prior'!K51),'Step 3 (MTP) - Plan and prior'!K51,"")</f>
        <v/>
      </c>
      <c r="L66" s="87" t="str">
        <f>IF(ISNUMBER('Step 3 (MTP) - Plan and prior'!L51),'Step 3 (MTP) - Plan and prior'!L51,"")</f>
        <v/>
      </c>
      <c r="M66" s="87" t="str">
        <f>IF(ISNUMBER('Step 3 (MTP) - Plan and prior'!M51),'Step 3 (MTP) - Plan and prior'!M51,"")</f>
        <v/>
      </c>
      <c r="N66" s="87" t="str">
        <f>IF(ISNUMBER('Step 3 (MTP) - Plan and prior'!N51),'Step 3 (MTP) - Plan and prior'!N51,"")</f>
        <v/>
      </c>
      <c r="O66" s="87" t="str">
        <f>IF(ISNUMBER('Step 3 (MTP) - Plan and prior'!O51),'Step 3 (MTP) - Plan and prior'!O51,"")</f>
        <v/>
      </c>
      <c r="P66" s="87" t="str">
        <f>IF(ISNUMBER('Step 3 (MTP) - Plan and prior'!P51),'Step 3 (MTP) - Plan and prior'!P51,"")</f>
        <v/>
      </c>
      <c r="Q66" s="87" t="str">
        <f>IF(ISNUMBER('Step 3 (MTP) - Plan and prior'!Q51),'Step 3 (MTP) - Plan and prior'!Q51,"")</f>
        <v/>
      </c>
      <c r="R66" s="87" t="str">
        <f>IF(ISNUMBER('Step 3 (MTP) - Plan and prior'!R51),'Step 3 (MTP) - Plan and prior'!R51,"")</f>
        <v/>
      </c>
      <c r="S66" s="87" t="str">
        <f>IF(ISNUMBER('Step 3 (MTP) - Plan and prior'!S51),'Step 3 (MTP) - Plan and prior'!S51,"")</f>
        <v/>
      </c>
      <c r="T66" s="87" t="str">
        <f>IF(ISNUMBER('Step 3 (MTP) - Plan and prior'!T51),'Step 3 (MTP) - Plan and prior'!T51,"")</f>
        <v/>
      </c>
      <c r="U66" s="87" t="str">
        <f>IF(ISNUMBER('Step 3 (MTP) - Plan and prior'!U51),'Step 3 (MTP) - Plan and prior'!U51,"")</f>
        <v/>
      </c>
      <c r="V66" s="87" t="str">
        <f>IF(ISNUMBER('Step 3 (MTP) - Plan and prior'!V51),'Step 3 (MTP) - Plan and prior'!V51,"")</f>
        <v/>
      </c>
      <c r="W66" s="87" t="str">
        <f>IF(ISNUMBER('Step 3 (MTP) - Plan and prior'!W51),'Step 3 (MTP) - Plan and prior'!W51,"")</f>
        <v/>
      </c>
      <c r="X66" s="15" t="str">
        <f>IF(ISNUMBER('Step 3 (MTP) - Plan and prior'!X51),'Step 3 (MTP) - Plan and prior'!X51,"")</f>
        <v/>
      </c>
    </row>
    <row r="67" spans="2:24" x14ac:dyDescent="0.4">
      <c r="B67" s="72" t="str">
        <f>'Step 3 (MTP) - Plan and prior'!B52</f>
        <v>Minimum level for the structural primary balance in 2028, with safeguard</v>
      </c>
      <c r="D67" s="87" t="str">
        <f>IF(ISNUMBER('Step 3 (MTP) - Plan and prior'!D52),'Step 3 (MTP) - Plan and prior'!D52,"")</f>
        <v/>
      </c>
      <c r="E67" s="87" t="str">
        <f>IF(ISNUMBER('Step 3 (MTP) - Plan and prior'!E52),'Step 3 (MTP) - Plan and prior'!E52,"")</f>
        <v/>
      </c>
      <c r="F67" s="87" t="str">
        <f>IF(ISNUMBER('Step 3 (MTP) - Plan and prior'!F52),'Step 3 (MTP) - Plan and prior'!F52,"")</f>
        <v/>
      </c>
      <c r="G67" s="87" t="str">
        <f>IF(ISNUMBER('Step 3 (MTP) - Plan and prior'!G52),'Step 3 (MTP) - Plan and prior'!G52,"")</f>
        <v/>
      </c>
      <c r="H67" s="87" t="str">
        <f>IF(ISNUMBER('Step 3 (MTP) - Plan and prior'!H52),'Step 3 (MTP) - Plan and prior'!H52,"")</f>
        <v/>
      </c>
      <c r="I67" s="87">
        <f>IF(ISNUMBER('Step 3 (MTP) - Plan and prior'!I52),'Step 3 (MTP) - Plan and prior'!I52,"")</f>
        <v>-0.1424659999999999</v>
      </c>
      <c r="J67" s="87" t="str">
        <f>IF(ISNUMBER('Step 3 (MTP) - Plan and prior'!J52),'Step 3 (MTP) - Plan and prior'!J52,"")</f>
        <v/>
      </c>
      <c r="K67" s="87" t="str">
        <f>IF(ISNUMBER('Step 3 (MTP) - Plan and prior'!K52),'Step 3 (MTP) - Plan and prior'!K52,"")</f>
        <v/>
      </c>
      <c r="L67" s="87" t="str">
        <f>IF(ISNUMBER('Step 3 (MTP) - Plan and prior'!L52),'Step 3 (MTP) - Plan and prior'!L52,"")</f>
        <v/>
      </c>
      <c r="M67" s="87" t="str">
        <f>IF(ISNUMBER('Step 3 (MTP) - Plan and prior'!M52),'Step 3 (MTP) - Plan and prior'!M52,"")</f>
        <v/>
      </c>
      <c r="N67" s="87" t="str">
        <f>IF(ISNUMBER('Step 3 (MTP) - Plan and prior'!N52),'Step 3 (MTP) - Plan and prior'!N52,"")</f>
        <v/>
      </c>
      <c r="O67" s="87" t="str">
        <f>IF(ISNUMBER('Step 3 (MTP) - Plan and prior'!O52),'Step 3 (MTP) - Plan and prior'!O52,"")</f>
        <v/>
      </c>
      <c r="P67" s="87" t="str">
        <f>IF(ISNUMBER('Step 3 (MTP) - Plan and prior'!P52),'Step 3 (MTP) - Plan and prior'!P52,"")</f>
        <v/>
      </c>
      <c r="Q67" s="87" t="str">
        <f>IF(ISNUMBER('Step 3 (MTP) - Plan and prior'!Q52),'Step 3 (MTP) - Plan and prior'!Q52,"")</f>
        <v/>
      </c>
      <c r="R67" s="87" t="str">
        <f>IF(ISNUMBER('Step 3 (MTP) - Plan and prior'!R52),'Step 3 (MTP) - Plan and prior'!R52,"")</f>
        <v/>
      </c>
      <c r="S67" s="87" t="str">
        <f>IF(ISNUMBER('Step 3 (MTP) - Plan and prior'!S52),'Step 3 (MTP) - Plan and prior'!S52,"")</f>
        <v/>
      </c>
      <c r="T67" s="87" t="str">
        <f>IF(ISNUMBER('Step 3 (MTP) - Plan and prior'!T52),'Step 3 (MTP) - Plan and prior'!T52,"")</f>
        <v/>
      </c>
      <c r="U67" s="87" t="str">
        <f>IF(ISNUMBER('Step 3 (MTP) - Plan and prior'!U52),'Step 3 (MTP) - Plan and prior'!U52,"")</f>
        <v/>
      </c>
      <c r="V67" s="87" t="str">
        <f>IF(ISNUMBER('Step 3 (MTP) - Plan and prior'!V52),'Step 3 (MTP) - Plan and prior'!V52,"")</f>
        <v/>
      </c>
      <c r="W67" s="87" t="str">
        <f>IF(ISNUMBER('Step 3 (MTP) - Plan and prior'!W52),'Step 3 (MTP) - Plan and prior'!W52,"")</f>
        <v/>
      </c>
      <c r="X67" s="104" t="str">
        <f>IF(ISNUMBER('Step 3 (MTP) - Plan and prior'!X52),'Step 3 (MTP) - Plan and prior'!X52,"")</f>
        <v/>
      </c>
    </row>
    <row r="68" spans="2:24" customFormat="1" ht="20.25" customHeight="1" x14ac:dyDescent="0.4">
      <c r="B68" s="101" t="s">
        <v>801</v>
      </c>
      <c r="C68" s="15"/>
      <c r="D68" t="str">
        <f>IF(ISNUMBER('Step 3 (MTP) - Plan and prior'!D53),'Step 3 (MTP) - Plan and prior'!D53,"")</f>
        <v/>
      </c>
      <c r="E68" t="str">
        <f>IF(ISNUMBER('Step 3 (MTP) - Plan and prior'!E53),'Step 3 (MTP) - Plan and prior'!E53,"")</f>
        <v/>
      </c>
      <c r="F68" t="str">
        <f>IF(ISNUMBER('Step 3 (MTP) - Plan and prior'!F53),'Step 3 (MTP) - Plan and prior'!F53,"")</f>
        <v/>
      </c>
      <c r="G68" t="str">
        <f>IF(ISNUMBER('Step 3 (MTP) - Plan and prior'!G53),'Step 3 (MTP) - Plan and prior'!G53,"")</f>
        <v/>
      </c>
      <c r="H68" t="str">
        <f>IF(ISNUMBER('Step 3 (MTP) - Plan and prior'!H53),'Step 3 (MTP) - Plan and prior'!H53,"")</f>
        <v/>
      </c>
      <c r="I68" t="str">
        <f>IF(ISNUMBER('Step 3 (MTP) - Plan and prior'!I53),'Step 3 (MTP) - Plan and prior'!I53,"")</f>
        <v/>
      </c>
      <c r="J68" t="str">
        <f>IF(ISNUMBER('Step 3 (MTP) - Plan and prior'!J53),'Step 3 (MTP) - Plan and prior'!J53,"")</f>
        <v/>
      </c>
      <c r="K68" t="str">
        <f>IF(ISNUMBER('Step 3 (MTP) - Plan and prior'!K53),'Step 3 (MTP) - Plan and prior'!K53,"")</f>
        <v/>
      </c>
      <c r="L68" t="str">
        <f>IF(ISNUMBER('Step 3 (MTP) - Plan and prior'!L53),'Step 3 (MTP) - Plan and prior'!L53,"")</f>
        <v/>
      </c>
      <c r="M68" t="str">
        <f>IF(ISNUMBER('Step 3 (MTP) - Plan and prior'!M53),'Step 3 (MTP) - Plan and prior'!M53,"")</f>
        <v/>
      </c>
      <c r="N68" t="str">
        <f>IF(ISNUMBER('Step 3 (MTP) - Plan and prior'!N53),'Step 3 (MTP) - Plan and prior'!N53,"")</f>
        <v/>
      </c>
      <c r="O68" t="str">
        <f>IF(ISNUMBER('Step 3 (MTP) - Plan and prior'!O53),'Step 3 (MTP) - Plan and prior'!O53,"")</f>
        <v/>
      </c>
      <c r="P68" t="str">
        <f>IF(ISNUMBER('Step 3 (MTP) - Plan and prior'!P53),'Step 3 (MTP) - Plan and prior'!P53,"")</f>
        <v/>
      </c>
      <c r="Q68" t="str">
        <f>IF(ISNUMBER('Step 3 (MTP) - Plan and prior'!Q53),'Step 3 (MTP) - Plan and prior'!Q53,"")</f>
        <v/>
      </c>
      <c r="R68" t="str">
        <f>IF(ISNUMBER('Step 3 (MTP) - Plan and prior'!R53),'Step 3 (MTP) - Plan and prior'!R53,"")</f>
        <v/>
      </c>
      <c r="S68" t="str">
        <f>IF(ISNUMBER('Step 3 (MTP) - Plan and prior'!S53),'Step 3 (MTP) - Plan and prior'!S53,"")</f>
        <v/>
      </c>
      <c r="T68" t="str">
        <f>IF(ISNUMBER('Step 3 (MTP) - Plan and prior'!T53),'Step 3 (MTP) - Plan and prior'!T53,"")</f>
        <v/>
      </c>
      <c r="U68" t="str">
        <f>IF(ISNUMBER('Step 3 (MTP) - Plan and prior'!U53),'Step 3 (MTP) - Plan and prior'!U53,"")</f>
        <v/>
      </c>
      <c r="V68" t="str">
        <f>IF(ISNUMBER('Step 3 (MTP) - Plan and prior'!V53),'Step 3 (MTP) - Plan and prior'!V53,"")</f>
        <v/>
      </c>
      <c r="W68" t="str">
        <f>IF(ISNUMBER('Step 3 (MTP) - Plan and prior'!W53),'Step 3 (MTP) - Plan and prior'!W53,"")</f>
        <v/>
      </c>
      <c r="X68" t="str">
        <f>IF(ISNUMBER('Step 3 (MTP) - Plan and prior'!X53),'Step 3 (MTP) - Plan and prior'!X53,"")</f>
        <v/>
      </c>
    </row>
    <row r="69" spans="2:24" customFormat="1" x14ac:dyDescent="0.4">
      <c r="B69" s="72" t="str">
        <f>'Step 3 (MTP) - Plan and prior'!B54</f>
        <v>Main budgetary variables (4-year adjustment period)</v>
      </c>
      <c r="C69" s="15"/>
      <c r="D69" t="str">
        <f>IF(ISNUMBER('Step 3 (MTP) - Plan and prior'!D54),'Step 3 (MTP) - Plan and prior'!D54,"")</f>
        <v/>
      </c>
      <c r="E69" t="str">
        <f>IF(ISNUMBER('Step 3 (MTP) - Plan and prior'!E54),'Step 3 (MTP) - Plan and prior'!E54,"")</f>
        <v/>
      </c>
      <c r="F69" t="str">
        <f>IF(ISNUMBER('Step 3 (MTP) - Plan and prior'!F54),'Step 3 (MTP) - Plan and prior'!F54,"")</f>
        <v/>
      </c>
      <c r="G69" t="str">
        <f>IF(ISNUMBER('Step 3 (MTP) - Plan and prior'!G54),'Step 3 (MTP) - Plan and prior'!G54,"")</f>
        <v/>
      </c>
      <c r="H69" t="str">
        <f>IF(ISNUMBER('Step 3 (MTP) - Plan and prior'!H54),'Step 3 (MTP) - Plan and prior'!H54,"")</f>
        <v/>
      </c>
      <c r="I69" t="str">
        <f>IF(ISNUMBER('Step 3 (MTP) - Plan and prior'!I54),'Step 3 (MTP) - Plan and prior'!I54,"")</f>
        <v/>
      </c>
      <c r="J69" t="str">
        <f>IF(ISNUMBER('Step 3 (MTP) - Plan and prior'!J54),'Step 3 (MTP) - Plan and prior'!J54,"")</f>
        <v/>
      </c>
      <c r="K69" t="str">
        <f>IF(ISNUMBER('Step 3 (MTP) - Plan and prior'!K54),'Step 3 (MTP) - Plan and prior'!K54,"")</f>
        <v/>
      </c>
      <c r="L69" t="str">
        <f>IF(ISNUMBER('Step 3 (MTP) - Plan and prior'!L54),'Step 3 (MTP) - Plan and prior'!L54,"")</f>
        <v/>
      </c>
      <c r="M69" t="str">
        <f>IF(ISNUMBER('Step 3 (MTP) - Plan and prior'!M54),'Step 3 (MTP) - Plan and prior'!M54,"")</f>
        <v/>
      </c>
      <c r="N69" t="str">
        <f>IF(ISNUMBER('Step 3 (MTP) - Plan and prior'!N54),'Step 3 (MTP) - Plan and prior'!N54,"")</f>
        <v/>
      </c>
      <c r="O69" t="str">
        <f>IF(ISNUMBER('Step 3 (MTP) - Plan and prior'!O54),'Step 3 (MTP) - Plan and prior'!O54,"")</f>
        <v/>
      </c>
      <c r="P69" t="str">
        <f>IF(ISNUMBER('Step 3 (MTP) - Plan and prior'!P54),'Step 3 (MTP) - Plan and prior'!P54,"")</f>
        <v/>
      </c>
      <c r="Q69" t="str">
        <f>IF(ISNUMBER('Step 3 (MTP) - Plan and prior'!Q54),'Step 3 (MTP) - Plan and prior'!Q54,"")</f>
        <v/>
      </c>
      <c r="R69" t="str">
        <f>IF(ISNUMBER('Step 3 (MTP) - Plan and prior'!R54),'Step 3 (MTP) - Plan and prior'!R54,"")</f>
        <v/>
      </c>
      <c r="S69" t="str">
        <f>IF(ISNUMBER('Step 3 (MTP) - Plan and prior'!S54),'Step 3 (MTP) - Plan and prior'!S54,"")</f>
        <v/>
      </c>
      <c r="T69" t="str">
        <f>IF(ISNUMBER('Step 3 (MTP) - Plan and prior'!T54),'Step 3 (MTP) - Plan and prior'!T54,"")</f>
        <v/>
      </c>
      <c r="U69" t="str">
        <f>IF(ISNUMBER('Step 3 (MTP) - Plan and prior'!U54),'Step 3 (MTP) - Plan and prior'!U54,"")</f>
        <v/>
      </c>
      <c r="V69" t="str">
        <f>IF(ISNUMBER('Step 3 (MTP) - Plan and prior'!V54),'Step 3 (MTP) - Plan and prior'!V54,"")</f>
        <v/>
      </c>
      <c r="W69" t="str">
        <f>IF(ISNUMBER('Step 3 (MTP) - Plan and prior'!W54),'Step 3 (MTP) - Plan and prior'!W54,"")</f>
        <v/>
      </c>
      <c r="X69" t="str">
        <f>IF(ISNUMBER('Step 3 (MTP) - Plan and prior'!X54),'Step 3 (MTP) - Plan and prior'!X54,"")</f>
        <v/>
      </c>
    </row>
    <row r="70" spans="2:24" customFormat="1" x14ac:dyDescent="0.4">
      <c r="B70" s="63" t="s">
        <v>376</v>
      </c>
      <c r="C70" s="15"/>
      <c r="D70" s="87">
        <f>IF(ISNUMBER('Step 3 (MTP) - Plan and prior'!D55),'Step 3 (MTP) - Plan and prior'!D55,"")</f>
        <v>8.0055138637424594</v>
      </c>
      <c r="E70" s="87">
        <f>IF(ISNUMBER('Step 3 (MTP) - Plan and prior'!E55),'Step 3 (MTP) - Plan and prior'!E55,"")</f>
        <v>4.918973667178153</v>
      </c>
      <c r="F70" s="87">
        <f>IF(ISNUMBER('Step 3 (MTP) - Plan and prior'!F55),'Step 3 (MTP) - Plan and prior'!F55,"")</f>
        <v>3.6413061968341944</v>
      </c>
      <c r="G70" s="87">
        <f>IF(ISNUMBER('Step 3 (MTP) - Plan and prior'!G55),'Step 3 (MTP) - Plan and prior'!G55,"")</f>
        <v>2.7436451968341951</v>
      </c>
      <c r="H70" s="87">
        <f>IF(ISNUMBER('Step 3 (MTP) - Plan and prior'!H55),'Step 3 (MTP) - Plan and prior'!H55,"")</f>
        <v>2.461675896834195</v>
      </c>
      <c r="I70" s="87">
        <f>IF(ISNUMBER('Step 3 (MTP) - Plan and prior'!I55),'Step 3 (MTP) - Plan and prior'!I55,"")</f>
        <v>3.3855692598417098</v>
      </c>
      <c r="J70" s="87">
        <f>IF(ISNUMBER('Step 3 (MTP) - Plan and prior'!J55),'Step 3 (MTP) - Plan and prior'!J55,"")</f>
        <v>3.5328969999999997</v>
      </c>
      <c r="K70" s="87">
        <f>IF(ISNUMBER('Step 3 (MTP) - Plan and prior'!K55),'Step 3 (MTP) - Plan and prior'!K55,"")</f>
        <v>3.6117759999999999</v>
      </c>
      <c r="L70" s="87">
        <f>IF(ISNUMBER('Step 3 (MTP) - Plan and prior'!L55),'Step 3 (MTP) - Plan and prior'!L55,"")</f>
        <v>3.6942360000000001</v>
      </c>
      <c r="M70" s="87">
        <f>IF(ISNUMBER('Step 3 (MTP) - Plan and prior'!M55),'Step 3 (MTP) - Plan and prior'!M55,"")</f>
        <v>3.7719449999999997</v>
      </c>
      <c r="N70" s="87">
        <f>IF(ISNUMBER('Step 3 (MTP) - Plan and prior'!N55),'Step 3 (MTP) - Plan and prior'!N55,"")</f>
        <v>3.828627</v>
      </c>
      <c r="O70" s="87">
        <f>IF(ISNUMBER('Step 3 (MTP) - Plan and prior'!O55),'Step 3 (MTP) - Plan and prior'!O55,"")</f>
        <v>3.86795</v>
      </c>
      <c r="P70" s="87">
        <f>IF(ISNUMBER('Step 3 (MTP) - Plan and prior'!P55),'Step 3 (MTP) - Plan and prior'!P55,"")</f>
        <v>3.9072739999999997</v>
      </c>
      <c r="Q70" s="87">
        <f>IF(ISNUMBER('Step 3 (MTP) - Plan and prior'!Q55),'Step 3 (MTP) - Plan and prior'!Q55,"")</f>
        <v>3.9465969999999997</v>
      </c>
      <c r="R70" s="87">
        <f>IF(ISNUMBER('Step 3 (MTP) - Plan and prior'!R55),'Step 3 (MTP) - Plan and prior'!R55,"")</f>
        <v>3.9263029999999999</v>
      </c>
      <c r="S70" s="87">
        <f>IF(ISNUMBER('Step 3 (MTP) - Plan and prior'!S55),'Step 3 (MTP) - Plan and prior'!S55,"")</f>
        <v>3.8353979999999996</v>
      </c>
      <c r="T70" s="87" t="str">
        <f>IF(ISNUMBER('Step 3 (MTP) - Plan and prior'!T55),'Step 3 (MTP) - Plan and prior'!T55,"")</f>
        <v/>
      </c>
      <c r="U70" s="87" t="str">
        <f>IF(ISNUMBER('Step 3 (MTP) - Plan and prior'!U55),'Step 3 (MTP) - Plan and prior'!U55,"")</f>
        <v/>
      </c>
      <c r="V70" s="87" t="str">
        <f>IF(ISNUMBER('Step 3 (MTP) - Plan and prior'!V55),'Step 3 (MTP) - Plan and prior'!V55,"")</f>
        <v/>
      </c>
      <c r="W70" s="87" t="str">
        <f>IF(ISNUMBER('Step 3 (MTP) - Plan and prior'!W55),'Step 3 (MTP) - Plan and prior'!W55,"")</f>
        <v/>
      </c>
      <c r="X70" t="str">
        <f>IF(ISNUMBER('Step 3 (MTP) - Plan and prior'!X55),'Step 3 (MTP) - Plan and prior'!X55,"")</f>
        <v/>
      </c>
    </row>
    <row r="71" spans="2:24" customFormat="1" x14ac:dyDescent="0.4">
      <c r="B71" s="63" t="s">
        <v>215</v>
      </c>
      <c r="C71" s="15"/>
      <c r="D71" s="87">
        <f>IF(ISNUMBER('Step 3 (MTP) - Plan and prior'!D56),'Step 3 (MTP) - Plan and prior'!D56,"")</f>
        <v>-2.2135657932845034</v>
      </c>
      <c r="E71" s="87">
        <f>IF(ISNUMBER('Step 3 (MTP) - Plan and prior'!E56),'Step 3 (MTP) - Plan and prior'!E56,"")</f>
        <v>-2.8062079681304199</v>
      </c>
      <c r="F71" s="87">
        <f>IF(ISNUMBER('Step 3 (MTP) - Plan and prior'!F56),'Step 3 (MTP) - Plan and prior'!F56,"")</f>
        <v>-2.5067619901395064</v>
      </c>
      <c r="G71" s="87">
        <f>IF(ISNUMBER('Step 3 (MTP) - Plan and prior'!G56),'Step 3 (MTP) - Plan and prior'!G56,"")</f>
        <v>-2.206873278489728</v>
      </c>
      <c r="H71" s="87">
        <f>IF(ISNUMBER('Step 3 (MTP) - Plan and prior'!H56),'Step 3 (MTP) - Plan and prior'!H56,"")</f>
        <v>-1.8633060345306278</v>
      </c>
      <c r="I71" s="87">
        <f>IF(ISNUMBER('Step 3 (MTP) - Plan and prior'!I56),'Step 3 (MTP) - Plan and prior'!I56,"")</f>
        <v>-1.7774675734684697</v>
      </c>
      <c r="J71" s="87">
        <f>IF(ISNUMBER('Step 3 (MTP) - Plan and prior'!J56),'Step 3 (MTP) - Plan and prior'!J56,"")</f>
        <v>-1.7167045015305469</v>
      </c>
      <c r="K71" s="87">
        <f>IF(ISNUMBER('Step 3 (MTP) - Plan and prior'!K56),'Step 3 (MTP) - Plan and prior'!K56,"")</f>
        <v>-1.6555205259541206</v>
      </c>
      <c r="L71" s="87">
        <f>IF(ISNUMBER('Step 3 (MTP) - Plan and prior'!L56),'Step 3 (MTP) - Plan and prior'!L56,"")</f>
        <v>-1.5927242706681042</v>
      </c>
      <c r="M71" s="87">
        <f>IF(ISNUMBER('Step 3 (MTP) - Plan and prior'!M56),'Step 3 (MTP) - Plan and prior'!M56,"")</f>
        <v>-1.5979566180112279</v>
      </c>
      <c r="N71" s="87">
        <f>IF(ISNUMBER('Step 3 (MTP) - Plan and prior'!N56),'Step 3 (MTP) - Plan and prior'!N56,"")</f>
        <v>-1.5895477796554016</v>
      </c>
      <c r="O71" s="87">
        <f>IF(ISNUMBER('Step 3 (MTP) - Plan and prior'!O56),'Step 3 (MTP) - Plan and prior'!O56,"")</f>
        <v>-1.562134310040352</v>
      </c>
      <c r="P71" s="87">
        <f>IF(ISNUMBER('Step 3 (MTP) - Plan and prior'!P56),'Step 3 (MTP) - Plan and prior'!P56,"")</f>
        <v>-1.5207800482895599</v>
      </c>
      <c r="Q71" s="87">
        <f>IF(ISNUMBER('Step 3 (MTP) - Plan and prior'!Q56),'Step 3 (MTP) - Plan and prior'!Q56,"")</f>
        <v>-1.4556895151252958</v>
      </c>
      <c r="R71" s="87">
        <f>IF(ISNUMBER('Step 3 (MTP) - Plan and prior'!R56),'Step 3 (MTP) - Plan and prior'!R56,"")</f>
        <v>-1.3706903715705556</v>
      </c>
      <c r="S71" s="87">
        <f>IF(ISNUMBER('Step 3 (MTP) - Plan and prior'!S56),'Step 3 (MTP) - Plan and prior'!S56,"")</f>
        <v>-1.2815148227983149</v>
      </c>
      <c r="T71" s="87" t="str">
        <f>IF(ISNUMBER('Step 3 (MTP) - Plan and prior'!T56),'Step 3 (MTP) - Plan and prior'!T56,"")</f>
        <v/>
      </c>
      <c r="U71" s="87" t="str">
        <f>IF(ISNUMBER('Step 3 (MTP) - Plan and prior'!U56),'Step 3 (MTP) - Plan and prior'!U56,"")</f>
        <v/>
      </c>
      <c r="V71" s="87" t="str">
        <f>IF(ISNUMBER('Step 3 (MTP) - Plan and prior'!V56),'Step 3 (MTP) - Plan and prior'!V56,"")</f>
        <v/>
      </c>
      <c r="W71" s="87" t="str">
        <f>IF(ISNUMBER('Step 3 (MTP) - Plan and prior'!W56),'Step 3 (MTP) - Plan and prior'!W56,"")</f>
        <v/>
      </c>
      <c r="X71" t="str">
        <f>IF(ISNUMBER('Step 3 (MTP) - Plan and prior'!X56),'Step 3 (MTP) - Plan and prior'!X56,"")</f>
        <v/>
      </c>
    </row>
    <row r="72" spans="2:24" customFormat="1" x14ac:dyDescent="0.4">
      <c r="B72" s="63" t="s">
        <v>0</v>
      </c>
      <c r="C72" s="15"/>
      <c r="D72" s="87">
        <f>IF(ISNUMBER('Step 3 (MTP) - Plan and prior'!D57),'Step 3 (MTP) - Plan and prior'!D57,"")</f>
        <v>-1.8903966364015796</v>
      </c>
      <c r="E72" s="87">
        <f>IF(ISNUMBER('Step 3 (MTP) - Plan and prior'!E57),'Step 3 (MTP) - Plan and prior'!E57,"")</f>
        <v>-2.3959118502934231</v>
      </c>
      <c r="F72" s="87">
        <f>IF(ISNUMBER('Step 3 (MTP) - Plan and prior'!F57),'Step 3 (MTP) - Plan and prior'!F57,"")</f>
        <v>-2.126882668592577</v>
      </c>
      <c r="G72" s="87">
        <f>IF(ISNUMBER('Step 3 (MTP) - Plan and prior'!G57),'Step 3 (MTP) - Plan and prior'!G57,"")</f>
        <v>-1.8427172558704836</v>
      </c>
      <c r="H72" s="87">
        <f>IF(ISNUMBER('Step 3 (MTP) - Plan and prior'!H57),'Step 3 (MTP) - Plan and prior'!H57,"")</f>
        <v>-1.509262871575078</v>
      </c>
      <c r="I72" s="87">
        <f>IF(ISNUMBER('Step 3 (MTP) - Plan and prior'!I57),'Step 3 (MTP) - Plan and prior'!I57,"")</f>
        <v>-1.5358742741939031</v>
      </c>
      <c r="J72" s="87">
        <f>IF(ISNUMBER('Step 3 (MTP) - Plan and prior'!J57),'Step 3 (MTP) - Plan and prior'!J57,"")</f>
        <v>-1.5556423020141679</v>
      </c>
      <c r="K72" s="87">
        <f>IF(ISNUMBER('Step 3 (MTP) - Plan and prior'!K57),'Step 3 (MTP) - Plan and prior'!K57,"")</f>
        <v>-1.5749894261959374</v>
      </c>
      <c r="L72" s="87">
        <f>IF(ISNUMBER('Step 3 (MTP) - Plan and prior'!L57),'Step 3 (MTP) - Plan and prior'!L57,"")</f>
        <v>-1.5927242706681044</v>
      </c>
      <c r="M72" s="87">
        <f>IF(ISNUMBER('Step 3 (MTP) - Plan and prior'!M57),'Step 3 (MTP) - Plan and prior'!M57,"")</f>
        <v>-1.5979558712233803</v>
      </c>
      <c r="N72" s="87">
        <f>IF(ISNUMBER('Step 3 (MTP) - Plan and prior'!N57),'Step 3 (MTP) - Plan and prior'!N57,"")</f>
        <v>-1.5895488990065676</v>
      </c>
      <c r="O72" s="87">
        <f>IF(ISNUMBER('Step 3 (MTP) - Plan and prior'!O57),'Step 3 (MTP) - Plan and prior'!O57,"")</f>
        <v>-1.5621358023732452</v>
      </c>
      <c r="P72" s="87">
        <f>IF(ISNUMBER('Step 3 (MTP) - Plan and prior'!P57),'Step 3 (MTP) - Plan and prior'!P57,"")</f>
        <v>-1.5207793042066837</v>
      </c>
      <c r="Q72" s="87">
        <f>IF(ISNUMBER('Step 3 (MTP) - Plan and prior'!Q57),'Step 3 (MTP) - Plan and prior'!Q57,"")</f>
        <v>-1.4556880260614364</v>
      </c>
      <c r="R72" s="87">
        <f>IF(ISNUMBER('Step 3 (MTP) - Plan and prior'!R57),'Step 3 (MTP) - Plan and prior'!R57,"")</f>
        <v>-1.3706877651145823</v>
      </c>
      <c r="S72" s="87">
        <f>IF(ISNUMBER('Step 3 (MTP) - Plan and prior'!S57),'Step 3 (MTP) - Plan and prior'!S57,"")</f>
        <v>-1.2815129617361063</v>
      </c>
      <c r="T72" s="87" t="str">
        <f>IF(ISNUMBER('Step 3 (MTP) - Plan and prior'!T57),'Step 3 (MTP) - Plan and prior'!T57,"")</f>
        <v/>
      </c>
      <c r="U72" s="87" t="str">
        <f>IF(ISNUMBER('Step 3 (MTP) - Plan and prior'!U57),'Step 3 (MTP) - Plan and prior'!U57,"")</f>
        <v/>
      </c>
      <c r="V72" s="87" t="str">
        <f>IF(ISNUMBER('Step 3 (MTP) - Plan and prior'!V57),'Step 3 (MTP) - Plan and prior'!V57,"")</f>
        <v/>
      </c>
      <c r="W72" s="87" t="str">
        <f>IF(ISNUMBER('Step 3 (MTP) - Plan and prior'!W57),'Step 3 (MTP) - Plan and prior'!W57,"")</f>
        <v/>
      </c>
      <c r="X72" t="str">
        <f>IF(ISNUMBER('Step 3 (MTP) - Plan and prior'!X57),'Step 3 (MTP) - Plan and prior'!X57,"")</f>
        <v/>
      </c>
    </row>
    <row r="73" spans="2:24" customFormat="1" x14ac:dyDescent="0.4">
      <c r="B73" s="63" t="s">
        <v>3</v>
      </c>
      <c r="C73" s="15"/>
      <c r="D73" s="87">
        <f>IF(ISNUMBER('Step 3 (MTP) - Plan and prior'!D58),'Step 3 (MTP) - Plan and prior'!D58,"")</f>
        <v>-1.2598830000000001</v>
      </c>
      <c r="E73" s="87">
        <f>IF(ISNUMBER('Step 3 (MTP) - Plan and prior'!E58),'Step 3 (MTP) - Plan and prior'!E58,"")</f>
        <v>-1.362466</v>
      </c>
      <c r="F73" s="87">
        <f>IF(ISNUMBER('Step 3 (MTP) - Plan and prior'!F58),'Step 3 (MTP) - Plan and prior'!F58,"")</f>
        <v>-0.96246599999999993</v>
      </c>
      <c r="G73" s="87">
        <f>IF(ISNUMBER('Step 3 (MTP) - Plan and prior'!G58),'Step 3 (MTP) - Plan and prior'!G58,"")</f>
        <v>-0.56246599999999991</v>
      </c>
      <c r="H73" s="87">
        <f>IF(ISNUMBER('Step 3 (MTP) - Plan and prior'!H58),'Step 3 (MTP) - Plan and prior'!H58,"")</f>
        <v>-0.16246599999999989</v>
      </c>
      <c r="I73" s="87">
        <f>IF(ISNUMBER('Step 3 (MTP) - Plan and prior'!I58),'Step 3 (MTP) - Plan and prior'!I58,"")</f>
        <v>-0.1424659999999999</v>
      </c>
      <c r="J73" s="87">
        <f>IF(ISNUMBER('Step 3 (MTP) - Plan and prior'!J58),'Step 3 (MTP) - Plan and prior'!J58,"")</f>
        <v>-0.1424659999999999</v>
      </c>
      <c r="K73" s="87">
        <f>IF(ISNUMBER('Step 3 (MTP) - Plan and prior'!K58),'Step 3 (MTP) - Plan and prior'!K58,"")</f>
        <v>-0.1424659999999999</v>
      </c>
      <c r="L73" s="87">
        <f>IF(ISNUMBER('Step 3 (MTP) - Plan and prior'!L58),'Step 3 (MTP) - Plan and prior'!L58,"")</f>
        <v>-0.1424659999999999</v>
      </c>
      <c r="M73" s="87">
        <f>IF(ISNUMBER('Step 3 (MTP) - Plan and prior'!M58),'Step 3 (MTP) - Plan and prior'!M58,"")</f>
        <v>-0.1424659999999999</v>
      </c>
      <c r="N73" s="87">
        <f>IF(ISNUMBER('Step 3 (MTP) - Plan and prior'!N58),'Step 3 (MTP) - Plan and prior'!N58,"")</f>
        <v>-0.1424659999999999</v>
      </c>
      <c r="O73" s="87">
        <f>IF(ISNUMBER('Step 3 (MTP) - Plan and prior'!O58),'Step 3 (MTP) - Plan and prior'!O58,"")</f>
        <v>-0.1424659999999999</v>
      </c>
      <c r="P73" s="87">
        <f>IF(ISNUMBER('Step 3 (MTP) - Plan and prior'!P58),'Step 3 (MTP) - Plan and prior'!P58,"")</f>
        <v>-0.1424659999999999</v>
      </c>
      <c r="Q73" s="87">
        <f>IF(ISNUMBER('Step 3 (MTP) - Plan and prior'!Q58),'Step 3 (MTP) - Plan and prior'!Q58,"")</f>
        <v>-0.1424659999999999</v>
      </c>
      <c r="R73" s="87">
        <f>IF(ISNUMBER('Step 3 (MTP) - Plan and prior'!R58),'Step 3 (MTP) - Plan and prior'!R58,"")</f>
        <v>-0.1424659999999999</v>
      </c>
      <c r="S73" s="87">
        <f>IF(ISNUMBER('Step 3 (MTP) - Plan and prior'!S58),'Step 3 (MTP) - Plan and prior'!S58,"")</f>
        <v>-0.1424659999999999</v>
      </c>
      <c r="T73" s="87" t="str">
        <f>IF(ISNUMBER('Step 3 (MTP) - Plan and prior'!T58),'Step 3 (MTP) - Plan and prior'!T58,"")</f>
        <v/>
      </c>
      <c r="U73" s="87" t="str">
        <f>IF(ISNUMBER('Step 3 (MTP) - Plan and prior'!U58),'Step 3 (MTP) - Plan and prior'!U58,"")</f>
        <v/>
      </c>
      <c r="V73" s="87" t="str">
        <f>IF(ISNUMBER('Step 3 (MTP) - Plan and prior'!V58),'Step 3 (MTP) - Plan and prior'!V58,"")</f>
        <v/>
      </c>
      <c r="W73" s="87" t="str">
        <f>IF(ISNUMBER('Step 3 (MTP) - Plan and prior'!W58),'Step 3 (MTP) - Plan and prior'!W58,"")</f>
        <v/>
      </c>
      <c r="X73" t="str">
        <f>IF(ISNUMBER('Step 3 (MTP) - Plan and prior'!X58),'Step 3 (MTP) - Plan and prior'!X58,"")</f>
        <v/>
      </c>
    </row>
    <row r="74" spans="2:24" customFormat="1" x14ac:dyDescent="0.4">
      <c r="B74" s="63" t="s">
        <v>1</v>
      </c>
      <c r="C74" s="15"/>
      <c r="D74" s="87">
        <f>IF(ISNUMBER('Step 3 (MTP) - Plan and prior'!D59),'Step 3 (MTP) - Plan and prior'!D59,"")</f>
        <v>43.57443441662371</v>
      </c>
      <c r="E74" s="87">
        <f>IF(ISNUMBER('Step 3 (MTP) - Plan and prior'!E59),'Step 3 (MTP) - Plan and prior'!E59,"")</f>
        <v>44.530802034460706</v>
      </c>
      <c r="F74" s="87">
        <f>IF(ISNUMBER('Step 3 (MTP) - Plan and prior'!F59),'Step 3 (MTP) - Plan and prior'!F59,"")</f>
        <v>46.07468666579198</v>
      </c>
      <c r="G74" s="87">
        <f>IF(ISNUMBER('Step 3 (MTP) - Plan and prior'!G59),'Step 3 (MTP) - Plan and prior'!G59,"")</f>
        <v>46.609273528729865</v>
      </c>
      <c r="H74" s="87">
        <f>IF(ISNUMBER('Step 3 (MTP) - Plan and prior'!H59),'Step 3 (MTP) - Plan and prior'!H59,"")</f>
        <v>46.913196864360586</v>
      </c>
      <c r="I74" s="87">
        <f>IF(ISNUMBER('Step 3 (MTP) - Plan and prior'!I59),'Step 3 (MTP) - Plan and prior'!I59,"")</f>
        <v>46.987538518920367</v>
      </c>
      <c r="J74" s="87">
        <f>IF(ISNUMBER('Step 3 (MTP) - Plan and prior'!J59),'Step 3 (MTP) - Plan and prior'!J59,"")</f>
        <v>46.992494901737786</v>
      </c>
      <c r="K74" s="87">
        <f>IF(ISNUMBER('Step 3 (MTP) - Plan and prior'!K59),'Step 3 (MTP) - Plan and prior'!K59,"")</f>
        <v>46.901039914718936</v>
      </c>
      <c r="L74" s="87">
        <f>IF(ISNUMBER('Step 3 (MTP) - Plan and prior'!L59),'Step 3 (MTP) - Plan and prior'!L59,"")</f>
        <v>46.713659492186132</v>
      </c>
      <c r="M74" s="87">
        <f>IF(ISNUMBER('Step 3 (MTP) - Plan and prior'!M59),'Step 3 (MTP) - Plan and prior'!M59,"")</f>
        <v>46.600070694684284</v>
      </c>
      <c r="N74" s="87">
        <f>IF(ISNUMBER('Step 3 (MTP) - Plan and prior'!N59),'Step 3 (MTP) - Plan and prior'!N59,"")</f>
        <v>46.457173073428706</v>
      </c>
      <c r="O74" s="87">
        <f>IF(ISNUMBER('Step 3 (MTP) - Plan and prior'!O59),'Step 3 (MTP) - Plan and prior'!O59,"")</f>
        <v>46.274673295393931</v>
      </c>
      <c r="P74" s="87">
        <f>IF(ISNUMBER('Step 3 (MTP) - Plan and prior'!P59),'Step 3 (MTP) - Plan and prior'!P59,"")</f>
        <v>46.040270608994206</v>
      </c>
      <c r="Q74" s="87">
        <f>IF(ISNUMBER('Step 3 (MTP) - Plan and prior'!Q59),'Step 3 (MTP) - Plan and prior'!Q59,"")</f>
        <v>45.732378994117418</v>
      </c>
      <c r="R74" s="87">
        <f>IF(ISNUMBER('Step 3 (MTP) - Plan and prior'!R59),'Step 3 (MTP) - Plan and prior'!R59,"")</f>
        <v>45.359965431679584</v>
      </c>
      <c r="S74" s="87">
        <f>IF(ISNUMBER('Step 3 (MTP) - Plan and prior'!S59),'Step 3 (MTP) - Plan and prior'!S59,"")</f>
        <v>44.951568205826447</v>
      </c>
      <c r="T74" s="87" t="str">
        <f>IF(ISNUMBER('Step 3 (MTP) - Plan and prior'!T59),'Step 3 (MTP) - Plan and prior'!T59,"")</f>
        <v/>
      </c>
      <c r="U74" s="87" t="str">
        <f>IF(ISNUMBER('Step 3 (MTP) - Plan and prior'!U59),'Step 3 (MTP) - Plan and prior'!U59,"")</f>
        <v/>
      </c>
      <c r="V74" s="87" t="str">
        <f>IF(ISNUMBER('Step 3 (MTP) - Plan and prior'!V59),'Step 3 (MTP) - Plan and prior'!V59,"")</f>
        <v/>
      </c>
      <c r="W74" s="87" t="str">
        <f>IF(ISNUMBER('Step 3 (MTP) - Plan and prior'!W59),'Step 3 (MTP) - Plan and prior'!W59,"")</f>
        <v/>
      </c>
      <c r="X74" t="str">
        <f>IF(ISNUMBER('Step 3 (MTP) - Plan and prior'!X59),'Step 3 (MTP) - Plan and prior'!X59,"")</f>
        <v/>
      </c>
    </row>
    <row r="75" spans="2:24" ht="20.25" customHeight="1" x14ac:dyDescent="0.4">
      <c r="B75" s="61" t="str">
        <f>'Step 3 (MTP) - Plan and prior'!B60</f>
        <v>Debt sustainability assessment (4-year adjustment period)</v>
      </c>
      <c r="D75" s="75" t="str">
        <f>IF(ISNUMBER('Step 3 (MTP) - Plan and prior'!D60),'Step 3 (MTP) - Plan and prior'!D60,"")</f>
        <v/>
      </c>
      <c r="E75" s="75" t="str">
        <f>IF(ISNUMBER('Step 3 (MTP) - Plan and prior'!E60),'Step 3 (MTP) - Plan and prior'!E60,"")</f>
        <v/>
      </c>
      <c r="F75" s="75" t="str">
        <f>IF(ISNUMBER('Step 3 (MTP) - Plan and prior'!F60),'Step 3 (MTP) - Plan and prior'!F60,"")</f>
        <v/>
      </c>
      <c r="G75" s="75" t="str">
        <f>IF(ISNUMBER('Step 3 (MTP) - Plan and prior'!G60),'Step 3 (MTP) - Plan and prior'!G60,"")</f>
        <v/>
      </c>
      <c r="H75" s="75" t="str">
        <f>IF(ISNUMBER('Step 3 (MTP) - Plan and prior'!H60),'Step 3 (MTP) - Plan and prior'!H60,"")</f>
        <v/>
      </c>
      <c r="I75" s="75" t="str">
        <f>IF(ISNUMBER('Step 3 (MTP) - Plan and prior'!I60),'Step 3 (MTP) - Plan and prior'!I60,"")</f>
        <v/>
      </c>
      <c r="J75" s="75" t="str">
        <f>IF(ISNUMBER('Step 3 (MTP) - Plan and prior'!J60),'Step 3 (MTP) - Plan and prior'!J60,"")</f>
        <v/>
      </c>
      <c r="K75" s="75" t="str">
        <f>IF(ISNUMBER('Step 3 (MTP) - Plan and prior'!K60),'Step 3 (MTP) - Plan and prior'!K60,"")</f>
        <v/>
      </c>
      <c r="L75" s="75" t="str">
        <f>IF(ISNUMBER('Step 3 (MTP) - Plan and prior'!L60),'Step 3 (MTP) - Plan and prior'!L60,"")</f>
        <v/>
      </c>
      <c r="M75" s="75" t="str">
        <f>IF(ISNUMBER('Step 3 (MTP) - Plan and prior'!M60),'Step 3 (MTP) - Plan and prior'!M60,"")</f>
        <v/>
      </c>
      <c r="N75" s="75" t="str">
        <f>IF(ISNUMBER('Step 3 (MTP) - Plan and prior'!N60),'Step 3 (MTP) - Plan and prior'!N60,"")</f>
        <v/>
      </c>
      <c r="O75" s="75" t="str">
        <f>IF(ISNUMBER('Step 3 (MTP) - Plan and prior'!O60),'Step 3 (MTP) - Plan and prior'!O60,"")</f>
        <v/>
      </c>
      <c r="P75" s="75" t="str">
        <f>IF(ISNUMBER('Step 3 (MTP) - Plan and prior'!P60),'Step 3 (MTP) - Plan and prior'!P60,"")</f>
        <v/>
      </c>
      <c r="Q75" s="75" t="str">
        <f>IF(ISNUMBER('Step 3 (MTP) - Plan and prior'!Q60),'Step 3 (MTP) - Plan and prior'!Q60,"")</f>
        <v/>
      </c>
      <c r="R75" s="75" t="str">
        <f>IF(ISNUMBER('Step 3 (MTP) - Plan and prior'!R60),'Step 3 (MTP) - Plan and prior'!R60,"")</f>
        <v/>
      </c>
      <c r="S75" s="75" t="str">
        <f>IF(ISNUMBER('Step 3 (MTP) - Plan and prior'!S60),'Step 3 (MTP) - Plan and prior'!S60,"")</f>
        <v/>
      </c>
      <c r="T75" s="75" t="str">
        <f>IF(ISNUMBER('Step 3 (MTP) - Plan and prior'!T60),'Step 3 (MTP) - Plan and prior'!T60,"")</f>
        <v/>
      </c>
      <c r="U75" s="75" t="str">
        <f>IF(ISNUMBER('Step 3 (MTP) - Plan and prior'!U60),'Step 3 (MTP) - Plan and prior'!U60,"")</f>
        <v/>
      </c>
      <c r="V75" s="75" t="str">
        <f>IF(ISNUMBER('Step 3 (MTP) - Plan and prior'!V60),'Step 3 (MTP) - Plan and prior'!V60,"")</f>
        <v/>
      </c>
      <c r="W75" s="75" t="str">
        <f>IF(ISNUMBER('Step 3 (MTP) - Plan and prior'!W60),'Step 3 (MTP) - Plan and prior'!W60,"")</f>
        <v/>
      </c>
      <c r="X75" t="str">
        <f>IF(ISNUMBER('Step 3 (MTP) - Plan and prior'!X60),'Step 3 (MTP) - Plan and prior'!X60,"")</f>
        <v/>
      </c>
    </row>
    <row r="76" spans="2:24" x14ac:dyDescent="0.4">
      <c r="B76" s="63" t="s">
        <v>333</v>
      </c>
      <c r="D76" s="87" t="str">
        <f>IF(ISNUMBER('Step 3 (MTP) - Plan and prior'!D61),'Step 3 (MTP) - Plan and prior'!D61,"")</f>
        <v/>
      </c>
      <c r="E76" s="87" t="str">
        <f>IF(ISNUMBER('Step 3 (MTP) - Plan and prior'!E61),'Step 3 (MTP) - Plan and prior'!E61,"")</f>
        <v/>
      </c>
      <c r="F76" s="87" t="str">
        <f>IF(ISNUMBER('Step 3 (MTP) - Plan and prior'!F61),'Step 3 (MTP) - Plan and prior'!F61,"")</f>
        <v/>
      </c>
      <c r="G76" s="87" t="str">
        <f>IF(ISNUMBER('Step 3 (MTP) - Plan and prior'!G61),'Step 3 (MTP) - Plan and prior'!G61,"")</f>
        <v/>
      </c>
      <c r="H76" s="87" t="str">
        <f>IF(ISNUMBER('Step 3 (MTP) - Plan and prior'!H61),'Step 3 (MTP) - Plan and prior'!H61,"")</f>
        <v/>
      </c>
      <c r="I76" s="87" t="str">
        <f>IF(ISNUMBER('Step 3 (MTP) - Plan and prior'!I61),'Step 3 (MTP) - Plan and prior'!I61,"")</f>
        <v/>
      </c>
      <c r="J76" s="87" t="str">
        <f>IF(ISNUMBER('Step 3 (MTP) - Plan and prior'!J61),'Step 3 (MTP) - Plan and prior'!J61,"")</f>
        <v/>
      </c>
      <c r="K76" s="87" t="str">
        <f>IF(ISNUMBER('Step 3 (MTP) - Plan and prior'!K61),'Step 3 (MTP) - Plan and prior'!K61,"")</f>
        <v/>
      </c>
      <c r="L76" s="87" t="str">
        <f>IF(ISNUMBER('Step 3 (MTP) - Plan and prior'!L61),'Step 3 (MTP) - Plan and prior'!L61,"")</f>
        <v/>
      </c>
      <c r="M76" s="87" t="str">
        <f>IF(ISNUMBER('Step 3 (MTP) - Plan and prior'!M61),'Step 3 (MTP) - Plan and prior'!M61,"")</f>
        <v/>
      </c>
      <c r="N76" s="87" t="str">
        <f>IF(ISNUMBER('Step 3 (MTP) - Plan and prior'!N61),'Step 3 (MTP) - Plan and prior'!N61,"")</f>
        <v/>
      </c>
      <c r="O76" s="87" t="str">
        <f>IF(ISNUMBER('Step 3 (MTP) - Plan and prior'!O61),'Step 3 (MTP) - Plan and prior'!O61,"")</f>
        <v/>
      </c>
      <c r="P76" s="87" t="str">
        <f>IF(ISNUMBER('Step 3 (MTP) - Plan and prior'!P61),'Step 3 (MTP) - Plan and prior'!P61,"")</f>
        <v/>
      </c>
      <c r="Q76" s="87" t="str">
        <f>IF(ISNUMBER('Step 3 (MTP) - Plan and prior'!Q61),'Step 3 (MTP) - Plan and prior'!Q61,"")</f>
        <v/>
      </c>
      <c r="R76" s="87" t="str">
        <f>IF(ISNUMBER('Step 3 (MTP) - Plan and prior'!R61),'Step 3 (MTP) - Plan and prior'!R61,"")</f>
        <v/>
      </c>
      <c r="S76" s="87" t="str">
        <f>IF(ISNUMBER('Step 3 (MTP) - Plan and prior'!S61),'Step 3 (MTP) - Plan and prior'!S61,"")</f>
        <v/>
      </c>
      <c r="T76" s="87" t="str">
        <f>IF(ISNUMBER('Step 3 (MTP) - Plan and prior'!T61),'Step 3 (MTP) - Plan and prior'!T61,"")</f>
        <v/>
      </c>
      <c r="U76" s="87" t="str">
        <f>IF(ISNUMBER('Step 3 (MTP) - Plan and prior'!U61),'Step 3 (MTP) - Plan and prior'!U61,"")</f>
        <v/>
      </c>
      <c r="V76" s="87" t="str">
        <f>IF(ISNUMBER('Step 3 (MTP) - Plan and prior'!V61),'Step 3 (MTP) - Plan and prior'!V61,"")</f>
        <v/>
      </c>
      <c r="W76" s="87" t="str">
        <f>IF(ISNUMBER('Step 3 (MTP) - Plan and prior'!W61),'Step 3 (MTP) - Plan and prior'!W61,"")</f>
        <v/>
      </c>
      <c r="X76" t="str">
        <f>IF(ISNUMBER('Step 3 (MTP) - Plan and prior'!X61),'Step 3 (MTP) - Plan and prior'!X61,"")</f>
        <v/>
      </c>
    </row>
    <row r="77" spans="2:24" x14ac:dyDescent="0.4">
      <c r="B77" s="63" t="s">
        <v>334</v>
      </c>
      <c r="D77" s="87" t="str">
        <f>IF(ISNUMBER('Step 3 (MTP) - Plan and prior'!D62),'Step 3 (MTP) - Plan and prior'!D62,"")</f>
        <v/>
      </c>
      <c r="E77" s="87" t="str">
        <f>IF(ISNUMBER('Step 3 (MTP) - Plan and prior'!E62),'Step 3 (MTP) - Plan and prior'!E62,"")</f>
        <v/>
      </c>
      <c r="F77" s="87" t="str">
        <f>IF(ISNUMBER('Step 3 (MTP) - Plan and prior'!F62),'Step 3 (MTP) - Plan and prior'!F62,"")</f>
        <v/>
      </c>
      <c r="G77" s="87" t="str">
        <f>IF(ISNUMBER('Step 3 (MTP) - Plan and prior'!G62),'Step 3 (MTP) - Plan and prior'!G62,"")</f>
        <v/>
      </c>
      <c r="H77" s="87" t="str">
        <f>IF(ISNUMBER('Step 3 (MTP) - Plan and prior'!H62),'Step 3 (MTP) - Plan and prior'!H62,"")</f>
        <v/>
      </c>
      <c r="I77" s="87" t="str">
        <f>IF(ISNUMBER('Step 3 (MTP) - Plan and prior'!I62),'Step 3 (MTP) - Plan and prior'!I62,"")</f>
        <v/>
      </c>
      <c r="J77" s="87" t="str">
        <f>IF(ISNUMBER('Step 3 (MTP) - Plan and prior'!J62),'Step 3 (MTP) - Plan and prior'!J62,"")</f>
        <v/>
      </c>
      <c r="K77" s="87" t="str">
        <f>IF(ISNUMBER('Step 3 (MTP) - Plan and prior'!K62),'Step 3 (MTP) - Plan and prior'!K62,"")</f>
        <v/>
      </c>
      <c r="L77" s="87" t="str">
        <f>IF(ISNUMBER('Step 3 (MTP) - Plan and prior'!L62),'Step 3 (MTP) - Plan and prior'!L62,"")</f>
        <v/>
      </c>
      <c r="M77" s="87" t="str">
        <f>IF(ISNUMBER('Step 3 (MTP) - Plan and prior'!M62),'Step 3 (MTP) - Plan and prior'!M62,"")</f>
        <v/>
      </c>
      <c r="N77" s="87" t="str">
        <f>IF(ISNUMBER('Step 3 (MTP) - Plan and prior'!N62),'Step 3 (MTP) - Plan and prior'!N62,"")</f>
        <v/>
      </c>
      <c r="O77" s="87" t="str">
        <f>IF(ISNUMBER('Step 3 (MTP) - Plan and prior'!O62),'Step 3 (MTP) - Plan and prior'!O62,"")</f>
        <v/>
      </c>
      <c r="P77" s="87" t="str">
        <f>IF(ISNUMBER('Step 3 (MTP) - Plan and prior'!P62),'Step 3 (MTP) - Plan and prior'!P62,"")</f>
        <v/>
      </c>
      <c r="Q77" s="87" t="str">
        <f>IF(ISNUMBER('Step 3 (MTP) - Plan and prior'!Q62),'Step 3 (MTP) - Plan and prior'!Q62,"")</f>
        <v/>
      </c>
      <c r="R77" s="87" t="str">
        <f>IF(ISNUMBER('Step 3 (MTP) - Plan and prior'!R62),'Step 3 (MTP) - Plan and prior'!R62,"")</f>
        <v/>
      </c>
      <c r="S77" s="87" t="str">
        <f>IF(ISNUMBER('Step 3 (MTP) - Plan and prior'!S62),'Step 3 (MTP) - Plan and prior'!S62,"")</f>
        <v/>
      </c>
      <c r="T77" s="87" t="str">
        <f>IF(ISNUMBER('Step 3 (MTP) - Plan and prior'!T62),'Step 3 (MTP) - Plan and prior'!T62,"")</f>
        <v/>
      </c>
      <c r="U77" s="87" t="str">
        <f>IF(ISNUMBER('Step 3 (MTP) - Plan and prior'!U62),'Step 3 (MTP) - Plan and prior'!U62,"")</f>
        <v/>
      </c>
      <c r="V77" s="87" t="str">
        <f>IF(ISNUMBER('Step 3 (MTP) - Plan and prior'!V62),'Step 3 (MTP) - Plan and prior'!V62,"")</f>
        <v/>
      </c>
      <c r="W77" s="87" t="str">
        <f>IF(ISNUMBER('Step 3 (MTP) - Plan and prior'!W62),'Step 3 (MTP) - Plan and prior'!W62,"")</f>
        <v/>
      </c>
      <c r="X77" t="str">
        <f>IF(ISNUMBER('Step 3 (MTP) - Plan and prior'!X62),'Step 3 (MTP) - Plan and prior'!X62,"")</f>
        <v/>
      </c>
    </row>
    <row r="78" spans="2:24" x14ac:dyDescent="0.4">
      <c r="B78" s="63" t="s">
        <v>335</v>
      </c>
      <c r="D78" s="87" t="str">
        <f>IF(ISNUMBER('Step 3 (MTP) - Plan and prior'!D63),'Step 3 (MTP) - Plan and prior'!D63,"")</f>
        <v/>
      </c>
      <c r="E78" s="87" t="str">
        <f>IF(ISNUMBER('Step 3 (MTP) - Plan and prior'!E63),'Step 3 (MTP) - Plan and prior'!E63,"")</f>
        <v/>
      </c>
      <c r="F78" s="87" t="str">
        <f>IF(ISNUMBER('Step 3 (MTP) - Plan and prior'!F63),'Step 3 (MTP) - Plan and prior'!F63,"")</f>
        <v/>
      </c>
      <c r="G78" s="87" t="str">
        <f>IF(ISNUMBER('Step 3 (MTP) - Plan and prior'!G63),'Step 3 (MTP) - Plan and prior'!G63,"")</f>
        <v/>
      </c>
      <c r="H78" s="87" t="str">
        <f>IF(ISNUMBER('Step 3 (MTP) - Plan and prior'!H63),'Step 3 (MTP) - Plan and prior'!H63,"")</f>
        <v/>
      </c>
      <c r="I78" s="87" t="str">
        <f>IF(ISNUMBER('Step 3 (MTP) - Plan and prior'!I63),'Step 3 (MTP) - Plan and prior'!I63,"")</f>
        <v/>
      </c>
      <c r="J78" s="87" t="str">
        <f>IF(ISNUMBER('Step 3 (MTP) - Plan and prior'!J63),'Step 3 (MTP) - Plan and prior'!J63,"")</f>
        <v/>
      </c>
      <c r="K78" s="87" t="str">
        <f>IF(ISNUMBER('Step 3 (MTP) - Plan and prior'!K63),'Step 3 (MTP) - Plan and prior'!K63,"")</f>
        <v/>
      </c>
      <c r="L78" s="87" t="str">
        <f>IF(ISNUMBER('Step 3 (MTP) - Plan and prior'!L63),'Step 3 (MTP) - Plan and prior'!L63,"")</f>
        <v/>
      </c>
      <c r="M78" s="87" t="str">
        <f>IF(ISNUMBER('Step 3 (MTP) - Plan and prior'!M63),'Step 3 (MTP) - Plan and prior'!M63,"")</f>
        <v/>
      </c>
      <c r="N78" s="87" t="str">
        <f>IF(ISNUMBER('Step 3 (MTP) - Plan and prior'!N63),'Step 3 (MTP) - Plan and prior'!N63,"")</f>
        <v/>
      </c>
      <c r="O78" s="87" t="str">
        <f>IF(ISNUMBER('Step 3 (MTP) - Plan and prior'!O63),'Step 3 (MTP) - Plan and prior'!O63,"")</f>
        <v/>
      </c>
      <c r="P78" s="87" t="str">
        <f>IF(ISNUMBER('Step 3 (MTP) - Plan and prior'!P63),'Step 3 (MTP) - Plan and prior'!P63,"")</f>
        <v/>
      </c>
      <c r="Q78" s="87" t="str">
        <f>IF(ISNUMBER('Step 3 (MTP) - Plan and prior'!Q63),'Step 3 (MTP) - Plan and prior'!Q63,"")</f>
        <v/>
      </c>
      <c r="R78" s="87" t="str">
        <f>IF(ISNUMBER('Step 3 (MTP) - Plan and prior'!R63),'Step 3 (MTP) - Plan and prior'!R63,"")</f>
        <v/>
      </c>
      <c r="S78" s="87" t="str">
        <f>IF(ISNUMBER('Step 3 (MTP) - Plan and prior'!S63),'Step 3 (MTP) - Plan and prior'!S63,"")</f>
        <v/>
      </c>
      <c r="T78" s="87" t="str">
        <f>IF(ISNUMBER('Step 3 (MTP) - Plan and prior'!T63),'Step 3 (MTP) - Plan and prior'!T63,"")</f>
        <v/>
      </c>
      <c r="U78" s="87" t="str">
        <f>IF(ISNUMBER('Step 3 (MTP) - Plan and prior'!U63),'Step 3 (MTP) - Plan and prior'!U63,"")</f>
        <v/>
      </c>
      <c r="V78" s="87" t="str">
        <f>IF(ISNUMBER('Step 3 (MTP) - Plan and prior'!V63),'Step 3 (MTP) - Plan and prior'!V63,"")</f>
        <v/>
      </c>
      <c r="W78" s="87" t="str">
        <f>IF(ISNUMBER('Step 3 (MTP) - Plan and prior'!W63),'Step 3 (MTP) - Plan and prior'!W63,"")</f>
        <v/>
      </c>
      <c r="X78" t="str">
        <f>IF(ISNUMBER('Step 3 (MTP) - Plan and prior'!X63),'Step 3 (MTP) - Plan and prior'!X63,"")</f>
        <v/>
      </c>
    </row>
    <row r="79" spans="2:24" x14ac:dyDescent="0.4">
      <c r="B79" s="63" t="s">
        <v>336</v>
      </c>
      <c r="D79" s="87" t="str">
        <f>IF(ISNUMBER('Step 3 (MTP) - Plan and prior'!D64),'Step 3 (MTP) - Plan and prior'!D64,"")</f>
        <v/>
      </c>
      <c r="E79" s="87" t="str">
        <f>IF(ISNUMBER('Step 3 (MTP) - Plan and prior'!E64),'Step 3 (MTP) - Plan and prior'!E64,"")</f>
        <v/>
      </c>
      <c r="F79" s="87" t="str">
        <f>IF(ISNUMBER('Step 3 (MTP) - Plan and prior'!F64),'Step 3 (MTP) - Plan and prior'!F64,"")</f>
        <v/>
      </c>
      <c r="G79" s="87" t="str">
        <f>IF(ISNUMBER('Step 3 (MTP) - Plan and prior'!G64),'Step 3 (MTP) - Plan and prior'!G64,"")</f>
        <v/>
      </c>
      <c r="H79" s="87" t="str">
        <f>IF(ISNUMBER('Step 3 (MTP) - Plan and prior'!H64),'Step 3 (MTP) - Plan and prior'!H64,"")</f>
        <v/>
      </c>
      <c r="I79" s="87" t="str">
        <f>IF(ISNUMBER('Step 3 (MTP) - Plan and prior'!I64),'Step 3 (MTP) - Plan and prior'!I64,"")</f>
        <v/>
      </c>
      <c r="J79" s="87" t="str">
        <f>IF(ISNUMBER('Step 3 (MTP) - Plan and prior'!J64),'Step 3 (MTP) - Plan and prior'!J64,"")</f>
        <v/>
      </c>
      <c r="K79" s="87" t="str">
        <f>IF(ISNUMBER('Step 3 (MTP) - Plan and prior'!K64),'Step 3 (MTP) - Plan and prior'!K64,"")</f>
        <v/>
      </c>
      <c r="L79" s="87" t="str">
        <f>IF(ISNUMBER('Step 3 (MTP) - Plan and prior'!L64),'Step 3 (MTP) - Plan and prior'!L64,"")</f>
        <v/>
      </c>
      <c r="M79" s="87" t="str">
        <f>IF(ISNUMBER('Step 3 (MTP) - Plan and prior'!M64),'Step 3 (MTP) - Plan and prior'!M64,"")</f>
        <v/>
      </c>
      <c r="N79" s="87" t="str">
        <f>IF(ISNUMBER('Step 3 (MTP) - Plan and prior'!N64),'Step 3 (MTP) - Plan and prior'!N64,"")</f>
        <v/>
      </c>
      <c r="O79" s="87" t="str">
        <f>IF(ISNUMBER('Step 3 (MTP) - Plan and prior'!O64),'Step 3 (MTP) - Plan and prior'!O64,"")</f>
        <v/>
      </c>
      <c r="P79" s="87" t="str">
        <f>IF(ISNUMBER('Step 3 (MTP) - Plan and prior'!P64),'Step 3 (MTP) - Plan and prior'!P64,"")</f>
        <v/>
      </c>
      <c r="Q79" s="87" t="str">
        <f>IF(ISNUMBER('Step 3 (MTP) - Plan and prior'!Q64),'Step 3 (MTP) - Plan and prior'!Q64,"")</f>
        <v/>
      </c>
      <c r="R79" s="87" t="str">
        <f>IF(ISNUMBER('Step 3 (MTP) - Plan and prior'!R64),'Step 3 (MTP) - Plan and prior'!R64,"")</f>
        <v/>
      </c>
      <c r="S79" s="87" t="str">
        <f>IF(ISNUMBER('Step 3 (MTP) - Plan and prior'!S64),'Step 3 (MTP) - Plan and prior'!S64,"")</f>
        <v/>
      </c>
      <c r="T79" s="87" t="str">
        <f>IF(ISNUMBER('Step 3 (MTP) - Plan and prior'!T64),'Step 3 (MTP) - Plan and prior'!T64,"")</f>
        <v/>
      </c>
      <c r="U79" s="87" t="str">
        <f>IF(ISNUMBER('Step 3 (MTP) - Plan and prior'!U64),'Step 3 (MTP) - Plan and prior'!U64,"")</f>
        <v/>
      </c>
      <c r="V79" s="87" t="str">
        <f>IF(ISNUMBER('Step 3 (MTP) - Plan and prior'!V64),'Step 3 (MTP) - Plan and prior'!V64,"")</f>
        <v/>
      </c>
      <c r="W79" s="87" t="str">
        <f>IF(ISNUMBER('Step 3 (MTP) - Plan and prior'!W64),'Step 3 (MTP) - Plan and prior'!W64,"")</f>
        <v/>
      </c>
      <c r="X79" t="str">
        <f>IF(ISNUMBER('Step 3 (MTP) - Plan and prior'!X64),'Step 3 (MTP) - Plan and prior'!X64,"")</f>
        <v/>
      </c>
    </row>
    <row r="80" spans="2:24" x14ac:dyDescent="0.4">
      <c r="B80" s="63" t="s">
        <v>337</v>
      </c>
      <c r="D80" s="87" t="str">
        <f>IF(ISNUMBER('Step 3 (MTP) - Plan and prior'!D65),'Step 3 (MTP) - Plan and prior'!D65,"")</f>
        <v/>
      </c>
      <c r="E80" s="87" t="str">
        <f>IF(ISNUMBER('Step 3 (MTP) - Plan and prior'!E65),'Step 3 (MTP) - Plan and prior'!E65,"")</f>
        <v/>
      </c>
      <c r="F80" s="87" t="str">
        <f>IF(ISNUMBER('Step 3 (MTP) - Plan and prior'!F65),'Step 3 (MTP) - Plan and prior'!F65,"")</f>
        <v/>
      </c>
      <c r="G80" s="87" t="str">
        <f>IF(ISNUMBER('Step 3 (MTP) - Plan and prior'!G65),'Step 3 (MTP) - Plan and prior'!G65,"")</f>
        <v/>
      </c>
      <c r="H80" s="87" t="str">
        <f>IF(ISNUMBER('Step 3 (MTP) - Plan and prior'!H65),'Step 3 (MTP) - Plan and prior'!H65,"")</f>
        <v/>
      </c>
      <c r="I80" s="87" t="str">
        <f>IF(ISNUMBER('Step 3 (MTP) - Plan and prior'!I65),'Step 3 (MTP) - Plan and prior'!I65,"")</f>
        <v/>
      </c>
      <c r="J80" s="87" t="str">
        <f>IF(ISNUMBER('Step 3 (MTP) - Plan and prior'!J65),'Step 3 (MTP) - Plan and prior'!J65,"")</f>
        <v/>
      </c>
      <c r="K80" s="87" t="str">
        <f>IF(ISNUMBER('Step 3 (MTP) - Plan and prior'!K65),'Step 3 (MTP) - Plan and prior'!K65,"")</f>
        <v/>
      </c>
      <c r="L80" s="87" t="str">
        <f>IF(ISNUMBER('Step 3 (MTP) - Plan and prior'!L65),'Step 3 (MTP) - Plan and prior'!L65,"")</f>
        <v/>
      </c>
      <c r="M80" s="87" t="str">
        <f>IF(ISNUMBER('Step 3 (MTP) - Plan and prior'!M65),'Step 3 (MTP) - Plan and prior'!M65,"")</f>
        <v/>
      </c>
      <c r="N80" s="87" t="str">
        <f>IF(ISNUMBER('Step 3 (MTP) - Plan and prior'!N65),'Step 3 (MTP) - Plan and prior'!N65,"")</f>
        <v/>
      </c>
      <c r="O80" s="87" t="str">
        <f>IF(ISNUMBER('Step 3 (MTP) - Plan and prior'!O65),'Step 3 (MTP) - Plan and prior'!O65,"")</f>
        <v/>
      </c>
      <c r="P80" s="87" t="str">
        <f>IF(ISNUMBER('Step 3 (MTP) - Plan and prior'!P65),'Step 3 (MTP) - Plan and prior'!P65,"")</f>
        <v/>
      </c>
      <c r="Q80" s="87" t="str">
        <f>IF(ISNUMBER('Step 3 (MTP) - Plan and prior'!Q65),'Step 3 (MTP) - Plan and prior'!Q65,"")</f>
        <v/>
      </c>
      <c r="R80" s="87" t="str">
        <f>IF(ISNUMBER('Step 3 (MTP) - Plan and prior'!R65),'Step 3 (MTP) - Plan and prior'!R65,"")</f>
        <v/>
      </c>
      <c r="S80" s="87" t="str">
        <f>IF(ISNUMBER('Step 3 (MTP) - Plan and prior'!S65),'Step 3 (MTP) - Plan and prior'!S65,"")</f>
        <v/>
      </c>
      <c r="T80" s="87" t="str">
        <f>IF(ISNUMBER('Step 3 (MTP) - Plan and prior'!T65),'Step 3 (MTP) - Plan and prior'!T65,"")</f>
        <v/>
      </c>
      <c r="U80" s="87" t="str">
        <f>IF(ISNUMBER('Step 3 (MTP) - Plan and prior'!U65),'Step 3 (MTP) - Plan and prior'!U65,"")</f>
        <v/>
      </c>
      <c r="V80" s="87" t="str">
        <f>IF(ISNUMBER('Step 3 (MTP) - Plan and prior'!V65),'Step 3 (MTP) - Plan and prior'!V65,"")</f>
        <v/>
      </c>
      <c r="W80" s="87" t="str">
        <f>IF(ISNUMBER('Step 3 (MTP) - Plan and prior'!W65),'Step 3 (MTP) - Plan and prior'!W65,"")</f>
        <v/>
      </c>
      <c r="X80" t="str">
        <f>IF(ISNUMBER('Step 3 (MTP) - Plan and prior'!X65),'Step 3 (MTP) - Plan and prior'!X65,"")</f>
        <v/>
      </c>
    </row>
    <row r="81" spans="2:35" x14ac:dyDescent="0.4">
      <c r="B81" s="63" t="str">
        <f>'Step 3 (MTP) - Plan and prior'!B66</f>
        <v>Stochastic debt projections, 2029-2033</v>
      </c>
      <c r="D81" s="87" t="str">
        <f>IF(ISNUMBER('Step 3 (MTP) - Plan and prior'!D66),'Step 3 (MTP) - Plan and prior'!D66,"")</f>
        <v/>
      </c>
      <c r="E81" s="87" t="str">
        <f>IF(ISNUMBER('Step 3 (MTP) - Plan and prior'!E66),'Step 3 (MTP) - Plan and prior'!E66,"")</f>
        <v/>
      </c>
      <c r="F81" s="87" t="str">
        <f>IF(ISNUMBER('Step 3 (MTP) - Plan and prior'!F66),'Step 3 (MTP) - Plan and prior'!F66,"")</f>
        <v/>
      </c>
      <c r="G81" s="87" t="str">
        <f>IF(ISNUMBER('Step 3 (MTP) - Plan and prior'!G66),'Step 3 (MTP) - Plan and prior'!G66,"")</f>
        <v/>
      </c>
      <c r="H81" s="87" t="str">
        <f>IF(ISNUMBER('Step 3 (MTP) - Plan and prior'!H66),'Step 3 (MTP) - Plan and prior'!H66,"")</f>
        <v/>
      </c>
      <c r="I81" s="87" t="str">
        <f>IF(ISNUMBER('Step 3 (MTP) - Plan and prior'!I66),'Step 3 (MTP) - Plan and prior'!I66,"")</f>
        <v/>
      </c>
      <c r="J81" s="87" t="str">
        <f>IF(ISNUMBER('Step 3 (MTP) - Plan and prior'!J66),'Step 3 (MTP) - Plan and prior'!J66,"")</f>
        <v/>
      </c>
      <c r="K81" s="87" t="str">
        <f>IF(ISNUMBER('Step 3 (MTP) - Plan and prior'!K66),'Step 3 (MTP) - Plan and prior'!K66,"")</f>
        <v/>
      </c>
      <c r="L81" s="87" t="str">
        <f>IF(ISNUMBER('Step 3 (MTP) - Plan and prior'!L66),'Step 3 (MTP) - Plan and prior'!L66,"")</f>
        <v/>
      </c>
      <c r="M81" s="87" t="str">
        <f>IF(ISNUMBER('Step 3 (MTP) - Plan and prior'!M66),'Step 3 (MTP) - Plan and prior'!M66,"")</f>
        <v/>
      </c>
      <c r="N81" s="87" t="str">
        <f>IF(ISNUMBER('Step 3 (MTP) - Plan and prior'!N66),'Step 3 (MTP) - Plan and prior'!N66,"")</f>
        <v/>
      </c>
      <c r="O81" s="87" t="str">
        <f>IF(ISNUMBER('Step 3 (MTP) - Plan and prior'!O66),'Step 3 (MTP) - Plan and prior'!O66,"")</f>
        <v/>
      </c>
      <c r="P81" s="87" t="str">
        <f>IF(ISNUMBER('Step 3 (MTP) - Plan and prior'!P66),'Step 3 (MTP) - Plan and prior'!P66,"")</f>
        <v/>
      </c>
      <c r="Q81" s="87" t="str">
        <f>IF(ISNUMBER('Step 3 (MTP) - Plan and prior'!Q66),'Step 3 (MTP) - Plan and prior'!Q66,"")</f>
        <v/>
      </c>
      <c r="R81" s="87" t="str">
        <f>IF(ISNUMBER('Step 3 (MTP) - Plan and prior'!R66),'Step 3 (MTP) - Plan and prior'!R66,"")</f>
        <v/>
      </c>
      <c r="S81" s="87" t="str">
        <f>IF(ISNUMBER('Step 3 (MTP) - Plan and prior'!S66),'Step 3 (MTP) - Plan and prior'!S66,"")</f>
        <v/>
      </c>
      <c r="T81" s="87" t="str">
        <f>IF(ISNUMBER('Step 3 (MTP) - Plan and prior'!T66),'Step 3 (MTP) - Plan and prior'!T66,"")</f>
        <v/>
      </c>
      <c r="U81" s="87" t="str">
        <f>IF(ISNUMBER('Step 3 (MTP) - Plan and prior'!U66),'Step 3 (MTP) - Plan and prior'!U66,"")</f>
        <v/>
      </c>
      <c r="V81" s="87" t="str">
        <f>IF(ISNUMBER('Step 3 (MTP) - Plan and prior'!V66),'Step 3 (MTP) - Plan and prior'!V66,"")</f>
        <v/>
      </c>
      <c r="W81" s="87" t="str">
        <f>IF(ISNUMBER('Step 3 (MTP) - Plan and prior'!W66),'Step 3 (MTP) - Plan and prior'!W66,"")</f>
        <v/>
      </c>
      <c r="X81" t="str">
        <f>IF(ISNUMBER('Step 3 (MTP) - Plan and prior'!X66),'Step 3 (MTP) - Plan and prior'!X66,"")</f>
        <v/>
      </c>
    </row>
    <row r="82" spans="2:35" x14ac:dyDescent="0.4">
      <c r="B82" s="102" t="s">
        <v>367</v>
      </c>
      <c r="D82" s="87" t="str">
        <f>IF(ISNUMBER('Step 3 (MTP) - Plan and prior'!D67),'Step 3 (MTP) - Plan and prior'!D67,"")</f>
        <v/>
      </c>
      <c r="E82" s="87" t="str">
        <f>IF(ISNUMBER('Step 3 (MTP) - Plan and prior'!E67),'Step 3 (MTP) - Plan and prior'!E67,"")</f>
        <v/>
      </c>
      <c r="F82" s="87" t="str">
        <f>IF(ISNUMBER('Step 3 (MTP) - Plan and prior'!F67),'Step 3 (MTP) - Plan and prior'!F67,"")</f>
        <v/>
      </c>
      <c r="G82" s="87" t="str">
        <f>IF(ISNUMBER('Step 3 (MTP) - Plan and prior'!G67),'Step 3 (MTP) - Plan and prior'!G67,"")</f>
        <v/>
      </c>
      <c r="H82" s="87" t="str">
        <f>IF(ISNUMBER('Step 3 (MTP) - Plan and prior'!H67),'Step 3 (MTP) - Plan and prior'!H67,"")</f>
        <v/>
      </c>
      <c r="I82" s="87" t="str">
        <f>IF(ISNUMBER('Step 3 (MTP) - Plan and prior'!I67),'Step 3 (MTP) - Plan and prior'!I67,"")</f>
        <v/>
      </c>
      <c r="J82" s="87" t="str">
        <f>IF(ISNUMBER('Step 3 (MTP) - Plan and prior'!J67),'Step 3 (MTP) - Plan and prior'!J67,"")</f>
        <v/>
      </c>
      <c r="K82" s="87" t="str">
        <f>IF(ISNUMBER('Step 3 (MTP) - Plan and prior'!K67),'Step 3 (MTP) - Plan and prior'!K67,"")</f>
        <v/>
      </c>
      <c r="L82" s="87" t="str">
        <f>IF(ISNUMBER('Step 3 (MTP) - Plan and prior'!L67),'Step 3 (MTP) - Plan and prior'!L67,"")</f>
        <v/>
      </c>
      <c r="M82" s="87" t="str">
        <f>IF(ISNUMBER('Step 3 (MTP) - Plan and prior'!M67),'Step 3 (MTP) - Plan and prior'!M67,"")</f>
        <v/>
      </c>
      <c r="N82" s="87" t="str">
        <f>IF(ISNUMBER('Step 3 (MTP) - Plan and prior'!N67),'Step 3 (MTP) - Plan and prior'!N67,"")</f>
        <v/>
      </c>
      <c r="O82" s="87" t="str">
        <f>IF(ISNUMBER('Step 3 (MTP) - Plan and prior'!O67),'Step 3 (MTP) - Plan and prior'!O67,"")</f>
        <v/>
      </c>
      <c r="P82" s="87" t="str">
        <f>IF(ISNUMBER('Step 3 (MTP) - Plan and prior'!P67),'Step 3 (MTP) - Plan and prior'!P67,"")</f>
        <v/>
      </c>
      <c r="Q82" s="87" t="str">
        <f>IF(ISNUMBER('Step 3 (MTP) - Plan and prior'!Q67),'Step 3 (MTP) - Plan and prior'!Q67,"")</f>
        <v/>
      </c>
      <c r="R82" s="87" t="str">
        <f>IF(ISNUMBER('Step 3 (MTP) - Plan and prior'!R67),'Step 3 (MTP) - Plan and prior'!R67,"")</f>
        <v/>
      </c>
      <c r="S82" s="87" t="str">
        <f>IF(ISNUMBER('Step 3 (MTP) - Plan and prior'!S67),'Step 3 (MTP) - Plan and prior'!S67,"")</f>
        <v/>
      </c>
      <c r="T82" s="87" t="str">
        <f>IF(ISNUMBER('Step 3 (MTP) - Plan and prior'!T67),'Step 3 (MTP) - Plan and prior'!T67,"")</f>
        <v/>
      </c>
      <c r="U82" s="87" t="str">
        <f>IF(ISNUMBER('Step 3 (MTP) - Plan and prior'!U67),'Step 3 (MTP) - Plan and prior'!U67,"")</f>
        <v/>
      </c>
      <c r="V82" s="87" t="str">
        <f>IF(ISNUMBER('Step 3 (MTP) - Plan and prior'!V67),'Step 3 (MTP) - Plan and prior'!V67,"")</f>
        <v/>
      </c>
      <c r="W82" s="87" t="str">
        <f>IF(ISNUMBER('Step 3 (MTP) - Plan and prior'!W67),'Step 3 (MTP) - Plan and prior'!W67,"")</f>
        <v/>
      </c>
      <c r="X82" t="str">
        <f>IF(ISNUMBER('Step 3 (MTP) - Plan and prior'!X67),'Step 3 (MTP) - Plan and prior'!X67,"")</f>
        <v/>
      </c>
    </row>
    <row r="83" spans="2:35" x14ac:dyDescent="0.4">
      <c r="B83" s="102" t="s">
        <v>368</v>
      </c>
      <c r="D83" s="87" t="str">
        <f>IF(ISNUMBER('Step 3 (MTP) - Plan and prior'!D68),'Step 3 (MTP) - Plan and prior'!D68,"")</f>
        <v/>
      </c>
      <c r="E83" s="87" t="str">
        <f>IF(ISNUMBER('Step 3 (MTP) - Plan and prior'!E68),'Step 3 (MTP) - Plan and prior'!E68,"")</f>
        <v/>
      </c>
      <c r="F83" s="87" t="str">
        <f>IF(ISNUMBER('Step 3 (MTP) - Plan and prior'!F68),'Step 3 (MTP) - Plan and prior'!F68,"")</f>
        <v/>
      </c>
      <c r="G83" s="87" t="str">
        <f>IF(ISNUMBER('Step 3 (MTP) - Plan and prior'!G68),'Step 3 (MTP) - Plan and prior'!G68,"")</f>
        <v/>
      </c>
      <c r="H83" s="87" t="str">
        <f>IF(ISNUMBER('Step 3 (MTP) - Plan and prior'!H68),'Step 3 (MTP) - Plan and prior'!H68,"")</f>
        <v/>
      </c>
      <c r="I83" s="87" t="str">
        <f>IF(ISNUMBER('Step 3 (MTP) - Plan and prior'!I68),'Step 3 (MTP) - Plan and prior'!I68,"")</f>
        <v/>
      </c>
      <c r="J83" s="87" t="str">
        <f>IF(ISNUMBER('Step 3 (MTP) - Plan and prior'!J68),'Step 3 (MTP) - Plan and prior'!J68,"")</f>
        <v/>
      </c>
      <c r="K83" s="87" t="str">
        <f>IF(ISNUMBER('Step 3 (MTP) - Plan and prior'!K68),'Step 3 (MTP) - Plan and prior'!K68,"")</f>
        <v/>
      </c>
      <c r="L83" s="87" t="str">
        <f>IF(ISNUMBER('Step 3 (MTP) - Plan and prior'!L68),'Step 3 (MTP) - Plan and prior'!L68,"")</f>
        <v/>
      </c>
      <c r="M83" s="87" t="str">
        <f>IF(ISNUMBER('Step 3 (MTP) - Plan and prior'!M68),'Step 3 (MTP) - Plan and prior'!M68,"")</f>
        <v/>
      </c>
      <c r="N83" s="87" t="str">
        <f>IF(ISNUMBER('Step 3 (MTP) - Plan and prior'!N68),'Step 3 (MTP) - Plan and prior'!N68,"")</f>
        <v/>
      </c>
      <c r="O83" s="87" t="str">
        <f>IF(ISNUMBER('Step 3 (MTP) - Plan and prior'!O68),'Step 3 (MTP) - Plan and prior'!O68,"")</f>
        <v/>
      </c>
      <c r="P83" s="87" t="str">
        <f>IF(ISNUMBER('Step 3 (MTP) - Plan and prior'!P68),'Step 3 (MTP) - Plan and prior'!P68,"")</f>
        <v/>
      </c>
      <c r="Q83" s="87" t="str">
        <f>IF(ISNUMBER('Step 3 (MTP) - Plan and prior'!Q68),'Step 3 (MTP) - Plan and prior'!Q68,"")</f>
        <v/>
      </c>
      <c r="R83" s="87" t="str">
        <f>IF(ISNUMBER('Step 3 (MTP) - Plan and prior'!R68),'Step 3 (MTP) - Plan and prior'!R68,"")</f>
        <v/>
      </c>
      <c r="S83" s="87" t="str">
        <f>IF(ISNUMBER('Step 3 (MTP) - Plan and prior'!S68),'Step 3 (MTP) - Plan and prior'!S68,"")</f>
        <v/>
      </c>
      <c r="T83" s="87" t="str">
        <f>IF(ISNUMBER('Step 3 (MTP) - Plan and prior'!T68),'Step 3 (MTP) - Plan and prior'!T68,"")</f>
        <v/>
      </c>
      <c r="U83" s="87" t="str">
        <f>IF(ISNUMBER('Step 3 (MTP) - Plan and prior'!U68),'Step 3 (MTP) - Plan and prior'!U68,"")</f>
        <v/>
      </c>
      <c r="V83" s="87" t="str">
        <f>IF(ISNUMBER('Step 3 (MTP) - Plan and prior'!V68),'Step 3 (MTP) - Plan and prior'!V68,"")</f>
        <v/>
      </c>
      <c r="W83" s="87" t="str">
        <f>IF(ISNUMBER('Step 3 (MTP) - Plan and prior'!W68),'Step 3 (MTP) - Plan and prior'!W68,"")</f>
        <v/>
      </c>
      <c r="X83" t="str">
        <f>IF(ISNUMBER('Step 3 (MTP) - Plan and prior'!X68),'Step 3 (MTP) - Plan and prior'!X68,"")</f>
        <v/>
      </c>
    </row>
    <row r="84" spans="2:35" x14ac:dyDescent="0.4">
      <c r="B84" s="102" t="s">
        <v>369</v>
      </c>
      <c r="D84" s="87" t="str">
        <f>IF(ISNUMBER('Step 3 (MTP) - Plan and prior'!D69),'Step 3 (MTP) - Plan and prior'!D69,"")</f>
        <v/>
      </c>
      <c r="E84" s="87" t="str">
        <f>IF(ISNUMBER('Step 3 (MTP) - Plan and prior'!E69),'Step 3 (MTP) - Plan and prior'!E69,"")</f>
        <v/>
      </c>
      <c r="F84" s="87" t="str">
        <f>IF(ISNUMBER('Step 3 (MTP) - Plan and prior'!F69),'Step 3 (MTP) - Plan and prior'!F69,"")</f>
        <v/>
      </c>
      <c r="G84" s="87" t="str">
        <f>IF(ISNUMBER('Step 3 (MTP) - Plan and prior'!G69),'Step 3 (MTP) - Plan and prior'!G69,"")</f>
        <v/>
      </c>
      <c r="H84" s="87" t="str">
        <f>IF(ISNUMBER('Step 3 (MTP) - Plan and prior'!H69),'Step 3 (MTP) - Plan and prior'!H69,"")</f>
        <v/>
      </c>
      <c r="I84" s="87" t="str">
        <f>IF(ISNUMBER('Step 3 (MTP) - Plan and prior'!I69),'Step 3 (MTP) - Plan and prior'!I69,"")</f>
        <v/>
      </c>
      <c r="J84" s="87" t="str">
        <f>IF(ISNUMBER('Step 3 (MTP) - Plan and prior'!J69),'Step 3 (MTP) - Plan and prior'!J69,"")</f>
        <v/>
      </c>
      <c r="K84" s="87" t="str">
        <f>IF(ISNUMBER('Step 3 (MTP) - Plan and prior'!K69),'Step 3 (MTP) - Plan and prior'!K69,"")</f>
        <v/>
      </c>
      <c r="L84" s="87" t="str">
        <f>IF(ISNUMBER('Step 3 (MTP) - Plan and prior'!L69),'Step 3 (MTP) - Plan and prior'!L69,"")</f>
        <v/>
      </c>
      <c r="M84" s="87" t="str">
        <f>IF(ISNUMBER('Step 3 (MTP) - Plan and prior'!M69),'Step 3 (MTP) - Plan and prior'!M69,"")</f>
        <v/>
      </c>
      <c r="N84" s="87" t="str">
        <f>IF(ISNUMBER('Step 3 (MTP) - Plan and prior'!N69),'Step 3 (MTP) - Plan and prior'!N69,"")</f>
        <v/>
      </c>
      <c r="O84" s="87" t="str">
        <f>IF(ISNUMBER('Step 3 (MTP) - Plan and prior'!O69),'Step 3 (MTP) - Plan and prior'!O69,"")</f>
        <v/>
      </c>
      <c r="P84" s="87" t="str">
        <f>IF(ISNUMBER('Step 3 (MTP) - Plan and prior'!P69),'Step 3 (MTP) - Plan and prior'!P69,"")</f>
        <v/>
      </c>
      <c r="Q84" s="87" t="str">
        <f>IF(ISNUMBER('Step 3 (MTP) - Plan and prior'!Q69),'Step 3 (MTP) - Plan and prior'!Q69,"")</f>
        <v/>
      </c>
      <c r="R84" s="87" t="str">
        <f>IF(ISNUMBER('Step 3 (MTP) - Plan and prior'!R69),'Step 3 (MTP) - Plan and prior'!R69,"")</f>
        <v/>
      </c>
      <c r="S84" s="87" t="str">
        <f>IF(ISNUMBER('Step 3 (MTP) - Plan and prior'!S69),'Step 3 (MTP) - Plan and prior'!S69,"")</f>
        <v/>
      </c>
      <c r="T84" s="87" t="str">
        <f>IF(ISNUMBER('Step 3 (MTP) - Plan and prior'!T69),'Step 3 (MTP) - Plan and prior'!T69,"")</f>
        <v/>
      </c>
      <c r="U84" s="87" t="str">
        <f>IF(ISNUMBER('Step 3 (MTP) - Plan and prior'!U69),'Step 3 (MTP) - Plan and prior'!U69,"")</f>
        <v/>
      </c>
      <c r="V84" s="87" t="str">
        <f>IF(ISNUMBER('Step 3 (MTP) - Plan and prior'!V69),'Step 3 (MTP) - Plan and prior'!V69,"")</f>
        <v/>
      </c>
      <c r="W84" s="87" t="str">
        <f>IF(ISNUMBER('Step 3 (MTP) - Plan and prior'!W69),'Step 3 (MTP) - Plan and prior'!W69,"")</f>
        <v/>
      </c>
      <c r="X84" t="str">
        <f>IF(ISNUMBER('Step 3 (MTP) - Plan and prior'!X69),'Step 3 (MTP) - Plan and prior'!X69,"")</f>
        <v/>
      </c>
    </row>
    <row r="85" spans="2:35" x14ac:dyDescent="0.4">
      <c r="B85" s="102" t="s">
        <v>370</v>
      </c>
      <c r="D85" s="87" t="str">
        <f>IF(ISNUMBER('Step 3 (MTP) - Plan and prior'!D70),'Step 3 (MTP) - Plan and prior'!D70,"")</f>
        <v/>
      </c>
      <c r="E85" s="87" t="str">
        <f>IF(ISNUMBER('Step 3 (MTP) - Plan and prior'!E70),'Step 3 (MTP) - Plan and prior'!E70,"")</f>
        <v/>
      </c>
      <c r="F85" s="87" t="str">
        <f>IF(ISNUMBER('Step 3 (MTP) - Plan and prior'!F70),'Step 3 (MTP) - Plan and prior'!F70,"")</f>
        <v/>
      </c>
      <c r="G85" s="87" t="str">
        <f>IF(ISNUMBER('Step 3 (MTP) - Plan and prior'!G70),'Step 3 (MTP) - Plan and prior'!G70,"")</f>
        <v/>
      </c>
      <c r="H85" s="87" t="str">
        <f>IF(ISNUMBER('Step 3 (MTP) - Plan and prior'!H70),'Step 3 (MTP) - Plan and prior'!H70,"")</f>
        <v/>
      </c>
      <c r="I85" s="87" t="str">
        <f>IF(ISNUMBER('Step 3 (MTP) - Plan and prior'!I70),'Step 3 (MTP) - Plan and prior'!I70,"")</f>
        <v/>
      </c>
      <c r="J85" s="87" t="str">
        <f>IF(ISNUMBER('Step 3 (MTP) - Plan and prior'!J70),'Step 3 (MTP) - Plan and prior'!J70,"")</f>
        <v/>
      </c>
      <c r="K85" s="87" t="str">
        <f>IF(ISNUMBER('Step 3 (MTP) - Plan and prior'!K70),'Step 3 (MTP) - Plan and prior'!K70,"")</f>
        <v/>
      </c>
      <c r="L85" s="87" t="str">
        <f>IF(ISNUMBER('Step 3 (MTP) - Plan and prior'!L70),'Step 3 (MTP) - Plan and prior'!L70,"")</f>
        <v/>
      </c>
      <c r="M85" s="87" t="str">
        <f>IF(ISNUMBER('Step 3 (MTP) - Plan and prior'!M70),'Step 3 (MTP) - Plan and prior'!M70,"")</f>
        <v/>
      </c>
      <c r="N85" s="87" t="str">
        <f>IF(ISNUMBER('Step 3 (MTP) - Plan and prior'!N70),'Step 3 (MTP) - Plan and prior'!N70,"")</f>
        <v/>
      </c>
      <c r="O85" s="87" t="str">
        <f>IF(ISNUMBER('Step 3 (MTP) - Plan and prior'!O70),'Step 3 (MTP) - Plan and prior'!O70,"")</f>
        <v/>
      </c>
      <c r="P85" s="87" t="str">
        <f>IF(ISNUMBER('Step 3 (MTP) - Plan and prior'!P70),'Step 3 (MTP) - Plan and prior'!P70,"")</f>
        <v/>
      </c>
      <c r="Q85" s="87" t="str">
        <f>IF(ISNUMBER('Step 3 (MTP) - Plan and prior'!Q70),'Step 3 (MTP) - Plan and prior'!Q70,"")</f>
        <v/>
      </c>
      <c r="R85" s="87" t="str">
        <f>IF(ISNUMBER('Step 3 (MTP) - Plan and prior'!R70),'Step 3 (MTP) - Plan and prior'!R70,"")</f>
        <v/>
      </c>
      <c r="S85" s="87" t="str">
        <f>IF(ISNUMBER('Step 3 (MTP) - Plan and prior'!S70),'Step 3 (MTP) - Plan and prior'!S70,"")</f>
        <v/>
      </c>
      <c r="T85" s="87" t="str">
        <f>IF(ISNUMBER('Step 3 (MTP) - Plan and prior'!T70),'Step 3 (MTP) - Plan and prior'!T70,"")</f>
        <v/>
      </c>
      <c r="U85" s="87" t="str">
        <f>IF(ISNUMBER('Step 3 (MTP) - Plan and prior'!U70),'Step 3 (MTP) - Plan and prior'!U70,"")</f>
        <v/>
      </c>
      <c r="V85" s="87" t="str">
        <f>IF(ISNUMBER('Step 3 (MTP) - Plan and prior'!V70),'Step 3 (MTP) - Plan and prior'!V70,"")</f>
        <v/>
      </c>
      <c r="W85" s="87" t="str">
        <f>IF(ISNUMBER('Step 3 (MTP) - Plan and prior'!W70),'Step 3 (MTP) - Plan and prior'!W70,"")</f>
        <v/>
      </c>
      <c r="X85" t="str">
        <f>IF(ISNUMBER('Step 3 (MTP) - Plan and prior'!X70),'Step 3 (MTP) - Plan and prior'!X70,"")</f>
        <v/>
      </c>
    </row>
    <row r="86" spans="2:35" x14ac:dyDescent="0.4">
      <c r="B86" s="102" t="s">
        <v>371</v>
      </c>
      <c r="D86" s="87" t="str">
        <f>IF(ISNUMBER('Step 3 (MTP) - Plan and prior'!D71),'Step 3 (MTP) - Plan and prior'!D71,"")</f>
        <v/>
      </c>
      <c r="E86" s="87" t="str">
        <f>IF(ISNUMBER('Step 3 (MTP) - Plan and prior'!E71),'Step 3 (MTP) - Plan and prior'!E71,"")</f>
        <v/>
      </c>
      <c r="F86" s="87" t="str">
        <f>IF(ISNUMBER('Step 3 (MTP) - Plan and prior'!F71),'Step 3 (MTP) - Plan and prior'!F71,"")</f>
        <v/>
      </c>
      <c r="G86" s="87" t="str">
        <f>IF(ISNUMBER('Step 3 (MTP) - Plan and prior'!G71),'Step 3 (MTP) - Plan and prior'!G71,"")</f>
        <v/>
      </c>
      <c r="H86" s="87" t="str">
        <f>IF(ISNUMBER('Step 3 (MTP) - Plan and prior'!H71),'Step 3 (MTP) - Plan and prior'!H71,"")</f>
        <v/>
      </c>
      <c r="I86" s="87" t="str">
        <f>IF(ISNUMBER('Step 3 (MTP) - Plan and prior'!I71),'Step 3 (MTP) - Plan and prior'!I71,"")</f>
        <v/>
      </c>
      <c r="J86" s="87" t="str">
        <f>IF(ISNUMBER('Step 3 (MTP) - Plan and prior'!J71),'Step 3 (MTP) - Plan and prior'!J71,"")</f>
        <v/>
      </c>
      <c r="K86" s="87" t="str">
        <f>IF(ISNUMBER('Step 3 (MTP) - Plan and prior'!K71),'Step 3 (MTP) - Plan and prior'!K71,"")</f>
        <v/>
      </c>
      <c r="L86" s="87" t="str">
        <f>IF(ISNUMBER('Step 3 (MTP) - Plan and prior'!L71),'Step 3 (MTP) - Plan and prior'!L71,"")</f>
        <v/>
      </c>
      <c r="M86" s="87" t="str">
        <f>IF(ISNUMBER('Step 3 (MTP) - Plan and prior'!M71),'Step 3 (MTP) - Plan and prior'!M71,"")</f>
        <v/>
      </c>
      <c r="N86" s="87" t="str">
        <f>IF(ISNUMBER('Step 3 (MTP) - Plan and prior'!N71),'Step 3 (MTP) - Plan and prior'!N71,"")</f>
        <v/>
      </c>
      <c r="O86" s="87" t="str">
        <f>IF(ISNUMBER('Step 3 (MTP) - Plan and prior'!O71),'Step 3 (MTP) - Plan and prior'!O71,"")</f>
        <v/>
      </c>
      <c r="P86" s="87" t="str">
        <f>IF(ISNUMBER('Step 3 (MTP) - Plan and prior'!P71),'Step 3 (MTP) - Plan and prior'!P71,"")</f>
        <v/>
      </c>
      <c r="Q86" s="87" t="str">
        <f>IF(ISNUMBER('Step 3 (MTP) - Plan and prior'!Q71),'Step 3 (MTP) - Plan and prior'!Q71,"")</f>
        <v/>
      </c>
      <c r="R86" s="87" t="str">
        <f>IF(ISNUMBER('Step 3 (MTP) - Plan and prior'!R71),'Step 3 (MTP) - Plan and prior'!R71,"")</f>
        <v/>
      </c>
      <c r="S86" s="87" t="str">
        <f>IF(ISNUMBER('Step 3 (MTP) - Plan and prior'!S71),'Step 3 (MTP) - Plan and prior'!S71,"")</f>
        <v/>
      </c>
      <c r="T86" s="87" t="str">
        <f>IF(ISNUMBER('Step 3 (MTP) - Plan and prior'!T71),'Step 3 (MTP) - Plan and prior'!T71,"")</f>
        <v/>
      </c>
      <c r="U86" s="87" t="str">
        <f>IF(ISNUMBER('Step 3 (MTP) - Plan and prior'!U71),'Step 3 (MTP) - Plan and prior'!U71,"")</f>
        <v/>
      </c>
      <c r="V86" s="87" t="str">
        <f>IF(ISNUMBER('Step 3 (MTP) - Plan and prior'!V71),'Step 3 (MTP) - Plan and prior'!V71,"")</f>
        <v/>
      </c>
      <c r="W86" s="87" t="str">
        <f>IF(ISNUMBER('Step 3 (MTP) - Plan and prior'!W71),'Step 3 (MTP) - Plan and prior'!W71,"")</f>
        <v/>
      </c>
      <c r="X86" t="str">
        <f>IF(ISNUMBER('Step 3 (MTP) - Plan and prior'!X71),'Step 3 (MTP) - Plan and prior'!X71,"")</f>
        <v/>
      </c>
    </row>
    <row r="87" spans="2:35" x14ac:dyDescent="0.4">
      <c r="B87" s="102" t="s">
        <v>367</v>
      </c>
      <c r="D87" s="87" t="str">
        <f>IF(ISNUMBER('Step 3 (MTP) - Plan and prior'!D72),'Step 3 (MTP) - Plan and prior'!D72,"")</f>
        <v/>
      </c>
      <c r="E87" s="87" t="str">
        <f>IF(ISNUMBER('Step 3 (MTP) - Plan and prior'!E72),'Step 3 (MTP) - Plan and prior'!E72,"")</f>
        <v/>
      </c>
      <c r="F87" s="87" t="str">
        <f>IF(ISNUMBER('Step 3 (MTP) - Plan and prior'!F72),'Step 3 (MTP) - Plan and prior'!F72,"")</f>
        <v/>
      </c>
      <c r="G87" s="87" t="str">
        <f>IF(ISNUMBER('Step 3 (MTP) - Plan and prior'!G72),'Step 3 (MTP) - Plan and prior'!G72,"")</f>
        <v/>
      </c>
      <c r="H87" s="87" t="str">
        <f>IF(ISNUMBER('Step 3 (MTP) - Plan and prior'!H72),'Step 3 (MTP) - Plan and prior'!H72,"")</f>
        <v/>
      </c>
      <c r="I87" s="87" t="str">
        <f>IF(ISNUMBER('Step 3 (MTP) - Plan and prior'!I72),'Step 3 (MTP) - Plan and prior'!I72,"")</f>
        <v/>
      </c>
      <c r="J87" s="87" t="str">
        <f>IF(ISNUMBER('Step 3 (MTP) - Plan and prior'!J72),'Step 3 (MTP) - Plan and prior'!J72,"")</f>
        <v/>
      </c>
      <c r="K87" s="87" t="str">
        <f>IF(ISNUMBER('Step 3 (MTP) - Plan and prior'!K72),'Step 3 (MTP) - Plan and prior'!K72,"")</f>
        <v/>
      </c>
      <c r="L87" s="87" t="str">
        <f>IF(ISNUMBER('Step 3 (MTP) - Plan and prior'!L72),'Step 3 (MTP) - Plan and prior'!L72,"")</f>
        <v/>
      </c>
      <c r="M87" s="87" t="str">
        <f>IF(ISNUMBER('Step 3 (MTP) - Plan and prior'!M72),'Step 3 (MTP) - Plan and prior'!M72,"")</f>
        <v/>
      </c>
      <c r="N87" s="87" t="str">
        <f>IF(ISNUMBER('Step 3 (MTP) - Plan and prior'!N72),'Step 3 (MTP) - Plan and prior'!N72,"")</f>
        <v/>
      </c>
      <c r="O87" s="87" t="str">
        <f>IF(ISNUMBER('Step 3 (MTP) - Plan and prior'!O72),'Step 3 (MTP) - Plan and prior'!O72,"")</f>
        <v/>
      </c>
      <c r="P87" s="87" t="str">
        <f>IF(ISNUMBER('Step 3 (MTP) - Plan and prior'!P72),'Step 3 (MTP) - Plan and prior'!P72,"")</f>
        <v/>
      </c>
      <c r="Q87" s="87" t="str">
        <f>IF(ISNUMBER('Step 3 (MTP) - Plan and prior'!Q72),'Step 3 (MTP) - Plan and prior'!Q72,"")</f>
        <v/>
      </c>
      <c r="R87" s="87" t="str">
        <f>IF(ISNUMBER('Step 3 (MTP) - Plan and prior'!R72),'Step 3 (MTP) - Plan and prior'!R72,"")</f>
        <v/>
      </c>
      <c r="S87" s="87" t="str">
        <f>IF(ISNUMBER('Step 3 (MTP) - Plan and prior'!S72),'Step 3 (MTP) - Plan and prior'!S72,"")</f>
        <v/>
      </c>
      <c r="T87" s="87" t="str">
        <f>IF(ISNUMBER('Step 3 (MTP) - Plan and prior'!T72),'Step 3 (MTP) - Plan and prior'!T72,"")</f>
        <v/>
      </c>
      <c r="U87" s="87" t="str">
        <f>IF(ISNUMBER('Step 3 (MTP) - Plan and prior'!U72),'Step 3 (MTP) - Plan and prior'!U72,"")</f>
        <v/>
      </c>
      <c r="V87" s="87" t="str">
        <f>IF(ISNUMBER('Step 3 (MTP) - Plan and prior'!V72),'Step 3 (MTP) - Plan and prior'!V72,"")</f>
        <v/>
      </c>
      <c r="W87" s="87" t="str">
        <f>IF(ISNUMBER('Step 3 (MTP) - Plan and prior'!W72),'Step 3 (MTP) - Plan and prior'!W72,"")</f>
        <v/>
      </c>
      <c r="X87" t="str">
        <f>IF(ISNUMBER('Step 3 (MTP) - Plan and prior'!X72),'Step 3 (MTP) - Plan and prior'!X72,"")</f>
        <v/>
      </c>
    </row>
    <row r="88" spans="2:35" customFormat="1" x14ac:dyDescent="0.4">
      <c r="B88" s="102" t="s">
        <v>372</v>
      </c>
      <c r="C88" s="15"/>
      <c r="D88" s="87" t="str">
        <f>IF(ISNUMBER('Step 3 (MTP) - Plan and prior'!D73),'Step 3 (MTP) - Plan and prior'!D73,"")</f>
        <v/>
      </c>
      <c r="E88" s="87" t="str">
        <f>IF(ISNUMBER('Step 3 (MTP) - Plan and prior'!E73),'Step 3 (MTP) - Plan and prior'!E73,"")</f>
        <v/>
      </c>
      <c r="F88" s="87" t="str">
        <f>IF(ISNUMBER('Step 3 (MTP) - Plan and prior'!F73),'Step 3 (MTP) - Plan and prior'!F73,"")</f>
        <v/>
      </c>
      <c r="G88" s="87" t="str">
        <f>IF(ISNUMBER('Step 3 (MTP) - Plan and prior'!G73),'Step 3 (MTP) - Plan and prior'!G73,"")</f>
        <v/>
      </c>
      <c r="H88" s="87" t="str">
        <f>IF(ISNUMBER('Step 3 (MTP) - Plan and prior'!H73),'Step 3 (MTP) - Plan and prior'!H73,"")</f>
        <v/>
      </c>
      <c r="I88" s="87" t="str">
        <f>IF(ISNUMBER('Step 3 (MTP) - Plan and prior'!I73),'Step 3 (MTP) - Plan and prior'!I73,"")</f>
        <v/>
      </c>
      <c r="J88" s="87" t="str">
        <f>IF(ISNUMBER('Step 3 (MTP) - Plan and prior'!J73),'Step 3 (MTP) - Plan and prior'!J73,"")</f>
        <v/>
      </c>
      <c r="K88" s="87" t="str">
        <f>IF(ISNUMBER('Step 3 (MTP) - Plan and prior'!K73),'Step 3 (MTP) - Plan and prior'!K73,"")</f>
        <v/>
      </c>
      <c r="L88" s="87" t="str">
        <f>IF(ISNUMBER('Step 3 (MTP) - Plan and prior'!L73),'Step 3 (MTP) - Plan and prior'!L73,"")</f>
        <v/>
      </c>
      <c r="M88" s="87" t="str">
        <f>IF(ISNUMBER('Step 3 (MTP) - Plan and prior'!M73),'Step 3 (MTP) - Plan and prior'!M73,"")</f>
        <v/>
      </c>
      <c r="N88" s="87" t="str">
        <f>IF(ISNUMBER('Step 3 (MTP) - Plan and prior'!N73),'Step 3 (MTP) - Plan and prior'!N73,"")</f>
        <v/>
      </c>
      <c r="O88" s="87" t="str">
        <f>IF(ISNUMBER('Step 3 (MTP) - Plan and prior'!O73),'Step 3 (MTP) - Plan and prior'!O73,"")</f>
        <v/>
      </c>
      <c r="P88" s="87" t="str">
        <f>IF(ISNUMBER('Step 3 (MTP) - Plan and prior'!P73),'Step 3 (MTP) - Plan and prior'!P73,"")</f>
        <v/>
      </c>
      <c r="Q88" s="87" t="str">
        <f>IF(ISNUMBER('Step 3 (MTP) - Plan and prior'!Q73),'Step 3 (MTP) - Plan and prior'!Q73,"")</f>
        <v/>
      </c>
      <c r="R88" s="87" t="str">
        <f>IF(ISNUMBER('Step 3 (MTP) - Plan and prior'!R73),'Step 3 (MTP) - Plan and prior'!R73,"")</f>
        <v/>
      </c>
      <c r="S88" s="87" t="str">
        <f>IF(ISNUMBER('Step 3 (MTP) - Plan and prior'!S73),'Step 3 (MTP) - Plan and prior'!S73,"")</f>
        <v/>
      </c>
      <c r="T88" s="87" t="str">
        <f>IF(ISNUMBER('Step 3 (MTP) - Plan and prior'!T73),'Step 3 (MTP) - Plan and prior'!T73,"")</f>
        <v/>
      </c>
      <c r="U88" s="87" t="str">
        <f>IF(ISNUMBER('Step 3 (MTP) - Plan and prior'!U73),'Step 3 (MTP) - Plan and prior'!U73,"")</f>
        <v/>
      </c>
      <c r="V88" s="87" t="str">
        <f>IF(ISNUMBER('Step 3 (MTP) - Plan and prior'!V73),'Step 3 (MTP) - Plan and prior'!V73,"")</f>
        <v/>
      </c>
      <c r="W88" s="87" t="str">
        <f>IF(ISNUMBER('Step 3 (MTP) - Plan and prior'!W73),'Step 3 (MTP) - Plan and prior'!W73,"")</f>
        <v/>
      </c>
      <c r="X88" s="89" t="str">
        <f>IF(ISNUMBER('Step 3 (MTP) - Plan and prior'!X73),'Step 3 (MTP) - Plan and prior'!X73,"")</f>
        <v/>
      </c>
    </row>
    <row r="89" spans="2:35" customFormat="1" x14ac:dyDescent="0.4">
      <c r="B89" s="102" t="s">
        <v>373</v>
      </c>
      <c r="C89" s="15"/>
      <c r="D89" s="87" t="str">
        <f>IF(ISNUMBER('Step 3 (MTP) - Plan and prior'!D74),'Step 3 (MTP) - Plan and prior'!D74,"")</f>
        <v/>
      </c>
      <c r="E89" s="87" t="str">
        <f>IF(ISNUMBER('Step 3 (MTP) - Plan and prior'!E74),'Step 3 (MTP) - Plan and prior'!E74,"")</f>
        <v/>
      </c>
      <c r="F89" s="87" t="str">
        <f>IF(ISNUMBER('Step 3 (MTP) - Plan and prior'!F74),'Step 3 (MTP) - Plan and prior'!F74,"")</f>
        <v/>
      </c>
      <c r="G89" s="87" t="str">
        <f>IF(ISNUMBER('Step 3 (MTP) - Plan and prior'!G74),'Step 3 (MTP) - Plan and prior'!G74,"")</f>
        <v/>
      </c>
      <c r="H89" s="87" t="str">
        <f>IF(ISNUMBER('Step 3 (MTP) - Plan and prior'!H74),'Step 3 (MTP) - Plan and prior'!H74,"")</f>
        <v/>
      </c>
      <c r="I89" s="87" t="str">
        <f>IF(ISNUMBER('Step 3 (MTP) - Plan and prior'!I74),'Step 3 (MTP) - Plan and prior'!I74,"")</f>
        <v/>
      </c>
      <c r="J89" s="87" t="str">
        <f>IF(ISNUMBER('Step 3 (MTP) - Plan and prior'!J74),'Step 3 (MTP) - Plan and prior'!J74,"")</f>
        <v/>
      </c>
      <c r="K89" s="87" t="str">
        <f>IF(ISNUMBER('Step 3 (MTP) - Plan and prior'!K74),'Step 3 (MTP) - Plan and prior'!K74,"")</f>
        <v/>
      </c>
      <c r="L89" s="87" t="str">
        <f>IF(ISNUMBER('Step 3 (MTP) - Plan and prior'!L74),'Step 3 (MTP) - Plan and prior'!L74,"")</f>
        <v/>
      </c>
      <c r="M89" s="87" t="str">
        <f>IF(ISNUMBER('Step 3 (MTP) - Plan and prior'!M74),'Step 3 (MTP) - Plan and prior'!M74,"")</f>
        <v/>
      </c>
      <c r="N89" s="87" t="str">
        <f>IF(ISNUMBER('Step 3 (MTP) - Plan and prior'!N74),'Step 3 (MTP) - Plan and prior'!N74,"")</f>
        <v/>
      </c>
      <c r="O89" s="87" t="str">
        <f>IF(ISNUMBER('Step 3 (MTP) - Plan and prior'!O74),'Step 3 (MTP) - Plan and prior'!O74,"")</f>
        <v/>
      </c>
      <c r="P89" s="87" t="str">
        <f>IF(ISNUMBER('Step 3 (MTP) - Plan and prior'!P74),'Step 3 (MTP) - Plan and prior'!P74,"")</f>
        <v/>
      </c>
      <c r="Q89" s="87" t="str">
        <f>IF(ISNUMBER('Step 3 (MTP) - Plan and prior'!Q74),'Step 3 (MTP) - Plan and prior'!Q74,"")</f>
        <v/>
      </c>
      <c r="R89" s="87" t="str">
        <f>IF(ISNUMBER('Step 3 (MTP) - Plan and prior'!R74),'Step 3 (MTP) - Plan and prior'!R74,"")</f>
        <v/>
      </c>
      <c r="S89" s="87" t="str">
        <f>IF(ISNUMBER('Step 3 (MTP) - Plan and prior'!S74),'Step 3 (MTP) - Plan and prior'!S74,"")</f>
        <v/>
      </c>
      <c r="T89" s="87" t="str">
        <f>IF(ISNUMBER('Step 3 (MTP) - Plan and prior'!T74),'Step 3 (MTP) - Plan and prior'!T74,"")</f>
        <v/>
      </c>
      <c r="U89" s="87" t="str">
        <f>IF(ISNUMBER('Step 3 (MTP) - Plan and prior'!U74),'Step 3 (MTP) - Plan and prior'!U74,"")</f>
        <v/>
      </c>
      <c r="V89" s="87" t="str">
        <f>IF(ISNUMBER('Step 3 (MTP) - Plan and prior'!V74),'Step 3 (MTP) - Plan and prior'!V74,"")</f>
        <v/>
      </c>
      <c r="W89" s="87" t="str">
        <f>IF(ISNUMBER('Step 3 (MTP) - Plan and prior'!W74),'Step 3 (MTP) - Plan and prior'!W74,"")</f>
        <v/>
      </c>
      <c r="X89" s="89" t="str">
        <f>IF(ISNUMBER('Step 3 (MTP) - Plan and prior'!X74),'Step 3 (MTP) - Plan and prior'!X74,"")</f>
        <v/>
      </c>
    </row>
    <row r="90" spans="2:35" customFormat="1" x14ac:dyDescent="0.4">
      <c r="B90" s="102" t="s">
        <v>374</v>
      </c>
      <c r="C90" s="15"/>
      <c r="D90" s="87" t="str">
        <f>IF(ISNUMBER('Step 3 (MTP) - Plan and prior'!D75),'Step 3 (MTP) - Plan and prior'!D75,"")</f>
        <v/>
      </c>
      <c r="E90" s="87" t="str">
        <f>IF(ISNUMBER('Step 3 (MTP) - Plan and prior'!E75),'Step 3 (MTP) - Plan and prior'!E75,"")</f>
        <v/>
      </c>
      <c r="F90" s="87" t="str">
        <f>IF(ISNUMBER('Step 3 (MTP) - Plan and prior'!F75),'Step 3 (MTP) - Plan and prior'!F75,"")</f>
        <v/>
      </c>
      <c r="G90" s="87" t="str">
        <f>IF(ISNUMBER('Step 3 (MTP) - Plan and prior'!G75),'Step 3 (MTP) - Plan and prior'!G75,"")</f>
        <v/>
      </c>
      <c r="H90" s="87" t="str">
        <f>IF(ISNUMBER('Step 3 (MTP) - Plan and prior'!H75),'Step 3 (MTP) - Plan and prior'!H75,"")</f>
        <v/>
      </c>
      <c r="I90" s="87" t="str">
        <f>IF(ISNUMBER('Step 3 (MTP) - Plan and prior'!I75),'Step 3 (MTP) - Plan and prior'!I75,"")</f>
        <v/>
      </c>
      <c r="J90" s="87" t="str">
        <f>IF(ISNUMBER('Step 3 (MTP) - Plan and prior'!J75),'Step 3 (MTP) - Plan and prior'!J75,"")</f>
        <v/>
      </c>
      <c r="K90" s="87" t="str">
        <f>IF(ISNUMBER('Step 3 (MTP) - Plan and prior'!K75),'Step 3 (MTP) - Plan and prior'!K75,"")</f>
        <v/>
      </c>
      <c r="L90" s="87" t="str">
        <f>IF(ISNUMBER('Step 3 (MTP) - Plan and prior'!L75),'Step 3 (MTP) - Plan and prior'!L75,"")</f>
        <v/>
      </c>
      <c r="M90" s="87" t="str">
        <f>IF(ISNUMBER('Step 3 (MTP) - Plan and prior'!M75),'Step 3 (MTP) - Plan and prior'!M75,"")</f>
        <v/>
      </c>
      <c r="N90" s="87" t="str">
        <f>IF(ISNUMBER('Step 3 (MTP) - Plan and prior'!N75),'Step 3 (MTP) - Plan and prior'!N75,"")</f>
        <v/>
      </c>
      <c r="O90" s="87" t="str">
        <f>IF(ISNUMBER('Step 3 (MTP) - Plan and prior'!O75),'Step 3 (MTP) - Plan and prior'!O75,"")</f>
        <v/>
      </c>
      <c r="P90" s="87" t="str">
        <f>IF(ISNUMBER('Step 3 (MTP) - Plan and prior'!P75),'Step 3 (MTP) - Plan and prior'!P75,"")</f>
        <v/>
      </c>
      <c r="Q90" s="87" t="str">
        <f>IF(ISNUMBER('Step 3 (MTP) - Plan and prior'!Q75),'Step 3 (MTP) - Plan and prior'!Q75,"")</f>
        <v/>
      </c>
      <c r="R90" s="87" t="str">
        <f>IF(ISNUMBER('Step 3 (MTP) - Plan and prior'!R75),'Step 3 (MTP) - Plan and prior'!R75,"")</f>
        <v/>
      </c>
      <c r="S90" s="87" t="str">
        <f>IF(ISNUMBER('Step 3 (MTP) - Plan and prior'!S75),'Step 3 (MTP) - Plan and prior'!S75,"")</f>
        <v/>
      </c>
      <c r="T90" s="87" t="str">
        <f>IF(ISNUMBER('Step 3 (MTP) - Plan and prior'!T75),'Step 3 (MTP) - Plan and prior'!T75,"")</f>
        <v/>
      </c>
      <c r="U90" s="87" t="str">
        <f>IF(ISNUMBER('Step 3 (MTP) - Plan and prior'!U75),'Step 3 (MTP) - Plan and prior'!U75,"")</f>
        <v/>
      </c>
      <c r="V90" s="87" t="str">
        <f>IF(ISNUMBER('Step 3 (MTP) - Plan and prior'!V75),'Step 3 (MTP) - Plan and prior'!V75,"")</f>
        <v/>
      </c>
      <c r="W90" s="87" t="str">
        <f>IF(ISNUMBER('Step 3 (MTP) - Plan and prior'!W75),'Step 3 (MTP) - Plan and prior'!W75,"")</f>
        <v/>
      </c>
      <c r="X90" s="89" t="str">
        <f>IF(ISNUMBER('Step 3 (MTP) - Plan and prior'!X75),'Step 3 (MTP) - Plan and prior'!X75,"")</f>
        <v/>
      </c>
    </row>
    <row r="91" spans="2:35" customFormat="1" x14ac:dyDescent="0.4">
      <c r="B91" s="103" t="s">
        <v>375</v>
      </c>
      <c r="C91" s="20"/>
      <c r="D91" s="87" t="str">
        <f>IF(ISNUMBER('Step 3 (MTP) - Plan and prior'!D76),'Step 3 (MTP) - Plan and prior'!D76,"")</f>
        <v/>
      </c>
      <c r="E91" s="87" t="str">
        <f>IF(ISNUMBER('Step 3 (MTP) - Plan and prior'!E76),'Step 3 (MTP) - Plan and prior'!E76,"")</f>
        <v/>
      </c>
      <c r="F91" s="87" t="str">
        <f>IF(ISNUMBER('Step 3 (MTP) - Plan and prior'!F76),'Step 3 (MTP) - Plan and prior'!F76,"")</f>
        <v/>
      </c>
      <c r="G91" s="87" t="str">
        <f>IF(ISNUMBER('Step 3 (MTP) - Plan and prior'!G76),'Step 3 (MTP) - Plan and prior'!G76,"")</f>
        <v/>
      </c>
      <c r="H91" s="87" t="str">
        <f>IF(ISNUMBER('Step 3 (MTP) - Plan and prior'!H76),'Step 3 (MTP) - Plan and prior'!H76,"")</f>
        <v/>
      </c>
      <c r="I91" s="87" t="str">
        <f>IF(ISNUMBER('Step 3 (MTP) - Plan and prior'!I76),'Step 3 (MTP) - Plan and prior'!I76,"")</f>
        <v/>
      </c>
      <c r="J91" s="87" t="str">
        <f>IF(ISNUMBER('Step 3 (MTP) - Plan and prior'!J76),'Step 3 (MTP) - Plan and prior'!J76,"")</f>
        <v/>
      </c>
      <c r="K91" s="87" t="str">
        <f>IF(ISNUMBER('Step 3 (MTP) - Plan and prior'!K76),'Step 3 (MTP) - Plan and prior'!K76,"")</f>
        <v/>
      </c>
      <c r="L91" s="87" t="str">
        <f>IF(ISNUMBER('Step 3 (MTP) - Plan and prior'!L76),'Step 3 (MTP) - Plan and prior'!L76,"")</f>
        <v/>
      </c>
      <c r="M91" s="87" t="str">
        <f>IF(ISNUMBER('Step 3 (MTP) - Plan and prior'!M76),'Step 3 (MTP) - Plan and prior'!M76,"")</f>
        <v/>
      </c>
      <c r="N91" s="87" t="str">
        <f>IF(ISNUMBER('Step 3 (MTP) - Plan and prior'!N76),'Step 3 (MTP) - Plan and prior'!N76,"")</f>
        <v/>
      </c>
      <c r="O91" s="87" t="str">
        <f>IF(ISNUMBER('Step 3 (MTP) - Plan and prior'!O76),'Step 3 (MTP) - Plan and prior'!O76,"")</f>
        <v/>
      </c>
      <c r="P91" s="87" t="str">
        <f>IF(ISNUMBER('Step 3 (MTP) - Plan and prior'!P76),'Step 3 (MTP) - Plan and prior'!P76,"")</f>
        <v/>
      </c>
      <c r="Q91" s="87" t="str">
        <f>IF(ISNUMBER('Step 3 (MTP) - Plan and prior'!Q76),'Step 3 (MTP) - Plan and prior'!Q76,"")</f>
        <v/>
      </c>
      <c r="R91" s="87" t="str">
        <f>IF(ISNUMBER('Step 3 (MTP) - Plan and prior'!R76),'Step 3 (MTP) - Plan and prior'!R76,"")</f>
        <v/>
      </c>
      <c r="S91" s="87" t="str">
        <f>IF(ISNUMBER('Step 3 (MTP) - Plan and prior'!S76),'Step 3 (MTP) - Plan and prior'!S76,"")</f>
        <v/>
      </c>
      <c r="T91" s="87" t="str">
        <f>IF(ISNUMBER('Step 3 (MTP) - Plan and prior'!T76),'Step 3 (MTP) - Plan and prior'!T76,"")</f>
        <v/>
      </c>
      <c r="U91" s="87" t="str">
        <f>IF(ISNUMBER('Step 3 (MTP) - Plan and prior'!U76),'Step 3 (MTP) - Plan and prior'!U76,"")</f>
        <v/>
      </c>
      <c r="V91" s="87" t="str">
        <f>IF(ISNUMBER('Step 3 (MTP) - Plan and prior'!V76),'Step 3 (MTP) - Plan and prior'!V76,"")</f>
        <v/>
      </c>
      <c r="W91" s="87" t="str">
        <f>IF(ISNUMBER('Step 3 (MTP) - Plan and prior'!W76),'Step 3 (MTP) - Plan and prior'!W76,"")</f>
        <v/>
      </c>
      <c r="X91" s="89" t="str">
        <f>IF(ISNUMBER('Step 3 (MTP) - Plan and prior'!X76),'Step 3 (MTP) - Plan and prior'!X76,"")</f>
        <v/>
      </c>
    </row>
    <row r="92" spans="2:35" customFormat="1" x14ac:dyDescent="0.4">
      <c r="B92" s="63"/>
      <c r="F92" s="89"/>
      <c r="G92" s="89"/>
      <c r="H92" s="89"/>
      <c r="I92" s="89"/>
      <c r="J92" s="89"/>
      <c r="K92" s="89"/>
      <c r="L92" s="89"/>
      <c r="M92" s="89"/>
      <c r="N92" s="89"/>
      <c r="O92" s="89"/>
      <c r="P92" s="89"/>
      <c r="Q92" s="89"/>
      <c r="R92" s="89"/>
      <c r="S92" s="89"/>
      <c r="T92" s="89"/>
      <c r="U92" s="89"/>
      <c r="V92" s="89"/>
      <c r="W92" s="89"/>
    </row>
    <row r="93" spans="2:35" ht="31.9" x14ac:dyDescent="1">
      <c r="B93" s="96" t="s">
        <v>513</v>
      </c>
    </row>
    <row r="94" spans="2:35" ht="18" x14ac:dyDescent="0.55000000000000004">
      <c r="B94" s="67" t="s">
        <v>525</v>
      </c>
      <c r="D94" s="18"/>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row>
    <row r="95" spans="2:35" ht="15.75" x14ac:dyDescent="0.5">
      <c r="B95" s="99" t="s">
        <v>520</v>
      </c>
      <c r="D95" s="18"/>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row>
    <row r="96" spans="2:35" ht="14.25" x14ac:dyDescent="0.45">
      <c r="B96" t="s">
        <v>524</v>
      </c>
      <c r="C96" s="16" t="b" cm="1">
        <f t="array" ref="C96">IF(OutturnThrough&lt;MTP_YearT,"Not yet assessable", SUMPRODUCT(((4:4&gt;=MTP_YearT)*(4:4&lt;=OutturnThrough)*(34:34&lt;15:15)))=0)</f>
        <v>1</v>
      </c>
      <c r="E96" s="127" t="s">
        <v>522</v>
      </c>
      <c r="J96" s="90"/>
      <c r="K96" s="90"/>
      <c r="L96" s="90"/>
      <c r="M96" s="90"/>
      <c r="N96" s="90"/>
      <c r="O96" s="90"/>
      <c r="P96" s="90"/>
      <c r="Q96" s="90"/>
      <c r="R96" s="90"/>
      <c r="S96" s="90"/>
      <c r="T96" s="90"/>
      <c r="U96" s="90"/>
      <c r="V96" s="90"/>
      <c r="W96" s="90"/>
      <c r="X96" s="90"/>
      <c r="Y96" s="90"/>
      <c r="Z96" s="90"/>
      <c r="AA96" s="90"/>
      <c r="AB96" s="90"/>
      <c r="AC96" s="90" t="s">
        <v>305</v>
      </c>
      <c r="AD96" s="90"/>
      <c r="AE96" s="90"/>
      <c r="AF96" s="90"/>
      <c r="AG96" s="90"/>
      <c r="AH96" s="90"/>
      <c r="AI96" s="90"/>
    </row>
    <row r="97" spans="1:35" ht="14.25" x14ac:dyDescent="0.45">
      <c r="B97" t="s">
        <v>521</v>
      </c>
      <c r="C97" s="16" t="b" cm="1">
        <f t="array" ref="C97">IF(
   AssessmentEnd &lt;= OutturnThrough,
   NA(),
   SUMPRODUCT(
      (4:4 &gt;= OutturnThrough+1) *
      (4:4 &lt;= AssessmentEnd) *
      (34:34 &lt; 15:15)
   ) = 0
)</f>
        <v>0</v>
      </c>
      <c r="E97" s="127" t="s">
        <v>523</v>
      </c>
      <c r="J97" s="90"/>
      <c r="K97" s="90"/>
      <c r="L97" s="90"/>
      <c r="M97" s="90"/>
      <c r="N97" s="90"/>
      <c r="O97" s="90"/>
      <c r="P97" s="90"/>
      <c r="Q97" s="90"/>
      <c r="R97" s="90"/>
      <c r="S97" s="90"/>
      <c r="T97" s="90"/>
      <c r="U97" s="90"/>
      <c r="V97" s="90"/>
      <c r="W97" s="90"/>
      <c r="X97" s="90"/>
      <c r="Y97" s="90"/>
      <c r="Z97" s="90"/>
      <c r="AA97" s="90"/>
      <c r="AB97" s="90"/>
      <c r="AC97" s="90" t="s">
        <v>305</v>
      </c>
      <c r="AD97" s="90"/>
      <c r="AE97" s="90"/>
      <c r="AF97" s="90"/>
      <c r="AG97" s="90"/>
      <c r="AH97" s="90"/>
      <c r="AI97" s="90"/>
    </row>
    <row r="98" spans="1:35" x14ac:dyDescent="0.4">
      <c r="B98" t="s">
        <v>803</v>
      </c>
      <c r="C98" s="16" t="b" cm="1">
        <f t="array" ref="C98">IF(
  SUMPRODUCT(
    (4:4&gt;=MTP_YearT+1)*
    (4:4&lt;=AssessmentEnd)*
    (34:34&lt;15:15)
  )=0,
  "Not applicable (all years adhere to the net expenditure path)",
  SUMPRODUCT(
    (4:4&gt;=MTP_YearT+1)*
    (4:4&lt;=AssessmentEnd)*
    (34:34&lt;15:15)*
    (1-IFERROR(--INDEX('Step 1 - Set global parameters'!$12:$12, MATCH(4:4, 'Step 1 - Set global parameters'!$10:$10, 0)),0))
  )=0
)</f>
        <v>1</v>
      </c>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row>
    <row r="99" spans="1:35" x14ac:dyDescent="0.4">
      <c r="C99" s="16"/>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row>
    <row r="100" spans="1:35" x14ac:dyDescent="0.4">
      <c r="B100" s="15" t="s">
        <v>304</v>
      </c>
      <c r="C100" s="124" t="str" cm="1">
        <f t="array" ref="C100">_xlfn.IFS(
  ISTEXT(C96),
    Country &amp; "'s observed net expenditure cannot yet be assessed against its latest Council-endorsed MTP — no plan year has closed (most recent outturn year is " &amp; OutturnThrough &amp; "; first plan year is " &amp; MTP_YearT+1 &amp; "). " &amp;
    IF(ISNA(C97), "",
      IF(OR(C97=TRUE, C98="Not applicable (all years adhere to the net expenditure path)"),
        "Planned net expenditure to " &amp; AssessmentEnd &amp; " adheres to the net expenditure path in the MTP.",
        "Planned net expenditure to " &amp; AssessmentEnd &amp; " does not adhere to the net expenditure path in the MTP." &amp;
        IF(C98=TRUE,
          " Deviations occur only in years covered by an escape clause.",
          " At least one year of deviation is not covered by an escape clause."
        )
      )
    ),
  C98="Not applicable (all years adhere to the net expenditure path)",
    Country &amp; "'s observed net expenditure to " &amp; OutturnThrough &amp;
      IF(ISNA(C97), "", " and planned net expenditure to " &amp; AssessmentEnd) &amp;
      " adheres to the net expenditure path in its latest Council-endorsed MTP.",
  AND(C96=FALSE, ISNA(C97), C98=TRUE),
    Country &amp; "'s observed net expenditure to " &amp; OutturnThrough &amp;
      " does not adhere to the net expenditure path in its latest Council-endorsed MTP." &amp;
      " Deviations occur only in years covered by an escape clause.",
  AND(C96=FALSE, ISNA(C97), C98=FALSE),
    Country &amp; "'s observed net expenditure to " &amp; OutturnThrough &amp;
      " does not adhere to the net expenditure path in its latest Council-endorsed MTP." &amp;
      " At least one year of deviation is not covered by an escape clause.",
  AND(C96=TRUE, C97=FALSE, C98=TRUE),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AND(C96=TRUE, C97=FALSE, C98=FALSE),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AND(C96=FALSE, C97=TRUE, C98=TRUE),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AND(C96=FALSE, C97=TRUE, C98=FALSE),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AND(C96=FALSE, C97=FALSE, C98=TRUE),
    Country &amp; "'s observed net expenditure to " &amp; OutturnThrough &amp;
      " and planned net expenditure to " &amp; AssessmentEnd &amp;
      " do not adhere to the net expenditure path in its latest Council-endorsed MTP." &amp;
      " Deviations occur only in years covered by an escape clause.",
  AND(C96=FALSE, C97=FALSE, C98=FALSE),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Latvia's observed net expenditure to 2024 adheres to the net expenditure path in its latest Council-endorsed MTP, but planned net expenditure to 2026 does not. Deviations occur only in years covered by an escape clause.</v>
      </c>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row>
    <row r="101" spans="1:35" x14ac:dyDescent="0.4">
      <c r="C101" s="124"/>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row>
    <row r="102" spans="1:35" ht="18" x14ac:dyDescent="0.55000000000000004">
      <c r="B102" s="67" t="s">
        <v>512</v>
      </c>
      <c r="D102" s="18"/>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row>
    <row r="103" spans="1:35" ht="14.25" x14ac:dyDescent="0.45">
      <c r="B103" s="127" t="s">
        <v>735</v>
      </c>
      <c r="D103" s="18"/>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row>
    <row r="104" spans="1:35" x14ac:dyDescent="0.4">
      <c r="B104" s="109"/>
      <c r="C104" s="109"/>
      <c r="D104" s="3" cm="1">
        <f t="array" ref="D104:G104">_xlfn.SEQUENCE(1, AssessmentEnd-MTP_BaseYear+1, MTP_BaseYear)</f>
        <v>2023</v>
      </c>
      <c r="E104" s="3">
        <v>2024</v>
      </c>
      <c r="F104" s="3">
        <v>2025</v>
      </c>
      <c r="G104" s="3">
        <v>2026</v>
      </c>
      <c r="H104" s="3"/>
      <c r="I104" s="3"/>
      <c r="J104"/>
      <c r="K104"/>
      <c r="L104"/>
      <c r="M104"/>
      <c r="N104"/>
      <c r="O104"/>
      <c r="P104"/>
      <c r="Q104"/>
      <c r="R104" s="90"/>
      <c r="S104" s="90"/>
      <c r="T104" s="90"/>
      <c r="U104" s="90"/>
      <c r="V104" s="90"/>
      <c r="W104" s="90"/>
      <c r="X104" s="90"/>
      <c r="Y104" s="90"/>
      <c r="Z104" s="90"/>
      <c r="AA104" s="90"/>
      <c r="AB104" s="90"/>
      <c r="AC104" s="90"/>
      <c r="AD104" s="90"/>
      <c r="AE104" s="90"/>
      <c r="AF104" s="90"/>
      <c r="AG104" s="90"/>
      <c r="AH104" s="90"/>
      <c r="AI104" s="90"/>
    </row>
    <row r="105" spans="1:35" x14ac:dyDescent="0.4">
      <c r="B105" s="7"/>
      <c r="C105" s="7"/>
      <c r="D105" s="3" t="str" cm="1">
        <f t="array" ref="D105:G105">IF(_xlfn.SEQUENCE(1,COLUMNS(_xlfn.ANCHORARRAY(D104)),-1)=-1,"T-1",IF(_xlfn.SEQUENCE(1,COLUMNS(_xlfn.ANCHORARRAY(D104)),-1)=0,"T","T+"&amp;_xlfn.SEQUENCE(1,COLUMNS(_xlfn.ANCHORARRAY(D104)),-1)))</f>
        <v>T-1</v>
      </c>
      <c r="E105" s="3" t="str">
        <v>T</v>
      </c>
      <c r="F105" s="3" t="str">
        <v>T+1</v>
      </c>
      <c r="G105" s="3" t="str">
        <v>T+2</v>
      </c>
      <c r="H105" s="3"/>
      <c r="I105" s="3"/>
      <c r="J105"/>
      <c r="K105"/>
      <c r="L105"/>
      <c r="M105"/>
      <c r="N105"/>
      <c r="O105"/>
      <c r="P105"/>
      <c r="Q105"/>
      <c r="R105" s="90"/>
      <c r="S105" s="90"/>
      <c r="T105" s="90"/>
      <c r="U105" s="90"/>
      <c r="V105" s="90"/>
      <c r="W105" s="90"/>
      <c r="X105" s="90"/>
      <c r="Y105" s="90"/>
      <c r="Z105" s="90"/>
      <c r="AA105" s="90"/>
      <c r="AB105" s="90"/>
      <c r="AC105" s="90"/>
      <c r="AD105" s="90"/>
      <c r="AE105" s="90"/>
      <c r="AF105" s="90"/>
      <c r="AG105" s="90"/>
      <c r="AH105" s="90"/>
      <c r="AI105" s="90"/>
    </row>
    <row r="106" spans="1:35" x14ac:dyDescent="0.4">
      <c r="B106" s="148" t="s">
        <v>715</v>
      </c>
      <c r="C106"/>
      <c r="D106"/>
      <c r="E106"/>
      <c r="F106"/>
      <c r="G106"/>
      <c r="H106"/>
      <c r="I106"/>
      <c r="J106"/>
      <c r="K106"/>
      <c r="L106"/>
      <c r="M106"/>
      <c r="N106"/>
      <c r="O106"/>
      <c r="P106"/>
      <c r="Q106"/>
      <c r="R106" s="90"/>
      <c r="S106" s="90"/>
      <c r="T106" s="90"/>
      <c r="U106" s="90"/>
      <c r="V106" s="90"/>
      <c r="W106" s="90"/>
      <c r="X106" s="90"/>
      <c r="Y106" s="90"/>
      <c r="Z106" s="90"/>
      <c r="AA106" s="90"/>
      <c r="AB106" s="90"/>
      <c r="AC106" s="90"/>
      <c r="AD106" s="90"/>
      <c r="AE106" s="90"/>
      <c r="AF106" s="90"/>
      <c r="AG106" s="90"/>
      <c r="AH106" s="90"/>
      <c r="AI106" s="90"/>
    </row>
    <row r="107" spans="1:35" x14ac:dyDescent="0.4">
      <c r="A107" s="3">
        <v>1</v>
      </c>
      <c r="B107" s="5" t="s">
        <v>303</v>
      </c>
      <c r="C107" t="s">
        <v>6</v>
      </c>
      <c r="D107" s="171">
        <f t="shared" ref="D107:J107" si="2">IF(ISNUMBER(D104),D6,"")</f>
        <v>17.182600000000001</v>
      </c>
      <c r="E107" s="171">
        <f t="shared" si="2"/>
        <v>18.413499999999999</v>
      </c>
      <c r="F107" s="171">
        <f t="shared" si="2"/>
        <v>20.159475570000001</v>
      </c>
      <c r="G107" s="171">
        <f t="shared" si="2"/>
        <v>20.884792280507998</v>
      </c>
      <c r="H107" s="171" t="str">
        <f t="shared" si="2"/>
        <v/>
      </c>
      <c r="I107" s="171" t="str">
        <f t="shared" si="2"/>
        <v/>
      </c>
      <c r="J107" s="171" t="str">
        <f t="shared" si="2"/>
        <v/>
      </c>
      <c r="K107"/>
      <c r="L107"/>
      <c r="M107"/>
      <c r="N107"/>
      <c r="O107"/>
      <c r="P107"/>
      <c r="Q107"/>
      <c r="R107" s="90"/>
      <c r="S107" s="90"/>
      <c r="T107" s="90"/>
      <c r="U107" s="90"/>
      <c r="V107" s="90"/>
      <c r="W107" s="90"/>
      <c r="X107" s="90"/>
      <c r="Y107" s="90"/>
      <c r="Z107" s="90"/>
      <c r="AA107" s="90"/>
      <c r="AB107" s="90"/>
      <c r="AC107" s="90"/>
      <c r="AD107" s="90"/>
      <c r="AE107" s="90"/>
      <c r="AF107" s="90"/>
      <c r="AG107" s="90"/>
      <c r="AH107" s="90"/>
      <c r="AI107" s="90"/>
    </row>
    <row r="108" spans="1:35" x14ac:dyDescent="0.4">
      <c r="A108" s="3">
        <v>2</v>
      </c>
      <c r="B108" s="5" t="s">
        <v>31</v>
      </c>
      <c r="C108" t="s">
        <v>6</v>
      </c>
      <c r="D108" s="171">
        <f t="shared" ref="D108:J108" si="3">IF(ISNUMBER(D104),D7,"")</f>
        <v>0.28689999999999999</v>
      </c>
      <c r="E108" s="171">
        <f t="shared" si="3"/>
        <v>0.44330000000000003</v>
      </c>
      <c r="F108" s="171">
        <f t="shared" si="3"/>
        <v>0.50929201440000005</v>
      </c>
      <c r="G108" s="171">
        <f t="shared" si="3"/>
        <v>0.62210019558959995</v>
      </c>
      <c r="H108" s="171" t="str">
        <f t="shared" si="3"/>
        <v/>
      </c>
      <c r="I108" s="171" t="str">
        <f t="shared" si="3"/>
        <v/>
      </c>
      <c r="J108" t="str">
        <f t="shared" si="3"/>
        <v/>
      </c>
      <c r="K108"/>
      <c r="L108"/>
      <c r="M108"/>
      <c r="N108"/>
      <c r="O108"/>
      <c r="P108"/>
      <c r="Q108"/>
      <c r="R108" s="90"/>
      <c r="S108" s="90"/>
      <c r="T108" s="90"/>
      <c r="U108" s="90"/>
      <c r="V108" s="90"/>
      <c r="W108" s="90"/>
      <c r="X108" s="90"/>
      <c r="Y108" s="90"/>
      <c r="Z108" s="90"/>
      <c r="AA108" s="90"/>
      <c r="AB108" s="90"/>
      <c r="AC108" s="90"/>
      <c r="AD108" s="90"/>
      <c r="AE108" s="90"/>
      <c r="AF108" s="90"/>
      <c r="AG108" s="90"/>
      <c r="AH108" s="90"/>
      <c r="AI108" s="90"/>
    </row>
    <row r="109" spans="1:35" x14ac:dyDescent="0.4">
      <c r="A109" s="3">
        <v>3</v>
      </c>
      <c r="B109" s="5" t="s">
        <v>322</v>
      </c>
      <c r="C109" t="s">
        <v>6</v>
      </c>
      <c r="D109" s="171">
        <f t="shared" ref="D109:J109" si="4">IF(ISNUMBER(D104),D8,"")</f>
        <v>-1.2620000000000001E-3</v>
      </c>
      <c r="E109" s="171">
        <f t="shared" si="4"/>
        <v>4.169E-3</v>
      </c>
      <c r="F109" s="171">
        <f t="shared" si="4"/>
        <v>1.6976400480000001E-2</v>
      </c>
      <c r="G109" s="171">
        <f t="shared" si="4"/>
        <v>8.8871456512799995E-3</v>
      </c>
      <c r="H109" s="171" t="str">
        <f t="shared" si="4"/>
        <v/>
      </c>
      <c r="I109" s="171" t="str">
        <f t="shared" si="4"/>
        <v/>
      </c>
      <c r="J109" s="171" t="str">
        <f t="shared" si="4"/>
        <v/>
      </c>
      <c r="K109"/>
      <c r="L109"/>
      <c r="M109"/>
      <c r="N109"/>
      <c r="O109"/>
      <c r="P109"/>
      <c r="Q109"/>
      <c r="R109" s="90"/>
      <c r="S109" s="90"/>
      <c r="T109" s="90"/>
      <c r="U109" s="90"/>
      <c r="V109" s="90"/>
      <c r="W109" s="90"/>
      <c r="X109" s="90"/>
      <c r="Y109" s="90"/>
      <c r="Z109" s="90"/>
      <c r="AA109" s="90"/>
      <c r="AB109" s="90"/>
      <c r="AC109" s="90"/>
      <c r="AD109" s="90"/>
      <c r="AE109" s="90"/>
      <c r="AF109" s="90"/>
      <c r="AG109" s="90"/>
      <c r="AH109" s="90"/>
      <c r="AI109" s="90"/>
    </row>
    <row r="110" spans="1:35" x14ac:dyDescent="0.4">
      <c r="A110" s="3">
        <v>4</v>
      </c>
      <c r="B110" s="5" t="s">
        <v>716</v>
      </c>
      <c r="C110" t="s">
        <v>6</v>
      </c>
      <c r="D110" s="171">
        <f t="shared" ref="D110:J110" si="5">IF(ISNUMBER(D104),D9,"")</f>
        <v>0.73429999999999995</v>
      </c>
      <c r="E110" s="171">
        <f t="shared" si="5"/>
        <v>0.75549999999999995</v>
      </c>
      <c r="F110" s="171">
        <f t="shared" si="5"/>
        <v>1.1034660312000002</v>
      </c>
      <c r="G110" s="171">
        <f t="shared" si="5"/>
        <v>0.88871456512799996</v>
      </c>
      <c r="H110" s="171" t="str">
        <f t="shared" si="5"/>
        <v/>
      </c>
      <c r="I110" s="171" t="str">
        <f t="shared" si="5"/>
        <v/>
      </c>
      <c r="J110" t="str">
        <f t="shared" si="5"/>
        <v/>
      </c>
      <c r="K110"/>
      <c r="L110"/>
      <c r="M110"/>
      <c r="N110"/>
      <c r="O110"/>
      <c r="P110"/>
      <c r="Q110"/>
      <c r="R110" s="90"/>
      <c r="S110" s="90"/>
      <c r="T110" s="90"/>
      <c r="U110" s="90"/>
      <c r="V110" s="90"/>
      <c r="W110" s="90"/>
      <c r="X110" s="90"/>
      <c r="Y110" s="90"/>
      <c r="Z110" s="90"/>
      <c r="AA110" s="90"/>
      <c r="AB110" s="90"/>
      <c r="AC110" s="90"/>
      <c r="AD110" s="90"/>
      <c r="AE110" s="90"/>
      <c r="AF110" s="90"/>
      <c r="AG110" s="90"/>
      <c r="AH110" s="90"/>
      <c r="AI110" s="90"/>
    </row>
    <row r="111" spans="1:35" x14ac:dyDescent="0.4">
      <c r="A111" s="3">
        <v>5</v>
      </c>
      <c r="B111" s="5" t="s">
        <v>324</v>
      </c>
      <c r="C111" t="s">
        <v>6</v>
      </c>
      <c r="D111" s="171">
        <f t="shared" ref="D111:J111" si="6">IF(ISNUMBER(D104),D10,"")</f>
        <v>0.15825</v>
      </c>
      <c r="E111" s="171">
        <f t="shared" si="6"/>
        <v>0.13764999999999999</v>
      </c>
      <c r="F111" s="171">
        <f t="shared" si="6"/>
        <v>0.21220500600000003</v>
      </c>
      <c r="G111" s="171">
        <f t="shared" si="6"/>
        <v>0.1333071847692</v>
      </c>
      <c r="H111" s="171" t="str">
        <f t="shared" si="6"/>
        <v/>
      </c>
      <c r="I111" s="171" t="str">
        <f t="shared" si="6"/>
        <v/>
      </c>
      <c r="J111" s="171" t="str">
        <f t="shared" si="6"/>
        <v/>
      </c>
      <c r="K111"/>
      <c r="L111"/>
      <c r="M111"/>
      <c r="N111"/>
      <c r="O111"/>
      <c r="P111"/>
      <c r="Q111"/>
      <c r="R111" s="90"/>
      <c r="S111" s="90"/>
      <c r="T111" s="90"/>
      <c r="U111" s="90"/>
      <c r="V111" s="90"/>
      <c r="W111" s="90"/>
      <c r="X111" s="90"/>
      <c r="Y111" s="90"/>
      <c r="Z111" s="90"/>
      <c r="AA111" s="90"/>
      <c r="AB111" s="90"/>
      <c r="AC111" s="90"/>
      <c r="AD111" s="90"/>
      <c r="AE111" s="90"/>
      <c r="AF111" s="90"/>
      <c r="AG111" s="90"/>
      <c r="AH111" s="90"/>
      <c r="AI111" s="90"/>
    </row>
    <row r="112" spans="1:35" x14ac:dyDescent="0.4">
      <c r="A112" s="3">
        <v>6</v>
      </c>
      <c r="B112" s="5" t="s">
        <v>717</v>
      </c>
      <c r="C112" t="s">
        <v>6</v>
      </c>
      <c r="D112" s="171">
        <f t="shared" ref="D112:J112" si="7">IF(ISNUMBER(D104),D11,"")</f>
        <v>0</v>
      </c>
      <c r="E112" s="171">
        <f t="shared" si="7"/>
        <v>0</v>
      </c>
      <c r="F112" s="171">
        <f t="shared" si="7"/>
        <v>0</v>
      </c>
      <c r="G112" s="171">
        <f t="shared" si="7"/>
        <v>0</v>
      </c>
      <c r="H112" s="171" t="str">
        <f t="shared" si="7"/>
        <v/>
      </c>
      <c r="I112" s="171" t="str">
        <f t="shared" si="7"/>
        <v/>
      </c>
      <c r="J112" t="str">
        <f t="shared" si="7"/>
        <v/>
      </c>
      <c r="K112"/>
      <c r="L112"/>
      <c r="M112"/>
      <c r="N112"/>
      <c r="O112"/>
      <c r="P112"/>
      <c r="Q112"/>
      <c r="R112" s="90"/>
      <c r="S112" s="90"/>
      <c r="T112" s="90"/>
      <c r="U112" s="90"/>
      <c r="V112" s="90"/>
      <c r="W112" s="90"/>
      <c r="X112" s="90"/>
      <c r="Y112" s="90"/>
      <c r="Z112" s="90"/>
      <c r="AA112" s="90"/>
      <c r="AB112" s="90"/>
      <c r="AC112" s="90"/>
      <c r="AD112" s="90"/>
      <c r="AE112" s="90"/>
      <c r="AF112" s="90"/>
      <c r="AG112" s="90"/>
      <c r="AH112" s="90"/>
      <c r="AI112" s="90"/>
    </row>
    <row r="113" spans="1:35" x14ac:dyDescent="0.4">
      <c r="A113" s="3">
        <v>7</v>
      </c>
      <c r="B113" s="5" t="s">
        <v>718</v>
      </c>
      <c r="C113" t="s">
        <v>6</v>
      </c>
      <c r="D113" s="171">
        <f t="shared" ref="D113:J113" si="8">IF(ISNUMBER(D104),D12,"")</f>
        <v>16.004412000000006</v>
      </c>
      <c r="E113" s="171">
        <f t="shared" si="8"/>
        <v>17.072880999999999</v>
      </c>
      <c r="F113" s="171">
        <f t="shared" si="8"/>
        <v>18.334512518400004</v>
      </c>
      <c r="G113" s="171">
        <f t="shared" si="8"/>
        <v>19.196234606764801</v>
      </c>
      <c r="H113" s="171" t="str">
        <f t="shared" si="8"/>
        <v/>
      </c>
      <c r="I113" s="171" t="str">
        <f t="shared" si="8"/>
        <v/>
      </c>
      <c r="J113" t="str">
        <f t="shared" si="8"/>
        <v/>
      </c>
      <c r="K113"/>
      <c r="L113"/>
      <c r="M113"/>
      <c r="N113"/>
      <c r="O113"/>
      <c r="P113"/>
      <c r="Q113"/>
      <c r="R113" s="90"/>
      <c r="S113" s="90"/>
      <c r="T113" s="90"/>
      <c r="U113" s="90"/>
      <c r="V113" s="90"/>
      <c r="W113" s="90"/>
      <c r="X113" s="90"/>
      <c r="Y113" s="90"/>
      <c r="Z113" s="90"/>
      <c r="AA113" s="90"/>
      <c r="AB113" s="90"/>
      <c r="AC113" s="90"/>
      <c r="AD113" s="90"/>
      <c r="AE113" s="90"/>
      <c r="AF113" s="90"/>
      <c r="AG113" s="90"/>
      <c r="AH113" s="90"/>
      <c r="AI113" s="90"/>
    </row>
    <row r="114" spans="1:35" x14ac:dyDescent="0.4">
      <c r="A114" s="3">
        <v>8</v>
      </c>
      <c r="B114" s="5" t="s">
        <v>719</v>
      </c>
      <c r="C114" t="s">
        <v>6</v>
      </c>
      <c r="E114" s="112">
        <f>IF(ISNUMBER(E104),E113-D113,"")</f>
        <v>1.0684689999999932</v>
      </c>
      <c r="F114" s="112">
        <f t="shared" ref="F114:J114" si="9">IF(ISNUMBER(F104),F113-E113,"")</f>
        <v>1.2616315184000051</v>
      </c>
      <c r="G114" s="112">
        <f t="shared" si="9"/>
        <v>0.86172208836479669</v>
      </c>
      <c r="H114" s="112" t="str">
        <f t="shared" si="9"/>
        <v/>
      </c>
      <c r="I114" s="112" t="str">
        <f t="shared" si="9"/>
        <v/>
      </c>
      <c r="J114" s="112" t="str">
        <f t="shared" si="9"/>
        <v/>
      </c>
      <c r="K114" s="112"/>
      <c r="L114" s="112"/>
      <c r="M114"/>
      <c r="N114"/>
      <c r="O114"/>
      <c r="P114"/>
      <c r="Q114"/>
      <c r="R114" s="90"/>
      <c r="S114" s="90"/>
      <c r="T114" s="90"/>
      <c r="U114" s="90"/>
      <c r="V114" s="90"/>
      <c r="W114" s="90"/>
      <c r="X114" s="90"/>
      <c r="Y114" s="90"/>
      <c r="Z114" s="90"/>
      <c r="AA114" s="90"/>
      <c r="AB114" s="90"/>
      <c r="AC114" s="90"/>
      <c r="AD114" s="90"/>
      <c r="AE114" s="90"/>
      <c r="AF114" s="90"/>
      <c r="AG114" s="90"/>
      <c r="AH114" s="90"/>
      <c r="AI114" s="90"/>
    </row>
    <row r="115" spans="1:35" x14ac:dyDescent="0.4">
      <c r="A115" s="3">
        <v>9</v>
      </c>
      <c r="B115" s="5" t="s">
        <v>720</v>
      </c>
      <c r="C115" t="s">
        <v>6</v>
      </c>
      <c r="D115" s="171">
        <f t="shared" ref="D115:J115" si="10">IF(ISNUMBER(D104),D13,"")</f>
        <v>0</v>
      </c>
      <c r="E115" s="171">
        <f t="shared" si="10"/>
        <v>0.273808</v>
      </c>
      <c r="F115" s="171">
        <f t="shared" si="10"/>
        <v>8.4882002400000003E-2</v>
      </c>
      <c r="G115" s="171">
        <f t="shared" si="10"/>
        <v>-4.4435728256399999E-2</v>
      </c>
      <c r="H115" s="171" t="str">
        <f t="shared" si="10"/>
        <v/>
      </c>
      <c r="I115" s="171" t="str">
        <f t="shared" si="10"/>
        <v/>
      </c>
      <c r="J115" s="171" t="str">
        <f t="shared" si="10"/>
        <v/>
      </c>
      <c r="K115"/>
      <c r="L115"/>
      <c r="M115"/>
      <c r="N115"/>
      <c r="O115"/>
      <c r="P115"/>
      <c r="Q115"/>
      <c r="R115" s="90"/>
      <c r="S115" s="90"/>
      <c r="T115" s="90"/>
      <c r="U115" s="90"/>
      <c r="V115" s="90"/>
      <c r="W115" s="90"/>
      <c r="X115" s="90"/>
      <c r="Y115" s="90"/>
      <c r="Z115" s="90"/>
      <c r="AA115" s="90"/>
      <c r="AB115" s="90"/>
      <c r="AC115" s="90"/>
      <c r="AD115" s="90"/>
      <c r="AE115" s="90"/>
      <c r="AF115" s="90"/>
      <c r="AG115" s="90"/>
      <c r="AH115" s="90"/>
      <c r="AI115" s="90"/>
    </row>
    <row r="116" spans="1:35" x14ac:dyDescent="0.4">
      <c r="A116" s="3">
        <v>10</v>
      </c>
      <c r="B116" s="5" t="s">
        <v>721</v>
      </c>
      <c r="C116" t="s">
        <v>6</v>
      </c>
      <c r="D116" s="171"/>
      <c r="E116" s="171">
        <f>IF(ISNUMBER(E104),E114-E115,"")</f>
        <v>0.79466099999999318</v>
      </c>
      <c r="F116" s="171">
        <f t="shared" ref="F116:J116" si="11">IF(ISNUMBER(F104),F114-F115,"")</f>
        <v>1.176749516000005</v>
      </c>
      <c r="G116" s="171">
        <f t="shared" si="11"/>
        <v>0.90615781662119665</v>
      </c>
      <c r="H116" s="171" t="str">
        <f t="shared" si="11"/>
        <v/>
      </c>
      <c r="I116" s="171" t="str">
        <f t="shared" si="11"/>
        <v/>
      </c>
      <c r="J116" s="171" t="str">
        <f t="shared" si="11"/>
        <v/>
      </c>
      <c r="K116"/>
      <c r="L116"/>
      <c r="M116"/>
      <c r="N116"/>
      <c r="O116"/>
      <c r="P116"/>
      <c r="Q116"/>
      <c r="R116" s="90"/>
      <c r="S116" s="90"/>
      <c r="T116" s="90"/>
      <c r="U116" s="90"/>
      <c r="V116" s="90"/>
      <c r="W116" s="90"/>
      <c r="X116" s="90"/>
      <c r="Y116" s="90"/>
      <c r="Z116" s="90"/>
      <c r="AA116" s="90"/>
      <c r="AB116" s="90"/>
      <c r="AC116" s="90"/>
      <c r="AD116" s="90"/>
      <c r="AE116" s="90"/>
      <c r="AF116" s="90"/>
      <c r="AG116" s="90"/>
      <c r="AH116" s="90"/>
      <c r="AI116" s="90"/>
    </row>
    <row r="117" spans="1:35" x14ac:dyDescent="0.4">
      <c r="A117" s="3"/>
      <c r="B117" s="148" t="s">
        <v>691</v>
      </c>
      <c r="C117"/>
      <c r="D117" s="171"/>
      <c r="E117" s="171"/>
      <c r="F117" s="171"/>
      <c r="G117" s="171"/>
      <c r="H117" s="171"/>
      <c r="I117" s="171"/>
      <c r="J117"/>
      <c r="K117"/>
      <c r="L117"/>
      <c r="M117"/>
      <c r="N117"/>
      <c r="O117"/>
      <c r="P117"/>
      <c r="Q117"/>
      <c r="R117" s="90"/>
      <c r="S117" s="90"/>
      <c r="T117" s="90"/>
      <c r="U117" s="90"/>
      <c r="V117" s="90"/>
      <c r="W117" s="90"/>
      <c r="X117" s="90"/>
      <c r="Y117" s="90"/>
      <c r="Z117" s="90"/>
      <c r="AA117" s="90"/>
      <c r="AB117" s="90"/>
      <c r="AC117" s="90"/>
      <c r="AD117" s="90"/>
      <c r="AE117" s="90"/>
      <c r="AF117" s="90"/>
      <c r="AG117" s="90"/>
      <c r="AH117" s="90"/>
      <c r="AI117" s="90"/>
    </row>
    <row r="118" spans="1:35" x14ac:dyDescent="0.4">
      <c r="A118" s="3">
        <v>11</v>
      </c>
      <c r="B118" s="5" t="s">
        <v>727</v>
      </c>
      <c r="C118" t="s">
        <v>692</v>
      </c>
      <c r="D118" s="171"/>
      <c r="E118" s="171">
        <f>IF(ISNUMBER(E104),E116/D113*100,"")</f>
        <v>4.9652620789816764</v>
      </c>
      <c r="F118" s="171">
        <f t="shared" ref="F118:J118" si="12">IF(ISNUMBER(F104),F116/E113*100,"")</f>
        <v>6.8925069881293322</v>
      </c>
      <c r="G118" s="171">
        <f t="shared" si="12"/>
        <v>4.9423611111110919</v>
      </c>
      <c r="H118" s="171" t="str">
        <f t="shared" si="12"/>
        <v/>
      </c>
      <c r="I118" s="171" t="str">
        <f t="shared" si="12"/>
        <v/>
      </c>
      <c r="J118" s="171" t="str">
        <f t="shared" si="12"/>
        <v/>
      </c>
      <c r="K118"/>
      <c r="L118"/>
      <c r="M118"/>
      <c r="N118"/>
      <c r="O118"/>
      <c r="P118"/>
      <c r="Q118"/>
      <c r="R118" s="90"/>
      <c r="S118" s="90"/>
      <c r="T118" s="90"/>
      <c r="U118" s="90"/>
      <c r="V118" s="90"/>
      <c r="W118" s="90"/>
      <c r="X118" s="90"/>
      <c r="Y118" s="90"/>
      <c r="Z118" s="90"/>
      <c r="AA118" s="90"/>
      <c r="AB118" s="90"/>
      <c r="AC118" s="90"/>
      <c r="AD118" s="90"/>
      <c r="AE118" s="90"/>
      <c r="AF118" s="90"/>
      <c r="AG118" s="90"/>
      <c r="AH118" s="90"/>
      <c r="AI118" s="90"/>
    </row>
    <row r="119" spans="1:35" x14ac:dyDescent="0.4">
      <c r="A119" s="3">
        <v>12</v>
      </c>
      <c r="B119" s="5" t="s">
        <v>722</v>
      </c>
      <c r="C119" t="s">
        <v>692</v>
      </c>
      <c r="D119" s="171"/>
      <c r="E119" s="171">
        <f t="shared" ref="E119:J119" si="13">IF(ISNUMBER(E104),E34,"")</f>
        <v>9.1</v>
      </c>
      <c r="F119" s="171">
        <f t="shared" si="13"/>
        <v>5.9</v>
      </c>
      <c r="G119" s="171">
        <f t="shared" si="13"/>
        <v>3.6</v>
      </c>
      <c r="H119" s="171" t="str">
        <f t="shared" si="13"/>
        <v/>
      </c>
      <c r="I119" s="171" t="str">
        <f t="shared" si="13"/>
        <v/>
      </c>
      <c r="J119" s="171" t="str">
        <f t="shared" si="13"/>
        <v/>
      </c>
      <c r="K119"/>
      <c r="L119"/>
      <c r="M119"/>
      <c r="N119"/>
      <c r="O119"/>
      <c r="P119"/>
      <c r="Q119"/>
      <c r="R119" s="90"/>
      <c r="S119" s="90"/>
      <c r="T119" s="90"/>
      <c r="U119" s="90"/>
      <c r="V119" s="90"/>
      <c r="W119" s="90"/>
      <c r="X119" s="90"/>
      <c r="Y119" s="90"/>
      <c r="Z119" s="90"/>
      <c r="AA119" s="90"/>
      <c r="AB119" s="90"/>
      <c r="AC119" s="90"/>
      <c r="AD119" s="90"/>
      <c r="AE119" s="90"/>
      <c r="AF119" s="90"/>
      <c r="AG119" s="90"/>
      <c r="AH119" s="90"/>
      <c r="AI119" s="90"/>
    </row>
    <row r="120" spans="1:35" x14ac:dyDescent="0.4">
      <c r="A120" s="3">
        <v>13</v>
      </c>
      <c r="B120" s="5" t="s">
        <v>723</v>
      </c>
      <c r="C120" t="s">
        <v>6</v>
      </c>
      <c r="D120" s="171"/>
      <c r="E120" s="171">
        <f>IF(ISNUMBER(E104),((E118-E119)/100)*D113,"")</f>
        <v>-0.66174049200000729</v>
      </c>
      <c r="F120" s="171">
        <f t="shared" ref="F120:J120" si="14">IF(ISNUMBER(F104),((F118-F119)/100)*E113,"")</f>
        <v>0.16944953700000492</v>
      </c>
      <c r="G120" s="171">
        <f t="shared" si="14"/>
        <v>0.24611536595879652</v>
      </c>
      <c r="H120" s="171" t="str">
        <f t="shared" si="14"/>
        <v/>
      </c>
      <c r="I120" s="171" t="str">
        <f t="shared" si="14"/>
        <v/>
      </c>
      <c r="J120" s="171" t="str">
        <f t="shared" si="14"/>
        <v/>
      </c>
      <c r="K120"/>
      <c r="L120"/>
      <c r="M120"/>
      <c r="N120"/>
      <c r="O120"/>
      <c r="P120"/>
      <c r="Q120"/>
      <c r="R120" s="90"/>
      <c r="S120" s="90"/>
      <c r="T120" s="90"/>
      <c r="U120" s="90"/>
      <c r="V120" s="90"/>
      <c r="W120" s="90"/>
      <c r="X120" s="90"/>
      <c r="Y120" s="90"/>
      <c r="Z120" s="90"/>
      <c r="AA120" s="90"/>
      <c r="AB120" s="90"/>
      <c r="AC120" s="90"/>
      <c r="AD120" s="90"/>
      <c r="AE120" s="90"/>
      <c r="AF120" s="90"/>
      <c r="AG120" s="90"/>
      <c r="AH120" s="90"/>
      <c r="AI120" s="90"/>
    </row>
    <row r="121" spans="1:35" x14ac:dyDescent="0.4">
      <c r="A121" s="3">
        <v>14</v>
      </c>
      <c r="B121" s="170" t="s">
        <v>724</v>
      </c>
      <c r="C121" s="7" t="s">
        <v>6</v>
      </c>
      <c r="D121" s="171"/>
      <c r="E121" s="171">
        <f>IF(ISNUMBER(E104),E120+IF(ISNUMBER(D104),D121,0),"")</f>
        <v>-0.66174049200000729</v>
      </c>
      <c r="F121" s="171">
        <f t="shared" ref="F121:J121" si="15">IF(ISNUMBER(F104),F120+IF(ISNUMBER(E104),E121,0),"")</f>
        <v>-0.49229095500000236</v>
      </c>
      <c r="G121" s="171">
        <f t="shared" si="15"/>
        <v>-0.24617558904120584</v>
      </c>
      <c r="H121" s="171" t="str">
        <f t="shared" si="15"/>
        <v/>
      </c>
      <c r="I121" s="171" t="str">
        <f t="shared" si="15"/>
        <v/>
      </c>
      <c r="J121" s="171" t="str">
        <f t="shared" si="15"/>
        <v/>
      </c>
      <c r="K121"/>
      <c r="L121"/>
      <c r="M121"/>
      <c r="N121"/>
      <c r="O121"/>
      <c r="P121"/>
      <c r="Q121"/>
      <c r="R121" s="90"/>
      <c r="S121" s="90"/>
      <c r="T121" s="90"/>
      <c r="U121" s="90"/>
      <c r="V121" s="90"/>
      <c r="W121" s="90"/>
      <c r="X121" s="90"/>
      <c r="Y121" s="90"/>
      <c r="Z121" s="90"/>
      <c r="AA121" s="90"/>
      <c r="AB121" s="90"/>
      <c r="AC121" s="90"/>
      <c r="AD121" s="90"/>
      <c r="AE121" s="90"/>
      <c r="AF121" s="90"/>
      <c r="AG121" s="90"/>
      <c r="AH121" s="90"/>
      <c r="AI121" s="90"/>
    </row>
    <row r="122" spans="1:35" x14ac:dyDescent="0.4">
      <c r="A122" s="3">
        <v>15</v>
      </c>
      <c r="B122" s="5" t="s">
        <v>9</v>
      </c>
      <c r="C122" t="s">
        <v>6</v>
      </c>
      <c r="D122" s="9">
        <f t="shared" ref="D122:J122" si="16">IF(ISNUMBER(D104),D27,"")</f>
        <v>39.5642</v>
      </c>
      <c r="E122" s="9">
        <f t="shared" si="16"/>
        <v>40.652300000000004</v>
      </c>
      <c r="F122" s="9">
        <f t="shared" si="16"/>
        <v>42.441001200000002</v>
      </c>
      <c r="G122" s="9">
        <f t="shared" si="16"/>
        <v>44.435728256399997</v>
      </c>
      <c r="H122" s="9" t="str">
        <f t="shared" si="16"/>
        <v/>
      </c>
      <c r="I122" s="9" t="str">
        <f t="shared" si="16"/>
        <v/>
      </c>
      <c r="J122" s="9" t="str">
        <f t="shared" si="16"/>
        <v/>
      </c>
      <c r="K122" s="9"/>
      <c r="L122" s="9"/>
      <c r="M122" s="9"/>
      <c r="N122"/>
      <c r="O122"/>
      <c r="P122"/>
      <c r="Q122"/>
      <c r="R122" s="90"/>
      <c r="S122" s="90"/>
      <c r="T122" s="90"/>
      <c r="U122" s="90"/>
      <c r="V122" s="90"/>
      <c r="W122" s="90"/>
      <c r="X122" s="90"/>
      <c r="Y122" s="90"/>
      <c r="Z122" s="90"/>
      <c r="AA122" s="90"/>
      <c r="AB122" s="90"/>
      <c r="AC122" s="90"/>
      <c r="AD122" s="90"/>
      <c r="AE122" s="90"/>
      <c r="AF122" s="90"/>
      <c r="AG122" s="90"/>
      <c r="AH122" s="90"/>
      <c r="AI122" s="90"/>
    </row>
    <row r="123" spans="1:35" ht="21.4" customHeight="1" x14ac:dyDescent="0.4">
      <c r="B123" s="7" t="s">
        <v>736</v>
      </c>
      <c r="C123" s="20"/>
      <c r="D123" s="3"/>
      <c r="E123" s="3"/>
      <c r="F123" s="3"/>
      <c r="G123" s="3"/>
      <c r="H123" s="3"/>
      <c r="I123" s="3"/>
      <c r="J123"/>
      <c r="K123"/>
      <c r="L123"/>
      <c r="M123"/>
      <c r="N123"/>
      <c r="O123"/>
      <c r="P123"/>
      <c r="Q123"/>
      <c r="R123" s="90"/>
      <c r="S123" s="90"/>
      <c r="T123" s="90"/>
      <c r="U123" s="90"/>
      <c r="V123" s="90"/>
      <c r="W123" s="90"/>
      <c r="X123" s="90"/>
      <c r="Y123" s="90"/>
      <c r="Z123" s="90"/>
      <c r="AA123" s="90"/>
      <c r="AB123" s="90"/>
      <c r="AC123" s="90"/>
      <c r="AD123" s="90"/>
      <c r="AE123" s="90"/>
      <c r="AF123" s="90"/>
      <c r="AG123" s="90"/>
      <c r="AH123" s="90"/>
      <c r="AI123" s="90"/>
    </row>
    <row r="124" spans="1:35" x14ac:dyDescent="0.4">
      <c r="A124" s="3">
        <v>16</v>
      </c>
      <c r="B124" s="5" t="s">
        <v>693</v>
      </c>
      <c r="C124" t="s">
        <v>694</v>
      </c>
      <c r="D124"/>
      <c r="E124" s="4">
        <f>IF(ISNUMBER(E104),E120/E$122*100,"")</f>
        <v>-1.6278057871264535</v>
      </c>
      <c r="F124" s="4">
        <f t="shared" ref="F124:J124" si="17">IF(ISNUMBER(F104),F120/F$122*100,"")</f>
        <v>0.39925904716876687</v>
      </c>
      <c r="G124" s="4">
        <f t="shared" si="17"/>
        <v>0.55386819484239902</v>
      </c>
      <c r="H124" s="4" t="str">
        <f t="shared" si="17"/>
        <v/>
      </c>
      <c r="I124" s="4" t="str">
        <f t="shared" si="17"/>
        <v/>
      </c>
      <c r="J124" s="4" t="str">
        <f t="shared" si="17"/>
        <v/>
      </c>
      <c r="K124"/>
      <c r="L124"/>
      <c r="M124"/>
      <c r="N124"/>
      <c r="O124"/>
      <c r="P124"/>
      <c r="Q124"/>
      <c r="R124" s="90"/>
      <c r="S124" s="90"/>
      <c r="T124" s="90"/>
      <c r="U124" s="90"/>
      <c r="V124" s="90"/>
      <c r="W124" s="90"/>
      <c r="X124" s="90"/>
      <c r="Y124" s="90"/>
      <c r="Z124" s="90"/>
      <c r="AA124" s="90"/>
      <c r="AB124" s="90"/>
      <c r="AC124" s="90"/>
      <c r="AD124" s="90"/>
      <c r="AE124" s="90"/>
      <c r="AF124" s="90"/>
      <c r="AG124" s="90"/>
      <c r="AH124" s="90"/>
      <c r="AI124" s="90"/>
    </row>
    <row r="125" spans="1:35" x14ac:dyDescent="0.4">
      <c r="A125" s="3">
        <v>17</v>
      </c>
      <c r="B125" s="5" t="s">
        <v>725</v>
      </c>
      <c r="C125" t="s">
        <v>694</v>
      </c>
      <c r="D125"/>
      <c r="E125" s="4">
        <f>IF(ISNUMBER(E104),E121/E$122*100,"")</f>
        <v>-1.6278057871264535</v>
      </c>
      <c r="F125" s="4">
        <f t="shared" ref="F125:J125" si="18">IF(ISNUMBER(F104),F121/F$122*100,"")</f>
        <v>-1.1599418983546561</v>
      </c>
      <c r="G125" s="4">
        <f t="shared" si="18"/>
        <v>-0.55400372335689052</v>
      </c>
      <c r="H125" s="4" t="str">
        <f t="shared" si="18"/>
        <v/>
      </c>
      <c r="I125" s="4" t="str">
        <f t="shared" si="18"/>
        <v/>
      </c>
      <c r="J125" s="4" t="str">
        <f t="shared" si="18"/>
        <v/>
      </c>
      <c r="K125"/>
      <c r="L125"/>
      <c r="M125"/>
      <c r="N125"/>
      <c r="O125"/>
      <c r="P125"/>
      <c r="Q125"/>
      <c r="R125" s="90"/>
      <c r="S125" s="90"/>
      <c r="T125" s="90"/>
      <c r="U125" s="90"/>
      <c r="V125" s="90"/>
      <c r="W125" s="90"/>
      <c r="X125" s="90"/>
      <c r="Y125" s="90"/>
      <c r="Z125" s="90"/>
      <c r="AA125" s="90"/>
      <c r="AB125" s="90"/>
      <c r="AC125" s="90"/>
      <c r="AD125" s="90"/>
      <c r="AE125" s="90"/>
      <c r="AF125" s="90"/>
      <c r="AG125" s="90"/>
      <c r="AH125" s="90"/>
      <c r="AI125" s="90"/>
    </row>
    <row r="126" spans="1:35" ht="20.85" customHeight="1" x14ac:dyDescent="0.4">
      <c r="A126" s="3"/>
      <c r="B126" s="7" t="s">
        <v>798</v>
      </c>
      <c r="C126" s="20"/>
      <c r="D126" s="3"/>
      <c r="E126" s="3"/>
      <c r="F126" s="3"/>
      <c r="G126" s="3"/>
      <c r="H126" s="3"/>
      <c r="I126" s="3"/>
      <c r="J126"/>
      <c r="K126"/>
      <c r="L126"/>
      <c r="M126"/>
      <c r="N126"/>
      <c r="O126"/>
      <c r="P126"/>
      <c r="Q126"/>
      <c r="R126" s="90"/>
      <c r="S126" s="90"/>
      <c r="T126" s="90"/>
      <c r="U126" s="90"/>
      <c r="V126" s="90"/>
      <c r="W126" s="90"/>
      <c r="X126" s="90"/>
      <c r="Y126" s="90"/>
      <c r="Z126" s="90"/>
      <c r="AA126" s="90"/>
      <c r="AB126" s="90"/>
      <c r="AC126" s="90"/>
      <c r="AD126" s="90"/>
      <c r="AE126" s="90"/>
      <c r="AF126" s="90"/>
      <c r="AG126" s="90"/>
      <c r="AH126" s="90"/>
      <c r="AI126" s="90"/>
    </row>
    <row r="127" spans="1:35" x14ac:dyDescent="0.4">
      <c r="A127" s="3" t="s">
        <v>743</v>
      </c>
      <c r="B127" s="5" t="s">
        <v>693</v>
      </c>
      <c r="C127" t="s">
        <v>694</v>
      </c>
      <c r="D127"/>
      <c r="E127" s="4">
        <f>IF(ISNUMBER(E104),E120/E$122*100,"")</f>
        <v>-1.6278057871264535</v>
      </c>
      <c r="F127" s="4">
        <f t="shared" ref="F127:J127" si="19">IF(ISNUMBER(F104),F120/F$122*100,"")</f>
        <v>0.39925904716876687</v>
      </c>
      <c r="G127" s="4">
        <f t="shared" si="19"/>
        <v>0.55386819484239902</v>
      </c>
      <c r="H127" s="4" t="str">
        <f t="shared" si="19"/>
        <v/>
      </c>
      <c r="I127" s="4" t="str">
        <f t="shared" si="19"/>
        <v/>
      </c>
      <c r="J127" s="4" t="str">
        <f t="shared" si="19"/>
        <v/>
      </c>
      <c r="K127"/>
      <c r="L127"/>
      <c r="M127"/>
      <c r="N127"/>
      <c r="O127"/>
      <c r="P127"/>
      <c r="Q127"/>
      <c r="R127" s="90"/>
      <c r="S127" s="90"/>
      <c r="T127" s="90"/>
      <c r="U127" s="90"/>
      <c r="V127" s="90"/>
      <c r="W127" s="90"/>
      <c r="X127" s="90"/>
      <c r="Y127" s="90"/>
      <c r="Z127" s="90"/>
      <c r="AA127" s="90"/>
      <c r="AB127" s="90"/>
      <c r="AC127" s="90"/>
      <c r="AD127" s="90"/>
      <c r="AE127" s="90"/>
      <c r="AF127" s="90"/>
      <c r="AG127" s="90"/>
      <c r="AH127" s="90"/>
      <c r="AI127" s="90"/>
    </row>
    <row r="128" spans="1:35" x14ac:dyDescent="0.4">
      <c r="A128" s="3"/>
      <c r="B128" s="5" t="s">
        <v>688</v>
      </c>
      <c r="C128" t="s">
        <v>6</v>
      </c>
      <c r="D128" s="171">
        <f t="shared" ref="D128:J128" si="20">IF(ISNUMBER(D104),D14,"")</f>
        <v>1.0249299999999999</v>
      </c>
      <c r="E128" s="171">
        <f t="shared" si="20"/>
        <v>1.1083700000000001</v>
      </c>
      <c r="F128" s="171">
        <f t="shared" si="20"/>
        <v>1.4005530396000001</v>
      </c>
      <c r="G128" s="171">
        <f t="shared" si="20"/>
        <v>1.8663005867688001</v>
      </c>
      <c r="H128" s="171" t="str">
        <f t="shared" si="20"/>
        <v/>
      </c>
      <c r="I128" s="171" t="str">
        <f t="shared" si="20"/>
        <v/>
      </c>
      <c r="J128" s="171" t="str">
        <f t="shared" si="20"/>
        <v/>
      </c>
      <c r="K128"/>
      <c r="L128"/>
      <c r="M128"/>
      <c r="N128"/>
      <c r="O128"/>
      <c r="P128"/>
      <c r="Q128"/>
      <c r="R128" s="90"/>
      <c r="S128" s="90"/>
      <c r="T128" s="90"/>
      <c r="U128" s="90"/>
      <c r="V128" s="90"/>
      <c r="W128" s="90"/>
      <c r="X128" s="90"/>
      <c r="Y128" s="90"/>
      <c r="Z128" s="90"/>
      <c r="AA128" s="90"/>
      <c r="AB128" s="90"/>
      <c r="AC128" s="90"/>
      <c r="AD128" s="90"/>
      <c r="AE128" s="90"/>
      <c r="AF128" s="90"/>
      <c r="AG128" s="90"/>
      <c r="AH128" s="90"/>
      <c r="AI128" s="90"/>
    </row>
    <row r="129" spans="1:35" x14ac:dyDescent="0.4">
      <c r="A129" s="3"/>
      <c r="B129" s="5" t="s">
        <v>688</v>
      </c>
      <c r="C129" t="s">
        <v>694</v>
      </c>
      <c r="D129" s="4">
        <f t="shared" ref="D129:J129" si="21">IF(ISNUMBER(D104),D14/D122*100,"")</f>
        <v>2.5905490317003754</v>
      </c>
      <c r="E129" s="4">
        <f t="shared" si="21"/>
        <v>2.7264632013440817</v>
      </c>
      <c r="F129" s="4">
        <f t="shared" si="21"/>
        <v>3.3000000000000003</v>
      </c>
      <c r="G129" s="4">
        <f t="shared" si="21"/>
        <v>4.2</v>
      </c>
      <c r="H129" s="4" t="str">
        <f t="shared" si="21"/>
        <v/>
      </c>
      <c r="I129" s="4" t="str">
        <f t="shared" si="21"/>
        <v/>
      </c>
      <c r="J129" s="4" t="str">
        <f t="shared" si="21"/>
        <v/>
      </c>
      <c r="K129"/>
      <c r="L129"/>
      <c r="M129"/>
      <c r="N129"/>
      <c r="O129"/>
      <c r="P129"/>
      <c r="Q129"/>
      <c r="R129" s="90"/>
      <c r="S129" s="90"/>
      <c r="T129" s="90"/>
      <c r="U129" s="90"/>
      <c r="V129" s="90"/>
      <c r="W129" s="90"/>
      <c r="X129" s="90"/>
      <c r="Y129" s="90"/>
      <c r="Z129" s="90"/>
      <c r="AA129" s="90"/>
      <c r="AB129" s="90"/>
      <c r="AC129" s="90"/>
      <c r="AD129" s="90"/>
      <c r="AE129" s="90"/>
      <c r="AF129" s="90"/>
      <c r="AG129" s="90"/>
      <c r="AH129" s="90"/>
      <c r="AI129" s="90"/>
    </row>
    <row r="130" spans="1:35" x14ac:dyDescent="0.4">
      <c r="A130" s="3"/>
      <c r="B130" s="5" t="s">
        <v>742</v>
      </c>
      <c r="C130" t="s">
        <v>6</v>
      </c>
      <c r="D130" s="4"/>
      <c r="E130" s="4">
        <f>IF(ISNUMBER(E104),E128-D128,"")</f>
        <v>8.3440000000000181E-2</v>
      </c>
      <c r="F130" s="4">
        <f t="shared" ref="F130:J130" si="22">IF(ISNUMBER(F104),F128-E128,"")</f>
        <v>0.29218303960000003</v>
      </c>
      <c r="G130" s="4">
        <f t="shared" si="22"/>
        <v>0.46574754716879996</v>
      </c>
      <c r="H130" s="4" t="str">
        <f t="shared" si="22"/>
        <v/>
      </c>
      <c r="I130" s="4" t="str">
        <f t="shared" si="22"/>
        <v/>
      </c>
      <c r="J130" s="4" t="str">
        <f t="shared" si="22"/>
        <v/>
      </c>
      <c r="K130"/>
      <c r="L130"/>
      <c r="M130"/>
      <c r="N130"/>
      <c r="O130"/>
      <c r="P130"/>
      <c r="Q130"/>
      <c r="R130" s="90"/>
      <c r="S130" s="90"/>
      <c r="T130" s="90"/>
      <c r="U130" s="90"/>
      <c r="V130" s="90"/>
      <c r="W130" s="90"/>
      <c r="X130" s="90"/>
      <c r="Y130" s="90"/>
      <c r="Z130" s="90"/>
      <c r="AA130" s="90"/>
      <c r="AB130" s="90"/>
      <c r="AC130" s="90"/>
      <c r="AD130" s="90"/>
      <c r="AE130" s="90"/>
      <c r="AF130" s="90"/>
      <c r="AG130" s="90"/>
      <c r="AH130" s="90"/>
      <c r="AI130" s="90"/>
    </row>
    <row r="131" spans="1:35" x14ac:dyDescent="0.4">
      <c r="B131" s="5" t="s">
        <v>742</v>
      </c>
      <c r="C131" t="s">
        <v>694</v>
      </c>
      <c r="E131" s="4">
        <f>IF(ISNUMBER(E104),E130/E$27*100,"")</f>
        <v>0.20525283932274477</v>
      </c>
      <c r="F131" s="4">
        <f>IF(ISNUMBER(F104),F130/F$27*100,"")</f>
        <v>0.68844520944053511</v>
      </c>
      <c r="G131" s="4">
        <f t="shared" ref="G131:J131" si="23">IF(ISNUMBER(G104),G130/G$27*100,"")</f>
        <v>1.0481375358166189</v>
      </c>
      <c r="H131" s="4" t="str">
        <f t="shared" si="23"/>
        <v/>
      </c>
      <c r="I131" s="4" t="str">
        <f t="shared" si="23"/>
        <v/>
      </c>
      <c r="J131" s="4" t="str">
        <f t="shared" si="23"/>
        <v/>
      </c>
    </row>
    <row r="132" spans="1:35" x14ac:dyDescent="0.4">
      <c r="B132" s="5" t="s">
        <v>745</v>
      </c>
      <c r="C132" s="15" t="s">
        <v>694</v>
      </c>
      <c r="E132" s="140">
        <f>IF(ISNUMBER(E104),IF((E127-E131)&gt;0,E127-E131,0),"")</f>
        <v>0</v>
      </c>
      <c r="F132" s="140">
        <f t="shared" ref="F132:J132" si="24">IF(ISNUMBER(F104),IF((F127-F131)&gt;0,F127-F131,0),"")</f>
        <v>0</v>
      </c>
      <c r="G132" s="140">
        <f t="shared" si="24"/>
        <v>0</v>
      </c>
      <c r="H132" s="140" t="str">
        <f t="shared" si="24"/>
        <v/>
      </c>
      <c r="I132" s="140" t="str">
        <f t="shared" si="24"/>
        <v/>
      </c>
      <c r="J132" s="140" t="str">
        <f t="shared" si="24"/>
        <v/>
      </c>
    </row>
    <row r="133" spans="1:35" s="61" customFormat="1" x14ac:dyDescent="0.4">
      <c r="B133" s="102" t="s">
        <v>747</v>
      </c>
      <c r="C133" s="61" t="s">
        <v>746</v>
      </c>
      <c r="E133" s="65">
        <f>IF(ISNUMBER(E104),E120,"")</f>
        <v>-0.66174049200000729</v>
      </c>
      <c r="F133" s="65">
        <f t="shared" ref="F133:J133" si="25">IF(ISNUMBER(F104),F120,"")</f>
        <v>0.16944953700000492</v>
      </c>
      <c r="G133" s="65">
        <f t="shared" si="25"/>
        <v>0.24611536595879652</v>
      </c>
      <c r="H133" s="65" t="str">
        <f t="shared" si="25"/>
        <v/>
      </c>
      <c r="I133" s="65" t="str">
        <f t="shared" si="25"/>
        <v/>
      </c>
      <c r="J133" s="65" t="str">
        <f t="shared" si="25"/>
        <v/>
      </c>
    </row>
    <row r="134" spans="1:35" s="61" customFormat="1" x14ac:dyDescent="0.4">
      <c r="B134" s="111" t="s">
        <v>292</v>
      </c>
      <c r="C134" s="61" t="s">
        <v>746</v>
      </c>
      <c r="D134" s="65"/>
      <c r="E134" s="65">
        <f>IF(ISNUMBER(E104),IF(OR(E133="",ISNA(E133)),"",MAX(E133,0)),"")</f>
        <v>0</v>
      </c>
      <c r="F134" s="65">
        <f t="shared" ref="F134:J134" si="26">IF(ISNUMBER(F104),IF(OR(F133="",ISNA(F133)),"",MAX(F133,0)),"")</f>
        <v>0.16944953700000492</v>
      </c>
      <c r="G134" s="65">
        <f t="shared" si="26"/>
        <v>0.24611536595879652</v>
      </c>
      <c r="H134" s="65" t="str">
        <f t="shared" si="26"/>
        <v/>
      </c>
      <c r="I134" s="65" t="str">
        <f t="shared" si="26"/>
        <v/>
      </c>
      <c r="J134" s="65" t="str">
        <f t="shared" si="26"/>
        <v/>
      </c>
    </row>
    <row r="135" spans="1:35" s="61" customFormat="1" x14ac:dyDescent="0.4">
      <c r="B135" s="111" t="s">
        <v>744</v>
      </c>
      <c r="C135" s="61" t="s">
        <v>746</v>
      </c>
      <c r="E135" s="65">
        <f>IF(ISNUMBER(E104),IF((E134-MAX(E130,0))&gt;0,E134-MAX(E130,0),0),"")</f>
        <v>0</v>
      </c>
      <c r="F135" s="65">
        <f t="shared" ref="F135:J135" si="27">IF(ISNUMBER(F104),IF((F134-MAX(F130,0))&gt;0,F134-MAX(F130,0),0),"")</f>
        <v>0</v>
      </c>
      <c r="G135" s="65">
        <f t="shared" si="27"/>
        <v>0</v>
      </c>
      <c r="H135" s="65" t="str">
        <f t="shared" si="27"/>
        <v/>
      </c>
      <c r="I135" s="65" t="str">
        <f t="shared" si="27"/>
        <v/>
      </c>
      <c r="J135" s="65" t="str">
        <f t="shared" si="27"/>
        <v/>
      </c>
    </row>
    <row r="136" spans="1:35" s="61" customFormat="1" x14ac:dyDescent="0.4">
      <c r="B136" s="111" t="s">
        <v>293</v>
      </c>
      <c r="C136" s="61" t="s">
        <v>746</v>
      </c>
      <c r="D136" s="65"/>
      <c r="E136" s="65">
        <f>IF(ISNUMBER(E104),IF(OR(E133="",ISNA(E133)),"",ABS(MIN(E133,0))),"")</f>
        <v>0.66174049200000729</v>
      </c>
      <c r="F136" s="65">
        <f t="shared" ref="F136:J136" si="28">IF(ISNUMBER(F104),IF(OR(F133="",ISNA(F133)),"",ABS(MIN(F133,0))),"")</f>
        <v>0</v>
      </c>
      <c r="G136" s="65">
        <f t="shared" si="28"/>
        <v>0</v>
      </c>
      <c r="H136" s="65" t="str">
        <f t="shared" si="28"/>
        <v/>
      </c>
      <c r="I136" s="65" t="str">
        <f t="shared" si="28"/>
        <v/>
      </c>
      <c r="J136" s="65" t="str">
        <f t="shared" si="28"/>
        <v/>
      </c>
    </row>
    <row r="137" spans="1:35" s="61" customFormat="1" x14ac:dyDescent="0.4">
      <c r="B137" s="72" t="s">
        <v>748</v>
      </c>
      <c r="C137" s="61" t="s">
        <v>746</v>
      </c>
      <c r="E137" s="65">
        <f>IF(ISNUMBER(E104),IF(E141=FALSE,E134-E136,IF(E142=TRUE,E135-E136,E136)),"")</f>
        <v>-0.66174049200000729</v>
      </c>
      <c r="F137" s="65">
        <f t="shared" ref="F137:J137" si="29">IF(ISNUMBER(F104),IF(F141=FALSE,F134-F136,IF(F142=TRUE,F135-F136,F136)),"")</f>
        <v>0</v>
      </c>
      <c r="G137" s="65">
        <f t="shared" si="29"/>
        <v>0</v>
      </c>
      <c r="H137" s="65" t="str">
        <f t="shared" si="29"/>
        <v/>
      </c>
      <c r="I137" s="65" t="str">
        <f t="shared" si="29"/>
        <v/>
      </c>
      <c r="J137" s="65" t="str">
        <f t="shared" si="29"/>
        <v/>
      </c>
    </row>
    <row r="138" spans="1:35" s="61" customFormat="1" x14ac:dyDescent="0.4">
      <c r="B138" s="72" t="s">
        <v>797</v>
      </c>
      <c r="C138" s="61" t="s">
        <v>746</v>
      </c>
      <c r="E138" s="65">
        <f>IF(ISNUMBER(E104),E137+IF(ISNUMBER(D104),D138,0),"")</f>
        <v>-0.66174049200000729</v>
      </c>
      <c r="F138" s="65">
        <f>IF(ISNUMBER(F104),F137+IF(ISNUMBER(E104),E138,0),"")</f>
        <v>-0.66174049200000729</v>
      </c>
      <c r="G138" s="65">
        <f>IF(ISNUMBER(G104),G137+IF(ISNUMBER(F104),F138,0),"")</f>
        <v>-0.66174049200000729</v>
      </c>
      <c r="H138" s="65" t="str">
        <f t="shared" ref="H138:J138" si="30">IF(ISNUMBER(H104),H137+IF(ISNUMBER(G104),G138,0),"")</f>
        <v/>
      </c>
      <c r="I138" s="65" t="str">
        <f t="shared" si="30"/>
        <v/>
      </c>
      <c r="J138" s="65" t="str">
        <f t="shared" si="30"/>
        <v/>
      </c>
    </row>
    <row r="139" spans="1:35" x14ac:dyDescent="0.4">
      <c r="A139" s="3"/>
      <c r="B139" s="5" t="s">
        <v>749</v>
      </c>
      <c r="C139" t="s">
        <v>694</v>
      </c>
      <c r="D139"/>
      <c r="E139" s="4">
        <f>IF(ISNUMBER(E104),E137/E122*100,"")</f>
        <v>-1.6278057871264535</v>
      </c>
      <c r="F139" s="4">
        <f t="shared" ref="F139:J139" si="31">IF(ISNUMBER(F104),F137/F122*100,"")</f>
        <v>0</v>
      </c>
      <c r="G139" s="4">
        <f t="shared" si="31"/>
        <v>0</v>
      </c>
      <c r="H139" s="4" t="str">
        <f t="shared" si="31"/>
        <v/>
      </c>
      <c r="I139" s="4" t="str">
        <f t="shared" si="31"/>
        <v/>
      </c>
      <c r="J139" s="4" t="str">
        <f t="shared" si="31"/>
        <v/>
      </c>
      <c r="K139"/>
      <c r="L139"/>
      <c r="M139"/>
      <c r="N139"/>
      <c r="O139"/>
      <c r="P139"/>
      <c r="Q139"/>
      <c r="R139" s="90"/>
      <c r="S139" s="90"/>
      <c r="T139" s="90"/>
      <c r="U139" s="90"/>
      <c r="V139" s="90"/>
      <c r="W139" s="90"/>
      <c r="X139" s="90"/>
      <c r="Y139" s="90"/>
      <c r="Z139" s="90"/>
      <c r="AA139" s="90"/>
      <c r="AB139" s="90"/>
      <c r="AC139" s="90"/>
      <c r="AD139" s="90"/>
      <c r="AE139" s="90"/>
      <c r="AF139" s="90"/>
      <c r="AG139" s="90"/>
      <c r="AH139" s="90"/>
      <c r="AI139" s="90"/>
    </row>
    <row r="140" spans="1:35" x14ac:dyDescent="0.4">
      <c r="A140" s="3"/>
      <c r="B140" s="5" t="s">
        <v>752</v>
      </c>
      <c r="C140" t="s">
        <v>694</v>
      </c>
      <c r="D140"/>
      <c r="E140" s="4">
        <f>IF(ISNUMBER(E104),E138/E$122*100,"")</f>
        <v>-1.6278057871264535</v>
      </c>
      <c r="F140" s="4">
        <f t="shared" ref="F140:J140" si="32">IF(ISNUMBER(F104),F138/F$122*100,"")</f>
        <v>-1.5592009455234228</v>
      </c>
      <c r="G140" s="4">
        <f t="shared" si="32"/>
        <v>-1.4892081619134891</v>
      </c>
      <c r="H140" s="4" t="str">
        <f t="shared" si="32"/>
        <v/>
      </c>
      <c r="I140" s="4" t="str">
        <f t="shared" si="32"/>
        <v/>
      </c>
      <c r="J140" s="4" t="str">
        <f t="shared" si="32"/>
        <v/>
      </c>
      <c r="K140"/>
      <c r="L140"/>
      <c r="M140"/>
      <c r="N140"/>
      <c r="O140"/>
      <c r="P140"/>
      <c r="Q140"/>
      <c r="R140" s="90"/>
      <c r="S140" s="90"/>
      <c r="T140" s="90"/>
      <c r="U140" s="90"/>
      <c r="V140" s="90"/>
      <c r="W140" s="90"/>
      <c r="X140" s="90"/>
      <c r="Y140" s="90"/>
      <c r="Z140" s="90"/>
      <c r="AA140" s="90"/>
      <c r="AB140" s="90"/>
      <c r="AC140" s="90"/>
      <c r="AD140" s="90"/>
      <c r="AE140" s="90"/>
      <c r="AF140" s="90"/>
      <c r="AG140" s="90"/>
      <c r="AH140" s="90"/>
      <c r="AI140" s="90"/>
    </row>
    <row r="141" spans="1:35" x14ac:dyDescent="0.4">
      <c r="B141" s="72" t="str">
        <f>'Step 1 - Set global parameters'!A12</f>
        <v>Years for which an escape clause has been activated</v>
      </c>
      <c r="C141" s="61"/>
      <c r="D141" s="176"/>
      <c r="E141" s="176" t="b">
        <f>'Step 1 - Set global parameters'!B12</f>
        <v>0</v>
      </c>
      <c r="F141" s="176" t="b">
        <f>'Step 1 - Set global parameters'!C12</f>
        <v>1</v>
      </c>
      <c r="G141" s="176" t="b">
        <f>'Step 1 - Set global parameters'!D12</f>
        <v>1</v>
      </c>
      <c r="H141" s="176" t="b">
        <f>'Step 1 - Set global parameters'!E12</f>
        <v>1</v>
      </c>
      <c r="I141" s="176" t="b">
        <f>'Step 1 - Set global parameters'!F12</f>
        <v>1</v>
      </c>
      <c r="J141" s="176" t="b">
        <f>'Step 1 - Set global parameters'!G12</f>
        <v>0</v>
      </c>
      <c r="K141" s="116"/>
      <c r="L141" s="116"/>
      <c r="M141" s="116"/>
      <c r="N141" s="116"/>
      <c r="O141" s="116"/>
      <c r="P141" s="116"/>
      <c r="Q141" s="116"/>
      <c r="R141" s="75"/>
      <c r="S141" s="75"/>
    </row>
    <row r="142" spans="1:35" x14ac:dyDescent="0.4">
      <c r="B142" s="72" t="s">
        <v>733</v>
      </c>
      <c r="C142" s="61"/>
      <c r="D142" s="116"/>
      <c r="E142" s="176" t="e">
        <f>IF('Step 1 - Set global parameters'!B12,IF('Step 1 - Set global parameters'!B14="Defence", TRUE, FALSE),NA())</f>
        <v>#N/A</v>
      </c>
      <c r="F142" s="176" t="b">
        <f>IF('Step 1 - Set global parameters'!C12,IF('Step 1 - Set global parameters'!C14="Defence", TRUE, FALSE),NA())</f>
        <v>1</v>
      </c>
      <c r="G142" s="176" t="b">
        <f>IF('Step 1 - Set global parameters'!D12,IF('Step 1 - Set global parameters'!D14="Defence", TRUE, FALSE),NA())</f>
        <v>1</v>
      </c>
      <c r="H142" s="176" t="b">
        <f>IF('Step 1 - Set global parameters'!E12,IF('Step 1 - Set global parameters'!E14="Defence", TRUE, FALSE),NA())</f>
        <v>1</v>
      </c>
      <c r="I142" s="176" t="b">
        <f>IF('Step 1 - Set global parameters'!F12,IF('Step 1 - Set global parameters'!F14="Defence", TRUE, FALSE),NA())</f>
        <v>1</v>
      </c>
      <c r="J142" s="176" t="e">
        <f>IF('Step 1 - Set global parameters'!G12,IF('Step 1 - Set global parameters'!G14="Defence", TRUE, FALSE),NA())</f>
        <v>#N/A</v>
      </c>
      <c r="K142" s="176"/>
      <c r="L142" s="176"/>
      <c r="M142" s="176"/>
      <c r="N142" s="116"/>
      <c r="O142" s="116"/>
      <c r="P142" s="116"/>
      <c r="Q142" s="116"/>
      <c r="R142" s="75"/>
      <c r="S142" s="75"/>
    </row>
    <row r="143" spans="1:35" x14ac:dyDescent="0.4">
      <c r="B143" s="72" t="s">
        <v>793</v>
      </c>
      <c r="C143" s="61"/>
      <c r="D143" s="116"/>
      <c r="E143" s="176" t="e">
        <f>IF('Step 1 - Set global parameters'!B12,'Step 1 - Set global parameters'!B15,NA())</f>
        <v>#N/A</v>
      </c>
      <c r="F143" s="176">
        <f>IF('Step 1 - Set global parameters'!C12,'Step 1 - Set global parameters'!C15,NA())</f>
        <v>1.5</v>
      </c>
      <c r="G143" s="176">
        <f>IF('Step 1 - Set global parameters'!D12,'Step 1 - Set global parameters'!D15,NA())</f>
        <v>1.5</v>
      </c>
      <c r="H143" s="176">
        <f>IF('Step 1 - Set global parameters'!E12,'Step 1 - Set global parameters'!E15,NA())</f>
        <v>1.5</v>
      </c>
      <c r="I143" s="176">
        <f>IF('Step 1 - Set global parameters'!F12,'Step 1 - Set global parameters'!F15,NA())</f>
        <v>1.5</v>
      </c>
      <c r="J143" s="176" t="e">
        <f>IF('Step 1 - Set global parameters'!G12,'Step 1 - Set global parameters'!G15,NA())</f>
        <v>#N/A</v>
      </c>
      <c r="K143" s="176"/>
      <c r="L143" s="176"/>
      <c r="M143" s="176"/>
      <c r="N143" s="116"/>
      <c r="O143" s="116"/>
      <c r="P143" s="116"/>
      <c r="Q143" s="116"/>
      <c r="R143" s="75"/>
      <c r="S143" s="75"/>
    </row>
    <row r="144" spans="1:35" x14ac:dyDescent="0.4">
      <c r="B144" t="s">
        <v>526</v>
      </c>
      <c r="C144" s="54"/>
      <c r="D144" s="95"/>
      <c r="E144" s="95"/>
      <c r="F144" s="95" t="b">
        <f>F139 &gt; 0.3</f>
        <v>0</v>
      </c>
      <c r="G144" s="95" t="b">
        <f>G139 &gt; 0.3</f>
        <v>0</v>
      </c>
      <c r="H144" s="95" t="b">
        <f>H139 &gt; 0.3</f>
        <v>1</v>
      </c>
      <c r="I144" s="95" t="b">
        <f>I139 &gt; 0.3</f>
        <v>1</v>
      </c>
      <c r="J144" s="95" t="b">
        <f t="shared" ref="J144" si="33">J139 &gt; 0.3</f>
        <v>1</v>
      </c>
      <c r="K144" s="95"/>
      <c r="L144" s="95"/>
      <c r="M144" s="54"/>
      <c r="N144" s="54"/>
      <c r="O144" s="90"/>
      <c r="P144" s="90"/>
      <c r="Q144" s="90"/>
      <c r="R144" s="90"/>
      <c r="S144" s="90"/>
      <c r="T144" s="90"/>
      <c r="U144" s="90"/>
      <c r="V144" s="90"/>
      <c r="W144" s="90"/>
      <c r="X144" s="90"/>
      <c r="Y144" s="90"/>
      <c r="Z144" s="90"/>
      <c r="AA144" s="90"/>
      <c r="AB144" s="90"/>
      <c r="AC144" s="90"/>
      <c r="AD144" s="90"/>
      <c r="AE144" s="90"/>
      <c r="AF144" s="90"/>
      <c r="AG144" s="90"/>
      <c r="AH144" s="90"/>
      <c r="AI144" s="90"/>
    </row>
    <row r="145" spans="1:35" x14ac:dyDescent="0.4">
      <c r="B145" s="7" t="s">
        <v>527</v>
      </c>
      <c r="C145" s="114"/>
      <c r="D145" s="143"/>
      <c r="E145" s="142"/>
      <c r="F145" s="142" t="b">
        <f>IF(F140 &gt; 0.6, TRUE, FALSE)</f>
        <v>0</v>
      </c>
      <c r="G145" s="142" t="b">
        <f>IF(G140 &gt; 0.6, TRUE, FALSE)</f>
        <v>0</v>
      </c>
      <c r="H145" s="142" t="b">
        <f>IF(H140 &gt; 0.6, TRUE, FALSE)</f>
        <v>1</v>
      </c>
      <c r="I145" s="142" t="b">
        <f>IF(I140 &gt; 0.6, TRUE, FALSE)</f>
        <v>1</v>
      </c>
      <c r="J145" s="142" t="b">
        <f t="shared" ref="J145" si="34">IF(J140 &gt; 0.6, TRUE, FALSE)</f>
        <v>1</v>
      </c>
      <c r="K145" s="142"/>
      <c r="L145" s="142"/>
      <c r="M145" s="54"/>
      <c r="N145" s="54"/>
      <c r="O145" s="90"/>
      <c r="P145" s="90"/>
      <c r="Q145" s="90"/>
      <c r="R145" s="90"/>
      <c r="S145" s="90"/>
      <c r="T145" s="90"/>
      <c r="U145" s="90"/>
      <c r="V145" s="90"/>
      <c r="W145" s="90"/>
      <c r="X145" s="90"/>
      <c r="Y145" s="90"/>
      <c r="Z145" s="90"/>
      <c r="AA145" s="90"/>
      <c r="AB145" s="90"/>
      <c r="AC145" s="90"/>
      <c r="AD145" s="90"/>
      <c r="AE145" s="90"/>
      <c r="AF145" s="90"/>
      <c r="AG145" s="90"/>
      <c r="AH145" s="90"/>
      <c r="AI145" s="90"/>
    </row>
    <row r="146" spans="1:35" x14ac:dyDescent="0.4">
      <c r="A146" s="3"/>
      <c r="B146" s="5"/>
      <c r="D146"/>
      <c r="E146" s="4"/>
      <c r="F146" s="4"/>
      <c r="G146" s="4"/>
      <c r="H146" s="4"/>
      <c r="I146" s="4"/>
      <c r="J146"/>
      <c r="K146"/>
      <c r="L146"/>
      <c r="M146"/>
      <c r="N146"/>
      <c r="O146"/>
      <c r="P146"/>
      <c r="Q146"/>
      <c r="R146" s="90"/>
      <c r="S146" s="90"/>
      <c r="T146" s="90"/>
      <c r="U146" s="90"/>
      <c r="V146" s="90"/>
      <c r="W146" s="90"/>
      <c r="X146" s="90"/>
      <c r="Y146" s="90"/>
      <c r="Z146" s="90"/>
      <c r="AA146" s="90"/>
      <c r="AB146" s="90"/>
      <c r="AC146" s="90"/>
      <c r="AD146" s="90"/>
      <c r="AE146" s="90"/>
      <c r="AF146" s="90"/>
      <c r="AG146" s="90"/>
      <c r="AH146" s="90"/>
      <c r="AI146" s="90"/>
    </row>
    <row r="147" spans="1:35" x14ac:dyDescent="0.4">
      <c r="B147" s="63" t="s">
        <v>750</v>
      </c>
      <c r="C147" s="63" t="b">
        <f>MAX(INDEX(139:139,_xlfn.XMATCH(MTP_YearT,104:104,0)):INDEX(139:139,_xlfn.XMATCH(AssessmentEnd,104:104,0)))&gt;0.3</f>
        <v>0</v>
      </c>
      <c r="D147" s="75"/>
      <c r="E147" s="75"/>
      <c r="F147" s="75"/>
      <c r="G147" s="75"/>
      <c r="H147" s="75"/>
      <c r="I147" s="75"/>
      <c r="J147" s="75"/>
      <c r="K147" s="75"/>
      <c r="L147" s="75"/>
      <c r="M147" s="75"/>
      <c r="N147" s="75"/>
      <c r="O147" s="75"/>
      <c r="P147" s="75"/>
      <c r="Q147" s="75"/>
      <c r="R147" s="75"/>
      <c r="S147" s="75"/>
      <c r="T147" s="75"/>
    </row>
    <row r="148" spans="1:35" x14ac:dyDescent="0.4">
      <c r="B148" s="63" t="s">
        <v>760</v>
      </c>
      <c r="C148" s="63" t="b">
        <f>MAX(INDEX(140:140,_xlfn.XMATCH(MTP_YearT,104:104,0)):INDEX(140:140,_xlfn.XMATCH(AssessmentEnd,104:104,0)))&gt;0.6</f>
        <v>0</v>
      </c>
      <c r="D148" s="75"/>
      <c r="E148" s="75"/>
      <c r="F148" s="75"/>
      <c r="G148" s="75"/>
      <c r="H148" s="75"/>
      <c r="I148" s="75"/>
      <c r="J148" s="75"/>
      <c r="K148" s="75"/>
      <c r="L148" s="75"/>
      <c r="M148" s="75"/>
      <c r="N148" s="75"/>
      <c r="O148" s="75"/>
      <c r="P148" s="75"/>
      <c r="Q148" s="75"/>
      <c r="R148" s="75"/>
      <c r="S148" s="75"/>
      <c r="T148" s="75"/>
    </row>
    <row r="149" spans="1:35" x14ac:dyDescent="0.4">
      <c r="B149" s="63" t="s">
        <v>751</v>
      </c>
      <c r="C149" s="63" t="b">
        <f>MAX(INDEX(139:139,_xlfn.XMATCH(MTP_YearT,104:104,0)):INDEX(139:139,_xlfn.XMATCH(OutturnThrough,104:104,0)))&gt;0.3</f>
        <v>0</v>
      </c>
      <c r="D149" s="75"/>
      <c r="E149" s="75"/>
      <c r="F149" s="75"/>
      <c r="G149" s="75"/>
      <c r="H149" s="75"/>
      <c r="I149" s="75"/>
      <c r="J149" s="75"/>
      <c r="K149" s="75"/>
      <c r="L149" s="75"/>
      <c r="M149" s="75"/>
      <c r="N149" s="75"/>
      <c r="O149" s="75"/>
      <c r="P149" s="75"/>
      <c r="Q149" s="75"/>
      <c r="R149" s="75"/>
      <c r="S149" s="75"/>
      <c r="T149" s="75"/>
    </row>
    <row r="150" spans="1:35" x14ac:dyDescent="0.4">
      <c r="B150" s="63" t="s">
        <v>761</v>
      </c>
      <c r="C150" s="63" t="b">
        <f>MAX(INDEX(140:140,_xlfn.XMATCH(MTP_YearT,104:104,0)):INDEX(140:140,_xlfn.XMATCH(OutturnThrough,104:104,0)))&gt;0.6</f>
        <v>0</v>
      </c>
      <c r="D150" s="75"/>
      <c r="E150" s="75"/>
      <c r="F150" s="75"/>
      <c r="G150" s="75"/>
      <c r="H150" s="75"/>
      <c r="I150" s="75"/>
      <c r="J150" s="75"/>
      <c r="K150" s="75"/>
      <c r="L150" s="75"/>
      <c r="M150" s="75"/>
      <c r="N150" s="75"/>
      <c r="O150" s="75"/>
      <c r="P150" s="75"/>
      <c r="Q150" s="75"/>
      <c r="R150" s="75"/>
      <c r="S150" s="75"/>
      <c r="T150" s="75"/>
    </row>
    <row r="151" spans="1:35" x14ac:dyDescent="0.4">
      <c r="B151" s="63" t="s">
        <v>756</v>
      </c>
      <c r="C151" s="63" t="b" cm="1">
        <f t="array" ref="C151">IF(SUMPRODUCT((INDEX(141:141,_xlfn.XMATCH(MTP_YearT,104:104,0)+_xlfn.SEQUENCE(1,AssessmentEnd-MTP_YearT+1)-1)=TRUE)*1)=0,NA(),ISNUMBER(MATCH(TRUE,IF(INDEX(141:141,_xlfn.XMATCH(MTP_YearT,104:104,0)+_xlfn.SEQUENCE(1,AssessmentEnd-MTP_YearT+1)-1)=TRUE,INDEX(124:124,_xlfn.XMATCH(MTP_YearT,104:104,0)+_xlfn.SEQUENCE(1,AssessmentEnd-MTP_YearT+1)-1)&gt;INDEX(143:143,_xlfn.XMATCH(MTP_YearT,104:104,0)+_xlfn.SEQUENCE(1,AssessmentEnd-MTP_YearT+1)-1),FALSE),0)))</f>
        <v>0</v>
      </c>
      <c r="D151" s="75"/>
      <c r="E151" s="75"/>
      <c r="F151" s="75"/>
      <c r="G151" s="75"/>
      <c r="H151" s="75"/>
      <c r="I151" s="75"/>
      <c r="J151" s="75"/>
      <c r="K151" s="75"/>
      <c r="L151" s="75"/>
      <c r="M151" s="75"/>
      <c r="N151" s="75"/>
      <c r="O151" s="75"/>
      <c r="P151" s="75"/>
      <c r="Q151" s="75"/>
      <c r="R151" s="75"/>
      <c r="S151" s="75"/>
      <c r="T151" s="75"/>
    </row>
    <row r="152" spans="1:35" x14ac:dyDescent="0.4">
      <c r="B152" s="63" t="s">
        <v>757</v>
      </c>
      <c r="C152" s="63" t="e" cm="1">
        <f t="array" ref="C152">IF(SUMPRODUCT((INDEX(141:141,_xlfn.XMATCH(MTP_YearT,104:104,0)+_xlfn.SEQUENCE(1,OutturnThrough-MTP_YearT+1)-1)=TRUE)*1)=0,NA(),ISNUMBER(MATCH(TRUE,IF(INDEX(141:141,_xlfn.XMATCH(MTP_YearT,104:104,0)+_xlfn.SEQUENCE(1,OutturnThrough-MTP_YearT+1)-1)=TRUE,INDEX(124:124,_xlfn.XMATCH(MTP_YearT,104:104,0)+_xlfn.SEQUENCE(1,OutturnThrough-MTP_YearT+1)-1)&gt;INDEX(143:143,_xlfn.XMATCH(MTP_YearT,104:104,0)+_xlfn.SEQUENCE(1,OutturnThrough-MTP_YearT+1)-1),FALSE),0)))</f>
        <v>#N/A</v>
      </c>
      <c r="D152" s="75"/>
      <c r="E152" s="75"/>
      <c r="F152" s="75"/>
      <c r="G152" s="75"/>
      <c r="H152" s="75"/>
      <c r="I152" s="75"/>
      <c r="J152" s="75"/>
      <c r="K152" s="75"/>
      <c r="L152" s="75"/>
      <c r="M152" s="75"/>
      <c r="N152" s="75"/>
      <c r="O152" s="75"/>
      <c r="P152" s="75"/>
      <c r="Q152" s="75"/>
      <c r="R152" s="75"/>
      <c r="S152" s="75"/>
      <c r="T152" s="75"/>
    </row>
    <row r="153" spans="1:35" x14ac:dyDescent="0.4">
      <c r="B153" s="63" t="s">
        <v>794</v>
      </c>
      <c r="C153" s="63" t="b" cm="1">
        <f t="array" ref="C153">IF(SUMPRODUCT(((INDEX(139:139,_xlfn.XMATCH(MTP_YearT,104:104,0)+_xlfn.SEQUENCE(1,AssessmentEnd-MTP_YearT+1)-1)&gt;0.3)+(INDEX(140:140,_xlfn.XMATCH(MTP_YearT,104:104,0)+_xlfn.SEQUENCE(1,AssessmentEnd-MTP_YearT+1)-1)&gt;0.6))*1)=0,FALSE,SUMPRODUCT(((INDEX(139:139,_xlfn.XMATCH(MTP_YearT,104:104,0)+_xlfn.SEQUENCE(1,AssessmentEnd-MTP_YearT+1)-1)&gt;0.3)+(INDEX(140:140,_xlfn.XMATCH(MTP_YearT,104:104,0)+_xlfn.SEQUENCE(1,AssessmentEnd-MTP_YearT+1)-1)&gt;0.6))*(INDEX(141:141,_xlfn.XMATCH(MTP_YearT,104:104,0)+_xlfn.SEQUENCE(1,AssessmentEnd-MTP_YearT+1)-1)=TRUE)*1)=SUMPRODUCT(((INDEX(139:139,_xlfn.XMATCH(MTP_YearT,104:104,0)+_xlfn.SEQUENCE(1,AssessmentEnd-MTP_YearT+1)-1)&gt;0.3)+(INDEX(140:140,_xlfn.XMATCH(MTP_YearT,104:104,0)+_xlfn.SEQUENCE(1,AssessmentEnd-MTP_YearT+1)-1)&gt;0.6))*1))</f>
        <v>0</v>
      </c>
      <c r="D153" s="75"/>
      <c r="E153" s="75"/>
      <c r="F153" s="75"/>
      <c r="G153" s="75"/>
      <c r="H153" s="75"/>
      <c r="I153" s="75"/>
      <c r="J153" s="75"/>
      <c r="K153" s="75"/>
      <c r="L153" s="75"/>
      <c r="M153" s="75"/>
      <c r="N153" s="75"/>
      <c r="O153" s="75"/>
      <c r="P153" s="75"/>
      <c r="Q153" s="75"/>
      <c r="R153" s="75"/>
      <c r="S153" s="75"/>
      <c r="T153" s="75"/>
    </row>
    <row r="154" spans="1:35" x14ac:dyDescent="0.4">
      <c r="B154" s="63" t="s">
        <v>795</v>
      </c>
      <c r="C154" s="63" t="b" cm="1">
        <f t="array" ref="C154">IF(SUMPRODUCT(((INDEX(139:139,_xlfn.XMATCH(MTP_YearT,104:104,0)+_xlfn.SEQUENCE(1,AssessmentEnd-MTP_YearT+1)-1)&gt;0.3)+(INDEX(140:140,_xlfn.XMATCH(MTP_YearT,104:104,0)+_xlfn.SEQUENCE(1,AssessmentEnd-MTP_YearT+1)-1)&gt;0.6))*(IFERROR(INDEX(142:142,_xlfn.XMATCH(MTP_YearT,104:104,0)+_xlfn.SEQUENCE(1,AssessmentEnd-MTP_YearT+1)-1)=TRUE,FALSE))*1)&gt;0,TRUE,FALSE)</f>
        <v>0</v>
      </c>
      <c r="D154" s="75"/>
      <c r="E154" s="75"/>
      <c r="F154" s="75"/>
      <c r="G154" s="75"/>
      <c r="H154" s="75"/>
      <c r="I154" s="75"/>
      <c r="J154" s="75"/>
      <c r="K154" s="75"/>
      <c r="L154" s="75"/>
      <c r="M154" s="75"/>
      <c r="N154" s="75"/>
      <c r="O154" s="75"/>
      <c r="P154" s="75"/>
      <c r="Q154" s="75"/>
      <c r="R154" s="75"/>
      <c r="S154" s="75"/>
      <c r="T154" s="75"/>
    </row>
    <row r="155" spans="1:35" x14ac:dyDescent="0.4">
      <c r="B155" s="63"/>
      <c r="C155" s="61"/>
      <c r="D155" s="75"/>
      <c r="E155" s="75"/>
      <c r="F155" s="75"/>
      <c r="G155" s="75"/>
      <c r="H155" s="75"/>
      <c r="I155" s="75"/>
      <c r="J155" s="75"/>
      <c r="K155" s="75"/>
      <c r="L155" s="75"/>
      <c r="M155" s="75"/>
      <c r="N155" s="75"/>
      <c r="O155" s="75"/>
      <c r="P155" s="75"/>
      <c r="Q155" s="75"/>
      <c r="R155" s="75"/>
      <c r="S155" s="75"/>
      <c r="T155" s="75"/>
    </row>
    <row r="156" spans="1:35" x14ac:dyDescent="0.4">
      <c r="B156" s="15" t="s">
        <v>312</v>
      </c>
      <c r="C156" s="124" t="str">
        <f>_xlfn.LET(
  _xlpm.bal, INDEX(140:140, MATCH(AssessmentEnd,104:104,0)),
  _xlpm.balText,
    IF(_xlpm.bal&gt;0,
       "a debit (overspend) of " &amp; TEXT(_xlpm.bal,"0.0"),
       IF(_xlpm.bal&lt;0,
          "a credit (underspend) of " &amp; TEXT(-_xlpm.bal,"0.0"),
          "zero"
       )
    ),
  _xlpm.annOut, C149,
  _xlpm.cumOut, C150,
  _xlpm.threshOut, IF(ISNA(C152), FALSE, C152),
  _xlpm.threshPlan, IF(ISNA(C151), FALSE, AND(C151, NOT(_xlpm.threshOut))),
  _xlpm.escClause, C153,
  _xlpm.defenceClause, C154,
  _xlpm.annPlan, AND(C147, NOT(C149)),
  _xlpm.cumPlan, AND(C148, NOT(C150)),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the annual cap applies; observed and planned deviations exceed this cap.",
                IF(_xlpm.threshOut,
                   " An escape clause is active in " &amp; _xlpm.escYears &amp; ". As this is a defence-related escape clause, the annual cap applies; observed deviations exceed this cap.",
                   IF(_xlpm.threshPlan,
                      " An escape clause is active in " &amp; _xlpm.escYears &amp; ". As this is a defence-related escape clause, the annual cap applies; planned deviations exceed this cap.",
                      " An escape clause is active in " &amp; _xlpm.escYears &amp; ". As this is a defence-related escape clause, the annual cap applies; deviations do not exceed this cap."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Latvia's cumulative control account is a credit (underspend) of 1.5 percentage points of GDP. Observed annual and cumulative deviations do not exceed the respective 0.3 and 0.6 percentage points of GDP limits.</v>
      </c>
      <c r="D156" s="55"/>
      <c r="E156" s="18"/>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row>
    <row r="157" spans="1:35" x14ac:dyDescent="0.4">
      <c r="C157" s="124"/>
      <c r="D157" s="55"/>
      <c r="E157" s="18"/>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row>
    <row r="158" spans="1:35" ht="18" x14ac:dyDescent="0.55000000000000004">
      <c r="B158" s="67" t="s">
        <v>529</v>
      </c>
      <c r="D158" s="18"/>
      <c r="J158" s="90"/>
      <c r="K158" s="90"/>
      <c r="L158" s="90" t="s">
        <v>302</v>
      </c>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row>
    <row r="159" spans="1:35" x14ac:dyDescent="0.4">
      <c r="B159" t="s">
        <v>431</v>
      </c>
      <c r="C159" s="16" t="b">
        <f>MAX(INDEX(20:20,1,COLUMN($D$4)):INDEX(20:20,1,COLUMN($D$4)+COLUMNS(_xlfn.ANCHORARRAY($D$4))-1))&gt;90</f>
        <v>0</v>
      </c>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row>
    <row r="160" spans="1:35" x14ac:dyDescent="0.4">
      <c r="B160" t="s">
        <v>432</v>
      </c>
      <c r="C160" s="144" t="b" cm="1">
        <f t="array" ref="C160">SUMPRODUCT(
  --(INDEX(20:20,1,COLUMN($D$4)):INDEX(20:20,1,COLUMN($D$4)+COLUMNS(_xlfn.ANCHORARRAY($D$4))-1)&gt;=60),
  --(INDEX(20:20,1,COLUMN($D$4)):INDEX(20:20,1,COLUMN($D$4)+COLUMNS(_xlfn.ANCHORARRAY($D$4))-1)&lt;=90)
)&gt;0</f>
        <v>0</v>
      </c>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row>
    <row r="161" spans="2:16" x14ac:dyDescent="0.4">
      <c r="B161" t="s">
        <v>313</v>
      </c>
      <c r="C161" s="144" t="e" cm="1">
        <f t="array" ref="C161">IF(C159,IFERROR(
  (
    INDEX(20:20, COLUMN($D$4)+_xlfn.XMATCH(IF(OR('Step 1 - Set global parameters'!$B$18,'Step 1 - Set global parameters'!$B$20), Validation!$Q$6, MTP_BaseYear-1),_xlfn.ANCHORARRAY( $D$4), 1)-1)
    -
    INDEX(20:20, COLUMN($D$4)+_xlfn.XMATCH(
      LOOKUP(9^9, IF(
        (_xlfn.ANCHORARRAY($D$4)&gt;=IF(OR('Step 1 - Set global parameters'!$B$18,'Step 1 - Set global parameters'!$B$20), Validation!$Q$6, MTP_BaseYear-1))*
        (_xlfn.ANCHORARRAY($D$4)&lt;=AssessmentEnd)*
        (INDEX(20:20, COLUMN($D$4)+_xlfn.SEQUENCE(1, COLUMNS(_xlfn.ANCHORARRAY($D$4)), 0))&gt;90),_xlfn.ANCHORARRAY(
        $D$4))
      ),_xlfn.ANCHORARRAY(
      $D$4), 1)-1)
  )
  /
  (
    LOOKUP(9^9, IF(
      (_xlfn.ANCHORARRAY($D$4)&gt;=IF(OR('Step 1 - Set global parameters'!$B$18,'Step 1 - Set global parameters'!$B$20), Validation!$Q$6, MTP_BaseYear-1))*
      (_xlfn.ANCHORARRAY($D$4)&lt;=AssessmentEnd)*
      (INDEX(20:20, COLUMN($D$4)+_xlfn.SEQUENCE(1, COLUMNS(_xlfn.ANCHORARRAY($D$4)), 0))&gt;90),_xlfn.ANCHORARRAY(
      $D$4))
    )
    - IF(OR('Step 1 - Set global parameters'!$B$18,'Step 1 - Set global parameters'!$B$20), Validation!$Q$6, MTP_BaseYear-1)
  ) &gt;= 1,
  TRUE
),NA())</f>
        <v>#N/A</v>
      </c>
    </row>
    <row r="162" spans="2:16" x14ac:dyDescent="0.4">
      <c r="B162" t="s">
        <v>314</v>
      </c>
      <c r="C162" s="144" t="e" cm="1">
        <f t="array" ref="C162">IF(C160,IFERROR(
  (
    INDEX(20:20, COLUMN($D$4)+_xlfn.XMATCH(IF(OR('Step 1 - Set global parameters'!$B$18,'Step 1 - Set global parameters'!$B$20), Validation!$Q$6, MTP_BaseYear-1),_xlfn.ANCHORARRAY( $D$4), 1)-1)
    -
    INDEX(20:20, COLUMN($D$4)+_xlfn.XMATCH(
      LOOKUP(9^9, IF(
        (_xlfn.ANCHORARRAY($D$4)&gt;=IF(OR('Step 1 - Set global parameters'!$B$18,'Step 1 - Set global parameters'!$B$20), Validation!$Q$6, MTP_BaseYear-1))*
        (_xlfn.ANCHORARRAY($D$4)&lt;=AssessmentEnd)*
        (INDEX(20:20, COLUMN($D$4)+_xlfn.SEQUENCE(1,COLUMNS(_xlfn.ANCHORARRAY($D$4)),0))&gt;TFEU_Debt),_xlfn.ANCHORARRAY(
        $D$4))
      ),_xlfn.ANCHORARRAY(
      $D$4), 1)-1)
  ) /
  (
    LOOKUP(9^9, IF(
      (_xlfn.ANCHORARRAY($D$4)&gt;=IF(OR('Step 1 - Set global parameters'!$B$18,'Step 1 - Set global parameters'!$B$20), Validation!$Q$6, MTP_BaseYear-1))*
      (_xlfn.ANCHORARRAY($D$4)&lt;=AssessmentEnd)*
      (INDEX(20:20, COLUMN($D$4)+_xlfn.SEQUENCE(1,COLUMNS(_xlfn.ANCHORARRAY($D$4)),0))&gt;TFEU_Debt),_xlfn.ANCHORARRAY(
      $D$4))
    )
    - IF(OR('Step 1 - Set global parameters'!$B$18,'Step 1 - Set global parameters'!$B$20), Validation!$Q$6, MTP_BaseYear-1)
  )
  &gt;= 0.5,
  TRUE
),NA())</f>
        <v>#N/A</v>
      </c>
    </row>
    <row r="163" spans="2:16" x14ac:dyDescent="0.4">
      <c r="C163" s="18"/>
    </row>
    <row r="164" spans="2:16" x14ac:dyDescent="0.4">
      <c r="B164" s="15" t="s">
        <v>312</v>
      </c>
      <c r="C164" s="124" t="str">
        <f>IF(
  NOT(Receives_reference_trajectory),
  Country &amp; " does not receive a reference trajectory and is not assessed against the debt sustainability safeguard.",
  IF(
    OR(C159, C160),
    IF(
      OR(
        IF(C159, NOT(C161), FALSE),
        IF(C160, NOT(C162),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64" s="18"/>
    </row>
    <row r="165" spans="2:16" x14ac:dyDescent="0.4">
      <c r="C165" s="73"/>
      <c r="E165" s="18"/>
    </row>
    <row r="166" spans="2:16" ht="23.25" x14ac:dyDescent="0.7">
      <c r="B166" s="67" t="s">
        <v>530</v>
      </c>
      <c r="C166" s="14"/>
      <c r="E166" s="18"/>
    </row>
    <row r="167" spans="2:16" customFormat="1" ht="23.25" x14ac:dyDescent="0.7">
      <c r="B167" s="125"/>
      <c r="C167" s="126"/>
      <c r="D167" s="15" cm="1">
        <f t="array" ref="D167:G167">_xlfn.SEQUENCE(1, AssessmentEnd-MTP_BaseYear+1, MTP_BaseYear)</f>
        <v>2023</v>
      </c>
      <c r="E167" s="15">
        <v>2024</v>
      </c>
      <c r="F167" s="18">
        <v>2025</v>
      </c>
      <c r="G167" s="15">
        <v>2026</v>
      </c>
      <c r="H167" s="15"/>
      <c r="I167" s="15"/>
    </row>
    <row r="168" spans="2:16" customFormat="1" x14ac:dyDescent="0.4">
      <c r="B168" t="s">
        <v>433</v>
      </c>
      <c r="C168" s="54"/>
      <c r="D168" s="112" cm="1">
        <f t="array" ref="D168:G168">INDEX(18:18, COLUMN($D$18) + _xlfn.SEQUENCE(1, COLUMNS(_xlfn.ANCHORARRAY(D4))) - 1)</f>
        <v>-2.1063200000000002</v>
      </c>
      <c r="E168" s="112">
        <v>-1.548</v>
      </c>
      <c r="F168" s="112">
        <v>-2.4</v>
      </c>
      <c r="G168" s="112">
        <v>-3</v>
      </c>
      <c r="H168" s="112"/>
      <c r="I168" s="112"/>
      <c r="J168" s="112"/>
      <c r="K168" s="112"/>
      <c r="L168" s="112"/>
      <c r="M168" s="112"/>
      <c r="N168" s="112"/>
    </row>
    <row r="169" spans="2:16" customFormat="1" x14ac:dyDescent="0.4">
      <c r="B169" t="s">
        <v>224</v>
      </c>
      <c r="C169" s="54"/>
      <c r="D169" s="112" cm="1">
        <f t="array" ref="D169:G169">INDEX(19:19, COLUMN($D$19) + _xlfn.SEQUENCE(1, COLUMNS(_xlfn.ANCHORARRAY(D4))) - 1)</f>
        <v>-1.38124</v>
      </c>
      <c r="E169" s="112">
        <v>-0.44949</v>
      </c>
      <c r="F169" s="112">
        <v>-1.2</v>
      </c>
      <c r="G169" s="112">
        <v>-1.6</v>
      </c>
      <c r="H169" s="112"/>
      <c r="I169" s="112"/>
      <c r="J169" s="112"/>
      <c r="K169" s="112"/>
      <c r="L169" s="112"/>
      <c r="M169" s="112"/>
    </row>
    <row r="170" spans="2:16" customFormat="1" x14ac:dyDescent="0.4">
      <c r="B170" s="7" t="s">
        <v>434</v>
      </c>
      <c r="C170" s="114"/>
      <c r="D170" s="112"/>
      <c r="E170" s="140" cm="1">
        <f t="array" ref="E170:G170">_xlfn.DROP(_xlfn.ANCHORARRAY(D169),,1) - _xlfn.TAKE(_xlfn.ANCHORARRAY(D169),,COLUMNS(_xlfn.ANCHORARRAY(D167))-1)</f>
        <v>0.93175000000000008</v>
      </c>
      <c r="F170" s="112">
        <v>-0.75051000000000001</v>
      </c>
      <c r="G170" s="112">
        <v>-0.40000000000000013</v>
      </c>
      <c r="H170" s="112"/>
      <c r="I170" s="112"/>
      <c r="J170" s="112"/>
      <c r="K170" s="112"/>
      <c r="L170" s="112"/>
    </row>
    <row r="171" spans="2:16" customFormat="1" x14ac:dyDescent="0.4">
      <c r="B171" t="s">
        <v>759</v>
      </c>
      <c r="D171" s="3" t="b">
        <f>IF(ISNUMBER(D167),D168&lt;-1.5,"")</f>
        <v>1</v>
      </c>
      <c r="E171" s="3" t="b">
        <f t="shared" ref="E171:K171" si="35">IF(ISNUMBER(E167),E168&lt;-1.5,"")</f>
        <v>1</v>
      </c>
      <c r="F171" s="3" t="b">
        <f t="shared" si="35"/>
        <v>1</v>
      </c>
      <c r="G171" s="3" t="b">
        <f t="shared" si="35"/>
        <v>1</v>
      </c>
      <c r="H171" s="3" t="str">
        <f t="shared" si="35"/>
        <v/>
      </c>
      <c r="I171" s="3" t="str">
        <f t="shared" si="35"/>
        <v/>
      </c>
      <c r="J171" s="3" t="str">
        <f t="shared" si="35"/>
        <v/>
      </c>
      <c r="K171" s="3" t="str">
        <f t="shared" si="35"/>
        <v/>
      </c>
      <c r="L171" s="3"/>
      <c r="M171" s="3"/>
      <c r="N171" s="3"/>
      <c r="O171" s="3"/>
      <c r="P171" s="3"/>
    </row>
    <row r="172" spans="2:16" customFormat="1" x14ac:dyDescent="0.4">
      <c r="B172" t="s">
        <v>435</v>
      </c>
      <c r="C172" s="2" t="e" cm="1">
        <f t="array" ref="C172">IF(
  Receives_reference_trajectory,
  SUMPRODUCT(
    --(
      INDEX(171:171,1,COLUMN($D$167)):
      INDEX(171:171,1,COLUMN($D$167)+COLUMNS(_xlfn.ANCHORARRAY($D$167))-1)
    )
  )&gt;0,
  NA()
)</f>
        <v>#N/A</v>
      </c>
    </row>
    <row r="173" spans="2:16" x14ac:dyDescent="0.4">
      <c r="B173" t="s">
        <v>356</v>
      </c>
      <c r="C173" s="16" t="str">
        <f>IF(Receives_reference_trajectory,IF(AdjustmentPeriod=4,0.4,0.25),"Not applicable")</f>
        <v>Not applicable</v>
      </c>
      <c r="E173" s="18"/>
    </row>
    <row r="174" spans="2:16" x14ac:dyDescent="0.4">
      <c r="B174" t="s">
        <v>528</v>
      </c>
      <c r="C174" s="144" t="e" cm="1">
        <f t="array" ref="C174">IF(
  Receives_reference_trajectory,
  IF(
    NOT(IFERROR(C172,FALSE)),
    NA(),
    SUMPRODUCT(
      --(_xlfn.TAKE(IFERROR(_xlfn.CHOOSECOLS(171:171, COLUMN($D$167)+_xlfn.SEQUENCE(1,COLUMNS(_xlfn.ANCHORARRAY($D$167)))-1), FALSE), , COLUMNS(_xlfn.ANCHORARRAY($D$167))-1)),
      --(_xlfn.DROP(_xlfn.CHOOSECOLS(170:170, COLUMN($D$167)+_xlfn.SEQUENCE(1,COLUMNS(_xlfn.ANCHORARRAY($D$167)))-1), , 1) &lt;= C173)
    )=0
  ),
  NA()
)</f>
        <v>#N/A</v>
      </c>
      <c r="E174" s="18"/>
    </row>
    <row r="175" spans="2:16" x14ac:dyDescent="0.4">
      <c r="B175"/>
      <c r="C175" s="16"/>
      <c r="E175" s="18"/>
    </row>
    <row r="176" spans="2:16" x14ac:dyDescent="0.4">
      <c r="B176" s="15" t="s">
        <v>312</v>
      </c>
      <c r="C176" s="124" t="str">
        <f>IF(
  NOT(Receives_reference_trajectory),
  Country &amp; " does not receive a reference trajectory and is not assessed against the deficit resilience safeguard.",IF(
  NOT(C172),
  "The deficit resilience safeguard does not apply, as "&amp;Country&amp;"'s structural deficit never exceeds 1.5 % of GDP over the adjustment period.",
  IF(
    ISNA(C174),
    "The deficit resilience safeguard does not apply, as "&amp;Country&amp;"'s structural deficit never exceeds 1.5 % of GDP over the adjustment period.",
    IF(
      C174,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76" s="18"/>
    </row>
    <row r="177" spans="1:35" x14ac:dyDescent="0.4">
      <c r="C177" s="73"/>
      <c r="E177" s="18"/>
    </row>
    <row r="178" spans="1:35" ht="18" x14ac:dyDescent="0.55000000000000004">
      <c r="B178" s="153" t="s">
        <v>563</v>
      </c>
      <c r="D178" s="18"/>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row>
    <row r="179" spans="1:35" ht="14.25" x14ac:dyDescent="0.45">
      <c r="B179" s="154" t="s">
        <v>510</v>
      </c>
      <c r="D179" s="18"/>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row>
    <row r="180" spans="1:35" x14ac:dyDescent="0.4">
      <c r="B180"/>
      <c r="D180" s="18"/>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row>
    <row r="181" spans="1:35" x14ac:dyDescent="0.4">
      <c r="B181" t="s">
        <v>764</v>
      </c>
      <c r="C181" s="155" cm="1">
        <f t="array" ref="C181">IF(
  AdjustmentPeriodEnd &gt; OutturnThrough,
  INDEX($37:$37, _xlfn.XMATCH(AdjustmentPeriodEnd, $32:$32, 0)) -
  INDEX($19:$19, _xlfn.XMATCH(OutturnThrough, $4:$4, 0)),
  NA()
)</f>
        <v>-0.8505100000000001</v>
      </c>
      <c r="D181" s="18"/>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row>
    <row r="182" spans="1:35" x14ac:dyDescent="0.4">
      <c r="B182" t="s">
        <v>763</v>
      </c>
      <c r="C182" s="155" cm="1">
        <f t="array" ref="C182">IF(
  AdjustmentPeriodEnd &gt; OutturnThrough,
  (
    INDEX($37:$37, _xlfn.XMATCH(AdjustmentPeriodEnd, $32:$32, 0)) -
    INDEX($19:$19, _xlfn.XMATCH(OutturnThrough, $4:$4, 0))
  ) / (AdjustmentPeriodEnd - OutturnThrough),
  NA()
)</f>
        <v>-0.21262750000000002</v>
      </c>
      <c r="D182" s="18"/>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row>
    <row r="183" spans="1:35" x14ac:dyDescent="0.4">
      <c r="B183" t="s">
        <v>762</v>
      </c>
      <c r="C183" s="155" cm="1">
        <f t="array" ref="C183">IF(
  AssessmentEnd &gt; OutturnThrough,
  (
    INDEX($19:$19, _xlfn.XMATCH(AssessmentEnd, $4:$4, 0))
    - INDEX($19:$19, _xlfn.XMATCH(OutturnThrough, $4:$4, 0))
  ) / (AssessmentEnd - OutturnThrough),
  NA()
)</f>
        <v>-0.57525500000000007</v>
      </c>
      <c r="D183" s="18"/>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row>
    <row r="184" spans="1:35" x14ac:dyDescent="0.4">
      <c r="B184" t="s">
        <v>765</v>
      </c>
      <c r="C184" s="155" cm="1">
        <f t="array" ref="C184">IF(
  AssessmentEnd &gt; MTP_YearT,
  (
    INDEX($19:$19, _xlfn.XMATCH(AssessmentEnd, $4:$4, 0))
    - INDEX($19:$19, _xlfn.XMATCH(MTP_YearT, $4:$4, 0))
  ) / (AssessmentEnd - MTP_YearT),
  NA()
)</f>
        <v>-0.57525500000000007</v>
      </c>
      <c r="D184" s="18"/>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row>
    <row r="185" spans="1:35" x14ac:dyDescent="0.4">
      <c r="B185" t="s">
        <v>766</v>
      </c>
      <c r="C185" s="156" t="b">
        <f>IF(ISNA(C183), FALSE, AND(ISNUMBER(C183), C183 &gt;= C182))</f>
        <v>0</v>
      </c>
      <c r="D185" s="18"/>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row>
    <row r="186" spans="1:35" x14ac:dyDescent="0.4">
      <c r="B186"/>
      <c r="C186" s="2"/>
      <c r="D186" s="18"/>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row>
    <row r="187" spans="1:35" x14ac:dyDescent="0.4">
      <c r="B187" s="15" t="s">
        <v>304</v>
      </c>
      <c r="C187" s="124" t="str">
        <f>IFERROR(
  IF(
    AssessmentEnd &lt;= OutturnThrough,
    "Not applicable — the assessment period does not extend beyond the latest outturn year; there is no forward-looking SPB path to assess.",
    IF(
      OR(ISNA(C183), NOT(ISNUMBER(C183))),
      IF(
        C181 &lt; 0,
        Country &amp; "'s SPB already exceeds the target level by " &amp; TEXT(ABS(C181),"0.0") &amp;
          " pp of GDP at the end of the adjustment period. There is fiscal room to allow the SPB to decline while still meeting the target.",
        IF(
          C181 = 0,
          Country &amp; "'s SPB already meets the target level at the end of the adjustment period. No further consolidation is required.",
          Country &amp; "'s total SPB adjustment required over the remaining horizon is " &amp;
            TEXT(C181,"0.0") &amp; " pp of GDP, and the required average annual consolidation is " &amp;
            TEXT(C182,"0.0") &amp; " pp of GDP."
        )
      ),
      IF(
        C181 &lt;= 0,
        IF(
          C183 &lt; 0,
          IF(
            C181 &lt; 0,
            Country &amp; "'s SPB already exceeds the target level by " &amp; TEXT(ABS(C181),"0.0") &amp; " pp of GDP",
            Country &amp; "'s SPB currently meets the target level"
          ) &amp;
            ", but the planned path implies a deterioration of " &amp;
            TEXT(ABS(C183),"0.0") &amp; " pp of GDP per year on average over the assessment period." &amp;
            " Additional adjustment in later years may be needed to maintain the target, creating a risk of backloading." &amp;
            IF(EscapeClauseActivated, " However, an escape clause has been activated.", ""),
          IF(
            C181 &lt; 0,
            Country &amp; "'s SPB already exceeds the target level by " &amp; TEXT(ABS(C181),"0.0") &amp; " pp of GDP",
            Country &amp; "'s SPB already meets the target level"
          ) &amp;
            ". The planned average annual consolidation of " &amp;
            TEXT(C183,"0.0") &amp; " pp of GDP is consistent with maintaining that position."
        ),
        Country &amp; "'s total SPB adjustment required over the remaining horizon is " &amp;
          TEXT(C181,"0.0") &amp; " pp of GDP. The planned average annual consolidation of " &amp;
          TEXT(C183,"0.0") &amp; " pp " &amp;
          IF(
            C183 &gt;= C182,
            "meets or exceeds the required " &amp; TEXT(C182,"0.0") &amp;
              " pp, indicating that adjustment is consistent with achieving the target SPB by the end of the horizon. Adjustment is not backloaded.",
            "falls short of the required " &amp; TEXT(C182,"0.0") &amp;
              " pp, indicating that additional measures may be needed to reach the target SPB. Adjustment may be backloaded." &amp;
              IF(EscapeClauseActivated, " However, an escape clause has been activated.", "")
          )
      )
    )
  ),
  NA()
)</f>
        <v>Latvia's SPB already exceeds the target level by 0.9 pp of GDP, but the planned path implies a deterioration of 0.6 pp of GDP per year on average over the assessment period. Additional adjustment in later years may be needed to maintain the target, creating a risk of backloading. However, an escape clause has been activated.</v>
      </c>
      <c r="D187" s="18"/>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row>
    <row r="188" spans="1:35" x14ac:dyDescent="0.4">
      <c r="B188"/>
      <c r="D188" s="18"/>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row>
    <row r="189" spans="1:35" ht="31.9" x14ac:dyDescent="1">
      <c r="B189" s="96" t="s">
        <v>545</v>
      </c>
    </row>
    <row r="190" spans="1:35" ht="25.15" customHeight="1" x14ac:dyDescent="0.7">
      <c r="B190" s="14" t="s">
        <v>506</v>
      </c>
    </row>
    <row r="191" spans="1:35" ht="14.25" x14ac:dyDescent="0.45">
      <c r="B191" s="127" t="str">
        <f>"That is, whether the Commission prepares and transmits a reference trajectory for net expenditure that "&amp;Country&amp;"'s MTP must not exceed (or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an alternative net expenditure path meeting all requirements of Article 16(2) and (3) of Regulation (EU) 2024/1263 and sound and data-driven economic arguments explaining the difference)</v>
      </c>
    </row>
    <row r="192" spans="1:35" s="23" customFormat="1" ht="14.25" x14ac:dyDescent="0.45">
      <c r="A192"/>
      <c r="B192" s="71"/>
      <c r="C192" s="71"/>
      <c r="D192" s="71"/>
      <c r="E192" s="71"/>
      <c r="F192" s="71"/>
    </row>
    <row r="193" spans="2:10" ht="18" x14ac:dyDescent="0.55000000000000004">
      <c r="B193" s="67" t="s">
        <v>503</v>
      </c>
      <c r="C193" s="16"/>
      <c r="F193" s="54"/>
    </row>
    <row r="194" spans="2:10" x14ac:dyDescent="0.4">
      <c r="B194" t="s">
        <v>922</v>
      </c>
      <c r="C194" s="16" t="b">
        <f>INDEX(20:20, MATCH(MTP_PlanFirstYear, 4:4, 0)) &lt; TFEU_Debt</f>
        <v>1</v>
      </c>
      <c r="F194" s="54"/>
    </row>
    <row r="195" spans="2:10" x14ac:dyDescent="0.4">
      <c r="B195" t="s">
        <v>304</v>
      </c>
      <c r="C195" s="124" t="str">
        <f>IF(
  C194,
  Country &amp; "'s gross general government debt in " &amp; MTP_PlanFirstYear &amp; " was " &amp; TEXT(INDEX(20:20, MATCH(MTP_PlanFirstYear, 4:4, 0)), "0.0") &amp;"% of GDP"&amp; ", below the 60% TFEU reference value.",
  Country &amp; "'s gross general government debt in " &amp; MTP_PlanFirstYear &amp; " was " &amp; TEXT(INDEX(20:20, MATCH(MTP_PlanFirstYear, 4:4, 0)), "0.0") &amp;"% of GDP"&amp; ", higher than the 60% TFEU reference level."
)</f>
        <v>Latvia's gross general government debt in 2023 was 44.4% of GDP, below the 60% TFEU reference value.</v>
      </c>
      <c r="F195" s="54"/>
    </row>
    <row r="196" spans="2:10" x14ac:dyDescent="0.4">
      <c r="B196"/>
      <c r="C196" s="124"/>
      <c r="E196" s="19"/>
      <c r="J196" s="17"/>
    </row>
    <row r="197" spans="2:10" ht="18" x14ac:dyDescent="0.55000000000000004">
      <c r="B197" s="67" t="s">
        <v>504</v>
      </c>
      <c r="F197" s="54"/>
    </row>
    <row r="198" spans="2:10" x14ac:dyDescent="0.4">
      <c r="B198" t="s">
        <v>923</v>
      </c>
      <c r="C198" s="16" t="b">
        <f>INDEX(17:17, MATCH(MTP_PlanFirstYear, 4:4, 0)) &gt; -TFEU_Deficit</f>
        <v>1</v>
      </c>
      <c r="F198" s="54"/>
    </row>
    <row r="199" spans="2:10" x14ac:dyDescent="0.4">
      <c r="B199" t="s">
        <v>304</v>
      </c>
      <c r="C199" s="124"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199" s="54"/>
    </row>
    <row r="200" spans="2:10" x14ac:dyDescent="0.4">
      <c r="C200" s="124"/>
      <c r="F200" s="54"/>
    </row>
    <row r="201" spans="2:10" ht="18" x14ac:dyDescent="0.55000000000000004">
      <c r="B201" s="67" t="s">
        <v>668</v>
      </c>
      <c r="E201" s="19"/>
      <c r="J201" s="17"/>
    </row>
    <row r="202" spans="2:10" x14ac:dyDescent="0.4">
      <c r="B202" t="s">
        <v>505</v>
      </c>
      <c r="C202" s="16" t="b">
        <f>NOT(AND($C$194,$C$198))</f>
        <v>0</v>
      </c>
      <c r="E202" s="19"/>
      <c r="J202" s="17"/>
    </row>
    <row r="203" spans="2:10" x14ac:dyDescent="0.4">
      <c r="B203" t="s">
        <v>304</v>
      </c>
      <c r="C203" s="124" t="str">
        <f>IF(
  C202,
  IF(
    AND(NOT($C$194), $C$198),
    Country &amp; "'s gross debt was above 60% of GDP in "&amp; MTP_PlanFirstYear &amp; " (T" &amp; IF(MTP_BaseYearIsTminus2,"-2","-1") &amp; "), therefore ",
    IF(
      AND($C$194, NOT($C$198)),
      Country &amp; "'s general government deficit was above 3% of GDP in "&amp; MTP_PlanFirstYear &amp; " (T" &amp; IF(MTP_BaseYearIsTminus2,"-2","-1") &amp; "), therefore ",
      IF(
        AND(NOT($C$194), NOT($C$198)),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is higher,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03" s="19"/>
      <c r="J203" s="17"/>
    </row>
    <row r="204" spans="2:10" x14ac:dyDescent="0.4">
      <c r="E204" s="19"/>
      <c r="J204" s="17"/>
    </row>
    <row r="205" spans="2:10" ht="25.15" customHeight="1" x14ac:dyDescent="0.7">
      <c r="B205" s="14" t="s">
        <v>595</v>
      </c>
    </row>
    <row r="206" spans="2:10" ht="14.25" x14ac:dyDescent="0.45">
      <c r="B206" s="127" t="s">
        <v>547</v>
      </c>
    </row>
    <row r="207" spans="2:10" ht="23.25" x14ac:dyDescent="0.7">
      <c r="B207" s="67" t="s">
        <v>546</v>
      </c>
      <c r="C207" s="14"/>
      <c r="E207" s="18"/>
    </row>
    <row r="209" spans="2:35" x14ac:dyDescent="0.4">
      <c r="B209" t="s">
        <v>517</v>
      </c>
      <c r="C209" s="16" t="b">
        <f>AND('Step 4 (MTP) - IFI scrutiny'!F7:F27)</f>
        <v>1</v>
      </c>
    </row>
    <row r="210" spans="2:35" x14ac:dyDescent="0.4">
      <c r="B210" s="15" t="s">
        <v>304</v>
      </c>
      <c r="C210" s="124" t="str">
        <f>IF(C209,"The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11" spans="2:35" customFormat="1" x14ac:dyDescent="0.4"/>
    <row r="212" spans="2:35" customFormat="1" ht="18" x14ac:dyDescent="0.55000000000000004">
      <c r="B212" s="67" t="s">
        <v>594</v>
      </c>
    </row>
    <row r="213" spans="2:35" customFormat="1" x14ac:dyDescent="0.4">
      <c r="B213" t="s">
        <v>680</v>
      </c>
      <c r="C213" s="2" t="b">
        <f>'Step 4 (MTP) - IFI scrutiny'!F30</f>
        <v>0</v>
      </c>
    </row>
    <row r="214" spans="2:35" customFormat="1" x14ac:dyDescent="0.4">
      <c r="B214" t="s">
        <v>758</v>
      </c>
      <c r="C214" s="16" t="e" cm="1">
        <f t="array" ref="C214">IF(
  NOT(C213),
  NA(),
  AND(
    'Step 4 (MTP) - IFI scrutiny'!F31:F42=TRUE,
    'Step 4 (MTP) - IFI scrutiny'!F31:F42&lt;&gt;"NA"
  )
)</f>
        <v>#N/A</v>
      </c>
    </row>
    <row r="215" spans="2:35" customFormat="1" x14ac:dyDescent="0.4">
      <c r="B215" s="15" t="s">
        <v>304</v>
      </c>
      <c r="C215" s="124" t="str">
        <f>IF(
  AdjustmentPeriod&lt;&gt;7,
  "Not applicable. " &amp; Country &amp; " has not requested an extension of the adjustment period.",
  IF(
    C214,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16" spans="2:35" customFormat="1" x14ac:dyDescent="0.4"/>
    <row r="217" spans="2:35" ht="23.25" x14ac:dyDescent="0.7">
      <c r="B217" s="14" t="s">
        <v>507</v>
      </c>
      <c r="E217" s="19"/>
      <c r="J217" s="17"/>
    </row>
    <row r="218" spans="2:35" ht="14.25" x14ac:dyDescent="0.45">
      <c r="B218" s="154" t="s">
        <v>423</v>
      </c>
      <c r="E218" s="19"/>
      <c r="J218" s="17"/>
    </row>
    <row r="219" spans="2:35" customFormat="1" x14ac:dyDescent="0.4"/>
    <row r="220" spans="2:35" customFormat="1" ht="18" x14ac:dyDescent="0.55000000000000004">
      <c r="B220" s="67" t="s">
        <v>596</v>
      </c>
    </row>
    <row r="221" spans="2:35" customFormat="1" x14ac:dyDescent="0.4">
      <c r="B221" t="s">
        <v>549</v>
      </c>
      <c r="C221" s="150">
        <f>AVERAGEIFS(
  70:70,
  32:32, "&gt;" &amp; MTP_YearT,
  32:32, "&lt;=" &amp; AdjustmentPeriodEnd
)</f>
        <v>3.0580491375860737</v>
      </c>
    </row>
    <row r="222" spans="2:35" customFormat="1" x14ac:dyDescent="0.4">
      <c r="B222" t="s">
        <v>550</v>
      </c>
      <c r="C222" s="150">
        <f>AVERAGEIFS(
  34:34,
  32:32, "&gt;" &amp; MTP_YearT,
  32:32, "&lt;=" &amp; AdjustmentPeriodEnd
)</f>
        <v>4.05</v>
      </c>
    </row>
    <row r="223" spans="2:35" customFormat="1" x14ac:dyDescent="0.4">
      <c r="B223" t="s">
        <v>551</v>
      </c>
      <c r="C223" s="150" t="b">
        <f>C221-C222&lt;0</f>
        <v>1</v>
      </c>
    </row>
    <row r="224" spans="2:35" x14ac:dyDescent="0.4">
      <c r="B224" s="15" t="s">
        <v>553</v>
      </c>
      <c r="C224" s="16" t="str">
        <f>IF(Receives_reference_trajectory,'Step 4 (MTP) - IFI scrutiny'!F3="Yes","Not applicable")</f>
        <v>Not applicable</v>
      </c>
      <c r="J224" s="90"/>
      <c r="K224" s="90"/>
      <c r="L224" s="90"/>
      <c r="M224" s="90"/>
      <c r="N224" s="90"/>
      <c r="O224" s="90"/>
      <c r="P224" s="90"/>
      <c r="Q224" s="90"/>
      <c r="R224" s="90"/>
      <c r="S224" s="90"/>
      <c r="T224" s="90"/>
      <c r="U224" s="90"/>
      <c r="V224" s="90"/>
      <c r="W224" s="90"/>
      <c r="X224" s="90"/>
      <c r="Y224" s="90"/>
      <c r="Z224" s="90"/>
      <c r="AA224" s="90"/>
      <c r="AB224" s="90"/>
      <c r="AC224" s="90" t="s">
        <v>310</v>
      </c>
      <c r="AD224" s="90"/>
      <c r="AE224" s="90"/>
      <c r="AF224" s="90"/>
      <c r="AG224" s="90"/>
      <c r="AH224" s="90"/>
      <c r="AI224" s="90"/>
    </row>
    <row r="225" spans="2:35" customFormat="1" x14ac:dyDescent="0.4">
      <c r="B225" t="s">
        <v>304</v>
      </c>
      <c r="C225" s="151" t="str">
        <f>IF(
  C223,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IF(AND(C223, C224&lt;&gt;"Not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AND(C223, NOT(Receives_reference_trajectory)),
  " but remaining below the technical information path is not required.",
  IF(
    AND(C223, C224&lt;&gt;"Not applicable"),
    IF(
      C224,
      ", but the " &amp; IFI_Name &amp; " deems the explanation and alternative assumptions to be satisfactory.",
      ", and the " &amp; IFI_Name &amp; " does not deem the explanation and alternative assumptions to be satisfactory."
    ),
    ""
  )
)</f>
        <v>The average net expenditure growth reported in Latvia's plan over the adjustment period (2025–2028) is higher than the technical information path transmitted by the Commission on 30 June 2024. but remaining below the technical information path is not required.</v>
      </c>
    </row>
    <row r="226" spans="2:35" customFormat="1" x14ac:dyDescent="0.4">
      <c r="C226" s="4"/>
    </row>
    <row r="227" spans="2:35" customFormat="1" ht="26.25" customHeight="1" x14ac:dyDescent="0.55000000000000004">
      <c r="B227" s="67" t="s">
        <v>597</v>
      </c>
    </row>
    <row r="228" spans="2:35" customFormat="1" ht="15.75" x14ac:dyDescent="0.5">
      <c r="B228" s="99" t="s">
        <v>570</v>
      </c>
    </row>
    <row r="229" spans="2:35" x14ac:dyDescent="0.4">
      <c r="B229" s="5" t="s">
        <v>569</v>
      </c>
      <c r="C229" s="16" t="e" cm="1">
        <f t="array" ref="C229">IF(Receives_reference_trajectory,SUMPRODUCT(((46:46&gt;=MTP_YearT)*(46:46&lt;=AdjustmentPeriodEnd)*(65:65&lt;=34:34)))=0,NA())</f>
        <v>#N/A</v>
      </c>
      <c r="E229" s="19"/>
      <c r="J229" s="17"/>
    </row>
    <row r="230" spans="2:35" x14ac:dyDescent="0.4">
      <c r="B230" s="15" t="s">
        <v>579</v>
      </c>
      <c r="C230" s="16" t="e">
        <f>IF(AND(Receives_reference_trajectory,NOT(C229)),'Step 4 (MTP) - IFI scrutiny'!F3="Yes",NA())</f>
        <v>#N/A</v>
      </c>
      <c r="J230" s="90"/>
      <c r="K230" s="90"/>
      <c r="L230" s="90"/>
      <c r="M230" s="90"/>
      <c r="N230" s="90"/>
      <c r="O230" s="90"/>
      <c r="P230" s="90"/>
      <c r="Q230" s="90"/>
      <c r="R230" s="90"/>
      <c r="S230" s="90"/>
      <c r="T230" s="90"/>
      <c r="U230" s="90"/>
      <c r="V230" s="90"/>
      <c r="W230" s="90"/>
      <c r="X230" s="90"/>
      <c r="Y230" s="90"/>
      <c r="Z230" s="90"/>
      <c r="AA230" s="90"/>
      <c r="AB230" s="90"/>
      <c r="AC230" s="90" t="s">
        <v>310</v>
      </c>
      <c r="AD230" s="90"/>
      <c r="AE230" s="90"/>
      <c r="AF230" s="90"/>
      <c r="AG230" s="90"/>
      <c r="AH230" s="90"/>
      <c r="AI230" s="90"/>
    </row>
    <row r="231" spans="2:35" x14ac:dyDescent="0.4">
      <c r="B231" s="15" t="s">
        <v>576</v>
      </c>
      <c r="C231" s="16" t="e">
        <f>IF(
  Receives_reference_trajectory,
  OR(C229, ISNA(C230), C230),
  NA()
)</f>
        <v>#N/A</v>
      </c>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row>
    <row r="232" spans="2:35" x14ac:dyDescent="0.4">
      <c r="B232" s="15" t="s">
        <v>304</v>
      </c>
      <c r="C232" s="124" t="str">
        <f>IF(
  Receives_reference_trajectory,
  IF(
    C229,
    "The net expenditure path in " &amp; Country &amp; "'s latest MTP adheres to the Commission's reference trajectory.",
    IF(
      C230,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row>
    <row r="233" spans="2:35" x14ac:dyDescent="0.4">
      <c r="C233" s="119"/>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row>
    <row r="234" spans="2:35" ht="15.75" x14ac:dyDescent="0.5">
      <c r="B234" s="99" t="s">
        <v>509</v>
      </c>
      <c r="C234" s="54"/>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row>
    <row r="235" spans="2:35" x14ac:dyDescent="0.4">
      <c r="B235" t="str">
        <f>"Minimum level of the primary structural balance without safeguard, "&amp;AdjustmentPeriodEnd</f>
        <v>Minimum level of the primary structural balance without safeguard, 2028</v>
      </c>
      <c r="C235" s="165">
        <f>IF(
  Receives_reference_trajectory,
  NA(),
  INDEX($66:$66, MATCH(AdjustmentPeriodEnd, $63:$63, 0))
)</f>
        <v>-1.3</v>
      </c>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row>
    <row r="236" spans="2:35" x14ac:dyDescent="0.4">
      <c r="B236" t="str">
        <f>"Minimum level of the primary structural balance with safeguard, "&amp;AdjustmentPeriodEnd</f>
        <v>Minimum level of the primary structural balance with safeguard, 2028</v>
      </c>
      <c r="C236" s="165">
        <f>IF(
  Receives_reference_trajectory,
  NA(),
  INDEX($67:$67, MATCH(AdjustmentPeriodEnd, $63:$63, 0))
)</f>
        <v>-0.1424659999999999</v>
      </c>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row>
    <row r="237" spans="2:35" x14ac:dyDescent="0.4">
      <c r="B237" t="s">
        <v>572</v>
      </c>
      <c r="C237" s="119">
        <f>IF(
  Receives_reference_trajectory,
  NA(),
  INDEX(37:37, MATCH(AdjustmentPeriodEnd, 32:32, 0))
)</f>
        <v>-1.3</v>
      </c>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row>
    <row r="238" spans="2:35" x14ac:dyDescent="0.4">
      <c r="B238"/>
      <c r="C238" s="119"/>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row>
    <row r="239" spans="2:35" x14ac:dyDescent="0.4">
      <c r="B239" t="s">
        <v>571</v>
      </c>
      <c r="C239" s="119" t="b">
        <f>IF(
  Receives_reference_trajectory,
  NA(),
  C237 &gt;= C235
)</f>
        <v>1</v>
      </c>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row>
    <row r="240" spans="2:35" x14ac:dyDescent="0.4">
      <c r="B240" s="15" t="s">
        <v>316</v>
      </c>
      <c r="C240" s="16" t="e">
        <f>IF(Receives_reference_trajectory,NA(),IF(NOT(C239),'Step 4 (MTP) - IFI scrutiny'!F3,NA()))</f>
        <v>#N/A</v>
      </c>
      <c r="J240" s="90"/>
      <c r="K240" s="90"/>
      <c r="L240" s="90"/>
      <c r="M240" s="90"/>
      <c r="N240" s="90"/>
      <c r="O240" s="90"/>
      <c r="P240" s="90"/>
      <c r="Q240" s="90"/>
      <c r="R240" s="90"/>
      <c r="S240" s="90"/>
      <c r="T240" s="90"/>
      <c r="U240" s="90"/>
      <c r="V240" s="90"/>
      <c r="W240" s="90"/>
      <c r="X240" s="90"/>
      <c r="Y240" s="90"/>
      <c r="Z240" s="90"/>
      <c r="AA240" s="90"/>
      <c r="AB240" s="90"/>
      <c r="AC240" s="90" t="s">
        <v>310</v>
      </c>
      <c r="AD240" s="90"/>
      <c r="AE240" s="90"/>
      <c r="AF240" s="90"/>
      <c r="AG240" s="90"/>
      <c r="AH240" s="90"/>
      <c r="AI240" s="90"/>
    </row>
    <row r="241" spans="2:35" x14ac:dyDescent="0.4">
      <c r="B241" t="s">
        <v>669</v>
      </c>
      <c r="C241" s="16" t="b">
        <f>IF(
  Receives_reference_trajectory,
  NA(),
  OR(
    C239,
    IF(ISNA(C240), TRUE, C240)
  )
)</f>
        <v>1</v>
      </c>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row>
    <row r="242" spans="2:35" x14ac:dyDescent="0.4">
      <c r="B242" s="15" t="s">
        <v>304</v>
      </c>
      <c r="C242" s="124" t="str">
        <f>IF(
  NOT(Receives_reference_trajectory),
  IF(
    C239,
    "The net expenditure path in " &amp; Country &amp; "'s latest MTP ensures the primary structural balance is above the minimum level of the Commission's prior guidance at the end of the adjustment period.",
    IF(
      C240,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row>
    <row r="243" spans="2:35" ht="15.75" x14ac:dyDescent="0.5">
      <c r="B243" s="99"/>
      <c r="C243" s="124"/>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row>
    <row r="244" spans="2:35" ht="20.25" customHeight="1" x14ac:dyDescent="0.7">
      <c r="B244" s="14" t="s">
        <v>588</v>
      </c>
      <c r="C244" s="19"/>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row>
    <row r="245" spans="2:35" ht="18" x14ac:dyDescent="0.55000000000000004">
      <c r="B245" s="67" t="s">
        <v>598</v>
      </c>
      <c r="C245" s="19"/>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row>
    <row r="246" spans="2:35" customFormat="1" ht="15.75" x14ac:dyDescent="0.5">
      <c r="B246" s="99" t="s">
        <v>570</v>
      </c>
    </row>
    <row r="247" spans="2:35" x14ac:dyDescent="0.4">
      <c r="B247" t="s">
        <v>508</v>
      </c>
      <c r="C247" s="16" t="str">
        <f>IF(
  NOT(Receives_reference_trajectory),
  "Not applicable",
  MAX(
    _xlfn.CHOOSECOLS(
      53:53,
      _xlfn.SEQUENCE(
        1,
        _xlfn.XMATCH(AdjustmentPeriodEnd+10,46:46,1) - _xlfn.XMATCH(AdjustmentPeriodEnd,46:46,0),
        _xlfn.XMATCH(AdjustmentPeriodEnd,46:46,0) + 1
      )
    )
  ) &lt;= TFEU_Debt
)</f>
        <v>Not applicable</v>
      </c>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row>
    <row r="248" spans="2:35" ht="20.25" customHeight="1" x14ac:dyDescent="0.4">
      <c r="B248" t="s">
        <v>412</v>
      </c>
      <c r="C248" s="19"/>
      <c r="E248" s="19"/>
      <c r="J248" s="17"/>
    </row>
    <row r="249" spans="2:35" x14ac:dyDescent="0.4">
      <c r="B249" s="13" t="s">
        <v>406</v>
      </c>
      <c r="C249" s="16" t="str" cm="1">
        <f t="array" ref="C249">IF(OR(NOT(Receives_reference_trajectory),C247),"Not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Not applicable</v>
      </c>
      <c r="E249" s="19"/>
      <c r="J249" s="17"/>
    </row>
    <row r="250" spans="2:35" x14ac:dyDescent="0.4">
      <c r="B250" s="13" t="s">
        <v>407</v>
      </c>
      <c r="C250" s="16" t="str" cm="1">
        <f t="array" ref="C250">IF(OR(NOT(Receives_reference_trajectory),C247),"Not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Not applicable</v>
      </c>
      <c r="E250" s="19"/>
      <c r="J250" s="17"/>
    </row>
    <row r="251" spans="2:35" x14ac:dyDescent="0.4">
      <c r="B251" s="13" t="s">
        <v>408</v>
      </c>
      <c r="C251" s="16" t="str" cm="1">
        <f t="array" ref="C251">IF(OR(NOT(Receives_reference_trajectory),C247),"Not applicable",
 IF(_xlfn.XMATCH(AdjustmentPeriodEnd+10,46:46,1)-_xlfn.XMATCH(AdjustmentPeriodEnd,46:46,0)&lt;=0,TRUE,
   MAX(
     _xlfn.CHOOSECOLS(79:79,_xlfn.SEQUENCE(1,_xlfn.XMATCH(AdjustmentPeriodEnd+10,46:46,1)-_xlfn.XMATCH(AdjustmentPeriodEnd,46:46,0),_xlfn.XMATCH(AdjustmentPeriodEnd,46:46,0)+1)) -
     _xlfn.CHOOSECOLS(79:79,_xlfn.SEQUENCE(1,_xlfn.XMATCH(AdjustmentPeriodEnd+10,46:46,1)-_xlfn.XMATCH(AdjustmentPeriodEnd,46:46,0),_xlfn.XMATCH(AdjustmentPeriodEnd,46:46,0)))
   )&lt;=0
 ))</f>
        <v>Not applicable</v>
      </c>
      <c r="E251" s="19"/>
      <c r="J251" s="17"/>
    </row>
    <row r="252" spans="2:35" x14ac:dyDescent="0.4">
      <c r="B252" s="13" t="s">
        <v>409</v>
      </c>
      <c r="C252" s="16" t="str" cm="1">
        <f t="array" ref="C252">IF(OR(NOT(Receives_reference_trajectory),C247),"Not applicable",
 IF(_xlfn.XMATCH(AdjustmentPeriodEnd+10,46:46,1)-_xlfn.XMATCH(AdjustmentPeriodEnd,46:46,0)&lt;=0,TRUE,
   MAX(
     _xlfn.CHOOSECOLS(80:80,_xlfn.SEQUENCE(1,_xlfn.XMATCH(AdjustmentPeriodEnd+10,46:46,1)-_xlfn.XMATCH(AdjustmentPeriodEnd,46:46,0),_xlfn.XMATCH(AdjustmentPeriodEnd,46:46,0)+1)) -
     _xlfn.CHOOSECOLS(80:80,_xlfn.SEQUENCE(1,_xlfn.XMATCH(AdjustmentPeriodEnd+10,46:46,1)-_xlfn.XMATCH(AdjustmentPeriodEnd,46:46,0),_xlfn.XMATCH(AdjustmentPeriodEnd,46:46,0)))
   )&lt;=0
 ))</f>
        <v>Not applicable</v>
      </c>
      <c r="E252" s="19"/>
      <c r="J252" s="17"/>
    </row>
    <row r="253" spans="2:35" x14ac:dyDescent="0.4">
      <c r="B253" s="13" t="s">
        <v>410</v>
      </c>
      <c r="C253" s="16" t="str" cm="1">
        <f t="array" ref="C253">IF(OR(NOT(Receives_reference_trajectory),C247),"Not applicable",
 IF(_xlfn.XMATCH(AdjustmentPeriodEnd+5,46:46,1)-_xlfn.XMATCH(AdjustmentPeriodEnd,46:46,0)&lt;=0,TRUE,
   INDEX(90:90,_xlfn.XMATCH(AdjustmentPeriodEnd+5,46:46,1)) &lt; INDEX(90:90,_xlfn.XMATCH(AdjustmentPeriodEnd,46:46,0))
 ))</f>
        <v>Not applicable</v>
      </c>
      <c r="E253" s="19"/>
      <c r="J253" s="17"/>
    </row>
    <row r="254" spans="2:35" x14ac:dyDescent="0.4">
      <c r="B254" t="s">
        <v>411</v>
      </c>
      <c r="C254" s="16" t="str" cm="1">
        <f t="array" ref="C254">IF(
  NOT(Receives_reference_trajectory),
  "Not applicable",
  IF(
    C247,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IF(_xlfn.XMATCH(AdjustmentPeriodEnd+10,46:46,1)-_xlfn.XMATCH(AdjustmentPeriodEnd,46:46,0)&lt;=0,TRUE,
         MAX(
           _xlfn.CHOOSECOLS(79:79,_xlfn.SEQUENCE(1,_xlfn.XMATCH(AdjustmentPeriodEnd+10,46:46,1)-_xlfn.XMATCH(AdjustmentPeriodEnd,46:46,0),_xlfn.XMATCH(AdjustmentPeriodEnd,46:46,0)+1))
           -_xlfn.CHOOSECOLS(79:79,_xlfn.SEQUENCE(1,_xlfn.XMATCH(AdjustmentPeriodEnd+10,46:46,1)-_xlfn.XMATCH(AdjustmentPeriodEnd,46:46,0),_xlfn.XMATCH(AdjustmentPeriodEnd,46:46,0)))
         )&lt;=0
      ),
      IF(_xlfn.XMATCH(AdjustmentPeriodEnd+10,46:46,1)-_xlfn.XMATCH(AdjustmentPeriodEnd,46:46,0)&lt;=0,TRUE,
         MAX(
           _xlfn.CHOOSECOLS(80:80,_xlfn.SEQUENCE(1,_xlfn.XMATCH(AdjustmentPeriodEnd+10,46:46,1)-_xlfn.XMATCH(AdjustmentPeriodEnd,46:46,0),_xlfn.XMATCH(AdjustmentPeriodEnd,46:46,0)+1))
           -_xlfn.CHOOSECOLS(80:80,_xlfn.SEQUENCE(1,_xlfn.XMATCH(AdjustmentPeriodEnd+10,46:46,1)-_xlfn.XMATCH(AdjustmentPeriodEnd,46:46,0),_xlfn.XMATCH(AdjustmentPeriodEnd,46:46,0)))
         )&lt;=0
      ),
      $D$59&gt;=70
    )
  )
)</f>
        <v>Not applicable</v>
      </c>
      <c r="E254" s="19"/>
      <c r="J254" s="17"/>
    </row>
    <row r="255" spans="2:35" ht="20.25" customHeight="1" x14ac:dyDescent="0.4">
      <c r="B255" s="15" t="s">
        <v>304</v>
      </c>
      <c r="C255" s="124" t="e">
        <f>IF(Receives_reference_trajectory,IF(C247,Country&amp;"'s planned net expenditure ensures gross government debt remains at prudent levels below 60% over the medium-term.",IF(C254,Country&amp;"'s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55" s="19"/>
      <c r="J255" s="17"/>
    </row>
    <row r="256" spans="2:35" ht="20.25" customHeight="1" x14ac:dyDescent="0.4">
      <c r="C256" s="124"/>
      <c r="E256" s="19"/>
      <c r="J256" s="17"/>
    </row>
    <row r="257" spans="2:35" ht="15.75" x14ac:dyDescent="0.5">
      <c r="B257" s="99" t="s">
        <v>509</v>
      </c>
      <c r="C257" s="54"/>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row>
    <row r="258" spans="2:35" x14ac:dyDescent="0.4">
      <c r="B258" t="s">
        <v>573</v>
      </c>
      <c r="C258" s="16" t="b" cm="1">
        <f t="array" ref="C258">IF(
  Receives_reference_trajectory,
  NA(),
  MAX(IF((46:46&gt;AdjustmentPeriodEnd)*(46:46&lt;=AdjustmentPeriodEnd+10), 53:53)) &lt;= TFEU_Debt
)</f>
        <v>1</v>
      </c>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row>
    <row r="259" spans="2:35" ht="19.5" customHeight="1" x14ac:dyDescent="0.4">
      <c r="B259" s="15" t="s">
        <v>304</v>
      </c>
      <c r="C259" s="124" t="str">
        <f>IF(
  ISNA(C258),
  "Not applicable",
  IF(
    C258,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59" s="19"/>
      <c r="J259" s="17"/>
    </row>
    <row r="260" spans="2:35" ht="19.5" customHeight="1" x14ac:dyDescent="0.4">
      <c r="C260" s="54"/>
      <c r="E260" s="19"/>
      <c r="J260" s="17"/>
    </row>
    <row r="261" spans="2:35" ht="18" x14ac:dyDescent="0.55000000000000004">
      <c r="B261" s="67" t="s">
        <v>599</v>
      </c>
      <c r="C261" s="113"/>
      <c r="E261" s="19"/>
      <c r="J261" s="17"/>
    </row>
    <row r="262" spans="2:35" customFormat="1" ht="15.75" x14ac:dyDescent="0.5">
      <c r="B262" s="99" t="s">
        <v>570</v>
      </c>
    </row>
    <row r="263" spans="2:35" x14ac:dyDescent="0.4">
      <c r="B263" t="s">
        <v>557</v>
      </c>
      <c r="C263" s="16" t="e" cm="1">
        <f t="array" ref="C263">IF(
  Receives_reference_trajectory,
  IFERROR(
    AND(
      _xlfn._xlws.FILTER(
        50:50,
        (46:46&gt;=MTP_YearT)*(46:46&lt;=AdjustmentPeriodEnd)
      ) &gt; -TFEU_Deficit
    ),
    NA()
  ),
  NA()
)</f>
        <v>#N/A</v>
      </c>
      <c r="E263" s="19"/>
      <c r="J263" s="17"/>
    </row>
    <row r="264" spans="2:35" x14ac:dyDescent="0.4">
      <c r="B264" t="s">
        <v>558</v>
      </c>
      <c r="C264" s="16" t="e" cm="1">
        <f t="array" ref="C264">IF(
  Receives_reference_trajectory,
  IFERROR(
    AND(
      _xlfn._xlws.FILTER(
        50:50,
        (46:46&gt;=AdjustmentPeriodEnd)*(46:46&lt;=AdjustmentPeriodEnd+10)
      ) &gt; -TFEU_Deficit
    ),
    NA()
  ),
  NA()
)</f>
        <v>#N/A</v>
      </c>
      <c r="E264" s="19"/>
      <c r="J264" s="17"/>
    </row>
    <row r="265" spans="2:35" ht="20.25" customHeight="1" x14ac:dyDescent="0.4">
      <c r="B265" s="15" t="s">
        <v>304</v>
      </c>
      <c r="C265" s="124" t="e">
        <f>IF(
  Receives_reference_trajectory,
  IF(
    C264,
    IF(
      C263,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65" s="19"/>
      <c r="J265" s="17"/>
    </row>
    <row r="266" spans="2:35" ht="20.25" customHeight="1" x14ac:dyDescent="0.4">
      <c r="C266" s="124"/>
      <c r="E266" s="19"/>
      <c r="J266" s="17"/>
    </row>
    <row r="267" spans="2:35" ht="15.75" x14ac:dyDescent="0.5">
      <c r="B267" s="99" t="s">
        <v>509</v>
      </c>
      <c r="C267" s="54"/>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row>
    <row r="268" spans="2:35" x14ac:dyDescent="0.4">
      <c r="B268" t="s">
        <v>574</v>
      </c>
      <c r="C268" s="16" t="b" cm="1">
        <f t="array" ref="C268">IF(
  Receives_reference_trajectory,
  NA(),
  MIN(IF((46:46&gt;=AdjustmentPeriodEnd)*(46:46&lt;=AdjustmentPeriodEnd+10), 50:50)) &gt;= -TFEU_Deficit
)</f>
        <v>1</v>
      </c>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row>
    <row r="269" spans="2:35" x14ac:dyDescent="0.4">
      <c r="B269" s="2" t="s">
        <v>589</v>
      </c>
      <c r="C269" s="16" t="b" cm="1">
        <f t="array" ref="C269">IF(
  Receives_reference_trajectory,
  NA(),
  MIN(IF(46:46=AdjustmentPeriodEnd, 50:50)) &gt;= -TFEU_Deficit
)</f>
        <v>1</v>
      </c>
      <c r="E269" s="19"/>
      <c r="J269" s="17"/>
    </row>
    <row r="270" spans="2:35" x14ac:dyDescent="0.4">
      <c r="B270" s="2" t="s">
        <v>590</v>
      </c>
      <c r="C270" s="16" t="b" cm="1">
        <f t="array" ref="C270">IF(
  Receives_reference_trajectory,
  NA(),
  MIN(IF((46:46&gt;AdjustmentPeriodEnd)*(46:46&lt;=AdjustmentPeriodEnd+10), 50:50)) &gt;= -TFEU_Deficit
)</f>
        <v>1</v>
      </c>
      <c r="E270" s="19"/>
      <c r="J270" s="17"/>
    </row>
    <row r="271" spans="2:35" x14ac:dyDescent="0.4">
      <c r="B271"/>
      <c r="C271" s="16"/>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row>
    <row r="272" spans="2:35" ht="17.25" customHeight="1" x14ac:dyDescent="0.4">
      <c r="B272" s="15" t="s">
        <v>304</v>
      </c>
      <c r="C272" s="124" t="str">
        <f>IF(
  OR(ISNA(C269), ISNA(C270)),
  "Not applicable",
  IF(
    AND(C269, C270),
    Country &amp; "'s deficit remains below the TFEU reference level in the final year of the adjustment period and throughout the following ten years.",
    IF(
      AND(NOT(C269), C270),
      Country &amp; "'s deficit breaches the TFEU reference level in the final year of the adjustment period but remains below it in the following ten years.",
      IF(
        AND(C269, NOT(C270)),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row>
    <row r="273" spans="2:35" x14ac:dyDescent="0.4">
      <c r="C273" s="124"/>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row>
    <row r="274" spans="2:35" ht="18" x14ac:dyDescent="0.55000000000000004">
      <c r="B274" s="67" t="s">
        <v>580</v>
      </c>
      <c r="C274" s="54"/>
      <c r="E274" s="18"/>
    </row>
    <row r="275" spans="2:35" ht="16.899999999999999" customHeight="1" x14ac:dyDescent="0.7">
      <c r="B275" s="125"/>
      <c r="C275" s="126"/>
      <c r="D275" s="15" cm="1">
        <f t="array" ref="D275:I275">_xlfn.SEQUENCE(1, AdjustmentPeriodEnd-MTP_BaseYear+1, MTP_BaseYear)</f>
        <v>2023</v>
      </c>
      <c r="E275" s="15">
        <v>2024</v>
      </c>
      <c r="F275" s="18">
        <v>2025</v>
      </c>
      <c r="G275" s="15">
        <v>2026</v>
      </c>
      <c r="H275" s="15">
        <v>2027</v>
      </c>
      <c r="I275" s="15">
        <v>2028</v>
      </c>
    </row>
    <row r="276" spans="2:35" ht="13.5" customHeight="1" x14ac:dyDescent="0.4">
      <c r="B276" t="s">
        <v>224</v>
      </c>
      <c r="C276" s="54"/>
      <c r="D276" s="112" cm="1">
        <f t="array" ref="D276:I276">INDEX(37:37, COLUMN($D$37) + _xlfn.SEQUENCE(1, COLUMNS(_xlfn.ANCHORARRAY(D275))) - 1)</f>
        <v>-1.2</v>
      </c>
      <c r="E276" s="112">
        <v>-0.8</v>
      </c>
      <c r="F276" s="112">
        <v>-1.3</v>
      </c>
      <c r="G276" s="112">
        <v>-1.3</v>
      </c>
      <c r="H276" s="112">
        <v>-1.3</v>
      </c>
      <c r="I276" s="112">
        <v>-1.3</v>
      </c>
    </row>
    <row r="277" spans="2:35" ht="13.5" customHeight="1" x14ac:dyDescent="0.4">
      <c r="B277" s="7" t="s">
        <v>396</v>
      </c>
      <c r="C277" s="114"/>
      <c r="E277" s="122">
        <f>IF(ISNUMBER(E276),E276-D276,"")</f>
        <v>0.39999999999999991</v>
      </c>
      <c r="F277" s="122">
        <f t="shared" ref="F277:M277" si="36">IF(ISNUMBER(F276),F276-E276,"")</f>
        <v>-0.5</v>
      </c>
      <c r="G277" s="122">
        <f t="shared" si="36"/>
        <v>0</v>
      </c>
      <c r="H277" s="122">
        <f t="shared" si="36"/>
        <v>0</v>
      </c>
      <c r="I277" s="122">
        <f t="shared" si="36"/>
        <v>0</v>
      </c>
      <c r="J277" s="122" t="str">
        <f t="shared" si="36"/>
        <v/>
      </c>
      <c r="K277" s="122" t="str">
        <f t="shared" si="36"/>
        <v/>
      </c>
      <c r="L277" s="122" t="str">
        <f t="shared" si="36"/>
        <v/>
      </c>
      <c r="M277" s="122" t="str">
        <f t="shared" si="36"/>
        <v/>
      </c>
      <c r="N277" s="122"/>
      <c r="O277" s="122"/>
    </row>
    <row r="278" spans="2:35" x14ac:dyDescent="0.4">
      <c r="B278"/>
      <c r="C278" s="54"/>
      <c r="E278" s="122"/>
      <c r="F278" s="122"/>
      <c r="G278" s="122"/>
      <c r="H278" s="122"/>
      <c r="I278" s="122"/>
      <c r="J278" s="122"/>
      <c r="K278" s="122"/>
      <c r="L278" s="122"/>
      <c r="M278" s="122"/>
      <c r="N278" s="122"/>
      <c r="O278" s="122"/>
    </row>
    <row r="279" spans="2:35" x14ac:dyDescent="0.4">
      <c r="B279" t="s">
        <v>425</v>
      </c>
      <c r="C279" s="119" t="e" cm="1">
        <f t="array" ref="C279">IF(
  Receives_reference_trajectory,
  MAX(ROUND(_xlfn._xlws.FILTER(277:277, ISNUMBER(275:275)*(275:275&gt;=MTP_YearT+1)*(275:275&lt;=AdjustmentPeriodEnd)), 1))
  =
  MIN(ROUND(_xlfn._xlws.FILTER(277:277, ISNUMBER(275:275)*(275:275&gt;=MTP_YearT+1)*(275:275&lt;=AdjustmentPeriodEnd)), 1)),
  NA()
)</f>
        <v>#N/A</v>
      </c>
      <c r="D279" s="68"/>
    </row>
    <row r="280" spans="2:35" x14ac:dyDescent="0.4">
      <c r="B280" t="s">
        <v>403</v>
      </c>
      <c r="C280" s="119" t="e" cm="1">
        <f t="array" ref="C280">IF(
  Receives_reference_trajectory,
  MAX(
    _xlfn.DROP(
      ROUND(
        _xlfn._xlws.FILTER(277:277, ISNUMBER(275:275)*(275:275&gt;=MTP_YearT+1)*(275:275&lt;=AdjustmentPeriodEnd)),
        1
      ),
      ,1
    )
    -
    _xlfn.DROP(
      ROUND(
        _xlfn._xlws.FILTER(277:277, ISNUMBER(275:275)*(275:275&gt;=MTP_YearT+1)*(275:275&lt;=AdjustmentPeriodEnd)),
        1
      ),
      ,-1
    )
  )&lt;=0,
  NA()
)</f>
        <v>#N/A</v>
      </c>
      <c r="D280" s="68"/>
    </row>
    <row r="281" spans="2:35" x14ac:dyDescent="0.4">
      <c r="B281" t="s">
        <v>404</v>
      </c>
      <c r="C281" s="119" t="e" cm="1">
        <f t="array" ref="C281">IF(
  Receives_reference_trajectory,
  AND(
    MAX(ROUND(_xlfn._xlws.FILTER(277:277,ISNUMBER(275:275)*(275:275&gt;=MTP_YearT+1)*(275:275&lt;=AdjustmentPeriodEnd)),1))=ROUND($C$282,1),
    MIN(ROUND(_xlfn._xlws.FILTER(277:277,ISNUMBER(275:275)*(275:275&gt;=MTP_YearT+1)*(275:275&lt;=AdjustmentPeriodEnd)),1))=ROUND($C$282,1)
  ),
  NA()
)</f>
        <v>#N/A</v>
      </c>
      <c r="D281" s="68"/>
    </row>
    <row r="282" spans="2:35" x14ac:dyDescent="0.4">
      <c r="B282" s="3" t="s">
        <v>397</v>
      </c>
      <c r="C282" s="119" t="e" cm="1">
        <f t="array" ref="C282">IF(
  Receives_reference_trajectory,
  AVERAGE(
    _xlfn.DROP(
      _xlfn._xlws.FILTER(276:276, ISNUMBER(275:275)*(275:275&gt;=MTP_YearT+1)*(275:275&lt;=AdjustmentPeriodEnd)),
      ,1
    )
    -
    _xlfn.DROP(
      _xlfn._xlws.FILTER(276:276, ISNUMBER(275:275)*(275:275&gt;=MTP_YearT+1)*(275:275&lt;=AdjustmentPeriodEnd)),
      ,-1
    )
  ),
  NA()
)</f>
        <v>#N/A</v>
      </c>
      <c r="D282" s="68"/>
    </row>
    <row r="283" spans="2:35" x14ac:dyDescent="0.4">
      <c r="B283" s="5" t="s">
        <v>398</v>
      </c>
      <c r="C283" s="119" t="e">
        <f>IF(Receives_reference_trajectory,AND(C279:C281),NA())</f>
        <v>#N/A</v>
      </c>
      <c r="D283" s="68"/>
    </row>
    <row r="284" spans="2:35" x14ac:dyDescent="0.4">
      <c r="B284" s="3"/>
      <c r="C284" s="123"/>
      <c r="D284" s="68"/>
    </row>
    <row r="285" spans="2:35" x14ac:dyDescent="0.4">
      <c r="B285" s="15" t="s">
        <v>304</v>
      </c>
      <c r="C285" s="124" t="str">
        <f>IF(
  NOT(Receives_reference_trajectory),
  "Not applicable - "&amp;Country&amp;" is not required to comply with a reference trajectory.",
  "The time profile of the fiscal adjustment, measured as the change in the structural primary balance, is " &amp;
  IF(C279,"linear","non-linear") &amp; ". " &amp;
  "The adjustment effort " &amp; IF(C280,"does not rise","rises") &amp; " over the adjustment period, and it is " &amp;
  IF(C281,"proportional","not proportional") &amp;
  " to the total effort over the adjustment period. " &amp;
  IF(AND(C279,C280,C281),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285" s="68"/>
    </row>
    <row r="286" spans="2:35" x14ac:dyDescent="0.4">
      <c r="C286" s="73"/>
      <c r="D286" s="68"/>
    </row>
    <row r="287" spans="2:35" ht="18" x14ac:dyDescent="0.55000000000000004">
      <c r="B287" s="67" t="s">
        <v>581</v>
      </c>
      <c r="C287" s="73"/>
      <c r="D287" s="68"/>
    </row>
    <row r="288" spans="2:35" x14ac:dyDescent="0.4">
      <c r="B288" t="s">
        <v>413</v>
      </c>
      <c r="C288" s="119" t="b">
        <f>'Step 1 - Set global parameters'!B18</f>
        <v>0</v>
      </c>
      <c r="D288" s="68"/>
    </row>
    <row r="289" spans="2:35" x14ac:dyDescent="0.4">
      <c r="B289" t="s">
        <v>418</v>
      </c>
      <c r="C289" s="119" t="e">
        <f>IF(ISNA('Step 1 - Set global parameters'!B19), NA(), 'Step 1 - Set global parameters'!B19)</f>
        <v>#N/A</v>
      </c>
      <c r="D289" s="68"/>
    </row>
    <row r="290" spans="2:35" x14ac:dyDescent="0.4">
      <c r="B290" t="s">
        <v>414</v>
      </c>
      <c r="C290" s="119" t="b">
        <f>'Step 1 - Set global parameters'!B20</f>
        <v>0</v>
      </c>
      <c r="D290" s="68"/>
    </row>
    <row r="291" spans="2:35" x14ac:dyDescent="0.4">
      <c r="B291" t="s">
        <v>854</v>
      </c>
      <c r="C291" s="119" t="e">
        <f>IF(ISNA('Step 1 - Set global parameters'!B21), NA(), 'Step 1 - Set global parameters'!B21)</f>
        <v>#N/A</v>
      </c>
      <c r="D291" s="68"/>
    </row>
    <row r="292" spans="2:35" x14ac:dyDescent="0.4">
      <c r="B292" t="s">
        <v>421</v>
      </c>
      <c r="C292" s="119" t="e" cm="1">
        <f t="array" ref="C292">IF(
  NOT(C288),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2" s="68"/>
    </row>
    <row r="293" spans="2:35" x14ac:dyDescent="0.4">
      <c r="B293" t="s">
        <v>415</v>
      </c>
      <c r="C293" s="119" t="e" cm="1">
        <f t="array" ref="C293">IF(
  ISNA($C$292),
  NA(),
  IF(
    $C$292=TRUE,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293" s="68"/>
    </row>
    <row r="294" spans="2:35" x14ac:dyDescent="0.4">
      <c r="B294" t="s">
        <v>422</v>
      </c>
      <c r="C294" s="119" t="e">
        <f>IF(NOT(C290),NA(),C229)</f>
        <v>#N/A</v>
      </c>
      <c r="D294" s="68"/>
    </row>
    <row r="295" spans="2:35" x14ac:dyDescent="0.4">
      <c r="B295" t="s">
        <v>424</v>
      </c>
      <c r="C295" s="119" t="e">
        <f>IF(
  NOT($C$290),
  NA(),
  IF(
    Debt_EDP_Deadline &gt; AdjustmentPeriodEnd,
    "Deadline year exceeds last year of reference trajectory.",
    "Requires manual review — test not implemented."
  )
)</f>
        <v>#N/A</v>
      </c>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row>
    <row r="296" spans="2:35" x14ac:dyDescent="0.4">
      <c r="B296" t="s">
        <v>429</v>
      </c>
      <c r="C296" s="119" t="e">
        <f>IF(
   OR(ISNA(C292), ISNA(C293), ISNA(C294), ISNA(C295), ISTEXT(C295)),
   NA(),
   AND(
      OR(
         AND(C288, OR(C292, C293)),
         AND(C290, C294, C295),
         AND(C288, NOT(C290), OR(C292, C293)),
         AND(C290, NOT(C288), C294, C295)
      )
   )
)</f>
        <v>#N/A</v>
      </c>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row>
    <row r="297" spans="2:35" x14ac:dyDescent="0.4">
      <c r="B297" s="15" t="s">
        <v>304</v>
      </c>
      <c r="C297" s="124" t="str">
        <f>IF(
  OR(C288,C290),
  IF(
    ISNA(C296),
    "The assessment of " &amp; Country &amp; "'s consistency with an excessive deficit procedure corrective path requires manual review.",
    IF(
      C296,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row>
    <row r="298" spans="2:35" x14ac:dyDescent="0.4">
      <c r="B298"/>
      <c r="C298" s="119"/>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row>
    <row r="299" spans="2:35" ht="20.25" customHeight="1" x14ac:dyDescent="0.7">
      <c r="B299" s="14" t="s">
        <v>587</v>
      </c>
      <c r="C299" s="19"/>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row>
    <row r="300" spans="2:35" ht="18" x14ac:dyDescent="0.55000000000000004">
      <c r="B300" s="67" t="s">
        <v>582</v>
      </c>
      <c r="D300" s="18"/>
      <c r="J300" s="90"/>
      <c r="K300" s="90"/>
      <c r="L300" s="90" t="s">
        <v>302</v>
      </c>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row>
    <row r="301" spans="2:35" x14ac:dyDescent="0.4">
      <c r="B301" t="s">
        <v>673</v>
      </c>
      <c r="C301" s="144" t="b">
        <f>(Country="Greece")</f>
        <v>0</v>
      </c>
    </row>
    <row r="302" spans="2:35" x14ac:dyDescent="0.4">
      <c r="B302" t="s">
        <v>431</v>
      </c>
      <c r="C302" s="16" t="b">
        <f>MAX(INDEX(53:53,1,COLUMN($D$46)):INDEX(53:53,1,COLUMN($D$46)+COLUMNS(_xlfn.ANCHORARRAY($D$46))-1))&gt;90</f>
        <v>0</v>
      </c>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row>
    <row r="303" spans="2:35" x14ac:dyDescent="0.4">
      <c r="B303" t="s">
        <v>432</v>
      </c>
      <c r="C303" s="144" t="b" cm="1">
        <f t="array" ref="C303">SUMPRODUCT(
  --(INDEX(76:76,1,COLUMN($D$46)):INDEX(76:76,1,COLUMN($D$46)+COLUMNS(_xlfn.ANCHORARRAY($D$46))-1)&gt;=60),
  --(INDEX(76:76,1,COLUMN($D$46)):INDEX(76:76,1,COLUMN($D$46)+COLUMNS(_xlfn.ANCHORARRAY($D$46))-1)&lt;=90)
)&gt;0</f>
        <v>0</v>
      </c>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row>
    <row r="304" spans="2:35" x14ac:dyDescent="0.4">
      <c r="B304" t="s">
        <v>313</v>
      </c>
      <c r="C304" s="144" t="e" cm="1">
        <f t="array" ref="C304">IF(
  C302,
  IFERROR(
    _xlfn.LET(
      _xlpm.yrs,_xlfn.ANCHORARRAY( $D$46),
      _xlpm.startYr, IF(OR('Step 1 - Set global parameters'!$B$18,'Step 1 - Set global parameters'!$B$20), Validation!$Q$6, MTP_BaseYear-1),
      _xlpm.debt, INDEX(53:53, COLUMN($D$46)+_xlfn.SEQUENCE(1, COLUMNS(_xlfn.ANCHORARRAY($D$46)), 0)),
      _xlpm.elig,
        (_xlpm.yrs&gt;=_xlpm.startYr)*
        (_xlpm.yrs&lt;=AdjustmentPeriodEnd)*
        (_xlpm.debt&gt;90)*
        IF(C301, _xlpm.yrs&lt;&gt;2033, TRUE),
      _xlpm.lastYr, LOOKUP(9^9, IF(_xlpm.elig, _xlpm.yrs)),
      _xlpm.startDebt, _xlfn.XLOOKUP(_xlpm.startYr, _xlpm.yrs, _xlpm.debt,,0),
      _xlpm.endDebt,   _xlfn.XLOOKUP(_xlpm.lastYr,  _xlpm.yrs, _xlpm.debt,,0),
      ((_xlpm.startDebt-_xlpm.endDebt)/(_xlpm.lastYr-_xlpm.startYr))&gt;=1
    ),
    TRUE
  ),
  NA()
)</f>
        <v>#N/A</v>
      </c>
    </row>
    <row r="305" spans="2:14" x14ac:dyDescent="0.4">
      <c r="B305" t="s">
        <v>314</v>
      </c>
      <c r="C305" s="144" t="e" cm="1">
        <f t="array" ref="C305">IF(C303,IFERROR(
  (
    INDEX(53:53, COLUMN($D$46)+_xlfn.XMATCH(IF(OR('Step 1 - Set global parameters'!$B$18,'Step 1 - Set global parameters'!$B$20), Validation!$Q$6, MTP_BaseYear-1),_xlfn.ANCHORARRAY( $D$46), 1)-1)
    -
    INDEX(53:53, COLUMN($D$46)+_xlfn.XMATCH(
      LOOKUP(9^9, IF(
        (_xlfn.ANCHORARRAY($D$46)&gt;=IF(OR('Step 1 - Set global parameters'!$B$18,'Step 1 - Set global parameters'!$B$20), Validation!$Q$6, MTP_BaseYear-1))*
        (_xlfn.ANCHORARRAY($D$46)&lt;=AdjustmentPeriodEnd)*
        (INDEX(53:53, COLUMN($D$46)+_xlfn.SEQUENCE(1,COLUMNS(_xlfn.ANCHORARRAY($D$46)),0))&gt;TFEU_Debt),_xlfn.ANCHORARRAY(
        $D$46))
      ),_xlfn.ANCHORARRAY(
      $D$46), 1)-1)
  ) /
  (
    LOOKUP(9^9, IF(
      (_xlfn.ANCHORARRAY($D$46)&gt;=IF(OR('Step 1 - Set global parameters'!$B$18,'Step 1 - Set global parameters'!$B$20), Validation!$Q$6, MTP_BaseYear-1))*
      (_xlfn.ANCHORARRAY($D$46)&lt;=AdjustmentPeriodEnd)*
      (INDEX(53:53, COLUMN($D$46)+_xlfn.SEQUENCE(1,COLUMNS(_xlfn.ANCHORARRAY($D$46)),0))&gt;TFEU_Debt),_xlfn.ANCHORARRAY(
      $D$46))
    )
    - IF(OR('Step 1 - Set global parameters'!$B$18,'Step 1 - Set global parameters'!$B$20), Validation!$Q$6, MTP_BaseYear-1)
  )
  &gt;= 0.5,
  TRUE
),NA())</f>
        <v>#N/A</v>
      </c>
    </row>
    <row r="306" spans="2:14" x14ac:dyDescent="0.4">
      <c r="B306" s="15" t="s">
        <v>592</v>
      </c>
      <c r="C306" s="16" t="e">
        <f>IF(
  NOT(Receives_reference_trajectory),
  NA(),
  IF(
    OR(C302=TRUE, C303=TRUE),
    IF(
      OR(
        IF(C302=TRUE, C304=FALSE, FALSE),
        IF(C303=TRUE, C305=FALSE, FALSE)
      ),
      FALSE,
      TRUE
    ),
    NA()
  )
)</f>
        <v>#N/A</v>
      </c>
    </row>
    <row r="307" spans="2:14" x14ac:dyDescent="0.4">
      <c r="C307" s="18"/>
    </row>
    <row r="308" spans="2:14" x14ac:dyDescent="0.4">
      <c r="B308" s="15" t="s">
        <v>312</v>
      </c>
      <c r="C308" s="124" t="str">
        <f>IF(
  NOT(Receives_reference_trajectory),
  Country &amp; " does not receive a reference trajectory and its MTP is not assessed against the debt sustainability safeguard.",
  IF(
    OR(C302=TRUE, C303=TRUE),
    IF(
      OR(
        IF(C302=TRUE, C304=FALSE, FALSE),
        IF(C303=TRUE, C305=FALSE,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08" s="18"/>
    </row>
    <row r="309" spans="2:14" x14ac:dyDescent="0.4">
      <c r="C309" s="73"/>
      <c r="E309" s="18"/>
    </row>
    <row r="310" spans="2:14" ht="23.25" x14ac:dyDescent="0.7">
      <c r="B310" s="67" t="s">
        <v>583</v>
      </c>
      <c r="C310" s="14"/>
      <c r="E310" s="18"/>
    </row>
    <row r="311" spans="2:14" customFormat="1" ht="23.25" x14ac:dyDescent="0.7">
      <c r="B311" s="125"/>
      <c r="C311" s="126"/>
      <c r="D311" s="15" cm="1">
        <f t="array" ref="D311:I311">_xlfn.SEQUENCE(1, AdjustmentPeriodEnd-MTP_BaseYear+1, MTP_BaseYear)</f>
        <v>2023</v>
      </c>
      <c r="E311" s="15">
        <v>2024</v>
      </c>
      <c r="F311" s="18">
        <v>2025</v>
      </c>
      <c r="G311" s="15">
        <v>2026</v>
      </c>
      <c r="H311" s="15">
        <v>2027</v>
      </c>
      <c r="I311" s="15">
        <v>2028</v>
      </c>
    </row>
    <row r="312" spans="2:14" customFormat="1" x14ac:dyDescent="0.4">
      <c r="B312" t="s">
        <v>433</v>
      </c>
      <c r="C312" s="54"/>
      <c r="D312" s="112" cm="1">
        <f t="array" ref="D312:I312">INDEX(36:36, COLUMN($D$36) + _xlfn.SEQUENCE(1, COLUMNS(_xlfn.ANCHORARRAY(D311))) - 1)</f>
        <v>-1.8</v>
      </c>
      <c r="E312" s="112">
        <v>-1.9</v>
      </c>
      <c r="F312" s="112">
        <v>-2.5</v>
      </c>
      <c r="G312" s="112">
        <v>-2.6</v>
      </c>
      <c r="H312" s="112">
        <v>-2.7</v>
      </c>
      <c r="I312" s="112">
        <v>-2.7</v>
      </c>
      <c r="J312" s="112"/>
      <c r="K312" s="112"/>
      <c r="L312" s="112"/>
      <c r="M312" s="112"/>
      <c r="N312" s="112"/>
    </row>
    <row r="313" spans="2:14" customFormat="1" x14ac:dyDescent="0.4">
      <c r="B313" t="s">
        <v>224</v>
      </c>
      <c r="C313" s="54"/>
      <c r="D313" s="112" cm="1">
        <f t="array" ref="D313:I313">INDEX(37:37, COLUMN($D$37) + _xlfn.SEQUENCE(1, COLUMNS(_xlfn.ANCHORARRAY(D311))) - 1)</f>
        <v>-1.2</v>
      </c>
      <c r="E313" s="112">
        <v>-0.8</v>
      </c>
      <c r="F313" s="112">
        <v>-1.3</v>
      </c>
      <c r="G313" s="112">
        <v>-1.3</v>
      </c>
      <c r="H313" s="112">
        <v>-1.3</v>
      </c>
      <c r="I313" s="112">
        <v>-1.3</v>
      </c>
      <c r="J313" s="112"/>
      <c r="K313" s="112"/>
      <c r="L313" s="112"/>
      <c r="M313" s="112"/>
    </row>
    <row r="314" spans="2:14" customFormat="1" x14ac:dyDescent="0.4">
      <c r="B314" s="7" t="s">
        <v>434</v>
      </c>
      <c r="C314" s="114"/>
      <c r="D314" s="112"/>
      <c r="E314" s="112"/>
      <c r="F314" s="112">
        <f>IF(COUNT(E313,F313)=2, F313-E313, "")</f>
        <v>-0.5</v>
      </c>
      <c r="G314" s="112">
        <f t="shared" ref="G314:L314" si="37">IF(COUNT(F313,G313)=2, G313-F313, "")</f>
        <v>0</v>
      </c>
      <c r="H314" s="112">
        <f t="shared" si="37"/>
        <v>0</v>
      </c>
      <c r="I314" s="112">
        <f t="shared" si="37"/>
        <v>0</v>
      </c>
      <c r="J314" s="112" t="str">
        <f t="shared" si="37"/>
        <v/>
      </c>
      <c r="K314" s="112" t="str">
        <f t="shared" si="37"/>
        <v/>
      </c>
      <c r="L314" s="112" t="str">
        <f t="shared" si="37"/>
        <v/>
      </c>
    </row>
    <row r="315" spans="2:14" customFormat="1" x14ac:dyDescent="0.4">
      <c r="B315" t="s">
        <v>759</v>
      </c>
      <c r="D315" s="3" t="b">
        <f>IF(ISNUMBER(D311),D312&lt;-1.5,"")</f>
        <v>1</v>
      </c>
      <c r="E315" s="3" t="b">
        <f>IF(ISNUMBER(E311),E312&lt;-1.5,"")</f>
        <v>1</v>
      </c>
      <c r="F315" s="3" t="b">
        <f>IF(ISNUMBER(F311),F312&lt;-1.5,"")</f>
        <v>1</v>
      </c>
      <c r="G315" s="3" t="b">
        <f t="shared" ref="G315:M315" si="38">IF(ISNUMBER(G311),G312&lt;-1.5,"")</f>
        <v>1</v>
      </c>
      <c r="H315" s="3" t="b">
        <f t="shared" si="38"/>
        <v>1</v>
      </c>
      <c r="I315" s="3" t="b">
        <f t="shared" si="38"/>
        <v>1</v>
      </c>
      <c r="J315" s="3" t="str">
        <f t="shared" si="38"/>
        <v/>
      </c>
      <c r="K315" s="3" t="str">
        <f t="shared" si="38"/>
        <v/>
      </c>
      <c r="L315" s="3" t="str">
        <f t="shared" si="38"/>
        <v/>
      </c>
      <c r="M315" s="3" t="str">
        <f t="shared" si="38"/>
        <v/>
      </c>
    </row>
    <row r="316" spans="2:14" customFormat="1" x14ac:dyDescent="0.4">
      <c r="D316" s="3"/>
      <c r="E316" s="3"/>
      <c r="F316" s="3"/>
      <c r="G316" s="3"/>
      <c r="H316" s="3"/>
      <c r="I316" s="3"/>
    </row>
    <row r="317" spans="2:14" customFormat="1" x14ac:dyDescent="0.4">
      <c r="B317" t="s">
        <v>435</v>
      </c>
      <c r="C317" s="2" t="e" cm="1">
        <f t="array" ref="C317">IF(
  NOT(Receives_reference_trajectory),
  NA(),
  SUMPRODUCT(
    --(
      INDEX(315:315,1,COLUMN($D$311)):
      INDEX(315:315,1,COLUMN($D$311)+COLUMNS(_xlfn.ANCHORARRAY($D$311))-1)
    )
  )&gt;0
)</f>
        <v>#N/A</v>
      </c>
    </row>
    <row r="318" spans="2:14" x14ac:dyDescent="0.4">
      <c r="B318" t="s">
        <v>356</v>
      </c>
      <c r="C318" s="16" t="e">
        <f>IF(Receives_reference_trajectory,IF(AdjustmentPeriod=4,0.4,0.25),NA())</f>
        <v>#N/A</v>
      </c>
      <c r="E318" s="18"/>
    </row>
    <row r="319" spans="2:14" x14ac:dyDescent="0.4">
      <c r="B319" t="s">
        <v>528</v>
      </c>
      <c r="C319" s="144" t="e" cm="1">
        <f t="array" ref="C319">IF(
  NOT(Receives_reference_trajectory),
  NA(),
  IF(
    NOT(C317),
    NA(),
    SUMPRODUCT(
      --(_xlfn.TAKE(IFERROR(_xlfn.CHOOSECOLS(315:315, COLUMN($D$311)+_xlfn.SEQUENCE(1,COLUMNS(_xlfn.ANCHORARRAY($D$311)))-1), FALSE), , COLUMNS(_xlfn.ANCHORARRAY($D$311))-1)),
      --(_xlfn.DROP(_xlfn.CHOOSECOLS(314:314, COLUMN($D$311)+_xlfn.SEQUENCE(1,COLUMNS(_xlfn.ANCHORARRAY($D$311)))-1), , 1) &lt;= C318)
    )=0
  )
)</f>
        <v>#N/A</v>
      </c>
      <c r="E319" s="18"/>
    </row>
    <row r="320" spans="2:14" x14ac:dyDescent="0.4">
      <c r="B320"/>
      <c r="C320" s="16"/>
      <c r="E320" s="18"/>
    </row>
    <row r="321" spans="2:35" x14ac:dyDescent="0.4">
      <c r="B321" s="15" t="s">
        <v>312</v>
      </c>
      <c r="C321" s="124" t="str">
        <f>IF(
  NOT(Receives_reference_trajectory),
  Country &amp; " does not receive a reference trajectory and its MTP is not assessed against the deficit resilience safeguard.",
  IF(
    OR(NOT(C317), ISNA(C319)),
    "The deficit resilience safeguard does not apply, as the structural deficit does not exceed 1.5% of GDP during the adjustment period.",
    IF(
      C319,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21" s="18"/>
    </row>
    <row r="322" spans="2:35" x14ac:dyDescent="0.4">
      <c r="C322" s="145"/>
      <c r="E322" s="18"/>
    </row>
    <row r="323" spans="2:35" ht="18" x14ac:dyDescent="0.55000000000000004">
      <c r="B323" s="153" t="s">
        <v>600</v>
      </c>
      <c r="D323" s="18"/>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row>
    <row r="324" spans="2:35" ht="14.25" x14ac:dyDescent="0.45">
      <c r="B324" s="154" t="s">
        <v>564</v>
      </c>
      <c r="D324" s="18"/>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row>
    <row r="325" spans="2:35" ht="14.25" x14ac:dyDescent="0.45">
      <c r="B325" s="154"/>
      <c r="D325" s="18"/>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row>
    <row r="326" spans="2:35" ht="15.75" x14ac:dyDescent="0.5">
      <c r="B326" s="157" t="s">
        <v>591</v>
      </c>
      <c r="D326" s="18"/>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row>
    <row r="327" spans="2:35" x14ac:dyDescent="0.4">
      <c r="B327" t="s">
        <v>565</v>
      </c>
      <c r="C327" s="155" t="e" cm="1">
        <f t="array" ref="C327">IF(
  Receives_reference_trajectory,
  IFERROR(
    INDEX(73:73, _xlfn.XMATCH(AdjustmentPeriodEnd, 63:63, 0)) -
    INDEX(73:73, _xlfn.XMATCH(MTP_YearT,        63:63, 0)),
    NA()
  ),
  NA()
)</f>
        <v>#N/A</v>
      </c>
      <c r="D327" s="18"/>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row>
    <row r="328" spans="2:35" x14ac:dyDescent="0.4">
      <c r="B328" t="s">
        <v>566</v>
      </c>
      <c r="C328" s="155" t="e" cm="1">
        <f t="array" ref="C328">IF(
  Receives_reference_trajectory,
  IFERROR(
    (
      INDEX(73:73, _xlfn.XMATCH(AdjustmentPeriodEnd, 63:63, 0)) -
      INDEX(73:73, _xlfn.XMATCH(MTP_YearT,        63:63, 0))
    ) / (AdjustmentPeriodEnd - MTP_YearT),
    NA()
  ),
  NA()
)</f>
        <v>#N/A</v>
      </c>
      <c r="D328" s="18"/>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row>
    <row r="329" spans="2:35" x14ac:dyDescent="0.4">
      <c r="B329" t="s">
        <v>511</v>
      </c>
      <c r="C329" s="155" t="e" cm="1">
        <f t="array" ref="C329">IF(
  Receives_reference_trajectory,
  IFERROR(
    INDEX(37:37, _xlfn.XMATCH(AdjustmentPeriodEnd, 32:32, 0)) -
    INDEX(37:37, _xlfn.XMATCH(MTP_YearT,        32:32, 0)),
    NA()
  ),
  NA()
)</f>
        <v>#N/A</v>
      </c>
      <c r="D329" s="18"/>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row>
    <row r="330" spans="2:35" x14ac:dyDescent="0.4">
      <c r="B330"/>
      <c r="C330" s="155"/>
      <c r="D330" s="18"/>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row>
    <row r="331" spans="2:35" x14ac:dyDescent="0.4">
      <c r="B331" s="15" t="s">
        <v>304</v>
      </c>
      <c r="C331" s="124" t="e">
        <f>IF(
  Receives_reference_trajectory,
  IF(
    OR(ISNA(C329),NOT(ISNUMBER(C329))),
    Country &amp; "'s total SPB adjustment required over the adjustment period is " &amp;
      TEXT(C327,"0.0") &amp; " pp of GDP, and the required average annual consolidation is " &amp;
      TEXT(C328,"0.0") &amp; " pp of GDP.",
    Country &amp; "'s total SPB adjustment required over the adjustment period is " &amp;
      TEXT(C327,"0.0") &amp; " pp of GDP. The planned average annual consolidation of " &amp;
      TEXT(C329,"0.0") &amp; " pp " &amp;
      IF(
        C329 &gt; C328 + 0.1,
        "exceeds the required " &amp; TEXT(C328,"0.0") &amp;
          " pp, indicating that the plan appears consistent with achieving the target SPB implied by the reference trajectory by the end of the horizon.",
        IF(
          C329 &lt; C328 - 0.1,
          "falls short of the required " &amp; TEXT(C328,"0.0") &amp;
            " pp, indicating that additional measures may be needed to reach the target SPB.",
          "is broadly in line with the required " &amp; TEXT(C328,"0.0") &amp; " pp."
        )
      )
  ),
  NA()
)</f>
        <v>#N/A</v>
      </c>
      <c r="D331" s="18"/>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row>
    <row r="332" spans="2:35" x14ac:dyDescent="0.4">
      <c r="C332" s="124"/>
      <c r="D332" s="18"/>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row>
    <row r="333" spans="2:35" ht="15.75" x14ac:dyDescent="0.5">
      <c r="B333" s="99" t="s">
        <v>567</v>
      </c>
      <c r="C333" s="113"/>
      <c r="E333" s="19"/>
      <c r="J333" s="17"/>
    </row>
    <row r="334" spans="2:35" customFormat="1" x14ac:dyDescent="0.4">
      <c r="B334" t="str">
        <f>"Minimum level of structural primary balance in "&amp;AdjustmentPeriodEnd&amp;", no safeguard"</f>
        <v>Minimum level of structural primary balance in 2028, no safeguard</v>
      </c>
      <c r="C334" s="2">
        <f>IF(Receives_reference_trajectory,NA(),INDEX(66:66, MATCH(AdjustmentPeriodEnd, 46:46, 0)))</f>
        <v>-1.3</v>
      </c>
    </row>
    <row r="335" spans="2:35" customFormat="1" x14ac:dyDescent="0.4">
      <c r="B335" t="str">
        <f>"Minimum level of structural primary balance in "&amp;AdjustmentPeriodEnd&amp;", with safeguard"</f>
        <v>Minimum level of structural primary balance in 2028, with safeguard</v>
      </c>
      <c r="C335" s="150">
        <f>IF(Receives_reference_trajectory,NA(),INDEX(67:67, MATCH(AdjustmentPeriodEnd, 46:46, 0)))</f>
        <v>-0.1424659999999999</v>
      </c>
    </row>
    <row r="336" spans="2:35" customFormat="1" x14ac:dyDescent="0.4">
      <c r="B336" t="s">
        <v>428</v>
      </c>
      <c r="C336" s="2">
        <f>IF(Receives_reference_trajectory,NA(),INDEX(37:37, MATCH(AdjustmentPeriodEnd, 46:46, 0)))</f>
        <v>-1.3</v>
      </c>
    </row>
    <row r="337" spans="2:35" x14ac:dyDescent="0.4">
      <c r="B337" t="s">
        <v>426</v>
      </c>
      <c r="C337" s="16" t="b">
        <f>IF(Receives_reference_trajectory, NA(), C336 &gt;= C334)</f>
        <v>1</v>
      </c>
      <c r="E337" s="19"/>
      <c r="J337" s="17"/>
    </row>
    <row r="338" spans="2:35" x14ac:dyDescent="0.4">
      <c r="B338" t="s">
        <v>427</v>
      </c>
      <c r="C338" s="16" t="b">
        <f>IF(Receives_reference_trajectory, NA(), C336 &gt;= C335)</f>
        <v>0</v>
      </c>
      <c r="E338" s="19"/>
      <c r="J338" s="17"/>
    </row>
    <row r="339" spans="2:35" x14ac:dyDescent="0.4">
      <c r="C339" s="16"/>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row>
    <row r="340" spans="2:35" x14ac:dyDescent="0.4">
      <c r="B340" s="15" t="s">
        <v>312</v>
      </c>
      <c r="C340" s="124" t="str">
        <f>_xlfn.LET(
  _xlpm.nos, Assessment!$C$337,
  _xlpm.ws,  Assessment!$C$338,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40" s="18"/>
      <c r="E340" s="19"/>
      <c r="J340" s="90"/>
      <c r="K340" s="90"/>
      <c r="L340" s="90"/>
      <c r="M340" s="90"/>
      <c r="N340" s="90"/>
      <c r="O340" s="90" t="s">
        <v>315</v>
      </c>
      <c r="P340" s="90"/>
      <c r="Q340" s="90"/>
      <c r="R340" s="90"/>
      <c r="S340" s="90"/>
      <c r="T340" s="90"/>
      <c r="U340" s="90"/>
      <c r="V340" s="90"/>
      <c r="W340" s="90"/>
      <c r="X340" s="90"/>
      <c r="Y340" s="90"/>
      <c r="Z340" s="90"/>
      <c r="AA340" s="90"/>
      <c r="AB340" s="90"/>
      <c r="AC340" s="90"/>
      <c r="AD340" s="90"/>
      <c r="AE340" s="90"/>
      <c r="AF340" s="90"/>
      <c r="AG340" s="90"/>
      <c r="AH340" s="90"/>
      <c r="AI340" s="90"/>
    </row>
    <row r="341" spans="2:35" x14ac:dyDescent="0.4">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row>
    <row r="342" spans="2:35" ht="18" x14ac:dyDescent="0.55000000000000004">
      <c r="B342" s="67" t="s">
        <v>684</v>
      </c>
      <c r="C342" s="73"/>
      <c r="E342" s="18"/>
    </row>
    <row r="343" spans="2:35" customFormat="1" ht="15.75" x14ac:dyDescent="0.5">
      <c r="B343" s="99" t="s">
        <v>591</v>
      </c>
    </row>
    <row r="344" spans="2:35" x14ac:dyDescent="0.4">
      <c r="B344" t="s">
        <v>575</v>
      </c>
      <c r="C344" s="16" t="e">
        <f>IF(
  NOT(Receives_reference_trajectory),
  NA(),
  IFERROR(
    AND(
      C209,
      IF(AdjustmentPeriod=7, C214, TRUE),
      C231,
      C254,
      C264,
      C283,
      IF(ISNA(C296), TRUE, C296),
      IF(ISNA(C306), TRUE, C306),
      IF(ISNA(C319), TRUE, C319)
    ),
    NA()
  )
)</f>
        <v>#N/A</v>
      </c>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row>
    <row r="345" spans="2:35" x14ac:dyDescent="0.4">
      <c r="B345" s="15" t="s">
        <v>593</v>
      </c>
      <c r="C345" s="124" t="str">
        <f>IF(
  Receives_reference_trajectory,
  IF(
    C229,
    "The net expenditure path in " &amp; Country &amp; "'s latest MTP adheres to the Commission's reference trajectory" &amp;
    IF(
      ISNA(C344),
      ", but overall compliance with Regulation (EU) 2024/1263 cannot yet be assessed.",
      IF(C344,
        " and it meets all requirements of Regulation (EU) 2024/1263.",
        " but it does not meet all requirements of Regulation (EU) 2024/1263."
      )
    ),
    IF(
      C230,
      "The net expenditure path in " &amp; Country &amp; "'s latest MTP exceeds the Commission's reference trajectory but the " &amp; IFI_Name &amp;
      " deems the explanation and alternative assumptions to be satisfactory" &amp;
      IF(
        ISNA(C344),
        ", but overall compliance with Regulation (EU) 2024/1263 cannot yet be assessed.",
        IF(C344,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ISNA(C344),
        ", and overall compliance with Regulation (EU) 2024/1263 cannot yet be assessed.",
        IF(C344,
          ", and it meets all requirements of Regulation (EU) 2024/1263.",
          ", and it does not meet all requirements of Regulation (EU) 2024/1263."
        )
      )
    )
  ),
  "Not applicable."
)</f>
        <v>Not applicable.</v>
      </c>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row>
    <row r="346" spans="2:35" x14ac:dyDescent="0.4">
      <c r="B346"/>
      <c r="C346" s="145"/>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row>
    <row r="347" spans="2:35" ht="15.75" x14ac:dyDescent="0.5">
      <c r="B347" s="99" t="s">
        <v>509</v>
      </c>
      <c r="C347" s="54"/>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row>
    <row r="348" spans="2:35" x14ac:dyDescent="0.4">
      <c r="B348" t="s">
        <v>575</v>
      </c>
      <c r="C348" s="16" t="b">
        <f>IF(
  Receives_reference_trajectory,
  NA(),
  AND(C241, C258, C268)
)</f>
        <v>1</v>
      </c>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row>
    <row r="349" spans="2:35" x14ac:dyDescent="0.4">
      <c r="B349" s="15" t="s">
        <v>304</v>
      </c>
      <c r="C349" s="124" t="str">
        <f>IF(
  Receives_reference_trajectory,
  "Not applicable",
  IF(
    C239,
    "The net expenditure path in " &amp; Country &amp; "'s MTP adheres to the minimum level of the primary structural balance in " &amp;
      AdjustmentPeriodEnd &amp; " (" &amp; C235 &amp; "% of GDP). ",
    "The net expenditure path in " &amp; Country &amp; "'s MTP does not adhere to the minimum level of the primary structural balance in " &amp;
      AdjustmentPeriodEnd &amp; " (" &amp; C235 &amp; "% of GDP). "
  ) &amp;
  IF(
    AND(C258, C268),
    "The net expenditure path put forward in the plan is consistent with the deficit and debt requirements as set out in Article 16(2) of Regulation (EU) 2024/1263.",
    IF(
      AND(C258, NOT(C268)),
      "However, while it complies with the debt requirement, it does not comply with the deficit requirement under Article 16(2) of Regulation (EU) 2024/1263.",
      IF(
        AND(NOT(C258), C268),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49" s="18"/>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row>
  </sheetData>
  <phoneticPr fontId="9" type="noConversion"/>
  <conditionalFormatting sqref="D147:V147 D178:V188 D323:V332 R144:U145">
    <cfRule type="expression" dxfId="41" priority="152">
      <formula>AND(#REF!&gt;MTP_YearT, #REF!&lt;=AdjustmentPeriodEnd)</formula>
    </cfRule>
  </conditionalFormatting>
  <conditionalFormatting sqref="T178:V188 T323:V332 T147:V147">
    <cfRule type="expression" dxfId="40" priority="154">
      <formula>ISNUMBER(#REF!)</formula>
    </cfRule>
  </conditionalFormatting>
  <conditionalFormatting sqref="D275:M275">
    <cfRule type="expression" dxfId="39" priority="59">
      <formula>ISNUMBER(D275)</formula>
    </cfRule>
  </conditionalFormatting>
  <conditionalFormatting sqref="D5:K5">
    <cfRule type="expression" dxfId="38" priority="58">
      <formula>ISNUMBER(D4)</formula>
    </cfRule>
  </conditionalFormatting>
  <conditionalFormatting sqref="E145:M145">
    <cfRule type="expression" dxfId="37" priority="195">
      <formula>ISNUMBER(E$104)</formula>
    </cfRule>
  </conditionalFormatting>
  <conditionalFormatting sqref="D157:V157">
    <cfRule type="expression" dxfId="36" priority="38">
      <formula>AND(#REF!&gt;MTP_YearT, #REF!&lt;=AdjustmentPeriodEnd)</formula>
    </cfRule>
  </conditionalFormatting>
  <conditionalFormatting sqref="T156:V157">
    <cfRule type="expression" dxfId="35" priority="208">
      <formula>ISNUMBER(#REF!)</formula>
    </cfRule>
  </conditionalFormatting>
  <conditionalFormatting sqref="D152:V155">
    <cfRule type="expression" dxfId="34" priority="210">
      <formula>AND(#REF!&gt;MTP_YearT, #REF!&lt;=AdjustmentPeriodEnd)</formula>
    </cfRule>
  </conditionalFormatting>
  <conditionalFormatting sqref="T148:V155">
    <cfRule type="expression" dxfId="33" priority="212">
      <formula>ISNUMBER(#REF!)</formula>
    </cfRule>
  </conditionalFormatting>
  <conditionalFormatting sqref="D156:V156 D148:V151">
    <cfRule type="expression" dxfId="32" priority="214">
      <formula>AND(#REF!&gt;MTP_YearT, #REF!&lt;=AdjustmentPeriodEnd)</formula>
    </cfRule>
  </conditionalFormatting>
  <conditionalFormatting sqref="D277:I277">
    <cfRule type="expression" dxfId="31" priority="31">
      <formula>ISNUMBER(D275)</formula>
    </cfRule>
  </conditionalFormatting>
  <conditionalFormatting sqref="D311:I311">
    <cfRule type="expression" dxfId="30" priority="30">
      <formula>ISNUMBER(D311)</formula>
    </cfRule>
  </conditionalFormatting>
  <conditionalFormatting sqref="D314:L314">
    <cfRule type="expression" dxfId="29" priority="28">
      <formula>ISNUMBER(D311)</formula>
    </cfRule>
  </conditionalFormatting>
  <conditionalFormatting sqref="D4:K4">
    <cfRule type="expression" dxfId="28" priority="25">
      <formula>ISNUMBER(D4)</formula>
    </cfRule>
  </conditionalFormatting>
  <conditionalFormatting sqref="D33:N33 D34:Q34">
    <cfRule type="expression" dxfId="27" priority="24">
      <formula>ISNUMBER(D32)</formula>
    </cfRule>
  </conditionalFormatting>
  <conditionalFormatting sqref="D27:K27">
    <cfRule type="expression" dxfId="26" priority="23">
      <formula>ISNUMBER(D$4)</formula>
    </cfRule>
  </conditionalFormatting>
  <conditionalFormatting sqref="D32:N32">
    <cfRule type="expression" dxfId="25" priority="22">
      <formula>ISNUMBER(D32)</formula>
    </cfRule>
  </conditionalFormatting>
  <conditionalFormatting sqref="D44:W45 D60:W60 D54:W54">
    <cfRule type="expression" dxfId="24" priority="21">
      <formula>ISNUMBER(D44)</formula>
    </cfRule>
  </conditionalFormatting>
  <conditionalFormatting sqref="D91:W91">
    <cfRule type="expression" dxfId="23" priority="20">
      <formula>ISNUMBER(D63)</formula>
    </cfRule>
  </conditionalFormatting>
  <conditionalFormatting sqref="D63:W63">
    <cfRule type="expression" dxfId="22" priority="19">
      <formula>ISNUMBER(D63)</formula>
    </cfRule>
  </conditionalFormatting>
  <conditionalFormatting sqref="X65 D64:W65 D47:W47">
    <cfRule type="expression" dxfId="21" priority="18">
      <formula>ISNUMBER(D46)</formula>
    </cfRule>
  </conditionalFormatting>
  <conditionalFormatting sqref="D46:W46">
    <cfRule type="expression" dxfId="20" priority="17">
      <formula>ISNUMBER(D46)</formula>
    </cfRule>
  </conditionalFormatting>
  <conditionalFormatting sqref="E144:M145">
    <cfRule type="expression" dxfId="19" priority="194">
      <formula>NOT(ISNUMBER(E$104))</formula>
    </cfRule>
  </conditionalFormatting>
  <conditionalFormatting sqref="D167:I167">
    <cfRule type="expression" dxfId="18" priority="14">
      <formula>ISNUMBER(D167)</formula>
    </cfRule>
  </conditionalFormatting>
  <conditionalFormatting sqref="D170:L170">
    <cfRule type="expression" dxfId="17" priority="13">
      <formula>ISNUMBER(D167)</formula>
    </cfRule>
  </conditionalFormatting>
  <conditionalFormatting sqref="D104:J104">
    <cfRule type="expression" dxfId="16" priority="10">
      <formula>D$105&lt;&gt;""</formula>
    </cfRule>
  </conditionalFormatting>
  <conditionalFormatting sqref="D105:J105">
    <cfRule type="expression" dxfId="15" priority="9">
      <formula>D$105&lt;&gt;""</formula>
    </cfRule>
  </conditionalFormatting>
  <conditionalFormatting sqref="D121:J121">
    <cfRule type="expression" dxfId="14" priority="8">
      <formula>D$104&lt;&gt;""</formula>
    </cfRule>
  </conditionalFormatting>
  <conditionalFormatting sqref="D123:J123">
    <cfRule type="expression" dxfId="13" priority="7">
      <formula>D$104&lt;&gt;""</formula>
    </cfRule>
  </conditionalFormatting>
  <conditionalFormatting sqref="D126:J126">
    <cfRule type="expression" dxfId="12" priority="6">
      <formula>D$104&lt;&gt;""</formula>
    </cfRule>
  </conditionalFormatting>
  <conditionalFormatting sqref="R141:U145">
    <cfRule type="expression" dxfId="11" priority="3">
      <formula>AND(#REF!&gt;MTP_YearT, #REF!&lt;=AdjustmentPeriodEnd)</formula>
    </cfRule>
  </conditionalFormatting>
  <conditionalFormatting sqref="D141:D143">
    <cfRule type="expression" dxfId="10" priority="5">
      <formula>NOT(ISNUMBER(G122))</formula>
    </cfRule>
  </conditionalFormatting>
  <conditionalFormatting sqref="E141:M145">
    <cfRule type="expression" dxfId="9" priority="4">
      <formula>NOT(ISNUMBER(E$104))</formula>
    </cfRule>
  </conditionalFormatting>
  <conditionalFormatting sqref="D144:D145">
    <cfRule type="expression" dxfId="8" priority="353">
      <formula>NOT(ISNUMBER(#REF!))</formula>
    </cfRule>
    <cfRule type="expression" dxfId="7" priority="354">
      <formula>ISNUMBER(#REF!)</formula>
    </cfRule>
  </conditionalFormatting>
  <conditionalFormatting sqref="D59:W59">
    <cfRule type="expression" dxfId="6" priority="2">
      <formula>ISNUMBER(D$46)</formula>
    </cfRule>
  </conditionalFormatting>
  <conditionalFormatting sqref="D144:D145">
    <cfRule type="expression" dxfId="5" priority="411">
      <formula>NOT(ISNUMBER(G124))</formula>
    </cfRule>
  </conditionalFormatting>
  <conditionalFormatting sqref="D6:K14 D16:K26 D15:L15">
    <cfRule type="expression" dxfId="4" priority="1">
      <formula>ISNUMBER(D$4)</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zoomScaleNormal="100" workbookViewId="0">
      <pane ySplit="2" topLeftCell="A3" activePane="bottomLeft" state="frozen"/>
      <selection activeCell="L159" sqref="L159"/>
      <selection pane="bottomLeft"/>
    </sheetView>
  </sheetViews>
  <sheetFormatPr defaultRowHeight="13.15" x14ac:dyDescent="0.4"/>
  <cols>
    <col min="1" max="1" width="5.28515625" customWidth="1"/>
    <col min="2" max="2" width="11.28515625" style="132" bestFit="1" customWidth="1"/>
    <col min="3" max="3" width="51.5703125" customWidth="1"/>
    <col min="4" max="4" width="7.85546875" customWidth="1"/>
    <col min="6" max="6" width="9.140625" customWidth="1"/>
  </cols>
  <sheetData>
    <row r="2" spans="2:24" x14ac:dyDescent="0.4">
      <c r="C2" s="50"/>
      <c r="D2" s="50"/>
      <c r="E2" s="61" cm="1">
        <f t="array" ref="E2:T2">_xlfn.SEQUENCE(1, AdjustmentPeriodEnd+10-MTP_BaseYear+1, MTP_BaseYear)</f>
        <v>2023</v>
      </c>
      <c r="F2" s="61">
        <v>2024</v>
      </c>
      <c r="G2" s="61">
        <v>2025</v>
      </c>
      <c r="H2" s="61">
        <v>2026</v>
      </c>
      <c r="I2" s="61">
        <v>2027</v>
      </c>
      <c r="J2" s="61">
        <v>2028</v>
      </c>
      <c r="K2" s="61">
        <v>2029</v>
      </c>
      <c r="L2" s="61">
        <v>2030</v>
      </c>
      <c r="M2" s="61">
        <v>2031</v>
      </c>
      <c r="N2" s="61">
        <v>2032</v>
      </c>
      <c r="O2" s="61">
        <v>2033</v>
      </c>
      <c r="P2" s="61">
        <v>2034</v>
      </c>
      <c r="Q2" s="61">
        <v>2035</v>
      </c>
      <c r="R2" s="61">
        <v>2036</v>
      </c>
      <c r="S2" s="61">
        <v>2037</v>
      </c>
      <c r="T2" s="61">
        <v>2038</v>
      </c>
      <c r="U2" s="61"/>
      <c r="V2" s="61"/>
      <c r="W2" s="61"/>
    </row>
    <row r="3" spans="2:24" ht="16.5" x14ac:dyDescent="0.6">
      <c r="B3" s="132" t="s">
        <v>536</v>
      </c>
      <c r="C3" s="12" t="str">
        <f>"Performance of net expenditure growth compared to the "&amp;IF(MTP_Council_Endorsed,"endorsed plan","the proposed plan")</f>
        <v>Performance of net expenditure growth compared to the endorsed plan</v>
      </c>
    </row>
    <row r="4" spans="2:24" x14ac:dyDescent="0.4">
      <c r="C4" s="2" t="s">
        <v>441</v>
      </c>
      <c r="F4" s="83">
        <f>IF(MTP_Council_Endorsed,IF(Assessment!E34="",NA(),Assessment!E34),NA())</f>
        <v>9.1</v>
      </c>
      <c r="G4" s="83">
        <f>IF(MTP_Council_Endorsed,IF(Assessment!F34="",NA(),Assessment!F34),NA())</f>
        <v>5.9</v>
      </c>
      <c r="H4" s="83">
        <f>IF(MTP_Council_Endorsed,IF(Assessment!G34="",NA(),Assessment!G34),NA())</f>
        <v>3.6</v>
      </c>
      <c r="I4" s="83">
        <f>IF(MTP_Council_Endorsed,IF(Assessment!H34="",NA(),Assessment!H34),NA())</f>
        <v>3.4</v>
      </c>
      <c r="J4" s="83">
        <f>IF(MTP_Council_Endorsed,IF(Assessment!I34="",NA(),Assessment!I34),NA())</f>
        <v>3.3</v>
      </c>
      <c r="K4" s="83" t="e">
        <f>IF(MTP_Council_Endorsed,IF(Assessment!J34="",NA(),Assessment!J34),NA())</f>
        <v>#N/A</v>
      </c>
      <c r="L4" s="83" t="e">
        <f>IF(MTP_Council_Endorsed,IF(Assessment!K34="",NA(),Assessment!K34),NA())</f>
        <v>#N/A</v>
      </c>
      <c r="M4" s="83" t="e">
        <f>IF(MTP_Council_Endorsed,IF(Assessment!L34="",NA(),Assessment!L34),NA())</f>
        <v>#N/A</v>
      </c>
      <c r="N4" s="83" t="e">
        <f>IF(MTP_Council_Endorsed,IF(Assessment!M34="",NA(),Assessment!M34),NA())</f>
        <v>#N/A</v>
      </c>
      <c r="O4" s="83" t="e">
        <f>IF(MTP_Council_Endorsed,IF(Assessment!N34="",NA(),Assessment!N34),NA())</f>
        <v>#N/A</v>
      </c>
      <c r="P4" s="83" t="e">
        <f>IF(MTP_Council_Endorsed,IF(Assessment!O34="",NA(),Assessment!O34),NA())</f>
        <v>#N/A</v>
      </c>
      <c r="Q4" s="83" t="e">
        <f>IF(MTP_Council_Endorsed,IF(Assessment!P34="",NA(),Assessment!P34),NA())</f>
        <v>#N/A</v>
      </c>
      <c r="R4" s="83" t="e">
        <f>IF(MTP_Council_Endorsed,IF(Assessment!Q34="",NA(),Assessment!Q34),NA())</f>
        <v>#N/A</v>
      </c>
      <c r="S4" s="83" t="e">
        <f>IF(MTP_Council_Endorsed,IF(Assessment!R34="",NA(),Assessment!R34),NA())</f>
        <v>#N/A</v>
      </c>
      <c r="T4" s="83" t="e">
        <f>IF(MTP_Council_Endorsed,IF(Assessment!S34="",NA(),Assessment!S34),NA())</f>
        <v>#N/A</v>
      </c>
      <c r="U4" s="83" t="e">
        <f>IF(MTP_Council_Endorsed,IF(Assessment!T34="",NA(),Assessment!T34),NA())</f>
        <v>#N/A</v>
      </c>
      <c r="V4" s="83" t="e">
        <f>IF(MTP_Council_Endorsed,IF(Assessment!U34="",NA(),Assessment!U34),NA())</f>
        <v>#N/A</v>
      </c>
      <c r="W4" s="83" t="e">
        <f>IF(MTP_Council_Endorsed,IF(Assessment!V34="",NA(),Assessment!V34),NA())</f>
        <v>#N/A</v>
      </c>
    </row>
    <row r="5" spans="2:24" x14ac:dyDescent="0.4">
      <c r="C5" s="2" t="s">
        <v>346</v>
      </c>
      <c r="F5" s="4"/>
      <c r="G5" s="4"/>
      <c r="H5" s="4"/>
      <c r="I5" s="4"/>
      <c r="J5" s="4"/>
      <c r="K5" s="4"/>
      <c r="L5" s="4"/>
      <c r="M5" s="4"/>
      <c r="N5" s="4"/>
      <c r="O5" s="4"/>
      <c r="P5" s="4"/>
      <c r="Q5" s="4"/>
      <c r="R5" s="4"/>
      <c r="S5" s="4"/>
      <c r="T5" s="4"/>
      <c r="U5" s="4"/>
      <c r="V5" s="4"/>
      <c r="W5" s="4"/>
    </row>
    <row r="6" spans="2:24" x14ac:dyDescent="0.4">
      <c r="C6" s="2" t="s">
        <v>256</v>
      </c>
      <c r="F6" s="83" t="e">
        <f>IF(MTP_Council_Endorsed,IF(OR(ISNUMBER(F8),ISNUMBER(F9)),NA(),IF(ISNUMBER(Assessment!E15),Assessment!E15,NA())),NA())</f>
        <v>#N/A</v>
      </c>
      <c r="G6" s="83">
        <f>IF(OR(ISNUMBER(G8),ISNUMBER(G9)),NA(),IF(ISNUMBER(Assessment!F15),Assessment!F15,NA()))</f>
        <v>6.2</v>
      </c>
      <c r="H6" s="83">
        <f>IF(OR(ISNUMBER(H8),ISNUMBER(H9)),NA(),IF(ISNUMBER(Assessment!G15),Assessment!G15,NA()))</f>
        <v>5</v>
      </c>
      <c r="I6" s="83" t="e">
        <f>IF(OR(ISNUMBER(I8),ISNUMBER(I9)),NA(),IF(ISNUMBER(Assessment!H15),Assessment!H15,NA()))</f>
        <v>#N/A</v>
      </c>
      <c r="J6" s="83" t="e">
        <f>IF(OR(ISNUMBER(J8),ISNUMBER(J9)),NA(),IF(ISNUMBER(Assessment!I15),Assessment!I15,NA()))</f>
        <v>#N/A</v>
      </c>
      <c r="K6" s="83" t="e">
        <f>IF(OR(ISNUMBER(K8),ISNUMBER(K9)),NA(),IF(ISNUMBER(Assessment!J15),Assessment!J15,NA()))</f>
        <v>#N/A</v>
      </c>
      <c r="L6" s="83" t="e">
        <f>IF(OR(ISNUMBER(L8),ISNUMBER(L9)),NA(),IF(ISNUMBER(Assessment!K15),Assessment!K15,NA()))</f>
        <v>#N/A</v>
      </c>
      <c r="M6" s="83" t="e">
        <f>IF(OR(ISNUMBER(M8),ISNUMBER(M9)),NA(),IF(ISNUMBER(Assessment!L15),Assessment!L15,NA()))</f>
        <v>#N/A</v>
      </c>
      <c r="N6" s="83" t="e">
        <f>IF(OR(ISNUMBER(N8),ISNUMBER(N9)),NA(),IF(ISNUMBER(Assessment!M15),Assessment!M15,NA()))</f>
        <v>#N/A</v>
      </c>
      <c r="O6" s="83" t="e">
        <f>IF(OR(ISNUMBER(O8),ISNUMBER(O9)),NA(),IF(ISNUMBER(Assessment!N15),Assessment!N15,NA()))</f>
        <v>#N/A</v>
      </c>
      <c r="P6" s="83" t="e">
        <f>IF(OR(ISNUMBER(P8),ISNUMBER(P9)),NA(),IF(ISNUMBER(Assessment!O15),Assessment!O15,NA()))</f>
        <v>#N/A</v>
      </c>
      <c r="Q6" s="83" t="e">
        <f>IF(OR(ISNUMBER(Q8),ISNUMBER(Q9)),NA(),IF(ISNUMBER(Assessment!P15),Assessment!P15,NA()))</f>
        <v>#N/A</v>
      </c>
      <c r="R6" s="83" t="e">
        <f>IF(OR(ISNUMBER(R8),ISNUMBER(R9)),NA(),IF(ISNUMBER(Assessment!Q15),Assessment!Q15,NA()))</f>
        <v>#N/A</v>
      </c>
      <c r="S6" s="83" t="e">
        <f>IF(OR(ISNUMBER(S8),ISNUMBER(S9)),NA(),IF(ISNUMBER(Assessment!R15),Assessment!R15,NA()))</f>
        <v>#N/A</v>
      </c>
      <c r="T6" s="83" t="e">
        <f>IF(OR(ISNUMBER(T8),ISNUMBER(T9)),NA(),IF(ISNUMBER(Assessment!S15),Assessment!S15,NA()))</f>
        <v>#N/A</v>
      </c>
      <c r="U6" s="83" t="e">
        <f>IF(OR(ISNUMBER(U8),ISNUMBER(U9)),NA(),IF(ISNUMBER(Assessment!T15),Assessment!T15,NA()))</f>
        <v>#N/A</v>
      </c>
      <c r="V6" s="83" t="e">
        <f>IF(OR(ISNUMBER(V8),ISNUMBER(V9)),NA(),IF(ISNUMBER(Assessment!U15),Assessment!U15,NA()))</f>
        <v>#N/A</v>
      </c>
      <c r="W6" s="83" t="e">
        <f>IF(OR(ISNUMBER(W8),ISNUMBER(W9)),NA(),IF(ISNUMBER(Assessment!V15),Assessment!V15,NA()))</f>
        <v>#N/A</v>
      </c>
    </row>
    <row r="7" spans="2:24" x14ac:dyDescent="0.4">
      <c r="C7" s="2" t="s">
        <v>347</v>
      </c>
      <c r="F7" s="4"/>
      <c r="G7" s="4"/>
      <c r="H7" s="4"/>
      <c r="I7" s="4"/>
      <c r="J7" s="4"/>
      <c r="K7" s="4"/>
      <c r="L7" s="4"/>
      <c r="M7" s="4"/>
      <c r="N7" s="4"/>
      <c r="O7" s="4"/>
      <c r="P7" s="4"/>
      <c r="Q7" s="4"/>
      <c r="R7" s="4"/>
      <c r="S7" s="4"/>
      <c r="T7" s="4"/>
      <c r="U7" s="4"/>
      <c r="V7" s="4"/>
      <c r="W7" s="4"/>
    </row>
    <row r="8" spans="2:24" x14ac:dyDescent="0.4">
      <c r="C8" s="2" t="s">
        <v>348</v>
      </c>
      <c r="F8" s="83"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4.9652620789816915</v>
      </c>
      <c r="G8" s="83"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83"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83"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83"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83"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83"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83"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83"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83"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83"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83"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83"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83"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83"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83"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83"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83"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349</v>
      </c>
      <c r="F9" s="83"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83"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83"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83"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83"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83"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83"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83"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83"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83"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83"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83"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83"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83"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83"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83"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83"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83"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443</v>
      </c>
      <c r="F10" s="83"/>
      <c r="G10" s="83"/>
      <c r="H10" s="83"/>
      <c r="I10" s="83"/>
      <c r="J10" s="83"/>
      <c r="K10" s="83"/>
      <c r="L10" s="83"/>
      <c r="M10" s="83"/>
      <c r="N10" s="83"/>
      <c r="O10" s="83"/>
      <c r="P10" s="83"/>
      <c r="Q10" s="83"/>
      <c r="R10" s="83"/>
      <c r="S10" s="83"/>
      <c r="T10" s="83"/>
      <c r="U10" s="83"/>
      <c r="V10" s="83"/>
      <c r="W10" s="83"/>
    </row>
    <row r="11" spans="2:24" x14ac:dyDescent="0.4">
      <c r="C11" s="132" t="s">
        <v>647</v>
      </c>
      <c r="D11">
        <f>IF(_xlfn.AGGREGATE(5,6,F4:W9)&lt;0, _xlfn.AGGREGATE(5,6,F4:W9), 0)</f>
        <v>0</v>
      </c>
      <c r="F11" s="83"/>
      <c r="G11" s="83"/>
      <c r="H11" s="83"/>
      <c r="I11" s="83"/>
      <c r="J11" s="83"/>
      <c r="K11" s="83"/>
      <c r="L11" s="83"/>
      <c r="M11" s="83"/>
      <c r="N11" s="83"/>
      <c r="O11" s="83"/>
      <c r="P11" s="83"/>
      <c r="Q11" s="83"/>
      <c r="R11" s="83"/>
      <c r="S11" s="83"/>
      <c r="T11" s="83"/>
      <c r="U11" s="83"/>
      <c r="V11" s="83"/>
      <c r="W11" s="83"/>
    </row>
    <row r="12" spans="2:24" x14ac:dyDescent="0.4">
      <c r="C12" s="132" t="s">
        <v>648</v>
      </c>
      <c r="D12">
        <f>_xlfn.AGGREGATE(4,6,F4:W9)</f>
        <v>9.1</v>
      </c>
    </row>
    <row r="13" spans="2:24" x14ac:dyDescent="0.4">
      <c r="C13" s="132"/>
    </row>
    <row r="14" spans="2:24" ht="16.5" x14ac:dyDescent="0.6">
      <c r="B14" s="132" t="s">
        <v>537</v>
      </c>
      <c r="C14" s="12" t="s">
        <v>534</v>
      </c>
    </row>
    <row r="15" spans="2:24" x14ac:dyDescent="0.4">
      <c r="C15" s="2" t="s">
        <v>541</v>
      </c>
      <c r="F15" s="83" cm="1">
        <f t="array" ref="F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-1.6278057871264535</v>
      </c>
      <c r="G15" s="83" t="e" cm="1">
        <f t="array" ref="G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H15" s="83" t="e" cm="1">
        <f t="array" ref="H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I15" s="83" t="e" cm="1">
        <f t="array" ref="I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J15" s="83" t="e" cm="1">
        <f t="array" ref="J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K15" s="83" t="e" cm="1">
        <f t="array" ref="K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L15" s="83" t="e" cm="1">
        <f t="array" ref="L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M15" s="83" t="e" cm="1">
        <f t="array" ref="M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N15" s="83" t="e" cm="1">
        <f t="array" ref="N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O15" s="83" t="e" cm="1">
        <f t="array" ref="O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P15" s="83" t="e" cm="1">
        <f t="array" ref="P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Q15" s="83" t="e" cm="1">
        <f t="array" ref="Q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R15" s="83" t="e" cm="1">
        <f t="array" ref="R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S15" s="83" t="e" cm="1">
        <f t="array" ref="S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T15" s="83" t="e" cm="1">
        <f t="array" ref="T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U15" s="83" t="e" cm="1">
        <f t="array" ref="U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V15" s="83" t="e" cm="1">
        <f t="array" ref="V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W15" s="83" t="e" cm="1">
        <f t="array" ref="W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X15" s="83"/>
    </row>
    <row r="16" spans="2:24" x14ac:dyDescent="0.4">
      <c r="C16" s="2" t="s">
        <v>540</v>
      </c>
      <c r="F16" s="83" t="e">
        <f>IF(COUNTIF('Step 1 - Set global parameters'!$B$12:$G$12,TRUE)&gt;0,
  IF(MTP_Council_Endorsed,IF(ISNUMBER(F15),NA(),IF(Assessment!E140="",NA(),Assessment!E140)),NA()),
  IF(MTP_Council_Endorsed,IF(ISNUMBER(F15),NA(),IF(Assessment!E125="",NA(),Assessment!E125)),NA())
)</f>
        <v>#N/A</v>
      </c>
      <c r="G16" s="83">
        <f>IF(COUNTIF('Step 1 - Set global parameters'!$B$12:$G$12,TRUE)&gt;0,
  IF(MTP_Council_Endorsed,IF(ISNUMBER(G15),NA(),IF(Assessment!F140="",NA(),Assessment!F140)),NA()),
  IF(MTP_Council_Endorsed,IF(ISNUMBER(G15),NA(),IF(Assessment!F125="",NA(),Assessment!F125)),NA())
)</f>
        <v>-1.5592009455234228</v>
      </c>
      <c r="H16" s="83">
        <f>IF(COUNTIF('Step 1 - Set global parameters'!$B$12:$G$12,TRUE)&gt;0,
  IF(MTP_Council_Endorsed,IF(ISNUMBER(H15),NA(),IF(Assessment!G140="",NA(),Assessment!G140)),NA()),
  IF(MTP_Council_Endorsed,IF(ISNUMBER(H15),NA(),IF(Assessment!G125="",NA(),Assessment!G125)),NA())
)</f>
        <v>-1.4892081619134891</v>
      </c>
      <c r="I16" s="83" t="e">
        <f>IF(COUNTIF('Step 1 - Set global parameters'!$B$12:$G$12,TRUE)&gt;0,
  IF(MTP_Council_Endorsed,IF(ISNUMBER(I15),NA(),IF(Assessment!H140="",NA(),Assessment!H140)),NA()),
  IF(MTP_Council_Endorsed,IF(ISNUMBER(I15),NA(),IF(Assessment!H125="",NA(),Assessment!H125)),NA())
)</f>
        <v>#N/A</v>
      </c>
      <c r="J16" s="83" t="e">
        <f>IF(COUNTIF('Step 1 - Set global parameters'!$B$12:$G$12,TRUE)&gt;0,
  IF(MTP_Council_Endorsed,IF(ISNUMBER(J15),NA(),IF(Assessment!I140="",NA(),Assessment!I140)),NA()),
  IF(MTP_Council_Endorsed,IF(ISNUMBER(J15),NA(),IF(Assessment!I125="",NA(),Assessment!I125)),NA())
)</f>
        <v>#N/A</v>
      </c>
      <c r="K16" s="83" t="e">
        <f>IF(COUNTIF('Step 1 - Set global parameters'!$B$12:$G$12,TRUE)&gt;0,
  IF(MTP_Council_Endorsed,IF(ISNUMBER(K15),NA(),IF(Assessment!J140="",NA(),Assessment!J140)),NA()),
  IF(MTP_Council_Endorsed,IF(ISNUMBER(K15),NA(),IF(Assessment!J125="",NA(),Assessment!J125)),NA())
)</f>
        <v>#N/A</v>
      </c>
      <c r="L16" s="83" t="e">
        <f>IF(COUNTIF('Step 1 - Set global parameters'!$B$12:$G$12,TRUE)&gt;0,
  IF(MTP_Council_Endorsed,IF(ISNUMBER(L15),NA(),IF(Assessment!K140="",NA(),Assessment!K140)),NA()),
  IF(MTP_Council_Endorsed,IF(ISNUMBER(L15),NA(),IF(Assessment!K125="",NA(),Assessment!K125)),NA())
)</f>
        <v>#N/A</v>
      </c>
      <c r="M16" s="83" t="e">
        <f>IF(COUNTIF('Step 1 - Set global parameters'!$B$12:$G$12,TRUE)&gt;0,
  IF(MTP_Council_Endorsed,IF(ISNUMBER(M15),NA(),IF(Assessment!L140="",NA(),Assessment!L140)),NA()),
  IF(MTP_Council_Endorsed,IF(ISNUMBER(M15),NA(),IF(Assessment!L125="",NA(),Assessment!L125)),NA())
)</f>
        <v>#N/A</v>
      </c>
      <c r="N16" s="83" t="e">
        <f>IF(COUNTIF('Step 1 - Set global parameters'!$B$12:$G$12,TRUE)&gt;0,
  IF(MTP_Council_Endorsed,IF(ISNUMBER(N15),NA(),IF(Assessment!M140="",NA(),Assessment!M140)),NA()),
  IF(MTP_Council_Endorsed,IF(ISNUMBER(N15),NA(),IF(Assessment!M125="",NA(),Assessment!M125)),NA())
)</f>
        <v>#N/A</v>
      </c>
      <c r="O16" s="83" t="e">
        <f>IF(COUNTIF('Step 1 - Set global parameters'!$B$12:$G$12,TRUE)&gt;0,
  IF(MTP_Council_Endorsed,IF(ISNUMBER(O15),NA(),IF(Assessment!N140="",NA(),Assessment!N140)),NA()),
  IF(MTP_Council_Endorsed,IF(ISNUMBER(O15),NA(),IF(Assessment!N125="",NA(),Assessment!N125)),NA())
)</f>
        <v>#N/A</v>
      </c>
      <c r="P16" s="83" t="e">
        <f>IF(COUNTIF('Step 1 - Set global parameters'!$B$12:$G$12,TRUE)&gt;0,
  IF(MTP_Council_Endorsed,IF(ISNUMBER(P15),NA(),IF(Assessment!O140="",NA(),Assessment!O140)),NA()),
  IF(MTP_Council_Endorsed,IF(ISNUMBER(P15),NA(),IF(Assessment!O125="",NA(),Assessment!O125)),NA())
)</f>
        <v>#N/A</v>
      </c>
      <c r="Q16" s="83" t="e">
        <f>IF(COUNTIF('Step 1 - Set global parameters'!$B$12:$G$12,TRUE)&gt;0,
  IF(MTP_Council_Endorsed,IF(ISNUMBER(Q15),NA(),IF(Assessment!P140="",NA(),Assessment!P140)),NA()),
  IF(MTP_Council_Endorsed,IF(ISNUMBER(Q15),NA(),IF(Assessment!P125="",NA(),Assessment!P125)),NA())
)</f>
        <v>#N/A</v>
      </c>
      <c r="R16" s="83" t="e">
        <f>IF(COUNTIF('Step 1 - Set global parameters'!$B$12:$G$12,TRUE)&gt;0,
  IF(MTP_Council_Endorsed,IF(ISNUMBER(R15),NA(),IF(Assessment!Q140="",NA(),Assessment!Q140)),NA()),
  IF(MTP_Council_Endorsed,IF(ISNUMBER(R15),NA(),IF(Assessment!Q125="",NA(),Assessment!Q125)),NA())
)</f>
        <v>#N/A</v>
      </c>
      <c r="S16" s="83" t="e">
        <f>IF(COUNTIF('Step 1 - Set global parameters'!$B$12:$G$12,TRUE)&gt;0,
  IF(MTP_Council_Endorsed,IF(ISNUMBER(S15),NA(),IF(Assessment!R140="",NA(),Assessment!R140)),NA()),
  IF(MTP_Council_Endorsed,IF(ISNUMBER(S15),NA(),IF(Assessment!R125="",NA(),Assessment!R125)),NA())
)</f>
        <v>#N/A</v>
      </c>
      <c r="T16" s="83" t="e">
        <f>IF(COUNTIF('Step 1 - Set global parameters'!$B$12:$G$12,TRUE)&gt;0,
  IF(MTP_Council_Endorsed,IF(ISNUMBER(T15),NA(),IF(Assessment!S140="",NA(),Assessment!S140)),NA()),
  IF(MTP_Council_Endorsed,IF(ISNUMBER(T15),NA(),IF(Assessment!S125="",NA(),Assessment!S125)),NA())
)</f>
        <v>#N/A</v>
      </c>
      <c r="U16" s="83" t="e">
        <f>IF(COUNTIF('Step 1 - Set global parameters'!$B$12:$G$12,TRUE)&gt;0,
  IF(MTP_Council_Endorsed,IF(ISNUMBER(U15),NA(),IF(Assessment!T140="",NA(),Assessment!T140)),NA()),
  IF(MTP_Council_Endorsed,IF(ISNUMBER(U15),NA(),IF(Assessment!T125="",NA(),Assessment!T125)),NA())
)</f>
        <v>#N/A</v>
      </c>
      <c r="V16" s="83" t="e">
        <f>IF(COUNTIF('Step 1 - Set global parameters'!$B$12:$G$12,TRUE)&gt;0,
  IF(MTP_Council_Endorsed,IF(ISNUMBER(V15),NA(),IF(Assessment!U140="",NA(),Assessment!U140)),NA()),
  IF(MTP_Council_Endorsed,IF(ISNUMBER(V15),NA(),IF(Assessment!U125="",NA(),Assessment!U125)),NA())
)</f>
        <v>#N/A</v>
      </c>
      <c r="W16" s="83" t="e">
        <f>IF(COUNTIF('Step 1 - Set global parameters'!$B$12:$G$12,TRUE)&gt;0,
  IF(MTP_Council_Endorsed,IF(ISNUMBER(W15),NA(),IF(Assessment!V140="",NA(),Assessment!V140)),NA()),
  IF(MTP_Council_Endorsed,IF(ISNUMBER(W15),NA(),IF(Assessment!V125="",NA(),Assessment!V125)),NA())
)</f>
        <v>#N/A</v>
      </c>
    </row>
    <row r="17" spans="2:23" x14ac:dyDescent="0.4">
      <c r="C17" s="2" t="s">
        <v>346</v>
      </c>
      <c r="F17" s="4"/>
      <c r="G17" s="4"/>
      <c r="H17" s="4"/>
      <c r="I17" s="4"/>
      <c r="J17" s="4"/>
      <c r="K17" s="4"/>
      <c r="L17" s="4"/>
      <c r="M17" s="4"/>
      <c r="N17" s="4"/>
      <c r="O17" s="4"/>
      <c r="P17" s="4"/>
      <c r="Q17" s="4"/>
      <c r="R17" s="4"/>
      <c r="S17" s="4"/>
      <c r="T17" s="4"/>
      <c r="U17" s="4"/>
      <c r="V17" s="4"/>
      <c r="W17" s="4"/>
    </row>
    <row r="18" spans="2:23" x14ac:dyDescent="0.4">
      <c r="C18" s="2" t="s">
        <v>653</v>
      </c>
      <c r="F18" s="83">
        <f>IF(COUNTIF('Step 1 - Set global parameters'!$B$12:$G$12,TRUE)&gt;0,
  IF(MTP_Council_Endorsed,IF(NOT(Assessment!E141),IF(Assessment!E139&lt;=0,Assessment!E139,NA()),NA()),NA()),
  IF(MTP_Council_Endorsed,IF(NOT(Assessment!E126),IF(Assessment!E124&lt;=0,Assessment!E124,NA()),NA()),NA())
)</f>
        <v>-1.6278057871264535</v>
      </c>
      <c r="G18" s="83" t="e">
        <f>IF(COUNTIF('Step 1 - Set global parameters'!$B$12:$G$12,TRUE)&gt;0,
  IF(MTP_Council_Endorsed,IF(NOT(Assessment!F141),IF(Assessment!F139&lt;=0,Assessment!F139,NA()),NA()),NA()),
  IF(MTP_Council_Endorsed,IF(NOT(Assessment!F126),IF(Assessment!F124&lt;=0,Assessment!F124,NA()),NA()),NA())
)</f>
        <v>#N/A</v>
      </c>
      <c r="H18" s="83" t="e">
        <f>IF(COUNTIF('Step 1 - Set global parameters'!$B$12:$G$12,TRUE)&gt;0,
  IF(MTP_Council_Endorsed,IF(NOT(Assessment!G141),IF(Assessment!G139&lt;=0,Assessment!G139,NA()),NA()),NA()),
  IF(MTP_Council_Endorsed,IF(NOT(Assessment!G126),IF(Assessment!G124&lt;=0,Assessment!G124,NA()),NA()),NA())
)</f>
        <v>#N/A</v>
      </c>
      <c r="I18" s="83" t="e">
        <f>IF(COUNTIF('Step 1 - Set global parameters'!$B$12:$G$12,TRUE)&gt;0,
  IF(MTP_Council_Endorsed,IF(NOT(Assessment!H141),IF(Assessment!H139&lt;=0,Assessment!H139,NA()),NA()),NA()),
  IF(MTP_Council_Endorsed,IF(NOT(Assessment!H126),IF(Assessment!H124&lt;=0,Assessment!H124,NA()),NA()),NA())
)</f>
        <v>#N/A</v>
      </c>
      <c r="J18" s="83" t="e">
        <f>IF(COUNTIF('Step 1 - Set global parameters'!$B$12:$G$12,TRUE)&gt;0,
  IF(MTP_Council_Endorsed,IF(NOT(Assessment!I141),IF(Assessment!I139&lt;=0,Assessment!I139,NA()),NA()),NA()),
  IF(MTP_Council_Endorsed,IF(NOT(Assessment!I126),IF(Assessment!I124&lt;=0,Assessment!I124,NA()),NA()),NA())
)</f>
        <v>#N/A</v>
      </c>
      <c r="K18" s="83" t="e">
        <f>IF(COUNTIF('Step 1 - Set global parameters'!$B$12:$G$12,TRUE)&gt;0,
  IF(MTP_Council_Endorsed,IF(NOT(Assessment!J141),IF(Assessment!J139&lt;=0,Assessment!J139,NA()),NA()),NA()),
  IF(MTP_Council_Endorsed,IF(NOT(Assessment!J126),IF(Assessment!J124&lt;=0,Assessment!J124,NA()),NA()),NA())
)</f>
        <v>#N/A</v>
      </c>
      <c r="L18" s="83">
        <f>IF(COUNTIF('Step 1 - Set global parameters'!$B$12:$G$12,TRUE)&gt;0,
  IF(MTP_Council_Endorsed,IF(NOT(Assessment!K141),IF(Assessment!K139&lt;=0,Assessment!K139,NA()),NA()),NA()),
  IF(MTP_Council_Endorsed,IF(NOT(Assessment!K126),IF(Assessment!K124&lt;=0,Assessment!K124,NA()),NA()),NA())
)</f>
        <v>0</v>
      </c>
      <c r="M18" s="83">
        <f>IF(COUNTIF('Step 1 - Set global parameters'!$B$12:$G$12,TRUE)&gt;0,
  IF(MTP_Council_Endorsed,IF(NOT(Assessment!L141),IF(Assessment!L139&lt;=0,Assessment!L139,NA()),NA()),NA()),
  IF(MTP_Council_Endorsed,IF(NOT(Assessment!L126),IF(Assessment!L124&lt;=0,Assessment!L124,NA()),NA()),NA())
)</f>
        <v>0</v>
      </c>
      <c r="N18" s="83">
        <f>IF(COUNTIF('Step 1 - Set global parameters'!$B$12:$G$12,TRUE)&gt;0,
  IF(MTP_Council_Endorsed,IF(NOT(Assessment!M141),IF(Assessment!M139&lt;=0,Assessment!M139,NA()),NA()),NA()),
  IF(MTP_Council_Endorsed,IF(NOT(Assessment!M126),IF(Assessment!M124&lt;=0,Assessment!M124,NA()),NA()),NA())
)</f>
        <v>0</v>
      </c>
      <c r="O18" s="83">
        <f>IF(COUNTIF('Step 1 - Set global parameters'!$B$12:$G$12,TRUE)&gt;0,
  IF(MTP_Council_Endorsed,IF(NOT(Assessment!N141),IF(Assessment!N139&lt;=0,Assessment!N139,NA()),NA()),NA()),
  IF(MTP_Council_Endorsed,IF(NOT(Assessment!N126),IF(Assessment!N124&lt;=0,Assessment!N124,NA()),NA()),NA())
)</f>
        <v>0</v>
      </c>
      <c r="P18" s="83">
        <f>IF(COUNTIF('Step 1 - Set global parameters'!$B$12:$G$12,TRUE)&gt;0,
  IF(MTP_Council_Endorsed,IF(NOT(Assessment!O141),IF(Assessment!O139&lt;=0,Assessment!O139,NA()),NA()),NA()),
  IF(MTP_Council_Endorsed,IF(NOT(Assessment!O126),IF(Assessment!O124&lt;=0,Assessment!O124,NA()),NA()),NA())
)</f>
        <v>0</v>
      </c>
      <c r="Q18" s="83">
        <f>IF(COUNTIF('Step 1 - Set global parameters'!$B$12:$G$12,TRUE)&gt;0,
  IF(MTP_Council_Endorsed,IF(NOT(Assessment!P141),IF(Assessment!P139&lt;=0,Assessment!P139,NA()),NA()),NA()),
  IF(MTP_Council_Endorsed,IF(NOT(Assessment!P126),IF(Assessment!P124&lt;=0,Assessment!P124,NA()),NA()),NA())
)</f>
        <v>0</v>
      </c>
      <c r="R18" s="83">
        <f>IF(COUNTIF('Step 1 - Set global parameters'!$B$12:$G$12,TRUE)&gt;0,
  IF(MTP_Council_Endorsed,IF(NOT(Assessment!Q141),IF(Assessment!Q139&lt;=0,Assessment!Q139,NA()),NA()),NA()),
  IF(MTP_Council_Endorsed,IF(NOT(Assessment!Q126),IF(Assessment!Q124&lt;=0,Assessment!Q124,NA()),NA()),NA())
)</f>
        <v>0</v>
      </c>
      <c r="S18" s="83">
        <f>IF(COUNTIF('Step 1 - Set global parameters'!$B$12:$G$12,TRUE)&gt;0,
  IF(MTP_Council_Endorsed,IF(NOT(Assessment!R141),IF(Assessment!R139&lt;=0,Assessment!R139,NA()),NA()),NA()),
  IF(MTP_Council_Endorsed,IF(NOT(Assessment!R126),IF(Assessment!R124&lt;=0,Assessment!R124,NA()),NA()),NA())
)</f>
        <v>0</v>
      </c>
      <c r="T18" s="83">
        <f>IF(COUNTIF('Step 1 - Set global parameters'!$B$12:$G$12,TRUE)&gt;0,
  IF(MTP_Council_Endorsed,IF(NOT(Assessment!S141),IF(Assessment!S139&lt;=0,Assessment!S139,NA()),NA()),NA()),
  IF(MTP_Council_Endorsed,IF(NOT(Assessment!S126),IF(Assessment!S124&lt;=0,Assessment!S124,NA()),NA()),NA())
)</f>
        <v>0</v>
      </c>
      <c r="U18" s="83">
        <f>IF(COUNTIF('Step 1 - Set global parameters'!$B$12:$G$12,TRUE)&gt;0,
  IF(MTP_Council_Endorsed,IF(NOT(Assessment!T141),IF(Assessment!T139&lt;=0,Assessment!T139,NA()),NA()),NA()),
  IF(MTP_Council_Endorsed,IF(NOT(Assessment!T126),IF(Assessment!T124&lt;=0,Assessment!T124,NA()),NA()),NA())
)</f>
        <v>0</v>
      </c>
      <c r="V18" s="83">
        <f>IF(COUNTIF('Step 1 - Set global parameters'!$B$12:$G$12,TRUE)&gt;0,
  IF(MTP_Council_Endorsed,IF(NOT(Assessment!U141),IF(Assessment!U139&lt;=0,Assessment!U139,NA()),NA()),NA()),
  IF(MTP_Council_Endorsed,IF(NOT(Assessment!U126),IF(Assessment!U124&lt;=0,Assessment!U124,NA()),NA()),NA())
)</f>
        <v>0</v>
      </c>
      <c r="W18" s="83">
        <f>IF(COUNTIF('Step 1 - Set global parameters'!$B$12:$G$12,TRUE)&gt;0,
  IF(MTP_Council_Endorsed,IF(NOT(Assessment!V141),IF(Assessment!V139&lt;=0,Assessment!V139,NA()),NA()),NA()),
  IF(MTP_Council_Endorsed,IF(NOT(Assessment!V126),IF(Assessment!V124&lt;=0,Assessment!V124,NA()),NA()),NA())
)</f>
        <v>0</v>
      </c>
    </row>
    <row r="19" spans="2:23" x14ac:dyDescent="0.4">
      <c r="C19" s="2" t="s">
        <v>654</v>
      </c>
      <c r="F19" s="83" t="e">
        <f>IF(COUNTIF('Step 1 - Set global parameters'!$B$12:$G$12,TRUE)&gt;0,
  IF(MTP_Council_Endorsed,IF(NOT(Assessment!E141),IF(Assessment!E139&gt;0,Assessment!E139,NA()),NA()),NA()),
  IF(MTP_Council_Endorsed,IF(NOT(Assessment!E126),IF(Assessment!E124&gt;0,Assessment!E124,NA()),NA()),NA())
)</f>
        <v>#N/A</v>
      </c>
      <c r="G19" s="83" t="e">
        <f>IF(COUNTIF('Step 1 - Set global parameters'!$B$12:$G$12,TRUE)&gt;0,
  IF(MTP_Council_Endorsed,IF(NOT(Assessment!F141),IF(Assessment!F139&gt;0,Assessment!F139,NA()),NA()),NA()),
  IF(MTP_Council_Endorsed,IF(NOT(Assessment!F126),IF(Assessment!F124&gt;0,Assessment!F124,NA()),NA()),NA())
)</f>
        <v>#N/A</v>
      </c>
      <c r="H19" s="83" t="e">
        <f>IF(COUNTIF('Step 1 - Set global parameters'!$B$12:$G$12,TRUE)&gt;0,
  IF(MTP_Council_Endorsed,IF(NOT(Assessment!G141),IF(Assessment!G139&gt;0,Assessment!G139,NA()),NA()),NA()),
  IF(MTP_Council_Endorsed,IF(NOT(Assessment!G126),IF(Assessment!G124&gt;0,Assessment!G124,NA()),NA()),NA())
)</f>
        <v>#N/A</v>
      </c>
      <c r="I19" s="83" t="e">
        <f>IF(COUNTIF('Step 1 - Set global parameters'!$B$12:$G$12,TRUE)&gt;0,
  IF(MTP_Council_Endorsed,IF(NOT(Assessment!H141),IF(Assessment!H139&gt;0,Assessment!H139,NA()),NA()),NA()),
  IF(MTP_Council_Endorsed,IF(NOT(Assessment!H126),IF(Assessment!H124&gt;0,Assessment!H124,NA()),NA()),NA())
)</f>
        <v>#N/A</v>
      </c>
      <c r="J19" s="83" t="e">
        <f>IF(COUNTIF('Step 1 - Set global parameters'!$B$12:$G$12,TRUE)&gt;0,
  IF(MTP_Council_Endorsed,IF(NOT(Assessment!I141),IF(Assessment!I139&gt;0,Assessment!I139,NA()),NA()),NA()),
  IF(MTP_Council_Endorsed,IF(NOT(Assessment!I126),IF(Assessment!I124&gt;0,Assessment!I124,NA()),NA()),NA())
)</f>
        <v>#N/A</v>
      </c>
      <c r="K19" s="83" t="str">
        <f>IF(COUNTIF('Step 1 - Set global parameters'!$B$12:$G$12,TRUE)&gt;0,
  IF(MTP_Council_Endorsed,IF(NOT(Assessment!J141),IF(Assessment!J139&gt;0,Assessment!J139,NA()),NA()),NA()),
  IF(MTP_Council_Endorsed,IF(NOT(Assessment!J126),IF(Assessment!J124&gt;0,Assessment!J124,NA()),NA()),NA())
)</f>
        <v/>
      </c>
      <c r="L19" s="83" t="e">
        <f>IF(COUNTIF('Step 1 - Set global parameters'!$B$12:$G$12,TRUE)&gt;0,
  IF(MTP_Council_Endorsed,IF(NOT(Assessment!K141),IF(Assessment!K139&gt;0,Assessment!K139,NA()),NA()),NA()),
  IF(MTP_Council_Endorsed,IF(NOT(Assessment!K126),IF(Assessment!K124&gt;0,Assessment!K124,NA()),NA()),NA())
)</f>
        <v>#N/A</v>
      </c>
      <c r="M19" s="83" t="e">
        <f>IF(COUNTIF('Step 1 - Set global parameters'!$B$12:$G$12,TRUE)&gt;0,
  IF(MTP_Council_Endorsed,IF(NOT(Assessment!L141),IF(Assessment!L139&gt;0,Assessment!L139,NA()),NA()),NA()),
  IF(MTP_Council_Endorsed,IF(NOT(Assessment!L126),IF(Assessment!L124&gt;0,Assessment!L124,NA()),NA()),NA())
)</f>
        <v>#N/A</v>
      </c>
      <c r="N19" s="83" t="e">
        <f>IF(COUNTIF('Step 1 - Set global parameters'!$B$12:$G$12,TRUE)&gt;0,
  IF(MTP_Council_Endorsed,IF(NOT(Assessment!M141),IF(Assessment!M139&gt;0,Assessment!M139,NA()),NA()),NA()),
  IF(MTP_Council_Endorsed,IF(NOT(Assessment!M126),IF(Assessment!M124&gt;0,Assessment!M124,NA()),NA()),NA())
)</f>
        <v>#N/A</v>
      </c>
      <c r="O19" s="83" t="e">
        <f>IF(COUNTIF('Step 1 - Set global parameters'!$B$12:$G$12,TRUE)&gt;0,
  IF(MTP_Council_Endorsed,IF(NOT(Assessment!N141),IF(Assessment!N139&gt;0,Assessment!N139,NA()),NA()),NA()),
  IF(MTP_Council_Endorsed,IF(NOT(Assessment!N126),IF(Assessment!N124&gt;0,Assessment!N124,NA()),NA()),NA())
)</f>
        <v>#N/A</v>
      </c>
      <c r="P19" s="83" t="e">
        <f>IF(COUNTIF('Step 1 - Set global parameters'!$B$12:$G$12,TRUE)&gt;0,
  IF(MTP_Council_Endorsed,IF(NOT(Assessment!O141),IF(Assessment!O139&gt;0,Assessment!O139,NA()),NA()),NA()),
  IF(MTP_Council_Endorsed,IF(NOT(Assessment!O126),IF(Assessment!O124&gt;0,Assessment!O124,NA()),NA()),NA())
)</f>
        <v>#N/A</v>
      </c>
      <c r="Q19" s="83" t="e">
        <f>IF(COUNTIF('Step 1 - Set global parameters'!$B$12:$G$12,TRUE)&gt;0,
  IF(MTP_Council_Endorsed,IF(NOT(Assessment!P141),IF(Assessment!P139&gt;0,Assessment!P139,NA()),NA()),NA()),
  IF(MTP_Council_Endorsed,IF(NOT(Assessment!P126),IF(Assessment!P124&gt;0,Assessment!P124,NA()),NA()),NA())
)</f>
        <v>#N/A</v>
      </c>
      <c r="R19" s="83" t="e">
        <f>IF(COUNTIF('Step 1 - Set global parameters'!$B$12:$G$12,TRUE)&gt;0,
  IF(MTP_Council_Endorsed,IF(NOT(Assessment!Q141),IF(Assessment!Q139&gt;0,Assessment!Q139,NA()),NA()),NA()),
  IF(MTP_Council_Endorsed,IF(NOT(Assessment!Q126),IF(Assessment!Q124&gt;0,Assessment!Q124,NA()),NA()),NA())
)</f>
        <v>#N/A</v>
      </c>
      <c r="S19" s="83" t="e">
        <f>IF(COUNTIF('Step 1 - Set global parameters'!$B$12:$G$12,TRUE)&gt;0,
  IF(MTP_Council_Endorsed,IF(NOT(Assessment!R141),IF(Assessment!R139&gt;0,Assessment!R139,NA()),NA()),NA()),
  IF(MTP_Council_Endorsed,IF(NOT(Assessment!R126),IF(Assessment!R124&gt;0,Assessment!R124,NA()),NA()),NA())
)</f>
        <v>#N/A</v>
      </c>
      <c r="T19" s="83" t="e">
        <f>IF(COUNTIF('Step 1 - Set global parameters'!$B$12:$G$12,TRUE)&gt;0,
  IF(MTP_Council_Endorsed,IF(NOT(Assessment!S141),IF(Assessment!S139&gt;0,Assessment!S139,NA()),NA()),NA()),
  IF(MTP_Council_Endorsed,IF(NOT(Assessment!S126),IF(Assessment!S124&gt;0,Assessment!S124,NA()),NA()),NA())
)</f>
        <v>#N/A</v>
      </c>
      <c r="U19" s="83" t="e">
        <f>IF(COUNTIF('Step 1 - Set global parameters'!$B$12:$G$12,TRUE)&gt;0,
  IF(MTP_Council_Endorsed,IF(NOT(Assessment!T141),IF(Assessment!T139&gt;0,Assessment!T139,NA()),NA()),NA()),
  IF(MTP_Council_Endorsed,IF(NOT(Assessment!T126),IF(Assessment!T124&gt;0,Assessment!T124,NA()),NA()),NA())
)</f>
        <v>#N/A</v>
      </c>
      <c r="V19" s="83" t="e">
        <f>IF(COUNTIF('Step 1 - Set global parameters'!$B$12:$G$12,TRUE)&gt;0,
  IF(MTP_Council_Endorsed,IF(NOT(Assessment!U141),IF(Assessment!U139&gt;0,Assessment!U139,NA()),NA()),NA()),
  IF(MTP_Council_Endorsed,IF(NOT(Assessment!U126),IF(Assessment!U124&gt;0,Assessment!U124,NA()),NA()),NA())
)</f>
        <v>#N/A</v>
      </c>
      <c r="W19" s="83" t="e">
        <f>IF(COUNTIF('Step 1 - Set global parameters'!$B$12:$G$12,TRUE)&gt;0,
  IF(MTP_Council_Endorsed,IF(NOT(Assessment!V141),IF(Assessment!V139&gt;0,Assessment!V139,NA()),NA()),NA()),
  IF(MTP_Council_Endorsed,IF(NOT(Assessment!V126),IF(Assessment!V124&gt;0,Assessment!V124,NA()),NA()),NA())
)</f>
        <v>#N/A</v>
      </c>
    </row>
    <row r="20" spans="2:23" x14ac:dyDescent="0.4">
      <c r="C20" s="2" t="s">
        <v>347</v>
      </c>
      <c r="F20" s="83"/>
      <c r="G20" s="83"/>
      <c r="H20" s="83"/>
      <c r="I20" s="83"/>
      <c r="J20" s="83"/>
      <c r="K20" s="83"/>
      <c r="L20" s="83"/>
      <c r="M20" s="83"/>
      <c r="N20" s="83"/>
      <c r="O20" s="83"/>
      <c r="P20" s="83"/>
      <c r="Q20" s="83"/>
      <c r="R20" s="83"/>
      <c r="S20" s="83"/>
      <c r="T20" s="83"/>
      <c r="U20" s="83"/>
      <c r="V20" s="83"/>
      <c r="W20" s="83"/>
    </row>
    <row r="21" spans="2:23" x14ac:dyDescent="0.4">
      <c r="C21" s="2" t="s">
        <v>753</v>
      </c>
      <c r="F21" s="83" t="e">
        <f>IF(MTP_Council_Endorsed,IF(Assessment!E141,Assessment!E139,NA()),NA())</f>
        <v>#N/A</v>
      </c>
      <c r="G21" s="83">
        <f>IF(MTP_Council_Endorsed,IF(Assessment!F141,Assessment!F139,NA()),NA())</f>
        <v>0</v>
      </c>
      <c r="H21" s="83">
        <f>IF(MTP_Council_Endorsed,IF(Assessment!G141,Assessment!G139,NA()),NA())</f>
        <v>0</v>
      </c>
      <c r="I21" s="83" t="str">
        <f>IF(MTP_Council_Endorsed,IF(Assessment!H141,Assessment!H139,NA()),NA())</f>
        <v/>
      </c>
      <c r="J21" s="83" t="str">
        <f>IF(MTP_Council_Endorsed,IF(Assessment!I141,Assessment!I139,NA()),NA())</f>
        <v/>
      </c>
      <c r="K21" s="83" t="e">
        <f>IF(MTP_Council_Endorsed,IF(Assessment!J141,Assessment!J139,NA()),NA())</f>
        <v>#N/A</v>
      </c>
      <c r="L21" s="83" t="e">
        <f>IF(MTP_Council_Endorsed,IF(Assessment!K141,Assessment!K139,NA()),NA())</f>
        <v>#N/A</v>
      </c>
      <c r="M21" s="83" t="e">
        <f>IF(MTP_Council_Endorsed,IF(Assessment!L141,Assessment!L139,NA()),NA())</f>
        <v>#N/A</v>
      </c>
      <c r="N21" s="83" t="e">
        <f>IF(MTP_Council_Endorsed,IF(Assessment!M141,Assessment!M139,NA()),NA())</f>
        <v>#N/A</v>
      </c>
      <c r="O21" s="83" t="e">
        <f>IF(MTP_Council_Endorsed,IF(Assessment!N141,Assessment!N139,NA()),NA())</f>
        <v>#N/A</v>
      </c>
      <c r="P21" s="83" t="e">
        <f>IF(MTP_Council_Endorsed,IF(Assessment!O141,Assessment!O139,NA()),NA())</f>
        <v>#N/A</v>
      </c>
      <c r="Q21" s="83" t="e">
        <f>IF(MTP_Council_Endorsed,IF(Assessment!P141,Assessment!P139,NA()),NA())</f>
        <v>#N/A</v>
      </c>
      <c r="R21" s="83" t="e">
        <f>IF(MTP_Council_Endorsed,IF(Assessment!Q141,Assessment!Q139,NA()),NA())</f>
        <v>#N/A</v>
      </c>
      <c r="S21" s="83" t="e">
        <f>IF(MTP_Council_Endorsed,IF(Assessment!R141,Assessment!R139,NA()),NA())</f>
        <v>#N/A</v>
      </c>
      <c r="T21" s="83" t="e">
        <f>IF(MTP_Council_Endorsed,IF(Assessment!S141,Assessment!S139,NA()),NA())</f>
        <v>#N/A</v>
      </c>
      <c r="U21" s="83" t="e">
        <f>IF(MTP_Council_Endorsed,IF(Assessment!T141,Assessment!T139,NA()),NA())</f>
        <v>#N/A</v>
      </c>
      <c r="V21" s="83" t="e">
        <f>IF(MTP_Council_Endorsed,IF(Assessment!U141,Assessment!U139,NA()),NA())</f>
        <v>#N/A</v>
      </c>
      <c r="W21" s="83" t="e">
        <f>IF(MTP_Council_Endorsed,IF(Assessment!V141,Assessment!V139,NA()),NA())</f>
        <v>#N/A</v>
      </c>
    </row>
    <row r="22" spans="2:23" x14ac:dyDescent="0.4">
      <c r="C22" s="2" t="s">
        <v>542</v>
      </c>
      <c r="F22" s="83">
        <v>0.3</v>
      </c>
      <c r="G22" s="83">
        <v>0.3</v>
      </c>
      <c r="H22" s="83">
        <v>0.3</v>
      </c>
      <c r="I22" s="83">
        <v>0.3</v>
      </c>
      <c r="J22" s="83">
        <v>0.3</v>
      </c>
      <c r="K22" s="83">
        <v>0.3</v>
      </c>
      <c r="L22" s="83">
        <v>0.3</v>
      </c>
      <c r="M22" s="83">
        <v>0.3</v>
      </c>
      <c r="N22" s="83">
        <v>0.3</v>
      </c>
      <c r="O22" s="83">
        <v>0.3</v>
      </c>
      <c r="P22" s="83">
        <v>0.3</v>
      </c>
      <c r="Q22" s="83">
        <v>0.3</v>
      </c>
      <c r="R22" s="83">
        <v>0.3</v>
      </c>
      <c r="S22" s="83">
        <v>0.3</v>
      </c>
      <c r="T22" s="83">
        <v>0.3</v>
      </c>
      <c r="U22" s="83">
        <v>0.3</v>
      </c>
      <c r="V22" s="83">
        <v>0.3</v>
      </c>
      <c r="W22" s="83">
        <v>0.3</v>
      </c>
    </row>
    <row r="23" spans="2:23" x14ac:dyDescent="0.4">
      <c r="C23" s="2" t="s">
        <v>543</v>
      </c>
      <c r="F23" s="83">
        <v>0.6</v>
      </c>
      <c r="G23" s="83">
        <v>0.6</v>
      </c>
      <c r="H23" s="83">
        <v>0.6</v>
      </c>
      <c r="I23" s="83">
        <v>0.6</v>
      </c>
      <c r="J23" s="83">
        <v>0.6</v>
      </c>
      <c r="K23" s="83">
        <v>0.6</v>
      </c>
      <c r="L23" s="83">
        <v>0.6</v>
      </c>
      <c r="M23" s="83">
        <v>0.6</v>
      </c>
      <c r="N23" s="83">
        <v>0.6</v>
      </c>
      <c r="O23" s="83">
        <v>0.6</v>
      </c>
      <c r="P23" s="83">
        <v>0.6</v>
      </c>
      <c r="Q23" s="83">
        <v>0.6</v>
      </c>
      <c r="R23" s="83">
        <v>0.6</v>
      </c>
      <c r="S23" s="83">
        <v>0.6</v>
      </c>
      <c r="T23" s="83">
        <v>0.6</v>
      </c>
      <c r="U23" s="83">
        <v>0.6</v>
      </c>
      <c r="V23" s="83">
        <v>0.6</v>
      </c>
      <c r="W23" s="83">
        <v>0.6</v>
      </c>
    </row>
    <row r="24" spans="2:23" x14ac:dyDescent="0.4">
      <c r="C24" s="2" t="s">
        <v>535</v>
      </c>
      <c r="F24" s="83"/>
      <c r="G24" s="83"/>
      <c r="H24" s="83"/>
      <c r="I24" s="83"/>
      <c r="J24" s="83"/>
      <c r="K24" s="83"/>
      <c r="L24" s="83"/>
      <c r="M24" s="83"/>
      <c r="N24" s="83"/>
      <c r="O24" s="83"/>
      <c r="P24" s="83"/>
      <c r="Q24" s="83"/>
      <c r="R24" s="83"/>
      <c r="S24" s="83"/>
      <c r="T24" s="83"/>
      <c r="U24" s="83"/>
      <c r="V24" s="83"/>
      <c r="W24" s="83"/>
    </row>
    <row r="25" spans="2:23" x14ac:dyDescent="0.4">
      <c r="C25" s="132" t="s">
        <v>647</v>
      </c>
      <c r="D25" s="4">
        <f>IF(_xlfn.AGGREGATE(5,6,F15:W23)&lt;0, _xlfn.AGGREGATE(5,6,F15:W23), 0)</f>
        <v>-1.6278057871264535</v>
      </c>
      <c r="F25" s="83"/>
      <c r="G25" s="83"/>
      <c r="H25" s="83"/>
      <c r="I25" s="83"/>
      <c r="J25" s="83"/>
      <c r="K25" s="83"/>
      <c r="L25" s="83"/>
      <c r="M25" s="83"/>
      <c r="N25" s="83"/>
      <c r="O25" s="83"/>
      <c r="P25" s="83"/>
      <c r="Q25" s="83"/>
      <c r="R25" s="83"/>
      <c r="S25" s="83"/>
      <c r="T25" s="83"/>
      <c r="U25" s="83"/>
      <c r="V25" s="83"/>
      <c r="W25" s="83"/>
    </row>
    <row r="26" spans="2:23" x14ac:dyDescent="0.4">
      <c r="C26" s="132" t="s">
        <v>648</v>
      </c>
      <c r="D26" s="4">
        <f>_xlfn.AGGREGATE(4,6,F15:W23)</f>
        <v>0.6</v>
      </c>
    </row>
    <row r="27" spans="2:23" x14ac:dyDescent="0.4">
      <c r="C27" s="132"/>
    </row>
    <row r="28" spans="2:23" ht="16.5" x14ac:dyDescent="0.6">
      <c r="B28" s="132" t="s">
        <v>538</v>
      </c>
      <c r="C28" s="12" t="str">
        <f>"Performance of general government debt compared to the "&amp;IF(MTP_Council_Endorsed,"endorsed plan","the proposed plan")</f>
        <v>Performance of general government debt compared to the endorsed plan</v>
      </c>
    </row>
    <row r="29" spans="2:23" x14ac:dyDescent="0.4">
      <c r="C29" s="2" t="s">
        <v>556</v>
      </c>
      <c r="E29" s="83">
        <f>IF(ISNUMBER(Assessment!D38),Assessment!D38,NA())</f>
        <v>43.6</v>
      </c>
      <c r="F29" s="83">
        <f>IF(ISNUMBER(Assessment!E38),Assessment!E38,NA())</f>
        <v>45.8</v>
      </c>
      <c r="G29" s="83">
        <f>IF(ISNUMBER(Assessment!F38),Assessment!F38,NA())</f>
        <v>47.5</v>
      </c>
      <c r="H29" s="83">
        <f>IF(ISNUMBER(Assessment!G38),Assessment!G38,NA())</f>
        <v>48.5</v>
      </c>
      <c r="I29" s="83">
        <f>IF(ISNUMBER(Assessment!H38),Assessment!H38,NA())</f>
        <v>49.7</v>
      </c>
      <c r="J29" s="83">
        <f>IF(ISNUMBER(Assessment!I38),Assessment!I38,NA())</f>
        <v>50.8</v>
      </c>
      <c r="K29" s="83" t="e">
        <f>IF(ISNUMBER(Assessment!J38),Assessment!J38,NA())</f>
        <v>#N/A</v>
      </c>
      <c r="L29" s="83" t="e">
        <f>IF(ISNUMBER(Assessment!K38),Assessment!K38,NA())</f>
        <v>#N/A</v>
      </c>
      <c r="M29" s="83" t="e">
        <f>IF(ISNUMBER(Assessment!L38),Assessment!L38,NA())</f>
        <v>#N/A</v>
      </c>
      <c r="N29" s="83" t="e">
        <f>IF(ISNUMBER(Assessment!M38),Assessment!M38,NA())</f>
        <v>#N/A</v>
      </c>
      <c r="O29" s="83" t="e">
        <f>IF(ISNUMBER(Assessment!N38),Assessment!N38,NA())</f>
        <v>#N/A</v>
      </c>
      <c r="P29" s="83" t="e">
        <f>IF(ISNUMBER(Assessment!O38),Assessment!O38,NA())</f>
        <v>#N/A</v>
      </c>
      <c r="Q29" s="83" t="e">
        <f>IF(ISNUMBER(Assessment!P38),Assessment!P38,NA())</f>
        <v>#N/A</v>
      </c>
      <c r="R29" s="83" t="e">
        <f>IF(ISNUMBER(Assessment!Q38),Assessment!Q38,NA())</f>
        <v>#N/A</v>
      </c>
      <c r="S29" s="83" t="e">
        <f>IF(ISNUMBER(Assessment!R38),Assessment!R38,NA())</f>
        <v>#N/A</v>
      </c>
      <c r="T29" s="83" t="e">
        <f>IF(ISNUMBER(Assessment!S38),Assessment!S38,NA())</f>
        <v>#N/A</v>
      </c>
      <c r="U29" s="83" t="e">
        <f>IF(ISNUMBER(Assessment!T38),Assessment!T38,NA())</f>
        <v>#N/A</v>
      </c>
      <c r="V29" s="83" t="e">
        <f>IF(ISNUMBER(Assessment!U38),Assessment!U38,NA())</f>
        <v>#N/A</v>
      </c>
      <c r="W29" s="83" t="e">
        <f>IF(ISNUMBER(Assessment!V38),Assessment!V38,NA())</f>
        <v>#N/A</v>
      </c>
    </row>
    <row r="30" spans="2:23" x14ac:dyDescent="0.4">
      <c r="C30" s="2" t="s">
        <v>346</v>
      </c>
      <c r="E30" s="83"/>
      <c r="F30" s="83"/>
      <c r="G30" s="83"/>
      <c r="H30" s="83"/>
      <c r="I30" s="83"/>
      <c r="J30" s="83"/>
      <c r="K30" s="83"/>
      <c r="L30" s="83"/>
      <c r="M30" s="83"/>
      <c r="N30" s="83"/>
      <c r="O30" s="83"/>
      <c r="P30" s="83"/>
      <c r="Q30" s="83"/>
      <c r="R30" s="83"/>
      <c r="S30" s="83"/>
      <c r="T30" s="83"/>
      <c r="U30" s="83"/>
      <c r="V30" s="83"/>
      <c r="W30" s="83"/>
    </row>
    <row r="31" spans="2:23" x14ac:dyDescent="0.4">
      <c r="C31" s="2" t="s">
        <v>256</v>
      </c>
      <c r="E31" s="83">
        <f>IF(OR(ISNUMBER(E91),ISNUMBER(E92)),NA(),IF(ISNUMBER(Assessment!D20),Assessment!D20,NA()))</f>
        <v>44.430318318075436</v>
      </c>
      <c r="F31" s="83" t="e">
        <f>IF(OR(ISNUMBER(F91),ISNUMBER(F92)),NA(),IF(ISNUMBER(Assessment!E20),Assessment!E20,NA()))</f>
        <v>#N/A</v>
      </c>
      <c r="G31" s="83">
        <f>IF(OR(ISNUMBER(G91),ISNUMBER(G92)),NA(),IF(ISNUMBER(Assessment!F20),Assessment!F20,NA()))</f>
        <v>48.9</v>
      </c>
      <c r="H31" s="83">
        <f>IF(OR(ISNUMBER(H91),ISNUMBER(H92)),NA(),IF(ISNUMBER(Assessment!G20),Assessment!G20,NA()))</f>
        <v>50.6</v>
      </c>
      <c r="I31" s="83" t="e">
        <f>IF(OR(ISNUMBER(I91),ISNUMBER(I92)),NA(),IF(ISNUMBER(Assessment!H20),Assessment!H20,NA()))</f>
        <v>#N/A</v>
      </c>
      <c r="J31" s="83" t="e">
        <f>IF(OR(ISNUMBER(J91),ISNUMBER(J92)),NA(),IF(ISNUMBER(Assessment!I20),Assessment!I20,NA()))</f>
        <v>#N/A</v>
      </c>
      <c r="K31" s="83" t="e">
        <f>IF(OR(ISNUMBER(K91),ISNUMBER(K92)),NA(),IF(ISNUMBER(Assessment!J20),Assessment!J20,NA()))</f>
        <v>#N/A</v>
      </c>
      <c r="L31" s="83" t="e">
        <f>IF(OR(ISNUMBER(L91),ISNUMBER(L92)),NA(),IF(ISNUMBER(Assessment!K20),Assessment!K20,NA()))</f>
        <v>#N/A</v>
      </c>
      <c r="M31" s="83" t="e">
        <f>IF(OR(ISNUMBER(M91),ISNUMBER(M92)),NA(),IF(ISNUMBER(Assessment!L20),Assessment!L20,NA()))</f>
        <v>#N/A</v>
      </c>
      <c r="N31" s="83" t="e">
        <f>IF(OR(ISNUMBER(N91),ISNUMBER(N92)),NA(),IF(ISNUMBER(Assessment!M20),Assessment!M20,NA()))</f>
        <v>#N/A</v>
      </c>
      <c r="O31" s="83" t="e">
        <f>IF(OR(ISNUMBER(O91),ISNUMBER(O92)),NA(),IF(ISNUMBER(Assessment!N20),Assessment!N20,NA()))</f>
        <v>#N/A</v>
      </c>
      <c r="P31" s="83" t="e">
        <f>IF(OR(ISNUMBER(P91),ISNUMBER(P92)),NA(),IF(ISNUMBER(Assessment!O20),Assessment!O20,NA()))</f>
        <v>#N/A</v>
      </c>
      <c r="Q31" s="83" t="e">
        <f>IF(OR(ISNUMBER(Q91),ISNUMBER(Q92)),NA(),IF(ISNUMBER(Assessment!P20),Assessment!P20,NA()))</f>
        <v>#N/A</v>
      </c>
      <c r="R31" s="83" t="e">
        <f>IF(OR(ISNUMBER(R91),ISNUMBER(R92)),NA(),IF(ISNUMBER(Assessment!Q20),Assessment!Q20,NA()))</f>
        <v>#N/A</v>
      </c>
      <c r="S31" s="83" t="e">
        <f>IF(OR(ISNUMBER(S91),ISNUMBER(S92)),NA(),IF(ISNUMBER(Assessment!R20),Assessment!R20,NA()))</f>
        <v>#N/A</v>
      </c>
      <c r="T31" s="83" t="e">
        <f>IF(OR(ISNUMBER(T91),ISNUMBER(T92)),NA(),IF(ISNUMBER(Assessment!S20),Assessment!S20,NA()))</f>
        <v>#N/A</v>
      </c>
      <c r="U31" s="83"/>
      <c r="V31" s="83"/>
      <c r="W31" s="83"/>
    </row>
    <row r="32" spans="2:23" x14ac:dyDescent="0.4">
      <c r="C32" s="2" t="s">
        <v>348</v>
      </c>
      <c r="E32" s="3"/>
      <c r="F32" s="83"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83"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83"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83"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83"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83"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83"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83"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83"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83"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83"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83"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83"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83"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83"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83"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83"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83"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349</v>
      </c>
      <c r="E33" s="3"/>
      <c r="F33" s="83"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83"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83"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83"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83"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83"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83"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83"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83"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83"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83"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83"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83"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83"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83"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83"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83"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83"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288</v>
      </c>
      <c r="E34" s="3"/>
      <c r="F34" s="108">
        <f>Validation!$T$3</f>
        <v>60.05</v>
      </c>
      <c r="G34" s="108">
        <f>Validation!$T$3</f>
        <v>60.05</v>
      </c>
      <c r="H34" s="108">
        <f>Validation!$T$3</f>
        <v>60.05</v>
      </c>
      <c r="I34" s="108">
        <f>Validation!$T$3</f>
        <v>60.05</v>
      </c>
      <c r="J34" s="108">
        <f>Validation!$T$3</f>
        <v>60.05</v>
      </c>
      <c r="K34" s="108">
        <f>Validation!$T$3</f>
        <v>60.05</v>
      </c>
      <c r="L34" s="108">
        <f>Validation!$T$3</f>
        <v>60.05</v>
      </c>
      <c r="M34" s="108">
        <f>Validation!$T$3</f>
        <v>60.05</v>
      </c>
      <c r="N34" s="108">
        <f>Validation!$T$3</f>
        <v>60.05</v>
      </c>
      <c r="O34" s="108">
        <f>Validation!$T$3</f>
        <v>60.05</v>
      </c>
      <c r="P34" s="108">
        <f>Validation!$T$3</f>
        <v>60.05</v>
      </c>
      <c r="Q34" s="108">
        <f>Validation!$T$3</f>
        <v>60.05</v>
      </c>
      <c r="R34" s="108">
        <f>Validation!$T$3</f>
        <v>60.05</v>
      </c>
      <c r="S34" s="108">
        <f>Validation!$T$3</f>
        <v>60.05</v>
      </c>
      <c r="T34" s="108">
        <f>Validation!$T$3</f>
        <v>60.05</v>
      </c>
      <c r="U34" s="108">
        <f>Validation!$T$3</f>
        <v>60.05</v>
      </c>
      <c r="V34" s="108">
        <f>Validation!$T$3</f>
        <v>60.05</v>
      </c>
      <c r="W34" s="108">
        <f>Validation!$T$3</f>
        <v>60.05</v>
      </c>
    </row>
    <row r="35" spans="2:23" x14ac:dyDescent="0.4">
      <c r="C35" s="132" t="s">
        <v>647</v>
      </c>
      <c r="D35" s="4">
        <f>IF(_xlfn.AGGREGATE(5,6,F29:W34)&lt;0, _xlfn.AGGREGATE(5,6,F29:W34), 0)</f>
        <v>0</v>
      </c>
      <c r="F35" s="83"/>
      <c r="G35" s="83"/>
      <c r="H35" s="83"/>
      <c r="I35" s="83"/>
      <c r="J35" s="83"/>
      <c r="K35" s="83"/>
      <c r="L35" s="83"/>
      <c r="M35" s="83"/>
      <c r="N35" s="83"/>
      <c r="O35" s="83"/>
      <c r="P35" s="83"/>
      <c r="Q35" s="83"/>
      <c r="R35" s="83"/>
      <c r="S35" s="83"/>
      <c r="T35" s="83"/>
      <c r="U35" s="83"/>
      <c r="V35" s="83"/>
      <c r="W35" s="83"/>
    </row>
    <row r="36" spans="2:23" x14ac:dyDescent="0.4">
      <c r="C36" s="132" t="s">
        <v>648</v>
      </c>
      <c r="D36" s="4">
        <f>_xlfn.AGGREGATE(4,6,F29:W34)</f>
        <v>60.05</v>
      </c>
    </row>
    <row r="37" spans="2:23" x14ac:dyDescent="0.4">
      <c r="C37" s="2"/>
    </row>
    <row r="38" spans="2:23" ht="16.5" x14ac:dyDescent="0.6">
      <c r="B38" s="132" t="s">
        <v>555</v>
      </c>
      <c r="C38" s="12" t="str">
        <f>"Performance of general government deficit compared to the "&amp;IF(MTP_Council_Endorsed,"endorsed plan","the proposed plan")</f>
        <v>Performance of general government deficit compared to the endorsed plan</v>
      </c>
      <c r="F38" s="9"/>
      <c r="G38" s="9"/>
      <c r="H38" s="9"/>
      <c r="I38" s="9"/>
      <c r="J38" s="9"/>
      <c r="K38" s="9"/>
      <c r="L38" s="9"/>
      <c r="M38" s="9"/>
      <c r="N38" s="9"/>
      <c r="O38" s="9"/>
      <c r="P38" s="9"/>
      <c r="Q38" s="9"/>
      <c r="R38" s="9"/>
      <c r="S38" s="9"/>
      <c r="T38" s="9"/>
      <c r="U38" s="9"/>
      <c r="V38" s="9"/>
      <c r="W38" s="9"/>
    </row>
    <row r="39" spans="2:23" x14ac:dyDescent="0.4">
      <c r="C39" s="2" t="s">
        <v>556</v>
      </c>
      <c r="F39" s="83">
        <f>Assessment!E50</f>
        <v>-2.6</v>
      </c>
      <c r="G39" s="83">
        <f>Assessment!F50</f>
        <v>-2.9</v>
      </c>
      <c r="H39" s="83">
        <f>Assessment!G50</f>
        <v>-2.9</v>
      </c>
      <c r="I39" s="83">
        <f>Assessment!H50</f>
        <v>-2.9</v>
      </c>
      <c r="J39" s="83">
        <f>Assessment!I50</f>
        <v>-2.9</v>
      </c>
      <c r="K39" s="83">
        <f>Assessment!J50</f>
        <v>-2.9</v>
      </c>
      <c r="L39" s="83">
        <f>Assessment!K50</f>
        <v>-2.9</v>
      </c>
      <c r="M39" s="83">
        <f>Assessment!L50</f>
        <v>-2.9</v>
      </c>
      <c r="N39" s="83">
        <f>Assessment!M50</f>
        <v>-3</v>
      </c>
      <c r="O39" s="83">
        <f>Assessment!N50</f>
        <v>-3</v>
      </c>
      <c r="P39" s="83">
        <f>Assessment!O50</f>
        <v>-3</v>
      </c>
      <c r="Q39" s="83">
        <f>Assessment!P50</f>
        <v>-3</v>
      </c>
      <c r="R39" s="83">
        <f>Assessment!Q50</f>
        <v>-3</v>
      </c>
      <c r="S39" s="83">
        <f>Assessment!R50</f>
        <v>-3</v>
      </c>
      <c r="T39" s="83">
        <f>Assessment!S50</f>
        <v>-2.9</v>
      </c>
      <c r="U39" s="83" t="str">
        <f>Assessment!T50</f>
        <v/>
      </c>
      <c r="V39" s="83" t="str">
        <f>Assessment!U50</f>
        <v/>
      </c>
      <c r="W39" s="83" t="str">
        <f>Assessment!V50</f>
        <v/>
      </c>
    </row>
    <row r="40" spans="2:23" x14ac:dyDescent="0.4">
      <c r="C40" s="2" t="s">
        <v>256</v>
      </c>
      <c r="F40" s="83" t="e">
        <f>IF(OR(ISNUMBER(F41),ISNUMBER(F42)),NA(),IF(ISNUMBER(Assessment!E17),Assessment!E17,NA()))</f>
        <v>#N/A</v>
      </c>
      <c r="G40" s="83">
        <f>IF(OR(ISNUMBER(G41),ISNUMBER(G42)),NA(),IF(ISNUMBER(Assessment!F17),Assessment!F17,NA()))</f>
        <v>-2.9</v>
      </c>
      <c r="H40" s="83">
        <f>IF(OR(ISNUMBER(H41),ISNUMBER(H42)),NA(),IF(ISNUMBER(Assessment!G17),Assessment!G17,NA()))</f>
        <v>-3.3</v>
      </c>
      <c r="I40" s="83" t="e">
        <f>IF(OR(ISNUMBER(I41),ISNUMBER(I42)),NA(),IF(ISNUMBER(Assessment!H17),Assessment!H17,NA()))</f>
        <v>#N/A</v>
      </c>
      <c r="J40" s="83" t="e">
        <f>IF(OR(ISNUMBER(J41),ISNUMBER(J42)),NA(),IF(ISNUMBER(Assessment!I17),Assessment!I17,NA()))</f>
        <v>#N/A</v>
      </c>
      <c r="K40" s="83" t="e">
        <f>IF(OR(ISNUMBER(K41),ISNUMBER(K42)),NA(),IF(ISNUMBER(Assessment!J17),Assessment!J17,NA()))</f>
        <v>#N/A</v>
      </c>
      <c r="L40" s="83" t="e">
        <f>IF(OR(ISNUMBER(L41),ISNUMBER(L42)),NA(),IF(ISNUMBER(Assessment!K17),Assessment!K17,NA()))</f>
        <v>#N/A</v>
      </c>
      <c r="M40" s="83" t="e">
        <f>IF(OR(ISNUMBER(M41),ISNUMBER(M42)),NA(),IF(ISNUMBER(Assessment!L17),Assessment!L17,NA()))</f>
        <v>#N/A</v>
      </c>
      <c r="N40" s="83" t="e">
        <f>IF(OR(ISNUMBER(N41),ISNUMBER(N42)),NA(),IF(ISNUMBER(Assessment!M17),Assessment!M17,NA()))</f>
        <v>#N/A</v>
      </c>
      <c r="O40" s="83" t="e">
        <f>IF(OR(ISNUMBER(O41),ISNUMBER(O42)),NA(),IF(ISNUMBER(Assessment!N17),Assessment!N17,NA()))</f>
        <v>#N/A</v>
      </c>
      <c r="P40" s="83" t="e">
        <f>IF(OR(ISNUMBER(P41),ISNUMBER(P42)),NA(),IF(ISNUMBER(Assessment!O17),Assessment!O17,NA()))</f>
        <v>#N/A</v>
      </c>
      <c r="Q40" s="83" t="e">
        <f>IF(OR(ISNUMBER(Q41),ISNUMBER(Q42)),NA(),IF(ISNUMBER(Assessment!P17),Assessment!P17,NA()))</f>
        <v>#N/A</v>
      </c>
      <c r="R40" s="83" t="e">
        <f>IF(OR(ISNUMBER(R41),ISNUMBER(R42)),NA(),IF(ISNUMBER(Assessment!Q17),Assessment!Q17,NA()))</f>
        <v>#N/A</v>
      </c>
      <c r="S40" s="83" t="e">
        <f>IF(OR(ISNUMBER(S41),ISNUMBER(S42)),NA(),IF(ISNUMBER(Assessment!R17),Assessment!R17,NA()))</f>
        <v>#N/A</v>
      </c>
      <c r="T40" s="83" t="e">
        <f>IF(OR(ISNUMBER(T41),ISNUMBER(T42)),NA(),IF(ISNUMBER(Assessment!S17),Assessment!S17,NA()))</f>
        <v>#N/A</v>
      </c>
      <c r="U40" s="83" t="e">
        <f>IF(OR(ISNUMBER(U41),ISNUMBER(U42)),NA(),IF(ISNUMBER(Assessment!T17),Assessment!T17,NA()))</f>
        <v>#N/A</v>
      </c>
      <c r="V40" s="83" t="e">
        <f>IF(OR(ISNUMBER(V41),ISNUMBER(V42)),NA(),IF(ISNUMBER(Assessment!U17),Assessment!U17,NA()))</f>
        <v>#N/A</v>
      </c>
      <c r="W40" s="83" t="e">
        <f>IF(OR(ISNUMBER(W41),ISNUMBER(W42)),NA(),IF(ISNUMBER(Assessment!V17),Assessment!V17,NA()))</f>
        <v>#N/A</v>
      </c>
    </row>
    <row r="41" spans="2:23" x14ac:dyDescent="0.4">
      <c r="C41" s="2" t="s">
        <v>348</v>
      </c>
      <c r="F41" s="83"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83"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83"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83"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83"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83"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83"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83"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83"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83"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83"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83"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83"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83"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83"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83"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83"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83"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349</v>
      </c>
      <c r="F42" s="83"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287</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350</v>
      </c>
      <c r="F44" s="83">
        <f t="shared" ref="F44:T44" si="0">IF(F79&lt;&gt;"",-F79,NA())</f>
        <v>2.6</v>
      </c>
      <c r="G44" s="83">
        <f t="shared" si="0"/>
        <v>2.9</v>
      </c>
      <c r="H44" s="83">
        <f t="shared" si="0"/>
        <v>2.9</v>
      </c>
      <c r="I44" s="83">
        <f t="shared" si="0"/>
        <v>2.9</v>
      </c>
      <c r="J44" s="83">
        <f t="shared" si="0"/>
        <v>2.9</v>
      </c>
      <c r="K44" s="83">
        <f t="shared" si="0"/>
        <v>2.9</v>
      </c>
      <c r="L44" s="83">
        <f t="shared" si="0"/>
        <v>2.9</v>
      </c>
      <c r="M44" s="83">
        <f t="shared" si="0"/>
        <v>2.9</v>
      </c>
      <c r="N44" s="83">
        <f t="shared" si="0"/>
        <v>3</v>
      </c>
      <c r="O44" s="83">
        <f t="shared" si="0"/>
        <v>3</v>
      </c>
      <c r="P44" s="83">
        <f t="shared" si="0"/>
        <v>3</v>
      </c>
      <c r="Q44" s="83">
        <f t="shared" si="0"/>
        <v>3</v>
      </c>
      <c r="R44" s="83">
        <f t="shared" si="0"/>
        <v>3</v>
      </c>
      <c r="S44" s="83">
        <f t="shared" si="0"/>
        <v>3</v>
      </c>
      <c r="T44" s="83">
        <f t="shared" si="0"/>
        <v>2.9</v>
      </c>
      <c r="U44" s="83" t="e">
        <f t="shared" ref="U44:W44" si="1">IF(U79&lt;&gt;"",-U79,NA())</f>
        <v>#N/A</v>
      </c>
      <c r="V44" s="83" t="e">
        <f t="shared" si="1"/>
        <v>#N/A</v>
      </c>
      <c r="W44" s="83" t="e">
        <f t="shared" si="1"/>
        <v>#N/A</v>
      </c>
    </row>
    <row r="45" spans="2:23" x14ac:dyDescent="0.4">
      <c r="C45" s="2" t="s">
        <v>351</v>
      </c>
      <c r="F45" s="83">
        <f t="shared" ref="F45:T45" si="2">IF(F81&lt;&gt;"",-F81,NA())</f>
        <v>1.7868607680254289</v>
      </c>
      <c r="G45" s="83" t="e">
        <f t="shared" si="2"/>
        <v>#N/A</v>
      </c>
      <c r="H45" s="83" t="e">
        <f t="shared" si="2"/>
        <v>#N/A</v>
      </c>
      <c r="I45" s="83" t="e">
        <f t="shared" si="2"/>
        <v>#N/A</v>
      </c>
      <c r="J45" s="83" t="e">
        <f t="shared" si="2"/>
        <v>#N/A</v>
      </c>
      <c r="K45" s="83" t="e">
        <f t="shared" si="2"/>
        <v>#N/A</v>
      </c>
      <c r="L45" s="83" t="e">
        <f t="shared" si="2"/>
        <v>#N/A</v>
      </c>
      <c r="M45" s="83" t="e">
        <f t="shared" si="2"/>
        <v>#N/A</v>
      </c>
      <c r="N45" s="83" t="e">
        <f t="shared" si="2"/>
        <v>#N/A</v>
      </c>
      <c r="O45" s="83" t="e">
        <f t="shared" si="2"/>
        <v>#N/A</v>
      </c>
      <c r="P45" s="83" t="e">
        <f t="shared" si="2"/>
        <v>#N/A</v>
      </c>
      <c r="Q45" s="83" t="e">
        <f t="shared" si="2"/>
        <v>#N/A</v>
      </c>
      <c r="R45" s="83" t="e">
        <f t="shared" si="2"/>
        <v>#N/A</v>
      </c>
      <c r="S45" s="83" t="e">
        <f t="shared" si="2"/>
        <v>#N/A</v>
      </c>
      <c r="T45" s="83" t="e">
        <f t="shared" si="2"/>
        <v>#N/A</v>
      </c>
      <c r="U45" s="83" t="e">
        <f t="shared" ref="U45:W45" si="3">IF(U81&lt;&gt;"",-U81,NA())</f>
        <v>#N/A</v>
      </c>
      <c r="V45" s="83" t="e">
        <f t="shared" si="3"/>
        <v>#N/A</v>
      </c>
      <c r="W45" s="83" t="e">
        <f t="shared" si="3"/>
        <v>#N/A</v>
      </c>
    </row>
    <row r="46" spans="2:23" x14ac:dyDescent="0.4">
      <c r="C46" s="2" t="s">
        <v>352</v>
      </c>
      <c r="F46" s="83" t="e">
        <f t="shared" ref="F46:T46" si="4">IF(F82&lt;&gt;"",-F82,NA())</f>
        <v>#N/A</v>
      </c>
      <c r="G46" s="83" t="e">
        <f t="shared" si="4"/>
        <v>#N/A</v>
      </c>
      <c r="H46" s="83" t="e">
        <f t="shared" si="4"/>
        <v>#N/A</v>
      </c>
      <c r="I46" s="83" t="e">
        <f t="shared" si="4"/>
        <v>#N/A</v>
      </c>
      <c r="J46" s="83" t="e">
        <f t="shared" si="4"/>
        <v>#N/A</v>
      </c>
      <c r="K46" s="83" t="e">
        <f t="shared" si="4"/>
        <v>#N/A</v>
      </c>
      <c r="L46" s="83" t="e">
        <f t="shared" si="4"/>
        <v>#N/A</v>
      </c>
      <c r="M46" s="83" t="e">
        <f t="shared" si="4"/>
        <v>#N/A</v>
      </c>
      <c r="N46" s="83" t="e">
        <f t="shared" si="4"/>
        <v>#N/A</v>
      </c>
      <c r="O46" s="83" t="e">
        <f t="shared" si="4"/>
        <v>#N/A</v>
      </c>
      <c r="P46" s="83" t="e">
        <f t="shared" si="4"/>
        <v>#N/A</v>
      </c>
      <c r="Q46" s="83" t="e">
        <f t="shared" si="4"/>
        <v>#N/A</v>
      </c>
      <c r="R46" s="83" t="e">
        <f t="shared" si="4"/>
        <v>#N/A</v>
      </c>
      <c r="S46" s="83" t="e">
        <f t="shared" si="4"/>
        <v>#N/A</v>
      </c>
      <c r="T46" s="83" t="e">
        <f t="shared" si="4"/>
        <v>#N/A</v>
      </c>
      <c r="U46" s="83" t="e">
        <f t="shared" ref="U46:W46" si="5">IF(U82&lt;&gt;"",-U82,NA())</f>
        <v>#N/A</v>
      </c>
      <c r="V46" s="83" t="e">
        <f t="shared" si="5"/>
        <v>#N/A</v>
      </c>
      <c r="W46" s="83" t="e">
        <f t="shared" si="5"/>
        <v>#N/A</v>
      </c>
    </row>
    <row r="47" spans="2:23" x14ac:dyDescent="0.4">
      <c r="C47" s="2"/>
    </row>
    <row r="48" spans="2:23" ht="14.25" customHeight="1" x14ac:dyDescent="0.6">
      <c r="B48" s="132" t="s">
        <v>560</v>
      </c>
      <c r="C48" s="12" t="str">
        <f>"Performance of structural primary balance compared to the "&amp;IF(MTP_Council_Endorsed,"endorsed plan","the proposed plan")</f>
        <v>Performance of structural primary balance compared to the endorsed plan</v>
      </c>
      <c r="F48" s="128"/>
      <c r="G48" s="128"/>
      <c r="H48" s="128"/>
      <c r="I48" s="128"/>
      <c r="J48" s="128"/>
      <c r="K48" s="128"/>
      <c r="L48" s="128"/>
      <c r="M48" s="128"/>
      <c r="N48" s="128"/>
      <c r="O48" s="128"/>
      <c r="P48" s="128"/>
      <c r="Q48" s="128"/>
      <c r="R48" s="128"/>
      <c r="S48" s="128"/>
      <c r="T48" s="128"/>
      <c r="U48" s="128"/>
      <c r="V48" s="128"/>
      <c r="W48" s="128"/>
    </row>
    <row r="49" spans="2:23" x14ac:dyDescent="0.4">
      <c r="C49" s="2" t="s">
        <v>441</v>
      </c>
      <c r="F49" s="83">
        <f>Assessment!E37</f>
        <v>-0.8</v>
      </c>
      <c r="G49" s="83">
        <f>Assessment!F37</f>
        <v>-1.3</v>
      </c>
      <c r="H49" s="83">
        <f>Assessment!G37</f>
        <v>-1.3</v>
      </c>
      <c r="I49" s="83">
        <f>Assessment!H37</f>
        <v>-1.3</v>
      </c>
      <c r="J49" s="83">
        <f>Assessment!I37</f>
        <v>-1.3</v>
      </c>
      <c r="K49" s="83" t="str">
        <f>Assessment!J37</f>
        <v/>
      </c>
      <c r="L49" s="83" t="str">
        <f>Assessment!K37</f>
        <v/>
      </c>
      <c r="M49" s="83" t="str">
        <f>Assessment!L37</f>
        <v/>
      </c>
      <c r="N49" s="83" t="str">
        <f>Assessment!M37</f>
        <v/>
      </c>
      <c r="O49" s="83" t="str">
        <f>Assessment!N37</f>
        <v/>
      </c>
      <c r="P49" s="83">
        <f>Assessment!O37</f>
        <v>0</v>
      </c>
      <c r="Q49" s="83">
        <f>Assessment!P37</f>
        <v>0</v>
      </c>
      <c r="R49" s="83">
        <f>Assessment!Q37</f>
        <v>0</v>
      </c>
      <c r="S49" s="83">
        <f>Assessment!R37</f>
        <v>0</v>
      </c>
      <c r="T49" s="83">
        <f>Assessment!S37</f>
        <v>0</v>
      </c>
      <c r="U49" s="83">
        <f>Assessment!T37</f>
        <v>0</v>
      </c>
      <c r="V49" s="83">
        <f>Assessment!U37</f>
        <v>0</v>
      </c>
      <c r="W49" s="83">
        <f>Assessment!V37</f>
        <v>0</v>
      </c>
    </row>
    <row r="50" spans="2:23" x14ac:dyDescent="0.4">
      <c r="C50" s="2" t="s">
        <v>346</v>
      </c>
      <c r="F50" s="4"/>
      <c r="G50" s="4"/>
      <c r="H50" s="4"/>
      <c r="I50" s="4"/>
      <c r="J50" s="4"/>
      <c r="K50" s="4"/>
      <c r="L50" s="4"/>
      <c r="M50" s="4"/>
      <c r="N50" s="4"/>
      <c r="O50" s="4"/>
      <c r="P50" s="4"/>
      <c r="Q50" s="4"/>
      <c r="R50" s="4"/>
      <c r="S50" s="4"/>
      <c r="T50" s="4"/>
      <c r="U50" s="4"/>
      <c r="V50" s="4"/>
      <c r="W50" s="4"/>
    </row>
    <row r="51" spans="2:23" x14ac:dyDescent="0.4">
      <c r="C51" s="2" t="s">
        <v>256</v>
      </c>
      <c r="F51" s="83" t="e">
        <f>IF(OR(ISNUMBER(F53),ISNUMBER(F54)),NA(),IF(ISNUMBER(Assessment!E19),Assessment!E19,NA()))</f>
        <v>#N/A</v>
      </c>
      <c r="G51" s="83">
        <f>IF(OR(ISNUMBER(G53),ISNUMBER(G54)),NA(),IF(ISNUMBER(Assessment!F19),Assessment!F19,NA()))</f>
        <v>-1.2</v>
      </c>
      <c r="H51" s="83">
        <f>IF(OR(ISNUMBER(H53),ISNUMBER(H54)),NA(),IF(ISNUMBER(Assessment!G19),Assessment!G19,NA()))</f>
        <v>-1.6</v>
      </c>
      <c r="I51" s="83" t="e">
        <f>IF(OR(ISNUMBER(I53),ISNUMBER(I54)),NA(),IF(ISNUMBER(Assessment!H19),Assessment!H19,NA()))</f>
        <v>#N/A</v>
      </c>
      <c r="J51" s="83" t="e">
        <f>IF(OR(ISNUMBER(J53),ISNUMBER(J54)),NA(),IF(ISNUMBER(Assessment!I19),Assessment!I19,NA()))</f>
        <v>#N/A</v>
      </c>
      <c r="K51" s="83" t="e">
        <f>IF(OR(ISNUMBER(K53),ISNUMBER(K54)),NA(),IF(ISNUMBER(Assessment!J19),Assessment!J19,NA()))</f>
        <v>#N/A</v>
      </c>
      <c r="L51" s="83" t="e">
        <f>IF(OR(ISNUMBER(L53),ISNUMBER(L54)),NA(),IF(ISNUMBER(Assessment!K19),Assessment!K19,NA()))</f>
        <v>#N/A</v>
      </c>
      <c r="M51" s="83" t="e">
        <f>IF(OR(ISNUMBER(M53),ISNUMBER(M54)),NA(),IF(ISNUMBER(Assessment!L19),Assessment!L19,NA()))</f>
        <v>#N/A</v>
      </c>
      <c r="N51" s="83" t="e">
        <f>IF(OR(ISNUMBER(N53),ISNUMBER(N54)),NA(),IF(ISNUMBER(Assessment!M19),Assessment!M19,NA()))</f>
        <v>#N/A</v>
      </c>
      <c r="O51" s="83" t="e">
        <f>IF(OR(ISNUMBER(O53),ISNUMBER(O54)),NA(),IF(ISNUMBER(Assessment!N19),Assessment!N19,NA()))</f>
        <v>#N/A</v>
      </c>
      <c r="P51" s="83" t="e">
        <f>IF(OR(ISNUMBER(P53),ISNUMBER(P54)),NA(),IF(ISNUMBER(Assessment!O19),Assessment!O19,NA()))</f>
        <v>#N/A</v>
      </c>
      <c r="Q51" s="83" t="e">
        <f>IF(OR(ISNUMBER(Q53),ISNUMBER(Q54)),NA(),IF(ISNUMBER(Assessment!P19),Assessment!P19,NA()))</f>
        <v>#N/A</v>
      </c>
      <c r="R51" s="83" t="e">
        <f>IF(OR(ISNUMBER(R53),ISNUMBER(R54)),NA(),IF(ISNUMBER(Assessment!Q19),Assessment!Q19,NA()))</f>
        <v>#N/A</v>
      </c>
      <c r="S51" s="83" t="e">
        <f>IF(OR(ISNUMBER(S53),ISNUMBER(S54)),NA(),IF(ISNUMBER(Assessment!R19),Assessment!R19,NA()))</f>
        <v>#N/A</v>
      </c>
      <c r="T51" s="83" t="e">
        <f>IF(OR(ISNUMBER(T53),ISNUMBER(T54)),NA(),IF(ISNUMBER(Assessment!S19),Assessment!S19,NA()))</f>
        <v>#N/A</v>
      </c>
      <c r="U51" s="83" t="e">
        <f>IF(OR(ISNUMBER(U53),ISNUMBER(U54)),NA(),IF(ISNUMBER(Assessment!T19),Assessment!T19,NA()))</f>
        <v>#N/A</v>
      </c>
      <c r="V51" s="83" t="e">
        <f>IF(OR(ISNUMBER(V53),ISNUMBER(V54)),NA(),IF(ISNUMBER(Assessment!U19),Assessment!U19,NA()))</f>
        <v>#N/A</v>
      </c>
      <c r="W51" s="83" t="e">
        <f>IF(OR(ISNUMBER(W53),ISNUMBER(W54)),NA(),IF(ISNUMBER(Assessment!V19),Assessment!V19,NA()))</f>
        <v>#N/A</v>
      </c>
    </row>
    <row r="52" spans="2:23" x14ac:dyDescent="0.4">
      <c r="C52" s="2" t="s">
        <v>347</v>
      </c>
      <c r="F52" s="4"/>
      <c r="G52" s="4"/>
      <c r="H52" s="4"/>
      <c r="I52" s="4"/>
      <c r="J52" s="4"/>
      <c r="K52" s="4"/>
      <c r="L52" s="4"/>
      <c r="M52" s="4"/>
      <c r="N52" s="4"/>
      <c r="O52" s="4"/>
      <c r="P52" s="4"/>
      <c r="Q52" s="4"/>
      <c r="R52" s="4"/>
      <c r="S52" s="4"/>
      <c r="T52" s="4"/>
      <c r="U52" s="4"/>
      <c r="V52" s="4"/>
      <c r="W52" s="4"/>
    </row>
    <row r="53" spans="2:23" ht="13.5" customHeight="1" x14ac:dyDescent="0.4">
      <c r="C53" s="2" t="s">
        <v>348</v>
      </c>
      <c r="F53" s="128" cm="1">
        <f t="array" ref="F53">IF(
  AND(
    INDEX($2:$2, COLUMN()) &gt;= MTP_BaseYear,
    INDEX($2:$2, COLUMN()) &lt;= OutturnThrough
  ),
  IFERROR(
    IF(
      F49 - INDEX(Assessment!$19:$19,
                   _xlfn.XMATCH(INDEX($2:$2, COLUMN()),
                          Assessment!$4:$4, 0)
            ) &lt; 0,
      INDEX(Assessment!$19:$19,
            _xlfn.XMATCH(INDEX($2:$2, COLUMN()),
                   Assessment!$4:$4, 0)
      ),
      NA()
    ),
    NA()
  ),
  NA()
)</f>
        <v>-0.44949</v>
      </c>
      <c r="G53" s="128" t="e" cm="1">
        <f t="array" ref="G53">IF(
  AND(
    INDEX($2:$2, COLUMN()) &gt;= MTP_BaseYear,
    INDEX($2:$2, COLUMN()) &lt;= OutturnThrough
  ),
  IFERROR(
    IF(
      G49 - INDEX(Assessment!$19:$19,
                   _xlfn.XMATCH(INDEX($2:$2, COLUMN()),
                          Assessment!$4:$4, 0)
            ) &lt; 0,
      INDEX(Assessment!$19:$19,
            _xlfn.XMATCH(INDEX($2:$2, COLUMN()),
                   Assessment!$4:$4, 0)
      ),
      NA()
    ),
    NA()
  ),
  NA()
)</f>
        <v>#N/A</v>
      </c>
      <c r="H53" s="128" t="e" cm="1">
        <f t="array" ref="H53">IF(
  AND(
    INDEX($2:$2, COLUMN()) &gt;= MTP_BaseYear,
    INDEX($2:$2, COLUMN()) &lt;= OutturnThrough
  ),
  IFERROR(
    IF(
      H49 - INDEX(Assessment!$19:$19,
                   _xlfn.XMATCH(INDEX($2:$2, COLUMN()),
                          Assessment!$4:$4, 0)
            ) &lt; 0,
      INDEX(Assessment!$19:$19,
            _xlfn.XMATCH(INDEX($2:$2, COLUMN()),
                   Assessment!$4:$4, 0)
      ),
      NA()
    ),
    NA()
  ),
  NA()
)</f>
        <v>#N/A</v>
      </c>
      <c r="I53" s="128" t="e" cm="1">
        <f t="array" ref="I53">IF(
  AND(
    INDEX($2:$2, COLUMN()) &gt;= MTP_BaseYear,
    INDEX($2:$2, COLUMN()) &lt;= OutturnThrough
  ),
  IFERROR(
    IF(
      I49 - INDEX(Assessment!$19:$19,
                   _xlfn.XMATCH(INDEX($2:$2, COLUMN()),
                          Assessment!$4:$4, 0)
            ) &lt; 0,
      INDEX(Assessment!$19:$19,
            _xlfn.XMATCH(INDEX($2:$2, COLUMN()),
                   Assessment!$4:$4, 0)
      ),
      NA()
    ),
    NA()
  ),
  NA()
)</f>
        <v>#N/A</v>
      </c>
      <c r="J53" s="128" t="e" cm="1">
        <f t="array" ref="J53">IF(
  AND(
    INDEX($2:$2, COLUMN()) &gt;= MTP_BaseYear,
    INDEX($2:$2, COLUMN()) &lt;= OutturnThrough
  ),
  IFERROR(
    IF(
      J49 - INDEX(Assessment!$19:$19,
                   _xlfn.XMATCH(INDEX($2:$2, COLUMN()),
                          Assessment!$4:$4, 0)
            ) &lt; 0,
      INDEX(Assessment!$19:$19,
            _xlfn.XMATCH(INDEX($2:$2, COLUMN()),
                   Assessment!$4:$4, 0)
      ),
      NA()
    ),
    NA()
  ),
  NA()
)</f>
        <v>#N/A</v>
      </c>
      <c r="K53" s="128" t="e" cm="1">
        <f t="array" ref="K53">IF(
  AND(
    INDEX($2:$2, COLUMN()) &gt;= MTP_BaseYear,
    INDEX($2:$2, COLUMN()) &lt;= OutturnThrough
  ),
  IFERROR(
    IF(
      K49 - INDEX(Assessment!$19:$19,
                   _xlfn.XMATCH(INDEX($2:$2, COLUMN()),
                          Assessment!$4:$4, 0)
            ) &lt; 0,
      INDEX(Assessment!$19:$19,
            _xlfn.XMATCH(INDEX($2:$2, COLUMN()),
                   Assessment!$4:$4, 0)
      ),
      NA()
    ),
    NA()
  ),
  NA()
)</f>
        <v>#N/A</v>
      </c>
      <c r="L53" s="128" t="e" cm="1">
        <f t="array" ref="L53">IF(
  AND(
    INDEX($2:$2, COLUMN()) &gt;= MTP_BaseYear,
    INDEX($2:$2, COLUMN()) &lt;= OutturnThrough
  ),
  IFERROR(
    IF(
      L49 - INDEX(Assessment!$19:$19,
                   _xlfn.XMATCH(INDEX($2:$2, COLUMN()),
                          Assessment!$4:$4, 0)
            ) &lt; 0,
      INDEX(Assessment!$19:$19,
            _xlfn.XMATCH(INDEX($2:$2, COLUMN()),
                   Assessment!$4:$4, 0)
      ),
      NA()
    ),
    NA()
  ),
  NA()
)</f>
        <v>#N/A</v>
      </c>
      <c r="M53" s="128" t="e" cm="1">
        <f t="array" ref="M53">IF(
  AND(
    INDEX($2:$2, COLUMN()) &gt;= MTP_BaseYear,
    INDEX($2:$2, COLUMN()) &lt;= OutturnThrough
  ),
  IFERROR(
    IF(
      M49 - INDEX(Assessment!$19:$19,
                   _xlfn.XMATCH(INDEX($2:$2, COLUMN()),
                          Assessment!$4:$4, 0)
            ) &lt; 0,
      INDEX(Assessment!$19:$19,
            _xlfn.XMATCH(INDEX($2:$2, COLUMN()),
                   Assessment!$4:$4, 0)
      ),
      NA()
    ),
    NA()
  ),
  NA()
)</f>
        <v>#N/A</v>
      </c>
      <c r="N53" s="128" t="e" cm="1">
        <f t="array" ref="N53">IF(
  AND(
    INDEX($2:$2, COLUMN()) &gt;= MTP_BaseYear,
    INDEX($2:$2, COLUMN()) &lt;= OutturnThrough
  ),
  IFERROR(
    IF(
      N49 - INDEX(Assessment!$19:$19,
                   _xlfn.XMATCH(INDEX($2:$2, COLUMN()),
                          Assessment!$4:$4, 0)
            ) &lt; 0,
      INDEX(Assessment!$19:$19,
            _xlfn.XMATCH(INDEX($2:$2, COLUMN()),
                   Assessment!$4:$4, 0)
      ),
      NA()
    ),
    NA()
  ),
  NA()
)</f>
        <v>#N/A</v>
      </c>
      <c r="O53" s="128" t="e" cm="1">
        <f t="array" ref="O53">IF(
  AND(
    INDEX($2:$2, COLUMN()) &gt;= MTP_BaseYear,
    INDEX($2:$2, COLUMN()) &lt;= OutturnThrough
  ),
  IFERROR(
    IF(
      O49 - INDEX(Assessment!$19:$19,
                   _xlfn.XMATCH(INDEX($2:$2, COLUMN()),
                          Assessment!$4:$4, 0)
            ) &lt; 0,
      INDEX(Assessment!$19:$19,
            _xlfn.XMATCH(INDEX($2:$2, COLUMN()),
                   Assessment!$4:$4, 0)
      ),
      NA()
    ),
    NA()
  ),
  NA()
)</f>
        <v>#N/A</v>
      </c>
      <c r="P53" s="128" t="e" cm="1">
        <f t="array" ref="P53">IF(
  AND(
    INDEX($2:$2, COLUMN()) &gt;= MTP_BaseYear,
    INDEX($2:$2, COLUMN()) &lt;= OutturnThrough
  ),
  IFERROR(
    IF(
      P49 - INDEX(Assessment!$19:$19,
                   _xlfn.XMATCH(INDEX($2:$2, COLUMN()),
                          Assessment!$4:$4, 0)
            ) &lt; 0,
      INDEX(Assessment!$19:$19,
            _xlfn.XMATCH(INDEX($2:$2, COLUMN()),
                   Assessment!$4:$4, 0)
      ),
      NA()
    ),
    NA()
  ),
  NA()
)</f>
        <v>#N/A</v>
      </c>
      <c r="Q53" s="128" t="e" cm="1">
        <f t="array" ref="Q53">IF(
  AND(
    INDEX($2:$2, COLUMN()) &gt;= MTP_BaseYear,
    INDEX($2:$2, COLUMN()) &lt;= OutturnThrough
  ),
  IFERROR(
    IF(
      Q49 - INDEX(Assessment!$19:$19,
                   _xlfn.XMATCH(INDEX($2:$2, COLUMN()),
                          Assessment!$4:$4, 0)
            ) &lt; 0,
      INDEX(Assessment!$19:$19,
            _xlfn.XMATCH(INDEX($2:$2, COLUMN()),
                   Assessment!$4:$4, 0)
      ),
      NA()
    ),
    NA()
  ),
  NA()
)</f>
        <v>#N/A</v>
      </c>
      <c r="R53" s="128" t="e" cm="1">
        <f t="array" ref="R53">IF(
  AND(
    INDEX($2:$2, COLUMN()) &gt;= MTP_BaseYear,
    INDEX($2:$2, COLUMN()) &lt;= OutturnThrough
  ),
  IFERROR(
    IF(
      R49 - INDEX(Assessment!$19:$19,
                   _xlfn.XMATCH(INDEX($2:$2, COLUMN()),
                          Assessment!$4:$4, 0)
            ) &lt; 0,
      INDEX(Assessment!$19:$19,
            _xlfn.XMATCH(INDEX($2:$2, COLUMN()),
                   Assessment!$4:$4, 0)
      ),
      NA()
    ),
    NA()
  ),
  NA()
)</f>
        <v>#N/A</v>
      </c>
      <c r="S53" s="128" t="e" cm="1">
        <f t="array" ref="S53">IF(
  AND(
    INDEX($2:$2, COLUMN()) &gt;= MTP_BaseYear,
    INDEX($2:$2, COLUMN()) &lt;= OutturnThrough
  ),
  IFERROR(
    IF(
      S49 - INDEX(Assessment!$19:$19,
                   _xlfn.XMATCH(INDEX($2:$2, COLUMN()),
                          Assessment!$4:$4, 0)
            ) &lt; 0,
      INDEX(Assessment!$19:$19,
            _xlfn.XMATCH(INDEX($2:$2, COLUMN()),
                   Assessment!$4:$4, 0)
      ),
      NA()
    ),
    NA()
  ),
  NA()
)</f>
        <v>#N/A</v>
      </c>
      <c r="T53" s="128" t="e" cm="1">
        <f t="array" ref="T53">IF(
  AND(
    INDEX($2:$2, COLUMN()) &gt;= MTP_BaseYear,
    INDEX($2:$2, COLUMN()) &lt;= OutturnThrough
  ),
  IFERROR(
    IF(
      T49 - INDEX(Assessment!$19:$19,
                   _xlfn.XMATCH(INDEX($2:$2, COLUMN()),
                          Assessment!$4:$4, 0)
            ) &lt; 0,
      INDEX(Assessment!$19:$19,
            _xlfn.XMATCH(INDEX($2:$2, COLUMN()),
                   Assessment!$4:$4, 0)
      ),
      NA()
    ),
    NA()
  ),
  NA()
)</f>
        <v>#N/A</v>
      </c>
      <c r="U53" s="128" t="e" cm="1">
        <f t="array" ref="U53">IF(
  AND(
    INDEX($2:$2, COLUMN()) &gt;= MTP_BaseYear,
    INDEX($2:$2, COLUMN()) &lt;= OutturnThrough
  ),
  IFERROR(
    IF(
      U49 - INDEX(Assessment!$19:$19,
                   _xlfn.XMATCH(INDEX($2:$2, COLUMN()),
                          Assessment!$4:$4, 0)
            ) &lt; 0,
      INDEX(Assessment!$19:$19,
            _xlfn.XMATCH(INDEX($2:$2, COLUMN()),
                   Assessment!$4:$4, 0)
      ),
      NA()
    ),
    NA()
  ),
  NA()
)</f>
        <v>#N/A</v>
      </c>
      <c r="V53" s="128" t="e" cm="1">
        <f t="array" ref="V53">IF(
  AND(
    INDEX($2:$2, COLUMN()) &gt;= MTP_BaseYear,
    INDEX($2:$2, COLUMN()) &lt;= OutturnThrough
  ),
  IFERROR(
    IF(
      V49 - INDEX(Assessment!$19:$19,
                   _xlfn.XMATCH(INDEX($2:$2, COLUMN()),
                          Assessment!$4:$4, 0)
            ) &lt; 0,
      INDEX(Assessment!$19:$19,
            _xlfn.XMATCH(INDEX($2:$2, COLUMN()),
                   Assessment!$4:$4, 0)
      ),
      NA()
    ),
    NA()
  ),
  NA()
)</f>
        <v>#N/A</v>
      </c>
      <c r="W53" s="128"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349</v>
      </c>
      <c r="F54" s="128" t="e" cm="1">
        <f t="array" ref="F54">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54" s="128" t="e" cm="1">
        <f t="array" ref="G54">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54" s="128" t="e" cm="1">
        <f t="array" ref="H54">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54" s="128" t="e" cm="1">
        <f t="array" ref="I54">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54" s="128" t="e" cm="1">
        <f t="array" ref="J54">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54" s="128" t="e" cm="1">
        <f t="array" ref="K54">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54" s="128" t="e" cm="1">
        <f t="array" ref="L54">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54" s="128" t="e" cm="1">
        <f t="array" ref="M54">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54" s="128" t="e" cm="1">
        <f t="array" ref="N54">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54" s="128" t="e" cm="1">
        <f t="array" ref="O54">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54" s="128" t="e" cm="1">
        <f t="array" ref="P54">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54" s="128" t="e" cm="1">
        <f t="array" ref="Q54">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54" s="128" t="e" cm="1">
        <f t="array" ref="R54">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54" s="128" t="e" cm="1">
        <f t="array" ref="S54">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54" s="128" t="e" cm="1">
        <f t="array" ref="T54">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54" s="128" t="e" cm="1">
        <f t="array" ref="U54">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54" s="128" t="e" cm="1">
        <f t="array" ref="V54">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54" s="128" t="e" cm="1">
        <f t="array" ref="W54">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55" spans="2:23" x14ac:dyDescent="0.4">
      <c r="C55" s="132" t="s">
        <v>647</v>
      </c>
      <c r="D55" s="4">
        <f>IF(_xlfn.AGGREGATE(5,6,F49:W54)&lt;0, _xlfn.AGGREGATE(5,6,F49:W54), 0)</f>
        <v>-1.6</v>
      </c>
      <c r="F55" s="83"/>
      <c r="G55" s="83"/>
      <c r="H55" s="83"/>
      <c r="I55" s="83"/>
      <c r="J55" s="83"/>
      <c r="K55" s="83"/>
      <c r="L55" s="83"/>
      <c r="M55" s="83"/>
      <c r="N55" s="83"/>
      <c r="O55" s="83"/>
      <c r="P55" s="83"/>
      <c r="Q55" s="83"/>
      <c r="R55" s="83"/>
      <c r="S55" s="83"/>
      <c r="T55" s="83"/>
      <c r="U55" s="83"/>
      <c r="V55" s="83"/>
      <c r="W55" s="83"/>
    </row>
    <row r="56" spans="2:23" x14ac:dyDescent="0.4">
      <c r="C56" s="132" t="s">
        <v>648</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32" t="s">
        <v>561</v>
      </c>
      <c r="C58" s="12" t="str">
        <f>"Change in general government gross debt compared to "&amp;IF(MTP_Council_Endorsed,"endorsed plan","the proposed plan")&amp;" and safeguard"</f>
        <v>Change in general government gross debt compared to endorsed plan and safeguard</v>
      </c>
      <c r="F58" s="4"/>
      <c r="G58" s="4"/>
      <c r="H58" s="4"/>
      <c r="I58" s="4"/>
      <c r="J58" s="4"/>
      <c r="K58" s="4"/>
      <c r="L58" s="4"/>
      <c r="M58" s="4"/>
      <c r="N58" s="4"/>
      <c r="O58" s="4"/>
      <c r="P58" s="4"/>
      <c r="Q58" s="4"/>
      <c r="R58" s="4"/>
      <c r="S58" s="4"/>
      <c r="T58" s="4"/>
      <c r="U58" s="4"/>
      <c r="V58" s="4"/>
      <c r="W58" s="4"/>
    </row>
    <row r="59" spans="2:23" ht="13.5" customHeight="1" x14ac:dyDescent="0.4">
      <c r="C59" s="2" t="s">
        <v>441</v>
      </c>
      <c r="E59" s="83" t="e">
        <f>IF(
  AND(
    ISNUMBER(Assessment!C38),
    ISNUMBER(Assessment!D38)
  ),
  Assessment!D38-Assessment!C38,
  NA()
)</f>
        <v>#N/A</v>
      </c>
      <c r="F59" s="83">
        <f>IF(
  AND(
    ISNUMBER(Assessment!D38),
    ISNUMBER(Assessment!E38)
  ),
  Assessment!E38-Assessment!D38,
  NA()
)</f>
        <v>2.1999999999999957</v>
      </c>
      <c r="G59" s="83">
        <f>IF(
  AND(
    ISNUMBER(Assessment!E38),
    ISNUMBER(Assessment!F38)
  ),
  Assessment!F38-Assessment!E38,
  NA()
)</f>
        <v>1.7000000000000028</v>
      </c>
      <c r="H59" s="83">
        <f>IF(
  AND(
    ISNUMBER(Assessment!F38),
    ISNUMBER(Assessment!G38)
  ),
  Assessment!G38-Assessment!F38,
  NA()
)</f>
        <v>1</v>
      </c>
      <c r="I59" s="83">
        <f>IF(
  AND(
    ISNUMBER(Assessment!G38),
    ISNUMBER(Assessment!H38)
  ),
  Assessment!H38-Assessment!G38,
  NA()
)</f>
        <v>1.2000000000000028</v>
      </c>
      <c r="J59" s="83">
        <f>IF(
  AND(
    ISNUMBER(Assessment!H38),
    ISNUMBER(Assessment!I38)
  ),
  Assessment!I38-Assessment!H38,
  NA()
)</f>
        <v>1.0999999999999943</v>
      </c>
      <c r="K59" s="83" t="e">
        <f>IF(
  AND(
    ISNUMBER(Assessment!I38),
    ISNUMBER(Assessment!J38)
  ),
  Assessment!J38-Assessment!I38,
  NA()
)</f>
        <v>#N/A</v>
      </c>
      <c r="L59" s="83" t="e">
        <f>IF(
  AND(
    ISNUMBER(Assessment!J38),
    ISNUMBER(Assessment!K38)
  ),
  Assessment!K38-Assessment!J38,
  NA()
)</f>
        <v>#N/A</v>
      </c>
      <c r="M59" s="83" t="e">
        <f>IF(
  AND(
    ISNUMBER(Assessment!K38),
    ISNUMBER(Assessment!L38)
  ),
  Assessment!L38-Assessment!K38,
  NA()
)</f>
        <v>#N/A</v>
      </c>
      <c r="N59" s="83" t="e">
        <f>IF(
  AND(
    ISNUMBER(Assessment!L38),
    ISNUMBER(Assessment!M38)
  ),
  Assessment!M38-Assessment!L38,
  NA()
)</f>
        <v>#N/A</v>
      </c>
      <c r="O59" s="83" t="e">
        <f>IF(
  AND(
    ISNUMBER(Assessment!M38),
    ISNUMBER(Assessment!N38)
  ),
  Assessment!N38-Assessment!M38,
  NA()
)</f>
        <v>#N/A</v>
      </c>
      <c r="P59" s="83" t="e">
        <f>IF(
  AND(
    ISNUMBER(Assessment!N38),
    ISNUMBER(Assessment!O38)
  ),
  Assessment!O38-Assessment!N38,
  NA()
)</f>
        <v>#N/A</v>
      </c>
      <c r="Q59" s="83" t="e">
        <f>IF(
  AND(
    ISNUMBER(Assessment!O38),
    ISNUMBER(Assessment!P38)
  ),
  Assessment!P38-Assessment!O38,
  NA()
)</f>
        <v>#N/A</v>
      </c>
      <c r="R59" s="83" t="e">
        <f>IF(
  AND(
    ISNUMBER(Assessment!P38),
    ISNUMBER(Assessment!Q38)
  ),
  Assessment!Q38-Assessment!P38,
  NA()
)</f>
        <v>#N/A</v>
      </c>
      <c r="S59" s="83" t="e">
        <f>IF(
  AND(
    ISNUMBER(Assessment!Q38),
    ISNUMBER(Assessment!R38)
  ),
  Assessment!R38-Assessment!Q38,
  NA()
)</f>
        <v>#N/A</v>
      </c>
      <c r="T59" s="83" t="e">
        <f>IF(
  AND(
    ISNUMBER(Assessment!R38),
    ISNUMBER(Assessment!S38)
  ),
  Assessment!S38-Assessment!R38,
  NA()
)</f>
        <v>#N/A</v>
      </c>
      <c r="U59" s="83" t="e">
        <f>IF(
  AND(
    ISNUMBER(Assessment!S38),
    ISNUMBER(Assessment!T38)
  ),
  Assessment!T38-Assessment!S38,
  NA()
)</f>
        <v>#N/A</v>
      </c>
      <c r="V59" s="83" t="e">
        <f>IF(
  AND(
    ISNUMBER(Assessment!T38),
    ISNUMBER(Assessment!U38)
  ),
  Assessment!U38-Assessment!T38,
  NA()
)</f>
        <v>#N/A</v>
      </c>
      <c r="W59" s="83" t="e">
        <f>IF(
  AND(
    ISNUMBER(Assessment!U38),
    ISNUMBER(Assessment!V38)
  ),
  Assessment!V38-Assessment!U38,
  NA()
)</f>
        <v>#N/A</v>
      </c>
    </row>
    <row r="60" spans="2:23" ht="13.5" customHeight="1" x14ac:dyDescent="0.4">
      <c r="C60" s="2" t="s">
        <v>346</v>
      </c>
      <c r="E60" s="83"/>
      <c r="F60" s="83"/>
      <c r="G60" s="83"/>
      <c r="H60" s="83"/>
      <c r="I60" s="83"/>
      <c r="J60" s="83"/>
      <c r="K60" s="83"/>
      <c r="L60" s="83"/>
      <c r="M60" s="83"/>
      <c r="N60" s="83"/>
      <c r="O60" s="83"/>
      <c r="P60" s="83"/>
      <c r="Q60" s="83"/>
      <c r="R60" s="83"/>
      <c r="S60" s="83"/>
      <c r="T60" s="83"/>
      <c r="U60" s="83"/>
      <c r="V60" s="83"/>
      <c r="W60" s="83"/>
    </row>
    <row r="61" spans="2:23" ht="13.5" customHeight="1" x14ac:dyDescent="0.4">
      <c r="C61" s="2" t="s">
        <v>347</v>
      </c>
      <c r="E61" s="83"/>
      <c r="F61" s="83"/>
      <c r="G61" s="83"/>
      <c r="H61" s="83"/>
      <c r="I61" s="83"/>
      <c r="J61" s="83"/>
      <c r="K61" s="83"/>
      <c r="L61" s="83"/>
      <c r="M61" s="83"/>
      <c r="N61" s="83"/>
      <c r="O61" s="83"/>
      <c r="P61" s="83"/>
      <c r="Q61" s="83"/>
      <c r="R61" s="83"/>
      <c r="S61" s="83"/>
      <c r="T61" s="83"/>
      <c r="U61" s="83"/>
      <c r="V61" s="83"/>
      <c r="W61" s="83"/>
    </row>
    <row r="62" spans="2:23" ht="13.5" customHeight="1" x14ac:dyDescent="0.4">
      <c r="C62" s="2" t="s">
        <v>348</v>
      </c>
      <c r="E62" s="83" t="e" cm="1">
        <f t="array" ref="E62">IF(
  AND(
    INDEX(2:2, COLUMN()) &gt; MTP_BaseYear,
    INDEX(2:2, COLUMN()) &lt;= OutturnThrough
  ),
  IFERROR(
    IF(
      Assessment!D21 &lt;= INDEX('Chart data'!$59:$59, COLUMN()),
      Assessment!D21,
      NA()
    ),
    NA()
  ),
  NA()
)</f>
        <v>#N/A</v>
      </c>
      <c r="F62" s="83" t="e" cm="1">
        <f t="array" ref="F62">IF(
  AND(
    INDEX(2:2, COLUMN()) &gt; MTP_BaseYear,
    INDEX(2:2, COLUMN()) &lt;= OutturnThrough
  ),
  IFERROR(
    IF(
      Assessment!E21 &lt;= INDEX('Chart data'!$59:$59, COLUMN()),
      Assessment!E21,
      NA()
    ),
    NA()
  ),
  NA()
)</f>
        <v>#N/A</v>
      </c>
      <c r="G62" s="83" t="e" cm="1">
        <f t="array" ref="G62">IF(
  AND(
    INDEX(2:2, COLUMN()) &gt; MTP_BaseYear,
    INDEX(2:2, COLUMN()) &lt;= OutturnThrough
  ),
  IFERROR(
    IF(
      Assessment!F21 &lt;= INDEX('Chart data'!$59:$59, COLUMN()),
      Assessment!F21,
      NA()
    ),
    NA()
  ),
  NA()
)</f>
        <v>#N/A</v>
      </c>
      <c r="H62" s="83" t="e" cm="1">
        <f t="array" ref="H62">IF(
  AND(
    INDEX(2:2, COLUMN()) &gt; MTP_BaseYear,
    INDEX(2:2, COLUMN()) &lt;= OutturnThrough
  ),
  IFERROR(
    IF(
      Assessment!G21 &lt;= INDEX('Chart data'!$59:$59, COLUMN()),
      Assessment!G21,
      NA()
    ),
    NA()
  ),
  NA()
)</f>
        <v>#N/A</v>
      </c>
      <c r="I62" s="83" t="e" cm="1">
        <f t="array" ref="I62">IF(
  AND(
    INDEX(2:2, COLUMN()) &gt; MTP_BaseYear,
    INDEX(2:2, COLUMN()) &lt;= OutturnThrough
  ),
  IFERROR(
    IF(
      Assessment!H21 &lt;= INDEX('Chart data'!$59:$59, COLUMN()),
      Assessment!H21,
      NA()
    ),
    NA()
  ),
  NA()
)</f>
        <v>#N/A</v>
      </c>
      <c r="J62" s="83" t="e" cm="1">
        <f t="array" ref="J62">IF(
  AND(
    INDEX(2:2, COLUMN()) &gt; MTP_BaseYear,
    INDEX(2:2, COLUMN()) &lt;= OutturnThrough
  ),
  IFERROR(
    IF(
      Assessment!I21 &lt;= INDEX('Chart data'!$59:$59, COLUMN()),
      Assessment!I21,
      NA()
    ),
    NA()
  ),
  NA()
)</f>
        <v>#N/A</v>
      </c>
      <c r="K62" s="83" t="e" cm="1">
        <f t="array" ref="K62">IF(
  AND(
    INDEX(2:2, COLUMN()) &gt; MTP_BaseYear,
    INDEX(2:2, COLUMN()) &lt;= OutturnThrough
  ),
  IFERROR(
    IF(
      Assessment!J21 &lt;= INDEX('Chart data'!$59:$59, COLUMN()),
      Assessment!J21,
      NA()
    ),
    NA()
  ),
  NA()
)</f>
        <v>#N/A</v>
      </c>
      <c r="L62" s="83" t="e" cm="1">
        <f t="array" ref="L62">IF(
  AND(
    INDEX(2:2, COLUMN()) &gt; MTP_BaseYear,
    INDEX(2:2, COLUMN()) &lt;= OutturnThrough
  ),
  IFERROR(
    IF(
      Assessment!K21 &lt;= INDEX('Chart data'!$59:$59, COLUMN()),
      Assessment!K21,
      NA()
    ),
    NA()
  ),
  NA()
)</f>
        <v>#N/A</v>
      </c>
      <c r="M62" s="83" t="e" cm="1">
        <f t="array" ref="M62">IF(
  AND(
    INDEX(2:2, COLUMN()) &gt; MTP_BaseYear,
    INDEX(2:2, COLUMN()) &lt;= OutturnThrough
  ),
  IFERROR(
    IF(
      Assessment!L21 &lt;= INDEX('Chart data'!$59:$59, COLUMN()),
      Assessment!L21,
      NA()
    ),
    NA()
  ),
  NA()
)</f>
        <v>#N/A</v>
      </c>
      <c r="N62" s="83" t="e" cm="1">
        <f t="array" ref="N62">IF(
  AND(
    INDEX(2:2, COLUMN()) &gt; MTP_BaseYear,
    INDEX(2:2, COLUMN()) &lt;= OutturnThrough
  ),
  IFERROR(
    IF(
      Assessment!M21 &lt;= INDEX('Chart data'!$59:$59, COLUMN()),
      Assessment!M21,
      NA()
    ),
    NA()
  ),
  NA()
)</f>
        <v>#N/A</v>
      </c>
      <c r="O62" s="83" t="e" cm="1">
        <f t="array" ref="O62">IF(
  AND(
    INDEX(2:2, COLUMN()) &gt; MTP_BaseYear,
    INDEX(2:2, COLUMN()) &lt;= OutturnThrough
  ),
  IFERROR(
    IF(
      Assessment!N21 &lt;= INDEX('Chart data'!$59:$59, COLUMN()),
      Assessment!N21,
      NA()
    ),
    NA()
  ),
  NA()
)</f>
        <v>#N/A</v>
      </c>
      <c r="P62" s="83" t="e" cm="1">
        <f t="array" ref="P62">IF(
  AND(
    INDEX(2:2, COLUMN()) &gt; MTP_BaseYear,
    INDEX(2:2, COLUMN()) &lt;= OutturnThrough
  ),
  IFERROR(
    IF(
      Assessment!O21 &lt;= INDEX('Chart data'!$59:$59, COLUMN()),
      Assessment!O21,
      NA()
    ),
    NA()
  ),
  NA()
)</f>
        <v>#N/A</v>
      </c>
      <c r="Q62" s="83" t="e" cm="1">
        <f t="array" ref="Q62">IF(
  AND(
    INDEX(2:2, COLUMN()) &gt; MTP_BaseYear,
    INDEX(2:2, COLUMN()) &lt;= OutturnThrough
  ),
  IFERROR(
    IF(
      Assessment!P21 &lt;= INDEX('Chart data'!$59:$59, COLUMN()),
      Assessment!P21,
      NA()
    ),
    NA()
  ),
  NA()
)</f>
        <v>#N/A</v>
      </c>
      <c r="R62" s="83" t="e" cm="1">
        <f t="array" ref="R62">IF(
  AND(
    INDEX(2:2, COLUMN()) &gt; MTP_BaseYear,
    INDEX(2:2, COLUMN()) &lt;= OutturnThrough
  ),
  IFERROR(
    IF(
      Assessment!Q21 &lt;= INDEX('Chart data'!$59:$59, COLUMN()),
      Assessment!Q21,
      NA()
    ),
    NA()
  ),
  NA()
)</f>
        <v>#N/A</v>
      </c>
      <c r="S62" s="83" t="e" cm="1">
        <f t="array" ref="S62">IF(
  AND(
    INDEX(2:2, COLUMN()) &gt; MTP_BaseYear,
    INDEX(2:2, COLUMN()) &lt;= OutturnThrough
  ),
  IFERROR(
    IF(
      Assessment!R21 &lt;= INDEX('Chart data'!$59:$59, COLUMN()),
      Assessment!R21,
      NA()
    ),
    NA()
  ),
  NA()
)</f>
        <v>#N/A</v>
      </c>
      <c r="T62" s="83" t="e" cm="1">
        <f t="array" ref="T62">IF(
  AND(
    INDEX(2:2, COLUMN()) &gt; MTP_BaseYear,
    INDEX(2:2, COLUMN()) &lt;= OutturnThrough
  ),
  IFERROR(
    IF(
      Assessment!S21 &lt;= INDEX('Chart data'!$59:$59, COLUMN()),
      Assessment!S21,
      NA()
    ),
    NA()
  ),
  NA()
)</f>
        <v>#N/A</v>
      </c>
      <c r="U62" s="83" t="e" cm="1">
        <f t="array" ref="U62">IF(
  AND(
    INDEX(2:2, COLUMN()) &gt; MTP_BaseYear,
    INDEX(2:2, COLUMN()) &lt;= OutturnThrough
  ),
  Assessment!T21,
  NA()
)</f>
        <v>#N/A</v>
      </c>
      <c r="V62" s="83" t="e" cm="1">
        <f t="array" ref="V62">IF(
  AND(
    INDEX(2:2, COLUMN()) &gt; MTP_BaseYear,
    INDEX(2:2, COLUMN()) &lt;= OutturnThrough
  ),
  Assessment!U21,
  NA()
)</f>
        <v>#N/A</v>
      </c>
      <c r="W62" s="83" t="e" cm="1">
        <f t="array" ref="W62">IF(
  AND(
    INDEX(2:2, COLUMN()) &gt; MTP_BaseYear,
    INDEX(2:2, COLUMN()) &lt;= OutturnThrough
  ),
  Assessment!V21,
  NA()
)</f>
        <v>#N/A</v>
      </c>
    </row>
    <row r="63" spans="2:23" ht="13.5" customHeight="1" x14ac:dyDescent="0.4">
      <c r="C63" s="2" t="s">
        <v>349</v>
      </c>
      <c r="E63" s="83" t="e" cm="1">
        <f t="array" ref="E63">IF(
  AND(
    INDEX(2:2, COLUMN()) &gt; MTP_BaseYear,
    INDEX(2:2, COLUMN()) &lt;= OutturnThrough
  ),
  IFERROR(
    IF(
      Assessment!D21 &gt; INDEX('Chart data'!$59:$59, COLUMN()),
      Assessment!D21,
      NA()
    ),
    NA()
  ),
  NA()
)</f>
        <v>#N/A</v>
      </c>
      <c r="F63" s="83" t="str" cm="1">
        <f t="array" ref="F63">IF(
  AND(
    INDEX(2:2, COLUMN()) &gt; MTP_BaseYear,
    INDEX(2:2, COLUMN()) &lt;= OutturnThrough
  ),
  IFERROR(
    IF(
      Assessment!E21 &gt; INDEX('Chart data'!$59:$59, COLUMN()),
      Assessment!E21,
      NA()
    ),
    NA()
  ),
  NA()
)</f>
        <v/>
      </c>
      <c r="G63" s="83" t="e" cm="1">
        <f t="array" ref="G63">IF(
  AND(
    INDEX(2:2, COLUMN()) &gt; MTP_BaseYear,
    INDEX(2:2, COLUMN()) &lt;= OutturnThrough
  ),
  IFERROR(
    IF(
      Assessment!F21 &gt; INDEX('Chart data'!$59:$59, COLUMN()),
      Assessment!F21,
      NA()
    ),
    NA()
  ),
  NA()
)</f>
        <v>#N/A</v>
      </c>
      <c r="H63" s="83" t="e" cm="1">
        <f t="array" ref="H63">IF(
  AND(
    INDEX(2:2, COLUMN()) &gt; MTP_BaseYear,
    INDEX(2:2, COLUMN()) &lt;= OutturnThrough
  ),
  IFERROR(
    IF(
      Assessment!G21 &gt; INDEX('Chart data'!$59:$59, COLUMN()),
      Assessment!G21,
      NA()
    ),
    NA()
  ),
  NA()
)</f>
        <v>#N/A</v>
      </c>
      <c r="I63" s="83" t="e" cm="1">
        <f t="array" ref="I63">IF(
  AND(
    INDEX(2:2, COLUMN()) &gt; MTP_BaseYear,
    INDEX(2:2, COLUMN()) &lt;= OutturnThrough
  ),
  IFERROR(
    IF(
      Assessment!H21 &gt; INDEX('Chart data'!$59:$59, COLUMN()),
      Assessment!H21,
      NA()
    ),
    NA()
  ),
  NA()
)</f>
        <v>#N/A</v>
      </c>
      <c r="J63" s="83" t="e" cm="1">
        <f t="array" ref="J63">IF(
  AND(
    INDEX(2:2, COLUMN()) &gt; MTP_BaseYear,
    INDEX(2:2, COLUMN()) &lt;= OutturnThrough
  ),
  IFERROR(
    IF(
      Assessment!I21 &gt; INDEX('Chart data'!$59:$59, COLUMN()),
      Assessment!I21,
      NA()
    ),
    NA()
  ),
  NA()
)</f>
        <v>#N/A</v>
      </c>
      <c r="K63" s="83" t="e" cm="1">
        <f t="array" ref="K63">IF(
  AND(
    INDEX(2:2, COLUMN()) &gt; MTP_BaseYear,
    INDEX(2:2, COLUMN()) &lt;= OutturnThrough
  ),
  IFERROR(
    IF(
      Assessment!J21 &gt; INDEX('Chart data'!$59:$59, COLUMN()),
      Assessment!J21,
      NA()
    ),
    NA()
  ),
  NA()
)</f>
        <v>#N/A</v>
      </c>
      <c r="L63" s="83" t="e" cm="1">
        <f t="array" ref="L63">IF(
  AND(
    INDEX(2:2, COLUMN()) &gt; MTP_BaseYear,
    INDEX(2:2, COLUMN()) &lt;= OutturnThrough
  ),
  IFERROR(
    IF(
      Assessment!K21 &gt; INDEX('Chart data'!$59:$59, COLUMN()),
      Assessment!K21,
      NA()
    ),
    NA()
  ),
  NA()
)</f>
        <v>#N/A</v>
      </c>
      <c r="M63" s="83" t="e" cm="1">
        <f t="array" ref="M63">IF(
  AND(
    INDEX(2:2, COLUMN()) &gt; MTP_BaseYear,
    INDEX(2:2, COLUMN()) &lt;= OutturnThrough
  ),
  IFERROR(
    IF(
      Assessment!L21 &gt; INDEX('Chart data'!$59:$59, COLUMN()),
      Assessment!L21,
      NA()
    ),
    NA()
  ),
  NA()
)</f>
        <v>#N/A</v>
      </c>
      <c r="N63" s="83" t="e" cm="1">
        <f t="array" ref="N63">IF(
  AND(
    INDEX(2:2, COLUMN()) &gt; MTP_BaseYear,
    INDEX(2:2, COLUMN()) &lt;= OutturnThrough
  ),
  IFERROR(
    IF(
      Assessment!M21 &gt; INDEX('Chart data'!$59:$59, COLUMN()),
      Assessment!M21,
      NA()
    ),
    NA()
  ),
  NA()
)</f>
        <v>#N/A</v>
      </c>
      <c r="O63" s="83" t="e" cm="1">
        <f t="array" ref="O63">IF(
  AND(
    INDEX(2:2, COLUMN()) &gt; MTP_BaseYear,
    INDEX(2:2, COLUMN()) &lt;= OutturnThrough
  ),
  IFERROR(
    IF(
      Assessment!N21 &gt; INDEX('Chart data'!$59:$59, COLUMN()),
      Assessment!N21,
      NA()
    ),
    NA()
  ),
  NA()
)</f>
        <v>#N/A</v>
      </c>
      <c r="P63" s="83" t="e" cm="1">
        <f t="array" ref="P63">IF(
  AND(
    INDEX(2:2, COLUMN()) &gt; MTP_BaseYear,
    INDEX(2:2, COLUMN()) &lt;= OutturnThrough
  ),
  IFERROR(
    IF(
      Assessment!O21 &gt; INDEX('Chart data'!$59:$59, COLUMN()),
      Assessment!O21,
      NA()
    ),
    NA()
  ),
  NA()
)</f>
        <v>#N/A</v>
      </c>
      <c r="Q63" s="83" t="e" cm="1">
        <f t="array" ref="Q63">IF(
  AND(
    INDEX(2:2, COLUMN()) &gt; MTP_BaseYear,
    INDEX(2:2, COLUMN()) &lt;= OutturnThrough
  ),
  IFERROR(
    IF(
      Assessment!P21 &gt; INDEX('Chart data'!$59:$59, COLUMN()),
      Assessment!P21,
      NA()
    ),
    NA()
  ),
  NA()
)</f>
        <v>#N/A</v>
      </c>
      <c r="R63" s="83" t="e" cm="1">
        <f t="array" ref="R63">IF(
  AND(
    INDEX(2:2, COLUMN()) &gt; MTP_BaseYear,
    INDEX(2:2, COLUMN()) &lt;= OutturnThrough
  ),
  IFERROR(
    IF(
      Assessment!Q21 &gt; INDEX('Chart data'!$59:$59, COLUMN()),
      Assessment!Q21,
      NA()
    ),
    NA()
  ),
  NA()
)</f>
        <v>#N/A</v>
      </c>
      <c r="S63" s="83" t="e" cm="1">
        <f t="array" ref="S63">IF(
  AND(
    INDEX(2:2, COLUMN()) &gt; MTP_BaseYear,
    INDEX(2:2, COLUMN()) &lt;= OutturnThrough
  ),
  IFERROR(
    IF(
      Assessment!R21 &gt; INDEX('Chart data'!$59:$59, COLUMN()),
      Assessment!R21,
      NA()
    ),
    NA()
  ),
  NA()
)</f>
        <v>#N/A</v>
      </c>
      <c r="T63" s="83" t="e" cm="1">
        <f t="array" ref="T63">IF(
  AND(
    INDEX(2:2, COLUMN()) &gt; MTP_BaseYear,
    INDEX(2:2, COLUMN()) &lt;= OutturnThrough
  ),
  IFERROR(
    IF(
      Assessment!S21 &gt; INDEX('Chart data'!$59:$59, COLUMN()),
      Assessment!S21,
      NA()
    ),
    NA()
  ),
  NA()
)</f>
        <v>#N/A</v>
      </c>
      <c r="U63" s="83"/>
      <c r="V63" s="83"/>
      <c r="W63" s="83"/>
    </row>
    <row r="64" spans="2:23" ht="13.5" customHeight="1" x14ac:dyDescent="0.4">
      <c r="C64" s="2" t="s">
        <v>645</v>
      </c>
      <c r="E64" s="83" t="e">
        <f>IF(OR(ISNUMBER(E62),ISNUMBER(E63)),NA(),IF(ISNUMBER(Assessment!D21),Assessment!D21,NA()))</f>
        <v>#N/A</v>
      </c>
      <c r="F64" s="83" t="e">
        <f>IF(OR(ISNUMBER(F62),ISNUMBER(F63)),NA(),IF(ISNUMBER(Assessment!E21),Assessment!E21,NA()))</f>
        <v>#N/A</v>
      </c>
      <c r="G64" s="83">
        <f>IF(OR(ISNUMBER(G62),ISNUMBER(G63)),NA(),IF(ISNUMBER(Assessment!F21),Assessment!F21,NA()))</f>
        <v>2.1</v>
      </c>
      <c r="H64" s="83">
        <f>IF(OR(ISNUMBER(H62),ISNUMBER(H63)),NA(),IF(ISNUMBER(Assessment!G21),Assessment!G21,NA()))</f>
        <v>1.7</v>
      </c>
      <c r="I64" s="83" t="e">
        <f>IF(OR(ISNUMBER(I62),ISNUMBER(I63)),NA(),IF(ISNUMBER(Assessment!H21),Assessment!H21,NA()))</f>
        <v>#N/A</v>
      </c>
      <c r="J64" s="83" t="e">
        <f>IF(OR(ISNUMBER(J62),ISNUMBER(J63)),NA(),IF(ISNUMBER(Assessment!I21),Assessment!I21,NA()))</f>
        <v>#N/A</v>
      </c>
      <c r="K64" s="83" t="e">
        <f>IF(OR(ISNUMBER(K62),ISNUMBER(K63)),NA(),IF(ISNUMBER(Assessment!J21),Assessment!J21,NA()))</f>
        <v>#N/A</v>
      </c>
      <c r="L64" s="83" t="e">
        <f>IF(OR(ISNUMBER(L62),ISNUMBER(L63)),NA(),IF(ISNUMBER(Assessment!K21),Assessment!K21,NA()))</f>
        <v>#N/A</v>
      </c>
      <c r="M64" s="83" t="e">
        <f>IF(OR(ISNUMBER(M62),ISNUMBER(M63)),NA(),IF(ISNUMBER(Assessment!L21),Assessment!L21,NA()))</f>
        <v>#N/A</v>
      </c>
      <c r="N64" s="83" t="e">
        <f>IF(OR(ISNUMBER(N62),ISNUMBER(N63)),NA(),IF(ISNUMBER(Assessment!M21),Assessment!M21,NA()))</f>
        <v>#N/A</v>
      </c>
      <c r="O64" s="83" t="e">
        <f>IF(OR(ISNUMBER(O62),ISNUMBER(O63)),NA(),IF(ISNUMBER(Assessment!N21),Assessment!N21,NA()))</f>
        <v>#N/A</v>
      </c>
      <c r="P64" s="83" t="e">
        <f>IF(OR(ISNUMBER(P62),ISNUMBER(P63)),NA(),IF(ISNUMBER(Assessment!O21),Assessment!O21,NA()))</f>
        <v>#N/A</v>
      </c>
      <c r="Q64" s="83" t="e">
        <f>IF(OR(ISNUMBER(Q62),ISNUMBER(Q63)),NA(),IF(ISNUMBER(Assessment!P21),Assessment!P21,NA()))</f>
        <v>#N/A</v>
      </c>
      <c r="R64" s="83" t="e">
        <f>IF(OR(ISNUMBER(R62),ISNUMBER(R63)),NA(),IF(ISNUMBER(Assessment!Q21),Assessment!Q21,NA()))</f>
        <v>#N/A</v>
      </c>
      <c r="S64" s="83" t="e">
        <f>IF(OR(ISNUMBER(S62),ISNUMBER(S63)),NA(),IF(ISNUMBER(Assessment!R21),Assessment!R21,NA()))</f>
        <v>#N/A</v>
      </c>
      <c r="T64" s="83" t="e">
        <f>IF(OR(ISNUMBER(T62),ISNUMBER(T63)),NA(),IF(ISNUMBER(Assessment!S21),Assessment!S21,NA()))</f>
        <v>#N/A</v>
      </c>
      <c r="U64" s="83" t="e">
        <f>IF(ISNUMBER(U62),NA(),IF(ISNUMBER(Assessment!T21),Assessment!T21,NA()))</f>
        <v>#N/A</v>
      </c>
      <c r="V64" s="83" t="e">
        <f>IF(ISNUMBER(V62),NA(),IF(ISNUMBER(Assessment!U21),Assessment!U21,NA()))</f>
        <v>#N/A</v>
      </c>
      <c r="W64" s="83" t="e">
        <f>IF(ISNUMBER(W62),NA(),IF(ISNUMBER(Assessment!V21),Assessment!V21,NA()))</f>
        <v>#N/A</v>
      </c>
    </row>
    <row r="65" spans="2:23" ht="13.5" customHeight="1" x14ac:dyDescent="0.4">
      <c r="C65" s="2" t="s">
        <v>646</v>
      </c>
      <c r="E65" s="83">
        <f>IF(
  ISNUMBER(Assessment!D20),
  IF(Assessment!D20&gt;90,-1,
     IF(Assessment!D20&gt;60,-0.5,0)
  ),
  NA()
)</f>
        <v>0</v>
      </c>
      <c r="F65" s="83">
        <f>IF(
  ISNUMBER(Assessment!E20),
  IF(Assessment!E20&gt;90,-1,
     IF(Assessment!E20&gt;60,-0.5,0)
  ),
  NA()
)</f>
        <v>0</v>
      </c>
      <c r="G65" s="83">
        <f>IF(
  ISNUMBER(Assessment!F20),
  IF(Assessment!F20&gt;90,-1,
     IF(Assessment!F20&gt;60,-0.5,0)
  ),
  NA()
)</f>
        <v>0</v>
      </c>
      <c r="H65" s="83">
        <f>IF(
  ISNUMBER(Assessment!G20),
  IF(Assessment!G20&gt;90,-1,
     IF(Assessment!G20&gt;60,-0.5,0)
  ),
  NA()
)</f>
        <v>0</v>
      </c>
      <c r="I65" s="83" t="e">
        <f>IF(
  ISNUMBER(Assessment!H20),
  IF(Assessment!H20&gt;90,-1,
     IF(Assessment!H20&gt;60,-0.5,0)
  ),
  NA()
)</f>
        <v>#N/A</v>
      </c>
      <c r="J65" s="83" t="e">
        <f>IF(
  ISNUMBER(Assessment!I20),
  IF(Assessment!I20&gt;90,-1,
     IF(Assessment!I20&gt;60,-0.5,0)
  ),
  NA()
)</f>
        <v>#N/A</v>
      </c>
      <c r="K65" s="83" t="e">
        <f>IF(
  ISNUMBER(Assessment!J20),
  IF(Assessment!J20&gt;90,-1,
     IF(Assessment!J20&gt;60,-0.5,0)
  ),
  NA()
)</f>
        <v>#N/A</v>
      </c>
      <c r="L65" s="83" t="e">
        <f>IF(
  ISNUMBER(Assessment!K20),
  IF(Assessment!K20&gt;90,-1,
     IF(Assessment!K20&gt;60,-0.5,0)
  ),
  NA()
)</f>
        <v>#N/A</v>
      </c>
      <c r="M65" s="83" t="e">
        <f>IF(
  ISNUMBER(Assessment!L20),
  IF(Assessment!L20&gt;90,-1,
     IF(Assessment!L20&gt;60,-0.5,0)
  ),
  NA()
)</f>
        <v>#N/A</v>
      </c>
      <c r="N65" s="83" t="e">
        <f>IF(
  ISNUMBER(Assessment!M20),
  IF(Assessment!M20&gt;90,-1,
     IF(Assessment!M20&gt;60,-0.5,0)
  ),
  NA()
)</f>
        <v>#N/A</v>
      </c>
      <c r="O65" s="83" t="e">
        <f>IF(
  ISNUMBER(Assessment!N20),
  IF(Assessment!N20&gt;90,-1,
     IF(Assessment!N20&gt;60,-0.5,0)
  ),
  NA()
)</f>
        <v>#N/A</v>
      </c>
      <c r="P65" s="83" t="e">
        <f>IF(
  ISNUMBER(Assessment!O20),
  IF(Assessment!O20&gt;90,-1,
     IF(Assessment!O20&gt;60,-0.5,0)
  ),
  NA()
)</f>
        <v>#N/A</v>
      </c>
      <c r="Q65" s="83" t="e">
        <f>IF(
  ISNUMBER(Assessment!P20),
  IF(Assessment!P20&gt;90,-1,
     IF(Assessment!P20&gt;60,-0.5,0)
  ),
  NA()
)</f>
        <v>#N/A</v>
      </c>
      <c r="R65" s="83" t="e">
        <f>IF(
  ISNUMBER(Assessment!Q20),
  IF(Assessment!Q20&gt;90,-1,
     IF(Assessment!Q20&gt;60,-0.5,0)
  ),
  NA()
)</f>
        <v>#N/A</v>
      </c>
      <c r="S65" s="83" t="e">
        <f>IF(
  ISNUMBER(Assessment!R20),
  IF(Assessment!R20&gt;90,-1,
     IF(Assessment!R20&gt;60,-0.5,0)
  ),
  NA()
)</f>
        <v>#N/A</v>
      </c>
      <c r="T65" s="83" t="e">
        <f>IF(
  ISNUMBER(Assessment!S20),
  IF(Assessment!S20&gt;90,-1,
     IF(Assessment!S20&gt;60,-0.5,0)
  ),
  NA()
)</f>
        <v>#N/A</v>
      </c>
      <c r="U65" s="83" t="e">
        <f>IF(
  ISNUMBER(Assessment!T20),
  IF(Assessment!T20&gt;90,-1,
     IF(Assessment!T20&gt;60,-0.5,0)
  ),
  NA()
)</f>
        <v>#N/A</v>
      </c>
      <c r="V65" s="83" t="e">
        <f>IF(
  ISNUMBER(Assessment!U20),
  IF(Assessment!U20&gt;90,-1,
     IF(Assessment!U20&gt;60,-0.5,0)
  ),
  NA()
)</f>
        <v>#N/A</v>
      </c>
      <c r="W65" s="83" t="e">
        <f>IF(
  ISNUMBER(Assessment!V20),
  IF(Assessment!V20&gt;90,-1,
     IF(Assessment!V20&gt;60,-0.5,0)
  ),
  NA()
)</f>
        <v>#N/A</v>
      </c>
    </row>
    <row r="66" spans="2:23" x14ac:dyDescent="0.4">
      <c r="C66" s="132" t="s">
        <v>647</v>
      </c>
      <c r="D66" s="4">
        <f>IF(_xlfn.AGGREGATE(5,6,F59:W65)&lt;0, _xlfn.AGGREGATE(5,6,F59:W65), 0)</f>
        <v>0</v>
      </c>
      <c r="F66" s="83"/>
      <c r="G66" s="83"/>
      <c r="H66" s="83"/>
      <c r="I66" s="83"/>
      <c r="J66" s="83"/>
      <c r="K66" s="83"/>
      <c r="L66" s="83"/>
      <c r="M66" s="83"/>
      <c r="N66" s="83"/>
      <c r="O66" s="83"/>
      <c r="P66" s="83"/>
      <c r="Q66" s="83"/>
      <c r="R66" s="83"/>
      <c r="S66" s="83"/>
      <c r="T66" s="83"/>
      <c r="U66" s="83"/>
      <c r="V66" s="83"/>
      <c r="W66" s="83"/>
    </row>
    <row r="67" spans="2:23" x14ac:dyDescent="0.4">
      <c r="C67" s="132" t="s">
        <v>648</v>
      </c>
      <c r="D67" s="4">
        <f>_xlfn.AGGREGATE(4,6,F59:W65)</f>
        <v>2.1999999999999957</v>
      </c>
    </row>
    <row r="68" spans="2:23" x14ac:dyDescent="0.4">
      <c r="C68" s="132"/>
      <c r="D68" s="4"/>
    </row>
    <row r="69" spans="2:23" ht="14.25" customHeight="1" x14ac:dyDescent="0.6">
      <c r="B69" s="163" t="s">
        <v>655</v>
      </c>
      <c r="C69" s="12" t="str">
        <f>"Time profile of the fiscal adjustment (change in the structural primary balance) compared to the "&amp;IF(MTP_Council_Endorsed,"endorsed plan","the proposed plan")</f>
        <v>Time profile of the fiscal adjustment (change in the structural primary balance) compared to the endorsed plan</v>
      </c>
      <c r="F69" s="128"/>
      <c r="G69" s="128"/>
      <c r="H69" s="128"/>
      <c r="I69" s="128"/>
      <c r="J69" s="128"/>
      <c r="K69" s="128"/>
      <c r="L69" s="128"/>
      <c r="M69" s="128"/>
      <c r="N69" s="128"/>
      <c r="O69" s="128"/>
      <c r="P69" s="128"/>
      <c r="Q69" s="128"/>
      <c r="R69" s="128"/>
      <c r="S69" s="128"/>
      <c r="T69" s="128"/>
      <c r="U69" s="83"/>
      <c r="V69" s="83"/>
      <c r="W69" s="83"/>
    </row>
    <row r="70" spans="2:23" x14ac:dyDescent="0.4">
      <c r="C70" s="2" t="s">
        <v>586</v>
      </c>
      <c r="F70" s="83"/>
      <c r="G70" s="83">
        <f>IF(
  AND(
    ISNUMBER(Assessment!F37),
    ISNUMBER(Assessment!E37)
  ),
  Assessment!F37 - Assessment!E37,
  NA()
)</f>
        <v>-0.5</v>
      </c>
      <c r="H70" s="83">
        <f>IF(
  AND(
    ISNUMBER(Assessment!G37),
    ISNUMBER(Assessment!F37)
  ),
  Assessment!G37 - Assessment!F37,
  NA()
)</f>
        <v>0</v>
      </c>
      <c r="I70" s="83">
        <f>IF(
  AND(
    ISNUMBER(Assessment!H37),
    ISNUMBER(Assessment!G37)
  ),
  Assessment!H37 - Assessment!G37,
  NA()
)</f>
        <v>0</v>
      </c>
      <c r="J70" s="83">
        <f>IF(
  AND(
    ISNUMBER(Assessment!I37),
    ISNUMBER(Assessment!H37)
  ),
  Assessment!I37 - Assessment!H37,
  NA()
)</f>
        <v>0</v>
      </c>
      <c r="K70" s="83" t="e">
        <f>IF(
  AND(
    ISNUMBER(Assessment!J37),
    ISNUMBER(Assessment!I37)
  ),
  Assessment!J37 - Assessment!I37,
  NA()
)</f>
        <v>#N/A</v>
      </c>
      <c r="L70" s="83" t="e">
        <f>IF(
  AND(
    ISNUMBER(Assessment!K37),
    ISNUMBER(Assessment!J37)
  ),
  Assessment!K37 - Assessment!J37,
  NA()
)</f>
        <v>#N/A</v>
      </c>
      <c r="M70" s="83" t="e">
        <f>IF(
  AND(
    ISNUMBER(Assessment!L37),
    ISNUMBER(Assessment!K37)
  ),
  Assessment!L37 - Assessment!K37,
  NA()
)</f>
        <v>#N/A</v>
      </c>
      <c r="N70" s="83" t="e">
        <f>IF(
  AND(
    ISNUMBER(Assessment!M37),
    ISNUMBER(Assessment!L37)
  ),
  Assessment!M37 - Assessment!L37,
  NA()
)</f>
        <v>#N/A</v>
      </c>
      <c r="O70" s="83" t="e">
        <f>IF(
  AND(
    ISNUMBER(Assessment!N37),
    ISNUMBER(Assessment!M37)
  ),
  Assessment!N37 - Assessment!M37,
  NA()
)</f>
        <v>#N/A</v>
      </c>
      <c r="P70" s="83" t="e">
        <f>IF(
  AND(
    ISNUMBER(Assessment!O37),
    ISNUMBER(Assessment!N37)
  ),
  Assessment!O37 - Assessment!N37,
  NA()
)</f>
        <v>#N/A</v>
      </c>
      <c r="Q70" s="83" t="e">
        <f>IF(
  AND(
    ISNUMBER(Assessment!P37),
    ISNUMBER(Assessment!O37)
  ),
  Assessment!P37 - Assessment!O37,
  NA()
)</f>
        <v>#N/A</v>
      </c>
      <c r="R70" s="83" t="e">
        <f>IF(
  AND(
    ISNUMBER(Assessment!Q37),
    ISNUMBER(Assessment!P37)
  ),
  Assessment!Q37 - Assessment!P37,
  NA()
)</f>
        <v>#N/A</v>
      </c>
      <c r="S70" s="83" t="e">
        <f>IF(
  AND(
    ISNUMBER(Assessment!R37),
    ISNUMBER(Assessment!Q37)
  ),
  Assessment!R37 - Assessment!Q37,
  NA()
)</f>
        <v>#N/A</v>
      </c>
      <c r="T70" s="83" t="e">
        <f>IF(
  AND(
    ISNUMBER(Assessment!S37),
    ISNUMBER(Assessment!R37)
  ),
  Assessment!S37 - Assessment!R37,
  NA()
)</f>
        <v>#N/A</v>
      </c>
      <c r="U70" s="83" t="e">
        <f>IF(
  AND(
    ISNUMBER(Assessment!T37),
    ISNUMBER(Assessment!S37)
  ),
  Assessment!T37 - Assessment!S37,
  NA()
)</f>
        <v>#N/A</v>
      </c>
      <c r="V70" s="83" t="e">
        <f>IF(
  AND(
    ISNUMBER(Assessment!U37),
    ISNUMBER(Assessment!T37)
  ),
  Assessment!U37 - Assessment!T37,
  NA()
)</f>
        <v>#N/A</v>
      </c>
      <c r="W70" s="83" t="e">
        <f>IF(
  AND(
    ISNUMBER(Assessment!V37),
    ISNUMBER(Assessment!U37)
  ),
  Assessment!V37 - Assessment!U37,
  NA()
)</f>
        <v>#N/A</v>
      </c>
    </row>
    <row r="71" spans="2:23" x14ac:dyDescent="0.4">
      <c r="C71" s="2" t="s">
        <v>346</v>
      </c>
      <c r="F71" s="4"/>
      <c r="G71" s="4"/>
      <c r="H71" s="4"/>
      <c r="I71" s="4"/>
      <c r="J71" s="4"/>
      <c r="K71" s="4"/>
      <c r="L71" s="4"/>
      <c r="M71" s="4"/>
      <c r="N71" s="4"/>
      <c r="O71" s="4"/>
      <c r="P71" s="4"/>
      <c r="Q71" s="4"/>
      <c r="R71" s="4"/>
      <c r="S71" s="4"/>
      <c r="T71" s="4"/>
      <c r="U71" s="83"/>
      <c r="V71" s="83"/>
      <c r="W71" s="83"/>
    </row>
    <row r="72" spans="2:23" x14ac:dyDescent="0.4">
      <c r="C72" s="2" t="s">
        <v>256</v>
      </c>
      <c r="F72" s="83" t="e">
        <f>IF(ISNUMBER(F74),NA(),IF(ISNUMBER(Assessment!E19),Assessment!E19-Assessment!D19,NA()))</f>
        <v>#N/A</v>
      </c>
      <c r="G72" s="83">
        <f>IF(ISNUMBER(G74),NA(),IF(ISNUMBER(Assessment!F19),Assessment!F19-Assessment!E19,NA()))</f>
        <v>-0.75051000000000001</v>
      </c>
      <c r="H72" s="83">
        <f>IF(ISNUMBER(H74),NA(),IF(ISNUMBER(Assessment!G19),Assessment!G19-Assessment!F19,NA()))</f>
        <v>-0.40000000000000013</v>
      </c>
      <c r="I72" s="83" t="e">
        <f>IF(ISNUMBER(I74),NA(),IF(ISNUMBER(Assessment!H19),Assessment!H19-Assessment!G19,NA()))</f>
        <v>#N/A</v>
      </c>
      <c r="J72" s="83" t="e">
        <f>IF(ISNUMBER(J74),NA(),IF(ISNUMBER(Assessment!I19),Assessment!I19-Assessment!H19,NA()))</f>
        <v>#N/A</v>
      </c>
      <c r="K72" s="83" t="e">
        <f>IF(ISNUMBER(K74),NA(),IF(ISNUMBER(Assessment!J19),Assessment!J19-Assessment!I19,NA()))</f>
        <v>#N/A</v>
      </c>
      <c r="L72" s="83" t="e">
        <f>IF(ISNUMBER(L74),NA(),IF(ISNUMBER(Assessment!K19),Assessment!K19-Assessment!J19,NA()))</f>
        <v>#N/A</v>
      </c>
      <c r="M72" s="83" t="e">
        <f>IF(ISNUMBER(M74),NA(),IF(ISNUMBER(Assessment!L19),Assessment!L19-Assessment!K19,NA()))</f>
        <v>#N/A</v>
      </c>
      <c r="N72" s="83" t="e">
        <f>IF(ISNUMBER(N74),NA(),IF(ISNUMBER(Assessment!M19),Assessment!M19-Assessment!L19,NA()))</f>
        <v>#N/A</v>
      </c>
      <c r="O72" s="83" t="e">
        <f>IF(ISNUMBER(O74),NA(),IF(ISNUMBER(Assessment!N19),Assessment!N19-Assessment!M19,NA()))</f>
        <v>#N/A</v>
      </c>
      <c r="P72" s="83" t="e">
        <f>IF(ISNUMBER(P74),NA(),IF(ISNUMBER(Assessment!O19),Assessment!O19-Assessment!N19,NA()))</f>
        <v>#N/A</v>
      </c>
      <c r="Q72" s="83" t="e">
        <f>IF(ISNUMBER(Q74),NA(),IF(ISNUMBER(Assessment!P19),Assessment!P19-Assessment!O19,NA()))</f>
        <v>#N/A</v>
      </c>
      <c r="R72" s="83" t="e">
        <f>IF(ISNUMBER(R74),NA(),IF(ISNUMBER(Assessment!Q19),Assessment!Q19-Assessment!P19,NA()))</f>
        <v>#N/A</v>
      </c>
      <c r="S72" s="83" t="e">
        <f>IF(ISNUMBER(S74),NA(),IF(ISNUMBER(Assessment!R19),Assessment!R19-Assessment!Q19,NA()))</f>
        <v>#N/A</v>
      </c>
      <c r="T72" s="83" t="e">
        <f>IF(ISNUMBER(T74),NA(),IF(ISNUMBER(Assessment!S19),Assessment!S19-Assessment!R19,NA()))</f>
        <v>#N/A</v>
      </c>
      <c r="U72" s="83" t="e">
        <f>IF(ISNUMBER(U74),NA(),IF(ISNUMBER(Assessment!T19),Assessment!T19-Assessment!S19,NA()))</f>
        <v>#N/A</v>
      </c>
      <c r="V72" s="83" t="e">
        <f>IF(ISNUMBER(V74),NA(),IF(ISNUMBER(Assessment!U19),Assessment!U19-Assessment!T19,NA()))</f>
        <v>#N/A</v>
      </c>
      <c r="W72" s="83" t="e">
        <f>IF(ISNUMBER(W74),NA(),IF(ISNUMBER(Assessment!V19),Assessment!V19-Assessment!U19,NA()))</f>
        <v>#N/A</v>
      </c>
    </row>
    <row r="73" spans="2:23" x14ac:dyDescent="0.4">
      <c r="C73" s="2" t="s">
        <v>347</v>
      </c>
      <c r="F73" s="4"/>
      <c r="G73" s="4"/>
      <c r="H73" s="4"/>
      <c r="I73" s="4"/>
      <c r="J73" s="4"/>
      <c r="K73" s="4"/>
      <c r="L73" s="4"/>
      <c r="M73" s="4"/>
      <c r="N73" s="4"/>
      <c r="O73" s="4"/>
      <c r="P73" s="4"/>
      <c r="Q73" s="4"/>
      <c r="R73" s="4"/>
      <c r="S73" s="4"/>
      <c r="T73" s="4"/>
      <c r="U73" s="83"/>
      <c r="V73" s="83"/>
      <c r="W73" s="83"/>
    </row>
    <row r="74" spans="2:23" ht="13.5" customHeight="1" x14ac:dyDescent="0.4">
      <c r="C74" s="2" t="s">
        <v>585</v>
      </c>
      <c r="E74" s="128"/>
      <c r="F74" s="128"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0.93175000000000008</v>
      </c>
      <c r="G74" s="128" t="e"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#N/A</v>
      </c>
      <c r="H74" s="128"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28"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28"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28"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28"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28"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28"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28"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28"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28"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28"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28"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28"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28"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28"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28"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32" t="s">
        <v>647</v>
      </c>
      <c r="D75" s="4">
        <f>IF(_xlfn.AGGREGATE(5,6,F70:W74)&lt;0, _xlfn.AGGREGATE(5,6,F70:W74), 0)</f>
        <v>-0.75051000000000001</v>
      </c>
      <c r="F75" s="83"/>
      <c r="G75" s="83"/>
      <c r="H75" s="83"/>
      <c r="I75" s="83"/>
      <c r="J75" s="83"/>
      <c r="K75" s="83"/>
      <c r="L75" s="83"/>
      <c r="M75" s="83"/>
      <c r="N75" s="83"/>
      <c r="O75" s="83"/>
      <c r="P75" s="83"/>
      <c r="Q75" s="83"/>
      <c r="R75" s="83"/>
      <c r="S75" s="83"/>
      <c r="T75" s="83"/>
      <c r="U75" s="83"/>
      <c r="V75" s="83"/>
      <c r="W75" s="83"/>
    </row>
    <row r="76" spans="2:23" x14ac:dyDescent="0.4">
      <c r="C76" s="132" t="s">
        <v>648</v>
      </c>
      <c r="D76" s="4">
        <f>_xlfn.AGGREGATE(4,6,F70:W74)</f>
        <v>0.93175000000000008</v>
      </c>
    </row>
    <row r="77" spans="2:23" ht="13.5" customHeight="1" x14ac:dyDescent="0.4">
      <c r="C77" s="2"/>
      <c r="F77" s="4"/>
      <c r="G77" s="4"/>
      <c r="H77" s="4"/>
      <c r="I77" s="4"/>
      <c r="J77" s="4"/>
      <c r="K77" s="4"/>
      <c r="L77" s="4"/>
      <c r="M77" s="4"/>
      <c r="N77" s="4"/>
      <c r="O77" s="4"/>
      <c r="P77" s="4"/>
      <c r="Q77" s="4"/>
      <c r="R77" s="4"/>
      <c r="S77" s="4"/>
      <c r="T77" s="4"/>
    </row>
    <row r="78" spans="2:23" ht="16.5" x14ac:dyDescent="0.6">
      <c r="B78" s="163" t="s">
        <v>656</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285</v>
      </c>
      <c r="F79" s="83">
        <f>Assessment!E50</f>
        <v>-2.6</v>
      </c>
      <c r="G79" s="83">
        <f>Assessment!F50</f>
        <v>-2.9</v>
      </c>
      <c r="H79" s="83">
        <f>Assessment!G50</f>
        <v>-2.9</v>
      </c>
      <c r="I79" s="83">
        <f>Assessment!H50</f>
        <v>-2.9</v>
      </c>
      <c r="J79" s="83">
        <f>Assessment!I50</f>
        <v>-2.9</v>
      </c>
      <c r="K79" s="83">
        <f>Assessment!J50</f>
        <v>-2.9</v>
      </c>
      <c r="L79" s="83">
        <f>Assessment!K50</f>
        <v>-2.9</v>
      </c>
      <c r="M79" s="83">
        <f>Assessment!L50</f>
        <v>-2.9</v>
      </c>
      <c r="N79" s="83">
        <f>Assessment!M50</f>
        <v>-3</v>
      </c>
      <c r="O79" s="83">
        <f>Assessment!N50</f>
        <v>-3</v>
      </c>
      <c r="P79" s="83">
        <f>Assessment!O50</f>
        <v>-3</v>
      </c>
      <c r="Q79" s="83">
        <f>Assessment!P50</f>
        <v>-3</v>
      </c>
      <c r="R79" s="83">
        <f>Assessment!Q50</f>
        <v>-3</v>
      </c>
      <c r="S79" s="83">
        <f>Assessment!R50</f>
        <v>-3</v>
      </c>
      <c r="T79" s="83">
        <f>Assessment!S50</f>
        <v>-2.9</v>
      </c>
      <c r="U79" s="83" t="str">
        <f>Assessment!T50</f>
        <v/>
      </c>
      <c r="V79" s="83" t="str">
        <f>Assessment!U50</f>
        <v/>
      </c>
      <c r="W79" s="83" t="str">
        <f>Assessment!V50</f>
        <v/>
      </c>
    </row>
    <row r="80" spans="2:23" x14ac:dyDescent="0.4">
      <c r="C80" s="2" t="s">
        <v>256</v>
      </c>
      <c r="F80" s="83" t="e">
        <f>IF(OR(ISNUMBER(F81),ISNUMBER(F82)),NA(),IF(ISNUMBER(Assessment!E17),Assessment!E17,NA()))</f>
        <v>#N/A</v>
      </c>
      <c r="G80" s="83">
        <f>IF(OR(ISNUMBER(G81),ISNUMBER(G82)),NA(),IF(ISNUMBER(Assessment!F17),Assessment!F17,NA()))</f>
        <v>-2.9</v>
      </c>
      <c r="H80" s="83">
        <f>IF(OR(ISNUMBER(H81),ISNUMBER(H82)),NA(),IF(ISNUMBER(Assessment!G17),Assessment!G17,NA()))</f>
        <v>-3.3</v>
      </c>
      <c r="I80" s="83" t="e">
        <f>IF(OR(ISNUMBER(I81),ISNUMBER(I82)),NA(),IF(ISNUMBER(Assessment!H17),Assessment!H17,NA()))</f>
        <v>#N/A</v>
      </c>
      <c r="J80" s="83" t="e">
        <f>IF(OR(ISNUMBER(J81),ISNUMBER(J82)),NA(),IF(ISNUMBER(Assessment!I17),Assessment!I17,NA()))</f>
        <v>#N/A</v>
      </c>
      <c r="K80" s="83" t="e">
        <f>IF(OR(ISNUMBER(K81),ISNUMBER(K82)),NA(),IF(ISNUMBER(Assessment!J17),Assessment!J17,NA()))</f>
        <v>#N/A</v>
      </c>
      <c r="L80" s="83" t="e">
        <f>IF(OR(ISNUMBER(L81),ISNUMBER(L82)),NA(),IF(ISNUMBER(Assessment!K17),Assessment!K17,NA()))</f>
        <v>#N/A</v>
      </c>
      <c r="M80" s="83" t="e">
        <f>IF(OR(ISNUMBER(M81),ISNUMBER(M82)),NA(),IF(ISNUMBER(Assessment!L17),Assessment!L17,NA()))</f>
        <v>#N/A</v>
      </c>
      <c r="N80" s="83" t="e">
        <f>IF(OR(ISNUMBER(N81),ISNUMBER(N82)),NA(),IF(ISNUMBER(Assessment!M17),Assessment!M17,NA()))</f>
        <v>#N/A</v>
      </c>
      <c r="O80" s="83" t="e">
        <f>IF(OR(ISNUMBER(O81),ISNUMBER(O82)),NA(),IF(ISNUMBER(Assessment!N17),Assessment!N17,NA()))</f>
        <v>#N/A</v>
      </c>
      <c r="P80" s="83" t="e">
        <f>IF(OR(ISNUMBER(P81),ISNUMBER(P82)),NA(),IF(ISNUMBER(Assessment!O17),Assessment!O17,NA()))</f>
        <v>#N/A</v>
      </c>
      <c r="Q80" s="83" t="e">
        <f>IF(OR(ISNUMBER(Q81),ISNUMBER(Q82)),NA(),IF(ISNUMBER(Assessment!P17),Assessment!P17,NA()))</f>
        <v>#N/A</v>
      </c>
      <c r="R80" s="83" t="e">
        <f>IF(OR(ISNUMBER(R81),ISNUMBER(R82)),NA(),IF(ISNUMBER(Assessment!Q17),Assessment!Q17,NA()))</f>
        <v>#N/A</v>
      </c>
      <c r="S80" s="83" t="e">
        <f>IF(OR(ISNUMBER(S81),ISNUMBER(S82)),NA(),IF(ISNUMBER(Assessment!R17),Assessment!R17,NA()))</f>
        <v>#N/A</v>
      </c>
      <c r="T80" s="83" t="e">
        <f>IF(OR(ISNUMBER(T81),ISNUMBER(T82)),NA(),IF(ISNUMBER(Assessment!S17),Assessment!S17,NA()))</f>
        <v>#N/A</v>
      </c>
      <c r="U80" s="83" t="e">
        <f>IF(OR(ISNUMBER(U81),ISNUMBER(U82)),NA(),IF(ISNUMBER(Assessment!T17),Assessment!T17,NA()))</f>
        <v>#N/A</v>
      </c>
      <c r="V80" s="83" t="e">
        <f>IF(OR(ISNUMBER(V81),ISNUMBER(V82)),NA(),IF(ISNUMBER(Assessment!U17),Assessment!U17,NA()))</f>
        <v>#N/A</v>
      </c>
      <c r="W80" s="83" t="e">
        <f>IF(OR(ISNUMBER(W81),ISNUMBER(W82)),NA(),IF(ISNUMBER(Assessment!V17),Assessment!V17,NA()))</f>
        <v>#N/A</v>
      </c>
    </row>
    <row r="81" spans="2:23" x14ac:dyDescent="0.4">
      <c r="C81" s="2" t="s">
        <v>348</v>
      </c>
      <c r="F81" s="128"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28"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28"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28"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28"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28"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28"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28"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28"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28"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28"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28"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28"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28"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28"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28"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28"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28"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349</v>
      </c>
      <c r="F82" s="128"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47"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47"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47"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47"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47"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47"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47"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47"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47"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47"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47"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47"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47"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47"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47"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47"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47"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287</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350</v>
      </c>
      <c r="F84" s="83">
        <f t="shared" ref="F84:T84" si="6">IF(F79&lt;&gt;"",-F79,NA())</f>
        <v>2.6</v>
      </c>
      <c r="G84" s="83">
        <f t="shared" si="6"/>
        <v>2.9</v>
      </c>
      <c r="H84" s="83">
        <f t="shared" si="6"/>
        <v>2.9</v>
      </c>
      <c r="I84" s="83">
        <f t="shared" si="6"/>
        <v>2.9</v>
      </c>
      <c r="J84" s="83">
        <f t="shared" si="6"/>
        <v>2.9</v>
      </c>
      <c r="K84" s="83">
        <f t="shared" si="6"/>
        <v>2.9</v>
      </c>
      <c r="L84" s="83">
        <f t="shared" si="6"/>
        <v>2.9</v>
      </c>
      <c r="M84" s="83">
        <f t="shared" si="6"/>
        <v>2.9</v>
      </c>
      <c r="N84" s="83">
        <f t="shared" si="6"/>
        <v>3</v>
      </c>
      <c r="O84" s="83">
        <f t="shared" si="6"/>
        <v>3</v>
      </c>
      <c r="P84" s="83">
        <f t="shared" si="6"/>
        <v>3</v>
      </c>
      <c r="Q84" s="83">
        <f t="shared" si="6"/>
        <v>3</v>
      </c>
      <c r="R84" s="83">
        <f t="shared" si="6"/>
        <v>3</v>
      </c>
      <c r="S84" s="83">
        <f t="shared" si="6"/>
        <v>3</v>
      </c>
      <c r="T84" s="83">
        <f t="shared" si="6"/>
        <v>2.9</v>
      </c>
      <c r="U84" s="83" t="e">
        <f t="shared" ref="U84:W84" si="7">IF(U79&lt;&gt;"",-U79,NA())</f>
        <v>#N/A</v>
      </c>
      <c r="V84" s="83" t="e">
        <f t="shared" si="7"/>
        <v>#N/A</v>
      </c>
      <c r="W84" s="83" t="e">
        <f t="shared" si="7"/>
        <v>#N/A</v>
      </c>
    </row>
    <row r="85" spans="2:23" x14ac:dyDescent="0.4">
      <c r="C85" s="2" t="s">
        <v>351</v>
      </c>
      <c r="F85" s="83">
        <f t="shared" ref="F85:T85" si="8">IF(F81&lt;&gt;"",-F81,NA())</f>
        <v>1.7868607680254289</v>
      </c>
      <c r="G85" s="83" t="e">
        <f t="shared" si="8"/>
        <v>#N/A</v>
      </c>
      <c r="H85" s="83" t="e">
        <f t="shared" si="8"/>
        <v>#N/A</v>
      </c>
      <c r="I85" s="83" t="e">
        <f t="shared" si="8"/>
        <v>#N/A</v>
      </c>
      <c r="J85" s="83" t="e">
        <f t="shared" si="8"/>
        <v>#N/A</v>
      </c>
      <c r="K85" s="83" t="e">
        <f t="shared" si="8"/>
        <v>#N/A</v>
      </c>
      <c r="L85" s="83" t="e">
        <f t="shared" si="8"/>
        <v>#N/A</v>
      </c>
      <c r="M85" s="83" t="e">
        <f t="shared" si="8"/>
        <v>#N/A</v>
      </c>
      <c r="N85" s="83" t="e">
        <f t="shared" si="8"/>
        <v>#N/A</v>
      </c>
      <c r="O85" s="83" t="e">
        <f t="shared" si="8"/>
        <v>#N/A</v>
      </c>
      <c r="P85" s="83" t="e">
        <f t="shared" si="8"/>
        <v>#N/A</v>
      </c>
      <c r="Q85" s="83" t="e">
        <f t="shared" si="8"/>
        <v>#N/A</v>
      </c>
      <c r="R85" s="83" t="e">
        <f t="shared" si="8"/>
        <v>#N/A</v>
      </c>
      <c r="S85" s="83" t="e">
        <f t="shared" si="8"/>
        <v>#N/A</v>
      </c>
      <c r="T85" s="83" t="e">
        <f t="shared" si="8"/>
        <v>#N/A</v>
      </c>
      <c r="U85" s="83" t="e">
        <f t="shared" ref="U85:W85" si="9">IF(U81&lt;&gt;"",-U81,NA())</f>
        <v>#N/A</v>
      </c>
      <c r="V85" s="83" t="e">
        <f t="shared" si="9"/>
        <v>#N/A</v>
      </c>
      <c r="W85" s="83" t="e">
        <f t="shared" si="9"/>
        <v>#N/A</v>
      </c>
    </row>
    <row r="86" spans="2:23" x14ac:dyDescent="0.4">
      <c r="C86" s="2" t="s">
        <v>352</v>
      </c>
      <c r="F86" s="83" t="e">
        <f t="shared" ref="F86:T86" si="10">IF(F82&lt;&gt;"",-F82,NA())</f>
        <v>#N/A</v>
      </c>
      <c r="G86" s="83" t="e">
        <f t="shared" si="10"/>
        <v>#N/A</v>
      </c>
      <c r="H86" s="83" t="e">
        <f t="shared" si="10"/>
        <v>#N/A</v>
      </c>
      <c r="I86" s="83" t="e">
        <f t="shared" si="10"/>
        <v>#N/A</v>
      </c>
      <c r="J86" s="83" t="e">
        <f t="shared" si="10"/>
        <v>#N/A</v>
      </c>
      <c r="K86" s="83" t="e">
        <f t="shared" si="10"/>
        <v>#N/A</v>
      </c>
      <c r="L86" s="83" t="e">
        <f t="shared" si="10"/>
        <v>#N/A</v>
      </c>
      <c r="M86" s="83" t="e">
        <f t="shared" si="10"/>
        <v>#N/A</v>
      </c>
      <c r="N86" s="83" t="e">
        <f t="shared" si="10"/>
        <v>#N/A</v>
      </c>
      <c r="O86" s="83" t="e">
        <f t="shared" si="10"/>
        <v>#N/A</v>
      </c>
      <c r="P86" s="83" t="e">
        <f t="shared" si="10"/>
        <v>#N/A</v>
      </c>
      <c r="Q86" s="83" t="e">
        <f t="shared" si="10"/>
        <v>#N/A</v>
      </c>
      <c r="R86" s="83" t="e">
        <f t="shared" si="10"/>
        <v>#N/A</v>
      </c>
      <c r="S86" s="83" t="e">
        <f t="shared" si="10"/>
        <v>#N/A</v>
      </c>
      <c r="T86" s="83" t="e">
        <f t="shared" si="10"/>
        <v>#N/A</v>
      </c>
      <c r="U86" s="83" t="e">
        <f t="shared" ref="U86:W86" si="11">IF(U82&lt;&gt;"",-U82,NA())</f>
        <v>#N/A</v>
      </c>
      <c r="V86" s="83" t="e">
        <f t="shared" si="11"/>
        <v>#N/A</v>
      </c>
      <c r="W86" s="83" t="e">
        <f t="shared" si="11"/>
        <v>#N/A</v>
      </c>
    </row>
    <row r="87" spans="2:23" x14ac:dyDescent="0.4">
      <c r="C87" s="2"/>
    </row>
    <row r="88" spans="2:23" ht="16.5" x14ac:dyDescent="0.6">
      <c r="B88" s="132" t="s">
        <v>657</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286</v>
      </c>
      <c r="E89" s="83">
        <f>Assessment!D74</f>
        <v>43.57443441662371</v>
      </c>
      <c r="F89" s="83">
        <f>Assessment!E74</f>
        <v>44.530802034460706</v>
      </c>
      <c r="G89" s="83">
        <f>Assessment!F74</f>
        <v>46.07468666579198</v>
      </c>
      <c r="H89" s="83">
        <f>Assessment!G74</f>
        <v>46.609273528729865</v>
      </c>
      <c r="I89" s="83">
        <f>Assessment!H74</f>
        <v>46.913196864360586</v>
      </c>
      <c r="J89" s="83">
        <f>Assessment!I74</f>
        <v>46.987538518920367</v>
      </c>
      <c r="K89" s="83">
        <f>Assessment!J74</f>
        <v>46.992494901737786</v>
      </c>
      <c r="L89" s="83">
        <f>Assessment!K74</f>
        <v>46.901039914718936</v>
      </c>
      <c r="M89" s="83">
        <f>Assessment!L74</f>
        <v>46.713659492186132</v>
      </c>
      <c r="N89" s="83">
        <f>Assessment!M74</f>
        <v>46.600070694684284</v>
      </c>
      <c r="O89" s="83">
        <f>Assessment!N74</f>
        <v>46.457173073428706</v>
      </c>
      <c r="P89" s="83">
        <f>Assessment!O74</f>
        <v>46.274673295393931</v>
      </c>
      <c r="Q89" s="83">
        <f>Assessment!P74</f>
        <v>46.040270608994206</v>
      </c>
      <c r="R89" s="83">
        <f>Assessment!Q74</f>
        <v>45.732378994117418</v>
      </c>
      <c r="S89" s="83">
        <f>Assessment!R74</f>
        <v>45.359965431679584</v>
      </c>
      <c r="T89" s="83">
        <f>Assessment!S74</f>
        <v>44.951568205826447</v>
      </c>
      <c r="U89" s="83" t="str">
        <f>Assessment!T74</f>
        <v/>
      </c>
      <c r="V89" s="83" t="str">
        <f>Assessment!U74</f>
        <v/>
      </c>
      <c r="W89" s="83" t="str">
        <f>Assessment!V74</f>
        <v/>
      </c>
    </row>
    <row r="90" spans="2:23" x14ac:dyDescent="0.4">
      <c r="C90" s="2" t="s">
        <v>256</v>
      </c>
      <c r="E90" s="83">
        <f>IF(OR(ISNUMBER(E91),ISNUMBER(E92)),NA(),IF(ISNUMBER(Assessment!D20),Assessment!D20,NA()))</f>
        <v>44.430318318075436</v>
      </c>
      <c r="F90" s="83" t="e">
        <f>IF(OR(ISNUMBER(F91),ISNUMBER(F92)),NA(),IF(ISNUMBER(Assessment!E20),Assessment!E20,NA()))</f>
        <v>#N/A</v>
      </c>
      <c r="G90" s="83">
        <f>IF(OR(ISNUMBER(G91),ISNUMBER(G92)),NA(),IF(ISNUMBER(Assessment!F20),Assessment!F20,NA()))</f>
        <v>48.9</v>
      </c>
      <c r="H90" s="83">
        <f>IF(OR(ISNUMBER(H91),ISNUMBER(H92)),NA(),IF(ISNUMBER(Assessment!G20),Assessment!G20,NA()))</f>
        <v>50.6</v>
      </c>
      <c r="I90" s="83" t="e">
        <f>IF(OR(ISNUMBER(I91),ISNUMBER(I92)),NA(),IF(ISNUMBER(Assessment!H20),Assessment!H20,NA()))</f>
        <v>#N/A</v>
      </c>
      <c r="J90" s="83" t="e">
        <f>IF(OR(ISNUMBER(J91),ISNUMBER(J92)),NA(),IF(ISNUMBER(Assessment!I20),Assessment!I20,NA()))</f>
        <v>#N/A</v>
      </c>
      <c r="K90" s="83" t="e">
        <f>IF(OR(ISNUMBER(K91),ISNUMBER(K92)),NA(),IF(ISNUMBER(Assessment!J20),Assessment!J20,NA()))</f>
        <v>#N/A</v>
      </c>
      <c r="L90" s="83" t="e">
        <f>IF(OR(ISNUMBER(L91),ISNUMBER(L92)),NA(),IF(ISNUMBER(Assessment!K20),Assessment!K20,NA()))</f>
        <v>#N/A</v>
      </c>
      <c r="M90" s="83" t="e">
        <f>IF(OR(ISNUMBER(M91),ISNUMBER(M92)),NA(),IF(ISNUMBER(Assessment!L20),Assessment!L20,NA()))</f>
        <v>#N/A</v>
      </c>
      <c r="N90" s="83" t="e">
        <f>IF(OR(ISNUMBER(N91),ISNUMBER(N92)),NA(),IF(ISNUMBER(Assessment!M20),Assessment!M20,NA()))</f>
        <v>#N/A</v>
      </c>
      <c r="O90" s="83" t="e">
        <f>IF(OR(ISNUMBER(O91),ISNUMBER(O92)),NA(),IF(ISNUMBER(Assessment!N20),Assessment!N20,NA()))</f>
        <v>#N/A</v>
      </c>
      <c r="P90" s="83" t="e">
        <f>IF(OR(ISNUMBER(P91),ISNUMBER(P92)),NA(),IF(ISNUMBER(Assessment!O20),Assessment!O20,NA()))</f>
        <v>#N/A</v>
      </c>
      <c r="Q90" s="83" t="e">
        <f>IF(OR(ISNUMBER(Q91),ISNUMBER(Q92)),NA(),IF(ISNUMBER(Assessment!P20),Assessment!P20,NA()))</f>
        <v>#N/A</v>
      </c>
      <c r="R90" s="83" t="e">
        <f>IF(OR(ISNUMBER(R91),ISNUMBER(R92)),NA(),IF(ISNUMBER(Assessment!Q20),Assessment!Q20,NA()))</f>
        <v>#N/A</v>
      </c>
      <c r="S90" s="83" t="e">
        <f>IF(OR(ISNUMBER(S91),ISNUMBER(S92)),NA(),IF(ISNUMBER(Assessment!R20),Assessment!R20,NA()))</f>
        <v>#N/A</v>
      </c>
      <c r="T90" s="83" t="e">
        <f>IF(OR(ISNUMBER(T91),ISNUMBER(T92)),NA(),IF(ISNUMBER(Assessment!S20),Assessment!S20,NA()))</f>
        <v>#N/A</v>
      </c>
      <c r="U90" s="83" t="e">
        <f>IF(OR(ISNUMBER(U91),ISNUMBER(U92)),NA(),IF(ISNUMBER(Assessment!T20),Assessment!T20,NA()))</f>
        <v>#N/A</v>
      </c>
      <c r="V90" s="83" t="e">
        <f>IF(OR(ISNUMBER(V91),ISNUMBER(V92)),NA(),IF(ISNUMBER(Assessment!U20),Assessment!U20,NA()))</f>
        <v>#N/A</v>
      </c>
      <c r="W90" s="83" t="e">
        <f>IF(OR(ISNUMBER(W91),ISNUMBER(W92)),NA(),IF(ISNUMBER(Assessment!V20),Assessment!V20,NA()))</f>
        <v>#N/A</v>
      </c>
    </row>
    <row r="91" spans="2:23" x14ac:dyDescent="0.4">
      <c r="C91" s="2" t="s">
        <v>348</v>
      </c>
      <c r="E91" s="3"/>
      <c r="F91" s="128"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28"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28"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28"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28"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28"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28"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28"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28"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28"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28"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28"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28"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28"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28"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28"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28"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28"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349</v>
      </c>
      <c r="E92" s="3"/>
      <c r="F92" s="128"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28"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28"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28"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28"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28"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28"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28"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28"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28"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28"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28"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28"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28"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28"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28"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28"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28"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288</v>
      </c>
      <c r="E93" s="3"/>
      <c r="F93" s="108">
        <f>Validation!$T$3</f>
        <v>60.05</v>
      </c>
      <c r="G93" s="108">
        <f>Validation!$T$3</f>
        <v>60.05</v>
      </c>
      <c r="H93" s="108">
        <f>Validation!$T$3</f>
        <v>60.05</v>
      </c>
      <c r="I93" s="108">
        <f>Validation!$T$3</f>
        <v>60.05</v>
      </c>
      <c r="J93" s="108">
        <f>Validation!$T$3</f>
        <v>60.05</v>
      </c>
      <c r="K93" s="108">
        <f>Validation!$T$3</f>
        <v>60.05</v>
      </c>
      <c r="L93" s="108">
        <f>Validation!$T$3</f>
        <v>60.05</v>
      </c>
      <c r="M93" s="108">
        <f>Validation!$T$3</f>
        <v>60.05</v>
      </c>
      <c r="N93" s="108">
        <f>Validation!$T$3</f>
        <v>60.05</v>
      </c>
      <c r="O93" s="108">
        <f>Validation!$T$3</f>
        <v>60.05</v>
      </c>
      <c r="P93" s="108">
        <f>Validation!$T$3</f>
        <v>60.05</v>
      </c>
      <c r="Q93" s="108">
        <f>Validation!$T$3</f>
        <v>60.05</v>
      </c>
      <c r="R93" s="108">
        <f>Validation!$T$3</f>
        <v>60.05</v>
      </c>
      <c r="S93" s="108">
        <f>Validation!$T$3</f>
        <v>60.05</v>
      </c>
      <c r="T93" s="108">
        <f>Validation!$T$3</f>
        <v>60.05</v>
      </c>
      <c r="U93" s="108">
        <f>Validation!$T$3</f>
        <v>60.05</v>
      </c>
      <c r="V93" s="108">
        <f>Validation!$T$3</f>
        <v>60.05</v>
      </c>
      <c r="W93" s="108">
        <f>Validation!$T$3</f>
        <v>60.05</v>
      </c>
    </row>
    <row r="94" spans="2:23" x14ac:dyDescent="0.4">
      <c r="C94" s="2"/>
    </row>
    <row r="95" spans="2:23" ht="16.5" x14ac:dyDescent="0.6">
      <c r="B95" s="132" t="s">
        <v>658</v>
      </c>
      <c r="C95" s="12" t="s">
        <v>342</v>
      </c>
    </row>
    <row r="96" spans="2:23" x14ac:dyDescent="0.4">
      <c r="C96" s="2" t="s">
        <v>437</v>
      </c>
      <c r="E96" s="6">
        <f>IF(ISNUMBER(Assessment!D53),Assessment!D53,NA())</f>
        <v>43.6</v>
      </c>
      <c r="F96" s="6">
        <f>IF(ISNUMBER(Assessment!E53),Assessment!E53,NA())</f>
        <v>45.8</v>
      </c>
      <c r="G96" s="6">
        <f>IF(ISNUMBER(Assessment!F53),Assessment!F53,NA())</f>
        <v>47.5</v>
      </c>
      <c r="H96" s="6">
        <f>IF(ISNUMBER(Assessment!G53),Assessment!G53,NA())</f>
        <v>48.5</v>
      </c>
      <c r="I96" s="6">
        <f>IF(ISNUMBER(Assessment!H53),Assessment!H53,NA())</f>
        <v>49.7</v>
      </c>
      <c r="J96" s="6">
        <f>IF(ISNUMBER(Assessment!I53),Assessment!I53,NA())</f>
        <v>50.8</v>
      </c>
      <c r="K96" s="6">
        <f>IF(ISNUMBER(Assessment!J53),Assessment!J53,NA())</f>
        <v>51.9</v>
      </c>
      <c r="L96" s="6">
        <f>IF(ISNUMBER(Assessment!K53),Assessment!K53,NA())</f>
        <v>53</v>
      </c>
      <c r="M96" s="6">
        <f>IF(ISNUMBER(Assessment!L53),Assessment!L53,NA())</f>
        <v>53.9</v>
      </c>
      <c r="N96" s="6">
        <f>IF(ISNUMBER(Assessment!M53),Assessment!M53,NA())</f>
        <v>54.9</v>
      </c>
      <c r="O96" s="6">
        <f>IF(ISNUMBER(Assessment!N53),Assessment!N53,NA())</f>
        <v>55.9</v>
      </c>
      <c r="P96" s="6">
        <f>IF(ISNUMBER(Assessment!O53),Assessment!O53,NA())</f>
        <v>56.8</v>
      </c>
      <c r="Q96" s="6">
        <f>IF(ISNUMBER(Assessment!P53),Assessment!P53,NA())</f>
        <v>57.7</v>
      </c>
      <c r="R96" s="6">
        <f>IF(ISNUMBER(Assessment!Q53),Assessment!Q53,NA())</f>
        <v>58.5</v>
      </c>
      <c r="S96" s="6">
        <f>IF(ISNUMBER(Assessment!R53),Assessment!R53,NA())</f>
        <v>59.2</v>
      </c>
      <c r="T96" s="6">
        <f>IF(ISNUMBER(Assessment!S53),Assessment!S53,NA())</f>
        <v>59.9</v>
      </c>
      <c r="U96" s="108" t="e">
        <f>IF(ISNUMBER(Assessment!T53),Assessment!T53,NA())</f>
        <v>#N/A</v>
      </c>
      <c r="V96" s="108" t="e">
        <f>IF(ISNUMBER(Assessment!U53),Assessment!U53,NA())</f>
        <v>#N/A</v>
      </c>
      <c r="W96" s="108" t="e">
        <f>IF(ISNUMBER(Assessment!V53),Assessment!V53,NA())</f>
        <v>#N/A</v>
      </c>
    </row>
    <row r="97" spans="3:23" x14ac:dyDescent="0.4">
      <c r="C97" s="2" t="s">
        <v>216</v>
      </c>
      <c r="E97" s="108" t="e">
        <f>IF(ISNUMBER(Assessment!D56),Assessment!D56,NA())</f>
        <v>#N/A</v>
      </c>
      <c r="F97" s="108" t="e">
        <f>IF(ISNUMBER(Assessment!E56),Assessment!E56,NA())</f>
        <v>#N/A</v>
      </c>
      <c r="G97" s="108" t="e">
        <f>IF(ISNUMBER(Assessment!F56),Assessment!F56,NA())</f>
        <v>#N/A</v>
      </c>
      <c r="H97" s="108" t="e">
        <f>IF(ISNUMBER(Assessment!G56),Assessment!G56,NA())</f>
        <v>#N/A</v>
      </c>
      <c r="I97" s="108" t="e">
        <f>IF(ISNUMBER(Assessment!H56),Assessment!H56,NA())</f>
        <v>#N/A</v>
      </c>
      <c r="J97" s="108" t="e">
        <f>IF(ISNUMBER(Assessment!I56),Assessment!I56,NA())</f>
        <v>#N/A</v>
      </c>
      <c r="K97" s="108" t="e">
        <f>IF(ISNUMBER(Assessment!J56),Assessment!J56,NA())</f>
        <v>#N/A</v>
      </c>
      <c r="L97" s="108" t="e">
        <f>IF(ISNUMBER(Assessment!K56),Assessment!K56,NA())</f>
        <v>#N/A</v>
      </c>
      <c r="M97" s="108" t="e">
        <f>IF(ISNUMBER(Assessment!L56),Assessment!L56,NA())</f>
        <v>#N/A</v>
      </c>
      <c r="N97" s="108" t="e">
        <f>IF(ISNUMBER(Assessment!M56),Assessment!M56,NA())</f>
        <v>#N/A</v>
      </c>
      <c r="O97" s="108" t="e">
        <f>IF(ISNUMBER(Assessment!N56),Assessment!N56,NA())</f>
        <v>#N/A</v>
      </c>
      <c r="P97" s="108" t="e">
        <f>IF(ISNUMBER(Assessment!O56),Assessment!O56,NA())</f>
        <v>#N/A</v>
      </c>
      <c r="Q97" s="108" t="e">
        <f>IF(ISNUMBER(Assessment!P56),Assessment!P56,NA())</f>
        <v>#N/A</v>
      </c>
      <c r="R97" s="108" t="e">
        <f>IF(ISNUMBER(Assessment!Q56),Assessment!Q56,NA())</f>
        <v>#N/A</v>
      </c>
      <c r="S97" s="108" t="e">
        <f>IF(ISNUMBER(Assessment!R56),Assessment!R56,NA())</f>
        <v>#N/A</v>
      </c>
      <c r="T97" s="108" t="e">
        <f>IF(ISNUMBER(Assessment!S56),Assessment!S56,NA())</f>
        <v>#N/A</v>
      </c>
      <c r="U97" s="108" t="e">
        <f>IF(ISNUMBER(Assessment!T56),Assessment!T56,NA())</f>
        <v>#N/A</v>
      </c>
      <c r="V97" s="108" t="e">
        <f>IF(ISNUMBER(Assessment!U56),Assessment!U56,NA())</f>
        <v>#N/A</v>
      </c>
      <c r="W97" s="108" t="e">
        <f>IF(ISNUMBER(Assessment!V56),Assessment!V56,NA())</f>
        <v>#N/A</v>
      </c>
    </row>
    <row r="98" spans="3:23" x14ac:dyDescent="0.4">
      <c r="C98" s="2" t="s">
        <v>217</v>
      </c>
      <c r="E98" s="108" t="e">
        <f>IF(ISNUMBER(Assessment!D57),Assessment!D57,NA())</f>
        <v>#N/A</v>
      </c>
      <c r="F98" s="108" t="e">
        <f>IF(ISNUMBER(Assessment!E57),Assessment!E57,NA())</f>
        <v>#N/A</v>
      </c>
      <c r="G98" s="108" t="e">
        <f>IF(ISNUMBER(Assessment!F57),Assessment!F57,NA())</f>
        <v>#N/A</v>
      </c>
      <c r="H98" s="108" t="e">
        <f>IF(ISNUMBER(Assessment!G57),Assessment!G57,NA())</f>
        <v>#N/A</v>
      </c>
      <c r="I98" s="108" t="e">
        <f>IF(ISNUMBER(Assessment!H57),Assessment!H57,NA())</f>
        <v>#N/A</v>
      </c>
      <c r="J98" s="108" t="e">
        <f>IF(ISNUMBER(Assessment!I57),Assessment!I57,NA())</f>
        <v>#N/A</v>
      </c>
      <c r="K98" s="108" t="e">
        <f>IF(ISNUMBER(Assessment!J57),Assessment!J57,NA())</f>
        <v>#N/A</v>
      </c>
      <c r="L98" s="108" t="e">
        <f>IF(ISNUMBER(Assessment!K57),Assessment!K57,NA())</f>
        <v>#N/A</v>
      </c>
      <c r="M98" s="108" t="e">
        <f>IF(ISNUMBER(Assessment!L57),Assessment!L57,NA())</f>
        <v>#N/A</v>
      </c>
      <c r="N98" s="108" t="e">
        <f>IF(ISNUMBER(Assessment!M57),Assessment!M57,NA())</f>
        <v>#N/A</v>
      </c>
      <c r="O98" s="108" t="e">
        <f>IF(ISNUMBER(Assessment!N57),Assessment!N57,NA())</f>
        <v>#N/A</v>
      </c>
      <c r="P98" s="108" t="e">
        <f>IF(ISNUMBER(Assessment!O57),Assessment!O57,NA())</f>
        <v>#N/A</v>
      </c>
      <c r="Q98" s="108" t="e">
        <f>IF(ISNUMBER(Assessment!P57),Assessment!P57,NA())</f>
        <v>#N/A</v>
      </c>
      <c r="R98" s="108" t="e">
        <f>IF(ISNUMBER(Assessment!Q57),Assessment!Q57,NA())</f>
        <v>#N/A</v>
      </c>
      <c r="S98" s="108" t="e">
        <f>IF(ISNUMBER(Assessment!R57),Assessment!R57,NA())</f>
        <v>#N/A</v>
      </c>
      <c r="T98" s="108" t="e">
        <f>IF(ISNUMBER(Assessment!S57),Assessment!S57,NA())</f>
        <v>#N/A</v>
      </c>
      <c r="U98" s="108" t="e">
        <f>IF(ISNUMBER(Assessment!T57),Assessment!T57,NA())</f>
        <v>#N/A</v>
      </c>
      <c r="V98" s="108" t="e">
        <f>IF(ISNUMBER(Assessment!U57),Assessment!U57,NA())</f>
        <v>#N/A</v>
      </c>
      <c r="W98" s="108" t="e">
        <f>IF(ISNUMBER(Assessment!V57),Assessment!V57,NA())</f>
        <v>#N/A</v>
      </c>
    </row>
    <row r="99" spans="3:23" x14ac:dyDescent="0.4">
      <c r="C99" s="2" t="s">
        <v>218</v>
      </c>
      <c r="E99" s="108" t="e">
        <f>IF(ISNUMBER(Assessment!D58),Assessment!D58,NA())</f>
        <v>#N/A</v>
      </c>
      <c r="F99" s="108" t="e">
        <f>IF(ISNUMBER(Assessment!E58),Assessment!E58,NA())</f>
        <v>#N/A</v>
      </c>
      <c r="G99" s="108" t="e">
        <f>IF(ISNUMBER(Assessment!F58),Assessment!F58,NA())</f>
        <v>#N/A</v>
      </c>
      <c r="H99" s="108" t="e">
        <f>IF(ISNUMBER(Assessment!G58),Assessment!G58,NA())</f>
        <v>#N/A</v>
      </c>
      <c r="I99" s="108" t="e">
        <f>IF(ISNUMBER(Assessment!H58),Assessment!H58,NA())</f>
        <v>#N/A</v>
      </c>
      <c r="J99" s="108" t="e">
        <f>IF(ISNUMBER(Assessment!I58),Assessment!I58,NA())</f>
        <v>#N/A</v>
      </c>
      <c r="K99" s="108" t="e">
        <f>IF(ISNUMBER(Assessment!J58),Assessment!J58,NA())</f>
        <v>#N/A</v>
      </c>
      <c r="L99" s="108" t="e">
        <f>IF(ISNUMBER(Assessment!K58),Assessment!K58,NA())</f>
        <v>#N/A</v>
      </c>
      <c r="M99" s="108" t="e">
        <f>IF(ISNUMBER(Assessment!L58),Assessment!L58,NA())</f>
        <v>#N/A</v>
      </c>
      <c r="N99" s="108" t="e">
        <f>IF(ISNUMBER(Assessment!M58),Assessment!M58,NA())</f>
        <v>#N/A</v>
      </c>
      <c r="O99" s="108" t="e">
        <f>IF(ISNUMBER(Assessment!N58),Assessment!N58,NA())</f>
        <v>#N/A</v>
      </c>
      <c r="P99" s="108" t="e">
        <f>IF(ISNUMBER(Assessment!O58),Assessment!O58,NA())</f>
        <v>#N/A</v>
      </c>
      <c r="Q99" s="108" t="e">
        <f>IF(ISNUMBER(Assessment!P58),Assessment!P58,NA())</f>
        <v>#N/A</v>
      </c>
      <c r="R99" s="108" t="e">
        <f>IF(ISNUMBER(Assessment!Q58),Assessment!Q58,NA())</f>
        <v>#N/A</v>
      </c>
      <c r="S99" s="108" t="e">
        <f>IF(ISNUMBER(Assessment!R58),Assessment!R58,NA())</f>
        <v>#N/A</v>
      </c>
      <c r="T99" s="108" t="e">
        <f>IF(ISNUMBER(Assessment!S58),Assessment!S58,NA())</f>
        <v>#N/A</v>
      </c>
      <c r="U99" s="108" t="e">
        <f>IF(ISNUMBER(Assessment!T58),Assessment!T58,NA())</f>
        <v>#N/A</v>
      </c>
      <c r="V99" s="108" t="e">
        <f>IF(ISNUMBER(Assessment!U58),Assessment!U58,NA())</f>
        <v>#N/A</v>
      </c>
      <c r="W99" s="108" t="e">
        <f>IF(ISNUMBER(Assessment!V58),Assessment!V58,NA())</f>
        <v>#N/A</v>
      </c>
    </row>
    <row r="100" spans="3:23" x14ac:dyDescent="0.4">
      <c r="C100" s="2" t="s">
        <v>219</v>
      </c>
      <c r="E100" s="6"/>
      <c r="F100" s="6"/>
      <c r="G100" s="6"/>
      <c r="H100" s="6"/>
      <c r="I100" s="6"/>
      <c r="J100" s="6"/>
      <c r="K100" s="6"/>
      <c r="L100" s="6"/>
      <c r="M100" s="6"/>
      <c r="N100" s="6"/>
      <c r="O100" s="6"/>
      <c r="P100" s="6"/>
      <c r="Q100" s="6"/>
      <c r="R100" s="6"/>
      <c r="S100" s="6"/>
      <c r="T100" s="6"/>
      <c r="U100" s="6"/>
      <c r="V100" s="6"/>
      <c r="W100" s="6"/>
    </row>
    <row r="101" spans="3:23" x14ac:dyDescent="0.4">
      <c r="C101" s="102" t="s">
        <v>367</v>
      </c>
      <c r="E101" s="108" t="e">
        <f>IF(ISNUMBER(Assessment!D82),Assessment!D82,NA())</f>
        <v>#N/A</v>
      </c>
      <c r="F101" s="108" t="e">
        <f>IF(ISNUMBER(Assessment!E82),Assessment!E82,NA())</f>
        <v>#N/A</v>
      </c>
      <c r="G101" s="108" t="e">
        <f>IF(ISNUMBER(Assessment!F82),Assessment!F82,NA())</f>
        <v>#N/A</v>
      </c>
      <c r="H101" s="108" t="e">
        <f>IF(ISNUMBER(Assessment!G82),Assessment!G82,NA())</f>
        <v>#N/A</v>
      </c>
      <c r="I101" s="108" t="e">
        <f>IF(ISNUMBER(Assessment!H82),Assessment!H82,NA())</f>
        <v>#N/A</v>
      </c>
      <c r="J101" s="108" t="e">
        <f>IF(ISNUMBER(Assessment!I82),Assessment!I82,NA())</f>
        <v>#N/A</v>
      </c>
      <c r="K101" s="108" t="e">
        <f>IF(ISNUMBER(Assessment!J82),Assessment!J82,NA())</f>
        <v>#N/A</v>
      </c>
      <c r="L101" s="108" t="e">
        <f>IF(ISNUMBER(Assessment!K82),Assessment!K82,NA())</f>
        <v>#N/A</v>
      </c>
      <c r="M101" s="108" t="e">
        <f>IF(ISNUMBER(Assessment!L82),Assessment!L82,NA())</f>
        <v>#N/A</v>
      </c>
      <c r="N101" s="108" t="e">
        <f>IF(ISNUMBER(Assessment!M82),Assessment!M82,NA())</f>
        <v>#N/A</v>
      </c>
      <c r="O101" s="108" t="e">
        <f>IF(ISNUMBER(Assessment!N82),Assessment!N82,NA())</f>
        <v>#N/A</v>
      </c>
      <c r="P101" s="108" t="e">
        <f>IF(ISNUMBER(Assessment!O82),Assessment!O82,NA())</f>
        <v>#N/A</v>
      </c>
      <c r="Q101" s="108" t="e">
        <f>IF(ISNUMBER(Assessment!P82),Assessment!P82,NA())</f>
        <v>#N/A</v>
      </c>
      <c r="R101" s="108" t="e">
        <f>IF(ISNUMBER(Assessment!Q82),Assessment!Q82,NA())</f>
        <v>#N/A</v>
      </c>
      <c r="S101" s="108" t="e">
        <f>IF(ISNUMBER(Assessment!R82),Assessment!R82,NA())</f>
        <v>#N/A</v>
      </c>
      <c r="T101" s="108" t="e">
        <f>IF(ISNUMBER(Assessment!S82),Assessment!S82,NA())</f>
        <v>#N/A</v>
      </c>
      <c r="U101" s="108" t="e">
        <f>IF(ISNUMBER(Assessment!T82),Assessment!T82,NA())</f>
        <v>#N/A</v>
      </c>
      <c r="V101" s="108" t="e">
        <f>IF(ISNUMBER(Assessment!U82),Assessment!U82,NA())</f>
        <v>#N/A</v>
      </c>
      <c r="W101" s="108" t="e">
        <f>IF(ISNUMBER(Assessment!V82),Assessment!V82,NA())</f>
        <v>#N/A</v>
      </c>
    </row>
    <row r="102" spans="3:23" x14ac:dyDescent="0.4">
      <c r="C102" s="102" t="s">
        <v>368</v>
      </c>
      <c r="E102" s="108" t="e">
        <f>IF(ISNUMBER(Assessment!D83),Assessment!D83,NA())</f>
        <v>#N/A</v>
      </c>
      <c r="F102" s="108" t="e">
        <f>IF(ISNUMBER(Assessment!E83),Assessment!E83,NA())</f>
        <v>#N/A</v>
      </c>
      <c r="G102" s="108" t="e">
        <f>IF(ISNUMBER(Assessment!F83),Assessment!F83,NA())</f>
        <v>#N/A</v>
      </c>
      <c r="H102" s="108" t="e">
        <f>IF(ISNUMBER(Assessment!G83),Assessment!G83,NA())</f>
        <v>#N/A</v>
      </c>
      <c r="I102" s="108" t="e">
        <f>IF(ISNUMBER(Assessment!H83),Assessment!H83,NA())</f>
        <v>#N/A</v>
      </c>
      <c r="J102" s="108" t="e">
        <f>IF(ISNUMBER(Assessment!I83),Assessment!I83,NA())</f>
        <v>#N/A</v>
      </c>
      <c r="K102" s="108" t="e">
        <f>IF(ISNUMBER(Assessment!J83),Assessment!J83,NA())</f>
        <v>#N/A</v>
      </c>
      <c r="L102" s="108" t="e">
        <f>IF(ISNUMBER(Assessment!K83),Assessment!K83,NA())</f>
        <v>#N/A</v>
      </c>
      <c r="M102" s="108" t="e">
        <f>IF(ISNUMBER(Assessment!L83),Assessment!L83,NA())</f>
        <v>#N/A</v>
      </c>
      <c r="N102" s="108" t="e">
        <f>IF(ISNUMBER(Assessment!M83),Assessment!M83,NA())</f>
        <v>#N/A</v>
      </c>
      <c r="O102" s="108" t="e">
        <f>IF(ISNUMBER(Assessment!N83),Assessment!N83,NA())</f>
        <v>#N/A</v>
      </c>
      <c r="P102" s="108" t="e">
        <f>IF(ISNUMBER(Assessment!O83),Assessment!O83,NA())</f>
        <v>#N/A</v>
      </c>
      <c r="Q102" s="108" t="e">
        <f>IF(ISNUMBER(Assessment!P83),Assessment!P83,NA())</f>
        <v>#N/A</v>
      </c>
      <c r="R102" s="108" t="e">
        <f>IF(ISNUMBER(Assessment!Q83),Assessment!Q83,NA())</f>
        <v>#N/A</v>
      </c>
      <c r="S102" s="108" t="e">
        <f>IF(ISNUMBER(Assessment!R83),Assessment!R83,NA())</f>
        <v>#N/A</v>
      </c>
      <c r="T102" s="108" t="e">
        <f>IF(ISNUMBER(Assessment!S83),Assessment!S83,NA())</f>
        <v>#N/A</v>
      </c>
      <c r="U102" s="108" t="e">
        <f>IF(ISNUMBER(Assessment!T83),Assessment!T83,NA())</f>
        <v>#N/A</v>
      </c>
      <c r="V102" s="108" t="e">
        <f>IF(ISNUMBER(Assessment!U83),Assessment!U83,NA())</f>
        <v>#N/A</v>
      </c>
      <c r="W102" s="108" t="e">
        <f>IF(ISNUMBER(Assessment!V83),Assessment!V83,NA())</f>
        <v>#N/A</v>
      </c>
    </row>
    <row r="103" spans="3:23" x14ac:dyDescent="0.4">
      <c r="C103" s="102" t="s">
        <v>369</v>
      </c>
      <c r="E103" s="108" t="e">
        <f>IF(ISNUMBER(Assessment!D84),Assessment!D84,NA())</f>
        <v>#N/A</v>
      </c>
      <c r="F103" s="108" t="e">
        <f>IF(ISNUMBER(Assessment!E84),Assessment!E84,NA())</f>
        <v>#N/A</v>
      </c>
      <c r="G103" s="108" t="e">
        <f>IF(ISNUMBER(Assessment!F84),Assessment!F84,NA())</f>
        <v>#N/A</v>
      </c>
      <c r="H103" s="108" t="e">
        <f>IF(ISNUMBER(Assessment!G84),Assessment!G84,NA())</f>
        <v>#N/A</v>
      </c>
      <c r="I103" s="108" t="e">
        <f>IF(ISNUMBER(Assessment!H84),Assessment!H84,NA())</f>
        <v>#N/A</v>
      </c>
      <c r="J103" s="108" t="e">
        <f>IF(ISNUMBER(Assessment!I84),Assessment!I84,NA())</f>
        <v>#N/A</v>
      </c>
      <c r="K103" s="108" t="e">
        <f>IF(ISNUMBER(Assessment!J84),Assessment!J84,NA())</f>
        <v>#N/A</v>
      </c>
      <c r="L103" s="108" t="e">
        <f>IF(ISNUMBER(Assessment!K84),Assessment!K84,NA())</f>
        <v>#N/A</v>
      </c>
      <c r="M103" s="108" t="e">
        <f>IF(ISNUMBER(Assessment!L84),Assessment!L84,NA())</f>
        <v>#N/A</v>
      </c>
      <c r="N103" s="108" t="e">
        <f>IF(ISNUMBER(Assessment!M84),Assessment!M84,NA())</f>
        <v>#N/A</v>
      </c>
      <c r="O103" s="108" t="e">
        <f>IF(ISNUMBER(Assessment!N84),Assessment!N84,NA())</f>
        <v>#N/A</v>
      </c>
      <c r="P103" s="108" t="e">
        <f>IF(ISNUMBER(Assessment!O84),Assessment!O84,NA())</f>
        <v>#N/A</v>
      </c>
      <c r="Q103" s="108" t="e">
        <f>IF(ISNUMBER(Assessment!P84),Assessment!P84,NA())</f>
        <v>#N/A</v>
      </c>
      <c r="R103" s="108" t="e">
        <f>IF(ISNUMBER(Assessment!Q84),Assessment!Q84,NA())</f>
        <v>#N/A</v>
      </c>
      <c r="S103" s="108" t="e">
        <f>IF(ISNUMBER(Assessment!R84),Assessment!R84,NA())</f>
        <v>#N/A</v>
      </c>
      <c r="T103" s="108" t="e">
        <f>IF(ISNUMBER(Assessment!S84),Assessment!S84,NA())</f>
        <v>#N/A</v>
      </c>
      <c r="U103" s="108" t="e">
        <f>IF(ISNUMBER(Assessment!T84),Assessment!T84,NA())</f>
        <v>#N/A</v>
      </c>
      <c r="V103" s="108" t="e">
        <f>IF(ISNUMBER(Assessment!U84),Assessment!U84,NA())</f>
        <v>#N/A</v>
      </c>
      <c r="W103" s="108" t="e">
        <f>IF(ISNUMBER(Assessment!V84),Assessment!V84,NA())</f>
        <v>#N/A</v>
      </c>
    </row>
    <row r="104" spans="3:23" x14ac:dyDescent="0.4">
      <c r="C104" s="102" t="s">
        <v>370</v>
      </c>
      <c r="E104" s="108" t="e">
        <f>IF(ISNUMBER(Assessment!D85),Assessment!D85,NA())</f>
        <v>#N/A</v>
      </c>
      <c r="F104" s="108" t="e">
        <f>IF(ISNUMBER(Assessment!E85),Assessment!E85,NA())</f>
        <v>#N/A</v>
      </c>
      <c r="G104" s="108" t="e">
        <f>IF(ISNUMBER(Assessment!F85),Assessment!F85,NA())</f>
        <v>#N/A</v>
      </c>
      <c r="H104" s="108" t="e">
        <f>IF(ISNUMBER(Assessment!G85),Assessment!G85,NA())</f>
        <v>#N/A</v>
      </c>
      <c r="I104" s="108" t="e">
        <f>IF(ISNUMBER(Assessment!H85),Assessment!H85,NA())</f>
        <v>#N/A</v>
      </c>
      <c r="J104" s="108" t="e">
        <f>IF(ISNUMBER(Assessment!I85),Assessment!I85,NA())</f>
        <v>#N/A</v>
      </c>
      <c r="K104" s="108" t="e">
        <f>IF(ISNUMBER(Assessment!J85),Assessment!J85,NA())</f>
        <v>#N/A</v>
      </c>
      <c r="L104" s="108" t="e">
        <f>IF(ISNUMBER(Assessment!K85),Assessment!K85,NA())</f>
        <v>#N/A</v>
      </c>
      <c r="M104" s="108" t="e">
        <f>IF(ISNUMBER(Assessment!L85),Assessment!L85,NA())</f>
        <v>#N/A</v>
      </c>
      <c r="N104" s="108" t="e">
        <f>IF(ISNUMBER(Assessment!M85),Assessment!M85,NA())</f>
        <v>#N/A</v>
      </c>
      <c r="O104" s="108" t="e">
        <f>IF(ISNUMBER(Assessment!N85),Assessment!N85,NA())</f>
        <v>#N/A</v>
      </c>
      <c r="P104" s="108" t="e">
        <f>IF(ISNUMBER(Assessment!O85),Assessment!O85,NA())</f>
        <v>#N/A</v>
      </c>
      <c r="Q104" s="108" t="e">
        <f>IF(ISNUMBER(Assessment!P85),Assessment!P85,NA())</f>
        <v>#N/A</v>
      </c>
      <c r="R104" s="108" t="e">
        <f>IF(ISNUMBER(Assessment!Q85),Assessment!Q85,NA())</f>
        <v>#N/A</v>
      </c>
      <c r="S104" s="108" t="e">
        <f>IF(ISNUMBER(Assessment!R85),Assessment!R85,NA())</f>
        <v>#N/A</v>
      </c>
      <c r="T104" s="108" t="e">
        <f>IF(ISNUMBER(Assessment!S85),Assessment!S85,NA())</f>
        <v>#N/A</v>
      </c>
      <c r="U104" s="108" t="e">
        <f>IF(ISNUMBER(Assessment!T85),Assessment!T85,NA())</f>
        <v>#N/A</v>
      </c>
      <c r="V104" s="108" t="e">
        <f>IF(ISNUMBER(Assessment!U85),Assessment!U85,NA())</f>
        <v>#N/A</v>
      </c>
      <c r="W104" s="108" t="e">
        <f>IF(ISNUMBER(Assessment!V85),Assessment!V85,NA())</f>
        <v>#N/A</v>
      </c>
    </row>
    <row r="105" spans="3:23" x14ac:dyDescent="0.4">
      <c r="C105" s="102" t="s">
        <v>371</v>
      </c>
      <c r="E105" s="108" t="e">
        <f>IF(ISNUMBER(Assessment!D86),Assessment!D86,NA())</f>
        <v>#N/A</v>
      </c>
      <c r="F105" s="108" t="e">
        <f>IF(ISNUMBER(Assessment!E86),Assessment!E86,NA())</f>
        <v>#N/A</v>
      </c>
      <c r="G105" s="108" t="e">
        <f>IF(ISNUMBER(Assessment!F86),Assessment!F86,NA())</f>
        <v>#N/A</v>
      </c>
      <c r="H105" s="108" t="e">
        <f>IF(ISNUMBER(Assessment!G86),Assessment!G86,NA())</f>
        <v>#N/A</v>
      </c>
      <c r="I105" s="108" t="e">
        <f>IF(ISNUMBER(Assessment!H86),Assessment!H86,NA())</f>
        <v>#N/A</v>
      </c>
      <c r="J105" s="108" t="e">
        <f>IF(ISNUMBER(Assessment!I86),Assessment!I86,NA())</f>
        <v>#N/A</v>
      </c>
      <c r="K105" s="108" t="e">
        <f>IF(ISNUMBER(Assessment!J86),Assessment!J86,NA())</f>
        <v>#N/A</v>
      </c>
      <c r="L105" s="108" t="e">
        <f>IF(ISNUMBER(Assessment!K86),Assessment!K86,NA())</f>
        <v>#N/A</v>
      </c>
      <c r="M105" s="108" t="e">
        <f>IF(ISNUMBER(Assessment!L86),Assessment!L86,NA())</f>
        <v>#N/A</v>
      </c>
      <c r="N105" s="108" t="e">
        <f>IF(ISNUMBER(Assessment!M86),Assessment!M86,NA())</f>
        <v>#N/A</v>
      </c>
      <c r="O105" s="108" t="e">
        <f>IF(ISNUMBER(Assessment!N86),Assessment!N86,NA())</f>
        <v>#N/A</v>
      </c>
      <c r="P105" s="108" t="e">
        <f>IF(ISNUMBER(Assessment!O86),Assessment!O86,NA())</f>
        <v>#N/A</v>
      </c>
      <c r="Q105" s="108" t="e">
        <f>IF(ISNUMBER(Assessment!P86),Assessment!P86,NA())</f>
        <v>#N/A</v>
      </c>
      <c r="R105" s="108" t="e">
        <f>IF(ISNUMBER(Assessment!Q86),Assessment!Q86,NA())</f>
        <v>#N/A</v>
      </c>
      <c r="S105" s="108" t="e">
        <f>IF(ISNUMBER(Assessment!R86),Assessment!R86,NA())</f>
        <v>#N/A</v>
      </c>
      <c r="T105" s="108" t="e">
        <f>IF(ISNUMBER(Assessment!S86),Assessment!S86,NA())</f>
        <v>#N/A</v>
      </c>
      <c r="U105" s="108" t="e">
        <f>IF(ISNUMBER(Assessment!T86),Assessment!T86,NA())</f>
        <v>#N/A</v>
      </c>
      <c r="V105" s="108" t="e">
        <f>IF(ISNUMBER(Assessment!U86),Assessment!U86,NA())</f>
        <v>#N/A</v>
      </c>
      <c r="W105" s="108" t="e">
        <f>IF(ISNUMBER(Assessment!V86),Assessment!V86,NA())</f>
        <v>#N/A</v>
      </c>
    </row>
    <row r="106" spans="3:23" x14ac:dyDescent="0.4">
      <c r="C106" s="102" t="s">
        <v>367</v>
      </c>
      <c r="E106" s="108" t="e">
        <f>IF(ISNUMBER(Assessment!D87),Assessment!D87,NA())</f>
        <v>#N/A</v>
      </c>
      <c r="F106" s="108" t="e">
        <f>IF(ISNUMBER(Assessment!E87),Assessment!E87,NA())</f>
        <v>#N/A</v>
      </c>
      <c r="G106" s="108" t="e">
        <f>IF(ISNUMBER(Assessment!F87),Assessment!F87,NA())</f>
        <v>#N/A</v>
      </c>
      <c r="H106" s="108" t="e">
        <f>IF(ISNUMBER(Assessment!G87),Assessment!G87,NA())</f>
        <v>#N/A</v>
      </c>
      <c r="I106" s="108" t="e">
        <f>IF(ISNUMBER(Assessment!H87),Assessment!H87,NA())</f>
        <v>#N/A</v>
      </c>
      <c r="J106" s="108" t="e">
        <f>IF(ISNUMBER(Assessment!I87),Assessment!I87,NA())</f>
        <v>#N/A</v>
      </c>
      <c r="K106" s="108" t="e">
        <f>IF(ISNUMBER(Assessment!J87),Assessment!J87,NA())</f>
        <v>#N/A</v>
      </c>
      <c r="L106" s="108" t="e">
        <f>IF(ISNUMBER(Assessment!K87),Assessment!K87,NA())</f>
        <v>#N/A</v>
      </c>
      <c r="M106" s="108" t="e">
        <f>IF(ISNUMBER(Assessment!L87),Assessment!L87,NA())</f>
        <v>#N/A</v>
      </c>
      <c r="N106" s="108" t="e">
        <f>IF(ISNUMBER(Assessment!M87),Assessment!M87,NA())</f>
        <v>#N/A</v>
      </c>
      <c r="O106" s="108" t="e">
        <f>IF(ISNUMBER(Assessment!N87),Assessment!N87,NA())</f>
        <v>#N/A</v>
      </c>
      <c r="P106" s="108" t="e">
        <f>IF(ISNUMBER(Assessment!O87),Assessment!O87,NA())</f>
        <v>#N/A</v>
      </c>
      <c r="Q106" s="108" t="e">
        <f>IF(ISNUMBER(Assessment!P87),Assessment!P87,NA())</f>
        <v>#N/A</v>
      </c>
      <c r="R106" s="108" t="e">
        <f>IF(ISNUMBER(Assessment!Q87),Assessment!Q87,NA())</f>
        <v>#N/A</v>
      </c>
      <c r="S106" s="108" t="e">
        <f>IF(ISNUMBER(Assessment!R87),Assessment!R87,NA())</f>
        <v>#N/A</v>
      </c>
      <c r="T106" s="108" t="e">
        <f>IF(ISNUMBER(Assessment!S87),Assessment!S87,NA())</f>
        <v>#N/A</v>
      </c>
      <c r="U106" s="108" t="e">
        <f>IF(ISNUMBER(Assessment!T87),Assessment!T87,NA())</f>
        <v>#N/A</v>
      </c>
      <c r="V106" s="108" t="e">
        <f>IF(ISNUMBER(Assessment!U87),Assessment!U87,NA())</f>
        <v>#N/A</v>
      </c>
      <c r="W106" s="108" t="e">
        <f>IF(ISNUMBER(Assessment!V87),Assessment!V87,NA())</f>
        <v>#N/A</v>
      </c>
    </row>
    <row r="107" spans="3:23" x14ac:dyDescent="0.4">
      <c r="C107" s="102" t="s">
        <v>372</v>
      </c>
      <c r="E107" s="108" t="e">
        <f>IF(ISNUMBER(Assessment!D88),Assessment!D88,NA())</f>
        <v>#N/A</v>
      </c>
      <c r="F107" s="108" t="e">
        <f>IF(ISNUMBER(Assessment!E88),Assessment!E88,NA())</f>
        <v>#N/A</v>
      </c>
      <c r="G107" s="108" t="e">
        <f>IF(ISNUMBER(Assessment!F88),Assessment!F88,NA())</f>
        <v>#N/A</v>
      </c>
      <c r="H107" s="108" t="e">
        <f>IF(ISNUMBER(Assessment!G88),Assessment!G88,NA())</f>
        <v>#N/A</v>
      </c>
      <c r="I107" s="108" t="e">
        <f>IF(ISNUMBER(Assessment!H88),Assessment!H88,NA())</f>
        <v>#N/A</v>
      </c>
      <c r="J107" s="108" t="e">
        <f>IF(ISNUMBER(Assessment!I88),Assessment!I88,NA())</f>
        <v>#N/A</v>
      </c>
      <c r="K107" s="108" t="e">
        <f>IF(ISNUMBER(Assessment!J88),Assessment!J88,NA())</f>
        <v>#N/A</v>
      </c>
      <c r="L107" s="108" t="e">
        <f>IF(ISNUMBER(Assessment!K88),Assessment!K88,NA())</f>
        <v>#N/A</v>
      </c>
      <c r="M107" s="108" t="e">
        <f>IF(ISNUMBER(Assessment!L88),Assessment!L88,NA())</f>
        <v>#N/A</v>
      </c>
      <c r="N107" s="108" t="e">
        <f>IF(ISNUMBER(Assessment!M88),Assessment!M88,NA())</f>
        <v>#N/A</v>
      </c>
      <c r="O107" s="108" t="e">
        <f>IF(ISNUMBER(Assessment!N88),Assessment!N88,NA())</f>
        <v>#N/A</v>
      </c>
      <c r="P107" s="108" t="e">
        <f>IF(ISNUMBER(Assessment!O88),Assessment!O88,NA())</f>
        <v>#N/A</v>
      </c>
      <c r="Q107" s="108" t="e">
        <f>IF(ISNUMBER(Assessment!P88),Assessment!P88,NA())</f>
        <v>#N/A</v>
      </c>
      <c r="R107" s="108" t="e">
        <f>IF(ISNUMBER(Assessment!Q88),Assessment!Q88,NA())</f>
        <v>#N/A</v>
      </c>
      <c r="S107" s="108" t="e">
        <f>IF(ISNUMBER(Assessment!R88),Assessment!R88,NA())</f>
        <v>#N/A</v>
      </c>
      <c r="T107" s="108" t="e">
        <f>IF(ISNUMBER(Assessment!S88),Assessment!S88,NA())</f>
        <v>#N/A</v>
      </c>
      <c r="U107" s="108" t="e">
        <f>IF(ISNUMBER(Assessment!T88),Assessment!T88,NA())</f>
        <v>#N/A</v>
      </c>
      <c r="V107" s="108" t="e">
        <f>IF(ISNUMBER(Assessment!U88),Assessment!U88,NA())</f>
        <v>#N/A</v>
      </c>
      <c r="W107" s="108" t="e">
        <f>IF(ISNUMBER(Assessment!V88),Assessment!V88,NA())</f>
        <v>#N/A</v>
      </c>
    </row>
    <row r="108" spans="3:23" x14ac:dyDescent="0.4">
      <c r="C108" s="102" t="s">
        <v>373</v>
      </c>
      <c r="E108" s="108" t="e">
        <f>IF(ISNUMBER(Assessment!D89),Assessment!D89,NA())</f>
        <v>#N/A</v>
      </c>
      <c r="F108" s="108" t="e">
        <f>IF(ISNUMBER(Assessment!E89),Assessment!E89,NA())</f>
        <v>#N/A</v>
      </c>
      <c r="G108" s="108" t="e">
        <f>IF(ISNUMBER(Assessment!F89),Assessment!F89,NA())</f>
        <v>#N/A</v>
      </c>
      <c r="H108" s="108" t="e">
        <f>IF(ISNUMBER(Assessment!G89),Assessment!G89,NA())</f>
        <v>#N/A</v>
      </c>
      <c r="I108" s="108" t="e">
        <f>IF(ISNUMBER(Assessment!H89),Assessment!H89,NA())</f>
        <v>#N/A</v>
      </c>
      <c r="J108" s="108" t="e">
        <f>IF(ISNUMBER(Assessment!I89),Assessment!I89,NA())</f>
        <v>#N/A</v>
      </c>
      <c r="K108" s="108" t="e">
        <f>IF(ISNUMBER(Assessment!J89),Assessment!J89,NA())</f>
        <v>#N/A</v>
      </c>
      <c r="L108" s="108" t="e">
        <f>IF(ISNUMBER(Assessment!K89),Assessment!K89,NA())</f>
        <v>#N/A</v>
      </c>
      <c r="M108" s="108" t="e">
        <f>IF(ISNUMBER(Assessment!L89),Assessment!L89,NA())</f>
        <v>#N/A</v>
      </c>
      <c r="N108" s="108" t="e">
        <f>IF(ISNUMBER(Assessment!M89),Assessment!M89,NA())</f>
        <v>#N/A</v>
      </c>
      <c r="O108" s="108" t="e">
        <f>IF(ISNUMBER(Assessment!N89),Assessment!N89,NA())</f>
        <v>#N/A</v>
      </c>
      <c r="P108" s="108" t="e">
        <f>IF(ISNUMBER(Assessment!O89),Assessment!O89,NA())</f>
        <v>#N/A</v>
      </c>
      <c r="Q108" s="108" t="e">
        <f>IF(ISNUMBER(Assessment!P89),Assessment!P89,NA())</f>
        <v>#N/A</v>
      </c>
      <c r="R108" s="108" t="e">
        <f>IF(ISNUMBER(Assessment!Q89),Assessment!Q89,NA())</f>
        <v>#N/A</v>
      </c>
      <c r="S108" s="108" t="e">
        <f>IF(ISNUMBER(Assessment!R89),Assessment!R89,NA())</f>
        <v>#N/A</v>
      </c>
      <c r="T108" s="108" t="e">
        <f>IF(ISNUMBER(Assessment!S89),Assessment!S89,NA())</f>
        <v>#N/A</v>
      </c>
      <c r="U108" s="108" t="e">
        <f>IF(ISNUMBER(Assessment!T89),Assessment!T89,NA())</f>
        <v>#N/A</v>
      </c>
      <c r="V108" s="108" t="e">
        <f>IF(ISNUMBER(Assessment!U89),Assessment!U89,NA())</f>
        <v>#N/A</v>
      </c>
      <c r="W108" s="108" t="e">
        <f>IF(ISNUMBER(Assessment!V89),Assessment!V89,NA())</f>
        <v>#N/A</v>
      </c>
    </row>
    <row r="109" spans="3:23" x14ac:dyDescent="0.4">
      <c r="C109" s="102" t="s">
        <v>374</v>
      </c>
      <c r="E109" s="108" t="e">
        <f>IF(ISNUMBER(Assessment!D90),Assessment!D90,NA())</f>
        <v>#N/A</v>
      </c>
      <c r="F109" s="108" t="e">
        <f>IF(ISNUMBER(Assessment!E90),Assessment!E90,NA())</f>
        <v>#N/A</v>
      </c>
      <c r="G109" s="108" t="e">
        <f>IF(ISNUMBER(Assessment!F90),Assessment!F90,NA())</f>
        <v>#N/A</v>
      </c>
      <c r="H109" s="108" t="str">
        <f>Assessment!G77</f>
        <v/>
      </c>
      <c r="I109" s="108" t="e">
        <f>IF(ISNUMBER(Assessment!H90),Assessment!H90,NA())</f>
        <v>#N/A</v>
      </c>
      <c r="J109" s="108" t="e">
        <f>IF(ISNUMBER(Assessment!I90),Assessment!I90,NA())</f>
        <v>#N/A</v>
      </c>
      <c r="K109" s="108" t="e">
        <f>IF(ISNUMBER(Assessment!J90),Assessment!J90,NA())</f>
        <v>#N/A</v>
      </c>
      <c r="L109" s="108" t="e">
        <f>IF(ISNUMBER(Assessment!K90),Assessment!K90,NA())</f>
        <v>#N/A</v>
      </c>
      <c r="M109" s="108" t="e">
        <f>IF(ISNUMBER(Assessment!L90),Assessment!L90,NA())</f>
        <v>#N/A</v>
      </c>
      <c r="N109" s="108" t="e">
        <f>IF(ISNUMBER(Assessment!M90),Assessment!M90,NA())</f>
        <v>#N/A</v>
      </c>
      <c r="O109" s="108" t="e">
        <f>IF(ISNUMBER(Assessment!N90),Assessment!N90,NA())</f>
        <v>#N/A</v>
      </c>
      <c r="P109" s="108" t="e">
        <f>IF(ISNUMBER(Assessment!O90),Assessment!O90,NA())</f>
        <v>#N/A</v>
      </c>
      <c r="Q109" s="108" t="e">
        <f>IF(ISNUMBER(Assessment!P90),Assessment!P90,NA())</f>
        <v>#N/A</v>
      </c>
      <c r="R109" s="108" t="e">
        <f>IF(ISNUMBER(Assessment!Q90),Assessment!Q90,NA())</f>
        <v>#N/A</v>
      </c>
      <c r="S109" s="108" t="e">
        <f>IF(ISNUMBER(Assessment!R90),Assessment!R90,NA())</f>
        <v>#N/A</v>
      </c>
      <c r="T109" s="108" t="e">
        <f>IF(ISNUMBER(Assessment!S90),Assessment!S90,NA())</f>
        <v>#N/A</v>
      </c>
      <c r="U109" s="108" t="e">
        <f>IF(ISNUMBER(Assessment!T90),Assessment!T90,NA())</f>
        <v>#N/A</v>
      </c>
      <c r="V109" s="108" t="e">
        <f>IF(ISNUMBER(Assessment!U90),Assessment!U90,NA())</f>
        <v>#N/A</v>
      </c>
      <c r="W109" s="108" t="e">
        <f>IF(ISNUMBER(Assessment!V90),Assessment!V90,NA())</f>
        <v>#N/A</v>
      </c>
    </row>
    <row r="110" spans="3:23" x14ac:dyDescent="0.4">
      <c r="C110" s="102" t="s">
        <v>375</v>
      </c>
      <c r="E110" s="108" t="e">
        <f>IF(ISNUMBER(Assessment!D91),Assessment!D91,NA())</f>
        <v>#N/A</v>
      </c>
      <c r="F110" s="108" t="e">
        <f>IF(ISNUMBER(Assessment!E91),Assessment!E91,NA())</f>
        <v>#N/A</v>
      </c>
      <c r="G110" s="108" t="e">
        <f>IF(ISNUMBER(Assessment!F91),Assessment!F91,NA())</f>
        <v>#N/A</v>
      </c>
      <c r="H110" s="108" t="e">
        <f>IF(ISNUMBER(Assessment!G91),Assessment!G91,NA())</f>
        <v>#N/A</v>
      </c>
      <c r="I110" s="108" t="e">
        <f>IF(ISNUMBER(Assessment!H91),Assessment!H91,NA())</f>
        <v>#N/A</v>
      </c>
      <c r="J110" s="108" t="e">
        <f>IF(ISNUMBER(Assessment!I91),Assessment!I91,NA())</f>
        <v>#N/A</v>
      </c>
      <c r="K110" s="108" t="e">
        <f>IF(ISNUMBER(Assessment!J91),Assessment!J91,NA())</f>
        <v>#N/A</v>
      </c>
      <c r="L110" s="108" t="e">
        <f>IF(ISNUMBER(Assessment!K91),Assessment!K91,NA())</f>
        <v>#N/A</v>
      </c>
      <c r="M110" s="108" t="e">
        <f>IF(ISNUMBER(Assessment!L91),Assessment!L91,NA())</f>
        <v>#N/A</v>
      </c>
      <c r="N110" s="108" t="e">
        <f>IF(ISNUMBER(Assessment!M91),Assessment!M91,NA())</f>
        <v>#N/A</v>
      </c>
      <c r="O110" s="108" t="e">
        <f>IF(ISNUMBER(Assessment!N91),Assessment!N91,NA())</f>
        <v>#N/A</v>
      </c>
      <c r="P110" s="108" t="e">
        <f>IF(ISNUMBER(Assessment!O91),Assessment!O91,NA())</f>
        <v>#N/A</v>
      </c>
      <c r="Q110" s="108" t="e">
        <f>IF(ISNUMBER(Assessment!P91),Assessment!P91,NA())</f>
        <v>#N/A</v>
      </c>
      <c r="R110" s="108" t="e">
        <f>IF(ISNUMBER(Assessment!Q91),Assessment!Q91,NA())</f>
        <v>#N/A</v>
      </c>
      <c r="S110" s="108" t="e">
        <f>IF(ISNUMBER(Assessment!R91),Assessment!R91,NA())</f>
        <v>#N/A</v>
      </c>
      <c r="T110" s="108" t="e">
        <f>IF(ISNUMBER(Assessment!S91),Assessment!S91,NA())</f>
        <v>#N/A</v>
      </c>
      <c r="U110" s="108" t="e">
        <f>IF(ISNUMBER(Assessment!T91),Assessment!T91,NA())</f>
        <v>#N/A</v>
      </c>
      <c r="V110" s="108" t="e">
        <f>IF(ISNUMBER(Assessment!U91),Assessment!U91,NA())</f>
        <v>#N/A</v>
      </c>
      <c r="W110" s="108" t="e">
        <f>IF(ISNUMBER(Assessment!V91),Assessment!V91,NA())</f>
        <v>#N/A</v>
      </c>
    </row>
    <row r="111" spans="3:23" x14ac:dyDescent="0.4">
      <c r="C111" s="2" t="s">
        <v>343</v>
      </c>
      <c r="E111" s="108">
        <f>IF(Assessment!D20="",NA(),Assessment!D20)</f>
        <v>44.430318318075436</v>
      </c>
      <c r="F111" s="108">
        <f>IF(Assessment!E20="",NA(),Assessment!E20)</f>
        <v>46.249535696627248</v>
      </c>
      <c r="G111" s="108">
        <f>IF(Assessment!F20="",NA(),Assessment!F20)</f>
        <v>48.9</v>
      </c>
      <c r="H111" s="108">
        <f>IF(Assessment!G20="",NA(),Assessment!G20)</f>
        <v>50.6</v>
      </c>
      <c r="I111" s="108" t="e">
        <f>IF(Assessment!H20="",NA(),Assessment!H20)</f>
        <v>#N/A</v>
      </c>
      <c r="J111" s="108" t="e">
        <f>IF(Assessment!I20="",NA(),Assessment!I20)</f>
        <v>#N/A</v>
      </c>
      <c r="K111" s="108" t="e">
        <f>IF(Assessment!J20="",NA(),Assessment!J20)</f>
        <v>#N/A</v>
      </c>
      <c r="L111" s="108" t="e">
        <f>IF(Assessment!K20="",NA(),Assessment!K20)</f>
        <v>#N/A</v>
      </c>
      <c r="M111" s="108" t="e">
        <f>IF(Assessment!L20="",NA(),Assessment!L20)</f>
        <v>#N/A</v>
      </c>
      <c r="N111" s="108" t="e">
        <f>IF(Assessment!M20="",NA(),Assessment!M20)</f>
        <v>#N/A</v>
      </c>
      <c r="O111" s="108" t="e">
        <f>IF(Assessment!N20="",NA(),Assessment!N20)</f>
        <v>#N/A</v>
      </c>
      <c r="P111" s="108" t="e">
        <f>IF(Assessment!O20="",NA(),Assessment!O20)</f>
        <v>#N/A</v>
      </c>
      <c r="Q111" s="108" t="e">
        <f>IF(Assessment!P20="",NA(),Assessment!P20)</f>
        <v>#N/A</v>
      </c>
      <c r="R111" s="108" t="e">
        <f>IF(Assessment!Q20="",NA(),Assessment!Q20)</f>
        <v>#N/A</v>
      </c>
      <c r="S111" s="108" t="e">
        <f>IF(Assessment!R20="",NA(),Assessment!R20)</f>
        <v>#N/A</v>
      </c>
      <c r="T111" s="108" t="e">
        <f>IF(Assessment!S20="",NA(),Assessment!S20)</f>
        <v>#N/A</v>
      </c>
      <c r="U111" s="108" t="e">
        <f>IF(ISNUMBER(Assessment!T20),Assessment!T20,NA())</f>
        <v>#N/A</v>
      </c>
      <c r="V111" s="108" t="e">
        <f>IF(ISNUMBER(Assessment!U20),Assessment!U20,NA())</f>
        <v>#N/A</v>
      </c>
      <c r="W111" s="108" t="e">
        <f>IF(ISNUMBER(Assessment!V20),Assessment!V20,NA())</f>
        <v>#N/A</v>
      </c>
    </row>
    <row r="113" spans="2:23" ht="13.5" customHeight="1" x14ac:dyDescent="0.6">
      <c r="B113" s="132" t="s">
        <v>678</v>
      </c>
      <c r="C113" s="12"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4">
      <c r="C114" s="2" t="s">
        <v>439</v>
      </c>
      <c r="F114" s="83">
        <f>Assessment!E70</f>
        <v>4.918973667178153</v>
      </c>
      <c r="G114" s="83">
        <f>Assessment!F70</f>
        <v>3.6413061968341944</v>
      </c>
      <c r="H114" s="83">
        <f>Assessment!G70</f>
        <v>2.7436451968341951</v>
      </c>
      <c r="I114" s="83">
        <f>Assessment!H70</f>
        <v>2.461675896834195</v>
      </c>
      <c r="J114" s="83">
        <f>Assessment!I70</f>
        <v>3.3855692598417098</v>
      </c>
      <c r="K114" s="83">
        <f>Assessment!J70</f>
        <v>3.5328969999999997</v>
      </c>
      <c r="L114" s="83">
        <f>Assessment!K70</f>
        <v>3.6117759999999999</v>
      </c>
      <c r="M114" s="83">
        <f>Assessment!L70</f>
        <v>3.6942360000000001</v>
      </c>
      <c r="N114" s="83">
        <f>Assessment!M70</f>
        <v>3.7719449999999997</v>
      </c>
      <c r="O114" s="83">
        <f>Assessment!N70</f>
        <v>3.828627</v>
      </c>
      <c r="P114" s="83">
        <f>Assessment!O70</f>
        <v>3.86795</v>
      </c>
      <c r="Q114" s="83">
        <f>Assessment!P70</f>
        <v>3.9072739999999997</v>
      </c>
      <c r="R114" s="83">
        <f>Assessment!Q70</f>
        <v>3.9465969999999997</v>
      </c>
      <c r="S114" s="83">
        <f>Assessment!R70</f>
        <v>3.9263029999999999</v>
      </c>
      <c r="T114" s="83">
        <f>Assessment!S70</f>
        <v>3.8353979999999996</v>
      </c>
      <c r="U114" s="83" t="str">
        <f>Assessment!T70</f>
        <v/>
      </c>
      <c r="V114" s="83" t="str">
        <f>Assessment!U70</f>
        <v/>
      </c>
      <c r="W114" s="83" t="str">
        <f>Assessment!V70</f>
        <v/>
      </c>
    </row>
    <row r="115" spans="2:23" ht="13.5" customHeight="1" x14ac:dyDescent="0.4">
      <c r="C115" s="2" t="s">
        <v>346</v>
      </c>
      <c r="F115" s="4"/>
      <c r="G115" s="4"/>
      <c r="H115" s="4"/>
      <c r="I115" s="4"/>
      <c r="J115" s="4"/>
      <c r="K115" s="4"/>
      <c r="L115" s="4"/>
      <c r="M115" s="4"/>
      <c r="N115" s="4"/>
      <c r="O115" s="4"/>
      <c r="P115" s="4"/>
      <c r="Q115" s="4"/>
      <c r="R115" s="4"/>
      <c r="S115" s="4"/>
      <c r="T115" s="4"/>
      <c r="U115" s="4"/>
      <c r="V115" s="4"/>
      <c r="W115" s="4"/>
    </row>
    <row r="116" spans="2:23" ht="13.5" customHeight="1" x14ac:dyDescent="0.4">
      <c r="C116" s="2" t="s">
        <v>256</v>
      </c>
      <c r="F116" s="83" t="e">
        <f>IF(OR(ISNUMBER(F128),ISNUMBER(F129)),NA(),IF(ISNUMBER(Assessment!E15),Assessment!E15,NA()))</f>
        <v>#N/A</v>
      </c>
      <c r="G116" s="83">
        <f>IF(OR(ISNUMBER(G128),ISNUMBER(G129)),NA(),IF(ISNUMBER(Assessment!F15),Assessment!F15,NA()))</f>
        <v>6.2</v>
      </c>
      <c r="H116" s="83">
        <f>IF(OR(ISNUMBER(H128),ISNUMBER(H129)),NA(),IF(ISNUMBER(Assessment!G15),Assessment!G15,NA()))</f>
        <v>5</v>
      </c>
      <c r="I116" s="83" t="e">
        <f>IF(OR(ISNUMBER(I128),ISNUMBER(I129)),NA(),IF(ISNUMBER(Assessment!H15),Assessment!H15,NA()))</f>
        <v>#N/A</v>
      </c>
      <c r="J116" s="83" t="e">
        <f>IF(OR(ISNUMBER(J128),ISNUMBER(J129)),NA(),IF(ISNUMBER(Assessment!I15),Assessment!I15,NA()))</f>
        <v>#N/A</v>
      </c>
      <c r="K116" s="83" t="e">
        <f>IF(OR(ISNUMBER(K128),ISNUMBER(K129)),NA(),IF(ISNUMBER(Assessment!J15),Assessment!J15,NA()))</f>
        <v>#N/A</v>
      </c>
      <c r="L116" s="83" t="e">
        <f>IF(OR(ISNUMBER(L128),ISNUMBER(L129)),NA(),IF(ISNUMBER(Assessment!K15),Assessment!K15,NA()))</f>
        <v>#N/A</v>
      </c>
      <c r="M116" s="83" t="e">
        <f>IF(OR(ISNUMBER(M128),ISNUMBER(M129)),NA(),IF(ISNUMBER(Assessment!L15),Assessment!L15,NA()))</f>
        <v>#N/A</v>
      </c>
      <c r="N116" s="83" t="e">
        <f>IF(OR(ISNUMBER(N128),ISNUMBER(N129)),NA(),IF(ISNUMBER(Assessment!M15),Assessment!M15,NA()))</f>
        <v>#N/A</v>
      </c>
      <c r="O116" s="83" t="e">
        <f>IF(OR(ISNUMBER(O128),ISNUMBER(O129)),NA(),IF(ISNUMBER(Assessment!N15),Assessment!N15,NA()))</f>
        <v>#N/A</v>
      </c>
      <c r="P116" s="83" t="e">
        <f>IF(OR(ISNUMBER(P128),ISNUMBER(P129)),NA(),IF(ISNUMBER(Assessment!O15),Assessment!O15,NA()))</f>
        <v>#N/A</v>
      </c>
      <c r="Q116" s="83" t="e">
        <f>IF(OR(ISNUMBER(Q128),ISNUMBER(Q129)),NA(),IF(ISNUMBER(Assessment!P15),Assessment!P15,NA()))</f>
        <v>#N/A</v>
      </c>
      <c r="R116" s="83" t="e">
        <f>IF(OR(ISNUMBER(R128),ISNUMBER(R129)),NA(),IF(ISNUMBER(Assessment!Q15),Assessment!Q15,NA()))</f>
        <v>#N/A</v>
      </c>
      <c r="S116" s="83" t="e">
        <f>IF(OR(ISNUMBER(S128),ISNUMBER(S129)),NA(),IF(ISNUMBER(Assessment!R15),Assessment!R15,NA()))</f>
        <v>#N/A</v>
      </c>
      <c r="T116" s="83" t="e">
        <f>IF(OR(ISNUMBER(T128),ISNUMBER(T129)),NA(),IF(ISNUMBER(Assessment!S15),Assessment!S15,NA()))</f>
        <v>#N/A</v>
      </c>
      <c r="U116" s="83" t="e">
        <f>IF(OR(ISNUMBER(U128),ISNUMBER(U129)),NA(),IF(ISNUMBER(Assessment!T15),Assessment!T15,NA()))</f>
        <v>#N/A</v>
      </c>
      <c r="V116" s="83" t="e">
        <f>IF(OR(ISNUMBER(V128),ISNUMBER(V129)),NA(),IF(ISNUMBER(Assessment!U15),Assessment!U15,NA()))</f>
        <v>#N/A</v>
      </c>
      <c r="W116" s="83" t="e">
        <f>IF(OR(ISNUMBER(W128),ISNUMBER(W129)),NA(),IF(ISNUMBER(Assessment!V15),Assessment!V15,NA()))</f>
        <v>#N/A</v>
      </c>
    </row>
    <row r="117" spans="2:23" ht="13.5" customHeight="1" x14ac:dyDescent="0.4">
      <c r="C117" s="2" t="s">
        <v>347</v>
      </c>
      <c r="F117" s="4"/>
      <c r="G117" s="4"/>
      <c r="H117" s="4"/>
      <c r="I117" s="4"/>
      <c r="J117" s="4"/>
      <c r="K117" s="4"/>
      <c r="L117" s="4"/>
      <c r="M117" s="4"/>
      <c r="N117" s="4"/>
      <c r="O117" s="4"/>
      <c r="P117" s="4"/>
      <c r="Q117" s="4"/>
      <c r="R117" s="4"/>
      <c r="S117" s="4"/>
      <c r="T117" s="4"/>
      <c r="U117" s="4"/>
      <c r="V117" s="4"/>
      <c r="W117" s="4"/>
    </row>
    <row r="118" spans="2:23" ht="13.5" customHeight="1" x14ac:dyDescent="0.4">
      <c r="C118" s="2" t="s">
        <v>348</v>
      </c>
      <c r="F118" s="128"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28"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28"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28"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28"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28"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28"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28"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28"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28"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28"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28"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28"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28"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28"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28"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28"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28"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349</v>
      </c>
      <c r="F119" s="128" cm="1">
        <f t="array" ref="F119">IF(
  AND(
    INDEX($2:$2, COLUMN()) &gt;= MTP_BaseYear,
    INDEX($2:$2, COLUMN()) &lt;= OutturnThrough
  ),
  IFERROR(
    IF(
      F114 - INDEX(Assessment!$15:$15,
                   _xlfn.XMATCH(INDEX($2:$2, COLUMN()),
                          Assessment!$4:$4, 0)
            ) &lt; 0,
      INDEX(Assessment!$15:$15,
            _xlfn.XMATCH(INDEX($2:$2, COLUMN()),
                   Assessment!$4:$4, 0)
      ),
      NA()
    ),
    NA()
  ),
  NA()
)</f>
        <v>4.9652620789816915</v>
      </c>
      <c r="G119" s="128" t="e" cm="1">
        <f t="array" ref="G119">IF(
  AND(
    INDEX($2:$2, COLUMN()) &gt;= MTP_BaseYear,
    INDEX($2:$2, COLUMN()) &lt;= OutturnThrough
  ),
  IFERROR(
    IF(
      G114 - INDEX(Assessment!$15:$15,
                   _xlfn.XMATCH(INDEX($2:$2, COLUMN()),
                          Assessment!$4:$4, 0)
            ) &lt; 0,
      INDEX(Assessment!$15:$15,
            _xlfn.XMATCH(INDEX($2:$2, COLUMN()),
                   Assessment!$4:$4, 0)
      ),
      NA()
    ),
    NA()
  ),
  NA()
)</f>
        <v>#N/A</v>
      </c>
      <c r="H119" s="128" t="e" cm="1">
        <f t="array" ref="H119">IF(
  AND(
    INDEX($2:$2, COLUMN()) &gt;= MTP_BaseYear,
    INDEX($2:$2, COLUMN()) &lt;= OutturnThrough
  ),
  IFERROR(
    IF(
      H114 - INDEX(Assessment!$15:$15,
                   _xlfn.XMATCH(INDEX($2:$2, COLUMN()),
                          Assessment!$4:$4, 0)
            ) &lt; 0,
      INDEX(Assessment!$15:$15,
            _xlfn.XMATCH(INDEX($2:$2, COLUMN()),
                   Assessment!$4:$4, 0)
      ),
      NA()
    ),
    NA()
  ),
  NA()
)</f>
        <v>#N/A</v>
      </c>
      <c r="I119" s="128" t="e" cm="1">
        <f t="array" ref="I119">IF(
  AND(
    INDEX($2:$2, COLUMN()) &gt;= MTP_BaseYear,
    INDEX($2:$2, COLUMN()) &lt;= OutturnThrough
  ),
  IFERROR(
    IF(
      I114 - INDEX(Assessment!$15:$15,
                   _xlfn.XMATCH(INDEX($2:$2, COLUMN()),
                          Assessment!$4:$4, 0)
            ) &lt; 0,
      INDEX(Assessment!$15:$15,
            _xlfn.XMATCH(INDEX($2:$2, COLUMN()),
                   Assessment!$4:$4, 0)
      ),
      NA()
    ),
    NA()
  ),
  NA()
)</f>
        <v>#N/A</v>
      </c>
      <c r="J119" s="128" t="e" cm="1">
        <f t="array" ref="J119">IF(
  AND(
    INDEX($2:$2, COLUMN()) &gt;= MTP_BaseYear,
    INDEX($2:$2, COLUMN()) &lt;= OutturnThrough
  ),
  IFERROR(
    IF(
      J114 - INDEX(Assessment!$15:$15,
                   _xlfn.XMATCH(INDEX($2:$2, COLUMN()),
                          Assessment!$4:$4, 0)
            ) &lt; 0,
      INDEX(Assessment!$15:$15,
            _xlfn.XMATCH(INDEX($2:$2, COLUMN()),
                   Assessment!$4:$4, 0)
      ),
      NA()
    ),
    NA()
  ),
  NA()
)</f>
        <v>#N/A</v>
      </c>
      <c r="K119" s="128" t="e" cm="1">
        <f t="array" ref="K119">IF(
  AND(
    INDEX($2:$2, COLUMN()) &gt;= MTP_BaseYear,
    INDEX($2:$2, COLUMN()) &lt;= OutturnThrough
  ),
  IFERROR(
    IF(
      K114 - INDEX(Assessment!$15:$15,
                   _xlfn.XMATCH(INDEX($2:$2, COLUMN()),
                          Assessment!$4:$4, 0)
            ) &lt; 0,
      INDEX(Assessment!$15:$15,
            _xlfn.XMATCH(INDEX($2:$2, COLUMN()),
                   Assessment!$4:$4, 0)
      ),
      NA()
    ),
    NA()
  ),
  NA()
)</f>
        <v>#N/A</v>
      </c>
      <c r="L119" s="128" t="e" cm="1">
        <f t="array" ref="L119">IF(
  AND(
    INDEX($2:$2, COLUMN()) &gt;= MTP_BaseYear,
    INDEX($2:$2, COLUMN()) &lt;= OutturnThrough
  ),
  IFERROR(
    IF(
      L114 - INDEX(Assessment!$15:$15,
                   _xlfn.XMATCH(INDEX($2:$2, COLUMN()),
                          Assessment!$4:$4, 0)
            ) &lt; 0,
      INDEX(Assessment!$15:$15,
            _xlfn.XMATCH(INDEX($2:$2, COLUMN()),
                   Assessment!$4:$4, 0)
      ),
      NA()
    ),
    NA()
  ),
  NA()
)</f>
        <v>#N/A</v>
      </c>
      <c r="M119" s="128" t="e" cm="1">
        <f t="array" ref="M119">IF(
  AND(
    INDEX($2:$2, COLUMN()) &gt;= MTP_BaseYear,
    INDEX($2:$2, COLUMN()) &lt;= OutturnThrough
  ),
  IFERROR(
    IF(
      M114 - INDEX(Assessment!$15:$15,
                   _xlfn.XMATCH(INDEX($2:$2, COLUMN()),
                          Assessment!$4:$4, 0)
            ) &lt; 0,
      INDEX(Assessment!$15:$15,
            _xlfn.XMATCH(INDEX($2:$2, COLUMN()),
                   Assessment!$4:$4, 0)
      ),
      NA()
    ),
    NA()
  ),
  NA()
)</f>
        <v>#N/A</v>
      </c>
      <c r="N119" s="128" t="e" cm="1">
        <f t="array" ref="N119">IF(
  AND(
    INDEX($2:$2, COLUMN()) &gt;= MTP_BaseYear,
    INDEX($2:$2, COLUMN()) &lt;= OutturnThrough
  ),
  IFERROR(
    IF(
      N114 - INDEX(Assessment!$15:$15,
                   _xlfn.XMATCH(INDEX($2:$2, COLUMN()),
                          Assessment!$4:$4, 0)
            ) &lt; 0,
      INDEX(Assessment!$15:$15,
            _xlfn.XMATCH(INDEX($2:$2, COLUMN()),
                   Assessment!$4:$4, 0)
      ),
      NA()
    ),
    NA()
  ),
  NA()
)</f>
        <v>#N/A</v>
      </c>
      <c r="O119" s="128" t="e" cm="1">
        <f t="array" ref="O119">IF(
  AND(
    INDEX($2:$2, COLUMN()) &gt;= MTP_BaseYear,
    INDEX($2:$2, COLUMN()) &lt;= OutturnThrough
  ),
  IFERROR(
    IF(
      O114 - INDEX(Assessment!$15:$15,
                   _xlfn.XMATCH(INDEX($2:$2, COLUMN()),
                          Assessment!$4:$4, 0)
            ) &lt; 0,
      INDEX(Assessment!$15:$15,
            _xlfn.XMATCH(INDEX($2:$2, COLUMN()),
                   Assessment!$4:$4, 0)
      ),
      NA()
    ),
    NA()
  ),
  NA()
)</f>
        <v>#N/A</v>
      </c>
      <c r="P119" s="128" t="e" cm="1">
        <f t="array" ref="P119">IF(
  AND(
    INDEX($2:$2, COLUMN()) &gt;= MTP_BaseYear,
    INDEX($2:$2, COLUMN()) &lt;= OutturnThrough
  ),
  IFERROR(
    IF(
      P114 - INDEX(Assessment!$15:$15,
                   _xlfn.XMATCH(INDEX($2:$2, COLUMN()),
                          Assessment!$4:$4, 0)
            ) &lt; 0,
      INDEX(Assessment!$15:$15,
            _xlfn.XMATCH(INDEX($2:$2, COLUMN()),
                   Assessment!$4:$4, 0)
      ),
      NA()
    ),
    NA()
  ),
  NA()
)</f>
        <v>#N/A</v>
      </c>
      <c r="Q119" s="128" t="e" cm="1">
        <f t="array" ref="Q119">IF(
  AND(
    INDEX($2:$2, COLUMN()) &gt;= MTP_BaseYear,
    INDEX($2:$2, COLUMN()) &lt;= OutturnThrough
  ),
  IFERROR(
    IF(
      Q114 - INDEX(Assessment!$15:$15,
                   _xlfn.XMATCH(INDEX($2:$2, COLUMN()),
                          Assessment!$4:$4, 0)
            ) &lt; 0,
      INDEX(Assessment!$15:$15,
            _xlfn.XMATCH(INDEX($2:$2, COLUMN()),
                   Assessment!$4:$4, 0)
      ),
      NA()
    ),
    NA()
  ),
  NA()
)</f>
        <v>#N/A</v>
      </c>
      <c r="R119" s="128" t="e" cm="1">
        <f t="array" ref="R119">IF(
  AND(
    INDEX($2:$2, COLUMN()) &gt;= MTP_BaseYear,
    INDEX($2:$2, COLUMN()) &lt;= OutturnThrough
  ),
  IFERROR(
    IF(
      R114 - INDEX(Assessment!$15:$15,
                   _xlfn.XMATCH(INDEX($2:$2, COLUMN()),
                          Assessment!$4:$4, 0)
            ) &lt; 0,
      INDEX(Assessment!$15:$15,
            _xlfn.XMATCH(INDEX($2:$2, COLUMN()),
                   Assessment!$4:$4, 0)
      ),
      NA()
    ),
    NA()
  ),
  NA()
)</f>
        <v>#N/A</v>
      </c>
      <c r="S119" s="128" t="e" cm="1">
        <f t="array" ref="S119">IF(
  AND(
    INDEX($2:$2, COLUMN()) &gt;= MTP_BaseYear,
    INDEX($2:$2, COLUMN()) &lt;= OutturnThrough
  ),
  IFERROR(
    IF(
      S114 - INDEX(Assessment!$15:$15,
                   _xlfn.XMATCH(INDEX($2:$2, COLUMN()),
                          Assessment!$4:$4, 0)
            ) &lt; 0,
      INDEX(Assessment!$15:$15,
            _xlfn.XMATCH(INDEX($2:$2, COLUMN()),
                   Assessment!$4:$4, 0)
      ),
      NA()
    ),
    NA()
  ),
  NA()
)</f>
        <v>#N/A</v>
      </c>
      <c r="T119" s="128" t="e" cm="1">
        <f t="array" ref="T119">IF(
  AND(
    INDEX($2:$2, COLUMN()) &gt;= MTP_BaseYear,
    INDEX($2:$2, COLUMN()) &lt;= OutturnThrough
  ),
  IFERROR(
    IF(
      T114 - INDEX(Assessment!$15:$15,
                   _xlfn.XMATCH(INDEX($2:$2, COLUMN()),
                          Assessment!$4:$4, 0)
            ) &lt; 0,
      INDEX(Assessment!$15:$15,
            _xlfn.XMATCH(INDEX($2:$2, COLUMN()),
                   Assessment!$4:$4, 0)
      ),
      NA()
    ),
    NA()
  ),
  NA()
)</f>
        <v>#N/A</v>
      </c>
      <c r="U119" s="128" t="e" cm="1">
        <f t="array" ref="U119">IF(
  AND(
    INDEX($2:$2, COLUMN()) &gt;= MTP_BaseYear,
    INDEX($2:$2, COLUMN()) &lt;= OutturnThrough
  ),
  IFERROR(
    IF(
      U114 - INDEX(Assessment!$15:$15,
                   _xlfn.XMATCH(INDEX($2:$2, COLUMN()),
                          Assessment!$4:$4, 0)
            ) &lt; 0,
      INDEX(Assessment!$15:$15,
            _xlfn.XMATCH(INDEX($2:$2, COLUMN()),
                   Assessment!$4:$4, 0)
      ),
      NA()
    ),
    NA()
  ),
  NA()
)</f>
        <v>#N/A</v>
      </c>
      <c r="V119" s="128" t="e" cm="1">
        <f t="array" ref="V119">IF(
  AND(
    INDEX($2:$2, COLUMN()) &gt;= MTP_BaseYear,
    INDEX($2:$2, COLUMN()) &lt;= OutturnThrough
  ),
  IFERROR(
    IF(
      V114 - INDEX(Assessment!$15:$15,
                   _xlfn.XMATCH(INDEX($2:$2, COLUMN()),
                          Assessment!$4:$4, 0)
            ) &lt; 0,
      INDEX(Assessment!$15:$15,
            _xlfn.XMATCH(INDEX($2:$2, COLUMN()),
                   Assessment!$4:$4, 0)
      ),
      NA()
    ),
    NA()
  ),
  NA()
)</f>
        <v>#N/A</v>
      </c>
      <c r="W119" s="128"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32" t="s">
        <v>647</v>
      </c>
      <c r="D120" s="4">
        <f>IF(_xlfn.AGGREGATE(5,6,F114:W119)&lt;0, _xlfn.AGGREGATE(5,6,F114:W119), 0)</f>
        <v>0</v>
      </c>
      <c r="F120" s="83"/>
      <c r="G120" s="83"/>
      <c r="H120" s="83"/>
      <c r="I120" s="83"/>
      <c r="J120" s="83"/>
      <c r="K120" s="83"/>
      <c r="L120" s="83"/>
      <c r="M120" s="83"/>
      <c r="N120" s="83"/>
      <c r="O120" s="83"/>
      <c r="P120" s="83"/>
      <c r="Q120" s="83"/>
      <c r="R120" s="83"/>
      <c r="S120" s="83"/>
      <c r="T120" s="83"/>
      <c r="U120" s="83"/>
      <c r="V120" s="83"/>
      <c r="W120" s="83"/>
    </row>
    <row r="121" spans="2:23" x14ac:dyDescent="0.4">
      <c r="C121" s="132" t="s">
        <v>648</v>
      </c>
      <c r="D121" s="4">
        <f>_xlfn.AGGREGATE(4,6,F114:W119)</f>
        <v>6.2</v>
      </c>
    </row>
    <row r="122" spans="2:23" ht="13.5" customHeight="1" x14ac:dyDescent="0.6">
      <c r="C122" s="12"/>
    </row>
    <row r="123" spans="2:23" ht="16.5" x14ac:dyDescent="0.6">
      <c r="B123" s="132" t="s">
        <v>679</v>
      </c>
      <c r="C123" s="12" t="s">
        <v>440</v>
      </c>
    </row>
    <row r="124" spans="2:23" x14ac:dyDescent="0.4">
      <c r="C124" s="2" t="s">
        <v>439</v>
      </c>
      <c r="F124" s="83">
        <f>Assessment!E73</f>
        <v>-1.362466</v>
      </c>
      <c r="G124" s="83">
        <f>Assessment!F73</f>
        <v>-0.96246599999999993</v>
      </c>
      <c r="H124" s="83">
        <f>Assessment!G73</f>
        <v>-0.56246599999999991</v>
      </c>
      <c r="I124" s="83">
        <f>Assessment!H73</f>
        <v>-0.16246599999999989</v>
      </c>
      <c r="J124" s="83">
        <f>Assessment!I73</f>
        <v>-0.1424659999999999</v>
      </c>
      <c r="K124" s="83">
        <f>Assessment!J73</f>
        <v>-0.1424659999999999</v>
      </c>
      <c r="L124" s="83">
        <f>Assessment!K73</f>
        <v>-0.1424659999999999</v>
      </c>
      <c r="M124" s="83">
        <f>Assessment!L73</f>
        <v>-0.1424659999999999</v>
      </c>
      <c r="N124" s="83">
        <f>Assessment!M73</f>
        <v>-0.1424659999999999</v>
      </c>
      <c r="O124" s="83">
        <f>Assessment!N73</f>
        <v>-0.1424659999999999</v>
      </c>
      <c r="P124" s="83">
        <f>Assessment!O73</f>
        <v>-0.1424659999999999</v>
      </c>
      <c r="Q124" s="83">
        <f>Assessment!P73</f>
        <v>-0.1424659999999999</v>
      </c>
      <c r="R124" s="83">
        <f>Assessment!Q73</f>
        <v>-0.1424659999999999</v>
      </c>
      <c r="S124" s="83">
        <f>Assessment!R73</f>
        <v>-0.1424659999999999</v>
      </c>
      <c r="T124" s="83">
        <f>Assessment!S73</f>
        <v>-0.1424659999999999</v>
      </c>
      <c r="U124" s="83" t="str">
        <f>Assessment!T73</f>
        <v/>
      </c>
      <c r="V124" s="83" t="str">
        <f>Assessment!U73</f>
        <v/>
      </c>
      <c r="W124" s="83" t="str">
        <f>Assessment!V73</f>
        <v/>
      </c>
    </row>
    <row r="125" spans="2:23" x14ac:dyDescent="0.4">
      <c r="C125" s="2" t="s">
        <v>346</v>
      </c>
      <c r="F125" s="4"/>
      <c r="G125" s="4"/>
      <c r="H125" s="4"/>
      <c r="I125" s="4"/>
      <c r="J125" s="4"/>
      <c r="K125" s="4"/>
      <c r="L125" s="4"/>
      <c r="M125" s="4"/>
      <c r="N125" s="4"/>
      <c r="O125" s="4"/>
      <c r="P125" s="4"/>
      <c r="Q125" s="4"/>
      <c r="R125" s="4"/>
      <c r="S125" s="4"/>
      <c r="T125" s="4"/>
      <c r="U125" s="4"/>
      <c r="V125" s="4"/>
      <c r="W125" s="4"/>
    </row>
    <row r="126" spans="2:23" x14ac:dyDescent="0.4">
      <c r="C126" s="2" t="s">
        <v>256</v>
      </c>
      <c r="F126" s="83" t="e">
        <f>IF(OR(ISNUMBER(F128),ISNUMBER(F129)),NA(),IF(ISNUMBER(Assessment!E19),Assessment!E19,NA()))</f>
        <v>#N/A</v>
      </c>
      <c r="G126" s="83">
        <f>IF(OR(ISNUMBER(G128),ISNUMBER(G129)),NA(),IF(ISNUMBER(Assessment!F19),Assessment!F19,NA()))</f>
        <v>-1.2</v>
      </c>
      <c r="H126" s="83">
        <f>IF(OR(ISNUMBER(H128),ISNUMBER(H129)),NA(),IF(ISNUMBER(Assessment!G19),Assessment!G19,NA()))</f>
        <v>-1.6</v>
      </c>
      <c r="I126" s="83" t="e">
        <f>IF(OR(ISNUMBER(I128),ISNUMBER(I129)),NA(),IF(ISNUMBER(Assessment!H19),Assessment!H19,NA()))</f>
        <v>#N/A</v>
      </c>
      <c r="J126" s="83" t="e">
        <f>IF(OR(ISNUMBER(J128),ISNUMBER(J129)),NA(),IF(ISNUMBER(Assessment!I19),Assessment!I19,NA()))</f>
        <v>#N/A</v>
      </c>
      <c r="K126" s="83" t="e">
        <f>IF(OR(ISNUMBER(K128),ISNUMBER(K129)),NA(),IF(ISNUMBER(Assessment!J19),Assessment!J19,NA()))</f>
        <v>#N/A</v>
      </c>
      <c r="L126" s="83" t="e">
        <f>IF(OR(ISNUMBER(L128),ISNUMBER(L129)),NA(),IF(ISNUMBER(Assessment!K19),Assessment!K19,NA()))</f>
        <v>#N/A</v>
      </c>
      <c r="M126" s="83" t="e">
        <f>IF(OR(ISNUMBER(M128),ISNUMBER(M129)),NA(),IF(ISNUMBER(Assessment!L19),Assessment!L19,NA()))</f>
        <v>#N/A</v>
      </c>
      <c r="N126" s="83" t="e">
        <f>IF(OR(ISNUMBER(N128),ISNUMBER(N129)),NA(),IF(ISNUMBER(Assessment!M19),Assessment!M19,NA()))</f>
        <v>#N/A</v>
      </c>
      <c r="O126" s="83" t="e">
        <f>IF(OR(ISNUMBER(O128),ISNUMBER(O129)),NA(),IF(ISNUMBER(Assessment!N19),Assessment!N19,NA()))</f>
        <v>#N/A</v>
      </c>
      <c r="P126" s="83" t="e">
        <f>IF(OR(ISNUMBER(P128),ISNUMBER(P129)),NA(),IF(ISNUMBER(Assessment!O19),Assessment!O19,NA()))</f>
        <v>#N/A</v>
      </c>
      <c r="Q126" s="83" t="e">
        <f>IF(OR(ISNUMBER(Q128),ISNUMBER(Q129)),NA(),IF(ISNUMBER(Assessment!P19),Assessment!P19,NA()))</f>
        <v>#N/A</v>
      </c>
      <c r="R126" s="83" t="e">
        <f>IF(OR(ISNUMBER(R128),ISNUMBER(R129)),NA(),IF(ISNUMBER(Assessment!Q19),Assessment!Q19,NA()))</f>
        <v>#N/A</v>
      </c>
      <c r="S126" s="83" t="e">
        <f>IF(OR(ISNUMBER(S128),ISNUMBER(S129)),NA(),IF(ISNUMBER(Assessment!R19),Assessment!R19,NA()))</f>
        <v>#N/A</v>
      </c>
      <c r="T126" s="83" t="e">
        <f>IF(OR(ISNUMBER(T128),ISNUMBER(T129)),NA(),IF(ISNUMBER(Assessment!S19),Assessment!S19,NA()))</f>
        <v>#N/A</v>
      </c>
      <c r="U126" s="83" t="e">
        <f>IF(OR(ISNUMBER(U128),ISNUMBER(U129)),NA(),IF(ISNUMBER(Assessment!T19),Assessment!T19,NA()))</f>
        <v>#N/A</v>
      </c>
      <c r="V126" s="83" t="e">
        <f>IF(OR(ISNUMBER(V128),ISNUMBER(V129)),NA(),IF(ISNUMBER(Assessment!U19),Assessment!U19,NA()))</f>
        <v>#N/A</v>
      </c>
      <c r="W126" s="83" t="e">
        <f>IF(OR(ISNUMBER(W128),ISNUMBER(W129)),NA(),IF(ISNUMBER(Assessment!V19),Assessment!V19,NA()))</f>
        <v>#N/A</v>
      </c>
    </row>
    <row r="127" spans="2:23" x14ac:dyDescent="0.4">
      <c r="C127" s="2" t="s">
        <v>347</v>
      </c>
      <c r="F127" s="4"/>
      <c r="G127" s="4"/>
      <c r="H127" s="4"/>
      <c r="I127" s="4"/>
      <c r="J127" s="4"/>
      <c r="K127" s="4"/>
      <c r="L127" s="4"/>
      <c r="M127" s="4"/>
      <c r="N127" s="4"/>
      <c r="O127" s="4"/>
      <c r="P127" s="4"/>
      <c r="Q127" s="4"/>
      <c r="R127" s="4"/>
      <c r="S127" s="4"/>
      <c r="T127" s="4"/>
      <c r="U127" s="4"/>
      <c r="V127" s="4"/>
      <c r="W127" s="4"/>
    </row>
    <row r="128" spans="2:23" ht="17.25" customHeight="1" x14ac:dyDescent="0.4">
      <c r="C128" s="2" t="s">
        <v>348</v>
      </c>
      <c r="F128" s="128" cm="1">
        <f t="array" ref="F128">IF(
  AND(
    INDEX($2:$2, COLUMN()) &gt;= MTP_BaseYear,
    INDEX($2:$2, COLUMN()) &lt;= OutturnThrough
  ),
  IFERROR(
    IF(
      F124 - INDEX(Assessment!$19:$19,
                   _xlfn.XMATCH(INDEX($2:$2, COLUMN()),
                          Assessment!$4:$4, 0)
            ) &lt; 0,
      INDEX(Assessment!$19:$19,
            _xlfn.XMATCH(INDEX($2:$2, COLUMN()),
                   Assessment!$4:$4, 0)
      ),
      NA()
    ),
    NA()
  ),
  NA()
)</f>
        <v>-0.44949</v>
      </c>
      <c r="G128" s="128" t="e" cm="1">
        <f t="array" ref="G128">IF(
  AND(
    INDEX($2:$2, COLUMN()) &gt;= MTP_BaseYear,
    INDEX($2:$2, COLUMN()) &lt;= OutturnThrough
  ),
  IFERROR(
    IF(
      G124 - INDEX(Assessment!$19:$19,
                   _xlfn.XMATCH(INDEX($2:$2, COLUMN()),
                          Assessment!$4:$4, 0)
            ) &lt; 0,
      INDEX(Assessment!$19:$19,
            _xlfn.XMATCH(INDEX($2:$2, COLUMN()),
                   Assessment!$4:$4, 0)
      ),
      NA()
    ),
    NA()
  ),
  NA()
)</f>
        <v>#N/A</v>
      </c>
      <c r="H128" s="128" t="e" cm="1">
        <f t="array" ref="H128">IF(
  AND(
    INDEX($2:$2, COLUMN()) &gt;= MTP_BaseYear,
    INDEX($2:$2, COLUMN()) &lt;= OutturnThrough
  ),
  IFERROR(
    IF(
      H124 - INDEX(Assessment!$19:$19,
                   _xlfn.XMATCH(INDEX($2:$2, COLUMN()),
                          Assessment!$4:$4, 0)
            ) &lt; 0,
      INDEX(Assessment!$19:$19,
            _xlfn.XMATCH(INDEX($2:$2, COLUMN()),
                   Assessment!$4:$4, 0)
      ),
      NA()
    ),
    NA()
  ),
  NA()
)</f>
        <v>#N/A</v>
      </c>
      <c r="I128" s="128" t="e" cm="1">
        <f t="array" ref="I128">IF(
  AND(
    INDEX($2:$2, COLUMN()) &gt;= MTP_BaseYear,
    INDEX($2:$2, COLUMN()) &lt;= OutturnThrough
  ),
  IFERROR(
    IF(
      I124 - INDEX(Assessment!$19:$19,
                   _xlfn.XMATCH(INDEX($2:$2, COLUMN()),
                          Assessment!$4:$4, 0)
            ) &lt; 0,
      INDEX(Assessment!$19:$19,
            _xlfn.XMATCH(INDEX($2:$2, COLUMN()),
                   Assessment!$4:$4, 0)
      ),
      NA()
    ),
    NA()
  ),
  NA()
)</f>
        <v>#N/A</v>
      </c>
      <c r="J128" s="128" t="e" cm="1">
        <f t="array" ref="J128">IF(
  AND(
    INDEX($2:$2, COLUMN()) &gt;= MTP_BaseYear,
    INDEX($2:$2, COLUMN()) &lt;= OutturnThrough
  ),
  IFERROR(
    IF(
      J124 - INDEX(Assessment!$19:$19,
                   _xlfn.XMATCH(INDEX($2:$2, COLUMN()),
                          Assessment!$4:$4, 0)
            ) &lt; 0,
      INDEX(Assessment!$19:$19,
            _xlfn.XMATCH(INDEX($2:$2, COLUMN()),
                   Assessment!$4:$4, 0)
      ),
      NA()
    ),
    NA()
  ),
  NA()
)</f>
        <v>#N/A</v>
      </c>
      <c r="K128" s="128" t="e" cm="1">
        <f t="array" ref="K128">IF(
  AND(
    INDEX($2:$2, COLUMN()) &gt;= MTP_BaseYear,
    INDEX($2:$2, COLUMN()) &lt;= OutturnThrough
  ),
  IFERROR(
    IF(
      K124 - INDEX(Assessment!$19:$19,
                   _xlfn.XMATCH(INDEX($2:$2, COLUMN()),
                          Assessment!$4:$4, 0)
            ) &lt; 0,
      INDEX(Assessment!$19:$19,
            _xlfn.XMATCH(INDEX($2:$2, COLUMN()),
                   Assessment!$4:$4, 0)
      ),
      NA()
    ),
    NA()
  ),
  NA()
)</f>
        <v>#N/A</v>
      </c>
      <c r="L128" s="128" t="e" cm="1">
        <f t="array" ref="L128">IF(
  AND(
    INDEX($2:$2, COLUMN()) &gt;= MTP_BaseYear,
    INDEX($2:$2, COLUMN()) &lt;= OutturnThrough
  ),
  IFERROR(
    IF(
      L124 - INDEX(Assessment!$19:$19,
                   _xlfn.XMATCH(INDEX($2:$2, COLUMN()),
                          Assessment!$4:$4, 0)
            ) &lt; 0,
      INDEX(Assessment!$19:$19,
            _xlfn.XMATCH(INDEX($2:$2, COLUMN()),
                   Assessment!$4:$4, 0)
      ),
      NA()
    ),
    NA()
  ),
  NA()
)</f>
        <v>#N/A</v>
      </c>
      <c r="M128" s="128" t="e" cm="1">
        <f t="array" ref="M128">IF(
  AND(
    INDEX($2:$2, COLUMN()) &gt;= MTP_BaseYear,
    INDEX($2:$2, COLUMN()) &lt;= OutturnThrough
  ),
  IFERROR(
    IF(
      M124 - INDEX(Assessment!$19:$19,
                   _xlfn.XMATCH(INDEX($2:$2, COLUMN()),
                          Assessment!$4:$4, 0)
            ) &lt; 0,
      INDEX(Assessment!$19:$19,
            _xlfn.XMATCH(INDEX($2:$2, COLUMN()),
                   Assessment!$4:$4, 0)
      ),
      NA()
    ),
    NA()
  ),
  NA()
)</f>
        <v>#N/A</v>
      </c>
      <c r="N128" s="128" t="e" cm="1">
        <f t="array" ref="N128">IF(
  AND(
    INDEX($2:$2, COLUMN()) &gt;= MTP_BaseYear,
    INDEX($2:$2, COLUMN()) &lt;= OutturnThrough
  ),
  IFERROR(
    IF(
      N124 - INDEX(Assessment!$19:$19,
                   _xlfn.XMATCH(INDEX($2:$2, COLUMN()),
                          Assessment!$4:$4, 0)
            ) &lt; 0,
      INDEX(Assessment!$19:$19,
            _xlfn.XMATCH(INDEX($2:$2, COLUMN()),
                   Assessment!$4:$4, 0)
      ),
      NA()
    ),
    NA()
  ),
  NA()
)</f>
        <v>#N/A</v>
      </c>
      <c r="O128" s="128" t="e" cm="1">
        <f t="array" ref="O128">IF(
  AND(
    INDEX($2:$2, COLUMN()) &gt;= MTP_BaseYear,
    INDEX($2:$2, COLUMN()) &lt;= OutturnThrough
  ),
  IFERROR(
    IF(
      O124 - INDEX(Assessment!$19:$19,
                   _xlfn.XMATCH(INDEX($2:$2, COLUMN()),
                          Assessment!$4:$4, 0)
            ) &lt; 0,
      INDEX(Assessment!$19:$19,
            _xlfn.XMATCH(INDEX($2:$2, COLUMN()),
                   Assessment!$4:$4, 0)
      ),
      NA()
    ),
    NA()
  ),
  NA()
)</f>
        <v>#N/A</v>
      </c>
      <c r="P128" s="128" t="e" cm="1">
        <f t="array" ref="P128">IF(
  AND(
    INDEX($2:$2, COLUMN()) &gt;= MTP_BaseYear,
    INDEX($2:$2, COLUMN()) &lt;= OutturnThrough
  ),
  IFERROR(
    IF(
      P124 - INDEX(Assessment!$19:$19,
                   _xlfn.XMATCH(INDEX($2:$2, COLUMN()),
                          Assessment!$4:$4, 0)
            ) &lt; 0,
      INDEX(Assessment!$19:$19,
            _xlfn.XMATCH(INDEX($2:$2, COLUMN()),
                   Assessment!$4:$4, 0)
      ),
      NA()
    ),
    NA()
  ),
  NA()
)</f>
        <v>#N/A</v>
      </c>
      <c r="Q128" s="128" t="e" cm="1">
        <f t="array" ref="Q128">IF(
  AND(
    INDEX($2:$2, COLUMN()) &gt;= MTP_BaseYear,
    INDEX($2:$2, COLUMN()) &lt;= OutturnThrough
  ),
  IFERROR(
    IF(
      Q124 - INDEX(Assessment!$19:$19,
                   _xlfn.XMATCH(INDEX($2:$2, COLUMN()),
                          Assessment!$4:$4, 0)
            ) &lt; 0,
      INDEX(Assessment!$19:$19,
            _xlfn.XMATCH(INDEX($2:$2, COLUMN()),
                   Assessment!$4:$4, 0)
      ),
      NA()
    ),
    NA()
  ),
  NA()
)</f>
        <v>#N/A</v>
      </c>
      <c r="R128" s="128" t="e" cm="1">
        <f t="array" ref="R128">IF(
  AND(
    INDEX($2:$2, COLUMN()) &gt;= MTP_BaseYear,
    INDEX($2:$2, COLUMN()) &lt;= OutturnThrough
  ),
  IFERROR(
    IF(
      R124 - INDEX(Assessment!$19:$19,
                   _xlfn.XMATCH(INDEX($2:$2, COLUMN()),
                          Assessment!$4:$4, 0)
            ) &lt; 0,
      INDEX(Assessment!$19:$19,
            _xlfn.XMATCH(INDEX($2:$2, COLUMN()),
                   Assessment!$4:$4, 0)
      ),
      NA()
    ),
    NA()
  ),
  NA()
)</f>
        <v>#N/A</v>
      </c>
      <c r="S128" s="128" t="e" cm="1">
        <f t="array" ref="S128">IF(
  AND(
    INDEX($2:$2, COLUMN()) &gt;= MTP_BaseYear,
    INDEX($2:$2, COLUMN()) &lt;= OutturnThrough
  ),
  IFERROR(
    IF(
      S124 - INDEX(Assessment!$19:$19,
                   _xlfn.XMATCH(INDEX($2:$2, COLUMN()),
                          Assessment!$4:$4, 0)
            ) &lt; 0,
      INDEX(Assessment!$19:$19,
            _xlfn.XMATCH(INDEX($2:$2, COLUMN()),
                   Assessment!$4:$4, 0)
      ),
      NA()
    ),
    NA()
  ),
  NA()
)</f>
        <v>#N/A</v>
      </c>
      <c r="T128" s="128" t="e" cm="1">
        <f t="array" ref="T128">IF(
  AND(
    INDEX($2:$2, COLUMN()) &gt;= MTP_BaseYear,
    INDEX($2:$2, COLUMN()) &lt;= OutturnThrough
  ),
  IFERROR(
    IF(
      T124 - INDEX(Assessment!$19:$19,
                   _xlfn.XMATCH(INDEX($2:$2, COLUMN()),
                          Assessment!$4:$4, 0)
            ) &lt; 0,
      INDEX(Assessment!$19:$19,
            _xlfn.XMATCH(INDEX($2:$2, COLUMN()),
                   Assessment!$4:$4, 0)
      ),
      NA()
    ),
    NA()
  ),
  NA()
)</f>
        <v>#N/A</v>
      </c>
      <c r="U128" s="128" t="e" cm="1">
        <f t="array" ref="U128">IF(
  AND(
    INDEX($2:$2, COLUMN()) &gt;= MTP_BaseYear,
    INDEX($2:$2, COLUMN()) &lt;= OutturnThrough
  ),
  IFERROR(
    IF(
      U124 - INDEX(Assessment!$19:$19,
                   _xlfn.XMATCH(INDEX($2:$2, COLUMN()),
                          Assessment!$4:$4, 0)
            ) &lt; 0,
      INDEX(Assessment!$19:$19,
            _xlfn.XMATCH(INDEX($2:$2, COLUMN()),
                   Assessment!$4:$4, 0)
      ),
      NA()
    ),
    NA()
  ),
  NA()
)</f>
        <v>#N/A</v>
      </c>
      <c r="V128" s="128" t="e" cm="1">
        <f t="array" ref="V128">IF(
  AND(
    INDEX($2:$2, COLUMN()) &gt;= MTP_BaseYear,
    INDEX($2:$2, COLUMN()) &lt;= OutturnThrough
  ),
  IFERROR(
    IF(
      V124 - INDEX(Assessment!$19:$19,
                   _xlfn.XMATCH(INDEX($2:$2, COLUMN()),
                          Assessment!$4:$4, 0)
            ) &lt; 0,
      INDEX(Assessment!$19:$19,
            _xlfn.XMATCH(INDEX($2:$2, COLUMN()),
                   Assessment!$4:$4, 0)
      ),
      NA()
    ),
    NA()
  ),
  NA()
)</f>
        <v>#N/A</v>
      </c>
      <c r="W128" s="128"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349</v>
      </c>
      <c r="F129" s="128"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28"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28"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28"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28"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28"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28"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28"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28"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28"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28"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28"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28"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28"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28"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28"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28"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28"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32" t="s">
        <v>647</v>
      </c>
      <c r="D130" s="4">
        <f>IF(_xlfn.AGGREGATE(5,6,F124:W129)&lt;0, _xlfn.AGGREGATE(5,6,F124:W129), 0)</f>
        <v>-1.6</v>
      </c>
      <c r="F130" s="83"/>
      <c r="G130" s="83"/>
      <c r="H130" s="83"/>
      <c r="I130" s="83"/>
      <c r="J130" s="83"/>
      <c r="K130" s="83"/>
      <c r="L130" s="83"/>
      <c r="M130" s="83"/>
      <c r="N130" s="83"/>
      <c r="O130" s="83"/>
      <c r="P130" s="83"/>
      <c r="Q130" s="83"/>
      <c r="R130" s="83"/>
      <c r="S130" s="83"/>
      <c r="T130" s="83"/>
      <c r="U130" s="83"/>
      <c r="V130" s="83"/>
      <c r="W130" s="83"/>
    </row>
    <row r="131" spans="2:23" x14ac:dyDescent="0.4">
      <c r="C131" s="132" t="s">
        <v>648</v>
      </c>
      <c r="D131" s="4">
        <f>_xlfn.AGGREGATE(4,6,F124:W129)</f>
        <v>-0.1424659999999999</v>
      </c>
    </row>
    <row r="132" spans="2:23" ht="14.25" customHeight="1" x14ac:dyDescent="0.4">
      <c r="C132" s="2"/>
      <c r="F132" s="128"/>
      <c r="G132" s="128"/>
      <c r="H132" s="128"/>
      <c r="I132" s="128"/>
      <c r="J132" s="128"/>
      <c r="K132" s="128"/>
      <c r="L132" s="128"/>
      <c r="M132" s="128"/>
      <c r="N132" s="128"/>
      <c r="O132" s="128"/>
      <c r="P132" s="128"/>
      <c r="Q132" s="128"/>
      <c r="R132" s="128"/>
      <c r="S132" s="128"/>
      <c r="T132" s="128"/>
      <c r="U132" s="83"/>
      <c r="V132" s="83"/>
      <c r="W132" s="83"/>
    </row>
    <row r="133" spans="2:23" ht="13.5" customHeight="1" x14ac:dyDescent="0.6">
      <c r="B133" s="132" t="s">
        <v>659</v>
      </c>
      <c r="C133" s="12" t="s">
        <v>660</v>
      </c>
    </row>
    <row r="134" spans="2:23" ht="13.5" customHeight="1" x14ac:dyDescent="0.4">
      <c r="C134" t="s">
        <v>650</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649</v>
      </c>
      <c r="F135" s="3" t="e">
        <f>IF(OR(ISNUMBER(F138),ISNUMBER(F139)),NA(),IF(ISNUMBER(Assessment!E18),Assessment!E18,NA()))</f>
        <v>#N/A</v>
      </c>
      <c r="G135" s="52">
        <f>IF(OR(ISNUMBER(G138),ISNUMBER(G139)),NA(),IF(ISNUMBER(Assessment!F18),Assessment!F18,NA()))</f>
        <v>-2.4</v>
      </c>
      <c r="H135" s="3">
        <f>IF(OR(ISNUMBER(H138),ISNUMBER(H139)),NA(),IF(ISNUMBER(Assessment!G18),Assessment!G18,NA()))</f>
        <v>-3</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346</v>
      </c>
      <c r="F136" s="3"/>
      <c r="G136" s="52"/>
      <c r="H136" s="3"/>
      <c r="I136" s="3"/>
      <c r="J136" s="3"/>
      <c r="K136" s="3"/>
      <c r="L136" s="3"/>
      <c r="M136" s="3"/>
      <c r="N136" s="3"/>
      <c r="O136" s="3"/>
      <c r="P136" s="3"/>
      <c r="Q136" s="3"/>
      <c r="R136" s="3"/>
      <c r="S136" s="3"/>
      <c r="T136" s="3"/>
      <c r="U136" s="3"/>
      <c r="V136" s="3"/>
      <c r="W136" s="3"/>
    </row>
    <row r="137" spans="2:23" ht="13.5" customHeight="1" x14ac:dyDescent="0.4">
      <c r="C137" t="s">
        <v>347</v>
      </c>
      <c r="F137" s="3"/>
      <c r="G137" s="52"/>
      <c r="H137" s="3"/>
      <c r="I137" s="3"/>
      <c r="J137" s="3"/>
      <c r="K137" s="3"/>
      <c r="L137" s="3"/>
      <c r="M137" s="3"/>
      <c r="N137" s="3"/>
      <c r="O137" s="3"/>
      <c r="P137" s="3"/>
      <c r="Q137" s="3"/>
      <c r="R137" s="3"/>
      <c r="S137" s="3"/>
      <c r="T137" s="3"/>
      <c r="U137" s="3"/>
      <c r="V137" s="3"/>
      <c r="W137" s="3"/>
    </row>
    <row r="138" spans="2:23" ht="13.5" customHeight="1" x14ac:dyDescent="0.4">
      <c r="C138" t="s">
        <v>348</v>
      </c>
      <c r="F138" s="147" t="e" cm="1">
        <f t="array" ref="F138">_xlfn.LET(
  _xlpm.y, INDEX('Chart data'!$2:$2, COLUMN()),
  _xlpm.col, _xlfn.XMATCH(_xlpm.y, Assessment!$4:$4, 0),
  _xlpm.v, INDEX(Assessment!$18:$18, _xlpm.col),
  IF(
    _xlpm.y&lt;=OutturnThrough,
    IF(AND(ISNUMBER(_xlpm.v), _xlpm.v&gt;=0), _xlpm.v, NA()),
    NA()
  )
)</f>
        <v>#N/A</v>
      </c>
      <c r="G138" s="147" t="e" cm="1">
        <f t="array" ref="G138">_xlfn.LET(
  _xlpm.y, INDEX('Chart data'!$2:$2, COLUMN()),
  _xlpm.col, _xlfn.XMATCH(_xlpm.y, Assessment!$4:$4, 0),
  _xlpm.v, INDEX(Assessment!$18:$18, _xlpm.col),
  IF(
    _xlpm.y&lt;=OutturnThrough,
    IF(AND(ISNUMBER(_xlpm.v), _xlpm.v&gt;=0), _xlpm.v, NA()),
    NA()
  )
)</f>
        <v>#N/A</v>
      </c>
      <c r="H138" s="147" t="e" cm="1">
        <f t="array" ref="H138">_xlfn.LET(
  _xlpm.y, INDEX('Chart data'!$2:$2, COLUMN()),
  _xlpm.col, _xlfn.XMATCH(_xlpm.y, Assessment!$4:$4, 0),
  _xlpm.v, INDEX(Assessment!$18:$18, _xlpm.col),
  IF(
    _xlpm.y&lt;=OutturnThrough,
    IF(AND(ISNUMBER(_xlpm.v), _xlpm.v&gt;=0), _xlpm.v, NA()),
    NA()
  )
)</f>
        <v>#N/A</v>
      </c>
      <c r="I138" s="147" t="e" cm="1">
        <f t="array" ref="I138">_xlfn.LET(
  _xlpm.y, INDEX('Chart data'!$2:$2, COLUMN()),
  _xlpm.col, _xlfn.XMATCH(_xlpm.y, Assessment!$4:$4, 0),
  _xlpm.v, INDEX(Assessment!$18:$18, _xlpm.col),
  IF(
    _xlpm.y&lt;=OutturnThrough,
    IF(AND(ISNUMBER(_xlpm.v), _xlpm.v&gt;=0), _xlpm.v, NA()),
    NA()
  )
)</f>
        <v>#N/A</v>
      </c>
      <c r="J138" s="147" t="e" cm="1">
        <f t="array" ref="J138">_xlfn.LET(
  _xlpm.y, INDEX('Chart data'!$2:$2, COLUMN()),
  _xlpm.col, _xlfn.XMATCH(_xlpm.y, Assessment!$4:$4, 0),
  _xlpm.v, INDEX(Assessment!$18:$18, _xlpm.col),
  IF(
    _xlpm.y&lt;=OutturnThrough,
    IF(AND(ISNUMBER(_xlpm.v), _xlpm.v&gt;=0), _xlpm.v, NA()),
    NA()
  )
)</f>
        <v>#N/A</v>
      </c>
      <c r="K138" s="147" t="e" cm="1">
        <f t="array" ref="K138">_xlfn.LET(
  _xlpm.y, INDEX('Chart data'!$2:$2, COLUMN()),
  _xlpm.col, _xlfn.XMATCH(_xlpm.y, Assessment!$4:$4, 0),
  _xlpm.v, INDEX(Assessment!$18:$18, _xlpm.col),
  IF(
    _xlpm.y&lt;=OutturnThrough,
    IF(AND(ISNUMBER(_xlpm.v), _xlpm.v&gt;=0), _xlpm.v, NA()),
    NA()
  )
)</f>
        <v>#N/A</v>
      </c>
      <c r="L138" s="147" t="e" cm="1">
        <f t="array" ref="L138">_xlfn.LET(
  _xlpm.y, INDEX('Chart data'!$2:$2, COLUMN()),
  _xlpm.col, _xlfn.XMATCH(_xlpm.y, Assessment!$4:$4, 0),
  _xlpm.v, INDEX(Assessment!$18:$18, _xlpm.col),
  IF(
    _xlpm.y&lt;=OutturnThrough,
    IF(AND(ISNUMBER(_xlpm.v), _xlpm.v&gt;=0), _xlpm.v, NA()),
    NA()
  )
)</f>
        <v>#N/A</v>
      </c>
      <c r="M138" s="147" t="e" cm="1">
        <f t="array" ref="M138">_xlfn.LET(
  _xlpm.y, INDEX('Chart data'!$2:$2, COLUMN()),
  _xlpm.col, _xlfn.XMATCH(_xlpm.y, Assessment!$4:$4, 0),
  _xlpm.v, INDEX(Assessment!$18:$18, _xlpm.col),
  IF(
    _xlpm.y&lt;=OutturnThrough,
    IF(AND(ISNUMBER(_xlpm.v), _xlpm.v&gt;=0), _xlpm.v, NA()),
    NA()
  )
)</f>
        <v>#N/A</v>
      </c>
      <c r="N138" s="147" t="e" cm="1">
        <f t="array" ref="N138">_xlfn.LET(
  _xlpm.y, INDEX('Chart data'!$2:$2, COLUMN()),
  _xlpm.col, _xlfn.XMATCH(_xlpm.y, Assessment!$4:$4, 0),
  _xlpm.v, INDEX(Assessment!$18:$18, _xlpm.col),
  IF(
    _xlpm.y&lt;=OutturnThrough,
    IF(AND(ISNUMBER(_xlpm.v), _xlpm.v&gt;=0), _xlpm.v, NA()),
    NA()
  )
)</f>
        <v>#N/A</v>
      </c>
      <c r="O138" s="147" t="e" cm="1">
        <f t="array" ref="O138">_xlfn.LET(
  _xlpm.y, INDEX('Chart data'!$2:$2, COLUMN()),
  _xlpm.col, _xlfn.XMATCH(_xlpm.y, Assessment!$4:$4, 0),
  _xlpm.v, INDEX(Assessment!$18:$18, _xlpm.col),
  IF(
    _xlpm.y&lt;=OutturnThrough,
    IF(AND(ISNUMBER(_xlpm.v), _xlpm.v&gt;=0), _xlpm.v, NA()),
    NA()
  )
)</f>
        <v>#N/A</v>
      </c>
      <c r="P138" s="147" t="e" cm="1">
        <f t="array" ref="P138">_xlfn.LET(
  _xlpm.y, INDEX('Chart data'!$2:$2, COLUMN()),
  _xlpm.col, _xlfn.XMATCH(_xlpm.y, Assessment!$4:$4, 0),
  _xlpm.v, INDEX(Assessment!$18:$18, _xlpm.col),
  IF(
    _xlpm.y&lt;=OutturnThrough,
    IF(AND(ISNUMBER(_xlpm.v), _xlpm.v&gt;=0), _xlpm.v, NA()),
    NA()
  )
)</f>
        <v>#N/A</v>
      </c>
      <c r="Q138" s="147" t="e" cm="1">
        <f t="array" ref="Q138">_xlfn.LET(
  _xlpm.y, INDEX('Chart data'!$2:$2, COLUMN()),
  _xlpm.col, _xlfn.XMATCH(_xlpm.y, Assessment!$4:$4, 0),
  _xlpm.v, INDEX(Assessment!$18:$18, _xlpm.col),
  IF(
    _xlpm.y&lt;=OutturnThrough,
    IF(AND(ISNUMBER(_xlpm.v), _xlpm.v&gt;=0), _xlpm.v, NA()),
    NA()
  )
)</f>
        <v>#N/A</v>
      </c>
      <c r="R138" s="147" t="e" cm="1">
        <f t="array" ref="R138">_xlfn.LET(
  _xlpm.y, INDEX('Chart data'!$2:$2, COLUMN()),
  _xlpm.col, _xlfn.XMATCH(_xlpm.y, Assessment!$4:$4, 0),
  _xlpm.v, INDEX(Assessment!$18:$18, _xlpm.col),
  IF(
    _xlpm.y&lt;=OutturnThrough,
    IF(AND(ISNUMBER(_xlpm.v), _xlpm.v&gt;=0), _xlpm.v, NA()),
    NA()
  )
)</f>
        <v>#N/A</v>
      </c>
      <c r="S138" s="147" t="e" cm="1">
        <f t="array" ref="S138">_xlfn.LET(
  _xlpm.y, INDEX('Chart data'!$2:$2, COLUMN()),
  _xlpm.col, _xlfn.XMATCH(_xlpm.y, Assessment!$4:$4, 0),
  _xlpm.v, INDEX(Assessment!$18:$18, _xlpm.col),
  IF(
    _xlpm.y&lt;=OutturnThrough,
    IF(AND(ISNUMBER(_xlpm.v), _xlpm.v&gt;=0), _xlpm.v, NA()),
    NA()
  )
)</f>
        <v>#N/A</v>
      </c>
      <c r="T138" s="147" t="e" cm="1">
        <f t="array" ref="T138">_xlfn.LET(
  _xlpm.y, INDEX('Chart data'!$2:$2, COLUMN()),
  _xlpm.col, _xlfn.XMATCH(_xlpm.y, Assessment!$4:$4, 0),
  _xlpm.v, INDEX(Assessment!$18:$18, _xlpm.col),
  IF(
    _xlpm.y&lt;=OutturnThrough,
    IF(AND(ISNUMBER(_xlpm.v), _xlpm.v&gt;=0), _xlpm.v, NA()),
    NA()
  )
)</f>
        <v>#N/A</v>
      </c>
      <c r="U138" s="147" t="e" cm="1">
        <f t="array" ref="U138">_xlfn.LET(
  _xlpm.y, INDEX('Chart data'!$2:$2, COLUMN()),
  _xlpm.col, _xlfn.XMATCH(_xlpm.y, Assessment!$4:$4, 0),
  _xlpm.v, INDEX(Assessment!$18:$18, _xlpm.col),
  IF(
    _xlpm.y&lt;=OutturnThrough,
    IF(AND(ISNUMBER(_xlpm.v), _xlpm.v&gt;=0), _xlpm.v, NA()),
    NA()
  )
)</f>
        <v>#N/A</v>
      </c>
      <c r="V138" s="147" t="e" cm="1">
        <f t="array" ref="V138">_xlfn.LET(
  _xlpm.y, INDEX('Chart data'!$2:$2, COLUMN()),
  _xlpm.col, _xlfn.XMATCH(_xlpm.y, Assessment!$4:$4, 0),
  _xlpm.v, INDEX(Assessment!$18:$18, _xlpm.col),
  IF(
    _xlpm.y&lt;=OutturnThrough,
    IF(AND(ISNUMBER(_xlpm.v), _xlpm.v&gt;=0), _xlpm.v, NA()),
    NA()
  )
)</f>
        <v>#N/A</v>
      </c>
      <c r="W138" s="147"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349</v>
      </c>
      <c r="F139" s="128" cm="1">
        <f t="array" ref="F139">_xlfn.LET(
  _xlpm.y, INDEX('Chart data'!$2:$2, COLUMN()),
  _xlpm.col, _xlfn.XMATCH(_xlpm.y, Assessment!$4:$4, 0),
  _xlpm.v, INDEX(Assessment!$18:$18, _xlpm.col),
  IF(
    _xlpm.y&lt;=OutturnThrough,
    IF(AND(ISNUMBER(_xlpm.v), _xlpm.v&lt;0), _xlpm.v, NA()),
    NA()
  )
)</f>
        <v>-1.548</v>
      </c>
      <c r="G139" s="128" t="e" cm="1">
        <f t="array" ref="G139">_xlfn.LET(
  _xlpm.y, INDEX('Chart data'!$2:$2, COLUMN()),
  _xlpm.col, _xlfn.XMATCH(_xlpm.y, Assessment!$4:$4, 0),
  _xlpm.v, INDEX(Assessment!$18:$18, _xlpm.col),
  IF(
    _xlpm.y&lt;=OutturnThrough,
    IF(AND(ISNUMBER(_xlpm.v), _xlpm.v&lt;0), _xlpm.v, NA()),
    NA()
  )
)</f>
        <v>#N/A</v>
      </c>
      <c r="H139" s="128" t="e" cm="1">
        <f t="array" ref="H139">_xlfn.LET(
  _xlpm.y, INDEX('Chart data'!$2:$2, COLUMN()),
  _xlpm.col, _xlfn.XMATCH(_xlpm.y, Assessment!$4:$4, 0),
  _xlpm.v, INDEX(Assessment!$18:$18, _xlpm.col),
  IF(
    _xlpm.y&lt;=OutturnThrough,
    IF(AND(ISNUMBER(_xlpm.v), _xlpm.v&lt;0), _xlpm.v, NA()),
    NA()
  )
)</f>
        <v>#N/A</v>
      </c>
      <c r="I139" s="128" t="e" cm="1">
        <f t="array" ref="I139">_xlfn.LET(
  _xlpm.y, INDEX('Chart data'!$2:$2, COLUMN()),
  _xlpm.col, _xlfn.XMATCH(_xlpm.y, Assessment!$4:$4, 0),
  _xlpm.v, INDEX(Assessment!$18:$18, _xlpm.col),
  IF(
    _xlpm.y&lt;=OutturnThrough,
    IF(AND(ISNUMBER(_xlpm.v), _xlpm.v&lt;0), _xlpm.v, NA()),
    NA()
  )
)</f>
        <v>#N/A</v>
      </c>
      <c r="J139" s="128" t="e" cm="1">
        <f t="array" ref="J139">_xlfn.LET(
  _xlpm.y, INDEX('Chart data'!$2:$2, COLUMN()),
  _xlpm.col, _xlfn.XMATCH(_xlpm.y, Assessment!$4:$4, 0),
  _xlpm.v, INDEX(Assessment!$18:$18, _xlpm.col),
  IF(
    _xlpm.y&lt;=OutturnThrough,
    IF(AND(ISNUMBER(_xlpm.v), _xlpm.v&lt;0), _xlpm.v, NA()),
    NA()
  )
)</f>
        <v>#N/A</v>
      </c>
      <c r="K139" s="128" t="e" cm="1">
        <f t="array" ref="K139">_xlfn.LET(
  _xlpm.y, INDEX('Chart data'!$2:$2, COLUMN()),
  _xlpm.col, _xlfn.XMATCH(_xlpm.y, Assessment!$4:$4, 0),
  _xlpm.v, INDEX(Assessment!$18:$18, _xlpm.col),
  IF(
    _xlpm.y&lt;=OutturnThrough,
    IF(AND(ISNUMBER(_xlpm.v), _xlpm.v&lt;0), _xlpm.v, NA()),
    NA()
  )
)</f>
        <v>#N/A</v>
      </c>
      <c r="L139" s="128" t="e" cm="1">
        <f t="array" ref="L139">_xlfn.LET(
  _xlpm.y, INDEX('Chart data'!$2:$2, COLUMN()),
  _xlpm.col, _xlfn.XMATCH(_xlpm.y, Assessment!$4:$4, 0),
  _xlpm.v, INDEX(Assessment!$18:$18, _xlpm.col),
  IF(
    _xlpm.y&lt;=OutturnThrough,
    IF(AND(ISNUMBER(_xlpm.v), _xlpm.v&lt;0), _xlpm.v, NA()),
    NA()
  )
)</f>
        <v>#N/A</v>
      </c>
      <c r="M139" s="128" t="e" cm="1">
        <f t="array" ref="M139">_xlfn.LET(
  _xlpm.y, INDEX('Chart data'!$2:$2, COLUMN()),
  _xlpm.col, _xlfn.XMATCH(_xlpm.y, Assessment!$4:$4, 0),
  _xlpm.v, INDEX(Assessment!$18:$18, _xlpm.col),
  IF(
    _xlpm.y&lt;=OutturnThrough,
    IF(AND(ISNUMBER(_xlpm.v), _xlpm.v&lt;0), _xlpm.v, NA()),
    NA()
  )
)</f>
        <v>#N/A</v>
      </c>
      <c r="N139" s="128" t="e" cm="1">
        <f t="array" ref="N139">_xlfn.LET(
  _xlpm.y, INDEX('Chart data'!$2:$2, COLUMN()),
  _xlpm.col, _xlfn.XMATCH(_xlpm.y, Assessment!$4:$4, 0),
  _xlpm.v, INDEX(Assessment!$18:$18, _xlpm.col),
  IF(
    _xlpm.y&lt;=OutturnThrough,
    IF(AND(ISNUMBER(_xlpm.v), _xlpm.v&lt;0), _xlpm.v, NA()),
    NA()
  )
)</f>
        <v>#N/A</v>
      </c>
      <c r="O139" s="128" t="e" cm="1">
        <f t="array" ref="O139">_xlfn.LET(
  _xlpm.y, INDEX('Chart data'!$2:$2, COLUMN()),
  _xlpm.col, _xlfn.XMATCH(_xlpm.y, Assessment!$4:$4, 0),
  _xlpm.v, INDEX(Assessment!$18:$18, _xlpm.col),
  IF(
    _xlpm.y&lt;=OutturnThrough,
    IF(AND(ISNUMBER(_xlpm.v), _xlpm.v&lt;0), _xlpm.v, NA()),
    NA()
  )
)</f>
        <v>#N/A</v>
      </c>
      <c r="P139" s="128" t="e" cm="1">
        <f t="array" ref="P139">_xlfn.LET(
  _xlpm.y, INDEX('Chart data'!$2:$2, COLUMN()),
  _xlpm.col, _xlfn.XMATCH(_xlpm.y, Assessment!$4:$4, 0),
  _xlpm.v, INDEX(Assessment!$18:$18, _xlpm.col),
  IF(
    _xlpm.y&lt;=OutturnThrough,
    IF(AND(ISNUMBER(_xlpm.v), _xlpm.v&lt;0), _xlpm.v, NA()),
    NA()
  )
)</f>
        <v>#N/A</v>
      </c>
      <c r="Q139" s="128" t="e" cm="1">
        <f t="array" ref="Q139">_xlfn.LET(
  _xlpm.y, INDEX('Chart data'!$2:$2, COLUMN()),
  _xlpm.col, _xlfn.XMATCH(_xlpm.y, Assessment!$4:$4, 0),
  _xlpm.v, INDEX(Assessment!$18:$18, _xlpm.col),
  IF(
    _xlpm.y&lt;=OutturnThrough,
    IF(AND(ISNUMBER(_xlpm.v), _xlpm.v&lt;0), _xlpm.v, NA()),
    NA()
  )
)</f>
        <v>#N/A</v>
      </c>
      <c r="R139" s="128" t="e" cm="1">
        <f t="array" ref="R139">_xlfn.LET(
  _xlpm.y, INDEX('Chart data'!$2:$2, COLUMN()),
  _xlpm.col, _xlfn.XMATCH(_xlpm.y, Assessment!$4:$4, 0),
  _xlpm.v, INDEX(Assessment!$18:$18, _xlpm.col),
  IF(
    _xlpm.y&lt;=OutturnThrough,
    IF(AND(ISNUMBER(_xlpm.v), _xlpm.v&lt;0), _xlpm.v, NA()),
    NA()
  )
)</f>
        <v>#N/A</v>
      </c>
      <c r="S139" s="128" t="e" cm="1">
        <f t="array" ref="S139">_xlfn.LET(
  _xlpm.y, INDEX('Chart data'!$2:$2, COLUMN()),
  _xlpm.col, _xlfn.XMATCH(_xlpm.y, Assessment!$4:$4, 0),
  _xlpm.v, INDEX(Assessment!$18:$18, _xlpm.col),
  IF(
    _xlpm.y&lt;=OutturnThrough,
    IF(AND(ISNUMBER(_xlpm.v), _xlpm.v&lt;0), _xlpm.v, NA()),
    NA()
  )
)</f>
        <v>#N/A</v>
      </c>
      <c r="T139" s="128" t="e" cm="1">
        <f t="array" ref="T139">_xlfn.LET(
  _xlpm.y, INDEX('Chart data'!$2:$2, COLUMN()),
  _xlpm.col, _xlfn.XMATCH(_xlpm.y, Assessment!$4:$4, 0),
  _xlpm.v, INDEX(Assessment!$18:$18, _xlpm.col),
  IF(
    _xlpm.y&lt;=OutturnThrough,
    IF(AND(ISNUMBER(_xlpm.v), _xlpm.v&lt;0), _xlpm.v, NA()),
    NA()
  )
)</f>
        <v>#N/A</v>
      </c>
      <c r="U139" s="128" t="e" cm="1">
        <f t="array" ref="U139">_xlfn.LET(
  _xlpm.y, INDEX('Chart data'!$2:$2, COLUMN()),
  _xlpm.col, _xlfn.XMATCH(_xlpm.y, Assessment!$4:$4, 0),
  _xlpm.v, INDEX(Assessment!$18:$18, _xlpm.col),
  IF(
    _xlpm.y&lt;=OutturnThrough,
    IF(AND(ISNUMBER(_xlpm.v), _xlpm.v&lt;0), _xlpm.v, NA()),
    NA()
  )
)</f>
        <v>#N/A</v>
      </c>
      <c r="V139" s="128" t="e" cm="1">
        <f t="array" ref="V139">_xlfn.LET(
  _xlpm.y, INDEX('Chart data'!$2:$2, COLUMN()),
  _xlpm.col, _xlfn.XMATCH(_xlpm.y, Assessment!$4:$4, 0),
  _xlpm.v, INDEX(Assessment!$18:$18, _xlpm.col),
  IF(
    _xlpm.y&lt;=OutturnThrough,
    IF(AND(ISNUMBER(_xlpm.v), _xlpm.v&lt;0), _xlpm.v, NA()),
    NA()
  )
)</f>
        <v>#N/A</v>
      </c>
      <c r="W139" s="128"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796</v>
      </c>
      <c r="F140" s="128"/>
      <c r="G140" s="128">
        <v>-1</v>
      </c>
      <c r="H140" s="128">
        <v>-1</v>
      </c>
      <c r="I140" s="128">
        <v>-1</v>
      </c>
      <c r="J140" s="128">
        <v>-1</v>
      </c>
      <c r="K140" s="128">
        <v>-1</v>
      </c>
      <c r="L140" s="128">
        <v>-1</v>
      </c>
      <c r="M140" s="128">
        <v>-1</v>
      </c>
      <c r="N140" s="128">
        <v>-1</v>
      </c>
      <c r="O140" s="128">
        <v>-1</v>
      </c>
      <c r="P140" s="128">
        <v>-1</v>
      </c>
      <c r="Q140" s="128">
        <v>-1</v>
      </c>
      <c r="R140" s="128">
        <v>-1</v>
      </c>
      <c r="S140" s="128">
        <v>-1</v>
      </c>
      <c r="T140" s="128">
        <v>-1</v>
      </c>
      <c r="U140" s="128">
        <v>-1</v>
      </c>
      <c r="V140" s="128">
        <v>-1</v>
      </c>
      <c r="W140" s="128">
        <v>-1</v>
      </c>
    </row>
    <row r="141" spans="2:23" x14ac:dyDescent="0.4">
      <c r="C141" s="132" t="s">
        <v>647</v>
      </c>
      <c r="D141" s="4">
        <f>IF(_xlfn.AGGREGATE(5,6,F134:W139)&lt;0, _xlfn.AGGREGATE(5,6,F134:W139), 0)</f>
        <v>-3</v>
      </c>
      <c r="F141" s="83"/>
      <c r="G141" s="83"/>
      <c r="H141" s="83"/>
      <c r="I141" s="83"/>
      <c r="J141" s="83"/>
      <c r="K141" s="83"/>
      <c r="L141" s="83"/>
      <c r="M141" s="83"/>
      <c r="N141" s="83"/>
      <c r="O141" s="83"/>
      <c r="P141" s="83"/>
      <c r="Q141" s="83"/>
      <c r="R141" s="83"/>
      <c r="S141" s="83"/>
      <c r="T141" s="83"/>
      <c r="U141" s="83"/>
      <c r="V141" s="83"/>
      <c r="W141" s="83"/>
    </row>
    <row r="142" spans="2:23" x14ac:dyDescent="0.4">
      <c r="C142" s="132" t="s">
        <v>648</v>
      </c>
      <c r="D142" s="4">
        <f>_xlfn.AGGREGATE(4,6,F134:W139)</f>
        <v>-1.548</v>
      </c>
    </row>
    <row r="143" spans="2:23" ht="13.5" customHeight="1" x14ac:dyDescent="0.4"/>
    <row r="144" spans="2:23" ht="13.5" customHeight="1" x14ac:dyDescent="0.6">
      <c r="B144" s="132" t="s">
        <v>662</v>
      </c>
      <c r="C144" s="12" t="s">
        <v>661</v>
      </c>
    </row>
    <row r="145" spans="3:23" ht="13.5" customHeight="1" x14ac:dyDescent="0.4">
      <c r="C145" t="s">
        <v>651</v>
      </c>
      <c r="F145" s="83" t="e">
        <f>IF(ISNUMBER(Assessment!E35),Assessment!E35+('Step 3 (MTP) - Plan and prior'!E28/'Step 3 (MTP) - Plan and prior'!E29),NA())</f>
        <v>#DIV/0!</v>
      </c>
      <c r="G145" s="83" t="e">
        <f>IF(ISNUMBER(Assessment!F35),Assessment!F35+('Step 3 (MTP) - Plan and prior'!F28/'Step 3 (MTP) - Plan and prior'!F29),NA())</f>
        <v>#DIV/0!</v>
      </c>
      <c r="H145" s="83" t="e">
        <f>IF(ISNUMBER(Assessment!G35),Assessment!G35+('Step 3 (MTP) - Plan and prior'!G28/'Step 3 (MTP) - Plan and prior'!G29),NA())</f>
        <v>#DIV/0!</v>
      </c>
      <c r="I145" s="83" t="e">
        <f>IF(ISNUMBER(Assessment!H35),Assessment!H35+('Step 3 (MTP) - Plan and prior'!H28/'Step 3 (MTP) - Plan and prior'!H29),NA())</f>
        <v>#DIV/0!</v>
      </c>
      <c r="J145" s="83" t="e">
        <f>IF(ISNUMBER(Assessment!I35),Assessment!I35+('Step 3 (MTP) - Plan and prior'!I28/'Step 3 (MTP) - Plan and prior'!I29),NA())</f>
        <v>#DIV/0!</v>
      </c>
      <c r="K145" s="83" t="e">
        <f>IF(ISNUMBER(Assessment!J35),Assessment!J35+('Step 3 (MTP) - Plan and prior'!J28/'Step 3 (MTP) - Plan and prior'!J29),NA())</f>
        <v>#N/A</v>
      </c>
      <c r="L145" s="83" t="e">
        <f>IF(ISNUMBER(Assessment!K35),Assessment!K35+('Step 3 (MTP) - Plan and prior'!K28/'Step 3 (MTP) - Plan and prior'!K29),NA())</f>
        <v>#N/A</v>
      </c>
      <c r="M145" s="83" t="e">
        <f>IF(ISNUMBER(Assessment!L35),Assessment!L35+('Step 3 (MTP) - Plan and prior'!L28/'Step 3 (MTP) - Plan and prior'!L29),NA())</f>
        <v>#N/A</v>
      </c>
      <c r="N145" s="83" t="e">
        <f>IF(ISNUMBER(Assessment!M35),Assessment!M35+('Step 3 (MTP) - Plan and prior'!M28/'Step 3 (MTP) - Plan and prior'!M29),NA())</f>
        <v>#N/A</v>
      </c>
      <c r="O145" s="83" t="e">
        <f>IF(ISNUMBER(Assessment!N35),Assessment!N35+('Step 3 (MTP) - Plan and prior'!N28/'Step 3 (MTP) - Plan and prior'!N29),NA())</f>
        <v>#N/A</v>
      </c>
      <c r="P145" s="83" t="e">
        <f>IF(ISNUMBER(Assessment!O35),Assessment!O35+('Step 3 (MTP) - Plan and prior'!O28/'Step 3 (MTP) - Plan and prior'!O29),NA())</f>
        <v>#N/A</v>
      </c>
      <c r="Q145" s="83" t="e">
        <f>IF(ISNUMBER(Assessment!P35),Assessment!P35+('Step 3 (MTP) - Plan and prior'!P28/'Step 3 (MTP) - Plan and prior'!P29),NA())</f>
        <v>#N/A</v>
      </c>
      <c r="R145" s="83" t="e">
        <f>IF(ISNUMBER(Assessment!Q35),Assessment!Q35+('Step 3 (MTP) - Plan and prior'!Q28/'Step 3 (MTP) - Plan and prior'!Q29),NA())</f>
        <v>#N/A</v>
      </c>
      <c r="S145" s="83" t="e">
        <f>IF(ISNUMBER(Assessment!R35),Assessment!R35+('Step 3 (MTP) - Plan and prior'!R28/'Step 3 (MTP) - Plan and prior'!R29),NA())</f>
        <v>#N/A</v>
      </c>
      <c r="T145" s="83" t="e">
        <f>IF(ISNUMBER(Assessment!S35),Assessment!S35+('Step 3 (MTP) - Plan and prior'!S28/'Step 3 (MTP) - Plan and prior'!S29),NA())</f>
        <v>#N/A</v>
      </c>
      <c r="U145" s="128" t="e">
        <f>IF(ISNUMBER(Assessment!T35),Assessment!T35+('Step 3 (MTP) - Plan and prior'!T28/'Step 3 (MTP) - Plan and prior'!T29),NA())</f>
        <v>#N/A</v>
      </c>
      <c r="V145" s="128" t="e">
        <f>IF(ISNUMBER(Assessment!U35),Assessment!U35+('Step 3 (MTP) - Plan and prior'!U28/'Step 3 (MTP) - Plan and prior'!U29),NA())</f>
        <v>#N/A</v>
      </c>
      <c r="W145" s="128" t="e">
        <f>IF(ISNUMBER(Assessment!V35),Assessment!V35+('Step 3 (MTP) - Plan and prior'!V28/'Step 3 (MTP) - Plan and prior'!V29),NA())</f>
        <v>#N/A</v>
      </c>
    </row>
    <row r="146" spans="3:23" ht="13.5" customHeight="1" x14ac:dyDescent="0.4">
      <c r="C146" t="s">
        <v>652</v>
      </c>
      <c r="F146" s="83">
        <f>IF(OR(ISNUMBER(F149),ISNUMBER(F150)),NA(),IF(ISNUMBER(Assessment!E17),Assessment!E17+(Assessment!E7/Assessment!E27*100),NA()))</f>
        <v>-0.69639356198788627</v>
      </c>
      <c r="G146" s="83">
        <f>IF(OR(ISNUMBER(G149),ISNUMBER(G150)),NA(),IF(ISNUMBER(Assessment!F17),Assessment!F17+(Assessment!F7/Assessment!F27*100),NA()))</f>
        <v>-1.7</v>
      </c>
      <c r="H146" s="83">
        <f>IF(OR(ISNUMBER(H149),ISNUMBER(H150)),NA(),IF(ISNUMBER(Assessment!G17),Assessment!G17+(Assessment!G7/Assessment!G27*100),NA()))</f>
        <v>-1.8999999999999997</v>
      </c>
      <c r="I146" s="83" t="e">
        <f>IF(OR(ISNUMBER(I149),ISNUMBER(I150)),NA(),IF(ISNUMBER(Assessment!H17),Assessment!H17+(Assessment!H7/Assessment!H27*100),NA()))</f>
        <v>#N/A</v>
      </c>
      <c r="J146" s="83" t="e">
        <f>IF(OR(ISNUMBER(J149),ISNUMBER(J150)),NA(),IF(ISNUMBER(Assessment!I17),Assessment!I17+(Assessment!I7/Assessment!I27*100),NA()))</f>
        <v>#N/A</v>
      </c>
      <c r="K146" s="83" t="e">
        <f>IF(OR(ISNUMBER(K149),ISNUMBER(K150)),NA(),IF(ISNUMBER(Assessment!J17),Assessment!J17+(Assessment!J7/Assessment!J27*100),NA()))</f>
        <v>#N/A</v>
      </c>
      <c r="L146" s="83" t="e">
        <f>IF(OR(ISNUMBER(L149),ISNUMBER(L150)),NA(),IF(ISNUMBER(Assessment!K17),Assessment!K17+(Assessment!K7/Assessment!K27*100),NA()))</f>
        <v>#N/A</v>
      </c>
      <c r="M146" s="83" t="e">
        <f>IF(OR(ISNUMBER(M149),ISNUMBER(M150)),NA(),IF(ISNUMBER(Assessment!L17),Assessment!L17+(Assessment!L7/Assessment!L27*100),NA()))</f>
        <v>#N/A</v>
      </c>
      <c r="N146" s="83" t="e">
        <f>IF(OR(ISNUMBER(N149),ISNUMBER(N150)),NA(),IF(ISNUMBER(Assessment!M17),Assessment!M17+(Assessment!M7/Assessment!M27*100),NA()))</f>
        <v>#N/A</v>
      </c>
      <c r="O146" s="83" t="e">
        <f>IF(OR(ISNUMBER(O149),ISNUMBER(O150)),NA(),IF(ISNUMBER(Assessment!N17),Assessment!N17+(Assessment!N7/Assessment!N27*100),NA()))</f>
        <v>#N/A</v>
      </c>
      <c r="P146" s="83" t="e">
        <f>IF(OR(ISNUMBER(P149),ISNUMBER(P150)),NA(),IF(ISNUMBER(Assessment!O17),Assessment!O17+(Assessment!O7/Assessment!O27*100),NA()))</f>
        <v>#N/A</v>
      </c>
      <c r="Q146" s="83" t="e">
        <f>IF(OR(ISNUMBER(Q149),ISNUMBER(Q150)),NA(),IF(ISNUMBER(Assessment!P17),Assessment!P17+(Assessment!P7/Assessment!P27*100),NA()))</f>
        <v>#N/A</v>
      </c>
      <c r="R146" s="83" t="e">
        <f>IF(OR(ISNUMBER(R149),ISNUMBER(R150)),NA(),IF(ISNUMBER(Assessment!Q17),Assessment!Q17+(Assessment!Q7/Assessment!Q27*100),NA()))</f>
        <v>#N/A</v>
      </c>
      <c r="S146" s="83" t="e">
        <f>IF(OR(ISNUMBER(S149),ISNUMBER(S150)),NA(),IF(ISNUMBER(Assessment!R17),Assessment!R17+(Assessment!R7/Assessment!R27*100),NA()))</f>
        <v>#N/A</v>
      </c>
      <c r="T146" s="83" t="e">
        <f>IF(OR(ISNUMBER(T149),ISNUMBER(T150)),NA(),IF(ISNUMBER(Assessment!S17),Assessment!S17+(Assessment!S7/Assessment!S27*100),NA()))</f>
        <v>#N/A</v>
      </c>
      <c r="U146" s="128" t="e">
        <f>IF(OR(ISNUMBER(U149),ISNUMBER(U150)),NA(),IF(ISNUMBER(Assessment!T17),Assessment!T17+(Assessment!T7/Assessment!T27*100),NA()))</f>
        <v>#N/A</v>
      </c>
      <c r="V146" s="128" t="e">
        <f>IF(OR(ISNUMBER(V149),ISNUMBER(V150)),NA(),IF(ISNUMBER(Assessment!U17),Assessment!U17+(Assessment!U7/Assessment!U27*100),NA()))</f>
        <v>#N/A</v>
      </c>
      <c r="W146" s="128" t="e">
        <f>IF(OR(ISNUMBER(W149),ISNUMBER(W150)),NA(),IF(ISNUMBER(Assessment!V17),Assessment!V17+(Assessment!V7/Assessment!V27*100),NA()))</f>
        <v>#N/A</v>
      </c>
    </row>
    <row r="147" spans="3:23" ht="13.5" customHeight="1" x14ac:dyDescent="0.4">
      <c r="C147" t="s">
        <v>346</v>
      </c>
      <c r="F147" s="3"/>
      <c r="G147" s="3"/>
      <c r="H147" s="3"/>
      <c r="I147" s="3"/>
      <c r="J147" s="3"/>
      <c r="K147" s="3"/>
      <c r="L147" s="3"/>
      <c r="M147" s="3"/>
      <c r="N147" s="3"/>
      <c r="O147" s="3"/>
      <c r="P147" s="3"/>
      <c r="Q147" s="3"/>
      <c r="R147" s="3"/>
      <c r="S147" s="3"/>
      <c r="T147" s="3"/>
      <c r="U147" s="3"/>
      <c r="V147" s="3"/>
      <c r="W147" s="3"/>
    </row>
    <row r="148" spans="3:23" ht="13.5" customHeight="1" x14ac:dyDescent="0.4">
      <c r="C148" t="s">
        <v>347</v>
      </c>
      <c r="F148" s="3"/>
      <c r="G148" s="3"/>
      <c r="H148" s="3"/>
      <c r="I148" s="3"/>
      <c r="J148" s="3"/>
      <c r="K148" s="3"/>
      <c r="L148" s="3"/>
      <c r="M148" s="3"/>
      <c r="N148" s="3"/>
      <c r="O148" s="3"/>
      <c r="P148" s="3"/>
      <c r="Q148" s="3"/>
      <c r="R148" s="3"/>
      <c r="S148" s="3"/>
      <c r="T148" s="3"/>
      <c r="U148" s="3"/>
      <c r="V148" s="3"/>
      <c r="W148" s="3"/>
    </row>
    <row r="149" spans="3:23" ht="13.5" customHeight="1" x14ac:dyDescent="0.4">
      <c r="C149" t="s">
        <v>348</v>
      </c>
      <c r="F149" s="128"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G149" s="128"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28"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28"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28"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28"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28"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28"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28"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28"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28"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28"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28"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28"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28"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28" cm="1">
        <f t="array" ref="U149">_xlfn.LET(
  _xlpm.y, INDEX('Chart data'!$2:$2, COLUMN()),
  _xlpm.col, _xlfn.XMATCH(_xlpm.y, Assessment!$4:$4, 0),
  _xlpm.v, INDEX(Assessment!$17:$17, _xlpm.col)
     + INDEX(Assessment!$7:$7, _xlpm.col),
  IF(
    _xlpm.y&lt;=OutturnThrough,
    IF(AND(ISNUMBER(_xlpm.v), _xlpm.v&gt;=0), _xlpm.v, NA()),
    NA()
  )
)</f>
        <v>0</v>
      </c>
      <c r="V149" s="128" cm="1">
        <f t="array" ref="V149">_xlfn.LET(
  _xlpm.y, INDEX('Chart data'!$2:$2, COLUMN()),
  _xlpm.col, _xlfn.XMATCH(_xlpm.y, Assessment!$4:$4, 0),
  _xlpm.v, INDEX(Assessment!$17:$17, _xlpm.col)
     + INDEX(Assessment!$7:$7, _xlpm.col),
  IF(
    _xlpm.y&lt;=OutturnThrough,
    IF(AND(ISNUMBER(_xlpm.v), _xlpm.v&gt;=0), _xlpm.v, NA()),
    NA()
  )
)</f>
        <v>0</v>
      </c>
      <c r="W149" s="128"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349</v>
      </c>
      <c r="F150" s="128"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28"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28"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28"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28"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28"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28"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28"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28"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28"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28"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28"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28"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28"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28"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28" t="e" cm="1">
        <f t="array" ref="U150">_xlfn.LET(
  _xlpm.y, INDEX('Chart data'!$2:$2, COLUMN()),
  _xlpm.col, _xlfn.XMATCH(_xlpm.y, Assessment!$4:$4, 0),
  _xlpm.v, INDEX(Assessment!$17:$17, _xlpm.col)
     + INDEX(Assessment!$7:$7, _xlpm.col),
  IF(
    _xlpm.y&lt;=OutturnThrough,
    IF(AND(ISNUMBER(_xlpm.v), _xlpm.v&lt;0), _xlpm.v, NA()),
    NA()
  )
)</f>
        <v>#N/A</v>
      </c>
      <c r="V150" s="128" t="e" cm="1">
        <f t="array" ref="V150">_xlfn.LET(
  _xlpm.y, INDEX('Chart data'!$2:$2, COLUMN()),
  _xlpm.col, _xlfn.XMATCH(_xlpm.y, Assessment!$4:$4, 0),
  _xlpm.v, INDEX(Assessment!$17:$17, _xlpm.col)
     + INDEX(Assessment!$7:$7, _xlpm.col),
  IF(
    _xlpm.y&lt;=OutturnThrough,
    IF(AND(ISNUMBER(_xlpm.v), _xlpm.v&lt;0), _xlpm.v, NA()),
    NA()
  )
)</f>
        <v>#N/A</v>
      </c>
      <c r="W150" s="128"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32" t="s">
        <v>647</v>
      </c>
      <c r="D151" s="4">
        <f>IF(_xlfn.AGGREGATE(5,6,F145:W150)&lt;0, _xlfn.AGGREGATE(5,6,F145:W150), 0)</f>
        <v>-1.8999999999999997</v>
      </c>
      <c r="F151" s="83"/>
      <c r="G151" s="83"/>
      <c r="H151" s="83"/>
      <c r="I151" s="83"/>
      <c r="J151" s="83"/>
      <c r="K151" s="83"/>
      <c r="L151" s="83"/>
      <c r="M151" s="83"/>
      <c r="N151" s="83"/>
      <c r="O151" s="83"/>
      <c r="P151" s="83"/>
      <c r="Q151" s="83"/>
      <c r="R151" s="83"/>
      <c r="S151" s="83"/>
      <c r="T151" s="83"/>
      <c r="U151" s="83"/>
      <c r="V151" s="83"/>
      <c r="W151" s="83"/>
    </row>
    <row r="152" spans="3:23" x14ac:dyDescent="0.4">
      <c r="C152" s="132" t="s">
        <v>648</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Normal="100" workbookViewId="0"/>
  </sheetViews>
  <sheetFormatPr defaultRowHeight="13.15" x14ac:dyDescent="0.4"/>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9" x14ac:dyDescent="1">
      <c r="A1" s="96" t="s">
        <v>14</v>
      </c>
      <c r="B1" s="46"/>
      <c r="P1" s="67" t="s">
        <v>11</v>
      </c>
      <c r="Q1" s="188"/>
      <c r="S1" s="67" t="s">
        <v>353</v>
      </c>
      <c r="T1"/>
    </row>
    <row r="2" spans="1:22" customFormat="1" x14ac:dyDescent="0.4">
      <c r="A2" s="148" t="s">
        <v>340</v>
      </c>
      <c r="B2" s="148" t="s">
        <v>309</v>
      </c>
      <c r="C2" s="148" t="s">
        <v>13</v>
      </c>
      <c r="D2" s="148" t="s">
        <v>21</v>
      </c>
      <c r="E2" s="148" t="s">
        <v>220</v>
      </c>
      <c r="F2" s="148" t="s">
        <v>548</v>
      </c>
      <c r="G2" s="148" t="s">
        <v>297</v>
      </c>
      <c r="H2" s="148" t="s">
        <v>675</v>
      </c>
      <c r="I2" s="148" t="s">
        <v>805</v>
      </c>
      <c r="J2" s="148" t="s">
        <v>731</v>
      </c>
      <c r="K2" s="148" t="s">
        <v>253</v>
      </c>
      <c r="L2" s="148" t="s">
        <v>811</v>
      </c>
      <c r="M2" s="148" t="s">
        <v>502</v>
      </c>
      <c r="N2" s="15"/>
      <c r="P2" t="s">
        <v>296</v>
      </c>
      <c r="Q2" s="189">
        <f>MTP_YearT+MTP_PlanningHorizon</f>
        <v>2028</v>
      </c>
      <c r="R2" s="15"/>
      <c r="S2" t="s">
        <v>363</v>
      </c>
      <c r="T2">
        <v>3.05</v>
      </c>
    </row>
    <row r="3" spans="1:22" x14ac:dyDescent="0.4">
      <c r="A3" s="149">
        <v>2022</v>
      </c>
      <c r="B3" s="149">
        <v>3</v>
      </c>
      <c r="C3" s="149">
        <v>4</v>
      </c>
      <c r="D3" s="19" t="s">
        <v>23</v>
      </c>
      <c r="E3" s="19" t="s">
        <v>35</v>
      </c>
      <c r="F3" s="19" t="b">
        <v>1</v>
      </c>
      <c r="G3" s="5" t="s">
        <v>845</v>
      </c>
      <c r="H3" s="19" t="s">
        <v>676</v>
      </c>
      <c r="I3" s="19" t="s">
        <v>806</v>
      </c>
      <c r="J3" s="5" t="s">
        <v>698</v>
      </c>
      <c r="K3" s="19" t="s">
        <v>227</v>
      </c>
      <c r="L3" s="15" t="s">
        <v>812</v>
      </c>
      <c r="M3" s="19" t="s">
        <v>463</v>
      </c>
      <c r="P3" t="s">
        <v>12</v>
      </c>
      <c r="Q3" s="190" t="str">
        <f>MTP_YearT&amp;"–"&amp;'Step 3 (IMPL) - Enter outlook'!G3</f>
        <v>2024–2026</v>
      </c>
      <c r="S3" t="s">
        <v>364</v>
      </c>
      <c r="T3">
        <v>60.05</v>
      </c>
      <c r="U3"/>
    </row>
    <row r="4" spans="1:22" x14ac:dyDescent="0.4">
      <c r="A4" s="149">
        <v>2023</v>
      </c>
      <c r="B4" s="149">
        <v>4</v>
      </c>
      <c r="C4" s="149">
        <v>7</v>
      </c>
      <c r="D4" s="19" t="s">
        <v>22</v>
      </c>
      <c r="E4" s="19" t="s">
        <v>36</v>
      </c>
      <c r="F4" s="19" t="b">
        <v>0</v>
      </c>
      <c r="G4" s="5" t="s">
        <v>846</v>
      </c>
      <c r="H4" s="19" t="s">
        <v>677</v>
      </c>
      <c r="I4" s="19" t="s">
        <v>843</v>
      </c>
      <c r="J4" s="5" t="s">
        <v>732</v>
      </c>
      <c r="K4" s="19" t="s">
        <v>228</v>
      </c>
      <c r="L4" s="15" t="s">
        <v>813</v>
      </c>
      <c r="M4" s="19" t="s">
        <v>486</v>
      </c>
      <c r="P4" t="s">
        <v>291</v>
      </c>
      <c r="Q4" s="189">
        <f>AdjustmentPeriodEnd+AdjustmentPeriod+1</f>
        <v>2033</v>
      </c>
      <c r="S4" s="185" t="s">
        <v>850</v>
      </c>
      <c r="T4">
        <v>2025</v>
      </c>
      <c r="U4"/>
      <c r="V4"/>
    </row>
    <row r="5" spans="1:22" x14ac:dyDescent="0.4">
      <c r="A5" s="149">
        <v>2024</v>
      </c>
      <c r="B5" s="149">
        <v>5</v>
      </c>
      <c r="C5" s="19"/>
      <c r="D5" s="19" t="s">
        <v>317</v>
      </c>
      <c r="E5" s="19"/>
      <c r="F5" s="19" t="s">
        <v>317</v>
      </c>
      <c r="G5" s="19"/>
      <c r="H5" s="19"/>
      <c r="I5" t="s">
        <v>852</v>
      </c>
      <c r="J5" s="5" t="e">
        <v>#N/A</v>
      </c>
      <c r="K5" s="19" t="s">
        <v>229</v>
      </c>
      <c r="L5" s="15" t="s">
        <v>814</v>
      </c>
      <c r="M5" s="19" t="s">
        <v>487</v>
      </c>
      <c r="P5" t="s">
        <v>311</v>
      </c>
      <c r="Q5" s="189">
        <f>'Step 3 (MTP) - Plan and prior'!C4+AdjustmentPeriod</f>
        <v>2028</v>
      </c>
      <c r="S5" s="185" t="s">
        <v>851</v>
      </c>
      <c r="T5">
        <v>2027</v>
      </c>
      <c r="U5"/>
      <c r="V5"/>
    </row>
    <row r="6" spans="1:22" x14ac:dyDescent="0.4">
      <c r="A6" s="149">
        <v>2025</v>
      </c>
      <c r="B6" s="19"/>
      <c r="C6" s="19"/>
      <c r="D6" s="19"/>
      <c r="E6" s="19"/>
      <c r="F6" s="19"/>
      <c r="G6" s="19"/>
      <c r="H6" s="19"/>
      <c r="I6" s="5" t="e">
        <v>#N/A</v>
      </c>
      <c r="J6" s="19"/>
      <c r="K6" s="19" t="s">
        <v>230</v>
      </c>
      <c r="L6" s="15" t="s">
        <v>815</v>
      </c>
      <c r="M6" s="19" t="s">
        <v>459</v>
      </c>
      <c r="P6" t="s">
        <v>430</v>
      </c>
      <c r="Q6" s="190" t="e">
        <f>IF('Step 1 - Set global parameters'!B18,'Step 1 - Set global parameters'!B19+1,IF('Step 1 - Set global parameters'!B20,'Step 1 - Set global parameters'!B21+1,NA()))</f>
        <v>#N/A</v>
      </c>
      <c r="U6"/>
    </row>
    <row r="7" spans="1:22" x14ac:dyDescent="0.4">
      <c r="A7" s="149">
        <v>2026</v>
      </c>
      <c r="B7" s="19"/>
      <c r="C7" s="19"/>
      <c r="D7" s="19"/>
      <c r="E7" s="19"/>
      <c r="F7" s="19"/>
      <c r="G7" s="19"/>
      <c r="H7" s="19"/>
      <c r="I7" s="19"/>
      <c r="J7" s="19"/>
      <c r="K7" s="19" t="s">
        <v>231</v>
      </c>
      <c r="L7" s="15" t="s">
        <v>816</v>
      </c>
      <c r="M7" s="19" t="s">
        <v>461</v>
      </c>
      <c r="P7" t="s">
        <v>967</v>
      </c>
      <c r="Q7" s="190" t="b">
        <f>NOT(AND(Assessment!C194, Assessment!C198))</f>
        <v>0</v>
      </c>
    </row>
    <row r="8" spans="1:22" x14ac:dyDescent="0.4">
      <c r="A8" s="149">
        <v>2027</v>
      </c>
      <c r="B8" s="19"/>
      <c r="C8" s="19"/>
      <c r="D8" s="19"/>
      <c r="E8" s="19"/>
      <c r="F8" s="19"/>
      <c r="G8" s="19"/>
      <c r="H8" s="19"/>
      <c r="I8" s="19"/>
      <c r="J8" s="19"/>
      <c r="K8" s="19" t="s">
        <v>232</v>
      </c>
      <c r="L8" s="15" t="s">
        <v>817</v>
      </c>
      <c r="M8" s="19" t="s">
        <v>490</v>
      </c>
      <c r="P8" t="s">
        <v>808</v>
      </c>
      <c r="Q8" s="190" t="b">
        <f>OR(INDEX('Step 1 - Set global parameters'!12:12, COLUMN('Step 1 - Set global parameters'!$C$12)):INDEX('Step 1 - Set global parameters'!12:12, COLUMN('Step 1 - Set global parameters'!$C$12) + AdjustmentPeriod + 2))</f>
        <v>1</v>
      </c>
    </row>
    <row r="9" spans="1:22" x14ac:dyDescent="0.4">
      <c r="A9" s="149">
        <v>2028</v>
      </c>
      <c r="B9" s="19"/>
      <c r="C9" s="19"/>
      <c r="D9" s="19"/>
      <c r="E9" s="19"/>
      <c r="F9" s="19"/>
      <c r="G9" s="19"/>
      <c r="H9" s="19"/>
      <c r="I9" s="19"/>
      <c r="J9" s="19"/>
      <c r="K9" s="19" t="s">
        <v>233</v>
      </c>
      <c r="L9" s="15" t="s">
        <v>818</v>
      </c>
      <c r="M9" s="19" t="s">
        <v>488</v>
      </c>
      <c r="P9" t="s">
        <v>839</v>
      </c>
      <c r="Q9" s="190" t="str">
        <f>INDEX(Validation!L3:L29,MATCH(Country,Validation!K3:K29,0))</f>
        <v>LV</v>
      </c>
    </row>
    <row r="10" spans="1:22" x14ac:dyDescent="0.4">
      <c r="A10" s="149">
        <v>2029</v>
      </c>
      <c r="B10" s="19"/>
      <c r="C10" s="19"/>
      <c r="D10" s="19"/>
      <c r="E10" s="19"/>
      <c r="F10" s="19"/>
      <c r="G10" s="19"/>
      <c r="H10" s="19"/>
      <c r="I10" s="19"/>
      <c r="J10" s="19"/>
      <c r="K10" s="5" t="s">
        <v>234</v>
      </c>
      <c r="L10" s="15" t="s">
        <v>819</v>
      </c>
      <c r="M10" s="19" t="s">
        <v>492</v>
      </c>
      <c r="P10" t="s">
        <v>802</v>
      </c>
      <c r="Q10" s="196">
        <f>'Step 3 (MTP) - Plan and prior'!C10</f>
        <v>45473</v>
      </c>
    </row>
    <row r="11" spans="1:22" x14ac:dyDescent="0.4">
      <c r="A11" s="149">
        <v>2030</v>
      </c>
      <c r="B11" s="19"/>
      <c r="C11" s="19"/>
      <c r="D11" s="19"/>
      <c r="E11" s="19"/>
      <c r="F11" s="19"/>
      <c r="G11" s="19"/>
      <c r="H11" s="19"/>
      <c r="I11" s="19"/>
      <c r="J11" s="19"/>
      <c r="K11" s="19" t="s">
        <v>235</v>
      </c>
      <c r="L11" s="15" t="s">
        <v>820</v>
      </c>
      <c r="M11" s="19" t="s">
        <v>497</v>
      </c>
      <c r="P11" t="s">
        <v>921</v>
      </c>
      <c r="Q11" s="188">
        <f>IF(MTP_BaseYearIsTminus2, MTP_YearT-2, MTP_YearT-1)</f>
        <v>2023</v>
      </c>
    </row>
    <row r="12" spans="1:22" x14ac:dyDescent="0.4">
      <c r="A12" s="149">
        <v>2031</v>
      </c>
      <c r="B12" s="19"/>
      <c r="C12" s="19"/>
      <c r="D12" s="19"/>
      <c r="E12" s="19"/>
      <c r="F12" s="19"/>
      <c r="G12" s="19"/>
      <c r="H12" s="19"/>
      <c r="I12" s="19"/>
      <c r="J12" s="19"/>
      <c r="K12" s="19" t="s">
        <v>236</v>
      </c>
      <c r="L12" s="15" t="s">
        <v>821</v>
      </c>
      <c r="M12" s="19" t="s">
        <v>466</v>
      </c>
    </row>
    <row r="13" spans="1:22" x14ac:dyDescent="0.4">
      <c r="A13" s="149">
        <v>2032</v>
      </c>
      <c r="B13" s="19"/>
      <c r="C13" s="19"/>
      <c r="D13" s="19"/>
      <c r="E13" s="19"/>
      <c r="F13" s="19"/>
      <c r="G13" s="19"/>
      <c r="H13" s="19"/>
      <c r="I13" s="19"/>
      <c r="J13" s="19"/>
      <c r="K13" s="19" t="s">
        <v>237</v>
      </c>
      <c r="L13" s="15" t="s">
        <v>822</v>
      </c>
      <c r="M13" s="19" t="s">
        <v>468</v>
      </c>
    </row>
    <row r="14" spans="1:22" x14ac:dyDescent="0.4">
      <c r="A14" s="149">
        <v>2033</v>
      </c>
      <c r="B14" s="19"/>
      <c r="C14" s="19"/>
      <c r="D14" s="19"/>
      <c r="E14" s="19"/>
      <c r="F14" s="19"/>
      <c r="G14" s="19"/>
      <c r="H14" s="19"/>
      <c r="I14" s="19"/>
      <c r="J14" s="19"/>
      <c r="K14" s="19" t="s">
        <v>238</v>
      </c>
      <c r="L14" s="15" t="s">
        <v>823</v>
      </c>
      <c r="M14" s="19" t="s">
        <v>469</v>
      </c>
    </row>
    <row r="15" spans="1:22" x14ac:dyDescent="0.4">
      <c r="A15" s="149">
        <v>2034</v>
      </c>
      <c r="B15" s="19"/>
      <c r="C15" s="19"/>
      <c r="D15" s="19"/>
      <c r="E15" s="19"/>
      <c r="F15" s="19"/>
      <c r="G15" s="19"/>
      <c r="H15" s="19"/>
      <c r="I15" s="19"/>
      <c r="J15" s="19"/>
      <c r="K15" s="19" t="s">
        <v>239</v>
      </c>
      <c r="L15" s="15" t="s">
        <v>824</v>
      </c>
      <c r="M15" s="19" t="s">
        <v>462</v>
      </c>
    </row>
    <row r="16" spans="1:22" x14ac:dyDescent="0.4">
      <c r="A16" s="149">
        <v>2035</v>
      </c>
      <c r="B16" s="19"/>
      <c r="C16" s="19"/>
      <c r="D16" s="19"/>
      <c r="E16" s="19"/>
      <c r="F16" s="19"/>
      <c r="G16" s="19"/>
      <c r="H16" s="19"/>
      <c r="I16" s="19"/>
      <c r="J16" s="19"/>
      <c r="K16" s="19" t="s">
        <v>240</v>
      </c>
      <c r="L16" s="15" t="s">
        <v>825</v>
      </c>
      <c r="M16" s="19" t="s">
        <v>458</v>
      </c>
    </row>
    <row r="17" spans="1:13" x14ac:dyDescent="0.4">
      <c r="A17" s="149">
        <v>2036</v>
      </c>
      <c r="B17" s="19"/>
      <c r="C17" s="19"/>
      <c r="D17" s="19"/>
      <c r="E17" s="19"/>
      <c r="F17" s="19"/>
      <c r="G17" s="19"/>
      <c r="H17" s="19"/>
      <c r="I17" s="19"/>
      <c r="J17" s="19"/>
      <c r="K17" s="19" t="s">
        <v>241</v>
      </c>
      <c r="L17" s="15" t="s">
        <v>826</v>
      </c>
      <c r="M17" s="19" t="s">
        <v>470</v>
      </c>
    </row>
    <row r="18" spans="1:13" x14ac:dyDescent="0.4">
      <c r="A18" s="149">
        <v>2037</v>
      </c>
      <c r="B18" s="19"/>
      <c r="C18" s="19"/>
      <c r="D18" s="19"/>
      <c r="E18" s="19"/>
      <c r="F18" s="19"/>
      <c r="G18" s="19"/>
      <c r="H18" s="19"/>
      <c r="I18" s="19"/>
      <c r="J18" s="19"/>
      <c r="K18" s="19" t="s">
        <v>19</v>
      </c>
      <c r="L18" s="15" t="s">
        <v>827</v>
      </c>
      <c r="M18" s="19" t="s">
        <v>479</v>
      </c>
    </row>
    <row r="19" spans="1:13" x14ac:dyDescent="0.4">
      <c r="A19" s="149">
        <v>2038</v>
      </c>
      <c r="B19" s="19"/>
      <c r="C19" s="19"/>
      <c r="D19" s="19"/>
      <c r="E19" s="19"/>
      <c r="F19" s="19"/>
      <c r="G19" s="19"/>
      <c r="H19" s="19"/>
      <c r="I19" s="19"/>
      <c r="J19" s="19"/>
      <c r="K19" s="19" t="s">
        <v>242</v>
      </c>
      <c r="L19" s="15" t="s">
        <v>828</v>
      </c>
      <c r="M19" s="19" t="s">
        <v>485</v>
      </c>
    </row>
    <row r="20" spans="1:13" x14ac:dyDescent="0.4">
      <c r="A20" s="149">
        <v>2039</v>
      </c>
      <c r="B20" s="19"/>
      <c r="C20" s="19"/>
      <c r="D20" s="19"/>
      <c r="E20" s="19"/>
      <c r="F20" s="19"/>
      <c r="G20" s="19"/>
      <c r="H20" s="19"/>
      <c r="I20" s="19"/>
      <c r="J20" s="19"/>
      <c r="K20" s="19" t="s">
        <v>243</v>
      </c>
      <c r="L20" s="15" t="s">
        <v>829</v>
      </c>
      <c r="M20" s="19" t="s">
        <v>484</v>
      </c>
    </row>
    <row r="21" spans="1:13" x14ac:dyDescent="0.4">
      <c r="A21" s="149">
        <v>2040</v>
      </c>
      <c r="B21" s="19"/>
      <c r="C21" s="19"/>
      <c r="D21" s="19"/>
      <c r="E21" s="19"/>
      <c r="F21" s="19"/>
      <c r="G21" s="19"/>
      <c r="H21" s="19"/>
      <c r="I21" s="19"/>
      <c r="J21" s="19"/>
      <c r="K21" s="19" t="s">
        <v>244</v>
      </c>
      <c r="L21" s="15" t="s">
        <v>830</v>
      </c>
      <c r="M21" s="19" t="s">
        <v>498</v>
      </c>
    </row>
    <row r="22" spans="1:13" x14ac:dyDescent="0.4">
      <c r="A22" s="149">
        <v>2041</v>
      </c>
      <c r="B22" s="19"/>
      <c r="C22" s="19"/>
      <c r="D22" s="19"/>
      <c r="E22" s="19"/>
      <c r="F22" s="19"/>
      <c r="G22" s="19"/>
      <c r="H22" s="19"/>
      <c r="I22" s="19"/>
      <c r="J22" s="19"/>
      <c r="K22" s="19" t="s">
        <v>245</v>
      </c>
      <c r="L22" s="15" t="s">
        <v>831</v>
      </c>
      <c r="M22" s="19" t="s">
        <v>457</v>
      </c>
    </row>
    <row r="23" spans="1:13" x14ac:dyDescent="0.4">
      <c r="A23" s="149">
        <v>2042</v>
      </c>
      <c r="B23" s="19"/>
      <c r="C23" s="19"/>
      <c r="D23" s="19"/>
      <c r="E23" s="19"/>
      <c r="F23" s="19"/>
      <c r="G23" s="19"/>
      <c r="H23" s="19"/>
      <c r="I23" s="19"/>
      <c r="J23" s="19"/>
      <c r="K23" s="19" t="s">
        <v>246</v>
      </c>
      <c r="L23" s="15" t="s">
        <v>832</v>
      </c>
      <c r="M23" s="19" t="s">
        <v>380</v>
      </c>
    </row>
    <row r="24" spans="1:13" x14ac:dyDescent="0.4">
      <c r="A24" s="149">
        <v>2043</v>
      </c>
      <c r="B24" s="19"/>
      <c r="C24" s="19"/>
      <c r="D24" s="19"/>
      <c r="E24" s="19"/>
      <c r="F24" s="19"/>
      <c r="G24" s="19"/>
      <c r="H24" s="19"/>
      <c r="I24" s="19"/>
      <c r="J24" s="19"/>
      <c r="K24" s="19" t="s">
        <v>247</v>
      </c>
      <c r="L24" s="15" t="s">
        <v>833</v>
      </c>
      <c r="M24" s="19" t="s">
        <v>472</v>
      </c>
    </row>
    <row r="25" spans="1:13" x14ac:dyDescent="0.4">
      <c r="A25" s="149">
        <v>2044</v>
      </c>
      <c r="B25" s="19"/>
      <c r="C25" s="19"/>
      <c r="D25" s="19"/>
      <c r="E25" s="19"/>
      <c r="F25" s="19"/>
      <c r="G25" s="19"/>
      <c r="H25" s="19"/>
      <c r="I25" s="19"/>
      <c r="J25" s="19"/>
      <c r="K25" s="19" t="s">
        <v>248</v>
      </c>
      <c r="L25" s="15" t="s">
        <v>834</v>
      </c>
      <c r="M25" s="19" t="s">
        <v>474</v>
      </c>
    </row>
    <row r="26" spans="1:13" x14ac:dyDescent="0.4">
      <c r="A26" s="149">
        <v>2045</v>
      </c>
      <c r="B26" s="19"/>
      <c r="C26" s="19"/>
      <c r="D26" s="19"/>
      <c r="E26" s="19"/>
      <c r="F26" s="19"/>
      <c r="G26" s="19"/>
      <c r="H26" s="19"/>
      <c r="I26" s="19"/>
      <c r="J26" s="19"/>
      <c r="K26" s="19" t="s">
        <v>249</v>
      </c>
      <c r="L26" s="15" t="s">
        <v>835</v>
      </c>
      <c r="M26" s="19" t="s">
        <v>501</v>
      </c>
    </row>
    <row r="27" spans="1:13" x14ac:dyDescent="0.4">
      <c r="A27" s="149">
        <v>2046</v>
      </c>
      <c r="B27" s="19"/>
      <c r="C27" s="19"/>
      <c r="D27" s="19"/>
      <c r="E27" s="19"/>
      <c r="F27" s="19"/>
      <c r="G27" s="19"/>
      <c r="H27" s="19"/>
      <c r="I27" s="19"/>
      <c r="J27" s="19"/>
      <c r="K27" s="19" t="s">
        <v>250</v>
      </c>
      <c r="L27" s="15" t="s">
        <v>836</v>
      </c>
      <c r="M27" s="19" t="s">
        <v>481</v>
      </c>
    </row>
    <row r="28" spans="1:13" x14ac:dyDescent="0.4">
      <c r="A28" s="149">
        <v>2047</v>
      </c>
      <c r="B28" s="19"/>
      <c r="C28" s="19"/>
      <c r="D28" s="19"/>
      <c r="E28" s="19"/>
      <c r="F28" s="19"/>
      <c r="G28" s="19"/>
      <c r="H28" s="19"/>
      <c r="I28" s="19"/>
      <c r="J28" s="19"/>
      <c r="K28" s="19" t="s">
        <v>251</v>
      </c>
      <c r="L28" s="15" t="s">
        <v>837</v>
      </c>
      <c r="M28" s="19" t="s">
        <v>480</v>
      </c>
    </row>
    <row r="29" spans="1:13" x14ac:dyDescent="0.4">
      <c r="A29" s="149">
        <v>2048</v>
      </c>
      <c r="B29" s="19"/>
      <c r="C29" s="19"/>
      <c r="D29" s="19"/>
      <c r="E29" s="19"/>
      <c r="F29" s="19"/>
      <c r="G29" s="19"/>
      <c r="H29" s="19"/>
      <c r="I29" s="19"/>
      <c r="J29" s="19"/>
      <c r="K29" s="19" t="s">
        <v>252</v>
      </c>
      <c r="L29" s="15" t="s">
        <v>838</v>
      </c>
      <c r="M29" s="19" t="s">
        <v>478</v>
      </c>
    </row>
    <row r="30" spans="1:13" x14ac:dyDescent="0.4">
      <c r="A30" s="149">
        <v>2049</v>
      </c>
      <c r="B30" s="19"/>
      <c r="C30" s="19"/>
      <c r="D30" s="19"/>
      <c r="E30" s="19"/>
      <c r="F30" s="19"/>
      <c r="G30" s="19"/>
      <c r="H30" s="19"/>
      <c r="I30" s="19"/>
      <c r="J30" s="19"/>
      <c r="K30" s="19"/>
      <c r="L30" s="19"/>
      <c r="M30" s="19" t="s">
        <v>500</v>
      </c>
    </row>
    <row r="31" spans="1:13" x14ac:dyDescent="0.4">
      <c r="A31" s="149">
        <v>2050</v>
      </c>
      <c r="B31" s="19"/>
      <c r="C31" s="19"/>
      <c r="D31" s="19"/>
      <c r="E31" s="19"/>
      <c r="F31" s="19"/>
      <c r="G31" s="19"/>
      <c r="H31" s="19"/>
      <c r="I31" s="19"/>
      <c r="J31" s="19"/>
      <c r="K31" s="19"/>
      <c r="L31" s="19"/>
      <c r="M31" s="19" t="s">
        <v>471</v>
      </c>
    </row>
    <row r="32" spans="1:13" x14ac:dyDescent="0.4">
      <c r="A32" s="149" t="e">
        <f>NA()</f>
        <v>#N/A</v>
      </c>
      <c r="B32" s="19"/>
      <c r="C32" s="19"/>
      <c r="D32" s="19"/>
      <c r="E32" s="19"/>
      <c r="F32" s="19"/>
      <c r="G32" s="19"/>
      <c r="H32" s="19"/>
      <c r="I32" s="19"/>
      <c r="J32" s="19"/>
      <c r="K32" s="19"/>
      <c r="L32" s="19"/>
      <c r="M32" s="19" t="s">
        <v>465</v>
      </c>
    </row>
    <row r="33" spans="1:13" x14ac:dyDescent="0.4">
      <c r="A33" s="19"/>
      <c r="B33" s="19"/>
      <c r="C33" s="19"/>
      <c r="D33" s="19"/>
      <c r="E33" s="19"/>
      <c r="F33" s="19"/>
      <c r="G33" s="19"/>
      <c r="H33" s="19"/>
      <c r="I33" s="19"/>
      <c r="J33" s="19"/>
      <c r="K33" s="19"/>
      <c r="L33" s="19"/>
      <c r="M33" s="19" t="s">
        <v>489</v>
      </c>
    </row>
    <row r="34" spans="1:13" x14ac:dyDescent="0.4">
      <c r="A34" s="19"/>
      <c r="B34" s="19"/>
      <c r="C34" s="19"/>
      <c r="D34" s="19"/>
      <c r="E34" s="19"/>
      <c r="F34" s="19"/>
      <c r="G34" s="19"/>
      <c r="H34" s="19"/>
      <c r="I34" s="19"/>
      <c r="J34" s="19"/>
      <c r="K34" s="19"/>
      <c r="L34" s="19"/>
      <c r="M34" s="19" t="s">
        <v>491</v>
      </c>
    </row>
    <row r="35" spans="1:13" x14ac:dyDescent="0.4">
      <c r="A35" s="19"/>
      <c r="B35" s="19"/>
      <c r="C35" s="19"/>
      <c r="D35" s="19"/>
      <c r="E35" s="19"/>
      <c r="F35" s="19"/>
      <c r="G35" s="19"/>
      <c r="H35" s="19"/>
      <c r="I35" s="19"/>
      <c r="J35" s="19"/>
      <c r="K35" s="19"/>
      <c r="L35" s="19"/>
      <c r="M35" s="19" t="s">
        <v>467</v>
      </c>
    </row>
    <row r="36" spans="1:13" x14ac:dyDescent="0.4">
      <c r="A36" s="19"/>
      <c r="B36" s="19"/>
      <c r="C36" s="19"/>
      <c r="D36" s="19"/>
      <c r="E36" s="19"/>
      <c r="F36" s="19"/>
      <c r="G36" s="19"/>
      <c r="H36" s="19"/>
      <c r="I36" s="19"/>
      <c r="J36" s="19"/>
      <c r="K36" s="19"/>
      <c r="L36" s="19"/>
      <c r="M36" s="19" t="s">
        <v>476</v>
      </c>
    </row>
    <row r="37" spans="1:13" x14ac:dyDescent="0.4">
      <c r="A37" s="19"/>
      <c r="B37" s="19"/>
      <c r="C37" s="19"/>
      <c r="D37" s="19"/>
      <c r="E37" s="19"/>
      <c r="F37" s="19"/>
      <c r="G37" s="19"/>
      <c r="H37" s="19"/>
      <c r="I37" s="19"/>
      <c r="J37" s="19"/>
      <c r="K37" s="19"/>
      <c r="L37" s="19"/>
      <c r="M37" s="19" t="s">
        <v>460</v>
      </c>
    </row>
    <row r="38" spans="1:13" x14ac:dyDescent="0.4">
      <c r="A38" s="19"/>
      <c r="B38" s="19"/>
      <c r="C38" s="19"/>
      <c r="D38" s="19"/>
      <c r="E38" s="19"/>
      <c r="F38" s="19"/>
      <c r="G38" s="19"/>
      <c r="H38" s="19"/>
      <c r="I38" s="19"/>
      <c r="J38" s="19"/>
      <c r="K38" s="19"/>
      <c r="L38" s="19"/>
      <c r="M38" s="19" t="s">
        <v>482</v>
      </c>
    </row>
    <row r="39" spans="1:13" x14ac:dyDescent="0.4">
      <c r="A39" s="19"/>
      <c r="B39" s="19"/>
      <c r="C39" s="19"/>
      <c r="D39" s="19"/>
      <c r="E39" s="19"/>
      <c r="F39" s="19"/>
      <c r="G39" s="19"/>
      <c r="H39" s="19"/>
      <c r="I39" s="19"/>
      <c r="J39" s="19"/>
      <c r="K39" s="19"/>
      <c r="L39" s="19"/>
      <c r="M39" s="19" t="s">
        <v>495</v>
      </c>
    </row>
    <row r="40" spans="1:13" x14ac:dyDescent="0.4">
      <c r="A40" s="19"/>
      <c r="B40" s="19"/>
      <c r="C40" s="19"/>
      <c r="D40" s="19"/>
      <c r="E40" s="19"/>
      <c r="F40" s="19"/>
      <c r="G40" s="19"/>
      <c r="H40" s="19"/>
      <c r="I40" s="19"/>
      <c r="J40" s="19"/>
      <c r="K40" s="19"/>
      <c r="L40" s="19"/>
      <c r="M40" s="19" t="s">
        <v>493</v>
      </c>
    </row>
    <row r="41" spans="1:13" x14ac:dyDescent="0.4">
      <c r="A41" s="19"/>
      <c r="B41" s="19"/>
      <c r="C41" s="19"/>
      <c r="D41" s="19"/>
      <c r="E41" s="19"/>
      <c r="F41" s="19"/>
      <c r="G41" s="19"/>
      <c r="H41" s="19"/>
      <c r="I41" s="19"/>
      <c r="J41" s="19"/>
      <c r="K41" s="19"/>
      <c r="L41" s="19"/>
      <c r="M41" s="19" t="s">
        <v>464</v>
      </c>
    </row>
    <row r="42" spans="1:13" x14ac:dyDescent="0.4">
      <c r="A42" s="19"/>
      <c r="B42" s="19"/>
      <c r="C42" s="19"/>
      <c r="D42" s="19"/>
      <c r="E42" s="19"/>
      <c r="F42" s="19"/>
      <c r="G42" s="19"/>
      <c r="H42" s="19"/>
      <c r="I42" s="19"/>
      <c r="J42" s="19"/>
      <c r="K42" s="5"/>
      <c r="L42" s="5"/>
      <c r="M42" s="19" t="s">
        <v>496</v>
      </c>
    </row>
    <row r="43" spans="1:13" x14ac:dyDescent="0.4">
      <c r="A43" s="19"/>
      <c r="B43" s="19"/>
      <c r="C43" s="19"/>
      <c r="D43" s="19"/>
      <c r="E43" s="19"/>
      <c r="F43" s="19"/>
      <c r="G43" s="19"/>
      <c r="H43" s="19"/>
      <c r="I43" s="19"/>
      <c r="J43" s="19"/>
      <c r="K43" s="19"/>
      <c r="L43" s="19"/>
      <c r="M43" s="19" t="s">
        <v>499</v>
      </c>
    </row>
    <row r="44" spans="1:13" x14ac:dyDescent="0.4">
      <c r="A44" s="19"/>
      <c r="B44" s="19"/>
      <c r="C44" s="19"/>
      <c r="D44" s="19"/>
      <c r="E44" s="19"/>
      <c r="F44" s="19"/>
      <c r="G44" s="19"/>
      <c r="H44" s="19"/>
      <c r="I44" s="19"/>
      <c r="J44" s="19"/>
      <c r="K44" s="19"/>
      <c r="L44" s="19"/>
      <c r="M44" s="19" t="s">
        <v>483</v>
      </c>
    </row>
    <row r="45" spans="1:13" x14ac:dyDescent="0.4">
      <c r="A45" s="19"/>
      <c r="B45" s="19"/>
      <c r="C45" s="19"/>
      <c r="D45" s="19"/>
      <c r="E45" s="19"/>
      <c r="F45" s="19"/>
      <c r="G45" s="19"/>
      <c r="H45" s="19"/>
      <c r="I45" s="19"/>
      <c r="J45" s="19"/>
      <c r="K45" s="19"/>
      <c r="L45" s="19"/>
      <c r="M45" s="19" t="s">
        <v>473</v>
      </c>
    </row>
    <row r="46" spans="1:13" x14ac:dyDescent="0.4">
      <c r="A46" s="19"/>
      <c r="B46" s="19"/>
      <c r="C46" s="19"/>
      <c r="D46" s="19"/>
      <c r="E46" s="19"/>
      <c r="F46" s="19"/>
      <c r="G46" s="19"/>
      <c r="H46" s="19"/>
      <c r="I46" s="19"/>
      <c r="J46" s="19"/>
      <c r="K46" s="19"/>
      <c r="L46" s="19"/>
      <c r="M46" s="19" t="s">
        <v>494</v>
      </c>
    </row>
    <row r="47" spans="1:13" x14ac:dyDescent="0.4">
      <c r="A47" s="19"/>
      <c r="B47" s="19"/>
      <c r="C47" s="19"/>
      <c r="D47" s="19"/>
      <c r="E47" s="19"/>
      <c r="F47" s="19"/>
      <c r="G47" s="19"/>
      <c r="H47" s="19"/>
      <c r="I47" s="19"/>
      <c r="J47" s="19"/>
      <c r="K47" s="19"/>
      <c r="L47" s="19"/>
      <c r="M47" s="5" t="s">
        <v>475</v>
      </c>
    </row>
    <row r="48" spans="1:13" x14ac:dyDescent="0.4">
      <c r="A48" s="19"/>
      <c r="B48" s="19"/>
      <c r="C48" s="19"/>
      <c r="D48" s="19"/>
      <c r="E48" s="19"/>
      <c r="F48" s="19"/>
      <c r="G48" s="19"/>
      <c r="H48" s="19"/>
      <c r="I48" s="19"/>
      <c r="J48" s="19"/>
      <c r="K48" s="19"/>
      <c r="L48" s="19"/>
      <c r="M48" s="19" t="s">
        <v>477</v>
      </c>
    </row>
    <row r="49" spans="1:13" x14ac:dyDescent="0.4">
      <c r="A49" s="19"/>
      <c r="B49" s="19"/>
      <c r="C49" s="19"/>
      <c r="D49" s="19"/>
      <c r="E49" s="19"/>
      <c r="F49" s="19"/>
      <c r="G49" s="19"/>
      <c r="H49" s="19"/>
      <c r="I49" s="19"/>
      <c r="J49" s="19"/>
      <c r="K49" s="19"/>
      <c r="L49" s="19"/>
      <c r="M49" s="19"/>
    </row>
    <row r="50" spans="1:13" x14ac:dyDescent="0.4">
      <c r="A50" s="19"/>
      <c r="B50" s="19"/>
      <c r="C50" s="19"/>
      <c r="D50" s="19"/>
      <c r="E50" s="19"/>
      <c r="F50" s="19"/>
      <c r="G50" s="19"/>
      <c r="H50" s="19"/>
      <c r="I50" s="19"/>
      <c r="J50" s="19"/>
      <c r="K50" s="19"/>
      <c r="L50" s="19"/>
      <c r="M50" s="19"/>
    </row>
    <row r="51" spans="1:13" x14ac:dyDescent="0.4">
      <c r="A51" s="19"/>
      <c r="B51" s="19"/>
      <c r="C51" s="19"/>
      <c r="D51" s="19"/>
      <c r="E51" s="19"/>
      <c r="F51" s="19"/>
      <c r="G51" s="19"/>
      <c r="H51" s="19"/>
      <c r="I51" s="19"/>
      <c r="J51" s="19"/>
      <c r="K51" s="19"/>
      <c r="L51" s="19"/>
      <c r="M51" s="19"/>
    </row>
    <row r="52" spans="1:13" x14ac:dyDescent="0.4">
      <c r="A52" s="19"/>
      <c r="B52" s="19"/>
      <c r="C52" s="19"/>
      <c r="D52" s="19"/>
      <c r="E52" s="19"/>
      <c r="F52" s="19"/>
      <c r="G52" s="19"/>
      <c r="H52" s="19"/>
      <c r="I52" s="19"/>
      <c r="J52" s="19"/>
      <c r="K52" s="19"/>
      <c r="L52" s="19"/>
      <c r="M52" s="19"/>
    </row>
    <row r="53" spans="1:13" x14ac:dyDescent="0.4">
      <c r="A53" s="19"/>
      <c r="B53" s="19"/>
      <c r="C53" s="19"/>
      <c r="D53" s="19"/>
      <c r="E53" s="19"/>
      <c r="F53" s="19"/>
      <c r="G53" s="19"/>
      <c r="H53" s="19"/>
      <c r="I53" s="19"/>
      <c r="J53" s="19"/>
      <c r="M53" s="19"/>
    </row>
    <row r="54" spans="1:13" x14ac:dyDescent="0.4">
      <c r="A54" s="19"/>
      <c r="B54" s="19"/>
      <c r="C54" s="19"/>
      <c r="D54" s="19"/>
      <c r="E54" s="19"/>
      <c r="F54" s="19"/>
      <c r="G54" s="19"/>
      <c r="H54" s="19"/>
      <c r="I54" s="19"/>
      <c r="J54" s="19"/>
      <c r="M54" s="19"/>
    </row>
    <row r="55" spans="1:13" x14ac:dyDescent="0.4">
      <c r="A55" s="19"/>
      <c r="B55" s="19"/>
      <c r="C55" s="19"/>
      <c r="D55" s="19"/>
      <c r="E55" s="19"/>
      <c r="F55" s="19"/>
      <c r="G55" s="19"/>
      <c r="H55" s="19"/>
      <c r="I55" s="19"/>
      <c r="J55" s="19"/>
      <c r="M55" s="19"/>
    </row>
    <row r="56" spans="1:13" x14ac:dyDescent="0.4">
      <c r="A56" s="19"/>
      <c r="B56" s="19"/>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x14ac:dyDescent="0.4">
      <c r="A74"/>
      <c r="B74"/>
      <c r="C74"/>
      <c r="D74"/>
      <c r="E74"/>
      <c r="F74"/>
      <c r="G74"/>
      <c r="H74"/>
      <c r="I74"/>
      <c r="J74"/>
      <c r="K74"/>
    </row>
    <row r="75" spans="1:11" x14ac:dyDescent="0.4">
      <c r="A75"/>
      <c r="B75"/>
    </row>
  </sheetData>
  <sortState xmlns:xlrd2="http://schemas.microsoft.com/office/spreadsheetml/2017/richdata2" ref="M3:M48">
    <sortCondition ref="M3:M48"/>
  </sortState>
  <dataValidations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9"/>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643</v>
      </c>
      <c r="C9" s="4" t="s">
        <v>968</v>
      </c>
    </row>
    <row r="10" spans="2:3" x14ac:dyDescent="0.4">
      <c r="B10" t="s">
        <v>642</v>
      </c>
    </row>
    <row r="11" spans="2:3" x14ac:dyDescent="0.4">
      <c r="B11" t="s">
        <v>629</v>
      </c>
    </row>
    <row r="12" spans="2:3" x14ac:dyDescent="0.4">
      <c r="B12" t="s">
        <v>938</v>
      </c>
    </row>
    <row r="13" spans="2:3" x14ac:dyDescent="0.4">
      <c r="B13" t="s">
        <v>939</v>
      </c>
    </row>
    <row r="14" spans="2:3" x14ac:dyDescent="0.4">
      <c r="B14" t="s">
        <v>629</v>
      </c>
    </row>
    <row r="15" spans="2:3" x14ac:dyDescent="0.4">
      <c r="B15" t="s">
        <v>935</v>
      </c>
    </row>
    <row r="16" spans="2:3" x14ac:dyDescent="0.4">
      <c r="B16" t="s">
        <v>936</v>
      </c>
    </row>
    <row r="17" spans="2:9" x14ac:dyDescent="0.4">
      <c r="B17" t="s">
        <v>944</v>
      </c>
    </row>
    <row r="19" spans="2:9" x14ac:dyDescent="0.4">
      <c r="B19" t="s">
        <v>937</v>
      </c>
    </row>
    <row r="20" spans="2:9" x14ac:dyDescent="0.4">
      <c r="B20" t="s">
        <v>946</v>
      </c>
    </row>
    <row r="21" spans="2:9" x14ac:dyDescent="0.4">
      <c r="B21" t="s">
        <v>949</v>
      </c>
    </row>
    <row r="22" spans="2:9" x14ac:dyDescent="0.4">
      <c r="B22" t="s">
        <v>947</v>
      </c>
    </row>
    <row r="24" spans="2:9" x14ac:dyDescent="0.4">
      <c r="B24" t="s">
        <v>969</v>
      </c>
    </row>
    <row r="25" spans="2:9" x14ac:dyDescent="0.4">
      <c r="B25" t="s">
        <v>940</v>
      </c>
      <c r="I25" s="53" t="s">
        <v>664</v>
      </c>
    </row>
    <row r="26" spans="2:9" x14ac:dyDescent="0.4">
      <c r="B26" s="2" t="s">
        <v>630</v>
      </c>
    </row>
    <row r="27" spans="2:9" x14ac:dyDescent="0.4">
      <c r="B27" s="2" t="s">
        <v>631</v>
      </c>
    </row>
    <row r="28" spans="2:9" x14ac:dyDescent="0.4">
      <c r="B28" s="2" t="s">
        <v>632</v>
      </c>
    </row>
    <row r="29" spans="2:9" x14ac:dyDescent="0.4">
      <c r="B29" s="2" t="s">
        <v>633</v>
      </c>
    </row>
    <row r="30" spans="2:9" x14ac:dyDescent="0.4">
      <c r="B30" t="s">
        <v>958</v>
      </c>
    </row>
    <row r="31" spans="2:9" x14ac:dyDescent="0.4">
      <c r="B31" t="s">
        <v>941</v>
      </c>
    </row>
    <row r="33" spans="2:2" x14ac:dyDescent="0.4">
      <c r="B33" t="s">
        <v>970</v>
      </c>
    </row>
    <row r="34" spans="2:2" x14ac:dyDescent="0.4">
      <c r="B34" t="s">
        <v>957</v>
      </c>
    </row>
    <row r="35" spans="2:2" x14ac:dyDescent="0.4">
      <c r="B35" t="s">
        <v>956</v>
      </c>
    </row>
    <row r="36" spans="2:2" x14ac:dyDescent="0.4">
      <c r="B36" t="s">
        <v>955</v>
      </c>
    </row>
    <row r="38" spans="2:2" x14ac:dyDescent="0.4">
      <c r="B38" t="s">
        <v>971</v>
      </c>
    </row>
    <row r="39" spans="2:2" x14ac:dyDescent="0.4">
      <c r="B39" t="s">
        <v>942</v>
      </c>
    </row>
    <row r="40" spans="2:2" x14ac:dyDescent="0.4">
      <c r="B40" s="2" t="s">
        <v>634</v>
      </c>
    </row>
    <row r="41" spans="2:2" x14ac:dyDescent="0.4">
      <c r="B41" s="2" t="s">
        <v>666</v>
      </c>
    </row>
    <row r="42" spans="2:2" x14ac:dyDescent="0.4">
      <c r="B42" s="2" t="s">
        <v>635</v>
      </c>
    </row>
    <row r="43" spans="2:2" x14ac:dyDescent="0.4">
      <c r="B43" t="s">
        <v>950</v>
      </c>
    </row>
    <row r="44" spans="2:2" x14ac:dyDescent="0.4">
      <c r="B44" t="s">
        <v>951</v>
      </c>
    </row>
    <row r="45" spans="2:2" x14ac:dyDescent="0.4">
      <c r="B45" t="s">
        <v>952</v>
      </c>
    </row>
    <row r="46" spans="2:2" x14ac:dyDescent="0.4">
      <c r="B46" t="s">
        <v>953</v>
      </c>
    </row>
    <row r="47" spans="2:2" x14ac:dyDescent="0.4">
      <c r="B47" t="s">
        <v>954</v>
      </c>
    </row>
    <row r="49" spans="2:2" x14ac:dyDescent="0.4">
      <c r="B49" t="s">
        <v>629</v>
      </c>
    </row>
    <row r="50" spans="2:2" x14ac:dyDescent="0.4">
      <c r="B50" t="s">
        <v>934</v>
      </c>
    </row>
    <row r="51" spans="2:2" x14ac:dyDescent="0.4">
      <c r="B51" t="s">
        <v>943</v>
      </c>
    </row>
    <row r="52" spans="2:2" x14ac:dyDescent="0.4">
      <c r="B52" t="s">
        <v>629</v>
      </c>
    </row>
    <row r="53" spans="2:2" x14ac:dyDescent="0.4">
      <c r="B53" t="s">
        <v>935</v>
      </c>
    </row>
    <row r="54" spans="2:2" x14ac:dyDescent="0.4">
      <c r="B54" t="s">
        <v>936</v>
      </c>
    </row>
    <row r="55" spans="2:2" x14ac:dyDescent="0.4">
      <c r="B55" t="s">
        <v>944</v>
      </c>
    </row>
    <row r="57" spans="2:2" x14ac:dyDescent="0.4">
      <c r="B57" t="s">
        <v>937</v>
      </c>
    </row>
    <row r="58" spans="2:2" x14ac:dyDescent="0.4">
      <c r="B58" t="s">
        <v>946</v>
      </c>
    </row>
    <row r="59" spans="2:2" x14ac:dyDescent="0.4">
      <c r="B59" t="s">
        <v>949</v>
      </c>
    </row>
    <row r="60" spans="2:2" x14ac:dyDescent="0.4">
      <c r="B60" t="s">
        <v>947</v>
      </c>
    </row>
    <row r="62" spans="2:2" x14ac:dyDescent="0.4">
      <c r="B62" t="s">
        <v>972</v>
      </c>
    </row>
    <row r="63" spans="2:2" x14ac:dyDescent="0.4">
      <c r="B63" t="s">
        <v>945</v>
      </c>
    </row>
    <row r="64" spans="2:2" x14ac:dyDescent="0.4">
      <c r="B64" t="s">
        <v>948</v>
      </c>
    </row>
    <row r="66" spans="2:2" x14ac:dyDescent="0.4">
      <c r="B66" t="s">
        <v>973</v>
      </c>
    </row>
    <row r="67" spans="2:2" x14ac:dyDescent="0.4">
      <c r="B67" t="s">
        <v>959</v>
      </c>
    </row>
    <row r="68" spans="2:2" x14ac:dyDescent="0.4">
      <c r="B68" s="2" t="s">
        <v>634</v>
      </c>
    </row>
    <row r="69" spans="2:2" x14ac:dyDescent="0.4">
      <c r="B69" s="2" t="s">
        <v>666</v>
      </c>
    </row>
    <row r="70" spans="2:2" x14ac:dyDescent="0.4">
      <c r="B70" s="2" t="s">
        <v>635</v>
      </c>
    </row>
    <row r="71" spans="2:2" x14ac:dyDescent="0.4">
      <c r="B71" t="s">
        <v>950</v>
      </c>
    </row>
    <row r="72" spans="2:2" x14ac:dyDescent="0.4">
      <c r="B72" t="s">
        <v>960</v>
      </c>
    </row>
    <row r="73" spans="2:2" x14ac:dyDescent="0.4">
      <c r="B73" t="s">
        <v>952</v>
      </c>
    </row>
    <row r="74" spans="2:2" x14ac:dyDescent="0.4">
      <c r="B74" t="s">
        <v>953</v>
      </c>
    </row>
    <row r="75" spans="2:2" x14ac:dyDescent="0.4">
      <c r="B75" t="s">
        <v>961</v>
      </c>
    </row>
    <row r="77" spans="2:2" x14ac:dyDescent="0.4">
      <c r="B77" t="s">
        <v>636</v>
      </c>
    </row>
    <row r="78" spans="2:2" x14ac:dyDescent="0.4">
      <c r="B78" t="s">
        <v>637</v>
      </c>
    </row>
    <row r="79" spans="2:2" x14ac:dyDescent="0.4">
      <c r="B79" t="s">
        <v>667</v>
      </c>
    </row>
    <row r="80" spans="2:2" x14ac:dyDescent="0.4">
      <c r="B80" t="s">
        <v>962</v>
      </c>
    </row>
    <row r="81" spans="2:2" x14ac:dyDescent="0.4">
      <c r="B81" t="s">
        <v>963</v>
      </c>
    </row>
    <row r="82" spans="2:2" x14ac:dyDescent="0.4">
      <c r="B82" t="s">
        <v>638</v>
      </c>
    </row>
    <row r="84" spans="2:2" x14ac:dyDescent="0.4">
      <c r="B84" t="s">
        <v>639</v>
      </c>
    </row>
    <row r="85" spans="2:2" x14ac:dyDescent="0.4">
      <c r="B85" t="s">
        <v>640</v>
      </c>
    </row>
    <row r="86" spans="2:2" x14ac:dyDescent="0.4">
      <c r="B86" t="s">
        <v>641</v>
      </c>
    </row>
    <row r="88" spans="2:2" x14ac:dyDescent="0.4">
      <c r="B88" t="s">
        <v>974</v>
      </c>
    </row>
    <row r="89" spans="2:2" x14ac:dyDescent="0.4">
      <c r="B89" t="s">
        <v>665</v>
      </c>
    </row>
  </sheetData>
  <hyperlinks>
    <hyperlink ref="I25"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2026-05-06T20:14:39Z</dcterms:modified>
</cp:coreProperties>
</file>