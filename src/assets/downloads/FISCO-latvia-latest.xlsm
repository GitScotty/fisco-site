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onsulting/Phase II - Latvia/Vienna/Latvia/"/>
    </mc:Choice>
  </mc:AlternateContent>
  <xr:revisionPtr revIDLastSave="1162" documentId="8_{FEAD1FC0-B0B5-4F3F-8E99-B62FB95DF039}" xr6:coauthVersionLast="47" xr6:coauthVersionMax="47" xr10:uidLastSave="{C455EA02-441C-4FCA-9138-46ECED13DB63}"/>
  <bookViews>
    <workbookView xWindow="-98" yWindow="-98" windowWidth="21795" windowHeight="12975" tabRatio="624" firstSheet="6"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<sst xmlns="http://schemas.openxmlformats.org/spreadsheetml/2006/main" count="2098" uniqueCount="964">
  <si>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</si>
  <si>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</si>
  <si>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</si>
  <si>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</si>
  <si>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</si>
  <si>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</si>
  <si>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</si>
  <si>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</si>
  <si>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</si>
  <si>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</si>
  <si>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</si>
  <si>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</si>
  <si>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</si>
  <si>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</si>
  <si>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</si>
  <si>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</si>
  <si>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</si>
  <si>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</si>
  <si>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</si>
  <si>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</si>
  <si>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</si>
  <si>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</si>
  <si>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</si>
  <si>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</si>
  <si>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</si>
  <si>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</si>
  <si>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</si>
  <si>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</si>
  <si>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</si>
  <si>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</si>
  <si>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</si>
  <si>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</si>
  <si>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</si>
  <si>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</si>
  <si>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</si>
  <si>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</si>
  <si>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</si>
  <si>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</si>
  <si>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</si>
  <si>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</si>
  <si>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</si>
  <si>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</si>
  <si>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</si>
  <si>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</si>
  <si>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</si>
  <si>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</si>
  <si>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</si>
  <si>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</si>
  <si>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</si>
  <si>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</si>
  <si>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</si>
  <si>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</si>
  <si>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</si>
  <si>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</si>
  <si>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</si>
  <si>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</si>
  <si>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</si>
  <si>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</si>
  <si>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</si>
  <si>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</si>
  <si>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</si>
  <si>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</si>
  <si>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</si>
  <si>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</si>
  <si>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</si>
  <si>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</si>
  <si>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</si>
  <si>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</si>
  <si>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</si>
  <si>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</si>
  <si>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</si>
  <si>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</si>
  <si>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</si>
  <si>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</si>
  <si>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</si>
  <si>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</si>
  <si>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</si>
  <si>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</si>
  <si>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</si>
  <si>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</si>
  <si>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</si>
  <si>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</si>
  <si>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</si>
  <si>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</si>
  <si>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</si>
  <si>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</si>
  <si>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</si>
  <si>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</si>
  <si>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</si>
  <si>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</si>
  <si>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</si>
  <si>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</si>
  <si>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</si>
  <si>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</si>
  <si>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</si>
  <si>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</si>
  <si>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</si>
  <si>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</si>
  <si>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</si>
  <si>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</si>
  <si>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</si>
  <si>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</si>
  <si>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</si>
  <si>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</si>
  <si>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</si>
  <si>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</si>
  <si>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</si>
  <si>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</si>
  <si>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</si>
  <si>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</si>
  <si>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</si>
  <si>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</si>
  <si>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</si>
  <si>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</si>
  <si>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</si>
  <si>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</si>
  <si>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</si>
  <si>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</si>
  <si>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</si>
  <si>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</si>
  <si>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</si>
  <si>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</si>
  <si>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</si>
  <si>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</si>
  <si>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</si>
  <si>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</si>
  <si>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</si>
  <si>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</si>
  <si>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</si>
  <si>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</si>
  <si>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</si>
  <si>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</si>
  <si>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</si>
  <si>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</si>
  <si>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</si>
  <si>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</si>
  <si>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</si>
  <si>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</si>
  <si>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</si>
  <si>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</si>
  <si>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</si>
  <si>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</si>
  <si>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</si>
  <si>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</si>
  <si>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</si>
  <si>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</si>
  <si>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</si>
  <si>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</si>
  <si>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</si>
  <si>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</si>
  <si>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</si>
  <si>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</si>
  <si>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</si>
  <si>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</si>
  <si>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</si>
  <si>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</si>
  <si>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</si>
  <si>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</si>
  <si>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</si>
  <si>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</si>
  <si>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</si>
  <si>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</si>
  <si>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</si>
  <si>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</si>
  <si>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</si>
  <si>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</si>
  <si>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</si>
  <si>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</si>
  <si>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</si>
  <si>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</si>
  <si>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</si>
  <si>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</si>
  <si>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</si>
  <si>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</si>
  <si>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</si>
  <si>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</si>
  <si>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</si>
  <si>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</si>
  <si>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</si>
  <si>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</si>
  <si>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</si>
  <si>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</si>
  <si>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</si>
  <si>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</si>
  <si>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</si>
  <si>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</si>
  <si>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</si>
  <si>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</si>
  <si>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</si>
  <si>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</si>
  <si>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</si>
  <si>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</si>
  <si>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</si>
  <si>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</si>
  <si>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</si>
  <si>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</si>
  <si>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</si>
  <si>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</si>
  <si>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</si>
  <si>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</si>
  <si>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</si>
  <si>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</si>
  <si>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</si>
  <si>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</si>
  <si>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</si>
  <si>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</si>
  <si>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</si>
  <si>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</si>
  <si>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</si>
  <si>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</si>
  <si>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</si>
  <si>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</si>
  <si>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</si>
  <si>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</si>
  <si>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</si>
  <si>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</si>
  <si>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</si>
  <si>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</si>
  <si>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</si>
  <si>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</si>
  <si>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</si>
  <si>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</si>
  <si>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</si>
  <si>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</si>
  <si>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</si>
  <si>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</si>
  <si>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</si>
  <si>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</si>
  <si>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</si>
  <si>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</si>
  <si>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</si>
  <si>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</si>
  <si>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</si>
  <si>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</si>
  <si>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</si>
  <si>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</si>
  <si>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</si>
  <si>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</si>
  <si>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</si>
  <si>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</si>
  <si>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</si>
  <si>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</si>
  <si>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</si>
  <si>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</si>
  <si>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</si>
  <si>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</si>
  <si>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</si>
  <si>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</si>
  <si>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</si>
  <si>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</si>
  <si>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</si>
  <si>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</si>
  <si>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</si>
  <si>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</si>
  <si>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</si>
  <si>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</si>
  <si>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</si>
  <si>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</si>
  <si>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</si>
  <si>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</si>
  <si>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</si>
  <si>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</si>
  <si>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</si>
  <si>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</si>
  <si>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</si>
  <si>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</si>
  <si>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</si>
  <si>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</si>
  <si>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</si>
  <si>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</si>
  <si>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</si>
  <si>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</si>
  <si>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</si>
  <si>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</si>
  <si>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</si>
  <si>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</si>
  <si>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</si>
  <si>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</si>
  <si>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</si>
  <si>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</si>
  <si>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</si>
  <si>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</si>
  <si>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</si>
  <si>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</si>
  <si>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</si>
  <si>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</si>
  <si>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</si>
  <si>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</si>
  <si>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</si>
  <si>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</si>
  <si>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</si>
  <si>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</si>
  <si>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</si>
  <si>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</si>
  <si>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</si>
  <si>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</si>
  <si>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</si>
  <si>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</si>
  <si>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</si>
  <si>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</si>
  <si>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</si>
  <si>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</si>
  <si>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</si>
  <si>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</si>
  <si>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</si>
  <si>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</si>
  <si>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</si>
  <si>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</si>
  <si>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</si>
  <si>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</si>
  <si>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</si>
  <si>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</si>
  <si>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</si>
  <si>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</si>
  <si>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</si>
  <si>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</si>
  <si>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</si>
  <si>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</si>
  <si>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</si>
  <si>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</si>
  <si>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</si>
  <si>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</si>
  <si>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</si>
  <si>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</si>
  <si>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</si>
  <si>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</si>
  <si>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</si>
  <si>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</si>
  <si>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</si>
  <si>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</si>
  <si>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</si>
  <si>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</si>
  <si>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</si>
  <si>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</si>
  <si>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</si>
  <si>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</si>
  <si>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</si>
  <si>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</si>
  <si>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</si>
  <si>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</si>
  <si>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</si>
  <si>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</si>
  <si>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</si>
  <si>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</si>
  <si>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</si>
  <si>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</si>
  <si>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</si>
  <si>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</si>
  <si>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</si>
  <si>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</si>
  <si>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</si>
  <si>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</si>
  <si>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</si>
  <si>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</si>
  <si>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</si>
  <si>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</si>
  <si>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</si>
  <si>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</si>
  <si>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</si>
  <si>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</si>
  <si>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</si>
  <si>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</si>
  <si>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</si>
  <si>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</si>
  <si>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</si>
  <si>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</si>
  <si>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</si>
  <si>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</si>
  <si>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</si>
  <si>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</si>
  <si>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</si>
  <si>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</si>
  <si>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</si>
  <si>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</si>
  <si>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</si>
  <si>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</si>
  <si>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</si>
  <si>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</si>
  <si>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</si>
  <si>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</si>
  <si>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</si>
  <si>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</si>
  <si>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</si>
  <si>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</si>
  <si>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</si>
  <si>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</si>
  <si>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</si>
  <si>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</si>
  <si>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</si>
  <si>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</si>
  <si>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</si>
  <si>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</si>
  <si>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</si>
  <si>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</si>
  <si>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</si>
  <si>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</si>
  <si>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</si>
  <si>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</si>
  <si>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</si>
  <si>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</si>
  <si>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</si>
  <si>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</si>
  <si>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</si>
  <si>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</si>
  <si>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</si>
  <si>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</si>
  <si>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</si>
  <si>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</si>
  <si>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</si>
  <si>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</si>
  <si>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</si>
  <si>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</si>
  <si>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</si>
  <si>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</si>
  <si>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</si>
  <si>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</si>
  <si>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</si>
  <si>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</si>
  <si>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</si>
  <si>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</si>
  <si>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</si>
  <si>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</si>
  <si>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</si>
  <si>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</si>
  <si>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</si>
  <si>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</si>
  <si>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</si>
  <si>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</si>
  <si>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</si>
  <si>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</si>
  <si>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</si>
  <si>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</si>
  <si>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</si>
  <si>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</si>
  <si>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</si>
  <si>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</si>
  <si>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</si>
  <si>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</si>
  <si>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</si>
  <si>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</si>
  <si>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</si>
  <si>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</si>
  <si>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</si>
  <si>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</si>
  <si>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</si>
  <si>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</si>
  <si>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</si>
  <si>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</si>
  <si>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</si>
  <si>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</si>
  <si>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</si>
  <si>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</si>
  <si>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</si>
  <si>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</si>
  <si>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</si>
  <si>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</si>
  <si>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</si>
  <si>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</si>
  <si>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</si>
  <si>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</si>
  <si>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</si>
  <si>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</si>
  <si>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</si>
  <si>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</si>
  <si>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</si>
  <si>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</si>
  <si>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</si>
  <si>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</si>
  <si>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</si>
  <si>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</si>
  <si>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</si>
  <si>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</si>
  <si>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</si>
  <si>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</si>
  <si>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</si>
  <si>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</si>
  <si>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</si>
  <si>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</si>
  <si>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</si>
  <si>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</si>
  <si>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</si>
  <si>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</si>
  <si>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</si>
  <si>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</si>
  <si>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</si>
  <si>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</si>
  <si>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</si>
  <si>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</si>
  <si>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</si>
  <si>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</si>
  <si>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</si>
  <si>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</si>
  <si>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</si>
  <si>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</si>
  <si>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</si>
  <si>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</si>
  <si>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</si>
  <si>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</si>
  <si>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</si>
  <si>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</si>
  <si>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</si>
  <si>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</si>
  <si>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</si>
  <si>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</si>
  <si>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</si>
  <si>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</si>
  <si>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</si>
  <si>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</si>
  <si>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</si>
  <si>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</si>
  <si>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</si>
  <si>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</si>
  <si>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</si>
  <si>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</si>
  <si>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</si>
  <si>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</si>
  <si>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</si>
  <si>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</si>
  <si>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</si>
  <si>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</si>
  <si>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</si>
  <si>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</si>
  <si>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</si>
  <si>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</si>
  <si>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</si>
  <si>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</si>
  <si>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</si>
  <si>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</si>
  <si>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</si>
  <si>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</si>
  <si>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</si>
  <si>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</si>
  <si>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</si>
  <si>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</si>
  <si>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</si>
  <si>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</si>
  <si>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</si>
  <si>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</si>
  <si>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</si>
  <si>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</si>
  <si>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</si>
  <si>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</si>
  <si>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</si>
  <si>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</si>
  <si>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</si>
  <si>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</si>
  <si>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</si>
  <si>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</si>
  <si>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</si>
  <si>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</si>
  <si>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</si>
  <si>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</si>
  <si>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</si>
  <si>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</si>
  <si>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</si>
  <si>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</si>
  <si>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</si>
  <si>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</si>
  <si>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</si>
  <si>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</si>
  <si>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</si>
  <si>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</si>
  <si>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</si>
  <si>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</si>
  <si>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</si>
  <si>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</si>
  <si>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</si>
  <si>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</si>
  <si>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</si>
  <si>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</si>
  <si>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</si>
  <si>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</si>
  <si>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</si>
  <si>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</si>
  <si>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</si>
  <si>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</si>
  <si>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</si>
  <si>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</si>
  <si>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</si>
  <si>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</si>
  <si>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</si>
  <si>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</si>
  <si>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</si>
  <si>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</si>
  <si>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</si>
  <si>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</si>
  <si>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</si>
  <si>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</si>
  <si>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</si>
  <si>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</si>
  <si>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</si>
  <si>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</si>
  <si>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</si>
  <si>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</si>
  <si>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</si>
  <si>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</si>
  <si>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</si>
  <si>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</si>
  <si>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</si>
  <si>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</si>
  <si>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</si>
  <si>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</si>
  <si>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</si>
  <si>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</si>
  <si>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</si>
  <si>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</si>
  <si>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</si>
  <si>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</si>
  <si>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</si>
  <si>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</si>
  <si>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</si>
  <si>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</si>
  <si>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</si>
  <si>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</si>
  <si>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</si>
  <si>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</si>
  <si>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</si>
  <si>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</si>
  <si>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</si>
  <si>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</si>
  <si>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</si>
  <si>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</si>
  <si>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</si>
  <si>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</si>
  <si>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</si>
  <si>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</si>
  <si>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</si>
  <si>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</si>
  <si>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</si>
  <si>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</si>
  <si>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</si>
  <si>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</si>
  <si>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</si>
  <si>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</si>
  <si>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</si>
  <si>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</si>
  <si>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</si>
  <si>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</si>
  <si>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</si>
  <si>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</si>
  <si>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</si>
  <si>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</si>
  <si>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</si>
  <si>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</si>
  <si>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</si>
  <si>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</si>
  <si>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</si>
  <si>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</si>
  <si>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</si>
  <si>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</si>
  <si>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</si>
  <si>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</si>
  <si>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</si>
  <si>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</si>
  <si>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</si>
  <si>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</si>
  <si>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</si>
  <si>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</si>
  <si>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</si>
  <si>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</si>
  <si>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</si>
  <si>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</si>
  <si>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</si>
  <si>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</si>
  <si>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</si>
  <si>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</si>
  <si>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</si>
  <si>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</si>
  <si>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</si>
  <si>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</si>
  <si>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</si>
  <si>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</si>
  <si>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</si>
  <si>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</si>
  <si>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</si>
  <si>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</si>
  <si>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</si>
  <si>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</si>
  <si>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</si>
  <si>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</si>
  <si>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</si>
  <si>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</si>
  <si>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</si>
  <si>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</si>
  <si>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</si>
  <si>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</si>
  <si>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</si>
  <si>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</si>
  <si>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</si>
  <si>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</si>
  <si>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</si>
  <si>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</si>
  <si>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</si>
  <si>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</si>
  <si>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</si>
  <si>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</si>
  <si>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</si>
  <si>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</si>
  <si>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</si>
  <si>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</si>
  <si>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</si>
  <si>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</si>
  <si>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</si>
  <si>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</si>
  <si>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</si>
  <si>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</si>
  <si>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</si>
  <si>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</si>
  <si>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</si>
  <si>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</si>
  <si>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</si>
  <si>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</si>
  <si>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</si>
  <si>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</si>
  <si>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</si>
  <si>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</si>
  <si>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</si>
  <si>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</si>
  <si>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</si>
  <si>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</si>
  <si>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</si>
  <si>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</si>
  <si>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</si>
  <si>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</si>
  <si>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</si>
  <si>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</si>
  <si>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</si>
  <si>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</si>
  <si>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</si>
  <si>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</si>
  <si>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</si>
  <si>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</si>
  <si>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</si>
  <si>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</si>
  <si>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</si>
  <si>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</si>
  <si>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</si>
  <si>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</si>
  <si>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</si>
  <si>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</si>
  <si>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</si>
  <si>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</si>
  <si>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</si>
  <si>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</si>
  <si>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</si>
  <si>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</si>
  <si>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</si>
  <si>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</si>
  <si>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</si>
  <si>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</si>
  <si>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</si>
  <si>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</si>
  <si>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</si>
  <si>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</si>
  <si>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</si>
  <si>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</si>
  <si>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</si>
  <si>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</si>
  <si>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</si>
  <si>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</si>
  <si>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</si>
  <si>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</si>
  <si>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</si>
  <si>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</si>
  <si>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</si>
  <si>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</si>
  <si>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</si>
  <si>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</si>
  <si>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</si>
  <si>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</si>
  <si>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</si>
  <si>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</si>
  <si>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</si>
  <si>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</si>
  <si>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</si>
  <si>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</si>
  <si>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</si>
  <si>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</si>
  <si>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</si>
  <si>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</si>
  <si>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</si>
  <si>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</si>
  <si>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</si>
  <si>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</si>
  <si>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</si>
  <si>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</si>
  <si>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</si>
  <si>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</si>
  <si>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</si>
  <si>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</si>
  <si>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</si>
  <si>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</si>
  <si>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</si>
  <si>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</si>
  <si>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</si>
  <si>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</si>
  <si>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</si>
  <si>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</si>
  <si>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</si>
  <si>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</si>
  <si>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</si>
  <si>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</si>
  <si>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</si>
  <si>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</si>
  <si>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</si>
  <si>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</si>
  <si>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</si>
  <si>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</si>
  <si>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</si>
  <si>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</si>
  <si>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</si>
  <si>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</si>
  <si>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</si>
  <si>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</si>
  <si>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</si>
  <si>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</si>
  <si>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</si>
  <si>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</si>
  <si>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</si>
  <si>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</si>
  <si>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</si>
  <si>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</si>
  <si>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</si>
  <si>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</si>
  <si>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</si>
  <si>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</si>
  <si>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</si>
  <si>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</si>
  <si>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</si>
  <si>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</si>
  <si>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</si>
  <si>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</si>
  <si>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</si>
  <si>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</si>
  <si>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</si>
  <si>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</si>
  <si>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</si>
  <si>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</si>
  <si>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</si>
  <si>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</si>
  <si>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</si>
  <si>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</si>
  <si>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</si>
  <si>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</si>
  <si>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</si>
  <si>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</si>
  <si>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</si>
  <si>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</si>
  <si>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</si>
  <si>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</si>
  <si>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</si>
  <si>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</si>
  <si>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</si>
  <si>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</si>
  <si>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</si>
  <si>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</si>
  <si>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</si>
  <si>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</si>
  <si>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</si>
  <si>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</si>
  <si>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</si>
  <si>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</si>
  <si>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</si>
  <si>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</si>
  <si>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</si>
  <si>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</si>
  <si>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</si>
  <si>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</si>
  <si>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</si>
  <si>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</si>
  <si>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</si>
  <si>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</si>
  <si>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</si>
  <si>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</si>
  <si>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</si>
  <si>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</si>
  <si>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</si>
  <si>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</si>
  <si>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</si>
  <si>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</si>
  <si>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</si>
  <si>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</si>
  <si>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</si>
  <si>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</si>
  <si>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</si>
  <si>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</si>
  <si>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</si>
  <si>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</si>
  <si>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</si>
  <si>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</si>
  <si>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</si>
  <si>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</si>
  <si>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</si>
  <si>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</si>
  <si>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</si>
  <si>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</si>
  <si>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</si>
  <si>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</si>
  <si>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</si>
  <si>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</si>
  <si>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</si>
  <si>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</si>
  <si>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</si>
  <si>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</si>
  <si>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</si>
  <si>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</si>
  <si>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</si>
  <si>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</si>
  <si>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</si>
  <si>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</si>
  <si>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</si>
  <si>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</si>
  <si>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</si>
  <si>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</si>
  <si>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</si>
  <si>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</si>
  <si>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</si>
  <si>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</si>
  <si>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</si>
  <si>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</si>
  <si>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</si>
  <si>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</si>
  <si>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</si>
  <si>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</si>
  <si>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</si>
  <si>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</si>
  <si>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</si>
  <si>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</si>
  <si>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</si>
  <si>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</si>
  <si>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</si>
  <si>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</si>
  <si>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</si>
  <si>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</si>
  <si>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</si>
  <si>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</si>
  <si>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</si>
  <si>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</si>
  <si>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</si>
  <si>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</si>
  <si>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</si>
  <si>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</si>
  <si>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</si>
  <si>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</si>
  <si>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</si>
  <si>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</si>
  <si>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</si>
  <si>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</si>
  <si>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</si>
  <si>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</si>
  <si>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</si>
  <si>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</si>
  <si>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</si>
  <si>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</si>
  <si>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</si>
  <si>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</si>
  <si>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</si>
  <si>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</si>
  <si>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</si>
  <si>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</si>
  <si>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</si>
  <si>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</si>
  <si>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</si>
  <si>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Draft budgetary plan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</si>
</sst>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-1.8432263611161073</c:v>
                </c:pt>
                <c:pt idx="1">
                  <c:v>-2.6239061316128445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-3.1950612561425316</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-3.1950612561425316</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-3.1950612561425316</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0.60226</cdr:x>
      <cdr:y>0.35461</cdr:y>
    </cdr:from>
    <cdr:to>
      <cdr:x>0.86383</cdr:x>
      <cdr:y>0.43468</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10887" y="1026815"/>
          <a:ext cx="1220812"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0.57854</cdr:x>
      <cdr:y>0.32131</cdr:y>
    </cdr:from>
    <cdr:to>
      <cdr:x>0.90634</cdr:x>
      <cdr:y>0.40192</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00179" y="930378"/>
          <a:ext cx="1529925"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19</v>
      </c>
    </row>
    <row r="3" spans="1:11" ht="13.5" customHeight="1" x14ac:dyDescent="0.4">
      <c r="A3" s="157" t="s">
        <v>305</v>
      </c>
      <c r="B3" s="284" t="s">
        <v>433</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963</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v>45464</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703</v>
      </c>
      <c r="D22" s="87" t="s">
        <v>703</v>
      </c>
      <c r="E22" s="87" t="s">
        <v>703</v>
      </c>
      <c r="F22" s="87" t="s">
        <v>703</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950</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2021</v>
      </c>
      <c r="J26" s="71"/>
    </row>
    <row r="27" spans="1:11" ht="13.5" customHeight="1" x14ac:dyDescent="0.4">
      <c r="A27" t="s">
        <v>935</v>
      </c>
      <c r="B27" s="266">
        <v>2.5</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0.73429999999999995</v>
      </c>
      <c r="F9" s="141">
        <v>0.75549999999999995</v>
      </c>
      <c r="G9" s="181">
        <v>1.2509999999999999</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1.0249299999999999</v>
      </c>
      <c r="F14" s="141">
        <v>1.10371</v>
      </c>
      <c r="G14" s="181">
        <v>1.36114</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Latvia</v>
      </c>
      <c r="C30" s="8"/>
    </row>
    <row r="31" spans="1:34" outlineLevel="1" x14ac:dyDescent="0.4">
      <c r="A31" s="150" t="s">
        <v>830</v>
      </c>
      <c r="B31" s="254">
        <v>46194.887939814813</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219.8</v>
      </c>
      <c r="E58" s="9">
        <v>394.5</v>
      </c>
      <c r="F58">
        <v>445</v>
      </c>
      <c r="G58">
        <v>444.6</v>
      </c>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208.7</v>
      </c>
      <c r="E62" s="9">
        <v>339.8</v>
      </c>
      <c r="F62">
        <v>310.5</v>
      </c>
      <c r="G62">
        <v>806.4</v>
      </c>
    </row>
    <row r="63" spans="1:169" outlineLevel="1" x14ac:dyDescent="0.4">
      <c r="A63" t="s">
        <v>668</v>
      </c>
      <c r="B63" t="s">
        <v>109</v>
      </c>
      <c r="C63" t="s">
        <v>674</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31849.74</v>
      </c>
      <c r="E89" s="9">
        <v>31549.83</v>
      </c>
      <c r="F89" s="9">
        <v>31538.14</v>
      </c>
      <c r="G89" s="9">
        <v>32212.39</v>
      </c>
      <c r="H89" s="9"/>
      <c r="I89" s="9"/>
      <c r="J89" s="9"/>
      <c r="K89" s="9"/>
      <c r="L89" s="9"/>
      <c r="M89" s="9"/>
      <c r="N89" s="9"/>
      <c r="O89" s="9"/>
      <c r="P89" s="9"/>
      <c r="Q89" s="9"/>
    </row>
    <row r="90" spans="1:169" outlineLevel="1" x14ac:dyDescent="0.4">
      <c r="A90" t="s">
        <v>681</v>
      </c>
      <c r="B90" t="s">
        <v>294</v>
      </c>
      <c r="C90" t="s">
        <v>672</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952</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Draft budgetary plan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0.73429999999999995</v>
      </c>
      <c r="E11" s="167">
        <f>IF(ISNUMBER(E$6),IF(AND(E$6&gt;=MTP_BaseYear,E$6&lt;=OutturnThrough),'Step 2 - Update outturn data'!F9,INDEX($D$60:$J$60,MATCH(E$6,$D$34:$J$34,0))/100*E$29),"")</f>
        <v>0.75549999999999995</v>
      </c>
      <c r="F11" s="167">
        <f>IF(ISNUMBER(F$6),IF(AND(F$6&gt;=MTP_BaseYear,F$6&lt;=OutturnThrough),'Step 2 - Update outturn data'!G9,INDEX($D$60:$J$60,MATCH(F$6,$D$34:$J$34,0))/100*F$29),"")</f>
        <v>1.2509999999999999</v>
      </c>
      <c r="G11" s="167">
        <f>IF(ISNUMBER(G$6),IF(AND(G$6&gt;=MTP_BaseYear,G$6&lt;=OutturnThrough),'Step 2 - Update outturn data'!H9,INDEX($D$60:$J$60,MATCH(G$6,$D$34:$J$34,0))/100*G$29),"")</f>
        <v>0.91301596399999985</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1.0249299999999999</v>
      </c>
      <c r="E16" s="167">
        <f>IF(ISNUMBER(E$6),IF(AND(E$6&gt;=MTP_BaseYear,E$6&lt;=OutturnThrough),'Step 2 - Update outturn data'!F14,INDEX($D$87:$J$87,MATCH(E$6,$D$34:$J$34,0))/100*E$29),"")</f>
        <v>1.10371</v>
      </c>
      <c r="F16" s="167">
        <f>IF(ISNUMBER(F$6),IF(AND(F$6&gt;=MTP_BaseYear,F$6&lt;=OutturnThrough),'Step 2 - Update outturn data'!G14,INDEX($D$87:$J$87,MATCH(F$6,$D$34:$J$34,0))/100*F$29),"")</f>
        <v>1.36114</v>
      </c>
      <c r="G16" s="167">
        <f>IF(ISNUMBER(G$6),IF(AND(G$6&gt;=MTP_BaseYear,G$6&lt;=OutturnThrough),'Step 2 - Update outturn data'!H14,INDEX($D$87:$J$87,MATCH(G$6,$D$34:$J$34,0))/100*G$29),"")</f>
        <v>2.1573508744079999</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39.5642</v>
      </c>
      <c r="E29" s="278">
        <f>IF(ISNUMBER(E$6),IF(AND(E$6&gt;=MTP_BaseYear,E$6&lt;=OutturnThrough),'Step 2 - Update outturn data'!F27,D29*(1+INDEX($D$96:$J$96,MATCH(E$6,$D$92:$J$92,0))/100)),"")</f>
        <v>40.652300000000004</v>
      </c>
      <c r="F29" s="278">
        <f>IF(ISNUMBER(F$6),IF(AND(F$6&gt;=MTP_BaseYear,F$6&lt;=OutturnThrough),'Step 2 - Update outturn data'!G27,E29*(1+INDEX($D$96:$J$96,MATCH(F$6,$D$92:$J$92,0))/100)),"")</f>
        <v>43.026199999999996</v>
      </c>
      <c r="G29" s="278">
        <f>IF(ISNUMBER(G$6),IF(AND(G$6&gt;=MTP_BaseYear,G$6&lt;=OutturnThrough),'Step 2 - Update outturn data'!H27,F29*(1+INDEX($D$96:$J$96,MATCH(G$6,$D$92:$J$92,0))/100)),"")</f>
        <v>45.65079819999999</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5.6</v>
      </c>
      <c r="E36" s="4">
        <v>14.1</v>
      </c>
      <c r="F36" s="4">
        <v>14.4</v>
      </c>
      <c r="G36" s="4">
        <v>14.2</v>
      </c>
      <c r="H36" s="4">
        <v>14.2</v>
      </c>
      <c r="I36" s="4"/>
      <c r="J36" s="4"/>
    </row>
    <row r="37" spans="1:11" x14ac:dyDescent="0.4">
      <c r="A37" s="212">
        <v>2</v>
      </c>
      <c r="B37" s="242" t="s">
        <v>33</v>
      </c>
      <c r="C37" s="242" t="s">
        <v>73</v>
      </c>
      <c r="D37" s="4">
        <v>3.1</v>
      </c>
      <c r="E37" s="4">
        <v>7.9</v>
      </c>
      <c r="F37" s="4">
        <v>9.1999999999999993</v>
      </c>
      <c r="G37" s="4">
        <v>8.5</v>
      </c>
      <c r="H37" s="4">
        <v>8.4</v>
      </c>
      <c r="I37" s="4"/>
      <c r="J37" s="4"/>
    </row>
    <row r="38" spans="1:11" x14ac:dyDescent="0.4">
      <c r="A38" s="212">
        <v>3</v>
      </c>
      <c r="B38" s="242" t="s">
        <v>34</v>
      </c>
      <c r="C38" s="242" t="s">
        <v>74</v>
      </c>
      <c r="D38" s="4">
        <v>4.3</v>
      </c>
      <c r="E38" s="4">
        <v>10.8</v>
      </c>
      <c r="F38" s="4">
        <v>11.5</v>
      </c>
      <c r="G38" s="4">
        <v>11.7</v>
      </c>
      <c r="H38" s="4">
        <v>11.8</v>
      </c>
      <c r="I38" s="4"/>
      <c r="J38" s="4"/>
    </row>
    <row r="39" spans="1:11" x14ac:dyDescent="0.4">
      <c r="A39" s="212">
        <v>4</v>
      </c>
      <c r="B39" s="242" t="s">
        <v>36</v>
      </c>
      <c r="C39" s="242" t="s">
        <v>75</v>
      </c>
      <c r="D39" s="4">
        <v>2.9</v>
      </c>
      <c r="E39" s="4">
        <v>7.4</v>
      </c>
      <c r="F39" s="4">
        <v>7.5</v>
      </c>
      <c r="G39" s="4">
        <v>7</v>
      </c>
      <c r="H39" s="4">
        <v>6.1</v>
      </c>
      <c r="I39" s="4"/>
      <c r="J39" s="4"/>
    </row>
    <row r="40" spans="1:11" x14ac:dyDescent="0.4">
      <c r="A40" s="212">
        <v>5</v>
      </c>
      <c r="B40" s="242" t="s">
        <v>37</v>
      </c>
      <c r="C40" s="242" t="s">
        <v>76</v>
      </c>
      <c r="D40" s="4">
        <v>0</v>
      </c>
      <c r="E40" s="4">
        <v>0</v>
      </c>
      <c r="F40" s="4">
        <v>0</v>
      </c>
      <c r="G40" s="4">
        <v>0</v>
      </c>
      <c r="H40" s="4">
        <v>0</v>
      </c>
      <c r="I40" s="4"/>
      <c r="J40" s="4"/>
    </row>
    <row r="41" spans="1:11" x14ac:dyDescent="0.4">
      <c r="A41" s="212">
        <v>6</v>
      </c>
      <c r="B41" s="242" t="s">
        <v>38</v>
      </c>
      <c r="C41" s="242" t="s">
        <v>77</v>
      </c>
      <c r="D41" s="4">
        <v>0.3</v>
      </c>
      <c r="E41" s="4">
        <v>0.9</v>
      </c>
      <c r="F41" s="4">
        <v>0.9</v>
      </c>
      <c r="G41" s="4">
        <v>1.4</v>
      </c>
      <c r="H41" s="4">
        <v>1.5</v>
      </c>
      <c r="I41" s="4"/>
      <c r="J41" s="4"/>
    </row>
    <row r="42" spans="1:11" x14ac:dyDescent="0.4">
      <c r="A42" s="212">
        <v>7</v>
      </c>
      <c r="B42" s="242" t="s">
        <v>39</v>
      </c>
      <c r="C42" s="242" t="s">
        <v>78</v>
      </c>
      <c r="D42" s="242">
        <v>16.3</v>
      </c>
      <c r="E42" s="242">
        <v>41.1</v>
      </c>
      <c r="F42" s="242">
        <v>43.5</v>
      </c>
      <c r="G42" s="242">
        <v>43</v>
      </c>
      <c r="H42" s="242">
        <v>42.1</v>
      </c>
      <c r="I42" s="242"/>
      <c r="J42" s="242"/>
    </row>
    <row r="43" spans="1:11" x14ac:dyDescent="0.4">
      <c r="A43" s="212">
        <v>8</v>
      </c>
      <c r="B43" s="242" t="s">
        <v>40</v>
      </c>
      <c r="C43" s="242" t="s">
        <v>79</v>
      </c>
      <c r="D43" s="4">
        <v>0.7</v>
      </c>
      <c r="E43" s="4">
        <v>1.9</v>
      </c>
      <c r="F43" s="4">
        <v>1.9</v>
      </c>
      <c r="G43" s="4">
        <v>1.9</v>
      </c>
      <c r="H43" s="4">
        <v>2</v>
      </c>
      <c r="I43" s="4"/>
      <c r="J43" s="4"/>
    </row>
    <row r="44" spans="1:11" x14ac:dyDescent="0.4">
      <c r="A44" s="212">
        <v>9</v>
      </c>
      <c r="B44" s="242" t="s">
        <v>41</v>
      </c>
      <c r="C44" s="242"/>
      <c r="D44" s="242">
        <v>15.5</v>
      </c>
      <c r="E44" s="242">
        <v>39.200000000000003</v>
      </c>
      <c r="F44" s="242">
        <v>41.6</v>
      </c>
      <c r="G44" s="242">
        <v>41.1</v>
      </c>
      <c r="H44" s="242">
        <v>40.1</v>
      </c>
      <c r="I44" s="242"/>
      <c r="J44" s="242"/>
    </row>
    <row r="45" spans="1:11" x14ac:dyDescent="0.4">
      <c r="A45" s="212">
        <v>10</v>
      </c>
      <c r="B45" s="242" t="s">
        <v>42</v>
      </c>
      <c r="C45" s="242"/>
      <c r="D45" s="4">
        <v>0.1</v>
      </c>
      <c r="E45" s="4">
        <v>-0.2</v>
      </c>
      <c r="F45" s="4">
        <v>0.6</v>
      </c>
      <c r="G45" s="4">
        <v>0.1</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4.8</v>
      </c>
      <c r="E48" s="4">
        <v>12.1</v>
      </c>
      <c r="F48" s="4">
        <v>13.1</v>
      </c>
      <c r="G48" s="4">
        <v>13.1</v>
      </c>
      <c r="H48" s="4">
        <v>12.8</v>
      </c>
      <c r="I48" s="4"/>
      <c r="J48" s="4"/>
    </row>
    <row r="49" spans="1:10" x14ac:dyDescent="0.4">
      <c r="A49" s="212">
        <v>13</v>
      </c>
      <c r="B49" s="225" t="s">
        <v>45</v>
      </c>
      <c r="C49" s="225" t="s">
        <v>80</v>
      </c>
      <c r="D49" s="4">
        <v>2.5</v>
      </c>
      <c r="E49" s="4">
        <v>6.3</v>
      </c>
      <c r="F49" s="4">
        <v>6.1</v>
      </c>
      <c r="G49" s="4">
        <v>6.3</v>
      </c>
      <c r="H49" s="4">
        <v>6.2</v>
      </c>
      <c r="I49" s="4"/>
      <c r="J49" s="4"/>
    </row>
    <row r="50" spans="1:10" x14ac:dyDescent="0.4">
      <c r="A50" s="212">
        <v>14</v>
      </c>
      <c r="B50" s="225" t="s">
        <v>46</v>
      </c>
      <c r="C50" s="225" t="s">
        <v>28</v>
      </c>
      <c r="D50" s="4">
        <v>0.3</v>
      </c>
      <c r="E50" s="4">
        <v>0.7</v>
      </c>
      <c r="F50" s="4">
        <v>1.1000000000000001</v>
      </c>
      <c r="G50" s="4">
        <v>1.2</v>
      </c>
      <c r="H50" s="4">
        <v>1.3</v>
      </c>
      <c r="I50" s="4"/>
      <c r="J50" s="4"/>
    </row>
    <row r="51" spans="1:10" x14ac:dyDescent="0.4">
      <c r="A51" s="212">
        <v>15</v>
      </c>
      <c r="B51" s="225" t="s">
        <v>47</v>
      </c>
      <c r="C51" s="225" t="s">
        <v>81</v>
      </c>
      <c r="D51" s="4">
        <v>4.7</v>
      </c>
      <c r="E51" s="4">
        <v>11.9</v>
      </c>
      <c r="F51" s="4">
        <v>12.5</v>
      </c>
      <c r="G51" s="4">
        <v>12.8</v>
      </c>
      <c r="H51" s="4">
        <v>13.2</v>
      </c>
      <c r="I51" s="4"/>
      <c r="J51" s="4"/>
    </row>
    <row r="52" spans="1:10" x14ac:dyDescent="0.4">
      <c r="A52" s="212">
        <v>16</v>
      </c>
      <c r="B52" s="225" t="s">
        <v>48</v>
      </c>
      <c r="C52" s="225" t="s">
        <v>82</v>
      </c>
      <c r="D52" s="4">
        <v>0.8</v>
      </c>
      <c r="E52" s="4">
        <v>2.1</v>
      </c>
      <c r="F52" s="4">
        <v>2.1</v>
      </c>
      <c r="G52" s="4">
        <v>2</v>
      </c>
      <c r="H52" s="4">
        <v>2.2000000000000002</v>
      </c>
      <c r="I52" s="4"/>
      <c r="J52" s="4"/>
    </row>
    <row r="53" spans="1:10" x14ac:dyDescent="0.4">
      <c r="A53" s="212">
        <v>17</v>
      </c>
      <c r="B53" s="225" t="s">
        <v>49</v>
      </c>
      <c r="C53" s="225" t="s">
        <v>83</v>
      </c>
      <c r="D53" s="4">
        <v>0.6</v>
      </c>
      <c r="E53" s="4">
        <v>1.6</v>
      </c>
      <c r="F53" s="4">
        <v>0.9</v>
      </c>
      <c r="G53" s="4">
        <v>0.8</v>
      </c>
      <c r="H53" s="4">
        <v>0.8</v>
      </c>
      <c r="I53" s="4"/>
      <c r="J53" s="4"/>
    </row>
    <row r="54" spans="1:10" x14ac:dyDescent="0.4">
      <c r="A54" s="212">
        <v>18</v>
      </c>
      <c r="B54" s="225" t="s">
        <v>50</v>
      </c>
      <c r="C54" s="225" t="s">
        <v>84</v>
      </c>
      <c r="D54" s="4">
        <v>1.1000000000000001</v>
      </c>
      <c r="E54" s="4">
        <v>2.7</v>
      </c>
      <c r="F54" s="4">
        <v>2.4</v>
      </c>
      <c r="G54" s="4">
        <v>2.7</v>
      </c>
      <c r="H54" s="4">
        <v>1.6</v>
      </c>
      <c r="I54" s="4"/>
      <c r="J54" s="4"/>
    </row>
    <row r="55" spans="1:10" x14ac:dyDescent="0.4">
      <c r="A55" s="212">
        <v>19</v>
      </c>
      <c r="B55" s="225" t="s">
        <v>10</v>
      </c>
      <c r="C55" s="225" t="s">
        <v>4</v>
      </c>
      <c r="D55" s="4">
        <v>2.2000000000000002</v>
      </c>
      <c r="E55" s="4">
        <v>5.6</v>
      </c>
      <c r="F55" s="4">
        <v>6.3</v>
      </c>
      <c r="G55" s="4">
        <v>6.1</v>
      </c>
      <c r="H55" s="4">
        <v>6.5</v>
      </c>
      <c r="I55" s="4"/>
      <c r="J55" s="4"/>
    </row>
    <row r="56" spans="1:10" x14ac:dyDescent="0.4">
      <c r="A56" s="212">
        <v>20</v>
      </c>
      <c r="B56" s="225" t="s">
        <v>51</v>
      </c>
      <c r="C56" s="225"/>
      <c r="D56" s="4">
        <v>1.9</v>
      </c>
      <c r="E56" s="4">
        <v>4.8</v>
      </c>
      <c r="F56" s="4">
        <v>5.5</v>
      </c>
      <c r="G56" s="4">
        <v>4.9000000000000004</v>
      </c>
      <c r="H56" s="4">
        <v>5.3</v>
      </c>
      <c r="I56" s="4"/>
      <c r="J56" s="4"/>
    </row>
    <row r="57" spans="1:10" x14ac:dyDescent="0.4">
      <c r="A57" s="212">
        <v>21</v>
      </c>
      <c r="B57" s="225" t="s">
        <v>52</v>
      </c>
      <c r="C57" s="225" t="s">
        <v>85</v>
      </c>
      <c r="D57" s="4">
        <v>0.1</v>
      </c>
      <c r="E57" s="4">
        <v>0.2</v>
      </c>
      <c r="F57" s="4">
        <v>0.3</v>
      </c>
      <c r="G57" s="4">
        <v>0.3</v>
      </c>
      <c r="H57" s="4">
        <v>0.2</v>
      </c>
      <c r="I57" s="4"/>
      <c r="J57" s="4"/>
    </row>
    <row r="58" spans="1:10" x14ac:dyDescent="0.4">
      <c r="A58" s="212">
        <v>22</v>
      </c>
      <c r="B58" s="225" t="s">
        <v>53</v>
      </c>
      <c r="C58" s="225" t="s">
        <v>86</v>
      </c>
      <c r="D58" s="4">
        <v>0.1</v>
      </c>
      <c r="E58" s="4">
        <v>0.1</v>
      </c>
      <c r="F58" s="4">
        <v>0.4</v>
      </c>
      <c r="G58" s="4">
        <v>0</v>
      </c>
      <c r="H58" s="4">
        <v>0.3</v>
      </c>
      <c r="I58" s="4"/>
      <c r="J58" s="4"/>
    </row>
    <row r="59" spans="1:10" x14ac:dyDescent="0.4">
      <c r="A59" s="212">
        <v>23</v>
      </c>
      <c r="B59" s="225" t="s">
        <v>54</v>
      </c>
      <c r="C59" s="225" t="s">
        <v>87</v>
      </c>
      <c r="D59" s="242">
        <v>17.2</v>
      </c>
      <c r="E59" s="242">
        <v>43.4</v>
      </c>
      <c r="F59" s="242">
        <v>45.3</v>
      </c>
      <c r="G59" s="242">
        <v>45.3</v>
      </c>
      <c r="H59" s="242">
        <v>45.1</v>
      </c>
      <c r="I59" s="242"/>
      <c r="J59" s="242"/>
    </row>
    <row r="60" spans="1:10" x14ac:dyDescent="0.4">
      <c r="A60" s="212">
        <v>24</v>
      </c>
      <c r="B60" s="225" t="s">
        <v>55</v>
      </c>
      <c r="C60" s="225" t="s">
        <v>79</v>
      </c>
      <c r="D60" s="4">
        <v>0.7</v>
      </c>
      <c r="E60" s="4">
        <v>1.9</v>
      </c>
      <c r="F60" s="4">
        <v>1.9</v>
      </c>
      <c r="G60" s="4">
        <v>1.9</v>
      </c>
      <c r="H60" s="4">
        <v>2</v>
      </c>
      <c r="I60" s="4"/>
      <c r="J60" s="4"/>
    </row>
    <row r="61" spans="1:10" x14ac:dyDescent="0.4">
      <c r="A61" s="212">
        <v>25</v>
      </c>
      <c r="B61" s="225" t="s">
        <v>56</v>
      </c>
      <c r="C61" s="225"/>
      <c r="D61" s="242">
        <v>16.5</v>
      </c>
      <c r="E61" s="242">
        <v>41.6</v>
      </c>
      <c r="F61" s="242">
        <v>43.4</v>
      </c>
      <c r="G61" s="242">
        <v>43.4</v>
      </c>
      <c r="H61" s="242">
        <v>43.1</v>
      </c>
      <c r="I61" s="242"/>
      <c r="J61" s="242"/>
    </row>
    <row r="62" spans="1:10" x14ac:dyDescent="0.4">
      <c r="A62" s="212">
        <v>26</v>
      </c>
      <c r="B62" s="225" t="s">
        <v>751</v>
      </c>
      <c r="C62" s="225"/>
      <c r="D62" s="4">
        <v>0.2</v>
      </c>
      <c r="E62" s="4">
        <v>0.4</v>
      </c>
      <c r="F62" s="4">
        <v>0.3</v>
      </c>
      <c r="G62" s="4">
        <v>0.5</v>
      </c>
      <c r="H62" s="4">
        <v>0.5</v>
      </c>
      <c r="I62" s="4"/>
      <c r="J62" s="4"/>
    </row>
    <row r="63" spans="1:10" x14ac:dyDescent="0.4">
      <c r="A63" s="212">
        <v>27</v>
      </c>
      <c r="B63" s="225" t="s">
        <v>57</v>
      </c>
      <c r="C63" s="225"/>
      <c r="D63" s="4">
        <v>-0.01</v>
      </c>
      <c r="E63" s="4">
        <v>-0.02</v>
      </c>
      <c r="F63" s="4">
        <v>0.02</v>
      </c>
      <c r="G63" s="4">
        <v>0.03</v>
      </c>
      <c r="H63" s="4">
        <v>0.02</v>
      </c>
      <c r="I63" s="4"/>
      <c r="J63" s="4"/>
    </row>
    <row r="64" spans="1:10" x14ac:dyDescent="0.4">
      <c r="A64" s="212">
        <v>28</v>
      </c>
      <c r="B64" s="225" t="s">
        <v>58</v>
      </c>
      <c r="C64" s="225"/>
      <c r="D64" s="4">
        <v>0</v>
      </c>
      <c r="E64" s="4">
        <v>0</v>
      </c>
      <c r="F64" s="4">
        <v>0</v>
      </c>
      <c r="G64" s="4">
        <v>0</v>
      </c>
      <c r="H64" s="4">
        <v>0</v>
      </c>
      <c r="I64" s="4"/>
      <c r="J64" s="4"/>
    </row>
    <row r="65" spans="1:11" x14ac:dyDescent="0.4">
      <c r="A65" s="212">
        <v>29</v>
      </c>
      <c r="B65" s="225" t="s">
        <v>59</v>
      </c>
      <c r="C65" s="225"/>
      <c r="D65" s="242">
        <v>16</v>
      </c>
      <c r="E65" s="242">
        <v>40.5</v>
      </c>
      <c r="F65" s="242">
        <v>42</v>
      </c>
      <c r="G65" s="242">
        <v>41.8</v>
      </c>
      <c r="H65" s="242">
        <v>41.3</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5.2</v>
      </c>
      <c r="G67" s="4">
        <v>5</v>
      </c>
      <c r="H67" s="4">
        <v>5.3</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-0.9</v>
      </c>
      <c r="E69" s="4">
        <v>-2.4</v>
      </c>
      <c r="F69" s="4">
        <v>-1.8</v>
      </c>
      <c r="G69" s="4">
        <v>-2.4</v>
      </c>
      <c r="H69" s="4">
        <v>-3</v>
      </c>
      <c r="I69" s="4"/>
      <c r="J69" s="4"/>
    </row>
    <row r="70" spans="1:11" x14ac:dyDescent="0.4">
      <c r="A70" s="212">
        <v>32</v>
      </c>
      <c r="B70" s="225" t="s">
        <v>62</v>
      </c>
      <c r="C70" s="225" t="s">
        <v>88</v>
      </c>
      <c r="D70" s="4">
        <v>-0.6</v>
      </c>
      <c r="E70" s="4">
        <v>-1.6</v>
      </c>
      <c r="F70" s="4">
        <v>-0.7</v>
      </c>
      <c r="G70" s="4">
        <v>-1.2</v>
      </c>
      <c r="H70" s="4">
        <v>-1.7</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-2.2000000000000002</v>
      </c>
      <c r="F72" s="4">
        <v>-1</v>
      </c>
      <c r="G72" s="4">
        <v>-1.7</v>
      </c>
      <c r="H72" s="4">
        <v>-2.6</v>
      </c>
      <c r="I72" s="4"/>
      <c r="J72" s="4"/>
    </row>
    <row r="73" spans="1:11" ht="14.25" x14ac:dyDescent="0.45">
      <c r="A73" s="212">
        <v>34</v>
      </c>
      <c r="B73" s="225" t="s">
        <v>3</v>
      </c>
      <c r="C73" s="225"/>
      <c r="D73" s="244"/>
      <c r="E73" s="4">
        <v>-1.5</v>
      </c>
      <c r="F73" s="4">
        <v>0.05</v>
      </c>
      <c r="G73" s="4">
        <v>-0.6</v>
      </c>
      <c r="H73" s="4">
        <v>-1.3</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17.600000000000001</v>
      </c>
      <c r="E75" s="4">
        <v>44.4</v>
      </c>
      <c r="F75" s="4">
        <v>46.2</v>
      </c>
      <c r="G75" s="4">
        <v>47</v>
      </c>
      <c r="H75" s="4">
        <v>47.9</v>
      </c>
      <c r="I75" s="4"/>
      <c r="J75" s="4"/>
    </row>
    <row r="76" spans="1:11" x14ac:dyDescent="0.4">
      <c r="A76" s="212">
        <v>36</v>
      </c>
      <c r="B76" s="225" t="s">
        <v>2</v>
      </c>
      <c r="C76" s="225"/>
      <c r="D76" s="4">
        <v>1.5</v>
      </c>
      <c r="E76" s="4">
        <v>-0.01</v>
      </c>
      <c r="F76" s="4">
        <v>1.8</v>
      </c>
      <c r="G76" s="4">
        <v>0.8</v>
      </c>
      <c r="H76" s="4">
        <v>0.9</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1.6</v>
      </c>
      <c r="F78" s="4">
        <v>0.7</v>
      </c>
      <c r="G78" s="4">
        <v>1.2</v>
      </c>
      <c r="H78" s="4">
        <v>1.7</v>
      </c>
      <c r="I78" s="4"/>
      <c r="J78" s="4"/>
    </row>
    <row r="79" spans="1:11" ht="14.25" x14ac:dyDescent="0.45">
      <c r="A79" s="212">
        <v>39</v>
      </c>
      <c r="B79" s="240" t="s">
        <v>754</v>
      </c>
      <c r="C79" s="225"/>
      <c r="D79" s="244"/>
      <c r="E79" s="4">
        <v>-3.2</v>
      </c>
      <c r="F79" s="4">
        <v>-0.1</v>
      </c>
      <c r="G79" s="4">
        <v>-1.4</v>
      </c>
      <c r="H79" s="4">
        <v>-1.4</v>
      </c>
      <c r="I79" s="4"/>
      <c r="J79" s="4"/>
    </row>
    <row r="80" spans="1:11" ht="14.25" x14ac:dyDescent="0.45">
      <c r="A80" s="212">
        <v>40</v>
      </c>
      <c r="B80" s="241" t="s">
        <v>755</v>
      </c>
      <c r="C80" s="225"/>
      <c r="D80" s="244"/>
      <c r="E80" s="4">
        <v>0.7</v>
      </c>
      <c r="F80" s="4">
        <v>1.1000000000000001</v>
      </c>
      <c r="G80" s="4">
        <v>1.2</v>
      </c>
      <c r="H80" s="4">
        <v>1.3</v>
      </c>
      <c r="I80" s="4"/>
      <c r="J80" s="4"/>
    </row>
    <row r="81" spans="1:11" ht="14.25" x14ac:dyDescent="0.45">
      <c r="A81" s="212">
        <v>41</v>
      </c>
      <c r="B81" s="241" t="s">
        <v>756</v>
      </c>
      <c r="C81" s="225"/>
      <c r="D81" s="244"/>
      <c r="E81" s="4">
        <v>0.4</v>
      </c>
      <c r="F81" s="4">
        <v>0</v>
      </c>
      <c r="G81" s="4">
        <v>-0.9</v>
      </c>
      <c r="H81" s="4">
        <v>-1.2</v>
      </c>
      <c r="I81" s="4"/>
      <c r="J81" s="4"/>
    </row>
    <row r="82" spans="1:11" ht="14.25" x14ac:dyDescent="0.45">
      <c r="A82" s="212">
        <v>42</v>
      </c>
      <c r="B82" s="241" t="s">
        <v>757</v>
      </c>
      <c r="C82" s="225"/>
      <c r="D82" s="244"/>
      <c r="E82" s="4">
        <v>-4.3</v>
      </c>
      <c r="F82" s="4">
        <v>-1.2</v>
      </c>
      <c r="G82" s="4">
        <v>-1.6</v>
      </c>
      <c r="H82" s="4">
        <v>-1.5</v>
      </c>
      <c r="I82" s="4"/>
      <c r="J82" s="4"/>
    </row>
    <row r="83" spans="1:11" ht="14.25" x14ac:dyDescent="0.45">
      <c r="A83" s="212">
        <v>43</v>
      </c>
      <c r="B83" s="240" t="s">
        <v>758</v>
      </c>
      <c r="C83" s="225"/>
      <c r="D83" s="244"/>
      <c r="E83" s="4">
        <v>1.5</v>
      </c>
      <c r="F83" s="4">
        <v>1.2</v>
      </c>
      <c r="G83" s="4">
        <v>1</v>
      </c>
      <c r="H83" s="4">
        <v>0.6</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1.8</v>
      </c>
      <c r="F85" s="4">
        <v>2.5</v>
      </c>
      <c r="G85" s="4">
        <v>2.7</v>
      </c>
      <c r="H85" s="4">
        <v>3</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1</v>
      </c>
      <c r="E87" s="4">
        <v>2.9976595002552808</v>
      </c>
      <c r="F87" s="4">
        <v>3.1420657625767783</v>
      </c>
      <c r="G87" s="4">
        <v>3.4555754586740171</v>
      </c>
      <c r="H87" s="4">
        <v>4.7257681343411875</v>
      </c>
      <c r="I87" s="4"/>
      <c r="J87" s="4"/>
    </row>
    <row r="88" spans="1:11" x14ac:dyDescent="0.4">
      <c r="A88" s="212">
        <v>46</v>
      </c>
      <c r="B88" s="225" t="s">
        <v>761</v>
      </c>
      <c r="C88" s="225" t="s">
        <v>762</v>
      </c>
      <c r="D88" s="4">
        <v>0.3</v>
      </c>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-0.9</v>
      </c>
      <c r="F94">
        <v>-0.04</v>
      </c>
      <c r="G94">
        <v>2.1</v>
      </c>
      <c r="H94" s="4">
        <v>2.6</v>
      </c>
      <c r="I94" s="4"/>
      <c r="J94" s="4"/>
    </row>
    <row r="95" spans="1:11" ht="14.25" x14ac:dyDescent="0.45">
      <c r="A95" s="212">
        <v>2</v>
      </c>
      <c r="B95" s="225" t="s">
        <v>8</v>
      </c>
      <c r="C95" s="225"/>
      <c r="D95" s="246"/>
      <c r="E95">
        <v>10.7</v>
      </c>
      <c r="F95">
        <v>2.8</v>
      </c>
      <c r="G95">
        <v>3.6</v>
      </c>
      <c r="H95" s="4">
        <v>3.3</v>
      </c>
      <c r="I95" s="4"/>
      <c r="J95" s="4"/>
    </row>
    <row r="96" spans="1:11" x14ac:dyDescent="0.4">
      <c r="A96" s="212">
        <v>3</v>
      </c>
      <c r="B96" s="225" t="s">
        <v>9</v>
      </c>
      <c r="C96" s="225" t="s">
        <v>763</v>
      </c>
      <c r="D96" s="144">
        <v>39.6</v>
      </c>
      <c r="E96">
        <v>9.6</v>
      </c>
      <c r="F96">
        <v>2.8</v>
      </c>
      <c r="G96">
        <v>5.8</v>
      </c>
      <c r="H96" s="4">
        <v>6.1</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-0.9</v>
      </c>
      <c r="F98">
        <v>0.1</v>
      </c>
      <c r="G98">
        <v>0.8</v>
      </c>
      <c r="H98" s="4">
        <v>2.9</v>
      </c>
      <c r="I98" s="4"/>
      <c r="J98" s="4"/>
    </row>
    <row r="99" spans="1:11" ht="14.25" x14ac:dyDescent="0.45">
      <c r="A99" s="212">
        <v>5</v>
      </c>
      <c r="B99" s="225" t="s">
        <v>767</v>
      </c>
      <c r="C99" s="225" t="s">
        <v>766</v>
      </c>
      <c r="D99" s="246"/>
      <c r="E99">
        <v>2.5</v>
      </c>
      <c r="F99">
        <v>-0.4</v>
      </c>
      <c r="G99">
        <v>3.3</v>
      </c>
      <c r="H99" s="4">
        <v>1.5</v>
      </c>
      <c r="I99" s="4"/>
      <c r="J99" s="4"/>
    </row>
    <row r="100" spans="1:11" ht="14.25" x14ac:dyDescent="0.45">
      <c r="A100" s="212">
        <v>6</v>
      </c>
      <c r="B100" s="225" t="s">
        <v>10</v>
      </c>
      <c r="C100" s="225" t="s">
        <v>4</v>
      </c>
      <c r="D100" s="246"/>
      <c r="E100">
        <v>5</v>
      </c>
      <c r="F100">
        <v>7</v>
      </c>
      <c r="G100">
        <v>9.8000000000000007</v>
      </c>
      <c r="H100" s="4">
        <v>7.5</v>
      </c>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E102">
        <v>-7</v>
      </c>
      <c r="F102">
        <v>0.1</v>
      </c>
      <c r="G102">
        <v>0.1</v>
      </c>
      <c r="H102" s="4">
        <v>3</v>
      </c>
      <c r="I102" s="4"/>
      <c r="J102" s="4"/>
    </row>
    <row r="103" spans="1:11" ht="14.25" x14ac:dyDescent="0.45">
      <c r="A103" s="212">
        <v>9</v>
      </c>
      <c r="B103" s="225" t="s">
        <v>772</v>
      </c>
      <c r="C103" s="225" t="s">
        <v>773</v>
      </c>
      <c r="D103" s="246"/>
      <c r="E103">
        <v>-5</v>
      </c>
      <c r="F103">
        <v>-1.8</v>
      </c>
      <c r="G103">
        <v>5.7</v>
      </c>
      <c r="H103" s="4">
        <v>4.8</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1.1000000000000001</v>
      </c>
      <c r="F105">
        <v>-1.7</v>
      </c>
      <c r="G105">
        <v>3.3</v>
      </c>
      <c r="H105" s="4">
        <v>3.8</v>
      </c>
      <c r="I105" s="4"/>
      <c r="J105" s="4"/>
    </row>
    <row r="106" spans="1:11" ht="14.25" x14ac:dyDescent="0.45">
      <c r="A106" s="212">
        <v>11</v>
      </c>
      <c r="B106" s="243" t="s">
        <v>776</v>
      </c>
      <c r="C106" s="225" t="s">
        <v>769</v>
      </c>
      <c r="D106" s="246"/>
      <c r="E106">
        <v>-0.7</v>
      </c>
      <c r="F106">
        <v>0.4</v>
      </c>
      <c r="G106">
        <v>2.6</v>
      </c>
      <c r="H106" s="4">
        <v>0.3</v>
      </c>
      <c r="I106" s="4"/>
      <c r="J106" s="4"/>
    </row>
    <row r="107" spans="1:11" ht="14.25" x14ac:dyDescent="0.45">
      <c r="A107" s="212">
        <v>12</v>
      </c>
      <c r="B107" s="243" t="s">
        <v>777</v>
      </c>
      <c r="C107" s="225" t="s">
        <v>778</v>
      </c>
      <c r="D107" s="246"/>
      <c r="E107">
        <v>-1.3</v>
      </c>
      <c r="F107">
        <v>1.3</v>
      </c>
      <c r="G107">
        <v>-3.8</v>
      </c>
      <c r="H107" s="4">
        <v>-1.4</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7.8</v>
      </c>
      <c r="F109">
        <v>3.4</v>
      </c>
      <c r="G109">
        <v>3.6</v>
      </c>
      <c r="H109" s="4">
        <v>2.9</v>
      </c>
      <c r="I109" s="4"/>
      <c r="J109" s="4"/>
    </row>
    <row r="110" spans="1:11" ht="14.25" x14ac:dyDescent="0.45">
      <c r="A110" s="212">
        <v>14</v>
      </c>
      <c r="B110" s="240" t="s">
        <v>781</v>
      </c>
      <c r="C110" s="225"/>
      <c r="D110" s="246"/>
      <c r="E110">
        <v>9.1</v>
      </c>
      <c r="F110">
        <v>1.3</v>
      </c>
      <c r="G110">
        <v>3.6</v>
      </c>
      <c r="H110" s="4">
        <v>2.9</v>
      </c>
      <c r="I110" s="4"/>
      <c r="J110" s="4"/>
    </row>
    <row r="111" spans="1:11" ht="14.25" x14ac:dyDescent="0.45">
      <c r="A111" s="212">
        <v>15</v>
      </c>
      <c r="B111" s="225" t="s">
        <v>782</v>
      </c>
      <c r="C111" s="225"/>
      <c r="D111" s="246"/>
      <c r="E111">
        <v>8.5</v>
      </c>
      <c r="F111">
        <v>6.7</v>
      </c>
      <c r="G111">
        <v>4.3</v>
      </c>
      <c r="H111" s="4">
        <v>1.8</v>
      </c>
      <c r="I111" s="4"/>
      <c r="J111" s="4"/>
    </row>
    <row r="112" spans="1:11" ht="14.25" x14ac:dyDescent="0.45">
      <c r="A112" s="212">
        <v>16</v>
      </c>
      <c r="B112" s="225" t="s">
        <v>783</v>
      </c>
      <c r="C112" s="225"/>
      <c r="D112" s="246"/>
      <c r="E112">
        <v>7.7</v>
      </c>
      <c r="F112">
        <v>2.2999999999999998</v>
      </c>
      <c r="G112">
        <v>1.7</v>
      </c>
      <c r="H112" s="4">
        <v>3.4</v>
      </c>
      <c r="I112" s="4"/>
      <c r="J112" s="4"/>
    </row>
    <row r="113" spans="1:11" ht="14.25" x14ac:dyDescent="0.45">
      <c r="A113" s="212">
        <v>17</v>
      </c>
      <c r="B113" s="225" t="s">
        <v>784</v>
      </c>
      <c r="C113" s="225"/>
      <c r="D113" s="246"/>
      <c r="E113">
        <v>0.4</v>
      </c>
      <c r="F113">
        <v>0.9</v>
      </c>
      <c r="G113">
        <v>2</v>
      </c>
      <c r="H113" s="4">
        <v>3.5</v>
      </c>
      <c r="I113" s="4"/>
      <c r="J113" s="4"/>
    </row>
    <row r="114" spans="1:11" ht="14.25" x14ac:dyDescent="0.45">
      <c r="A114" s="212">
        <v>18</v>
      </c>
      <c r="B114" s="225" t="s">
        <v>785</v>
      </c>
      <c r="C114" s="225"/>
      <c r="D114" s="246"/>
      <c r="E114">
        <v>-2.4</v>
      </c>
      <c r="F114">
        <v>-0.2</v>
      </c>
      <c r="G114">
        <v>1.2</v>
      </c>
      <c r="H114" s="4">
        <v>2</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884.2</v>
      </c>
      <c r="E116" s="3">
        <v>-0.2</v>
      </c>
      <c r="F116">
        <v>-0.8</v>
      </c>
      <c r="G116" s="3">
        <v>0.6</v>
      </c>
      <c r="H116" s="64">
        <v>0</v>
      </c>
      <c r="I116" s="64"/>
      <c r="J116" s="64"/>
    </row>
    <row r="117" spans="1:11" x14ac:dyDescent="0.4">
      <c r="A117" s="212">
        <v>20</v>
      </c>
      <c r="B117" s="225" t="s">
        <v>789</v>
      </c>
      <c r="C117" s="225"/>
      <c r="D117" s="144">
        <v>1832.8</v>
      </c>
      <c r="E117">
        <v>-1.7</v>
      </c>
      <c r="F117">
        <v>1.4</v>
      </c>
      <c r="G117">
        <v>-2</v>
      </c>
      <c r="H117" s="4">
        <v>0</v>
      </c>
      <c r="I117" s="4"/>
      <c r="J117" s="4"/>
    </row>
    <row r="118" spans="1:11" ht="14.25" x14ac:dyDescent="0.45">
      <c r="A118" s="212">
        <v>21</v>
      </c>
      <c r="B118" s="225" t="s">
        <v>790</v>
      </c>
      <c r="C118" s="225"/>
      <c r="D118" s="246"/>
      <c r="E118">
        <v>-0.7</v>
      </c>
      <c r="F118">
        <v>0.7</v>
      </c>
      <c r="G118">
        <v>1.5</v>
      </c>
      <c r="H118" s="4">
        <v>2.6</v>
      </c>
      <c r="I118" s="4"/>
      <c r="J118" s="4"/>
    </row>
    <row r="119" spans="1:11" ht="14.25" x14ac:dyDescent="0.45">
      <c r="A119" s="212">
        <v>22</v>
      </c>
      <c r="B119" s="225" t="s">
        <v>791</v>
      </c>
      <c r="C119" s="225"/>
      <c r="D119" s="246"/>
      <c r="E119">
        <v>1</v>
      </c>
      <c r="F119">
        <v>-0.7</v>
      </c>
      <c r="G119">
        <v>3.5</v>
      </c>
      <c r="H119" s="4">
        <v>2.6</v>
      </c>
      <c r="I119" s="4"/>
      <c r="J119" s="4"/>
    </row>
    <row r="120" spans="1:11" x14ac:dyDescent="0.4">
      <c r="A120" s="212">
        <v>23</v>
      </c>
      <c r="B120" s="225" t="s">
        <v>792</v>
      </c>
      <c r="C120" s="225" t="s">
        <v>5</v>
      </c>
      <c r="D120" s="144">
        <v>16</v>
      </c>
      <c r="E120">
        <v>9.6</v>
      </c>
      <c r="F120">
        <v>7.9</v>
      </c>
      <c r="G120">
        <v>6.5</v>
      </c>
      <c r="H120" s="4">
        <v>8.4</v>
      </c>
      <c r="I120" s="4"/>
      <c r="J120" s="4"/>
    </row>
    <row r="121" spans="1:11" x14ac:dyDescent="0.4">
      <c r="A121" s="212">
        <v>24</v>
      </c>
      <c r="B121" s="225" t="s">
        <v>793</v>
      </c>
      <c r="C121" s="225"/>
      <c r="D121">
        <v>18090.599999999999</v>
      </c>
      <c r="E121">
        <v>9.8000000000000007</v>
      </c>
      <c r="F121">
        <v>8.6999999999999993</v>
      </c>
      <c r="G121">
        <v>5.9</v>
      </c>
      <c r="H121" s="4">
        <v>8.4</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6.5</v>
      </c>
      <c r="F123">
        <v>6.9</v>
      </c>
      <c r="G123">
        <v>6.9</v>
      </c>
      <c r="H123" s="4">
        <v>6.6</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1.7</v>
      </c>
      <c r="F125">
        <v>1.6</v>
      </c>
      <c r="G125">
        <v>1.8</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-0.1</v>
      </c>
      <c r="H127" s="4">
        <v>-0.2</v>
      </c>
      <c r="I127" s="4"/>
      <c r="J127" s="4"/>
    </row>
    <row r="128" spans="1:11" ht="14.25" x14ac:dyDescent="0.45">
      <c r="A128" s="212">
        <v>28</v>
      </c>
      <c r="B128" s="240" t="s">
        <v>799</v>
      </c>
      <c r="C128" s="225"/>
      <c r="D128" s="246"/>
      <c r="E128">
        <v>0.7</v>
      </c>
      <c r="F128">
        <v>0.5</v>
      </c>
      <c r="G128">
        <v>0.8</v>
      </c>
      <c r="H128" s="4">
        <v>1.1000000000000001</v>
      </c>
      <c r="I128" s="4"/>
      <c r="J128" s="4"/>
    </row>
    <row r="129" spans="1:11" ht="14.25" x14ac:dyDescent="0.45">
      <c r="A129" s="212">
        <v>29</v>
      </c>
      <c r="B129" s="240" t="s">
        <v>800</v>
      </c>
      <c r="C129" s="225"/>
      <c r="D129" s="246"/>
      <c r="E129">
        <v>1</v>
      </c>
      <c r="F129">
        <v>1</v>
      </c>
      <c r="G129">
        <v>1</v>
      </c>
      <c r="H129" s="4">
        <v>1</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-0.4</v>
      </c>
      <c r="F131">
        <v>-2</v>
      </c>
      <c r="G131">
        <v>-1.7</v>
      </c>
      <c r="H131" s="4">
        <v>-1</v>
      </c>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The general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2026 does not. Deviations occur only in years covered by an escape clause.</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str">
        <f>IF(AssessmentRound="New or revised MTP",NA(),Assessment!C169)</f>
        <v>Latvia does not receive a reference trajectory and is not assessed against the debt sustainability safeguard.</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str">
        <f>IF(AssessmentRound="New or revised MTP",NA(),Assessment!C181)</f>
        <v>Latvia does not receive a reference trajectory and is not assessed against the deficit resilience safeguard.</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Compliant</v>
      </c>
      <c r="E14" s="22" t="str">
        <f>IF(AssessmentRound="New or revised MTP",NA(),Assessment!C192)</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17.182600000000001</v>
      </c>
      <c r="E23" s="4">
        <f>Assessment!E108</f>
        <v>18.413499999999999</v>
      </c>
      <c r="F23" s="4">
        <f>Assessment!F108</f>
        <v>19.8324</v>
      </c>
      <c r="G23" s="4">
        <f>Assessment!G108</f>
        <v>20.588509988199995</v>
      </c>
      <c r="H23" t="str">
        <f>Assessment!H108</f>
        <v/>
      </c>
      <c r="I23" t="str">
        <f>Assessment!I108</f>
        <v/>
      </c>
      <c r="J23" t="str">
        <f>Assessment!J108</f>
        <v/>
      </c>
    </row>
    <row r="24" spans="1:21" customFormat="1" ht="14.85" customHeight="1" x14ac:dyDescent="0.4">
      <c r="A24" s="3">
        <v>2</v>
      </c>
      <c r="B24" t="s">
        <v>25</v>
      </c>
      <c r="C24" t="s">
        <v>6</v>
      </c>
      <c r="D24" s="4">
        <f>Assessment!D109</f>
        <v>0.28689999999999999</v>
      </c>
      <c r="E24" s="4">
        <f>Assessment!E109</f>
        <v>0.44330000000000003</v>
      </c>
      <c r="F24" s="4">
        <f>Assessment!F109</f>
        <v>0.4758</v>
      </c>
      <c r="G24" s="4">
        <f>Assessment!G109</f>
        <v>0.59346037659999995</v>
      </c>
      <c r="H24" t="str">
        <f>Assessment!H109</f>
        <v/>
      </c>
      <c r="I24" t="str">
        <f>Assessment!I109</f>
        <v/>
      </c>
      <c r="J24" t="str">
        <f>Assessment!J109</f>
        <v/>
      </c>
    </row>
    <row r="25" spans="1:21" customFormat="1" ht="14.85" customHeight="1" x14ac:dyDescent="0.4">
      <c r="A25" s="3">
        <v>3</v>
      </c>
      <c r="B25" t="s">
        <v>276</v>
      </c>
      <c r="C25" t="s">
        <v>6</v>
      </c>
      <c r="D25" s="4">
        <f>Assessment!D110</f>
        <v>-2.3600000000000001E-3</v>
      </c>
      <c r="E25" s="4">
        <f>Assessment!E110</f>
        <v>3.14E-3</v>
      </c>
      <c r="F25" s="4">
        <f>Assessment!F110</f>
        <v>6.7000000000000002E-3</v>
      </c>
      <c r="G25" s="4">
        <f>Assessment!G110</f>
        <v>9.130159639999998E-3</v>
      </c>
      <c r="H25" t="str">
        <f>Assessment!H110</f>
        <v/>
      </c>
      <c r="I25" t="str">
        <f>Assessment!I110</f>
        <v/>
      </c>
      <c r="J25" t="str">
        <f>Assessment!J110</f>
        <v/>
      </c>
    </row>
    <row r="26" spans="1:21" customFormat="1" ht="14.85" customHeight="1" x14ac:dyDescent="0.4">
      <c r="A26" s="3">
        <v>4</v>
      </c>
      <c r="B26" t="s">
        <v>625</v>
      </c>
      <c r="C26" t="s">
        <v>6</v>
      </c>
      <c r="D26" s="4">
        <f>Assessment!D111</f>
        <v>0.73429999999999995</v>
      </c>
      <c r="E26" s="4">
        <f>Assessment!E111</f>
        <v>0.75549999999999995</v>
      </c>
      <c r="F26" s="4">
        <f>Assessment!F111</f>
        <v>1.2509999999999999</v>
      </c>
      <c r="G26" s="4">
        <f>Assessment!G111</f>
        <v>0.91301596399999985</v>
      </c>
      <c r="H26" t="str">
        <f>Assessment!H111</f>
        <v/>
      </c>
      <c r="I26" t="str">
        <f>Assessment!I111</f>
        <v/>
      </c>
      <c r="J26" t="str">
        <f>Assessment!J111</f>
        <v/>
      </c>
    </row>
    <row r="27" spans="1:21" customFormat="1" ht="14.85" customHeight="1" x14ac:dyDescent="0.4">
      <c r="A27" s="3">
        <v>5</v>
      </c>
      <c r="B27" t="s">
        <v>278</v>
      </c>
      <c r="C27" t="s">
        <v>6</v>
      </c>
      <c r="D27" s="4">
        <f>Assessment!D112</f>
        <v>0.15825</v>
      </c>
      <c r="E27" s="4">
        <f>Assessment!E112</f>
        <v>0.13764999999999999</v>
      </c>
      <c r="F27" s="4">
        <f>Assessment!F112</f>
        <v>0.19919999999999999</v>
      </c>
      <c r="G27" s="4">
        <f>Assessment!G112</f>
        <v>0.22825399099999996</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16.005510000000005</v>
      </c>
      <c r="E29" s="4">
        <f>Assessment!E114</f>
        <v>17.073910000000001</v>
      </c>
      <c r="F29" s="4">
        <f>Assessment!F114</f>
        <v>17.899699999999999</v>
      </c>
      <c r="G29" s="4">
        <f>Assessment!G114</f>
        <v>18.853779656599993</v>
      </c>
      <c r="H29" t="str">
        <f>Assessment!H114</f>
        <v/>
      </c>
      <c r="I29" t="str">
        <f>Assessment!I114</f>
        <v/>
      </c>
      <c r="J29" t="str">
        <f>Assessment!J114</f>
        <v/>
      </c>
    </row>
    <row r="30" spans="1:21" customFormat="1" ht="14.65" customHeight="1" x14ac:dyDescent="0.4">
      <c r="A30" s="3">
        <v>8</v>
      </c>
      <c r="B30" t="s">
        <v>628</v>
      </c>
      <c r="C30" t="s">
        <v>6</v>
      </c>
      <c r="D30" s="4"/>
      <c r="E30" s="4">
        <f>Assessment!E115</f>
        <v>1.0683999999999969</v>
      </c>
      <c r="F30" s="4">
        <f>Assessment!F115</f>
        <v>0.8257899999999978</v>
      </c>
      <c r="G30" s="4">
        <f>Assessment!G115</f>
        <v>0.95407965659999405</v>
      </c>
      <c r="H30" t="str">
        <f>Assessment!H115</f>
        <v/>
      </c>
      <c r="I30" t="str">
        <f>Assessment!I115</f>
        <v/>
      </c>
      <c r="J30" t="str">
        <f>Assessment!J115</f>
        <v/>
      </c>
    </row>
    <row r="31" spans="1:21" customFormat="1" ht="14.65" customHeight="1" x14ac:dyDescent="0.4">
      <c r="A31" s="3">
        <v>9</v>
      </c>
      <c r="B31" t="s">
        <v>629</v>
      </c>
      <c r="C31" t="s">
        <v>6</v>
      </c>
      <c r="D31" s="4"/>
      <c r="E31" s="4">
        <f>Assessment!E116</f>
        <v>0.27381</v>
      </c>
      <c r="F31" s="4">
        <f>Assessment!F116</f>
        <v>0</v>
      </c>
      <c r="G31" s="4">
        <f>Assessment!G116</f>
        <v>-9.1301596399999976E-2</v>
      </c>
      <c r="H31" t="str">
        <f>Assessment!H116</f>
        <v/>
      </c>
      <c r="I31" t="str">
        <f>Assessment!I116</f>
        <v/>
      </c>
      <c r="J31" t="str">
        <f>Assessment!J116</f>
        <v/>
      </c>
    </row>
    <row r="32" spans="1:21" customFormat="1" ht="14.65" customHeight="1" x14ac:dyDescent="0.4">
      <c r="A32" s="3">
        <v>10</v>
      </c>
      <c r="B32" t="s">
        <v>630</v>
      </c>
      <c r="C32" t="s">
        <v>6</v>
      </c>
      <c r="D32" s="4"/>
      <c r="E32" s="4">
        <f>Assessment!E117</f>
        <v>0.79458999999999691</v>
      </c>
      <c r="F32" s="4">
        <f>Assessment!F117</f>
        <v>0.8257899999999978</v>
      </c>
      <c r="G32" s="4">
        <f>Assessment!G117</f>
        <v>1.045381252999994</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4.9644778579376521</v>
      </c>
      <c r="F34" s="4">
        <f>Assessment!F119</f>
        <v>4.8365605769270053</v>
      </c>
      <c r="G34" s="4">
        <f>Assessment!G119</f>
        <v>5.8402166125688924</v>
      </c>
      <c r="H34" t="str">
        <f>Assessment!H119</f>
        <v/>
      </c>
      <c r="I34" t="str">
        <f>Assessment!I119</f>
        <v/>
      </c>
      <c r="J34" t="str">
        <f>Assessment!J119</f>
        <v/>
      </c>
    </row>
    <row r="35" spans="1:23" customFormat="1" ht="14.65" customHeight="1" x14ac:dyDescent="0.4">
      <c r="A35" s="3">
        <v>12</v>
      </c>
      <c r="B35" t="s">
        <v>946</v>
      </c>
      <c r="C35" t="s">
        <v>601</v>
      </c>
      <c r="D35" s="4"/>
      <c r="E35" s="258">
        <f>Assessment!E120</f>
        <v>9.1</v>
      </c>
      <c r="F35" s="4">
        <f>Assessment!F120</f>
        <v>5.8999999999999995</v>
      </c>
      <c r="G35" s="4">
        <f>Assessment!G120</f>
        <v>3.5999999999999996</v>
      </c>
      <c r="H35" t="str">
        <f>Assessment!H120</f>
        <v/>
      </c>
      <c r="I35" t="str">
        <f>Assessment!I120</f>
        <v/>
      </c>
      <c r="J35" t="str">
        <f>Assessment!J120</f>
        <v/>
      </c>
    </row>
    <row r="36" spans="1:23" customFormat="1" ht="14.65" customHeight="1" x14ac:dyDescent="0.4">
      <c r="A36" s="3">
        <v>13</v>
      </c>
      <c r="B36" t="s">
        <v>929</v>
      </c>
      <c r="C36" t="s">
        <v>6</v>
      </c>
      <c r="D36" s="4"/>
      <c r="E36" s="258">
        <f>Assessment!E121</f>
        <v>-0.66191141000000342</v>
      </c>
      <c r="F36" s="4">
        <f>Assessment!F121</f>
        <v>-0.18157069000000228</v>
      </c>
      <c r="G36" s="4">
        <f>Assessment!G121</f>
        <v>0.40099205299999402</v>
      </c>
      <c r="H36" t="str">
        <f>Assessment!H121</f>
        <v/>
      </c>
      <c r="I36" t="str">
        <f>Assessment!I121</f>
        <v/>
      </c>
      <c r="J36" t="str">
        <f>Assessment!J121</f>
        <v/>
      </c>
    </row>
    <row r="37" spans="1:23" customFormat="1" ht="14.65" customHeight="1" x14ac:dyDescent="0.4">
      <c r="A37" s="3">
        <v>14</v>
      </c>
      <c r="B37" t="s">
        <v>930</v>
      </c>
      <c r="C37" t="s">
        <v>6</v>
      </c>
      <c r="D37" s="4"/>
      <c r="E37" s="258">
        <f>Assessment!E122</f>
        <v>-0.66191141000000342</v>
      </c>
      <c r="F37" s="4">
        <f>Assessment!F122</f>
        <v>-0.84348210000000567</v>
      </c>
      <c r="G37" s="4">
        <f>Assessment!G122</f>
        <v>-0.44249004700001165</v>
      </c>
      <c r="H37" t="str">
        <f>Assessment!H122</f>
        <v/>
      </c>
      <c r="I37" t="str">
        <f>Assessment!I122</f>
        <v/>
      </c>
      <c r="J37" t="str">
        <f>Assessment!J122</f>
        <v/>
      </c>
    </row>
    <row r="38" spans="1:23" customFormat="1" ht="14.65" customHeight="1" x14ac:dyDescent="0.4">
      <c r="A38" s="3">
        <v>15</v>
      </c>
      <c r="B38" t="s">
        <v>9</v>
      </c>
      <c r="C38" t="s">
        <v>6</v>
      </c>
      <c r="D38" s="4">
        <f>Assessment!D123</f>
        <v>39.5642</v>
      </c>
      <c r="E38" s="4">
        <f>Assessment!E123</f>
        <v>40.652300000000004</v>
      </c>
      <c r="F38" s="4">
        <f>Assessment!F123</f>
        <v>43.026199999999996</v>
      </c>
      <c r="G38" s="4">
        <f>Assessment!G123</f>
        <v>45.65079819999999</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-1.6282262258224094</v>
      </c>
      <c r="F40" s="4">
        <f>Assessment!F125</f>
        <v>-0.42200029284483015</v>
      </c>
      <c r="G40" s="4">
        <f>Assessment!G125</f>
        <v>0.87839001465694877</v>
      </c>
      <c r="H40" t="str">
        <f>Assessment!H125</f>
        <v/>
      </c>
      <c r="I40" t="str">
        <f>Assessment!I125</f>
        <v/>
      </c>
      <c r="J40" t="str">
        <f>Assessment!J125</f>
        <v/>
      </c>
    </row>
    <row r="41" spans="1:23" customFormat="1" ht="14.65" customHeight="1" x14ac:dyDescent="0.45">
      <c r="A41" s="3">
        <v>17</v>
      </c>
      <c r="B41" t="s">
        <v>945</v>
      </c>
      <c r="C41" t="s">
        <v>603</v>
      </c>
      <c r="D41" s="4"/>
      <c r="E41" s="258">
        <f>Assessment!E126</f>
        <v>-1.6282262258224094</v>
      </c>
      <c r="F41" s="4">
        <f>Assessment!F126</f>
        <v>-1.9603918077822482</v>
      </c>
      <c r="G41" s="4">
        <f>Assessment!G126</f>
        <v>-0.96929312180134408</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2021</v>
      </c>
      <c r="C43" t="s">
        <v>603</v>
      </c>
      <c r="D43" s="4"/>
      <c r="E43" s="4"/>
      <c r="F43" s="4">
        <f>Assessment!F134</f>
        <v>0.66351432383059628</v>
      </c>
      <c r="G43" s="4">
        <f>Assessment!G134</f>
        <v>2.2257681343411875</v>
      </c>
      <c r="H43" t="str">
        <f>Assessment!H134</f>
        <v/>
      </c>
      <c r="I43" t="str">
        <f>Assessment!I134</f>
        <v/>
      </c>
      <c r="J43" t="str">
        <f>Assessment!J134</f>
        <v/>
      </c>
    </row>
    <row r="44" spans="1:23" customFormat="1" ht="14.65" customHeight="1" x14ac:dyDescent="0.4">
      <c r="A44" s="3">
        <v>19</v>
      </c>
      <c r="B44" t="s">
        <v>938</v>
      </c>
      <c r="C44" t="s">
        <v>603</v>
      </c>
      <c r="D44" s="4"/>
      <c r="E44" s="4">
        <f>Assessment!E142</f>
        <v>-1.6282262258224094</v>
      </c>
      <c r="F44" s="4">
        <f>Assessment!F142</f>
        <v>-0.42200029284483015</v>
      </c>
      <c r="G44" s="4">
        <f>Assessment!G142</f>
        <v>0</v>
      </c>
    </row>
    <row r="45" spans="1:23" customFormat="1" ht="14.65" customHeight="1" x14ac:dyDescent="0.4">
      <c r="A45" s="3">
        <v>20</v>
      </c>
      <c r="B45" s="261" t="s">
        <v>932</v>
      </c>
      <c r="C45" s="261" t="s">
        <v>603</v>
      </c>
      <c r="D45" s="4"/>
      <c r="E45" s="4"/>
      <c r="F45" s="4">
        <f>Assessment!F144</f>
        <v>-2.6239061316128445</v>
      </c>
      <c r="G45" s="4">
        <f>Assessment!G144</f>
        <v>-3.1950612561425316</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9.1</v>
      </c>
      <c r="E52" s="45">
        <v>5.8999999999999995</v>
      </c>
      <c r="F52" s="45">
        <v>3.5999999999999996</v>
      </c>
      <c r="G52" s="47">
        <v>3.4000000000000004</v>
      </c>
      <c r="H52" s="45">
        <v>3.3000000000000003</v>
      </c>
      <c r="I52" s="45"/>
      <c r="J52" s="64"/>
      <c r="K52" s="64"/>
      <c r="L52" s="64"/>
      <c r="M52" s="22"/>
    </row>
    <row r="53" spans="1:13" customFormat="1" x14ac:dyDescent="0.45">
      <c r="A53" s="22"/>
      <c r="B53" s="135" t="str">
        <f>ScenarioName</f>
        <v>Draft budgetary plan 2026</v>
      </c>
      <c r="C53" s="64" t="str" cm="1">
        <f t="array" ref="C53:H53">INDEX(
  Assessment!$15:$15,
  1,
  MATCH(MTP_BaseYear,Assessment!$4:$4,0)
    + _xlfn.SEQUENCE(1, COLUMNS(_xlfn.ANCHORARRAY(C50)), 0)
)</f>
        <v/>
      </c>
      <c r="D53" s="64">
        <v>4.9644778579376547</v>
      </c>
      <c r="E53" s="64">
        <v>4.836560576927007</v>
      </c>
      <c r="F53" s="64">
        <v>5.3</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-2.2000000000000002</v>
      </c>
      <c r="D54" s="45">
        <v>-2.6</v>
      </c>
      <c r="E54" s="45">
        <v>-2.9</v>
      </c>
      <c r="F54" s="45">
        <v>-2.9</v>
      </c>
      <c r="G54" s="47">
        <v>-2.9</v>
      </c>
      <c r="H54" s="47">
        <v>-2.9</v>
      </c>
      <c r="I54" s="47"/>
      <c r="J54" s="64"/>
      <c r="K54" s="64"/>
      <c r="L54" s="64"/>
      <c r="M54" s="22"/>
    </row>
    <row r="55" spans="1:13" customFormat="1" x14ac:dyDescent="0.45">
      <c r="A55" s="22"/>
      <c r="B55" s="135" t="str">
        <f>ScenarioName</f>
        <v>Draft budgetary plan 2026</v>
      </c>
      <c r="C55" s="64" cm="1">
        <f t="array" ref="C55:H55">INDEX(
  Assessment!$17:$17,
  1,
  MATCH(MTP_BaseYear,Assessment!$4:$4,0)
    + _xlfn.SEQUENCE(1, COLUMNS(_xlfn.ANCHORARRAY(C50)), 0)
)</f>
        <v>-2.342774528487884</v>
      </c>
      <c r="D55" s="64">
        <v>-1.7868607680254289</v>
      </c>
      <c r="E55" s="64">
        <v>-2.5407774797681517</v>
      </c>
      <c r="F55" s="64">
        <v>-3</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-1.8</v>
      </c>
      <c r="D56" s="47">
        <v>-1.9</v>
      </c>
      <c r="E56" s="47">
        <v>-2.5</v>
      </c>
      <c r="F56" s="47">
        <v>-2.6</v>
      </c>
      <c r="G56" s="47">
        <v>-2.7</v>
      </c>
      <c r="H56" s="47">
        <v>-2.7</v>
      </c>
      <c r="I56" s="47"/>
      <c r="J56" s="64"/>
      <c r="K56" s="64"/>
      <c r="L56" s="64"/>
      <c r="M56" s="22"/>
    </row>
    <row r="57" spans="1:13" customFormat="1" x14ac:dyDescent="0.45">
      <c r="A57" s="22"/>
      <c r="B57" s="135" t="str">
        <f>ScenarioName</f>
        <v>Draft budgetary plan 2026</v>
      </c>
      <c r="C57" s="64" cm="1">
        <f t="array" ref="C57:H57">INDEX(
  Assessment!$18:$18,
  1,
  MATCH(MTP_BaseYear,Assessment!$4:$4,0)
    + _xlfn.SEQUENCE(1, COLUMNS(_xlfn.ANCHORARRAY(C50)), 0)
)</f>
        <v>-2.0901399999999999</v>
      </c>
      <c r="D57" s="64">
        <v>-1.3087</v>
      </c>
      <c r="E57" s="64">
        <v>-2.5189499999999998</v>
      </c>
      <c r="F57" s="64">
        <v>-2.6</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-1.2</v>
      </c>
      <c r="D58" s="45">
        <v>-0.8</v>
      </c>
      <c r="E58" s="45">
        <v>-1.3</v>
      </c>
      <c r="F58" s="45">
        <v>-1.3</v>
      </c>
      <c r="G58" s="47">
        <v>-1.3</v>
      </c>
      <c r="H58" s="47">
        <v>-1.3</v>
      </c>
      <c r="I58" s="47"/>
      <c r="J58" s="64"/>
      <c r="K58" s="64"/>
      <c r="L58" s="64"/>
      <c r="M58" s="22"/>
    </row>
    <row r="59" spans="1:13" customFormat="1" x14ac:dyDescent="0.45">
      <c r="A59" s="22"/>
      <c r="B59" s="135" t="str">
        <f>ScenarioName</f>
        <v>Draft budgetary plan 2026</v>
      </c>
      <c r="C59" s="64" cm="1">
        <f t="array" ref="C59:H59">INDEX(
  Assessment!$19:$19,
  1,
  MATCH(MTP_BaseYear,Assessment!$4:$4,0)
    + _xlfn.SEQUENCE(1, COLUMNS(_xlfn.ANCHORARRAY(C50)), 0)
)</f>
        <v>-1.3650599999999999</v>
      </c>
      <c r="D59" s="64">
        <v>-0.21811</v>
      </c>
      <c r="E59" s="64">
        <v>-1.41309</v>
      </c>
      <c r="F59" s="64">
        <v>-1.3</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43.6</v>
      </c>
      <c r="D60" s="45">
        <v>45.8</v>
      </c>
      <c r="E60" s="45">
        <v>47.5</v>
      </c>
      <c r="F60" s="45">
        <v>48.5</v>
      </c>
      <c r="G60" s="45">
        <v>49.7</v>
      </c>
      <c r="H60" s="45">
        <v>50.8</v>
      </c>
      <c r="I60" s="45"/>
      <c r="J60" s="64"/>
      <c r="K60" s="64"/>
      <c r="L60" s="64"/>
      <c r="M60" s="22"/>
    </row>
    <row r="61" spans="1:13" customFormat="1" x14ac:dyDescent="0.45">
      <c r="A61" s="22"/>
      <c r="B61" s="135" t="str">
        <f>ScenarioName</f>
        <v>Draft budgetary plan 2026</v>
      </c>
      <c r="C61" s="64" cm="1">
        <f t="array" ref="C61:H61">INDEX(
  Assessment!$20:$20,
  1,
  MATCH(MTP_BaseYear,Assessment!$4:$4,0)
    + _xlfn.SEQUENCE(1, COLUMNS(_xlfn.ANCHORARRAY(C50)), 0)
)</f>
        <v>44.430318318075436</v>
      </c>
      <c r="D61" s="64">
        <v>46.249535696627248</v>
      </c>
      <c r="E61" s="64">
        <v>46.887477862325753</v>
      </c>
      <c r="F61" s="64">
        <v>47.9</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1.8</v>
      </c>
      <c r="D62" s="45">
        <v>2.2999999999999998</v>
      </c>
      <c r="E62" s="45">
        <v>1.6</v>
      </c>
      <c r="F62" s="45">
        <v>1.1000000000000001</v>
      </c>
      <c r="G62" s="45">
        <v>1.2</v>
      </c>
      <c r="H62" s="45">
        <v>1.2</v>
      </c>
      <c r="I62" s="45"/>
      <c r="J62" s="64"/>
      <c r="K62" s="64"/>
      <c r="L62" s="64"/>
      <c r="M62" s="22"/>
    </row>
    <row r="63" spans="1:13" customFormat="1" x14ac:dyDescent="0.45">
      <c r="A63" s="22"/>
      <c r="B63" s="135" t="str">
        <f>ScenarioName</f>
        <v>Draft budgetary plan 2026</v>
      </c>
      <c r="C63" s="64" cm="1">
        <f t="array" ref="C63:H63">INDEX(
  Assessment!$21:$21,
  1,
  MATCH(MTP_BaseYear,Assessment!$4:$4,0)
    + _xlfn.SEQUENCE(1, COLUMNS(_xlfn.ANCHORARRAY(C50)), 0)
)</f>
        <v>3.8913967677850185</v>
      </c>
      <c r="D63" s="64">
        <v>3.0084398668710008</v>
      </c>
      <c r="E63" s="64">
        <v>3.1896844248388225</v>
      </c>
      <c r="F63" s="64">
        <v>0.9</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-0.3</v>
      </c>
      <c r="D65" s="107">
        <v>1.4</v>
      </c>
      <c r="E65" s="107">
        <v>2.9</v>
      </c>
      <c r="F65" s="107">
        <v>1.6</v>
      </c>
      <c r="G65" s="107">
        <v>1.2</v>
      </c>
      <c r="H65" s="107">
        <v>1.1000000000000001</v>
      </c>
      <c r="I65" s="107"/>
      <c r="J65" s="108"/>
      <c r="K65" s="108"/>
      <c r="L65" s="108"/>
      <c r="M65" s="22"/>
    </row>
    <row r="66" spans="1:13" customFormat="1" x14ac:dyDescent="0.45">
      <c r="A66" s="22"/>
      <c r="B66" s="171" t="str">
        <f>ScenarioName</f>
        <v>Draft budgetary plan 2026</v>
      </c>
      <c r="C66" s="108" cm="1">
        <f t="array" ref="C66:H66">INDEX(
  Assessment!$22:$22,
  1,
  MATCH(MTP_BaseYear,Assessment!$4:$4,0)
    + _xlfn.SEQUENCE(1, COLUMNS(_xlfn.ANCHORARRAY(C50)), 0)
)</f>
        <v>-0.9414574313402313</v>
      </c>
      <c r="D66" s="64">
        <v>-3.7310985009997299E-2</v>
      </c>
      <c r="E66" s="64">
        <v>2.1381842045897326</v>
      </c>
      <c r="F66" s="64">
        <v>2.6</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5.4</v>
      </c>
      <c r="D67" s="107">
        <v>2.4</v>
      </c>
      <c r="E67" s="107">
        <v>2.5</v>
      </c>
      <c r="F67" s="107">
        <v>2.5</v>
      </c>
      <c r="G67" s="107">
        <v>2.5</v>
      </c>
      <c r="H67" s="107">
        <v>2.5</v>
      </c>
      <c r="I67" s="107"/>
    </row>
    <row r="68" spans="1:13" customFormat="1" x14ac:dyDescent="0.45">
      <c r="A68" s="22"/>
      <c r="B68" s="171" t="str">
        <f>ScenarioName</f>
        <v>Draft budgetary plan 2026</v>
      </c>
      <c r="C68" s="108" cm="1">
        <f t="array" ref="C68:H68">INDEX(
  Assessment!$23:$23,
  1,
  MATCH(MTP_BaseYear,Assessment!$4:$4,0)
    + _xlfn.SEQUENCE(1, COLUMNS(_xlfn.ANCHORARRAY(C50)), 0)
)</f>
        <v>10.672371603556009</v>
      </c>
      <c r="D68" s="64">
        <v>2.7885650030008202</v>
      </c>
      <c r="E68" s="64">
        <v>3.623853135142574</v>
      </c>
      <c r="F68" s="64">
        <v>3.3</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5.0999999999999996</v>
      </c>
      <c r="D69" s="107">
        <v>3.8</v>
      </c>
      <c r="E69" s="107">
        <v>5.5</v>
      </c>
      <c r="F69" s="107">
        <v>4.0999999999999996</v>
      </c>
      <c r="G69" s="107">
        <v>3.7</v>
      </c>
      <c r="H69" s="107">
        <v>3.6</v>
      </c>
      <c r="I69" s="107"/>
    </row>
    <row r="70" spans="1:13" x14ac:dyDescent="0.45">
      <c r="B70" s="171" t="str">
        <f>ScenarioName</f>
        <v>Draft budgetary plan 2026</v>
      </c>
      <c r="C70" s="108" cm="1">
        <f t="array" ref="C70:H70">INDEX(
  Assessment!$24:$24,
  1,
  MATCH(MTP_BaseYear,Assessment!$4:$4,0)
    + _xlfn.SEQUENCE(1, COLUMNS(_xlfn.ANCHORARRAY(C50)), 0)
)</f>
        <v>9.630438336653846</v>
      </c>
      <c r="D70" s="64">
        <v>2.7502135769205571</v>
      </c>
      <c r="E70" s="64">
        <v>5.8395219950654553</v>
      </c>
      <c r="F70" s="64">
        <v>6.1</v>
      </c>
      <c r="G70" s="64" t="str">
        <v/>
      </c>
      <c r="H70" s="64" t="str">
        <v/>
      </c>
      <c r="I70" s="64"/>
    </row>
    <row r="71" spans="1:13" x14ac:dyDescent="0.45">
      <c r="B71" s="170" t="s">
        <v>275</v>
      </c>
      <c r="C71" s="107" cm="1">
        <f t="array" ref="C71:H71">INDEX(
  Assessment!$43:$43,
  1,
  MATCH(MTP_BaseYear,Assessment!$32:$32,0)
    + _xlfn.SEQUENCE(1, COLUMNS(_xlfn.ANCHORARRAY(C50)), 0)
)</f>
        <v>2.2999999999999998</v>
      </c>
      <c r="D71" s="107">
        <v>2.2000000000000002</v>
      </c>
      <c r="E71" s="107">
        <v>2.1</v>
      </c>
      <c r="F71" s="107">
        <v>1.2</v>
      </c>
      <c r="G71" s="107">
        <v>0.9</v>
      </c>
      <c r="H71" s="107">
        <v>0.9</v>
      </c>
      <c r="I71" s="107"/>
    </row>
    <row r="72" spans="1:13" x14ac:dyDescent="0.45">
      <c r="B72" s="171" t="str">
        <f>ScenarioName</f>
        <v>Draft budgetary plan 2026</v>
      </c>
      <c r="C72" s="108" cm="1">
        <f t="array" ref="C72:H72">INDEX(
  Assessment!$25:$25,
  1,
  MATCH(MTP_BaseYear,Assessment!$4:$4,0)
    + _xlfn.SEQUENCE(1, COLUMNS(_xlfn.ANCHORARRAY(C50)), 0)
)</f>
        <v>1.0494115850457675</v>
      </c>
      <c r="D72" s="64">
        <v>0.56895479625649337</v>
      </c>
      <c r="E72" s="64">
        <v>0.90465793805487582</v>
      </c>
      <c r="F72" s="64">
        <v>1.9</v>
      </c>
      <c r="G72" s="64" t="str">
        <v/>
      </c>
      <c r="H72" s="64" t="str">
        <v/>
      </c>
      <c r="I72" s="64"/>
    </row>
    <row r="73" spans="1:13" x14ac:dyDescent="0.45">
      <c r="B73" s="170" t="s">
        <v>272</v>
      </c>
      <c r="C73" s="107" cm="1">
        <f t="array" ref="C73:H73">INDEX(
  Assessment!$44:$44,
  1,
  MATCH(MTP_BaseYear,Assessment!$32:$32,0)
    + _xlfn.SEQUENCE(1, COLUMNS(_xlfn.ANCHORARRAY(C50)), 0)
)</f>
        <v>-1</v>
      </c>
      <c r="D73" s="107">
        <v>-1.8</v>
      </c>
      <c r="E73" s="107">
        <v>-1</v>
      </c>
      <c r="F73" s="107">
        <v>-0.7</v>
      </c>
      <c r="G73" s="107">
        <v>-0.5</v>
      </c>
      <c r="H73" s="107">
        <v>-0.4</v>
      </c>
      <c r="I73" s="107"/>
    </row>
    <row r="74" spans="1:13" x14ac:dyDescent="0.45">
      <c r="B74" s="172" t="str">
        <f>ScenarioName</f>
        <v>Draft budgetary plan 2026</v>
      </c>
      <c r="C74" s="109" cm="1">
        <f t="array" ref="C74:H74">INDEX(
  Assessment!$26:$26,
  1,
  MATCH(MTP_BaseYear,Assessment!$4:$4,0)
    + _xlfn.SEQUENCE(1, COLUMNS(_xlfn.ANCHORARRAY(C50)), 0)
)</f>
        <v>-0.6672176438640709</v>
      </c>
      <c r="D74" s="109">
        <v>-1.2657760235122772</v>
      </c>
      <c r="E74" s="109">
        <v>-5.9072774617829893E-2</v>
      </c>
      <c r="F74" s="109">
        <v>-1</v>
      </c>
      <c r="G74" s="109" t="str">
        <v/>
      </c>
      <c r="H74" s="109" t="str">
        <v/>
      </c>
      <c r="I74" s="108"/>
    </row>
    <row r="75" spans="1:13" x14ac:dyDescent="0.45">
      <c r="B75" s="153" t="str">
        <f>"Numbers in green indicate "&amp;ScenarioName&amp;" is outperforming the medium-term plan"</f>
        <v>Numbers in green indicate Draft budgetary plan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Draft budgetary plan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Draft budgetary plan 2026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9.1</v>
      </c>
      <c r="F6" s="164">
        <f t="shared" ref="F6:I6" si="0">G103</f>
        <v>5.8999999999999995</v>
      </c>
      <c r="G6" s="164">
        <f t="shared" si="0"/>
        <v>3.5999999999999996</v>
      </c>
      <c r="H6" s="164">
        <f t="shared" si="0"/>
        <v>3.4000000000000004</v>
      </c>
      <c r="I6" s="164">
        <f t="shared" si="0"/>
        <v>3.3000000000000003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-0.3</v>
      </c>
      <c r="E12" s="165">
        <f t="shared" ref="E12:I12" si="6">F130</f>
        <v>1.4</v>
      </c>
      <c r="F12" s="165">
        <f t="shared" si="6"/>
        <v>2.9</v>
      </c>
      <c r="G12" s="165">
        <f t="shared" si="6"/>
        <v>1.6</v>
      </c>
      <c r="H12" s="165">
        <f t="shared" si="6"/>
        <v>1.2</v>
      </c>
      <c r="I12" s="165">
        <f t="shared" si="6"/>
        <v>1.1000000000000001</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5.4</v>
      </c>
      <c r="E13" s="165">
        <f t="shared" ref="E13:I13" si="7">F131</f>
        <v>2.4</v>
      </c>
      <c r="F13" s="165">
        <f t="shared" si="7"/>
        <v>2.5</v>
      </c>
      <c r="G13" s="165">
        <f t="shared" si="7"/>
        <v>2.5</v>
      </c>
      <c r="H13" s="165">
        <f t="shared" si="7"/>
        <v>2.5</v>
      </c>
      <c r="I13" s="165">
        <f t="shared" si="7"/>
        <v>2.5</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5.0999999999999996</v>
      </c>
      <c r="E14" s="165">
        <f t="shared" ref="E14:I14" si="8">F132</f>
        <v>3.8</v>
      </c>
      <c r="F14" s="165">
        <f t="shared" si="8"/>
        <v>5.5</v>
      </c>
      <c r="G14" s="165">
        <f t="shared" si="8"/>
        <v>4.0999999999999996</v>
      </c>
      <c r="H14" s="165">
        <f t="shared" si="8"/>
        <v>3.7</v>
      </c>
      <c r="I14" s="165">
        <f t="shared" si="8"/>
        <v>3.6</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2.2999999999999998</v>
      </c>
      <c r="E15" s="37">
        <f t="shared" ref="E15:I15" si="9">F161</f>
        <v>2.2000000000000002</v>
      </c>
      <c r="F15" s="37">
        <f t="shared" si="9"/>
        <v>2.1</v>
      </c>
      <c r="G15" s="37">
        <f t="shared" si="9"/>
        <v>1.2</v>
      </c>
      <c r="H15" s="37">
        <f t="shared" si="9"/>
        <v>0.9</v>
      </c>
      <c r="I15" s="37">
        <f t="shared" si="9"/>
        <v>0.9</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-1</v>
      </c>
      <c r="E16" s="164">
        <f t="shared" ref="E16:I16" si="10">F167</f>
        <v>-1.8</v>
      </c>
      <c r="F16" s="164">
        <f t="shared" si="10"/>
        <v>-1</v>
      </c>
      <c r="G16" s="164">
        <f t="shared" si="10"/>
        <v>-0.7</v>
      </c>
      <c r="H16" s="164">
        <f t="shared" si="10"/>
        <v>-0.5</v>
      </c>
      <c r="I16" s="164">
        <f t="shared" si="10"/>
        <v>-0.4</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1">F173</f>
        <v>-2.6</v>
      </c>
      <c r="F25" s="253">
        <f t="shared" si="11"/>
        <v>-2.9</v>
      </c>
      <c r="G25" s="253">
        <f t="shared" si="11"/>
        <v>-2.9</v>
      </c>
      <c r="H25" s="253">
        <f t="shared" si="11"/>
        <v>-2.9</v>
      </c>
      <c r="I25" s="253">
        <f t="shared" si="11"/>
        <v>-2.9</v>
      </c>
      <c r="J25" s="253">
        <f t="shared" si="11"/>
        <v>-2.9</v>
      </c>
      <c r="K25" s="253">
        <f t="shared" si="11"/>
        <v>-2.9</v>
      </c>
      <c r="L25" s="253">
        <f t="shared" si="11"/>
        <v>-2.9</v>
      </c>
      <c r="M25" s="253">
        <f t="shared" si="11"/>
        <v>-3</v>
      </c>
      <c r="N25" s="253">
        <f t="shared" si="11"/>
        <v>-3</v>
      </c>
      <c r="O25" s="253">
        <f t="shared" si="11"/>
        <v>-3</v>
      </c>
      <c r="P25" s="253">
        <f t="shared" si="11"/>
        <v>-3</v>
      </c>
      <c r="Q25" s="253">
        <f t="shared" si="11"/>
        <v>-3</v>
      </c>
      <c r="R25" s="253">
        <f t="shared" si="11"/>
        <v>-3</v>
      </c>
      <c r="S25" s="253">
        <f t="shared" si="11"/>
        <v>-2.9</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2">F172</f>
        <v>45.8</v>
      </c>
      <c r="F27" s="253">
        <f t="shared" si="12"/>
        <v>47.5</v>
      </c>
      <c r="G27" s="253">
        <f t="shared" si="12"/>
        <v>48.5</v>
      </c>
      <c r="H27" s="253">
        <f t="shared" si="12"/>
        <v>49.7</v>
      </c>
      <c r="I27" s="253">
        <f t="shared" si="12"/>
        <v>50.8</v>
      </c>
      <c r="J27" s="253">
        <f t="shared" si="12"/>
        <v>51.9</v>
      </c>
      <c r="K27" s="253">
        <f t="shared" si="12"/>
        <v>53</v>
      </c>
      <c r="L27" s="253">
        <f t="shared" si="12"/>
        <v>53.9</v>
      </c>
      <c r="M27" s="253">
        <f t="shared" si="12"/>
        <v>54.9</v>
      </c>
      <c r="N27" s="253">
        <f t="shared" si="12"/>
        <v>55.9</v>
      </c>
      <c r="O27" s="253">
        <f t="shared" si="12"/>
        <v>56.8</v>
      </c>
      <c r="P27" s="253">
        <f t="shared" si="12"/>
        <v>57.7</v>
      </c>
      <c r="Q27" s="253">
        <f t="shared" si="12"/>
        <v>58.5</v>
      </c>
      <c r="R27" s="253">
        <f t="shared" si="12"/>
        <v>59.2</v>
      </c>
      <c r="S27" s="253">
        <f t="shared" si="12"/>
        <v>59.9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951</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751</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1.6</v>
      </c>
      <c r="F114" s="4">
        <v>1.5</v>
      </c>
      <c r="G114" s="4">
        <v>1.7</v>
      </c>
      <c r="H114" s="4">
        <v>1.6</v>
      </c>
      <c r="I114" s="4">
        <v>1.5</v>
      </c>
      <c r="J114" s="4">
        <v>1.4</v>
      </c>
    </row>
    <row r="115" spans="1:13" ht="14.25" x14ac:dyDescent="0.45">
      <c r="A115" s="212">
        <v>39</v>
      </c>
      <c r="B115" s="240" t="s">
        <v>754</v>
      </c>
      <c r="C115" s="225"/>
      <c r="D115" s="244"/>
      <c r="E115" s="4">
        <v>-1.4</v>
      </c>
      <c r="F115" s="4">
        <v>-0.5</v>
      </c>
      <c r="G115" s="4">
        <v>-1.2</v>
      </c>
      <c r="H115" s="4">
        <v>-0.5</v>
      </c>
      <c r="I115" s="4">
        <v>-0.3</v>
      </c>
      <c r="J115" s="4">
        <v>-0.2</v>
      </c>
    </row>
    <row r="116" spans="1:13" ht="14.25" x14ac:dyDescent="0.45">
      <c r="A116" s="212">
        <v>40</v>
      </c>
      <c r="B116" s="241" t="s">
        <v>755</v>
      </c>
      <c r="C116" s="225"/>
      <c r="D116" s="244"/>
      <c r="E116" s="4">
        <v>0.6</v>
      </c>
      <c r="F116" s="4">
        <v>1.1000000000000001</v>
      </c>
      <c r="G116" s="4">
        <v>1.2</v>
      </c>
      <c r="H116" s="4">
        <v>1.3</v>
      </c>
      <c r="I116" s="4">
        <v>1.4</v>
      </c>
      <c r="J116" s="4">
        <v>1.5</v>
      </c>
    </row>
    <row r="117" spans="1:13" ht="14.25" x14ac:dyDescent="0.45">
      <c r="A117" s="212">
        <v>41</v>
      </c>
      <c r="B117" s="241" t="s">
        <v>756</v>
      </c>
      <c r="C117" s="225"/>
      <c r="D117" s="244"/>
      <c r="E117" s="4">
        <v>0.1</v>
      </c>
      <c r="F117" s="4">
        <v>-0.6</v>
      </c>
      <c r="G117" s="4">
        <v>-1.3</v>
      </c>
      <c r="H117" s="4">
        <v>-0.7</v>
      </c>
      <c r="I117" s="4">
        <v>-0.5</v>
      </c>
      <c r="J117" s="4">
        <v>-0.5</v>
      </c>
    </row>
    <row r="118" spans="1:13" ht="14.25" x14ac:dyDescent="0.45">
      <c r="A118" s="212">
        <v>42</v>
      </c>
      <c r="B118" s="241" t="s">
        <v>757</v>
      </c>
      <c r="C118" s="225"/>
      <c r="D118" s="244"/>
      <c r="E118" s="4">
        <v>-2.1</v>
      </c>
      <c r="F118" s="4">
        <v>-1</v>
      </c>
      <c r="G118" s="4">
        <v>-1.1000000000000001</v>
      </c>
      <c r="H118" s="4">
        <v>-1.1000000000000001</v>
      </c>
      <c r="I118" s="4">
        <v>-1.2</v>
      </c>
      <c r="J118" s="4">
        <v>-1.2</v>
      </c>
    </row>
    <row r="119" spans="1:13" ht="14.25" x14ac:dyDescent="0.45">
      <c r="A119" s="212">
        <v>43</v>
      </c>
      <c r="B119" s="240" t="s">
        <v>758</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763</v>
      </c>
      <c r="D132" s="144">
        <v>40.299999999999997</v>
      </c>
      <c r="E132">
        <v>5.0999999999999996</v>
      </c>
      <c r="F132">
        <v>3.8</v>
      </c>
      <c r="G132">
        <v>5.5</v>
      </c>
      <c r="H132" s="4">
        <v>4.0999999999999996</v>
      </c>
      <c r="I132" s="4">
        <v>3.7</v>
      </c>
      <c r="J132" s="4">
        <v>3.6</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-1.3</v>
      </c>
      <c r="F134">
        <v>1.6</v>
      </c>
      <c r="H134" s="4"/>
      <c r="I134" s="4"/>
      <c r="J134" s="4"/>
    </row>
    <row r="135" spans="1:10" ht="14.25" x14ac:dyDescent="0.45">
      <c r="A135" s="212">
        <v>5</v>
      </c>
      <c r="B135" s="225" t="s">
        <v>767</v>
      </c>
      <c r="C135" s="225" t="s">
        <v>766</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-5.9</v>
      </c>
      <c r="F138">
        <v>0.3</v>
      </c>
      <c r="H138" s="4"/>
      <c r="I138" s="4"/>
      <c r="J138" s="4"/>
    </row>
    <row r="139" spans="1:10" ht="14.25" x14ac:dyDescent="0.45">
      <c r="A139" s="212">
        <v>9</v>
      </c>
      <c r="B139" s="225" t="s">
        <v>772</v>
      </c>
      <c r="C139" s="225" t="s">
        <v>773</v>
      </c>
      <c r="D139" s="246"/>
      <c r="E139">
        <v>-2.8</v>
      </c>
      <c r="F139">
        <v>1</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2.4</v>
      </c>
      <c r="F141">
        <v>2</v>
      </c>
      <c r="H141" s="4"/>
      <c r="I141" s="4"/>
      <c r="J141" s="4"/>
    </row>
    <row r="142" spans="1:10" ht="14.25" x14ac:dyDescent="0.45">
      <c r="A142" s="212">
        <v>11</v>
      </c>
      <c r="B142" s="243" t="s">
        <v>776</v>
      </c>
      <c r="C142" s="225" t="s">
        <v>769</v>
      </c>
      <c r="D142" s="246"/>
      <c r="E142">
        <v>-0.7</v>
      </c>
      <c r="F142">
        <v>0</v>
      </c>
      <c r="H142" s="4"/>
      <c r="I142" s="4"/>
      <c r="J142" s="4"/>
    </row>
    <row r="143" spans="1:10" ht="14.25" x14ac:dyDescent="0.45">
      <c r="A143" s="212">
        <v>12</v>
      </c>
      <c r="B143" s="243" t="s">
        <v>777</v>
      </c>
      <c r="C143" s="225" t="s">
        <v>778</v>
      </c>
      <c r="D143" s="246"/>
      <c r="E143">
        <v>-2</v>
      </c>
      <c r="F143">
        <v>-0.6</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8</v>
      </c>
      <c r="F145">
        <v>1</v>
      </c>
      <c r="H145" s="4"/>
      <c r="I145" s="4"/>
      <c r="J145" s="4"/>
    </row>
    <row r="146" spans="1:10" ht="14.25" x14ac:dyDescent="0.45">
      <c r="A146" s="212">
        <v>14</v>
      </c>
      <c r="B146" s="240" t="s">
        <v>781</v>
      </c>
      <c r="C146" s="225"/>
      <c r="D146" s="246"/>
      <c r="E146">
        <v>8.9</v>
      </c>
      <c r="F146">
        <v>1.2</v>
      </c>
      <c r="H146" s="4"/>
      <c r="I146" s="4"/>
      <c r="J146" s="4"/>
    </row>
    <row r="147" spans="1:10" ht="14.25" x14ac:dyDescent="0.45">
      <c r="A147" s="212">
        <v>15</v>
      </c>
      <c r="B147" s="225" t="s">
        <v>782</v>
      </c>
      <c r="C147" s="225"/>
      <c r="D147" s="246"/>
      <c r="E147">
        <v>0.6</v>
      </c>
      <c r="F147">
        <v>3.6</v>
      </c>
      <c r="H147" s="4"/>
      <c r="I147" s="4"/>
      <c r="J147" s="4"/>
    </row>
    <row r="148" spans="1:10" ht="14.25" x14ac:dyDescent="0.45">
      <c r="A148" s="212">
        <v>16</v>
      </c>
      <c r="B148" s="225" t="s">
        <v>783</v>
      </c>
      <c r="C148" s="225"/>
      <c r="D148" s="246"/>
      <c r="E148">
        <v>6.4</v>
      </c>
      <c r="F148">
        <v>3</v>
      </c>
      <c r="H148" s="4"/>
      <c r="I148" s="4"/>
      <c r="J148" s="4"/>
    </row>
    <row r="149" spans="1:10" ht="14.25" x14ac:dyDescent="0.45">
      <c r="A149" s="212">
        <v>17</v>
      </c>
      <c r="B149" s="225" t="s">
        <v>784</v>
      </c>
      <c r="C149" s="225"/>
      <c r="D149" s="246"/>
      <c r="E149">
        <v>-1.8</v>
      </c>
      <c r="F149">
        <v>1.5</v>
      </c>
      <c r="H149" s="4"/>
      <c r="I149" s="4"/>
      <c r="J149" s="4"/>
    </row>
    <row r="150" spans="1:10" ht="14.25" x14ac:dyDescent="0.45">
      <c r="A150" s="212">
        <v>18</v>
      </c>
      <c r="B150" s="225" t="s">
        <v>785</v>
      </c>
      <c r="C150" s="225"/>
      <c r="D150" s="246"/>
      <c r="E150">
        <v>-5.2</v>
      </c>
      <c r="F150">
        <v>0.7</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884</v>
      </c>
      <c r="E152" s="3">
        <v>-0.2</v>
      </c>
      <c r="F152">
        <v>0</v>
      </c>
      <c r="G152" s="3"/>
      <c r="H152" s="64"/>
      <c r="I152" s="64"/>
      <c r="J152" s="64"/>
    </row>
    <row r="153" spans="1:10" x14ac:dyDescent="0.4">
      <c r="A153" s="212">
        <v>20</v>
      </c>
      <c r="B153" s="225" t="s">
        <v>789</v>
      </c>
      <c r="C153" s="225"/>
      <c r="D153" s="144">
        <v>1862</v>
      </c>
      <c r="E153">
        <v>-0.4</v>
      </c>
      <c r="F153">
        <v>0</v>
      </c>
      <c r="H153" s="4"/>
      <c r="I153" s="4"/>
      <c r="J153" s="4"/>
    </row>
    <row r="154" spans="1:10" ht="14.25" x14ac:dyDescent="0.45">
      <c r="A154" s="212">
        <v>21</v>
      </c>
      <c r="B154" s="225" t="s">
        <v>790</v>
      </c>
      <c r="C154" s="225"/>
      <c r="D154" s="246"/>
      <c r="E154">
        <v>-0.1</v>
      </c>
      <c r="F154">
        <v>1.4</v>
      </c>
      <c r="H154" s="4"/>
      <c r="I154" s="4"/>
      <c r="J154" s="4"/>
    </row>
    <row r="155" spans="1:10" ht="14.25" x14ac:dyDescent="0.45">
      <c r="A155" s="212">
        <v>22</v>
      </c>
      <c r="B155" s="225" t="s">
        <v>791</v>
      </c>
      <c r="C155" s="225"/>
      <c r="D155" s="246"/>
      <c r="E155">
        <v>0.3</v>
      </c>
      <c r="F155">
        <v>1.4</v>
      </c>
      <c r="H155" s="4"/>
      <c r="I155" s="4"/>
      <c r="J155" s="4"/>
    </row>
    <row r="156" spans="1:10" x14ac:dyDescent="0.4">
      <c r="A156" s="212">
        <v>23</v>
      </c>
      <c r="B156" s="225" t="s">
        <v>792</v>
      </c>
      <c r="C156" s="225" t="s">
        <v>5</v>
      </c>
      <c r="D156" s="144">
        <v>20.6</v>
      </c>
      <c r="E156">
        <v>12.7</v>
      </c>
      <c r="F156">
        <v>6.7</v>
      </c>
      <c r="H156" s="4"/>
      <c r="I156" s="4"/>
      <c r="J156" s="4"/>
    </row>
    <row r="157" spans="1:10" x14ac:dyDescent="0.4">
      <c r="A157" s="212">
        <v>24</v>
      </c>
      <c r="B157" s="225" t="s">
        <v>793</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6.5</v>
      </c>
      <c r="F159">
        <v>6.7</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2.2999999999999998</v>
      </c>
      <c r="F161">
        <v>2.2000000000000002</v>
      </c>
      <c r="G161">
        <v>2.1</v>
      </c>
      <c r="H161" s="4">
        <v>1.2</v>
      </c>
      <c r="I161" s="4">
        <v>0.9</v>
      </c>
      <c r="J161" s="4">
        <v>0.9</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v>
      </c>
      <c r="F163">
        <v>0.1</v>
      </c>
      <c r="H163" s="4"/>
      <c r="I163" s="4"/>
      <c r="J163" s="4"/>
    </row>
    <row r="164" spans="1:26" ht="14.25" x14ac:dyDescent="0.45">
      <c r="A164" s="212">
        <v>28</v>
      </c>
      <c r="B164" s="240" t="s">
        <v>799</v>
      </c>
      <c r="C164" s="225"/>
      <c r="D164" s="246"/>
      <c r="E164">
        <v>0.9</v>
      </c>
      <c r="F164">
        <v>0.8</v>
      </c>
      <c r="H164" s="4"/>
      <c r="I164" s="4"/>
      <c r="J164" s="4"/>
    </row>
    <row r="165" spans="1:26" ht="14.25" x14ac:dyDescent="0.45">
      <c r="A165" s="212">
        <v>29</v>
      </c>
      <c r="B165" s="240" t="s">
        <v>800</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836</v>
      </c>
      <c r="C173" s="196" t="s">
        <v>837</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838</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839</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842</v>
      </c>
      <c r="C178" s="196" t="s">
        <v>843</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844</v>
      </c>
      <c r="C179" s="196" t="s">
        <v>845</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848</v>
      </c>
      <c r="C181" s="196" t="s">
        <v>849</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850</v>
      </c>
      <c r="C182" s="196" t="s">
        <v>851</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852</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853</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The general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Fiscal Discipline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Latvia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Latvia's debt remains below the TFEU debt reference level in each of the ten years following the adjustment period.</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Latvia's deficit remains below the TFEU reference level in the final year of the adjustment period and throughout the following ten years.</v>
      </c>
    </row>
    <row r="18" spans="1:34" ht="19.149999999999999" customHeight="1" x14ac:dyDescent="0.7">
      <c r="A18" s="112" t="s">
        <v>401</v>
      </c>
      <c r="B18" s="78" t="s">
        <v>500</v>
      </c>
      <c r="C18" s="78" t="s">
        <v>923</v>
      </c>
      <c r="D18" s="75" t="str">
        <f t="shared" si="0"/>
        <v>☐</v>
      </c>
      <c r="E18" s="27" t="str">
        <f>IF(Receives_reference_trajectory,IF(Assessment!C294,"Compliant","Breach"),"N/A")</f>
        <v>N/A</v>
      </c>
      <c r="F18" s="22" t="str">
        <f>Assessment!C296</f>
        <v>Not applicable - Latvia is not required to comply with a reference trajectory.</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Latvia.</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N/A</v>
      </c>
      <c r="F21" s="22" t="str">
        <f>Assessment!C319</f>
        <v>Latvia does not receive a reference trajectory and its MTP is not assessed against the debt sustainability safeguard.</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Latvia does not receive a reference trajectory and its MTP is not assessed against the deficit resilience safeguard.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Latvia is required to meet the structural primary balance condition without a safeguard. This condition is met, although the safeguard threshold is not.</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953</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Draft budgetary plan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0.73429999999999995</v>
      </c>
      <c r="E9" s="155">
        <f>IF(E$4&lt;=OutturnThrough,IF(ISNUMBER('Step 2 - Update outturn data'!F9),'Step 2 - Update outturn data'!F9,""),IF(ISNUMBER('Step 3 (IMPL) - Enter outlook'!E11),'Step 3 (IMPL) - Enter outlook'!E11,""))</f>
        <v>0.75549999999999995</v>
      </c>
      <c r="F9" s="155">
        <f>IF(F$4&lt;=OutturnThrough,IF(ISNUMBER('Step 2 - Update outturn data'!G9),'Step 2 - Update outturn data'!G9,""),IF(ISNUMBER('Step 3 (IMPL) - Enter outlook'!F11),'Step 3 (IMPL) - Enter outlook'!F11,""))</f>
        <v>1.2509999999999999</v>
      </c>
      <c r="G9" s="155">
        <f>IF(G$4&lt;=OutturnThrough,IF(ISNUMBER('Step 2 - Update outturn data'!H9),'Step 2 - Update outturn data'!H9,""),IF(ISNUMBER('Step 3 (IMPL) - Enter outlook'!G11),'Step 3 (IMPL) - Enter outlook'!G11,""))</f>
        <v>0.91301596399999985</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1.0249299999999999</v>
      </c>
      <c r="E14" s="155">
        <f>IF(E$4&lt;=OutturnThrough,IF(ISNUMBER('Step 2 - Update outturn data'!F14),'Step 2 - Update outturn data'!F14,""),IF(ISNUMBER('Step 3 (IMPL) - Enter outlook'!E16),'Step 3 (IMPL) - Enter outlook'!E16,""))</f>
        <v>1.10371</v>
      </c>
      <c r="F14" s="155">
        <f>IF(F$4&lt;=OutturnThrough,IF(ISNUMBER('Step 2 - Update outturn data'!G14),'Step 2 - Update outturn data'!G14,""),IF(ISNUMBER('Step 3 (IMPL) - Enter outlook'!F16),'Step 3 (IMPL) - Enter outlook'!F16,""))</f>
        <v>1.36114</v>
      </c>
      <c r="G14" s="155">
        <f>IF(G$4&lt;=OutturnThrough,IF(ISNUMBER('Step 2 - Update outturn data'!H14),'Step 2 - Update outturn data'!H14,""),IF(ISNUMBER('Step 3 (IMPL) - Enter outlook'!G16),'Step 3 (IMPL) - Enter outlook'!G16,""))</f>
        <v>2.1573508744079999</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954</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956</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955</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957</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958</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2026 does not. Deviations occur only in years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0.73429999999999995</v>
      </c>
      <c r="E111" s="144">
        <f t="shared" si="5"/>
        <v>0.75549999999999995</v>
      </c>
      <c r="F111" s="144">
        <f t="shared" si="5"/>
        <v>1.2509999999999999</v>
      </c>
      <c r="G111" s="144">
        <f t="shared" si="5"/>
        <v>0.91301596399999985</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16.005510000000005</v>
      </c>
      <c r="E114" s="144">
        <f t="shared" si="8"/>
        <v>17.073910000000001</v>
      </c>
      <c r="F114" s="144">
        <f t="shared" si="8"/>
        <v>17.899699999999999</v>
      </c>
      <c r="G114" s="144">
        <f t="shared" si="8"/>
        <v>18.853779656599993</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1.0683999999999969</v>
      </c>
      <c r="F115" s="91">
        <f t="shared" ref="F115:J115" si="9">IF(ISNUMBER(F105),F114-E114,"")</f>
        <v>0.8257899999999978</v>
      </c>
      <c r="G115" s="91">
        <f t="shared" si="9"/>
        <v>0.95407965659999405</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0.27381</v>
      </c>
      <c r="F116" s="144">
        <f t="shared" si="10"/>
        <v>0</v>
      </c>
      <c r="G116" s="144">
        <f t="shared" si="10"/>
        <v>-9.1301596399999976E-2</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0.79458999999999691</v>
      </c>
      <c r="F117" s="144">
        <f t="shared" ref="F117:J117" si="11">IF(ISNUMBER(F105),F115-F116,"")</f>
        <v>0.8257899999999978</v>
      </c>
      <c r="G117" s="144">
        <f t="shared" si="11"/>
        <v>1.045381252999994</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4.9644778579376521</v>
      </c>
      <c r="F119" s="144">
        <f t="shared" ref="F119:J119" si="12">IF(ISNUMBER(F105),F117/E114*100,"")</f>
        <v>4.8365605769270053</v>
      </c>
      <c r="G119" s="144">
        <f t="shared" si="12"/>
        <v>5.8402166125688924</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9.1</v>
      </c>
      <c r="F120" s="144">
        <f t="shared" si="13"/>
        <v>5.8999999999999995</v>
      </c>
      <c r="G120" s="144">
        <f t="shared" si="13"/>
        <v>3.5999999999999996</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-0.66191141000000342</v>
      </c>
      <c r="F121" s="144">
        <f t="shared" ref="F121:J121" si="14">IF(ISNUMBER(F105),((F119-F120)/100)*E114,"")</f>
        <v>-0.18157069000000228</v>
      </c>
      <c r="G121" s="144">
        <f t="shared" si="14"/>
        <v>0.40099205299999402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-0.66191141000000342</v>
      </c>
      <c r="F122" s="144">
        <f t="shared" ref="F122:J122" si="15">IF(ISNUMBER(F105),F121+IF(ISNUMBER(E105),E122,0),"")</f>
        <v>-0.84348210000000567</v>
      </c>
      <c r="G122" s="144">
        <f t="shared" si="15"/>
        <v>-0.44249004700001165</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39.5642</v>
      </c>
      <c r="E123" s="144">
        <f t="shared" si="16"/>
        <v>40.652300000000004</v>
      </c>
      <c r="F123" s="144">
        <f t="shared" si="16"/>
        <v>43.026199999999996</v>
      </c>
      <c r="G123" s="144">
        <f t="shared" si="16"/>
        <v>45.65079819999999</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-1.6282262258224094</v>
      </c>
      <c r="F125" s="4">
        <f t="shared" ref="F125:J125" si="17">IF(ISNUMBER(F105),F121/F$123*100,"")</f>
        <v>-0.42200029284483015</v>
      </c>
      <c r="G125" s="4">
        <f t="shared" si="17"/>
        <v>0.87839001465694877</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-1.6282262258224094</v>
      </c>
      <c r="F126" s="4">
        <f t="shared" ref="F126:J126" si="18">IF(ISNUMBER(F105),F122/F$123*100,"")</f>
        <v>-1.9603918077822482</v>
      </c>
      <c r="G126" s="4">
        <f t="shared" si="18"/>
        <v>-0.96929312180134408</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-1.6282262258224094</v>
      </c>
      <c r="F128" s="4">
        <f t="shared" ref="F128:J128" si="19">IF(ISNUMBER(F105),F121/F$123*100,"")</f>
        <v>-0.42200029284483015</v>
      </c>
      <c r="G128" s="4">
        <f t="shared" si="19"/>
        <v>0.87839001465694877</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1.0249299999999999</v>
      </c>
      <c r="E129" s="144">
        <f t="shared" si="20"/>
        <v>1.10371</v>
      </c>
      <c r="F129" s="144">
        <f t="shared" si="20"/>
        <v>1.36114</v>
      </c>
      <c r="G129" s="144">
        <f t="shared" si="20"/>
        <v>2.1573508744079999</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2.5905490317003754</v>
      </c>
      <c r="E130" s="4">
        <f t="shared" si="21"/>
        <v>2.7150001352936979</v>
      </c>
      <c r="F130" s="4">
        <f t="shared" si="21"/>
        <v>3.1635143238305963</v>
      </c>
      <c r="G130" s="4">
        <f t="shared" si="21"/>
        <v>4.7257681343411875</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7.8780000000000072E-2</v>
      </c>
      <c r="F131" s="4">
        <f t="shared" ref="F131:J131" si="22">IF(ISNUMBER(F105),F129-E129,"")</f>
        <v>0.25743000000000005</v>
      </c>
      <c r="G131" s="4">
        <f t="shared" si="22"/>
        <v>0.79621087440799987</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0.19378977327236113</v>
      </c>
      <c r="F132" s="4">
        <f>IF(ISNUMBER(F105),F131/F$27*100,"")</f>
        <v>0.59830986701126299</v>
      </c>
      <c r="G132" s="4">
        <f t="shared" ref="G132:J132" si="23">IF(ISNUMBER(G105),G131/G$27*100,"")</f>
        <v>1.7441335218712561</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2021</v>
      </c>
      <c r="C133" t="s">
        <v>6</v>
      </c>
      <c r="E133" s="4">
        <f>IF(ISNUMBER(E105),E134/100*E$27,"")</f>
        <v>8.7402499999999939E-2</v>
      </c>
      <c r="F133" s="4">
        <f t="shared" ref="F133:G133" si="24">IF(ISNUMBER(F105),F134/100*F$27,"")</f>
        <v>0.28548499999999999</v>
      </c>
      <c r="G133" s="4">
        <f t="shared" si="24"/>
        <v>1.016080919408</v>
      </c>
      <c r="H133" s="4"/>
      <c r="I133" s="4"/>
      <c r="J133" s="4"/>
      <c r="K133" s="4"/>
    </row>
    <row r="134" spans="1:35" x14ac:dyDescent="0.4">
      <c r="B134" s="5" t="str">
        <f>"Growth of defence expenditure since "&amp;'Step 1 - Set global parameters'!B26&amp;""</f>
        <v>Growth of defence expenditure since 2021</v>
      </c>
      <c r="C134" t="s">
        <v>603</v>
      </c>
      <c r="E134" s="4">
        <f>IF(ISNUMBER(E105),E130-'Step 1 - Set global parameters'!$B$27,"")</f>
        <v>0.21500013529369788</v>
      </c>
      <c r="F134" s="4">
        <f>IF(ISNUMBER(F105),F130-'Step 1 - Set global parameters'!$B$27,"")</f>
        <v>0.66351432383059628</v>
      </c>
      <c r="G134" s="4">
        <f>IF(ISNUMBER(G105),G130-'Step 1 - Set global parameters'!$B$27,"")</f>
        <v>2.2257681343411875</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0</v>
      </c>
      <c r="H135" s="117" t="str">
        <f t="shared" si="25"/>
        <v/>
      </c>
      <c r="I135" s="117" t="str">
        <f t="shared" si="25"/>
        <v/>
      </c>
      <c r="J135" s="117" t="str">
        <f t="shared" si="25"/>
        <v/>
      </c>
      <c r="K135" s="117"/>
    </row>
    <row r="136" spans="1:35" s="44" customFormat="1" x14ac:dyDescent="0.4">
      <c r="B136" s="82" t="s">
        <v>652</v>
      </c>
      <c r="C136" s="44" t="s">
        <v>651</v>
      </c>
      <c r="E136" s="48">
        <f>IF(ISNUMBER(E105),E121,"")</f>
        <v>-0.66191141000000342</v>
      </c>
      <c r="F136" s="48">
        <f t="shared" ref="F136:J136" si="26">IF(ISNUMBER(F105),F121,"")</f>
        <v>-0.18157069000000228</v>
      </c>
      <c r="G136" s="48">
        <f t="shared" si="26"/>
        <v>0.40099205299999402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0.40099205299999402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0</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0.66191141000000342</v>
      </c>
      <c r="F139" s="48">
        <f t="shared" ref="F139:J139" si="30">IF(ISNUMBER(F105),IF(OR(F136="",ISNA(F136)),"",ABS(MIN(F136,0))),"")</f>
        <v>0.18157069000000228</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-0.66191141000000342</v>
      </c>
      <c r="F140" s="48">
        <f t="shared" ref="F140:J140" si="31">IF(ISNUMBER(F105),IF(F145=FALSE,F137-F139,IF(F146=TRUE,F138-F139,F139)),"")</f>
        <v>-0.18157069000000228</v>
      </c>
      <c r="G140" s="48">
        <f t="shared" si="31"/>
        <v>0</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-0.66191141000000342</v>
      </c>
      <c r="F141" s="48">
        <f>IF(ISNUMBER(F105),F140+IF(ISNUMBER(E105),E141,0),"")</f>
        <v>-0.84348210000000567</v>
      </c>
      <c r="G141" s="48">
        <f>IF(ISNUMBER(G105),G140+IF(ISNUMBER(F105),F141,0),"")</f>
        <v>-0.84348210000000567</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-1.6282262258224094</v>
      </c>
      <c r="F142" s="4">
        <f t="shared" ref="F142:J142" si="33">IF(ISNUMBER(F105),F140/F123*100,"")</f>
        <v>-0.42200029284483015</v>
      </c>
      <c r="G142" s="4">
        <f t="shared" si="33"/>
        <v>0</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-1.6282262258224094</v>
      </c>
      <c r="F143" s="4">
        <f t="shared" ref="F143:J143" si="34">IF(ISNUMBER(F105),F141/F$123*100,"")</f>
        <v>-1.9603918077822482</v>
      </c>
      <c r="G143" s="4">
        <f t="shared" si="34"/>
        <v>-1.8476831364582929</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-1.8432263611161073</v>
      </c>
      <c r="F144" s="4">
        <f t="shared" ref="F144:J144" si="35">IF(ISNUMBER(F105),F126-F134,"")</f>
        <v>-2.6239061316128445</v>
      </c>
      <c r="G144" s="4">
        <f t="shared" si="35"/>
        <v>-3.1950612561425316</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0</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0</v>
      </c>
      <c r="D158" s="58"/>
      <c r="E158" s="58"/>
      <c r="F158" s="58"/>
      <c r="G158" s="58"/>
      <c r="H158" s="58"/>
      <c r="I158" s="58"/>
      <c r="J158" s="58"/>
      <c r="K158" s="58"/>
      <c r="L158" s="58"/>
      <c r="M158" s="58"/>
      <c r="N158" s="58"/>
      <c r="O158" s="58"/>
      <c r="P158" s="58"/>
      <c r="Q158" s="58"/>
      <c r="R158" s="58"/>
      <c r="S158" s="58"/>
      <c r="T158" s="58"/>
    </row>
    <row r="159" spans="1:35" x14ac:dyDescent="0.4">
      <c r="B159" s="46" t="s">
        <v>960</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1.8 percentage points of GDP. Observed annual and cumulative deviations do not exceed the respective 0.3 and 0.6 percentage points of GDP limits.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-2.0901399999999999</v>
      </c>
      <c r="E173" s="91">
        <v>-1.3087</v>
      </c>
      <c r="F173" s="91">
        <v>-2.5189499999999998</v>
      </c>
      <c r="G173" s="91">
        <v>-2.6</v>
      </c>
      <c r="H173" s="91"/>
      <c r="I173" s="91"/>
      <c r="J173" s="91"/>
      <c r="K173" s="91"/>
      <c r="L173" s="91"/>
      <c r="M173" s="91"/>
      <c r="N173" s="91"/>
    </row>
    <row r="174" spans="2:35" customFormat="1" x14ac:dyDescent="0.4">
      <c r="B174" t="s">
        <v>214</v>
      </c>
      <c r="C174" s="37"/>
      <c r="D174" s="91" cm="1">
        <f t="array" ref="D174:G174">INDEX(19:19, COLUMN($D$19) + _xlfn.SEQUENCE(1, COLUMNS(_xlfn.ANCHORARRAY(D4))) - 1)</f>
        <v>-1.3650599999999999</v>
      </c>
      <c r="E174" s="91">
        <v>-0.21811</v>
      </c>
      <c r="F174" s="91">
        <v>-1.41309</v>
      </c>
      <c r="G174" s="91">
        <v>-1.3</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1.1469499999999999</v>
      </c>
      <c r="F175" s="91">
        <v>-1.1949799999999999</v>
      </c>
      <c r="G175" s="91">
        <v>0.11308999999999991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1</v>
      </c>
      <c r="G176" s="3" t="b">
        <f t="shared" si="36"/>
        <v>1</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e" cm="1">
        <f t="array" ref="C177">IF(
  Receives_reference_trajectory,
  SUMPRODUCT(
    --(
      INDEX(176:176,1,COLUMN($D$172)):
      INDEX(176:176,1,COLUMN($D$172)+COLUMNS(_xlfn.ANCHORARRAY($D$172))-1)
    )
  )&gt;0,
  NA()
)</f>
        <v>#N/A</v>
      </c>
    </row>
    <row r="178" spans="2:35" x14ac:dyDescent="0.4">
      <c r="B178" t="s">
        <v>306</v>
      </c>
      <c r="C178" s="15" t="str">
        <f>IF(Receives_reference_trajectory,IF(AdjustmentPeriod=4,0.4,0.25),"Not applicable")</f>
        <v>Not applicable</v>
      </c>
      <c r="E178" s="17"/>
    </row>
    <row r="179" spans="2:35" x14ac:dyDescent="0.4">
      <c r="B179" t="s">
        <v>959</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0.11308999999999991</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3.7696666666666635E-2</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0.11308999999999991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-0.54094500000000001</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1</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1</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0</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3.0699087476256466</v>
      </c>
    </row>
    <row r="233" spans="2:35" customFormat="1" x14ac:dyDescent="0.4">
      <c r="B233" t="s">
        <v>492</v>
      </c>
      <c r="C233" s="126">
        <f>AVERAGEIFS(
  34:34,
  32:32, "&gt;" &amp; MTP_YearT,
  32:32, "&lt;=" &amp; AdjustmentPeriodEnd
)</f>
        <v>4.05</v>
      </c>
    </row>
    <row r="234" spans="2:35" customFormat="1" x14ac:dyDescent="0.4">
      <c r="B234" t="s">
        <v>493</v>
      </c>
      <c r="C234" s="126" t="b">
        <f>IFERROR(C232-C233&lt;0, NA())</f>
        <v>1</v>
      </c>
    </row>
    <row r="235" spans="2:35" x14ac:dyDescent="0.4">
      <c r="B235" s="14" t="s">
        <v>494</v>
      </c>
      <c r="C235" s="15" t="str">
        <f>IF(Receives_reference_trajectory,'Step 4 (MTP) - IFI scrutiny'!D3="Yes","Not applicable")</f>
        <v>Not applicable</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21 June 2024. but remaining below the technical information path is not required.</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e" cm="1">
        <f t="array" ref="C240">IF(Receives_reference_trajectory,SUMPRODUCT(((46:46&gt;=MTP_YearT)*(46:46&lt;=AdjustmentPeriodEnd)*(64:64&lt;=34:34)))=0,NA())</f>
        <v>#N/A</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e">
        <f>IF(
  Receives_reference_trajectory,
  OR(C240, IFERROR(C241, TRUE)),
  NA()
)</f>
        <v>#N/A</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f>IF(
  Receives_reference_trajectory,
  NA(),
  INDEX($65:$65, MATCH(AdjustmentPeriodEnd, $62:$62, 0))
)</f>
        <v>-1.3</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f>IF(
  Receives_reference_trajectory,
  NA(),
  INDEX($66:$66, MATCH(AdjustmentPeriodEnd, $62:$62, 0))
)</f>
        <v>-0.1</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f>IF(
  Receives_reference_trajectory,
  NA(),
  INDEX(37:37, MATCH(AdjustmentPeriodEnd, 32:32, 0))
)</f>
        <v>-1.3</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b">
        <f>IF(
  Receives_reference_trajectory,
  NA(),
  C248 &gt;= C246
)</f>
        <v>1</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b">
        <f>IF(
  Receives_reference_trajectory,
  NA(),
  OR(
    C250,
    IF(ISNA(C251), TRUE, C251)
  )
)</f>
        <v>1</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str">
        <f>IF(
  NOT(Receives_reference_trajectory),
  "Not applicable",
  MAX(
    _xlfn.CHOOSECOLS(
      52:52,
      _xlfn.SEQUENCE(
        1,
        _xlfn.XMATCH(AdjustmentPeriodEnd+10,46:46,1) - _xlfn.XMATCH(AdjustmentPeriodEnd,46:46,0),
        _xlfn.XMATCH(AdjustmentPeriodEnd,46:46,0) + 1
      )
    )
  ) &lt;= TFEU_Debt
)</f>
        <v>Not applicable</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str"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65" s="18"/>
      <c r="J265" s="16"/>
    </row>
    <row r="266" spans="2:35" ht="20.25" customHeight="1" x14ac:dyDescent="0.4">
      <c r="B266" s="14" t="s">
        <v>258</v>
      </c>
      <c r="C266" s="102" t="e">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b" cm="1">
        <f t="array" ref="C269">IF(
  Receives_reference_trajectory,
  NA(),
  MAX(IF((46:46&gt;AdjustmentPeriodEnd)*(46:46&lt;=AdjustmentPeriodEnd+10), 52:52)) &lt;= TFEU_Debt
)</f>
        <v>1</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e" cm="1">
        <f t="array" ref="C274">IF(
  Receives_reference_trajectory,
  IFERROR(
    AND(
      _xlfn._xlws.FILTER(
        50:50,
        (46:46&gt;=MTP_YearT)*(46:46&lt;=AdjustmentPeriodEnd)
      ) &gt; -TFEU_Deficit
    ),
    NA()
  ),
  NA()
)</f>
        <v>#N/A</v>
      </c>
      <c r="E274" s="18"/>
      <c r="J274" s="16"/>
    </row>
    <row r="275" spans="2:35" x14ac:dyDescent="0.4">
      <c r="B275" t="s">
        <v>499</v>
      </c>
      <c r="C275" s="15" t="e" cm="1">
        <f t="array" ref="C275">IF(
  Receives_reference_trajectory,
  IFERROR(
    AND(
      _xlfn._xlws.FILTER(
        50:50,
        (46:46&gt;=AdjustmentPeriodEnd)*(46:46&lt;=AdjustmentPeriodEnd+10)
      ) &gt; -TFEU_Deficit
    ),
    NA()
  ),
  NA()
)</f>
        <v>#N/A</v>
      </c>
      <c r="E275" s="18"/>
      <c r="J275" s="16"/>
    </row>
    <row r="276" spans="2:35" ht="20.25" customHeight="1" x14ac:dyDescent="0.4">
      <c r="B276" s="14" t="s">
        <v>258</v>
      </c>
      <c r="C276" s="102" t="e">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b" cm="1">
        <f t="array" ref="C279">IF(
  Receives_reference_trajectory,
  NA(),
  MIN(IF((46:46&gt;=AdjustmentPeriodEnd)*(46:46&lt;=AdjustmentPeriodEnd+10), 50:50)) &gt;= -TFEU_Deficit
)</f>
        <v>1</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b" cm="1">
        <f t="array" ref="C280">IF(
  Receives_reference_trajectory,
  NA(),
  MIN(IF(46:46=AdjustmentPeriodEnd, 50:50)) &gt;= -TFEU_Deficit
)</f>
        <v>1</v>
      </c>
      <c r="E280" s="18"/>
      <c r="J280" s="16"/>
    </row>
    <row r="281" spans="2:35" x14ac:dyDescent="0.4">
      <c r="B281" s="2" t="s">
        <v>525</v>
      </c>
      <c r="C281" s="15" t="b" cm="1">
        <f t="array" ref="C281">IF(
  Receives_reference_trajectory,
  NA(),
  MIN(IF((46:46&gt;AdjustmentPeriodEnd)*(46:46&lt;=AdjustmentPeriodEnd+10), 50:50)) &gt;= -TFEU_Deficit
)</f>
        <v>1</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-1.2</v>
      </c>
      <c r="E287" s="91">
        <v>-0.8</v>
      </c>
      <c r="F287" s="91">
        <v>-1.3</v>
      </c>
      <c r="G287" s="91">
        <v>-1.3</v>
      </c>
      <c r="H287" s="91">
        <v>-1.3</v>
      </c>
      <c r="I287" s="91">
        <v>-1.3</v>
      </c>
    </row>
    <row r="288" spans="2:35" ht="13.5" customHeight="1" x14ac:dyDescent="0.4">
      <c r="B288" s="7" t="s">
        <v>346</v>
      </c>
      <c r="C288" s="93"/>
      <c r="E288" s="100">
        <f>IF(ISNUMBER(E287),E287-D287,"")</f>
        <v>0.39999999999999991</v>
      </c>
      <c r="F288" s="100">
        <f t="shared" ref="F288:M288" si="37">IF(ISNUMBER(F287),F287-E287,"")</f>
        <v>-0.5</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e" cm="1">
        <f t="array" ref="C290">IF(
  Receives_reference_trajectory,
  MAX(ROUND(_xlfn._xlws.FILTER(288:288, ISNUMBER(286:286)*(286:286&gt;=MTP_YearT+1)*(286:286&lt;=AdjustmentPeriodEnd)), 1))
  =
  MIN(ROUND(_xlfn._xlws.FILTER(288:288, ISNUMBER(286:286)*(286:286&gt;=MTP_YearT+1)*(286:286&lt;=AdjustmentPeriodEnd)), 1)),
  NA()
)</f>
        <v>#N/A</v>
      </c>
      <c r="D290" s="51"/>
    </row>
    <row r="291" spans="2:15" x14ac:dyDescent="0.4">
      <c r="B291" t="s">
        <v>353</v>
      </c>
      <c r="C291" s="97" t="e" cm="1">
        <f t="array" ref="C291">IF(
  Receives_reference_trajectory,
  MAX(
    _xlfn.DROP(
      ROUND(
        _xlfn._xlws.FILTER(288:288, ISNUMBER(286:286)*(286:286&gt;=MTP_YearT+1)*(286:286&lt;=AdjustmentPeriodEnd)),
        1
      ),
      ,1
    )
    -
    _xlfn.DROP(
      ROUND(
        _xlfn._xlws.FILTER(288:288, ISNUMBER(286:286)*(286:286&gt;=MTP_YearT+1)*(286:286&lt;=AdjustmentPeriodEnd)),
        1
      ),
      ,-1
    )
  )&lt;=0,
  NA()
)</f>
        <v>#N/A</v>
      </c>
      <c r="D291" s="51"/>
    </row>
    <row r="292" spans="2:15" x14ac:dyDescent="0.4">
      <c r="B292" t="s">
        <v>354</v>
      </c>
      <c r="C292" s="97" t="e" cm="1">
        <f t="array" ref="C292">IF(
  Receives_reference_trajectory,
  AND(
    MAX(ROUND(_xlfn._xlws.FILTER(288:288,ISNUMBER(286:286)*(286:286&gt;=MTP_YearT+1)*(286:286&lt;=AdjustmentPeriodEnd)),1))=ROUND($C$293,1),
    MIN(ROUND(_xlfn._xlws.FILTER(288:288,ISNUMBER(286:286)*(286:286&gt;=MTP_YearT+1)*(286:286&lt;=AdjustmentPeriodEnd)),1))=ROUND($C$293,1)
  ),
  NA()
)</f>
        <v>#N/A</v>
      </c>
      <c r="D292" s="51"/>
    </row>
    <row r="293" spans="2:15" x14ac:dyDescent="0.4">
      <c r="B293" s="3" t="s">
        <v>347</v>
      </c>
      <c r="C293" s="97" t="e" cm="1">
        <f t="array" ref="C293">IF(
  Receives_reference_trajectory,
  AVERAGE(
    _xlfn.DROP(
      _xlfn._xlws.FILTER(287:287, ISNUMBER(286:286)*(286:286&gt;=MTP_YearT+1)*(286:286&lt;=AdjustmentPeriodEnd)),
      ,1
    )
    -
    _xlfn.DROP(
      _xlfn._xlws.FILTER(287:287, ISNUMBER(286:286)*(286:286&gt;=MTP_YearT+1)*(286:286&lt;=AdjustmentPeriodEnd)),
      ,-1
    )
  ),
  NA()
)</f>
        <v>#N/A</v>
      </c>
      <c r="D293" s="51"/>
    </row>
    <row r="294" spans="2:15" x14ac:dyDescent="0.4">
      <c r="B294" s="5" t="s">
        <v>348</v>
      </c>
      <c r="C294" s="97" t="e">
        <f>IF(Receives_reference_trajectory,AND(C290:C292),NA())</f>
        <v>#N/A</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-1.8</v>
      </c>
      <c r="E323" s="91">
        <v>-1.9</v>
      </c>
      <c r="F323" s="91">
        <v>-2.5</v>
      </c>
      <c r="G323" s="91">
        <v>-2.6</v>
      </c>
      <c r="H323" s="91">
        <v>-2.7</v>
      </c>
      <c r="I323" s="91">
        <v>-2.7</v>
      </c>
      <c r="J323" s="91"/>
      <c r="K323" s="91"/>
      <c r="L323" s="91"/>
      <c r="M323" s="91"/>
      <c r="N323" s="91"/>
    </row>
    <row r="324" spans="2:35" customFormat="1" x14ac:dyDescent="0.4">
      <c r="B324" t="s">
        <v>214</v>
      </c>
      <c r="C324" s="37"/>
      <c r="D324" s="91" cm="1">
        <f t="array" ref="D324:I324">INDEX(37:37, COLUMN($D$37) + _xlfn.SEQUENCE(1, COLUMNS(_xlfn.ANCHORARRAY(D322))) - 1)</f>
        <v>-1.2</v>
      </c>
      <c r="E324" s="91">
        <v>-0.8</v>
      </c>
      <c r="F324" s="91">
        <v>-1.3</v>
      </c>
      <c r="G324" s="91">
        <v>-1.3</v>
      </c>
      <c r="H324" s="91">
        <v>-1.3</v>
      </c>
      <c r="I324" s="91">
        <v>-1.3</v>
      </c>
      <c r="J324" s="91"/>
      <c r="K324" s="91"/>
      <c r="L324" s="91"/>
      <c r="M324" s="91"/>
    </row>
    <row r="325" spans="2:35" customFormat="1" x14ac:dyDescent="0.4">
      <c r="B325" s="7" t="s">
        <v>384</v>
      </c>
      <c r="C325" s="93"/>
      <c r="D325" s="91"/>
      <c r="E325" s="91"/>
      <c r="F325" s="91">
        <f>IF(COUNT(E324,F324)=2, F324-E324, "")</f>
        <v>-0.5</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1</v>
      </c>
      <c r="E326" s="3" t="b">
        <f>IF(ISNUMBER(E322),E323&lt;-1.5,"")</f>
        <v>1</v>
      </c>
      <c r="F326" s="3" t="b">
        <f>IF(ISNUMBER(F322),F323&lt;-1.5,"")</f>
        <v>1</v>
      </c>
      <c r="G326" s="3" t="b">
        <f t="shared" ref="G326:M326" si="39">IF(ISNUMBER(G322),G323&lt;-1.5,"")</f>
        <v>1</v>
      </c>
      <c r="H326" s="3" t="b">
        <f t="shared" si="39"/>
        <v>1</v>
      </c>
      <c r="I326" s="3" t="b">
        <f t="shared" si="39"/>
        <v>1</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e" cm="1">
        <f t="array" ref="C328">IF(
  NOT(Receives_reference_trajectory),
  NA(),
  SUMPRODUCT(
    --(
      INDEX(326:326,1,COLUMN($D$322)):
      INDEX(326:326,1,COLUMN($D$322)+COLUMNS(_xlfn.ANCHORARRAY($D$322))-1)
    )
  )&gt;0
)</f>
        <v>#N/A</v>
      </c>
    </row>
    <row r="329" spans="2:35" x14ac:dyDescent="0.4">
      <c r="B329" t="s">
        <v>306</v>
      </c>
      <c r="C329" s="15" t="e">
        <f>IF(Receives_reference_trajectory,IF(AdjustmentPeriod=4,0.4,0.25),NA())</f>
        <v>#N/A</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t="e" cm="1">
        <f t="array" ref="C340">IF(
  Receives_reference_trajectory,
  IFERROR(
    INDEX(37:37, _xlfn.XMATCH(AdjustmentPeriodEnd, 32:32, 0)) -
    INDEX(37:37, _xlfn.XMATCH(MTP_YearT,        32:32, 0)),
    NA()
  ),
  NA()
)</f>
        <v>#N/A</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f>IF(Receives_reference_trajectory,NA(),INDEX(65:65, MATCH(AdjustmentPeriodEnd, 46:46, 0)))</f>
        <v>-1.3</v>
      </c>
    </row>
    <row r="346" spans="2:35" customFormat="1" x14ac:dyDescent="0.4">
      <c r="B346" t="str">
        <f>"Minimum level of structural primary balance in "&amp;AdjustmentPeriodEnd&amp;", with safeguard"</f>
        <v>Minimum level of structural primary balance in 2028, with safeguard</v>
      </c>
      <c r="C346" s="126">
        <f>IF(Receives_reference_trajectory,NA(),INDEX(66:66, MATCH(AdjustmentPeriodEnd, 46:46, 0)))</f>
        <v>-0.1</v>
      </c>
    </row>
    <row r="347" spans="2:35" customFormat="1" x14ac:dyDescent="0.4">
      <c r="B347" t="s">
        <v>378</v>
      </c>
      <c r="C347" s="2">
        <f>IF(Receives_reference_trajectory,NA(),INDEX(37:37, MATCH(AdjustmentPeriodEnd, 46:46, 0)))</f>
        <v>-1.3</v>
      </c>
    </row>
    <row r="348" spans="2:35" x14ac:dyDescent="0.4">
      <c r="B348" t="s">
        <v>376</v>
      </c>
      <c r="C348" s="15" t="b">
        <f>IF(Receives_reference_trajectory, NA(), C347 &gt;= C345)</f>
        <v>1</v>
      </c>
      <c r="E348" s="18"/>
      <c r="J348" s="16"/>
    </row>
    <row r="349" spans="2:35" x14ac:dyDescent="0.4">
      <c r="B349" t="s">
        <v>377</v>
      </c>
      <c r="C349" s="15" t="b">
        <f>IF(Receives_reference_trajectory, NA(), C347 &gt;= C346)</f>
        <v>0</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str">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e">
        <f>IF(
  NOT(Receives_reference_trajectory),
  NA(),
  IFERROR(
    AND(
      C220,
      IF(AdjustmentPeriod=7, C225, TRUE),
      C242,
      C265,
      C275,
      C294,
      IF(ISNA(C307), TRUE, C307),
      IF(ISNA(C317), TRUE, C317),
      IF(ISNA(C330), TRUE, C330)
    ),
    NA()
  )
)</f>
        <v>#N/A</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Not applicable.</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b">
        <f>IF(
  Receives_reference_trajectory,
  NA(),
  AND(C252, C269, C279)
)</f>
        <v>1</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-1.8432263611161073</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-2.6239061316128445</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-3.1950612561425316</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-1.6282262258224094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-0.42200029284483015</v>
      </c>
      <c r="H21" s="64">
        <f>IF(MTP_Council_Endorsed,IF(Assessment!G145,Assessment!G142,NA()),NA())</f>
        <v>0</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-3.1950612561425316</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3.1896844248388225</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5.3</v>
      </c>
    </row>
    <row r="122" spans="2:23" ht="13.5" customHeight="1" x14ac:dyDescent="0.6">
      <c r="C122" s="11"/>
    </row>
    <row r="123" spans="2:23" ht="16.5" x14ac:dyDescent="0.6">
      <c r="B123" s="110" t="s">
        <v>590</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f>IF(OR(ISNUMBER(F149),ISNUMBER(F150)),NA(),IF(ISNUMBER(Assessment!E17),Assessment!E17+(Assessment!E7/Assessment!E27*100),NA()))</f>
        <v>-0.69639356198788627</v>
      </c>
      <c r="G146" s="64">
        <f>IF(OR(ISNUMBER(G149),ISNUMBER(G150)),NA(),IF(ISNUMBER(Assessment!F17),Assessment!F17+(Assessment!F7/Assessment!F27*100),NA()))</f>
        <v>-1.4349396414277915</v>
      </c>
      <c r="H146" s="64">
        <f>IF(OR(ISNUMBER(H149),ISNUMBER(H150)),NA(),IF(ISNUMBER(Assessment!G17),Assessment!G17+(Assessment!G7/Assessment!G27*100),NA()))</f>
        <v>-1.7</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-1.7</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0</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714</v>
      </c>
      <c r="M10" s="18" t="s">
        <v>436</v>
      </c>
      <c r="P10" t="s">
        <v>700</v>
      </c>
      <c r="Q10" s="166">
        <f>'Step 1 - Set global parameters'!B16</f>
        <v>45464</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961</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962</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2026-06-22T16:01:06Z</dcterms:modified>
</cp:coreProperties>
</file>