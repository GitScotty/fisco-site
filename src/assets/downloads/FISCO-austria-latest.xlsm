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onsulting/Phase II - Latvia/Vienna/Austria/"/>
    </mc:Choice>
  </mc:AlternateContent>
  <xr:revisionPtr revIDLastSave="1310" documentId="8_{FEAD1FC0-B0B5-4F3F-8E99-B62FB95DF039}" xr6:coauthVersionLast="47" xr6:coauthVersionMax="47" xr10:uidLastSave="{C8F818B7-78D9-4741-8680-00EA6AE77DC4}"/>
  <bookViews>
    <workbookView xWindow="-67320" yWindow="-3945" windowWidth="29040" windowHeight="15720" tabRatio="624" activeTab="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40" i="76" l="1"/>
  <c r="J19" i="65"/>
  <c r="J18" i="65"/>
  <c r="I137" i="64"/>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D23" i="74" s="1"/>
  <c r="G21" i="64"/>
  <c r="E23" i="74"/>
  <c r="E21" i="64"/>
  <c r="F23" i="74"/>
  <c r="F21" i="64" s="1"/>
  <c r="F8" i="74"/>
  <c r="F6" i="64" s="1"/>
  <c r="E8" i="7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D21" i="64" l="1"/>
  <c r="C200" i="64"/>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H29" i="65"/>
  <c r="I59" i="65"/>
  <c r="I29" i="65"/>
  <c r="J59" i="65"/>
  <c r="F29" i="65"/>
  <c r="G59" i="65"/>
  <c r="J29" i="65"/>
  <c r="K59" i="65"/>
  <c r="G29" i="65"/>
  <c r="H59" i="65"/>
  <c r="E29" i="65"/>
  <c r="I70" i="65"/>
  <c r="J70" i="65"/>
  <c r="K70" i="65"/>
  <c r="G70" i="65"/>
  <c r="J49" i="65"/>
  <c r="F49" i="65"/>
  <c r="I49" i="65"/>
  <c r="H49" i="65"/>
  <c r="I18" i="65" l="1"/>
  <c r="I19" i="65"/>
  <c r="H137" i="64"/>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<sst xmlns="http://schemas.openxmlformats.org/spreadsheetml/2006/main" count="2092" uniqueCount="966">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</sst>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84.3</c:v>
                </c:pt>
                <c:pt idx="1">
                  <c:v>85.9</c:v>
                </c:pt>
                <c:pt idx="2">
                  <c:v>86.6</c:v>
                </c:pt>
                <c:pt idx="3">
                  <c:v>86.8</c:v>
                </c:pt>
                <c:pt idx="4">
                  <c:v>86.5</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79.955679923964894</c:v>
                </c:pt>
                <c:pt idx="1">
                  <c:v>81.28634231728735</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86.8</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86.8</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3.2493324220239526</c:v>
                </c:pt>
                <c:pt idx="1">
                  <c:v>3.5994078799116633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2"/>
                <c:pt idx="0">
                  <c:v>#N/A</c:v>
                </c:pt>
                <c:pt idx="1">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3.2493324220239526</c:v>
                </c:pt>
                <c:pt idx="1">
                  <c:v>0.47794736083832895</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3.5994078799116633</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3.5994078799116633</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-4.7</c:v>
                </c:pt>
                <c:pt idx="1">
                  <c:v>-4.7</c:v>
                </c:pt>
                <c:pt idx="2">
                  <c:v>-4.2</c:v>
                </c:pt>
                <c:pt idx="3">
                  <c:v>-3.6</c:v>
                </c:pt>
                <c:pt idx="4">
                  <c:v>-3</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-6.7800730072966813</c:v>
                </c:pt>
                <c:pt idx="1">
                  <c:v>-6.2822155740664396</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0.49999999999999989</c:v>
                </c:pt>
                <c:pt idx="3">
                  <c:v>0.60000000000000009</c:v>
                </c:pt>
                <c:pt idx="4">
                  <c:v>0.5</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-0.98921999999999999</c:v>
                </c:pt>
                <c:pt idx="1">
                  <c:v>0.52945999999999982</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-0.98921999999999999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0.60000000000000009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-0.98921999999999999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0.60000000000000009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2.5</c:v>
                </c:pt>
                <c:pt idx="1">
                  <c:v>1.6000000000000085</c:v>
                </c:pt>
                <c:pt idx="2">
                  <c:v>0.69999999999998863</c:v>
                </c:pt>
                <c:pt idx="3">
                  <c:v>0.20000000000000284</c:v>
                </c:pt>
                <c:pt idx="4">
                  <c:v>-0.29999999999999716</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4.742013359574285</c:v>
                </c:pt>
                <c:pt idx="1">
                  <c:v>4.4771810056654546</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-0.5</c:v>
                </c:pt>
                <c:pt idx="1">
                  <c:v>-0.5</c:v>
                </c:pt>
                <c:pt idx="2">
                  <c:v>#N/A</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-0.5</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4.742013359574285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-0.5</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4.742013359574285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-1.4</c:v>
                </c:pt>
                <c:pt idx="2">
                  <c:v>-0.9</c:v>
                </c:pt>
                <c:pt idx="3">
                  <c:v>-0.3</c:v>
                </c:pt>
                <c:pt idx="4">
                  <c:v>0.2</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-2.4877799999999999</c:v>
                </c:pt>
                <c:pt idx="1">
                  <c:v>-1.9583200000000001</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-2.4877799999999999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0.2</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-2.4877799999999999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0.2</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2.2000000000000002</c:v>
                </c:pt>
                <c:pt idx="2">
                  <c:v>2.2000000000000002</c:v>
                </c:pt>
                <c:pt idx="3">
                  <c:v>2</c:v>
                </c:pt>
                <c:pt idx="4">
                  <c:v>2.2999999999999998</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9.23001051374548</c:v>
                </c:pt>
                <c:pt idx="1">
                  <c:v>3.1314425308956118</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9.23001051374548</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9.23001051374548</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zoomScaleNormal="100" workbookViewId="0">
      <selection activeCell="D34" sqref="D34"/>
    </sheetView>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216</v>
      </c>
    </row>
    <row r="3" spans="1:11" ht="13.5" customHeight="1" x14ac:dyDescent="0.4">
      <c r="A3" s="157" t="s">
        <v>305</v>
      </c>
      <c r="B3" s="284" t="s">
        <v>406</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951</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950</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952</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954</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249.97019999999998</v>
      </c>
      <c r="F6" s="140">
        <v>273.19140000000004</v>
      </c>
      <c r="G6" s="180">
        <v>283.00670000000002</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5.7383000000000006</v>
      </c>
      <c r="F7" s="141">
        <v>7.3407</v>
      </c>
      <c r="G7" s="181">
        <v>8.2657999999999987</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-0.19832</v>
      </c>
      <c r="F8" s="141">
        <v>-2.836E-2</v>
      </c>
      <c r="G8" s="181">
        <v>0.63275999999999999</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1.3505</v>
      </c>
      <c r="F9" s="141">
        <v>0.9556</v>
      </c>
      <c r="G9" s="181">
        <v>0.80640000000000012</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0.93005000000000004</v>
      </c>
      <c r="F10" s="141">
        <v>1.0083500000000001</v>
      </c>
      <c r="G10" s="181">
        <v>1.09388</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2.8400000000000002E-2</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242.14967000000001</v>
      </c>
      <c r="F12" s="141">
        <v>263.91511000000003</v>
      </c>
      <c r="G12" s="181">
        <v>272.17945999999995</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-0.58499999999999996</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2.8989799999999999</v>
      </c>
      <c r="F14" s="141">
        <v>3.3417400000000002</v>
      </c>
      <c r="G14" s="181">
        <v>3.7082799999999998</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9.23001051374548</v>
      </c>
      <c r="G15" s="180">
        <v>3.1314425308956118</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9.23001051374548</v>
      </c>
      <c r="G16" s="182">
        <v>12.650485519474653</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-4.7021862880942864</v>
      </c>
      <c r="F17" s="142">
        <v>-6.7800730072966813</v>
      </c>
      <c r="G17" s="182">
        <v>-6.2822155740664396</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-2.6994400000000001</v>
      </c>
      <c r="F18" s="142">
        <v>-3.9735</v>
      </c>
      <c r="G18" s="182">
        <v>-3.5701800000000001</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-1.4985599999999999</v>
      </c>
      <c r="F19" s="142">
        <v>-2.4877799999999999</v>
      </c>
      <c r="G19" s="182">
        <v>-1.9583200000000001</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77.771534369543787</v>
      </c>
      <c r="F20" s="142">
        <v>79.955679923964894</v>
      </c>
      <c r="G20" s="182">
        <v>81.28634231728735</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4.2854335565683179</v>
      </c>
      <c r="F21" s="182">
        <v>4.742013359574285</v>
      </c>
      <c r="G21" s="182">
        <v>4.4771810056654546</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-0.78625125662632467</v>
      </c>
      <c r="F22" s="140">
        <v>-0.65907095296766638</v>
      </c>
      <c r="G22" s="180">
        <v>0.84918912942735236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7.1747112690738302</v>
      </c>
      <c r="F23" s="140">
        <v>4.0868078209680192</v>
      </c>
      <c r="G23" s="180">
        <v>3.220007690657356</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6.3320487549350934</v>
      </c>
      <c r="F24" s="140">
        <v>3.4008019047487403</v>
      </c>
      <c r="G24" s="180">
        <v>4.0965407753604799</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1.2811706988826943</v>
      </c>
      <c r="F25" s="142">
        <v>0.7632202426216983</v>
      </c>
      <c r="G25" s="182">
        <v>0.5049237586856492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0.23809017880056516</v>
      </c>
      <c r="F26" s="142">
        <v>-1.1768084074108121</v>
      </c>
      <c r="G26" s="182">
        <v>-1.067841660471891</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477.83729999999997</v>
      </c>
      <c r="F27" s="142">
        <v>494.08759999999995</v>
      </c>
      <c r="G27" s="182">
        <v>514.32809999999995</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Austria</v>
      </c>
      <c r="C30" s="8"/>
    </row>
    <row r="31" spans="1:34" outlineLevel="1" x14ac:dyDescent="0.4">
      <c r="A31" s="150" t="s">
        <v>830</v>
      </c>
      <c r="B31" s="254">
        <v>46194.894548611112</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449382.2</v>
      </c>
      <c r="E34" s="9">
        <v>477837.3</v>
      </c>
      <c r="F34">
        <v>494087.6</v>
      </c>
      <c r="G34">
        <v>514328.1</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349646.5</v>
      </c>
      <c r="E35" s="9">
        <v>346897.4</v>
      </c>
      <c r="F35">
        <v>344611.1</v>
      </c>
      <c r="G35">
        <v>347537.5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321247.09999999998</v>
      </c>
      <c r="E36" s="9">
        <v>345310.1</v>
      </c>
      <c r="F36">
        <v>364311.6</v>
      </c>
      <c r="G36">
        <v>378870.7</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276043.40000000002</v>
      </c>
      <c r="E37" s="9">
        <v>279471.59999999998</v>
      </c>
      <c r="F37">
        <v>275099.5</v>
      </c>
      <c r="G37">
        <v>282784.7</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279301.2</v>
      </c>
      <c r="E38" s="9">
        <v>270772</v>
      </c>
      <c r="F38">
        <v>262595.09999999998</v>
      </c>
      <c r="G38">
        <v>271047.2</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-3257.8</v>
      </c>
      <c r="E39" s="9">
        <v>8699.5</v>
      </c>
      <c r="F39">
        <v>12504.3</v>
      </c>
      <c r="G39">
        <v>11737.6</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289076</v>
      </c>
      <c r="E40" s="9">
        <v>310424.59999999998</v>
      </c>
      <c r="F40">
        <v>326213.5</v>
      </c>
      <c r="G40">
        <v>339590.6</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113301.5</v>
      </c>
      <c r="E41" s="9">
        <v>117966.39999999999</v>
      </c>
      <c r="F41">
        <v>116347.3</v>
      </c>
      <c r="G41">
        <v>122117.6</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13876.2</v>
      </c>
      <c r="E42" s="9">
        <v>2619.1999999999998</v>
      </c>
      <c r="F42">
        <v>-823.4</v>
      </c>
      <c r="G42">
        <v>1963.6</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4207.2</v>
      </c>
      <c r="E43" s="9">
        <v>3671.9</v>
      </c>
      <c r="F43">
        <v>967.9</v>
      </c>
      <c r="G43">
        <v>1526.4</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18083.5</v>
      </c>
      <c r="E44" s="9">
        <v>6291.1</v>
      </c>
      <c r="F44">
        <v>144.5</v>
      </c>
      <c r="G44">
        <v>3489.9</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228963.20000000001</v>
      </c>
      <c r="E45" s="9">
        <v>246995.1</v>
      </c>
      <c r="F45">
        <v>257599.4</v>
      </c>
      <c r="G45">
        <v>266586.7</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220046.8</v>
      </c>
      <c r="E46" s="9">
        <v>236916.9</v>
      </c>
      <c r="F46">
        <v>246388.7</v>
      </c>
      <c r="G46">
        <v>254935.7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8916.5</v>
      </c>
      <c r="E47" s="9">
        <v>10078.200000000001</v>
      </c>
      <c r="F47">
        <v>11210.7</v>
      </c>
      <c r="G47">
        <v>11651</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-15325.4</v>
      </c>
      <c r="E48" s="9">
        <v>-12249.3</v>
      </c>
      <c r="F48">
        <v>-22952.6</v>
      </c>
      <c r="G48">
        <v>-21463.5</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46591.7</v>
      </c>
      <c r="E49" s="9">
        <v>50630.2</v>
      </c>
      <c r="F49">
        <v>56045.5</v>
      </c>
      <c r="G49">
        <v>58781.4</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61589.9</v>
      </c>
      <c r="E50" s="9">
        <v>65458.3</v>
      </c>
      <c r="F50">
        <v>67445.8</v>
      </c>
      <c r="G50">
        <v>71888.5</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11775</v>
      </c>
      <c r="E51" s="9">
        <v>10693.5</v>
      </c>
      <c r="F51">
        <v>9219.1</v>
      </c>
      <c r="G51">
        <v>8553.1</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4258</v>
      </c>
      <c r="E52" s="9">
        <v>5738.3</v>
      </c>
      <c r="F52">
        <v>7340.7</v>
      </c>
      <c r="G52">
        <v>8265.7999999999993</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3041.2</v>
      </c>
      <c r="E53" s="9">
        <v>4975.8999999999996</v>
      </c>
      <c r="F53">
        <v>5821.6</v>
      </c>
      <c r="G53">
        <v>5394.9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163.4</v>
      </c>
      <c r="E54" s="9">
        <v>128.9</v>
      </c>
      <c r="F54">
        <v>188.2</v>
      </c>
      <c r="G54">
        <v>193</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64102</v>
      </c>
      <c r="E55" s="9">
        <v>66028.399999999994</v>
      </c>
      <c r="F55">
        <v>69303.600000000006</v>
      </c>
      <c r="G55">
        <v>71468.2</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17760.5</v>
      </c>
      <c r="E56" s="9">
        <v>15948.8</v>
      </c>
      <c r="F56">
        <v>17473.5</v>
      </c>
      <c r="G56">
        <v>15811.6</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4797.8</v>
      </c>
      <c r="E57" s="9">
        <v>4650.3</v>
      </c>
      <c r="F57">
        <v>4198.6000000000004</v>
      </c>
      <c r="G57">
        <v>4330.5</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551.70000000000005</v>
      </c>
      <c r="E58" s="9">
        <v>431.2</v>
      </c>
      <c r="F58">
        <v>453.1</v>
      </c>
      <c r="G58">
        <v>317.10000000000002</v>
      </c>
    </row>
    <row r="59" spans="1:169" outlineLevel="1" x14ac:dyDescent="0.4">
      <c r="A59" t="s">
        <v>107</v>
      </c>
      <c r="B59" t="s">
        <v>106</v>
      </c>
      <c r="C59" t="s">
        <v>674</v>
      </c>
      <c r="D59" s="9">
        <v>-1.4</v>
      </c>
      <c r="E59" s="9">
        <v>-15.5</v>
      </c>
      <c r="F59">
        <v>17.5</v>
      </c>
      <c r="G59">
        <v>-1.5</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3665.1</v>
      </c>
      <c r="E60" s="9">
        <v>5254.1</v>
      </c>
      <c r="F60">
        <v>6175.1</v>
      </c>
      <c r="G60">
        <v>5573.5</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1304</v>
      </c>
      <c r="E61" s="9">
        <v>1678.5</v>
      </c>
      <c r="F61">
        <v>1177.5</v>
      </c>
      <c r="G61">
        <v>1037.7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638.79999999999995</v>
      </c>
      <c r="E62" s="9">
        <v>919.3</v>
      </c>
      <c r="F62">
        <v>502.5</v>
      </c>
      <c r="G62">
        <v>489.3</v>
      </c>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1859.5</v>
      </c>
      <c r="E64" s="9">
        <v>2040.8</v>
      </c>
      <c r="F64">
        <v>2259.1</v>
      </c>
      <c r="G64">
        <v>2390.9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13959.1</v>
      </c>
      <c r="E65" s="9">
        <v>15064.3</v>
      </c>
      <c r="F65">
        <v>15379.2</v>
      </c>
      <c r="G65">
        <v>16325.6</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10129.200000000001</v>
      </c>
      <c r="E66" s="9">
        <v>7960.1</v>
      </c>
      <c r="F66">
        <v>7164.3</v>
      </c>
      <c r="G66">
        <v>7349.2</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5.9</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4258</v>
      </c>
      <c r="E68" s="9">
        <v>5738.3</v>
      </c>
      <c r="F68">
        <v>7340.7</v>
      </c>
      <c r="G68">
        <v>8265.7999999999993</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875.3</v>
      </c>
      <c r="E69" s="9">
        <v>2068.1</v>
      </c>
      <c r="F69">
        <v>2443.3000000000002</v>
      </c>
      <c r="G69">
        <v>2040.2</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68337</v>
      </c>
      <c r="E70" s="9">
        <v>73257.399999999994</v>
      </c>
      <c r="F70">
        <v>78991.3</v>
      </c>
      <c r="G70">
        <v>82975.5</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81616.100000000006</v>
      </c>
      <c r="E71" s="9">
        <v>87661.3</v>
      </c>
      <c r="F71">
        <v>96831.2</v>
      </c>
      <c r="G71">
        <v>102802.4</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19206.400000000001</v>
      </c>
      <c r="E72" s="9">
        <v>20715</v>
      </c>
      <c r="F72">
        <v>22801.7</v>
      </c>
      <c r="G72">
        <v>24234.400000000001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42.8</v>
      </c>
      <c r="E73" s="9">
        <v>90.7</v>
      </c>
      <c r="F73">
        <v>30</v>
      </c>
      <c r="G73">
        <v>54.4</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1261.2</v>
      </c>
      <c r="E75" s="9">
        <v>1587.8</v>
      </c>
      <c r="F75">
        <v>1147.5</v>
      </c>
      <c r="G75">
        <v>983.4</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-192.2</v>
      </c>
      <c r="E78" s="9">
        <v>192.1</v>
      </c>
      <c r="F78">
        <v>221.6</v>
      </c>
      <c r="G78">
        <v>181.1</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31670.6</v>
      </c>
      <c r="E79" s="9">
        <v>33100.6</v>
      </c>
      <c r="F79">
        <v>34893.800000000003</v>
      </c>
      <c r="G79">
        <v>36083.800000000003</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92283.8</v>
      </c>
      <c r="E80" s="9">
        <v>98332.6</v>
      </c>
      <c r="F80">
        <v>107089.60000000001</v>
      </c>
      <c r="G80">
        <v>112284</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60112.800000000003</v>
      </c>
      <c r="E81" s="9">
        <v>63384.9</v>
      </c>
      <c r="F81">
        <v>68731.399999999994</v>
      </c>
      <c r="G81">
        <v>73003.899999999994</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32171.1</v>
      </c>
      <c r="E82" s="9">
        <v>34947.599999999999</v>
      </c>
      <c r="F82">
        <v>38358.300000000003</v>
      </c>
      <c r="G82">
        <v>39280.1</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15463.2</v>
      </c>
      <c r="E83" s="9">
        <v>17662.3</v>
      </c>
      <c r="F83">
        <v>19443.099999999999</v>
      </c>
      <c r="G83">
        <v>20004</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4179.5</v>
      </c>
      <c r="E84" s="9">
        <v>219.8</v>
      </c>
      <c r="F84">
        <v>281.3</v>
      </c>
      <c r="G84">
        <v>133.19999999999999</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11558.1</v>
      </c>
      <c r="E87" s="146">
        <v>13040.4</v>
      </c>
      <c r="F87">
        <v>13901</v>
      </c>
      <c r="G87">
        <v>14583.5</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351144</v>
      </c>
      <c r="E88" s="9">
        <v>371621.4</v>
      </c>
      <c r="F88">
        <v>395051.1</v>
      </c>
      <c r="G88">
        <v>418078.5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420314.03</v>
      </c>
      <c r="E89" s="9">
        <v>417009.34</v>
      </c>
      <c r="F89" s="9">
        <v>414260.87</v>
      </c>
      <c r="G89" s="9">
        <v>416811.66000000003</v>
      </c>
      <c r="H89" s="9"/>
      <c r="I89" s="9"/>
      <c r="J89" s="9"/>
      <c r="K89" s="9"/>
      <c r="L89" s="9"/>
      <c r="M89" s="9"/>
      <c r="N89" s="9"/>
      <c r="O89" s="9"/>
      <c r="P89" s="9"/>
      <c r="Q89" s="9"/>
    </row>
    <row r="90" spans="1:169" outlineLevel="1" x14ac:dyDescent="0.4">
      <c r="A90" t="s">
        <v>681</v>
      </c>
      <c r="B90" t="s">
        <v>294</v>
      </c>
      <c r="C90" t="s">
        <v>672</v>
      </c>
      <c r="D90" s="9">
        <v>410756.35</v>
      </c>
      <c r="E90" s="9">
        <v>416018.84</v>
      </c>
      <c r="F90" s="9">
        <v>419193.98</v>
      </c>
      <c r="G90" s="9">
        <v>421310.58999999997</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431.38</v>
      </c>
      <c r="E91" s="9">
        <v>527.01</v>
      </c>
      <c r="F91" s="9">
        <v>522.38</v>
      </c>
      <c r="G91" s="9">
        <v>922.67</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2691.0099999999998</v>
      </c>
      <c r="E92" s="9">
        <v>2898.98</v>
      </c>
      <c r="F92" s="9">
        <v>3341.7400000000002</v>
      </c>
      <c r="G92" s="9">
        <v>3708.2799999999997</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930.05000000000007</v>
      </c>
      <c r="F93" s="9">
        <v>1008.3500000000001</v>
      </c>
      <c r="G93" s="9">
        <v>1093.8799999999999</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-585</v>
      </c>
      <c r="G94" s="9">
        <v>2943.7000000000003</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1350.54</v>
      </c>
      <c r="F95" s="9">
        <v>955.62</v>
      </c>
      <c r="G95" s="9">
        <v>806.36</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-198.32</v>
      </c>
      <c r="F96" s="9">
        <v>-28.36</v>
      </c>
      <c r="G96" s="9">
        <v>632.76</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0</v>
      </c>
      <c r="E97" s="9">
        <v>0</v>
      </c>
      <c r="F97" s="9">
        <v>0</v>
      </c>
      <c r="G97" s="9">
        <v>-28.400000000000002</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-4.73895</v>
      </c>
      <c r="E98" s="9">
        <v>-2.6994400000000001</v>
      </c>
      <c r="F98" s="9">
        <v>-3.9735</v>
      </c>
      <c r="G98" s="9">
        <v>-3.5701800000000001</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-3.7914400000000001</v>
      </c>
      <c r="E99" s="9">
        <v>-1.4985599999999999</v>
      </c>
      <c r="F99" s="9">
        <v>-2.4877799999999999</v>
      </c>
      <c r="G99" s="9">
        <v>-1.9583200000000001</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13.705460518907959</v>
      </c>
      <c r="E106" s="4">
        <f t="shared" ref="E106:K106" si="1">IFERROR(E160/E$34*100,"")</f>
        <v>13.69886779454011</v>
      </c>
      <c r="F106" s="4">
        <f t="shared" si="1"/>
        <v>13.650575323080361</v>
      </c>
      <c r="G106" s="4">
        <f t="shared" si="1"/>
        <v>13.977167492890239</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14.264472424586467</v>
      </c>
      <c r="E107" s="4">
        <f t="shared" ref="E107:K107" si="3">IFERROR(E161/E$34*100,"")</f>
        <v>13.818176186748083</v>
      </c>
      <c r="F107" s="4">
        <f t="shared" si="3"/>
        <v>14.026581521171552</v>
      </c>
      <c r="G107" s="4">
        <f t="shared" si="3"/>
        <v>13.895449227837251</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15.206877352952564</v>
      </c>
      <c r="E108" s="4">
        <f t="shared" ref="E108:K108" si="6">IFERROR(E162/E$34*100,"")</f>
        <v>15.331034224410692</v>
      </c>
      <c r="F108" s="4">
        <f t="shared" si="6"/>
        <v>15.987306704317211</v>
      </c>
      <c r="G108" s="4">
        <f t="shared" si="6"/>
        <v>16.132795388780043</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4.3177055076947868</v>
      </c>
      <c r="E109" s="4">
        <f t="shared" ref="E109:K109" si="9">IFERROR(E163/E$34*100,"")</f>
        <v>4.7435811310669971</v>
      </c>
      <c r="F109" s="4">
        <f t="shared" si="9"/>
        <v>4.8414896467751873</v>
      </c>
      <c r="G109" s="4">
        <f t="shared" si="9"/>
        <v>4.7263410262826397</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9.5241867612913898E-3</v>
      </c>
      <c r="E110" s="4">
        <f t="shared" ref="E110:K110" si="12">IFERROR(E164/E$34*100,"")</f>
        <v>1.8981356206390753E-2</v>
      </c>
      <c r="F110" s="4">
        <f t="shared" si="12"/>
        <v>6.0717977945611264E-3</v>
      </c>
      <c r="G110" s="4">
        <f t="shared" si="12"/>
        <v>1.0576906064436301E-2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v>
      </c>
      <c r="E111" s="4">
        <f t="shared" ref="E111:K111" si="15">IFERROR(E165/E$34*100,"")</f>
        <v>0</v>
      </c>
      <c r="F111" s="4">
        <f t="shared" si="15"/>
        <v>0</v>
      </c>
      <c r="G111" s="4">
        <f t="shared" si="15"/>
        <v>0</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47.50403999090306</v>
      </c>
      <c r="E112" s="4">
        <f t="shared" ref="E112:K112" si="18">IFERROR(E166/E$34*100,"")</f>
        <v>47.610640692972275</v>
      </c>
      <c r="F112" s="4">
        <f t="shared" si="18"/>
        <v>48.512024993138873</v>
      </c>
      <c r="G112" s="4">
        <f t="shared" si="18"/>
        <v>48.742330041854608</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0.26491926026442525</v>
      </c>
      <c r="E113" s="4">
        <f t="shared" ref="E113:K113" si="21">IFERROR(E167/E$34*100,"")</f>
        <v>0.2826275805593243</v>
      </c>
      <c r="F113" s="4">
        <f t="shared" si="21"/>
        <v>0.19340699908275377</v>
      </c>
      <c r="G113" s="4">
        <f t="shared" si="21"/>
        <v>0.156787078131644</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47.239120730638632</v>
      </c>
      <c r="E114" s="4">
        <f t="shared" ref="E114:K114" si="24">IFERROR(E168/E$34*100,"")</f>
        <v>47.328013112412954</v>
      </c>
      <c r="F114" s="4">
        <f t="shared" si="24"/>
        <v>48.318617994056119</v>
      </c>
      <c r="G114" s="4">
        <f t="shared" si="24"/>
        <v>48.585542963722965</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-0.11840005699394196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2.0239325981870424E-4</v>
      </c>
      <c r="G116" s="4">
        <f t="shared" si="30"/>
        <v>3.8885684060427578E-4</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10.367945147805141</v>
      </c>
      <c r="E118" s="4">
        <f t="shared" ref="E118:K118" si="35">IFERROR(E173/E$34*100,"")</f>
        <v>10.595698577737652</v>
      </c>
      <c r="F118" s="4">
        <f t="shared" si="35"/>
        <v>11.343231443169186</v>
      </c>
      <c r="G118" s="4">
        <f t="shared" si="35"/>
        <v>11.428774745148088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7.0475866645363343</v>
      </c>
      <c r="E119" s="4">
        <f t="shared" ref="E119:K119" si="37">IFERROR(E174/E$34*100,"")</f>
        <v>6.9271695616897206</v>
      </c>
      <c r="F119" s="4">
        <f t="shared" si="37"/>
        <v>7.0622699294619018</v>
      </c>
      <c r="G119" s="4">
        <f t="shared" si="37"/>
        <v>7.015716232498284</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0.94752306611165293</v>
      </c>
      <c r="E120" s="4">
        <f t="shared" ref="E120:K120" si="40">IFERROR(E175/E$34*100,"")</f>
        <v>1.2008899263410371</v>
      </c>
      <c r="F120" s="4">
        <f t="shared" si="40"/>
        <v>1.4857082023511621</v>
      </c>
      <c r="G120" s="4">
        <f t="shared" si="40"/>
        <v>1.6071064365334113</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18.161845306734449</v>
      </c>
      <c r="E121" s="4">
        <f t="shared" ref="E121:K121" si="43">IFERROR(E176/E$34*100,"")</f>
        <v>18.345428454413252</v>
      </c>
      <c r="F121" s="4">
        <f t="shared" si="43"/>
        <v>19.597982220156911</v>
      </c>
      <c r="G121" s="4">
        <f t="shared" si="43"/>
        <v>19.987708235268499</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4.2739565563567048</v>
      </c>
      <c r="E122" s="4">
        <f t="shared" ref="E122:K122" si="46">IFERROR(E177/E$34*100,"")</f>
        <v>4.3351575944364322</v>
      </c>
      <c r="F122" s="4">
        <f t="shared" si="46"/>
        <v>4.6149103924081478</v>
      </c>
      <c r="G122" s="4">
        <f t="shared" si="46"/>
        <v>4.7118561089701307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2.6202639979954698</v>
      </c>
      <c r="E123" s="4">
        <f t="shared" ref="E123:K123" si="49">IFERROR(E178/E$34*100,"")</f>
        <v>2.2378956184458603</v>
      </c>
      <c r="F123" s="4">
        <f t="shared" si="49"/>
        <v>1.8658837015946161</v>
      </c>
      <c r="G123" s="4">
        <f t="shared" si="49"/>
        <v>1.6629657216862155</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4.4020435166323892</v>
      </c>
      <c r="E124" s="4">
        <f t="shared" ref="E124:K124" si="52">IFERROR(E179/E$34*100,"")</f>
        <v>3.7885280198929636</v>
      </c>
      <c r="F124" s="4">
        <f t="shared" si="52"/>
        <v>4.0353775322432703</v>
      </c>
      <c r="G124" s="4">
        <f t="shared" si="52"/>
        <v>3.5763163630375248</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3.4409907646542295</v>
      </c>
      <c r="E125" s="4">
        <f t="shared" ref="E125:K125" si="55">IFERROR(E180/E$34*100,"")</f>
        <v>3.696299974907777</v>
      </c>
      <c r="F125" s="4">
        <f t="shared" si="55"/>
        <v>3.9351523899810474</v>
      </c>
      <c r="G125" s="4">
        <f t="shared" si="55"/>
        <v>3.889346119723966</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0.81558637614039897</v>
      </c>
      <c r="E127" s="4">
        <f t="shared" ref="E127:K127" si="61">IFERROR(E182/E$34*100,"")</f>
        <v>1.0995583643219147</v>
      </c>
      <c r="F127" s="4">
        <f t="shared" si="61"/>
        <v>1.2497986187064805</v>
      </c>
      <c r="G127" s="4">
        <f t="shared" si="61"/>
        <v>1.0836468005539657</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0.88728481012376548</v>
      </c>
      <c r="E128" s="4">
        <f t="shared" ref="E128:K128" si="64">IFERROR(E183/E$34*100,"")</f>
        <v>8.6200888879959761E-2</v>
      </c>
      <c r="F128" s="4">
        <f t="shared" si="64"/>
        <v>0.10178357036282634</v>
      </c>
      <c r="G128" s="4">
        <f t="shared" si="64"/>
        <v>6.110885250096193E-2</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52.965026207090524</v>
      </c>
      <c r="E129" s="4">
        <f t="shared" ref="E129:K129" si="67">IFERROR(E184/E$34*100,"")</f>
        <v>52.312826981066564</v>
      </c>
      <c r="F129" s="4">
        <f t="shared" si="67"/>
        <v>55.292098000435551</v>
      </c>
      <c r="G129" s="4">
        <f t="shared" si="67"/>
        <v>55.024545615921049</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52.965026207090524</v>
      </c>
      <c r="E131" s="4">
        <f t="shared" ref="E131:K131" si="71">IFERROR(E129-E130,"")</f>
        <v>52.312826981066564</v>
      </c>
      <c r="F131" s="4">
        <f t="shared" si="71"/>
        <v>55.292098000435551</v>
      </c>
      <c r="G131" s="4">
        <f t="shared" si="71"/>
        <v>55.024545615921049</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0.19463737971062539</v>
      </c>
      <c r="F132" s="4">
        <f t="shared" si="78"/>
        <v>0.20408324353819043</v>
      </c>
      <c r="G132" s="4">
        <f t="shared" si="78"/>
        <v>0.21268136040010258</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-4.1503666624602135E-2</v>
      </c>
      <c r="F133" s="4">
        <f t="shared" si="89"/>
        <v>-5.739872848458452E-3</v>
      </c>
      <c r="G133" s="4">
        <f t="shared" si="89"/>
        <v>0.12302652723038077</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0</v>
      </c>
      <c r="E134" s="4">
        <f t="shared" ref="E134:K134" si="92">IFERROR(E189/E$34*100,"")</f>
        <v>0</v>
      </c>
      <c r="F134" s="4">
        <f t="shared" si="92"/>
        <v>0</v>
      </c>
      <c r="G134" s="4">
        <f t="shared" si="92"/>
        <v>5.5217671365807158E-3</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52.017503140978874</v>
      </c>
      <c r="E135" s="4">
        <f t="shared" ref="E135:K135" si="95">IFERROR(E131-E132-E133-E134-E120,"")</f>
        <v>50.958803341639502</v>
      </c>
      <c r="F135" s="4">
        <f t="shared" si="95"/>
        <v>53.608046427394655</v>
      </c>
      <c r="G135" s="4">
        <f t="shared" si="95"/>
        <v>53.076209524620573</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-5.4609862161874707</v>
      </c>
      <c r="E139" s="4">
        <f t="shared" ref="E139:K139" si="112">IFERROR(E194/E$34*100,"")</f>
        <v>-4.7021862880942864</v>
      </c>
      <c r="F139" s="4">
        <f t="shared" si="112"/>
        <v>-6.7800730072966813</v>
      </c>
      <c r="G139" s="4">
        <f t="shared" si="112"/>
        <v>-6.2822155740664396</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-6.4085092822991223</v>
      </c>
      <c r="E140" s="4">
        <f t="shared" ref="E140:K140" si="114">IFERROR(E195/E$34*100,"")</f>
        <v>-5.9030762144353233</v>
      </c>
      <c r="F140" s="4">
        <f t="shared" si="114"/>
        <v>-8.2657812096478427</v>
      </c>
      <c r="G140" s="4">
        <f t="shared" si="114"/>
        <v>-7.8893220105998516</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-4.73895</v>
      </c>
      <c r="E142" s="4">
        <f t="shared" ref="E142:K142" si="118">IFERROR(E98,"")</f>
        <v>-2.6994400000000001</v>
      </c>
      <c r="F142" s="4">
        <f t="shared" si="118"/>
        <v>-3.9735</v>
      </c>
      <c r="G142" s="4">
        <f t="shared" si="118"/>
        <v>-3.5701800000000001</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-3.7914400000000001</v>
      </c>
      <c r="E143" s="4">
        <f t="shared" ref="E143:K143" si="120">IFERROR(E99,"")</f>
        <v>-1.4985599999999999</v>
      </c>
      <c r="F143" s="4">
        <f t="shared" si="120"/>
        <v>-2.4877799999999999</v>
      </c>
      <c r="G143" s="4">
        <f t="shared" si="120"/>
        <v>-1.9583200000000001</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78.139276544553837</v>
      </c>
      <c r="E145" s="4">
        <f t="shared" ref="E145:K145" si="122">IFERROR(E200/E$34*100,"")</f>
        <v>77.771534369543787</v>
      </c>
      <c r="F145" s="4">
        <f t="shared" si="122"/>
        <v>79.955679923964894</v>
      </c>
      <c r="G145" s="4">
        <f t="shared" si="122"/>
        <v>81.28634231728735</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4.2854335565683179</v>
      </c>
      <c r="F146" s="4">
        <f t="shared" si="124"/>
        <v>4.742013359574285</v>
      </c>
      <c r="G146" s="4">
        <f t="shared" si="124"/>
        <v>4.4771810056654546</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6.4085092822991223</v>
      </c>
      <c r="E148" s="4">
        <f t="shared" ref="E148:K148" si="129">IFERROR(E203/E$34*100,"")</f>
        <v>5.9030762144353233</v>
      </c>
      <c r="F148" s="4">
        <f t="shared" si="129"/>
        <v>8.2657812096478427</v>
      </c>
      <c r="G148" s="4">
        <f t="shared" si="129"/>
        <v>7.8893220105998516</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0.94752306611165293</v>
      </c>
      <c r="E150" s="4">
        <f t="shared" ref="E150:K150" si="134">IFERROR(E205/E$34*100,"")</f>
        <v>1.2008899263410371</v>
      </c>
      <c r="F150" s="4">
        <f t="shared" si="134"/>
        <v>1.4857082023511621</v>
      </c>
      <c r="G150" s="4">
        <f t="shared" si="134"/>
        <v>1.6071064365334113</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-6.4085092822991223</v>
      </c>
      <c r="E153" s="4">
        <f t="shared" ref="E153:K153" si="143">IFERROR(E208/E$34*100,"")</f>
        <v>-1.6176426578670053</v>
      </c>
      <c r="F153" s="4">
        <f t="shared" si="143"/>
        <v>-3.5237678500735585</v>
      </c>
      <c r="G153" s="4">
        <f t="shared" si="143"/>
        <v>-3.412141004934397</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61589.9</v>
      </c>
      <c r="E160" s="9">
        <f t="shared" si="147"/>
        <v>65458.3</v>
      </c>
      <c r="F160" s="9">
        <f t="shared" ref="F160:K160" si="148">F50</f>
        <v>67445.8</v>
      </c>
      <c r="G160" s="9">
        <f t="shared" si="148"/>
        <v>71888.5</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64102</v>
      </c>
      <c r="E161" s="9">
        <f t="shared" si="150"/>
        <v>66028.399999999994</v>
      </c>
      <c r="F161" s="9">
        <f t="shared" ref="F161:K161" si="151">F55</f>
        <v>69303.600000000006</v>
      </c>
      <c r="G161" s="9">
        <f t="shared" si="151"/>
        <v>71468.2</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68337</v>
      </c>
      <c r="E162" s="9">
        <f t="shared" si="153"/>
        <v>73257.399999999994</v>
      </c>
      <c r="F162" s="9">
        <f t="shared" ref="F162:K162" si="154">F70</f>
        <v>78991.3</v>
      </c>
      <c r="G162" s="9">
        <f t="shared" si="154"/>
        <v>82975.5</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19403</v>
      </c>
      <c r="E163" s="9">
        <f t="shared" si="156"/>
        <v>22666.6</v>
      </c>
      <c r="F163" s="9">
        <f t="shared" ref="F163:K163" si="157">(F85+F86+F87)+F67+F53+F57</f>
        <v>23921.199999999997</v>
      </c>
      <c r="G163" s="9">
        <f t="shared" si="157"/>
        <v>24308.9</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42.8</v>
      </c>
      <c r="E164" s="9">
        <f t="shared" si="159"/>
        <v>90.7</v>
      </c>
      <c r="F164" s="9">
        <f t="shared" ref="F164:K164" si="160">F73</f>
        <v>30</v>
      </c>
      <c r="G164" s="9">
        <f t="shared" si="160"/>
        <v>54.4</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213474.69999999998</v>
      </c>
      <c r="E166" s="9">
        <f t="shared" si="165"/>
        <v>227501.40000000002</v>
      </c>
      <c r="F166" s="9">
        <f t="shared" ref="F166:K166" si="166">F160+F161+F162+F163+F164+F165</f>
        <v>239691.90000000002</v>
      </c>
      <c r="G166" s="9">
        <f t="shared" si="166"/>
        <v>250695.5</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1190.5</v>
      </c>
      <c r="E167" s="9">
        <f t="shared" si="168"/>
        <v>1350.5</v>
      </c>
      <c r="F167" s="9">
        <f t="shared" ref="F167:K167" si="169">SUM(F58+F62)</f>
        <v>955.6</v>
      </c>
      <c r="G167" s="9">
        <f t="shared" si="169"/>
        <v>806.40000000000009</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212284.19999999998</v>
      </c>
      <c r="E168" s="9">
        <f t="shared" si="171"/>
        <v>226150.90000000002</v>
      </c>
      <c r="F168" s="9">
        <f t="shared" ref="F168:K168" si="172">F166-F167</f>
        <v>238736.30000000002</v>
      </c>
      <c r="G168" s="9">
        <f t="shared" si="172"/>
        <v>249889.1</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-585</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46591.7</v>
      </c>
      <c r="E173" s="9">
        <f t="shared" si="175"/>
        <v>50630.2</v>
      </c>
      <c r="F173" s="9">
        <f t="shared" ref="F173:K173" si="176">F49</f>
        <v>56045.5</v>
      </c>
      <c r="G173" s="9">
        <f t="shared" si="176"/>
        <v>58781.4</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31670.6</v>
      </c>
      <c r="E174" s="9">
        <f t="shared" si="178"/>
        <v>33100.6</v>
      </c>
      <c r="F174" s="9">
        <f t="shared" ref="F174:K174" si="179">F79</f>
        <v>34893.800000000003</v>
      </c>
      <c r="G174" s="9">
        <f t="shared" si="179"/>
        <v>36083.800000000003</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4258</v>
      </c>
      <c r="E175" s="9">
        <f t="shared" si="181"/>
        <v>5738.3</v>
      </c>
      <c r="F175" s="9">
        <f t="shared" ref="F175:K175" si="182">F68</f>
        <v>7340.7</v>
      </c>
      <c r="G175" s="9">
        <f t="shared" si="182"/>
        <v>8265.7999999999993</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81616.100000000006</v>
      </c>
      <c r="E176" s="9">
        <f t="shared" si="184"/>
        <v>87661.3</v>
      </c>
      <c r="F176" s="9">
        <f t="shared" ref="F176:K176" si="185">F71</f>
        <v>96831.2</v>
      </c>
      <c r="G176" s="9">
        <f t="shared" si="185"/>
        <v>102802.4</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19206.400000000001</v>
      </c>
      <c r="E177" s="9">
        <f t="shared" si="187"/>
        <v>20715</v>
      </c>
      <c r="F177" s="9">
        <f t="shared" ref="F177:K177" si="188">F72</f>
        <v>22801.7</v>
      </c>
      <c r="G177" s="9">
        <f t="shared" si="188"/>
        <v>24234.400000000001</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11775</v>
      </c>
      <c r="E178" s="9">
        <f t="shared" si="190"/>
        <v>10693.5</v>
      </c>
      <c r="F178" s="9">
        <f t="shared" ref="F178:K178" si="191">F51</f>
        <v>9219.1</v>
      </c>
      <c r="G178" s="9">
        <f t="shared" si="191"/>
        <v>8553.1</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19782</v>
      </c>
      <c r="E179" s="9">
        <f t="shared" si="193"/>
        <v>18103</v>
      </c>
      <c r="F179" s="9">
        <f t="shared" ref="F179:K179" si="194">F64+(F52-F68)+F54+F56+F59</f>
        <v>19938.3</v>
      </c>
      <c r="G179" s="9">
        <f t="shared" si="194"/>
        <v>18394</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15463.2</v>
      </c>
      <c r="E180" s="9">
        <f t="shared" si="196"/>
        <v>17662.3</v>
      </c>
      <c r="F180" s="9">
        <f t="shared" ref="F180:K180" si="197">F83</f>
        <v>19443.099999999999</v>
      </c>
      <c r="G180" s="9">
        <f t="shared" si="197"/>
        <v>20004</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3665.1</v>
      </c>
      <c r="E182" s="145">
        <f t="shared" si="199"/>
        <v>5254.1</v>
      </c>
      <c r="F182" s="145">
        <f t="shared" ref="F182:K182" si="200">F60</f>
        <v>6175.1</v>
      </c>
      <c r="G182" s="145">
        <f t="shared" si="200"/>
        <v>5573.5</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3987.3</v>
      </c>
      <c r="E183" s="145">
        <f t="shared" si="202"/>
        <v>411.9</v>
      </c>
      <c r="F183" s="145">
        <f t="shared" ref="F183:K183" si="203">F84+F78</f>
        <v>502.9</v>
      </c>
      <c r="G183" s="145">
        <f t="shared" si="203"/>
        <v>314.29999999999995</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238015.4</v>
      </c>
      <c r="E184" s="9">
        <f>E173+E174+E175+E176+E177+E178+E179+E180+E182+E183</f>
        <v>249970.19999999998</v>
      </c>
      <c r="F184" s="9">
        <f t="shared" ref="F184:K184" si="206">F173+F174+F175+F176+F177+F178+F179+F180+F182+F183</f>
        <v>273191.40000000002</v>
      </c>
      <c r="G184" s="9">
        <f t="shared" si="206"/>
        <v>283006.7</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1190.5</v>
      </c>
      <c r="E185">
        <f t="shared" ref="E185:J185" si="208">E167</f>
        <v>1350.5</v>
      </c>
      <c r="F185">
        <f t="shared" si="208"/>
        <v>955.6</v>
      </c>
      <c r="G185">
        <f t="shared" si="208"/>
        <v>806.40000000000009</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236824.9</v>
      </c>
      <c r="E186" s="9">
        <f t="shared" si="209"/>
        <v>248619.69999999998</v>
      </c>
      <c r="F186" s="9">
        <f t="shared" ref="F186:K186" si="210">F184-F185</f>
        <v>272235.80000000005</v>
      </c>
      <c r="G186" s="9">
        <f t="shared" si="210"/>
        <v>282200.3</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930.05000000000007</v>
      </c>
      <c r="F187">
        <f t="shared" si="212"/>
        <v>1008.3500000000001</v>
      </c>
      <c r="G187">
        <f t="shared" si="212"/>
        <v>1093.8799999999999</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-198.32</v>
      </c>
      <c r="F188" s="9">
        <f t="shared" si="213"/>
        <v>-28.36</v>
      </c>
      <c r="G188" s="9">
        <f t="shared" si="213"/>
        <v>632.76</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28.400000000000002</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232566.9</v>
      </c>
      <c r="E190" s="9">
        <f t="shared" si="216"/>
        <v>242149.67</v>
      </c>
      <c r="F190" s="9">
        <f t="shared" ref="F190:K190" si="217">F186-F187-F188-F189-F175</f>
        <v>263915.11000000004</v>
      </c>
      <c r="G190" s="9">
        <f t="shared" si="217"/>
        <v>272179.45999999996</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-24540.700000000012</v>
      </c>
      <c r="E194" s="6">
        <f t="shared" si="219"/>
        <v>-22468.799999999959</v>
      </c>
      <c r="F194" s="6">
        <f t="shared" ref="F194:K194" si="220">F166-F184</f>
        <v>-33499.5</v>
      </c>
      <c r="G194" s="6">
        <f t="shared" si="220"/>
        <v>-32311.200000000012</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-28798.700000000012</v>
      </c>
      <c r="E195" s="6">
        <f t="shared" si="222"/>
        <v>-28207.099999999959</v>
      </c>
      <c r="F195" s="6">
        <f t="shared" ref="F195:K195" si="223">F194-F175</f>
        <v>-40840.199999999997</v>
      </c>
      <c r="G195" s="6">
        <f t="shared" si="223"/>
        <v>-40577.000000000015</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351144</v>
      </c>
      <c r="E200" s="9">
        <f t="shared" si="225"/>
        <v>371621.4</v>
      </c>
      <c r="F200" s="9">
        <f t="shared" ref="F200:K200" si="226">F88</f>
        <v>395051.1</v>
      </c>
      <c r="G200" s="9">
        <f t="shared" si="226"/>
        <v>418078.5</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20477.400000000023</v>
      </c>
      <c r="F201" s="9">
        <f t="shared" ref="F201" si="228">F200-E200</f>
        <v>23429.699999999953</v>
      </c>
      <c r="G201" s="9">
        <f t="shared" ref="G201" si="229">G200-F200</f>
        <v>23027.400000000023</v>
      </c>
      <c r="H201" s="9">
        <f t="shared" ref="H201" si="230">H200-G200</f>
        <v>-418078.5</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28798.700000000012</v>
      </c>
      <c r="E203" s="9">
        <f t="shared" si="248"/>
        <v>28207.099999999959</v>
      </c>
      <c r="F203" s="9">
        <f t="shared" ref="F203:K203" si="249">-F195</f>
        <v>40840.199999999997</v>
      </c>
      <c r="G203" s="9">
        <f t="shared" si="249"/>
        <v>40577.000000000015</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4258</v>
      </c>
      <c r="E205" s="9">
        <f t="shared" si="251"/>
        <v>5738.3</v>
      </c>
      <c r="F205" s="9">
        <f t="shared" ref="F205:K205" si="252">F175</f>
        <v>7340.7</v>
      </c>
      <c r="G205" s="9">
        <f t="shared" si="252"/>
        <v>8265.7999999999993</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-28798.700000000012</v>
      </c>
      <c r="E208" s="9">
        <f t="shared" si="254"/>
        <v>-7729.6999999999352</v>
      </c>
      <c r="F208" s="9">
        <f t="shared" ref="F208:K208" si="255">F201-F203-F204</f>
        <v>-17410.500000000044</v>
      </c>
      <c r="G208" s="9">
        <f t="shared" si="255"/>
        <v>-17549.599999999991</v>
      </c>
      <c r="H208" s="9">
        <f t="shared" si="255"/>
        <v>-418078.5</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election activeCell="G3" sqref="G3"/>
    </sheetView>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955</v>
      </c>
    </row>
    <row r="2" spans="2:16" ht="13.5" customHeight="1" x14ac:dyDescent="0.4"/>
    <row r="3" spans="2:16" ht="13.5" customHeight="1" x14ac:dyDescent="0.4">
      <c r="B3" s="169"/>
      <c r="C3" s="157"/>
      <c r="F3" s="184" t="s">
        <v>825</v>
      </c>
      <c r="G3" s="168">
        <v>2025</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F6">_xlfn.SEQUENCE(1, AssessmentEnd-MTP_BaseYear+1, MTP_BaseYear)</f>
        <v>2023</v>
      </c>
      <c r="E6" s="44">
        <v>2024</v>
      </c>
      <c r="F6" s="44">
        <v>2025</v>
      </c>
      <c r="G6" s="44"/>
      <c r="H6" s="44"/>
      <c r="I6" s="44"/>
      <c r="J6" s="44"/>
      <c r="O6" s="79" t="s">
        <v>813</v>
      </c>
      <c r="P6" s="7"/>
    </row>
    <row r="7" spans="2:16" x14ac:dyDescent="0.4">
      <c r="B7" s="41" t="s">
        <v>274</v>
      </c>
      <c r="C7" s="19"/>
      <c r="D7" s="47" t="str" cm="1">
        <f t="array" ref="D7:F7">IF(
  AND(_xlfn.ANCHORARRAY(D6)&gt;=MTP_YearT-1,_xlfn.ANCHORARRAY( D6)&lt;=MTP_EndYear),
  CHOOSE(SIGN(_xlfn.ANCHORARRAY(D6)-MTP_YearT)+2, "T-1", "T", "T+"&amp;(_xlfn.ANCHORARRAY(D6)-MTP_YearT)),
  ""
)</f>
        <v>T-1</v>
      </c>
      <c r="E7" s="47" t="str">
        <v>T</v>
      </c>
      <c r="F7" s="47" t="str">
        <v>T+1</v>
      </c>
      <c r="G7" s="47"/>
      <c r="H7" s="47"/>
      <c r="I7" s="47"/>
      <c r="J7" s="47"/>
      <c r="O7" t="s">
        <v>810</v>
      </c>
      <c r="P7" s="179" t="s">
        <v>812</v>
      </c>
    </row>
    <row r="8" spans="2:16" x14ac:dyDescent="0.4">
      <c r="B8" s="59" t="s">
        <v>257</v>
      </c>
      <c r="C8" s="44" t="s">
        <v>6</v>
      </c>
      <c r="D8" s="167">
        <f>IF(ISNUMBER(D$6),IF(AND(D$6&gt;=MTP_BaseYear,D$6&lt;=OutturnThrough),'Step 2 - Update outturn data'!E6,INDEX($D$59:$J$59,MATCH(D$6,$D$34:$J$34,0))/100*D$29),"")</f>
        <v>249.97019999999998</v>
      </c>
      <c r="E8" s="167">
        <f>IF(ISNUMBER(E$6),IF(AND(E$6&gt;=MTP_BaseYear,E$6&lt;=OutturnThrough),'Step 2 - Update outturn data'!F6,INDEX($D$59:$J$59,MATCH(E$6,$D$34:$J$34,0))/100*E$29),"")</f>
        <v>273.19140000000004</v>
      </c>
      <c r="F8" s="167">
        <f>IF(ISNUMBER(F$6),IF(AND(F$6&gt;=MTP_BaseYear,F$6&lt;=OutturnThrough),'Step 2 - Update outturn data'!G6,INDEX($D$59:$J$59,MATCH(F$6,$D$34:$J$34,0))/100*F$29),"")</f>
        <v>283.00670000000002</v>
      </c>
      <c r="G8" s="167" t="str">
        <f>IF(ISNUMBER(G$6),IF(AND(G$6&gt;=MTP_BaseYear,G$6&lt;=OutturnThrough),'Step 2 - Update outturn data'!H6,INDEX($D$59:$J$59,MATCH(G$6,$D$34:$J$34,0))/100*G$29),"")</f>
        <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5.7383000000000006</v>
      </c>
      <c r="E9" s="167">
        <f>IF(ISNUMBER(E$6),IF(AND(E$6&gt;=MTP_BaseYear,E$6&lt;=OutturnThrough),'Step 2 - Update outturn data'!F7,INDEX($D$50:$J$50,MATCH(E$6,$D$34:$J$34,0))/100*E$29),"")</f>
        <v>7.3407</v>
      </c>
      <c r="F9" s="167">
        <f>IF(ISNUMBER(F$6),IF(AND(F$6&gt;=MTP_BaseYear,F$6&lt;=OutturnThrough),'Step 2 - Update outturn data'!G7,INDEX($D$50:$J$50,MATCH(F$6,$D$34:$J$34,0))/100*F$29),"")</f>
        <v>8.2657999999999987</v>
      </c>
      <c r="G9" s="167" t="str">
        <f>IF(ISNUMBER(G$6),IF(AND(G$6&gt;=MTP_BaseYear,G$6&lt;=OutturnThrough),'Step 2 - Update outturn data'!H7,INDEX($D$50:$J$50,MATCH(G$6,$D$34:$J$34,0))/100*G$29),"")</f>
        <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-0.19832</v>
      </c>
      <c r="E10" s="167">
        <f>IF(ISNUMBER(E$6),IF(AND(E$6&gt;=MTP_BaseYear,E$6&lt;=OutturnThrough),'Step 2 - Update outturn data'!F8,INDEX($D$63:$J$63,MATCH(E$6,$D$34:$J$34,0))/100*E$29),"")</f>
        <v>-2.836E-2</v>
      </c>
      <c r="F10" s="167">
        <f>IF(ISNUMBER(F$6),IF(AND(F$6&gt;=MTP_BaseYear,F$6&lt;=OutturnThrough),'Step 2 - Update outturn data'!G8,INDEX($D$63:$J$63,MATCH(F$6,$D$34:$J$34,0))/100*F$29),"")</f>
        <v>0.63275999999999999</v>
      </c>
      <c r="G10" s="167" t="str">
        <f>IF(ISNUMBER(G$6),IF(AND(G$6&gt;=MTP_BaseYear,G$6&lt;=OutturnThrough),'Step 2 - Update outturn data'!H8,INDEX($D$63:$J$63,MATCH(G$6,$D$34:$J$34,0))/100*G$29),"")</f>
        <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1.3505</v>
      </c>
      <c r="E11" s="167">
        <f>IF(ISNUMBER(E$6),IF(AND(E$6&gt;=MTP_BaseYear,E$6&lt;=OutturnThrough),'Step 2 - Update outturn data'!F9,INDEX($D$60:$J$60,MATCH(E$6,$D$34:$J$34,0))/100*E$29),"")</f>
        <v>0.9556</v>
      </c>
      <c r="F11" s="167">
        <f>IF(ISNUMBER(F$6),IF(AND(F$6&gt;=MTP_BaseYear,F$6&lt;=OutturnThrough),'Step 2 - Update outturn data'!G9,INDEX($D$60:$J$60,MATCH(F$6,$D$34:$J$34,0))/100*F$29),"")</f>
        <v>0.80640000000000012</v>
      </c>
      <c r="G11" s="167" t="str">
        <f>IF(ISNUMBER(G$6),IF(AND(G$6&gt;=MTP_BaseYear,G$6&lt;=OutturnThrough),'Step 2 - Update outturn data'!H9,INDEX($D$60:$J$60,MATCH(G$6,$D$34:$J$34,0))/100*G$29),"")</f>
        <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0.93005000000000004</v>
      </c>
      <c r="E12" s="167">
        <f>IF(ISNUMBER(E$6),IF(AND(E$6&gt;=MTP_BaseYear,E$6&lt;=OutturnThrough),'Step 2 - Update outturn data'!F10,INDEX($D$62:$J$62,MATCH(E$6,$D$34:$J$34,0))/100*E$29),"")</f>
        <v>1.0083500000000001</v>
      </c>
      <c r="F12" s="167">
        <f>IF(ISNUMBER(F$6),IF(AND(F$6&gt;=MTP_BaseYear,F$6&lt;=OutturnThrough),'Step 2 - Update outturn data'!G10,INDEX($D$62:$J$62,MATCH(F$6,$D$34:$J$34,0))/100*F$29),"")</f>
        <v>1.09388</v>
      </c>
      <c r="G12" s="167" t="str">
        <f>IF(ISNUMBER(G$6),IF(AND(G$6&gt;=MTP_BaseYear,G$6&lt;=OutturnThrough),'Step 2 - Update outturn data'!H10,INDEX($D$62:$J$62,MATCH(G$6,$D$34:$J$34,0))/100*G$29),"")</f>
        <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2.8400000000000002E-2</v>
      </c>
      <c r="G13" s="167" t="str">
        <f>IF(ISNUMBER(G$6),IF(AND(G$6&gt;=MTP_BaseYear,G$6&lt;=OutturnThrough),'Step 2 - Update outturn data'!H11,INDEX($D$64:$J$64,MATCH(G$6,$D$34:$J$34,0))/100*G$29),"")</f>
        <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242.14967000000001</v>
      </c>
      <c r="E14" s="167">
        <f>IF(ISNUMBER(E$6),IF(AND(E$6&gt;=MTP_BaseYear,E$6&lt;=OutturnThrough),'Step 2 - Update outturn data'!F12,INDEX($D$65:$J$65,MATCH(E$6,$D$34:$J$34,0))/100*E$29),"")</f>
        <v>263.91511000000003</v>
      </c>
      <c r="F14" s="167">
        <f>IF(ISNUMBER(F$6),IF(AND(F$6&gt;=MTP_BaseYear,F$6&lt;=OutturnThrough),'Step 2 - Update outturn data'!G12,INDEX($D$65:$J$65,MATCH(F$6,$D$34:$J$34,0))/100*F$29),"")</f>
        <v>272.17945999999995</v>
      </c>
      <c r="G14" s="167" t="str">
        <f>IF(ISNUMBER(G$6),IF(AND(G$6&gt;=MTP_BaseYear,G$6&lt;=OutturnThrough),'Step 2 - Update outturn data'!H12,INDEX($D$65:$J$65,MATCH(G$6,$D$34:$J$34,0))/100*G$29),"")</f>
        <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-0.58499999999999996</v>
      </c>
      <c r="F15" s="167">
        <f>IF(ISNUMBER(F$6),IF(AND(F$6&gt;=MTP_BaseYear,F$6&lt;=OutturnThrough),'Step 2 - Update outturn data'!G13,(INDEX($D$45:$J$45,MATCH(F$6,$D$34:$J$34,0))-INDEX($D$46:$J$46,MATCH(F$6,$D$34:$J$34,0)))/100*F$29),"")</f>
        <v>0</v>
      </c>
      <c r="G15" s="167" t="str">
        <f>IF(ISNUMBER(G$6),IF(AND(G$6&gt;=MTP_BaseYear,G$6&lt;=OutturnThrough),'Step 2 - Update outturn data'!H13,(INDEX($D$45:$J$45,MATCH(G$6,$D$34:$J$34,0))-INDEX($D$46:$J$46,MATCH(G$6,$D$34:$J$34,0)))/100*G$29),"")</f>
        <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2.8989799999999999</v>
      </c>
      <c r="E16" s="167">
        <f>IF(ISNUMBER(E$6),IF(AND(E$6&gt;=MTP_BaseYear,E$6&lt;=OutturnThrough),'Step 2 - Update outturn data'!F14,INDEX($D$87:$J$87,MATCH(E$6,$D$34:$J$34,0))/100*E$29),"")</f>
        <v>3.3417400000000002</v>
      </c>
      <c r="F16" s="167">
        <f>IF(ISNUMBER(F$6),IF(AND(F$6&gt;=MTP_BaseYear,F$6&lt;=OutturnThrough),'Step 2 - Update outturn data'!G14,INDEX($D$87:$J$87,MATCH(F$6,$D$34:$J$34,0))/100*F$29),"")</f>
        <v>3.7082799999999998</v>
      </c>
      <c r="G16" s="167" t="str">
        <f>IF(ISNUMBER(G$6),IF(AND(G$6&gt;=MTP_BaseYear,G$6&lt;=OutturnThrough),'Step 2 - Update outturn data'!H14,INDEX($D$87:$J$87,MATCH(G$6,$D$34:$J$34,0))/100*G$29),"")</f>
        <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9.23001051374548</v>
      </c>
      <c r="F17" s="167">
        <f>IF(ISNUMBER(F$6),IF(AND(F$6&gt;=MTP_BaseYear,F$6&lt;=OutturnThrough),'Step 2 - Update outturn data'!G15,INDEX($D$67:$J$67,MATCH(F$6,$D$34:$J$34,0))),"")</f>
        <v>3.1314425308956118</v>
      </c>
      <c r="G17" s="167" t="str">
        <f>IF(ISNUMBER(G$6),IF(AND(G$6&gt;=MTP_BaseYear,G$6&lt;=OutturnThrough),'Step 2 - Update outturn data'!H15,INDEX($D$67:$J$67,MATCH(G$6,$D$34:$J$34,0))),"")</f>
        <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9.23001051374548</v>
      </c>
      <c r="F18" s="69">
        <f>IF(ISNUMBER(F$6),IF(F$6&lt;=MTP_BaseYear,"",IF(ISNUMBER(E18),((1+E18/100)*(1+F17/100)-1)*100,F17)),"")</f>
        <v>12.650485519474653</v>
      </c>
      <c r="G18" s="69" t="str">
        <f>IF(ISNUMBER(G$6),IF(G$6&lt;=MTP_BaseYear,"",IF(ISNUMBER(F18),((1+F18/100)*(1+G17/100)-1)*100,G17)),"")</f>
        <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-4.7021862880942864</v>
      </c>
      <c r="E19" s="167">
        <f>IF(ISNUMBER(E$6),IF(AND(E$6&gt;=MTP_BaseYear,E$6&lt;=OutturnThrough),'Step 2 - Update outturn data'!F17,INDEX($D$69:$J$69,MATCH(E$6,$D$34:$J$34,0))),"")</f>
        <v>-6.7800730072966813</v>
      </c>
      <c r="F19" s="167">
        <f>IF(ISNUMBER(F$6),IF(AND(F$6&gt;=MTP_BaseYear,F$6&lt;=OutturnThrough),'Step 2 - Update outturn data'!G17,INDEX($D$69:$J$69,MATCH(F$6,$D$34:$J$34,0))),"")</f>
        <v>-6.2822155740664396</v>
      </c>
      <c r="G19" s="167" t="str">
        <f>IF(ISNUMBER(G$6),IF(AND(G$6&gt;=MTP_BaseYear,G$6&lt;=OutturnThrough),'Step 2 - Update outturn data'!H17,INDEX($D$69:$J$69,MATCH(G$6,$D$34:$J$34,0))),"")</f>
        <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-2.6994400000000001</v>
      </c>
      <c r="E20" s="167">
        <f>IF(ISNUMBER(E$6),IF(AND(E$6&gt;=MTP_BaseYear,E$6&lt;=OutturnThrough),'Step 2 - Update outturn data'!F18,INDEX($D$72:$J$72,MATCH(E$6,$D$34:$J$34,0))),"")</f>
        <v>-3.9735</v>
      </c>
      <c r="F20" s="167">
        <f>IF(ISNUMBER(F$6),IF(AND(F$6&gt;=MTP_BaseYear,F$6&lt;=OutturnThrough),'Step 2 - Update outturn data'!G18,INDEX($D$72:$J$72,MATCH(F$6,$D$34:$J$34,0))),"")</f>
        <v>-3.5701800000000001</v>
      </c>
      <c r="G20" s="167" t="str">
        <f>IF(ISNUMBER(G$6),IF(AND(G$6&gt;=MTP_BaseYear,G$6&lt;=OutturnThrough),'Step 2 - Update outturn data'!H18,INDEX($D$72:$J$72,MATCH(G$6,$D$34:$J$34,0))),"")</f>
        <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-1.4985599999999999</v>
      </c>
      <c r="E21" s="167">
        <f>IF(ISNUMBER(E$6),IF(AND(E$6&gt;=MTP_BaseYear,E$6&lt;=OutturnThrough),'Step 2 - Update outturn data'!F19,INDEX($D$73:$J$73,MATCH(E$6,$D$34:$J$34,0))),"")</f>
        <v>-2.4877799999999999</v>
      </c>
      <c r="F21" s="167">
        <f>IF(ISNUMBER(F$6),IF(AND(F$6&gt;=MTP_BaseYear,F$6&lt;=OutturnThrough),'Step 2 - Update outturn data'!G19,INDEX($D$73:$J$73,MATCH(F$6,$D$34:$J$34,0))),"")</f>
        <v>-1.9583200000000001</v>
      </c>
      <c r="G21" s="167" t="str">
        <f>IF(ISNUMBER(G$6),IF(AND(G$6&gt;=MTP_BaseYear,G$6&lt;=OutturnThrough),'Step 2 - Update outturn data'!H19,INDEX($D$73:$J$73,MATCH(G$6,$D$34:$J$34,0))),"")</f>
        <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77.771534369543787</v>
      </c>
      <c r="E22" s="167">
        <f>IF(ISNUMBER(E$6),IF(AND(E$6&gt;=MTP_BaseYear,E$6&lt;=OutturnThrough),'Step 2 - Update outturn data'!F20,INDEX($D$75:$J$75,MATCH(E$6,$D$34:$J$34,0))),"")</f>
        <v>79.955679923964894</v>
      </c>
      <c r="F22" s="167">
        <f>IF(ISNUMBER(F$6),IF(AND(F$6&gt;=MTP_BaseYear,F$6&lt;=OutturnThrough),'Step 2 - Update outturn data'!G20,INDEX($D$75:$J$75,MATCH(F$6,$D$34:$J$34,0))),"")</f>
        <v>81.28634231728735</v>
      </c>
      <c r="G22" s="167" t="str">
        <f>IF(ISNUMBER(G$6),IF(AND(G$6&gt;=MTP_BaseYear,G$6&lt;=OutturnThrough),'Step 2 - Update outturn data'!H20,INDEX($D$75:$J$75,MATCH(G$6,$D$34:$J$34,0))),"")</f>
        <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4.2854335565683179</v>
      </c>
      <c r="E23" s="167">
        <f>IF(ISNUMBER(E$6),IF(AND(E$6&gt;=MTP_BaseYear,E$6&lt;=OutturnThrough),'Step 2 - Update outturn data'!F21,INDEX($D$76:$J$76,MATCH(E$6,$D$34:$J$34,0))),"")</f>
        <v>4.742013359574285</v>
      </c>
      <c r="F23" s="167">
        <f>IF(ISNUMBER(F$6),IF(AND(F$6&gt;=MTP_BaseYear,F$6&lt;=OutturnThrough),'Step 2 - Update outturn data'!G21,INDEX($D$76:$J$76,MATCH(F$6,$D$34:$J$34,0))),"")</f>
        <v>4.4771810056654546</v>
      </c>
      <c r="G23" s="167" t="str">
        <f>IF(ISNUMBER(G$6),IF(AND(G$6&gt;=MTP_BaseYear,G$6&lt;=OutturnThrough),'Step 2 - Update outturn data'!H21,INDEX($D$76:$J$76,MATCH(G$6,$D$34:$J$34,0))),"")</f>
        <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-0.78625125662632467</v>
      </c>
      <c r="E24" s="167">
        <f>IF(ISNUMBER(E$6),IF(AND(E$6&gt;=MTP_BaseYear,E$6&lt;=OutturnThrough),'Step 2 - Update outturn data'!F22,INDEX($D$94:$J$94,MATCH(E$6,$D$92:$J$92,0))),"")</f>
        <v>-0.65907095296766638</v>
      </c>
      <c r="F24" s="167">
        <f>IF(ISNUMBER(F$6),IF(AND(F$6&gt;=MTP_BaseYear,F$6&lt;=OutturnThrough),'Step 2 - Update outturn data'!G22,INDEX($D$94:$J$94,MATCH(F$6,$D$92:$J$92,0))),"")</f>
        <v>0.84918912942735236</v>
      </c>
      <c r="G24" s="167" t="str">
        <f>IF(ISNUMBER(G$6),IF(AND(G$6&gt;=MTP_BaseYear,G$6&lt;=OutturnThrough),'Step 2 - Update outturn data'!H22,INDEX($D$94:$J$94,MATCH(G$6,$D$92:$J$92,0))),"")</f>
        <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7.1747112690738302</v>
      </c>
      <c r="E25" s="167">
        <f>IF(ISNUMBER(E$6),IF(AND(E$6&gt;=MTP_BaseYear,E$6&lt;=OutturnThrough),'Step 2 - Update outturn data'!F23,INDEX($D$95:$J$95,MATCH(E$6,$D$92:$J$92,0))),"")</f>
        <v>4.0868078209680192</v>
      </c>
      <c r="F25" s="167">
        <f>IF(ISNUMBER(F$6),IF(AND(F$6&gt;=MTP_BaseYear,F$6&lt;=OutturnThrough),'Step 2 - Update outturn data'!G23,INDEX($D$95:$J$95,MATCH(F$6,$D$92:$J$92,0))),"")</f>
        <v>3.220007690657356</v>
      </c>
      <c r="G25" s="167" t="str">
        <f>IF(ISNUMBER(G$6),IF(AND(G$6&gt;=MTP_BaseYear,G$6&lt;=OutturnThrough),'Step 2 - Update outturn data'!H23,INDEX($D$95:$J$95,MATCH(G$6,$D$92:$J$92,0))),"")</f>
        <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6.3320487549350934</v>
      </c>
      <c r="E26" s="167">
        <f>IF(ISNUMBER(E$6),IF(AND(E$6&gt;=MTP_BaseYear,E$6&lt;=OutturnThrough),'Step 2 - Update outturn data'!F24,INDEX($D$96:$J$96,MATCH(E$6,$D$92:$J$92,0))),"")</f>
        <v>3.4008019047487403</v>
      </c>
      <c r="F26" s="167">
        <f>IF(ISNUMBER(F$6),IF(AND(F$6&gt;=MTP_BaseYear,F$6&lt;=OutturnThrough),'Step 2 - Update outturn data'!G24,INDEX($D$96:$J$96,MATCH(F$6,$D$92:$J$92,0))),"")</f>
        <v>4.0965407753604799</v>
      </c>
      <c r="G26" s="167" t="str">
        <f>IF(ISNUMBER(G$6),IF(AND(G$6&gt;=MTP_BaseYear,G$6&lt;=OutturnThrough),'Step 2 - Update outturn data'!H24,INDEX($D$96:$J$96,MATCH(G$6,$D$92:$J$92,0))),"")</f>
        <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1.2811706988826943</v>
      </c>
      <c r="E27" s="167">
        <f>IF(ISNUMBER(E$6),IF(AND(E$6&gt;=MTP_BaseYear,E$6&lt;=OutturnThrough),'Step 2 - Update outturn data'!F25,INDEX($D$125:$J$125,MATCH(E$6,$D$92:$J$92,0))),"")</f>
        <v>0.7632202426216983</v>
      </c>
      <c r="F27" s="167">
        <f>IF(ISNUMBER(F$6),IF(AND(F$6&gt;=MTP_BaseYear,F$6&lt;=OutturnThrough),'Step 2 - Update outturn data'!G25,INDEX($D$125:$J$125,MATCH(F$6,$D$92:$J$92,0))),"")</f>
        <v>0.5049237586856492</v>
      </c>
      <c r="G27" s="167" t="str">
        <f>IF(ISNUMBER(G$6),IF(AND(G$6&gt;=MTP_BaseYear,G$6&lt;=OutturnThrough),'Step 2 - Update outturn data'!H25,INDEX($D$125:$J$125,MATCH(G$6,$D$92:$J$92,0))),"")</f>
        <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0.23809017880056516</v>
      </c>
      <c r="E28" s="167">
        <f>IF(ISNUMBER(E$6),IF(AND(E$6&gt;=MTP_BaseYear,E$6&lt;=OutturnThrough),'Step 2 - Update outturn data'!F26,INDEX($D$131:$J$131,MATCH(E$6,$D$92:$J$92,0))),"")</f>
        <v>-1.1768084074108121</v>
      </c>
      <c r="F28" s="167">
        <f>IF(ISNUMBER(F$6),IF(AND(F$6&gt;=MTP_BaseYear,F$6&lt;=OutturnThrough),'Step 2 - Update outturn data'!G26,INDEX($D$131:$J$131,MATCH(F$6,$D$92:$J$92,0))),"")</f>
        <v>-1.067841660471891</v>
      </c>
      <c r="G28" s="167" t="str">
        <f>IF(ISNUMBER(G$6),IF(AND(G$6&gt;=MTP_BaseYear,G$6&lt;=OutturnThrough),'Step 2 - Update outturn data'!H26,INDEX($D$131:$J$131,MATCH(G$6,$D$92:$J$92,0))),"")</f>
        <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477.83729999999997</v>
      </c>
      <c r="E29" s="278">
        <f>IF(ISNUMBER(E$6),IF(AND(E$6&gt;=MTP_BaseYear,E$6&lt;=OutturnThrough),'Step 2 - Update outturn data'!F27,D29*(1+INDEX($D$96:$J$96,MATCH(E$6,$D$92:$J$92,0))/100)),"")</f>
        <v>494.08759999999995</v>
      </c>
      <c r="F29" s="278">
        <f>IF(ISNUMBER(F$6),IF(AND(F$6&gt;=MTP_BaseYear,F$6&lt;=OutturnThrough),'Step 2 - Update outturn data'!G27,E29*(1+INDEX($D$96:$J$96,MATCH(F$6,$D$92:$J$92,0))/100)),"")</f>
        <v>514.32809999999995</v>
      </c>
      <c r="G29" s="278" t="str">
        <f>IF(ISNUMBER(G$6),IF(AND(G$6&gt;=MTP_BaseYear,G$6&lt;=OutturnThrough),'Step 2 - Update outturn data'!H27,F29*(1+INDEX($D$96:$J$96,MATCH(G$6,$D$92:$J$92,0))/100)),"")</f>
        <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G34">_xlfn.SEQUENCE(1, AssessmentEnd-P9+1, P9)</f>
        <v>2023</v>
      </c>
      <c r="F34" s="272">
        <v>2024</v>
      </c>
      <c r="G34" s="272">
        <v>2025</v>
      </c>
      <c r="H34" s="272"/>
      <c r="I34" s="272"/>
      <c r="J34" s="272"/>
      <c r="K34" s="272"/>
    </row>
    <row r="35" spans="1:11" x14ac:dyDescent="0.4">
      <c r="A35" s="212"/>
      <c r="B35" s="212" t="s">
        <v>30</v>
      </c>
      <c r="C35" s="212" t="s">
        <v>31</v>
      </c>
      <c r="D35" s="235" t="s">
        <v>6</v>
      </c>
      <c r="E35" s="272" t="str" cm="1">
        <f t="array" ref="E35:G35">IF(ISNUMBER(_xlfn.ANCHORARRAY(E$34)),"% of GDP","")</f>
        <v>% of GDP</v>
      </c>
      <c r="F35" s="272" t="str">
        <v>% of GDP</v>
      </c>
      <c r="G35" s="272" t="str">
        <v>% of GDP</v>
      </c>
      <c r="H35" s="272"/>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G47">IF(ISNUMBER(_xlfn.ANCHORARRAY(E$34)),"% of GDP","")</f>
        <v>% of GDP</v>
      </c>
      <c r="F47" s="272" t="str">
        <v>% of GDP</v>
      </c>
      <c r="G47" s="272" t="str">
        <v>% of GDP</v>
      </c>
      <c r="H47" s="272"/>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G66">IF(ISNUMBER(_xlfn.ANCHORARRAY(E$34)),"growth rate","")</f>
        <v>growth rate</v>
      </c>
      <c r="F66" s="272" t="str">
        <v>growth rate</v>
      </c>
      <c r="G66" s="272" t="str">
        <v>growth rate</v>
      </c>
      <c r="H66" s="272"/>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G84">IF(ISNUMBER(_xlfn.ANCHORARRAY(E$34)),"%","")</f>
        <v>%</v>
      </c>
      <c r="F84" s="272" t="str">
        <v>%</v>
      </c>
      <c r="G84" s="272" t="str">
        <v>%</v>
      </c>
      <c r="H84" s="272"/>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G93">IF(ISNUMBER(_xlfn.ANCHORARRAY(E$34)),"growth rate","")</f>
        <v>growth rate</v>
      </c>
      <c r="F93" s="272" t="str">
        <v>growth rate</v>
      </c>
      <c r="G93" s="272" t="str">
        <v>growth rate</v>
      </c>
      <c r="H93" s="272"/>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G97">IF(ISNUMBER(_xlfn.ANCHORARRAY(E$34)),"growth rate","")</f>
        <v>growth rate</v>
      </c>
      <c r="F97" s="272" t="str">
        <v>growth rate</v>
      </c>
      <c r="G97" s="272" t="str">
        <v>growth rate</v>
      </c>
      <c r="H97" s="272"/>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G108">IF(ISNUMBER(_xlfn.ANCHORARRAY(E$34)),"growth rate","")</f>
        <v>growth rate</v>
      </c>
      <c r="F108" s="272" t="str">
        <v>growth rate</v>
      </c>
      <c r="G108" s="272" t="str">
        <v>growth rate</v>
      </c>
      <c r="H108" s="272"/>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G115">IF(ISNUMBER(_xlfn.ANCHORARRAY(E$34)),"growth rate","")</f>
        <v>growth rate</v>
      </c>
      <c r="F115" s="272" t="str">
        <v>growth rate</v>
      </c>
      <c r="G115" s="272" t="str">
        <v>growth rate</v>
      </c>
      <c r="H115" s="272"/>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G122">IF(ISNUMBER(_xlfn.ANCHORARRAY(E$34)),"%","")</f>
        <v>%</v>
      </c>
      <c r="F122" s="272" t="str">
        <v>%</v>
      </c>
      <c r="G122" s="272" t="str">
        <v>%</v>
      </c>
      <c r="H122" s="272"/>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G124">IF(ISNUMBER(_xlfn.ANCHORARRAY(E$34)),"growth rate","")</f>
        <v>growth rate</v>
      </c>
      <c r="F124" s="272" t="str">
        <v>growth rate</v>
      </c>
      <c r="G124" s="272" t="str">
        <v>growth rate</v>
      </c>
      <c r="H124" s="272"/>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G130">IF(ISNUMBER(_xlfn.ANCHORARRAY(E$34)),"% pot. GDP","")</f>
        <v>% pot. GDP</v>
      </c>
      <c r="F130" s="272" t="str">
        <v>% pot. GDP</v>
      </c>
      <c r="G130" s="272" t="str">
        <v>% pot. GDP</v>
      </c>
      <c r="H130" s="272"/>
      <c r="I130" s="272"/>
      <c r="J130" s="272"/>
      <c r="K130" s="272"/>
    </row>
    <row r="131" spans="1:11" ht="14.25" x14ac:dyDescent="0.45">
      <c r="A131" s="212">
        <v>30</v>
      </c>
      <c r="B131" s="225" t="s">
        <v>89</v>
      </c>
      <c r="C131" s="225"/>
      <c r="D131" s="246"/>
      <c r="H131" s="4"/>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topLeftCell="A9"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Austria's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Austria is adhering to its Council-endorsed medium-term structural-fiscal plan.</v>
      </c>
      <c r="M4" s="26"/>
      <c r="N4" s="26"/>
      <c r="Q4" s="28"/>
      <c r="R4" s="28"/>
      <c r="AU4" s="173"/>
      <c r="AV4" s="25"/>
    </row>
    <row r="5" spans="1:54" customFormat="1" x14ac:dyDescent="0.45">
      <c r="B5" s="134" t="str">
        <f>CHAR(149)&amp;" "&amp;MTP_Requirement</f>
        <v>• Austria's gross debt was above 60% of GDP and its general government deficit was above 3% of GDP in 2023 (T-1), therefore it must adhere to an MTP with a planned net expenditure path that does not exceed the Commission's reference trajectory (or an alternative path that meets all criteria). If the planned net expenditure path exceeds the reference trajectory, Austria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Austria's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F20">IF((_xlfn.ANCHORARRAY(D21)&gt;=MTP_YearT-1)*(_xlfn.ANCHORARRAY(D21)&lt;=AdjustmentPeriodEnd), IF(_xlfn.ANCHORARRAY(D21)=MTP_YearT-1, "T-1", IF(_xlfn.ANCHORARRAY(D21)=MTP_YearT, "T", "T+"&amp;(_xlfn.ANCHORARRAY(D21)-MTP_YearT))), "")</f>
        <v>T-1</v>
      </c>
      <c r="E20" s="30" t="str">
        <v>T</v>
      </c>
      <c r="F20" s="30" t="str">
        <v>T+1</v>
      </c>
      <c r="G20" s="30"/>
      <c r="H20" s="30"/>
      <c r="I20" s="30"/>
      <c r="J20" s="22"/>
    </row>
    <row r="21" spans="1:21" customFormat="1" ht="14.85" customHeight="1" x14ac:dyDescent="0.45">
      <c r="A21" s="3"/>
      <c r="B21" s="66" t="s">
        <v>251</v>
      </c>
      <c r="C21" s="66"/>
      <c r="D21" s="29" cm="1">
        <f t="array" ref="D21:F21">_xlfn.SEQUENCE(1, AssessmentEnd-MTP_BaseYear+1, MTP_BaseYear)</f>
        <v>2023</v>
      </c>
      <c r="E21" s="29">
        <v>2024</v>
      </c>
      <c r="F21" s="29">
        <v>2025</v>
      </c>
      <c r="G21" s="29"/>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249.97019999999998</v>
      </c>
      <c r="E23" s="4">
        <f>Assessment!E108</f>
        <v>273.19140000000004</v>
      </c>
      <c r="F23" s="4">
        <f>Assessment!F108</f>
        <v>283.00670000000002</v>
      </c>
      <c r="G23" s="4" t="str">
        <f>Assessment!G108</f>
        <v/>
      </c>
      <c r="H23" t="str">
        <f>Assessment!H108</f>
        <v/>
      </c>
      <c r="I23" t="str">
        <f>Assessment!I108</f>
        <v/>
      </c>
      <c r="J23" t="str">
        <f>Assessment!J108</f>
        <v/>
      </c>
    </row>
    <row r="24" spans="1:21" customFormat="1" ht="14.85" customHeight="1" x14ac:dyDescent="0.4">
      <c r="A24" s="3">
        <v>2</v>
      </c>
      <c r="B24" t="s">
        <v>25</v>
      </c>
      <c r="C24" t="s">
        <v>6</v>
      </c>
      <c r="D24" s="4">
        <f>Assessment!D109</f>
        <v>5.7383000000000006</v>
      </c>
      <c r="E24" s="4">
        <f>Assessment!E109</f>
        <v>7.3407</v>
      </c>
      <c r="F24" s="4">
        <f>Assessment!F109</f>
        <v>8.2657999999999987</v>
      </c>
      <c r="G24" s="4" t="str">
        <f>Assessment!G109</f>
        <v/>
      </c>
      <c r="H24" t="str">
        <f>Assessment!H109</f>
        <v/>
      </c>
      <c r="I24" t="str">
        <f>Assessment!I109</f>
        <v/>
      </c>
      <c r="J24" t="str">
        <f>Assessment!J109</f>
        <v/>
      </c>
    </row>
    <row r="25" spans="1:21" customFormat="1" ht="14.85" customHeight="1" x14ac:dyDescent="0.4">
      <c r="A25" s="3">
        <v>3</v>
      </c>
      <c r="B25" t="s">
        <v>276</v>
      </c>
      <c r="C25" t="s">
        <v>6</v>
      </c>
      <c r="D25" s="4">
        <f>Assessment!D110</f>
        <v>-0.19832</v>
      </c>
      <c r="E25" s="4">
        <f>Assessment!E110</f>
        <v>-2.836E-2</v>
      </c>
      <c r="F25" s="4">
        <f>Assessment!F110</f>
        <v>0.63275999999999999</v>
      </c>
      <c r="G25" s="4" t="str">
        <f>Assessment!G110</f>
        <v/>
      </c>
      <c r="H25" t="str">
        <f>Assessment!H110</f>
        <v/>
      </c>
      <c r="I25" t="str">
        <f>Assessment!I110</f>
        <v/>
      </c>
      <c r="J25" t="str">
        <f>Assessment!J110</f>
        <v/>
      </c>
    </row>
    <row r="26" spans="1:21" customFormat="1" ht="14.85" customHeight="1" x14ac:dyDescent="0.4">
      <c r="A26" s="3">
        <v>4</v>
      </c>
      <c r="B26" t="s">
        <v>625</v>
      </c>
      <c r="C26" t="s">
        <v>6</v>
      </c>
      <c r="D26" s="4">
        <f>Assessment!D111</f>
        <v>1.3505</v>
      </c>
      <c r="E26" s="4">
        <f>Assessment!E111</f>
        <v>0.9556</v>
      </c>
      <c r="F26" s="4">
        <f>Assessment!F111</f>
        <v>0.80640000000000012</v>
      </c>
      <c r="G26" s="4" t="str">
        <f>Assessment!G111</f>
        <v/>
      </c>
      <c r="H26" t="str">
        <f>Assessment!H111</f>
        <v/>
      </c>
      <c r="I26" t="str">
        <f>Assessment!I111</f>
        <v/>
      </c>
      <c r="J26" t="str">
        <f>Assessment!J111</f>
        <v/>
      </c>
    </row>
    <row r="27" spans="1:21" customFormat="1" ht="14.85" customHeight="1" x14ac:dyDescent="0.4">
      <c r="A27" s="3">
        <v>5</v>
      </c>
      <c r="B27" t="s">
        <v>278</v>
      </c>
      <c r="C27" t="s">
        <v>6</v>
      </c>
      <c r="D27" s="4">
        <f>Assessment!D112</f>
        <v>0.93005000000000004</v>
      </c>
      <c r="E27" s="4">
        <f>Assessment!E112</f>
        <v>1.0083500000000001</v>
      </c>
      <c r="F27" s="4">
        <f>Assessment!F112</f>
        <v>1.09388</v>
      </c>
      <c r="G27" s="4" t="str">
        <f>Assessment!G112</f>
        <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2.8400000000000002E-2</v>
      </c>
      <c r="G28" s="4" t="str">
        <f>Assessment!G113</f>
        <v/>
      </c>
      <c r="H28" t="str">
        <f>Assessment!H113</f>
        <v/>
      </c>
      <c r="I28" t="str">
        <f>Assessment!I113</f>
        <v/>
      </c>
      <c r="J28" t="str">
        <f>Assessment!J113</f>
        <v/>
      </c>
    </row>
    <row r="29" spans="1:21" customFormat="1" ht="14.65" customHeight="1" x14ac:dyDescent="0.4">
      <c r="A29" s="3">
        <v>7</v>
      </c>
      <c r="B29" t="s">
        <v>627</v>
      </c>
      <c r="C29" t="s">
        <v>6</v>
      </c>
      <c r="D29" s="4">
        <f>Assessment!D114</f>
        <v>242.14967000000001</v>
      </c>
      <c r="E29" s="4">
        <f>Assessment!E114</f>
        <v>263.91511000000003</v>
      </c>
      <c r="F29" s="4">
        <f>Assessment!F114</f>
        <v>272.17945999999995</v>
      </c>
      <c r="G29" s="4" t="str">
        <f>Assessment!G114</f>
        <v/>
      </c>
      <c r="H29" t="str">
        <f>Assessment!H114</f>
        <v/>
      </c>
      <c r="I29" t="str">
        <f>Assessment!I114</f>
        <v/>
      </c>
      <c r="J29" t="str">
        <f>Assessment!J114</f>
        <v/>
      </c>
    </row>
    <row r="30" spans="1:21" customFormat="1" ht="14.65" customHeight="1" x14ac:dyDescent="0.4">
      <c r="A30" s="3">
        <v>8</v>
      </c>
      <c r="B30" t="s">
        <v>628</v>
      </c>
      <c r="C30" t="s">
        <v>6</v>
      </c>
      <c r="D30" s="4"/>
      <c r="E30" s="4">
        <f>Assessment!E115</f>
        <v>21.765440000000012</v>
      </c>
      <c r="F30" s="4">
        <f>Assessment!F115</f>
        <v>8.2643499999999221</v>
      </c>
      <c r="G30" s="4" t="str">
        <f>Assessment!G115</f>
        <v/>
      </c>
      <c r="H30" t="str">
        <f>Assessment!H115</f>
        <v/>
      </c>
      <c r="I30" t="str">
        <f>Assessment!I115</f>
        <v/>
      </c>
      <c r="J30" t="str">
        <f>Assessment!J115</f>
        <v/>
      </c>
    </row>
    <row r="31" spans="1:21" customFormat="1" ht="14.65" customHeight="1" x14ac:dyDescent="0.4">
      <c r="A31" s="3">
        <v>9</v>
      </c>
      <c r="B31" t="s">
        <v>629</v>
      </c>
      <c r="C31" t="s">
        <v>6</v>
      </c>
      <c r="D31" s="4"/>
      <c r="E31" s="4">
        <f>Assessment!E116</f>
        <v>-0.58499999999999996</v>
      </c>
      <c r="F31" s="4">
        <f>Assessment!F116</f>
        <v>0</v>
      </c>
      <c r="G31" s="4" t="str">
        <f>Assessment!G116</f>
        <v/>
      </c>
      <c r="H31" t="str">
        <f>Assessment!H116</f>
        <v/>
      </c>
      <c r="I31" t="str">
        <f>Assessment!I116</f>
        <v/>
      </c>
      <c r="J31" t="str">
        <f>Assessment!J116</f>
        <v/>
      </c>
    </row>
    <row r="32" spans="1:21" customFormat="1" ht="14.65" customHeight="1" x14ac:dyDescent="0.4">
      <c r="A32" s="3">
        <v>10</v>
      </c>
      <c r="B32" t="s">
        <v>630</v>
      </c>
      <c r="C32" t="s">
        <v>6</v>
      </c>
      <c r="D32" s="4"/>
      <c r="E32" s="4">
        <f>Assessment!E117</f>
        <v>22.350440000000013</v>
      </c>
      <c r="F32" s="4">
        <f>Assessment!F117</f>
        <v>8.2643499999999221</v>
      </c>
      <c r="G32" s="4" t="str">
        <f>Assessment!G117</f>
        <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9.2300105137454924</v>
      </c>
      <c r="F34" s="4">
        <f>Assessment!F119</f>
        <v>3.1314425308956055</v>
      </c>
      <c r="G34" s="4" t="str">
        <f>Assessment!G119</f>
        <v/>
      </c>
      <c r="H34" t="str">
        <f>Assessment!H119</f>
        <v/>
      </c>
      <c r="I34" t="str">
        <f>Assessment!I119</f>
        <v/>
      </c>
      <c r="J34" t="str">
        <f>Assessment!J119</f>
        <v/>
      </c>
    </row>
    <row r="35" spans="1:23" customFormat="1" ht="14.65" customHeight="1" x14ac:dyDescent="0.4">
      <c r="A35" s="3">
        <v>12</v>
      </c>
      <c r="B35" t="s">
        <v>946</v>
      </c>
      <c r="C35" t="s">
        <v>601</v>
      </c>
      <c r="D35" s="4"/>
      <c r="E35" s="258">
        <f>Assessment!E120</f>
        <v>2.6</v>
      </c>
      <c r="F35" s="4">
        <f>Assessment!F120</f>
        <v>2.2000000000000002</v>
      </c>
      <c r="G35" s="4" t="str">
        <f>Assessment!G120</f>
        <v/>
      </c>
      <c r="H35" t="str">
        <f>Assessment!H120</f>
        <v/>
      </c>
      <c r="I35" t="str">
        <f>Assessment!I120</f>
        <v/>
      </c>
      <c r="J35" t="str">
        <f>Assessment!J120</f>
        <v/>
      </c>
    </row>
    <row r="36" spans="1:23" customFormat="1" ht="14.65" customHeight="1" x14ac:dyDescent="0.4">
      <c r="A36" s="3">
        <v>13</v>
      </c>
      <c r="B36" t="s">
        <v>929</v>
      </c>
      <c r="C36" t="s">
        <v>6</v>
      </c>
      <c r="D36" s="4"/>
      <c r="E36" s="258">
        <f>Assessment!E121</f>
        <v>16.054548580000016</v>
      </c>
      <c r="F36" s="4">
        <f>Assessment!F121</f>
        <v>2.4582175799999209</v>
      </c>
      <c r="G36" s="4" t="str">
        <f>Assessment!G121</f>
        <v/>
      </c>
      <c r="H36" t="str">
        <f>Assessment!H121</f>
        <v/>
      </c>
      <c r="I36" t="str">
        <f>Assessment!I121</f>
        <v/>
      </c>
      <c r="J36" t="str">
        <f>Assessment!J121</f>
        <v/>
      </c>
    </row>
    <row r="37" spans="1:23" customFormat="1" ht="14.65" customHeight="1" x14ac:dyDescent="0.4">
      <c r="A37" s="3">
        <v>14</v>
      </c>
      <c r="B37" t="s">
        <v>930</v>
      </c>
      <c r="C37" t="s">
        <v>6</v>
      </c>
      <c r="D37" s="4"/>
      <c r="E37" s="258">
        <f>Assessment!E122</f>
        <v>16.054548580000016</v>
      </c>
      <c r="F37" s="4">
        <f>Assessment!F122</f>
        <v>18.512766159999938</v>
      </c>
      <c r="G37" s="4" t="str">
        <f>Assessment!G122</f>
        <v/>
      </c>
      <c r="H37" t="str">
        <f>Assessment!H122</f>
        <v/>
      </c>
      <c r="I37" t="str">
        <f>Assessment!I122</f>
        <v/>
      </c>
      <c r="J37" t="str">
        <f>Assessment!J122</f>
        <v/>
      </c>
    </row>
    <row r="38" spans="1:23" customFormat="1" ht="14.65" customHeight="1" x14ac:dyDescent="0.4">
      <c r="A38" s="3">
        <v>15</v>
      </c>
      <c r="B38" t="s">
        <v>9</v>
      </c>
      <c r="C38" t="s">
        <v>6</v>
      </c>
      <c r="D38" s="4">
        <f>Assessment!D123</f>
        <v>477.83729999999997</v>
      </c>
      <c r="E38" s="4">
        <f>Assessment!E123</f>
        <v>494.08759999999995</v>
      </c>
      <c r="F38" s="4">
        <f>Assessment!F123</f>
        <v>514.32809999999995</v>
      </c>
      <c r="G38" s="4" t="str">
        <f>Assessment!G123</f>
        <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3.2493324220239526</v>
      </c>
      <c r="F40" s="4">
        <f>Assessment!F125</f>
        <v>0.47794736083832895</v>
      </c>
      <c r="G40" s="4" t="str">
        <f>Assessment!G125</f>
        <v/>
      </c>
      <c r="H40" t="str">
        <f>Assessment!H125</f>
        <v/>
      </c>
      <c r="I40" t="str">
        <f>Assessment!I125</f>
        <v/>
      </c>
      <c r="J40" t="str">
        <f>Assessment!J125</f>
        <v/>
      </c>
    </row>
    <row r="41" spans="1:23" customFormat="1" ht="14.65" customHeight="1" x14ac:dyDescent="0.45">
      <c r="A41" s="3">
        <v>17</v>
      </c>
      <c r="B41" t="s">
        <v>945</v>
      </c>
      <c r="C41" t="s">
        <v>603</v>
      </c>
      <c r="D41" s="4"/>
      <c r="E41" s="258">
        <f>Assessment!E126</f>
        <v>3.2493324220239526</v>
      </c>
      <c r="F41" s="4">
        <f>Assessment!F126</f>
        <v>3.5994078799116633</v>
      </c>
      <c r="G41" s="4" t="str">
        <f>Assessment!G126</f>
        <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#N/A</v>
      </c>
      <c r="G43" s="4" t="str">
        <f>Assessment!G134</f>
        <v/>
      </c>
      <c r="H43" t="str">
        <f>Assessment!H134</f>
        <v/>
      </c>
      <c r="I43" t="str">
        <f>Assessment!I134</f>
        <v/>
      </c>
      <c r="J43" t="str">
        <f>Assessment!J134</f>
        <v/>
      </c>
    </row>
    <row r="44" spans="1:23" customFormat="1" ht="14.65" customHeight="1" x14ac:dyDescent="0.4">
      <c r="A44" s="3">
        <v>19</v>
      </c>
      <c r="B44" t="s">
        <v>938</v>
      </c>
      <c r="C44" t="s">
        <v>603</v>
      </c>
      <c r="D44" s="4"/>
      <c r="E44" s="4">
        <f>Assessment!E142</f>
        <v>3.2493324220239526</v>
      </c>
      <c r="F44" s="4">
        <f>Assessment!F142</f>
        <v>0.47794736083832895</v>
      </c>
      <c r="G44" s="4" t="str">
        <f>Assessment!G142</f>
        <v/>
      </c>
    </row>
    <row r="45" spans="1:23" customFormat="1" ht="14.65" customHeight="1" x14ac:dyDescent="0.4">
      <c r="A45" s="3">
        <v>20</v>
      </c>
      <c r="B45" s="261" t="s">
        <v>932</v>
      </c>
      <c r="C45" s="261" t="s">
        <v>603</v>
      </c>
      <c r="D45" s="4"/>
      <c r="E45" s="4"/>
      <c r="F45" s="4" t="e">
        <f>Assessment!F144</f>
        <v>#N/A</v>
      </c>
      <c r="G45" s="4" t="str">
        <f>Assessment!G144</f>
        <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2.6</v>
      </c>
      <c r="E52" s="45">
        <v>2.2000000000000002</v>
      </c>
      <c r="F52" s="45">
        <v>2.2000000000000002</v>
      </c>
      <c r="G52" s="47">
        <v>2</v>
      </c>
      <c r="H52" s="45">
        <v>2.2999999999999998</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v>9.23001051374548</v>
      </c>
      <c r="E53" s="64">
        <v>3.1314425308956118</v>
      </c>
      <c r="F53" s="64" t="str">
        <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-4.7</v>
      </c>
      <c r="D54" s="45">
        <v>-4.7</v>
      </c>
      <c r="E54" s="45">
        <v>-4.2</v>
      </c>
      <c r="F54" s="45">
        <v>-3.6</v>
      </c>
      <c r="G54" s="47">
        <v>-3</v>
      </c>
      <c r="H54" s="47">
        <v>-2.5</v>
      </c>
      <c r="I54" s="47"/>
      <c r="J54" s="64"/>
      <c r="K54" s="64"/>
      <c r="L54" s="64"/>
      <c r="M54" s="22"/>
    </row>
    <row r="55" spans="1:13" customFormat="1" x14ac:dyDescent="0.45">
      <c r="A55" s="22"/>
      <c r="B55" s="135" t="str">
        <f>ScenarioName</f>
        <v>Enter scenario name</v>
      </c>
      <c r="C55" s="64" cm="1">
        <f t="array" ref="C55:H55">INDEX(
  Assessment!$17:$17,
  1,
  MATCH(MTP_BaseYear,Assessment!$4:$4,0)
    + _xlfn.SEQUENCE(1, COLUMNS(_xlfn.ANCHORARRAY(C50)), 0)
)</f>
        <v>-4.7021862880942864</v>
      </c>
      <c r="D55" s="64">
        <v>-6.7800730072966813</v>
      </c>
      <c r="E55" s="64">
        <v>-6.2822155740664396</v>
      </c>
      <c r="F55" s="64" t="str">
        <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-3.9</v>
      </c>
      <c r="D56" s="47">
        <v>-3.4</v>
      </c>
      <c r="E56" s="47">
        <v>-2.9</v>
      </c>
      <c r="F56" s="47">
        <v>-2.6</v>
      </c>
      <c r="G56" s="47">
        <v>-2.1</v>
      </c>
      <c r="H56" s="47">
        <v>-1.7</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-2.6994400000000001</v>
      </c>
      <c r="D57" s="64">
        <v>-3.9735</v>
      </c>
      <c r="E57" s="64">
        <v>-3.5701800000000001</v>
      </c>
      <c r="F57" s="64" t="str">
        <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-2.4</v>
      </c>
      <c r="D58" s="45">
        <v>-1.9</v>
      </c>
      <c r="E58" s="45">
        <v>-1.4</v>
      </c>
      <c r="F58" s="45">
        <v>-0.9</v>
      </c>
      <c r="G58" s="47">
        <v>-0.3</v>
      </c>
      <c r="H58" s="47">
        <v>0.2</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-1.4985599999999999</v>
      </c>
      <c r="D59" s="64">
        <v>-2.4877799999999999</v>
      </c>
      <c r="E59" s="64">
        <v>-1.9583200000000001</v>
      </c>
      <c r="F59" s="64" t="str">
        <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81.8</v>
      </c>
      <c r="D60" s="45">
        <v>84.3</v>
      </c>
      <c r="E60" s="45">
        <v>85.9</v>
      </c>
      <c r="F60" s="45">
        <v>86.6</v>
      </c>
      <c r="G60" s="45">
        <v>86.8</v>
      </c>
      <c r="H60" s="45">
        <v>86.5</v>
      </c>
      <c r="I60" s="45"/>
      <c r="J60" s="64"/>
      <c r="K60" s="64"/>
      <c r="L60" s="64"/>
      <c r="M60" s="22"/>
    </row>
    <row r="61" spans="1:13" customFormat="1" x14ac:dyDescent="0.45">
      <c r="A61" s="22"/>
      <c r="B61" s="135" t="str">
        <f>ScenarioName</f>
        <v>Enter scenario name</v>
      </c>
      <c r="C61" s="64" cm="1">
        <f t="array" ref="C61:H61">INDEX(
  Assessment!$20:$20,
  1,
  MATCH(MTP_BaseYear,Assessment!$4:$4,0)
    + _xlfn.SEQUENCE(1, COLUMNS(_xlfn.ANCHORARRAY(C50)), 0)
)</f>
        <v>77.771534369543787</v>
      </c>
      <c r="D61" s="64">
        <v>79.955679923964894</v>
      </c>
      <c r="E61" s="64">
        <v>81.28634231728735</v>
      </c>
      <c r="F61" s="64" t="str">
        <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3.3</v>
      </c>
      <c r="D62" s="45">
        <v>2.5</v>
      </c>
      <c r="E62" s="45">
        <v>1.6</v>
      </c>
      <c r="F62" s="45">
        <v>0.7</v>
      </c>
      <c r="G62" s="45">
        <v>0.2</v>
      </c>
      <c r="H62" s="45">
        <v>-0.4</v>
      </c>
      <c r="I62" s="45"/>
      <c r="J62" s="64"/>
      <c r="K62" s="64"/>
      <c r="L62" s="64"/>
      <c r="M62" s="22"/>
    </row>
    <row r="63" spans="1:13" customFormat="1" x14ac:dyDescent="0.45">
      <c r="A63" s="22"/>
      <c r="B63" s="135" t="str">
        <f>ScenarioName</f>
        <v>Enter scenario name</v>
      </c>
      <c r="C63" s="64" cm="1">
        <f t="array" ref="C63:H63">INDEX(
  Assessment!$21:$21,
  1,
  MATCH(MTP_BaseYear,Assessment!$4:$4,0)
    + _xlfn.SEQUENCE(1, COLUMNS(_xlfn.ANCHORARRAY(C50)), 0)
)</f>
        <v>4.2854335565683179</v>
      </c>
      <c r="D63" s="64">
        <v>4.742013359574285</v>
      </c>
      <c r="E63" s="64">
        <v>4.4771810056654546</v>
      </c>
      <c r="F63" s="64" t="str">
        <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-1.2</v>
      </c>
      <c r="D65" s="107">
        <v>0.2</v>
      </c>
      <c r="E65" s="107">
        <v>1.1000000000000001</v>
      </c>
      <c r="F65" s="107">
        <v>1.5</v>
      </c>
      <c r="G65" s="107">
        <v>1.2</v>
      </c>
      <c r="H65" s="107">
        <v>1.3</v>
      </c>
      <c r="I65" s="107"/>
      <c r="J65" s="108"/>
      <c r="K65" s="108"/>
      <c r="L65" s="108"/>
      <c r="M65" s="22"/>
    </row>
    <row r="66" spans="1:13" customFormat="1" x14ac:dyDescent="0.45">
      <c r="A66" s="22"/>
      <c r="B66" s="171" t="str">
        <f>ScenarioName</f>
        <v>Enter scenario name</v>
      </c>
      <c r="C66" s="108" cm="1">
        <f t="array" ref="C66:H66">INDEX(
  Assessment!$22:$22,
  1,
  MATCH(MTP_BaseYear,Assessment!$4:$4,0)
    + _xlfn.SEQUENCE(1, COLUMNS(_xlfn.ANCHORARRAY(C50)), 0)
)</f>
        <v>-0.78625125662632467</v>
      </c>
      <c r="D66" s="64">
        <v>-0.65907095296766638</v>
      </c>
      <c r="E66" s="64">
        <v>0.84918912942735236</v>
      </c>
      <c r="F66" s="64" t="str">
        <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3.1</v>
      </c>
      <c r="D67" s="107">
        <v>2.4</v>
      </c>
      <c r="E67" s="107">
        <v>2</v>
      </c>
      <c r="F67" s="107">
        <v>2.1</v>
      </c>
      <c r="G67" s="107">
        <v>2.1</v>
      </c>
      <c r="H67" s="107">
        <v>2.1</v>
      </c>
      <c r="I67" s="107"/>
    </row>
    <row r="68" spans="1:13" customFormat="1" x14ac:dyDescent="0.45">
      <c r="A68" s="22"/>
      <c r="B68" s="171" t="str">
        <f>ScenarioName</f>
        <v>Enter scenario name</v>
      </c>
      <c r="C68" s="108" cm="1">
        <f t="array" ref="C68:H68">INDEX(
  Assessment!$23:$23,
  1,
  MATCH(MTP_BaseYear,Assessment!$4:$4,0)
    + _xlfn.SEQUENCE(1, COLUMNS(_xlfn.ANCHORARRAY(C50)), 0)
)</f>
        <v>7.1747112690738302</v>
      </c>
      <c r="D68" s="64">
        <v>4.0868078209680192</v>
      </c>
      <c r="E68" s="64">
        <v>3.220007690657356</v>
      </c>
      <c r="F68" s="64" t="str">
        <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1.8</v>
      </c>
      <c r="D69" s="107">
        <v>2.7</v>
      </c>
      <c r="E69" s="107">
        <v>3.1</v>
      </c>
      <c r="F69" s="107">
        <v>3.5</v>
      </c>
      <c r="G69" s="107">
        <v>3.4</v>
      </c>
      <c r="H69" s="107">
        <v>3.4</v>
      </c>
      <c r="I69" s="107"/>
    </row>
    <row r="70" spans="1:13" x14ac:dyDescent="0.45">
      <c r="B70" s="171" t="str">
        <f>ScenarioName</f>
        <v>Enter scenario name</v>
      </c>
      <c r="C70" s="108" cm="1">
        <f t="array" ref="C70:H70">INDEX(
  Assessment!$24:$24,
  1,
  MATCH(MTP_BaseYear,Assessment!$4:$4,0)
    + _xlfn.SEQUENCE(1, COLUMNS(_xlfn.ANCHORARRAY(C50)), 0)
)</f>
        <v>6.3320487549350934</v>
      </c>
      <c r="D70" s="64">
        <v>3.4008019047487403</v>
      </c>
      <c r="E70" s="64">
        <v>4.0965407753604799</v>
      </c>
      <c r="F70" s="64" t="str">
        <v/>
      </c>
      <c r="G70" s="64" t="str">
        <v/>
      </c>
      <c r="H70" s="64" t="str">
        <v/>
      </c>
      <c r="I70" s="64"/>
    </row>
    <row r="71" spans="1:13" x14ac:dyDescent="0.45">
      <c r="B71" s="170" t="s">
        <v>275</v>
      </c>
      <c r="C71" s="107" cm="1">
        <f t="array" ref="C71:H71">INDEX(
  Assessment!$43:$43,
  1,
  MATCH(MTP_BaseYear,Assessment!$32:$32,0)
    + _xlfn.SEQUENCE(1, COLUMNS(_xlfn.ANCHORARRAY(C50)), 0)
)</f>
        <v>0.4</v>
      </c>
      <c r="D71" s="107">
        <v>1.1000000000000001</v>
      </c>
      <c r="E71" s="107">
        <v>1.1000000000000001</v>
      </c>
      <c r="F71" s="107">
        <v>1.1000000000000001</v>
      </c>
      <c r="G71" s="107">
        <v>1.1000000000000001</v>
      </c>
      <c r="H71" s="107">
        <v>1.1000000000000001</v>
      </c>
      <c r="I71" s="107"/>
    </row>
    <row r="72" spans="1:13" x14ac:dyDescent="0.45">
      <c r="B72" s="171" t="str">
        <f>ScenarioName</f>
        <v>Enter scenario name</v>
      </c>
      <c r="C72" s="108" cm="1">
        <f t="array" ref="C72:H72">INDEX(
  Assessment!$25:$25,
  1,
  MATCH(MTP_BaseYear,Assessment!$4:$4,0)
    + _xlfn.SEQUENCE(1, COLUMNS(_xlfn.ANCHORARRAY(C50)), 0)
)</f>
        <v>1.2811706988826943</v>
      </c>
      <c r="D72" s="64">
        <v>0.7632202426216983</v>
      </c>
      <c r="E72" s="64">
        <v>0.5049237586856492</v>
      </c>
      <c r="F72" s="64" t="str">
        <v/>
      </c>
      <c r="G72" s="64" t="str">
        <v/>
      </c>
      <c r="H72" s="64" t="str">
        <v/>
      </c>
      <c r="I72" s="64"/>
    </row>
    <row r="73" spans="1:13" x14ac:dyDescent="0.45">
      <c r="B73" s="170" t="s">
        <v>272</v>
      </c>
      <c r="C73" s="107" cm="1">
        <f t="array" ref="C73:H73">INDEX(
  Assessment!$44:$44,
  1,
  MATCH(MTP_BaseYear,Assessment!$32:$32,0)
    + _xlfn.SEQUENCE(1, COLUMNS(_xlfn.ANCHORARRAY(C50)), 0)
)</f>
        <v>-1.3</v>
      </c>
      <c r="D73" s="107">
        <v>-2.2000000000000002</v>
      </c>
      <c r="E73" s="107">
        <v>-2.2000000000000002</v>
      </c>
      <c r="F73" s="107">
        <v>-1.8</v>
      </c>
      <c r="G73" s="107">
        <v>-1.7</v>
      </c>
      <c r="H73" s="107">
        <v>-1.5</v>
      </c>
      <c r="I73" s="107"/>
    </row>
    <row r="74" spans="1:13" x14ac:dyDescent="0.45">
      <c r="B74" s="172" t="str">
        <f>ScenarioName</f>
        <v>Enter scenario name</v>
      </c>
      <c r="C74" s="109" cm="1">
        <f t="array" ref="C74:H74">INDEX(
  Assessment!$26:$26,
  1,
  MATCH(MTP_BaseYear,Assessment!$4:$4,0)
    + _xlfn.SEQUENCE(1, COLUMNS(_xlfn.ANCHORARRAY(C50)), 0)
)</f>
        <v>0.23809017880056516</v>
      </c>
      <c r="D74" s="109">
        <v>-1.1768084074108121</v>
      </c>
      <c r="E74" s="109">
        <v>-1.067841660471891</v>
      </c>
      <c r="F74" s="109" t="str">
        <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tabSelected="1"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2.6</v>
      </c>
      <c r="F6" s="164">
        <f t="shared" ref="F6:I6" si="0">G103</f>
        <v>2.2000000000000002</v>
      </c>
      <c r="G6" s="164">
        <f t="shared" si="0"/>
        <v>2.2000000000000002</v>
      </c>
      <c r="H6" s="164">
        <f t="shared" si="0"/>
        <v>2</v>
      </c>
      <c r="I6" s="164">
        <f t="shared" si="0"/>
        <v>2.2999999999999998</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-4.7</v>
      </c>
      <c r="E7" s="165">
        <f t="shared" ref="E7:I7" si="1">F105</f>
        <v>-4.7</v>
      </c>
      <c r="F7" s="165">
        <f t="shared" si="1"/>
        <v>-4.2</v>
      </c>
      <c r="G7" s="165">
        <f t="shared" si="1"/>
        <v>-3.6</v>
      </c>
      <c r="H7" s="165">
        <f t="shared" si="1"/>
        <v>-3</v>
      </c>
      <c r="I7" s="165">
        <f t="shared" si="1"/>
        <v>-2.5</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-3.9</v>
      </c>
      <c r="E8" s="165">
        <f t="shared" ref="E8:I8" si="2">F108</f>
        <v>-3.4</v>
      </c>
      <c r="F8" s="165">
        <f t="shared" si="2"/>
        <v>-2.9</v>
      </c>
      <c r="G8" s="165">
        <f t="shared" si="2"/>
        <v>-2.6</v>
      </c>
      <c r="H8" s="165">
        <f t="shared" si="2"/>
        <v>-2.1</v>
      </c>
      <c r="I8" s="165">
        <f t="shared" si="2"/>
        <v>-1.7</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-2.4</v>
      </c>
      <c r="E9" s="165">
        <f t="shared" ref="E9:I9" si="3">F109</f>
        <v>-1.9</v>
      </c>
      <c r="F9" s="165">
        <f t="shared" si="3"/>
        <v>-1.4</v>
      </c>
      <c r="G9" s="165">
        <f t="shared" si="3"/>
        <v>-0.9</v>
      </c>
      <c r="H9" s="165">
        <f t="shared" si="3"/>
        <v>-0.3</v>
      </c>
      <c r="I9" s="165">
        <f t="shared" si="3"/>
        <v>0.2</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81.8</v>
      </c>
      <c r="E10" s="165">
        <f t="shared" ref="E10:I10" si="4">F111</f>
        <v>84.3</v>
      </c>
      <c r="F10" s="165">
        <f t="shared" si="4"/>
        <v>85.9</v>
      </c>
      <c r="G10" s="165">
        <f t="shared" si="4"/>
        <v>86.6</v>
      </c>
      <c r="H10" s="165">
        <f t="shared" si="4"/>
        <v>86.8</v>
      </c>
      <c r="I10" s="165">
        <f t="shared" si="4"/>
        <v>86.5</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3.3</v>
      </c>
      <c r="E11" s="165">
        <f t="shared" ref="E11:I11" si="5">F112</f>
        <v>2.5</v>
      </c>
      <c r="F11" s="165">
        <f t="shared" si="5"/>
        <v>1.6</v>
      </c>
      <c r="G11" s="165">
        <f t="shared" si="5"/>
        <v>0.7</v>
      </c>
      <c r="H11" s="165">
        <f t="shared" si="5"/>
        <v>0.2</v>
      </c>
      <c r="I11" s="165">
        <f t="shared" si="5"/>
        <v>-0.4</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-1.2</v>
      </c>
      <c r="E12" s="165">
        <f t="shared" ref="E12:I12" si="6">F130</f>
        <v>0.2</v>
      </c>
      <c r="F12" s="165">
        <f t="shared" si="6"/>
        <v>1.1000000000000001</v>
      </c>
      <c r="G12" s="165">
        <f t="shared" si="6"/>
        <v>1.5</v>
      </c>
      <c r="H12" s="165">
        <f t="shared" si="6"/>
        <v>1.2</v>
      </c>
      <c r="I12" s="165">
        <f t="shared" si="6"/>
        <v>1.3</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3.1</v>
      </c>
      <c r="E13" s="165">
        <f t="shared" ref="E13:I13" si="7">F131</f>
        <v>2.4</v>
      </c>
      <c r="F13" s="165">
        <f t="shared" si="7"/>
        <v>2</v>
      </c>
      <c r="G13" s="165">
        <f t="shared" si="7"/>
        <v>2.1</v>
      </c>
      <c r="H13" s="165">
        <f t="shared" si="7"/>
        <v>2.1</v>
      </c>
      <c r="I13" s="165">
        <f t="shared" si="7"/>
        <v>2.1</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1.8</v>
      </c>
      <c r="E14" s="165">
        <f t="shared" ref="E14:I14" si="8">F132</f>
        <v>2.7</v>
      </c>
      <c r="F14" s="165">
        <f t="shared" si="8"/>
        <v>3.1</v>
      </c>
      <c r="G14" s="165">
        <f t="shared" si="8"/>
        <v>3.5</v>
      </c>
      <c r="H14" s="165">
        <f t="shared" si="8"/>
        <v>3.4</v>
      </c>
      <c r="I14" s="165">
        <f t="shared" si="8"/>
        <v>3.4</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0.4</v>
      </c>
      <c r="E15" s="37">
        <f t="shared" ref="E15:I15" si="9">F161</f>
        <v>1.1000000000000001</v>
      </c>
      <c r="F15" s="37">
        <f t="shared" si="9"/>
        <v>1.1000000000000001</v>
      </c>
      <c r="G15" s="37">
        <f t="shared" si="9"/>
        <v>1.1000000000000001</v>
      </c>
      <c r="H15" s="37">
        <f t="shared" si="9"/>
        <v>1.1000000000000001</v>
      </c>
      <c r="I15" s="37">
        <f t="shared" si="9"/>
        <v>1.1000000000000001</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-1.3</v>
      </c>
      <c r="E16" s="164">
        <f t="shared" ref="E16:I16" si="10">F167</f>
        <v>-2.2000000000000002</v>
      </c>
      <c r="F16" s="164">
        <f t="shared" si="10"/>
        <v>-2.2000000000000002</v>
      </c>
      <c r="G16" s="164">
        <f t="shared" si="10"/>
        <v>-1.8</v>
      </c>
      <c r="H16" s="164">
        <f t="shared" si="10"/>
        <v>-1.7</v>
      </c>
      <c r="I16" s="164">
        <f t="shared" si="10"/>
        <v>-1.5</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Austria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-2.6</v>
      </c>
      <c r="E25" s="253">
        <f t="shared" ref="E25:S25" si="11">F173</f>
        <v>-4.7</v>
      </c>
      <c r="F25" s="253">
        <f t="shared" si="11"/>
        <v>-4.7</v>
      </c>
      <c r="G25" s="253">
        <f t="shared" si="11"/>
        <v>-4.2</v>
      </c>
      <c r="H25" s="253">
        <f t="shared" si="11"/>
        <v>-3.6</v>
      </c>
      <c r="I25" s="253">
        <f t="shared" si="11"/>
        <v>-3</v>
      </c>
      <c r="J25" s="253">
        <f t="shared" si="11"/>
        <v>-2.5</v>
      </c>
      <c r="K25" s="253">
        <f t="shared" si="11"/>
        <v>-2.1</v>
      </c>
      <c r="L25" s="253">
        <f t="shared" si="11"/>
        <v>-1.6</v>
      </c>
      <c r="M25" s="253">
        <f t="shared" si="11"/>
        <v>-1.5</v>
      </c>
      <c r="N25" s="253">
        <f t="shared" si="11"/>
        <v>-1.3</v>
      </c>
      <c r="O25" s="253">
        <f t="shared" si="11"/>
        <v>-1.2</v>
      </c>
      <c r="P25" s="253">
        <f t="shared" si="11"/>
        <v>-1.2</v>
      </c>
      <c r="Q25" s="253">
        <f t="shared" si="11"/>
        <v>-1.3</v>
      </c>
      <c r="R25" s="253">
        <f t="shared" si="11"/>
        <v>-1.3</v>
      </c>
      <c r="S25" s="253">
        <f t="shared" si="11"/>
        <v>-1.4</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78.5</v>
      </c>
      <c r="E27" s="253">
        <f t="shared" ref="E27:S27" si="12">F172</f>
        <v>81.8</v>
      </c>
      <c r="F27" s="253">
        <f t="shared" si="12"/>
        <v>84.3</v>
      </c>
      <c r="G27" s="253">
        <f t="shared" si="12"/>
        <v>85.9</v>
      </c>
      <c r="H27" s="253">
        <f t="shared" si="12"/>
        <v>86.6</v>
      </c>
      <c r="I27" s="253">
        <f t="shared" si="12"/>
        <v>86.8</v>
      </c>
      <c r="J27" s="253">
        <f t="shared" si="12"/>
        <v>86.5</v>
      </c>
      <c r="K27" s="253">
        <f t="shared" si="12"/>
        <v>85.7</v>
      </c>
      <c r="L27" s="253">
        <f t="shared" si="12"/>
        <v>84.4</v>
      </c>
      <c r="M27" s="253">
        <f t="shared" si="12"/>
        <v>82.8</v>
      </c>
      <c r="N27" s="253">
        <f t="shared" si="12"/>
        <v>81</v>
      </c>
      <c r="O27" s="253">
        <f t="shared" si="12"/>
        <v>79.2</v>
      </c>
      <c r="P27" s="253">
        <f t="shared" si="12"/>
        <v>77.8</v>
      </c>
      <c r="Q27" s="253">
        <f t="shared" si="12"/>
        <v>76.5</v>
      </c>
      <c r="R27" s="253">
        <f t="shared" si="12"/>
        <v>75.3</v>
      </c>
      <c r="S27" s="253">
        <f t="shared" si="12"/>
        <v>74.2</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78.5</v>
      </c>
      <c r="E29" s="253">
        <f t="shared" ref="E29:S29" si="13">F206</f>
        <v>81.8</v>
      </c>
      <c r="F29" s="253">
        <f t="shared" si="13"/>
        <v>84.6</v>
      </c>
      <c r="G29" s="253">
        <f t="shared" si="13"/>
        <v>87.2</v>
      </c>
      <c r="H29" s="253">
        <f t="shared" si="13"/>
        <v>89.5</v>
      </c>
      <c r="I29" s="253">
        <f t="shared" si="13"/>
        <v>91.7</v>
      </c>
      <c r="J29" s="253">
        <f t="shared" si="13"/>
        <v>93.7</v>
      </c>
      <c r="K29" s="253">
        <f t="shared" si="13"/>
        <v>96.4</v>
      </c>
      <c r="L29" s="253">
        <f t="shared" si="13"/>
        <v>99.3</v>
      </c>
      <c r="M29" s="253">
        <f t="shared" si="13"/>
        <v>102.2</v>
      </c>
      <c r="N29" s="253">
        <f t="shared" si="13"/>
        <v>105.3</v>
      </c>
      <c r="O29" s="253">
        <f t="shared" si="13"/>
        <v>108.5</v>
      </c>
      <c r="P29" s="253">
        <f t="shared" si="13"/>
        <v>111.9</v>
      </c>
      <c r="Q29" s="253">
        <f t="shared" si="13"/>
        <v>115.3</v>
      </c>
      <c r="R29" s="253">
        <f t="shared" si="13"/>
        <v>118.9</v>
      </c>
      <c r="S29" s="253">
        <f t="shared" si="13"/>
        <v>122.6</v>
      </c>
      <c r="T29" s="253" t="s">
        <v>698</v>
      </c>
      <c r="U29" s="253" t="s">
        <v>698</v>
      </c>
      <c r="V29" s="253" t="s">
        <v>698</v>
      </c>
      <c r="W29" s="253" t="s">
        <v>698</v>
      </c>
      <c r="X29" s="37"/>
      <c r="Y29" s="37"/>
      <c r="Z29" s="14"/>
    </row>
    <row r="30" spans="1:26" s="14" customFormat="1" x14ac:dyDescent="0.4">
      <c r="A30"/>
      <c r="B30" s="46" t="s">
        <v>286</v>
      </c>
      <c r="D30" s="253">
        <f t="shared" ref="D30:S30" si="14">E189</f>
        <v>78.5</v>
      </c>
      <c r="E30" s="253">
        <f t="shared" si="14"/>
        <v>81.8</v>
      </c>
      <c r="F30" s="253">
        <f t="shared" si="14"/>
        <v>84.3</v>
      </c>
      <c r="G30" s="253">
        <f t="shared" si="14"/>
        <v>85.9</v>
      </c>
      <c r="H30" s="253">
        <f t="shared" si="14"/>
        <v>86.6</v>
      </c>
      <c r="I30" s="253">
        <f t="shared" si="14"/>
        <v>86.8</v>
      </c>
      <c r="J30" s="253">
        <f t="shared" si="14"/>
        <v>86.5</v>
      </c>
      <c r="K30" s="253">
        <f t="shared" si="14"/>
        <v>85.7</v>
      </c>
      <c r="L30" s="253">
        <f t="shared" si="14"/>
        <v>84.4</v>
      </c>
      <c r="M30" s="253">
        <f t="shared" si="14"/>
        <v>82.9</v>
      </c>
      <c r="N30" s="253">
        <f t="shared" si="14"/>
        <v>81.3</v>
      </c>
      <c r="O30" s="253">
        <f t="shared" si="14"/>
        <v>79.5</v>
      </c>
      <c r="P30" s="253">
        <f t="shared" si="14"/>
        <v>78.099999999999994</v>
      </c>
      <c r="Q30" s="253">
        <f t="shared" si="14"/>
        <v>76.900000000000006</v>
      </c>
      <c r="R30" s="253">
        <f t="shared" si="14"/>
        <v>75.8</v>
      </c>
      <c r="S30" s="253">
        <f t="shared" si="14"/>
        <v>74.7</v>
      </c>
      <c r="T30" s="253" t="s">
        <v>698</v>
      </c>
      <c r="U30" s="253" t="s">
        <v>698</v>
      </c>
      <c r="V30" s="253" t="s">
        <v>698</v>
      </c>
      <c r="W30" s="253" t="s">
        <v>698</v>
      </c>
      <c r="X30" s="37"/>
      <c r="Y30" s="37"/>
    </row>
    <row r="31" spans="1:26" s="14" customFormat="1" x14ac:dyDescent="0.4">
      <c r="A31"/>
      <c r="B31" s="46" t="s">
        <v>287</v>
      </c>
      <c r="D31" s="253">
        <f t="shared" ref="D31:S31" si="15">E193</f>
        <v>78.5</v>
      </c>
      <c r="E31" s="253">
        <f t="shared" si="15"/>
        <v>81.8</v>
      </c>
      <c r="F31" s="253">
        <f t="shared" si="15"/>
        <v>84.3</v>
      </c>
      <c r="G31" s="253">
        <f t="shared" si="15"/>
        <v>85.9</v>
      </c>
      <c r="H31" s="253">
        <f t="shared" si="15"/>
        <v>86.6</v>
      </c>
      <c r="I31" s="253">
        <f t="shared" si="15"/>
        <v>86.8</v>
      </c>
      <c r="J31" s="253">
        <f t="shared" si="15"/>
        <v>86.5</v>
      </c>
      <c r="K31" s="253">
        <f t="shared" si="15"/>
        <v>85.7</v>
      </c>
      <c r="L31" s="253">
        <f t="shared" si="15"/>
        <v>84.4</v>
      </c>
      <c r="M31" s="253">
        <f t="shared" si="15"/>
        <v>82.8</v>
      </c>
      <c r="N31" s="253">
        <f t="shared" si="15"/>
        <v>81.400000000000006</v>
      </c>
      <c r="O31" s="253">
        <f t="shared" si="15"/>
        <v>80.400000000000006</v>
      </c>
      <c r="P31" s="253">
        <f t="shared" si="15"/>
        <v>79.5</v>
      </c>
      <c r="Q31" s="253">
        <f t="shared" si="15"/>
        <v>78.7</v>
      </c>
      <c r="R31" s="253">
        <f t="shared" si="15"/>
        <v>78</v>
      </c>
      <c r="S31" s="253">
        <f t="shared" si="15"/>
        <v>77.400000000000006</v>
      </c>
      <c r="T31" s="253" t="s">
        <v>698</v>
      </c>
      <c r="U31" s="253" t="s">
        <v>698</v>
      </c>
      <c r="V31" s="253" t="s">
        <v>698</v>
      </c>
      <c r="W31" s="253" t="s">
        <v>698</v>
      </c>
      <c r="X31" s="37"/>
      <c r="Y31" s="37"/>
    </row>
    <row r="32" spans="1:26" x14ac:dyDescent="0.4">
      <c r="B32" s="46" t="s">
        <v>288</v>
      </c>
      <c r="C32" s="14"/>
      <c r="D32" s="253">
        <f t="shared" ref="D32:S32" si="16">E196</f>
        <v>78.5</v>
      </c>
      <c r="E32" s="253">
        <f t="shared" si="16"/>
        <v>81.8</v>
      </c>
      <c r="F32" s="253">
        <f t="shared" si="16"/>
        <v>84.3</v>
      </c>
      <c r="G32" s="253">
        <f t="shared" si="16"/>
        <v>85.9</v>
      </c>
      <c r="H32" s="253">
        <f t="shared" si="16"/>
        <v>86.6</v>
      </c>
      <c r="I32" s="253">
        <f t="shared" si="16"/>
        <v>86.8</v>
      </c>
      <c r="J32" s="253">
        <f t="shared" si="16"/>
        <v>86.5</v>
      </c>
      <c r="K32" s="253">
        <f t="shared" si="16"/>
        <v>85.7</v>
      </c>
      <c r="L32" s="253">
        <f t="shared" si="16"/>
        <v>84.4</v>
      </c>
      <c r="M32" s="253">
        <f t="shared" si="16"/>
        <v>83.3</v>
      </c>
      <c r="N32" s="253">
        <f t="shared" si="16"/>
        <v>82</v>
      </c>
      <c r="O32" s="253">
        <f t="shared" si="16"/>
        <v>80.7</v>
      </c>
      <c r="P32" s="253">
        <f t="shared" si="16"/>
        <v>79.900000000000006</v>
      </c>
      <c r="Q32" s="253">
        <f t="shared" si="16"/>
        <v>79.2</v>
      </c>
      <c r="R32" s="253">
        <f t="shared" si="16"/>
        <v>78.599999999999994</v>
      </c>
      <c r="S32" s="253">
        <f t="shared" si="16"/>
        <v>78.099999999999994</v>
      </c>
      <c r="T32" s="253" t="s">
        <v>698</v>
      </c>
      <c r="U32" s="253" t="s">
        <v>698</v>
      </c>
      <c r="V32" s="253" t="s">
        <v>698</v>
      </c>
      <c r="W32" s="253" t="s">
        <v>698</v>
      </c>
      <c r="X32" s="37"/>
      <c r="Y32" s="37"/>
      <c r="Z32" s="14"/>
    </row>
    <row r="33" spans="1:26" x14ac:dyDescent="0.4">
      <c r="B33" s="61" t="s">
        <v>355</v>
      </c>
      <c r="C33" s="19"/>
      <c r="D33" s="119">
        <f>E202</f>
        <v>74.400000000000006</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v>1.1375734655168435</v>
      </c>
      <c r="G39" s="252">
        <v>0.84178076551684322</v>
      </c>
      <c r="H39" s="252">
        <v>1.1492923905168433</v>
      </c>
      <c r="I39" s="252">
        <v>1.134393115516843</v>
      </c>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7.2602828363552012</v>
      </c>
      <c r="E44" s="253">
        <v>6.7125514564843431</v>
      </c>
      <c r="F44" s="253">
        <v>1.1375734655168435</v>
      </c>
      <c r="G44" s="253">
        <v>0.84178076551684322</v>
      </c>
      <c r="H44" s="253">
        <v>1.1492923905168433</v>
      </c>
      <c r="I44" s="253">
        <v>1.134393115516843</v>
      </c>
      <c r="J44" s="253">
        <v>3.0800088749999999</v>
      </c>
      <c r="K44" s="253">
        <v>3.2288854999999996</v>
      </c>
      <c r="L44" s="253">
        <v>3.2983541250000004</v>
      </c>
      <c r="M44" s="253">
        <v>3.3506487500000004</v>
      </c>
      <c r="N44" s="253">
        <v>3.4082783750000001</v>
      </c>
      <c r="O44" s="253">
        <v>3.5118450000000001</v>
      </c>
      <c r="P44" s="253">
        <v>3.5752160000000002</v>
      </c>
      <c r="Q44" s="253">
        <v>3.6385870000000002</v>
      </c>
      <c r="R44" s="253">
        <v>3.7019589999999996</v>
      </c>
      <c r="S44" s="253">
        <v>3.7481670000000005</v>
      </c>
      <c r="T44" s="253"/>
      <c r="U44" s="253"/>
      <c r="V44" s="253"/>
      <c r="W44" s="253"/>
    </row>
    <row r="45" spans="1:26" x14ac:dyDescent="0.4">
      <c r="B45" s="46" t="s">
        <v>206</v>
      </c>
      <c r="C45" s="14"/>
      <c r="D45" s="253">
        <v>-2.6198642520789712</v>
      </c>
      <c r="E45" s="253">
        <v>-3.6046387709519001</v>
      </c>
      <c r="F45" s="253">
        <v>-3.0043645179910756</v>
      </c>
      <c r="G45" s="253">
        <v>-1.9557163380106286</v>
      </c>
      <c r="H45" s="253">
        <v>-1.1228680689361459</v>
      </c>
      <c r="I45" s="253">
        <v>-0.24046993882586598</v>
      </c>
      <c r="J45" s="253">
        <v>3.0716137670885324E-2</v>
      </c>
      <c r="K45" s="253">
        <v>0.31041978038643636</v>
      </c>
      <c r="L45" s="253">
        <v>0.60498470183076436</v>
      </c>
      <c r="M45" s="253">
        <v>0.52003662002043338</v>
      </c>
      <c r="N45" s="253">
        <v>0.47882996205018791</v>
      </c>
      <c r="O45" s="253">
        <v>0.41047317810452055</v>
      </c>
      <c r="P45" s="253">
        <v>0.38088306377484282</v>
      </c>
      <c r="Q45" s="253">
        <v>0.37092918824249566</v>
      </c>
      <c r="R45" s="253">
        <v>0.37396737230411481</v>
      </c>
      <c r="S45" s="253">
        <v>0.39504506431583963</v>
      </c>
      <c r="T45" s="253"/>
      <c r="U45" s="253"/>
      <c r="V45" s="253"/>
      <c r="W45" s="253"/>
    </row>
    <row r="46" spans="1:26" x14ac:dyDescent="0.4">
      <c r="B46" s="46" t="s">
        <v>3</v>
      </c>
      <c r="C46" s="14"/>
      <c r="D46" s="253">
        <v>-1.399295</v>
      </c>
      <c r="E46" s="253">
        <v>-1.3351299999999999</v>
      </c>
      <c r="F46" s="253">
        <v>-0.35512999999999995</v>
      </c>
      <c r="G46" s="253">
        <v>0.62487000000000004</v>
      </c>
      <c r="H46" s="253">
        <v>1.60487</v>
      </c>
      <c r="I46" s="253">
        <v>2.58487</v>
      </c>
      <c r="J46" s="253">
        <v>2.58487</v>
      </c>
      <c r="K46" s="253">
        <v>2.58487</v>
      </c>
      <c r="L46" s="253">
        <v>2.58487</v>
      </c>
      <c r="M46" s="253">
        <v>2.58487</v>
      </c>
      <c r="N46" s="253">
        <v>2.58487</v>
      </c>
      <c r="O46" s="253">
        <v>2.58487</v>
      </c>
      <c r="P46" s="253">
        <v>2.58487</v>
      </c>
      <c r="Q46" s="253">
        <v>2.58487</v>
      </c>
      <c r="R46" s="253">
        <v>2.58487</v>
      </c>
      <c r="S46" s="253">
        <v>2.58487</v>
      </c>
      <c r="T46" s="253"/>
      <c r="U46" s="253"/>
      <c r="V46" s="253"/>
      <c r="W46" s="253"/>
    </row>
    <row r="47" spans="1:26" s="14" customFormat="1" x14ac:dyDescent="0.4">
      <c r="A47"/>
      <c r="B47" s="46" t="s">
        <v>1</v>
      </c>
      <c r="D47" s="253">
        <v>78.551901298157986</v>
      </c>
      <c r="E47" s="253">
        <v>79.538050043568091</v>
      </c>
      <c r="F47" s="253">
        <v>80.81308351777497</v>
      </c>
      <c r="G47" s="253">
        <v>80.673518010562546</v>
      </c>
      <c r="H47" s="253">
        <v>79.484335796243897</v>
      </c>
      <c r="I47" s="253">
        <v>77.440287313107248</v>
      </c>
      <c r="J47" s="253">
        <v>74.560907903721599</v>
      </c>
      <c r="K47" s="253">
        <v>71.405877847092583</v>
      </c>
      <c r="L47" s="253">
        <v>68.033122681889225</v>
      </c>
      <c r="M47" s="253">
        <v>65.291541962624549</v>
      </c>
      <c r="N47" s="253">
        <v>62.645116436373293</v>
      </c>
      <c r="O47" s="253">
        <v>60.093322914132514</v>
      </c>
      <c r="P47" s="253">
        <v>57.62190382259854</v>
      </c>
      <c r="Q47" s="253">
        <v>55.211529192724086</v>
      </c>
      <c r="R47" s="253">
        <v>52.850057829371522</v>
      </c>
      <c r="S47" s="253">
        <v>50.529237044731246</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v>78.551901298157986</v>
      </c>
      <c r="E49" s="119">
        <v>79.538050043568091</v>
      </c>
      <c r="F49" s="119">
        <v>81.103648753972152</v>
      </c>
      <c r="G49" s="119">
        <v>82.346816854482967</v>
      </c>
      <c r="H49" s="119">
        <v>83.685624788627408</v>
      </c>
      <c r="I49" s="119">
        <v>85.13008691493205</v>
      </c>
      <c r="J49" s="119">
        <v>86.551547339642326</v>
      </c>
      <c r="K49" s="119">
        <v>88.252350680787899</v>
      </c>
      <c r="L49" s="119">
        <v>90.083900230628458</v>
      </c>
      <c r="M49" s="119">
        <v>92.048535743907422</v>
      </c>
      <c r="N49" s="119">
        <v>94.095948946978879</v>
      </c>
      <c r="O49" s="119">
        <v>96.21094737665689</v>
      </c>
      <c r="P49" s="119">
        <v>98.382509443827914</v>
      </c>
      <c r="Q49" s="119">
        <v>100.58691520000578</v>
      </c>
      <c r="R49" s="119">
        <v>102.80776089381729</v>
      </c>
      <c r="S49" s="119">
        <v>105.04107640019653</v>
      </c>
      <c r="T49" s="253"/>
      <c r="U49" s="253"/>
      <c r="V49" s="253"/>
      <c r="W49" s="253"/>
      <c r="X49"/>
    </row>
    <row r="50" spans="1:26" s="14" customFormat="1" ht="16.899999999999999" customHeight="1" x14ac:dyDescent="0.4">
      <c r="A50"/>
      <c r="B50" s="46" t="s">
        <v>286</v>
      </c>
      <c r="D50" s="119">
        <v>78.551901298157986</v>
      </c>
      <c r="E50" s="119">
        <v>79.538050043568091</v>
      </c>
      <c r="F50" s="119">
        <v>80.81308351777497</v>
      </c>
      <c r="G50" s="119">
        <v>80.673518010562546</v>
      </c>
      <c r="H50" s="119">
        <v>79.484335796243897</v>
      </c>
      <c r="I50" s="119">
        <v>77.440287313107248</v>
      </c>
      <c r="J50" s="119">
        <v>74.689700151341128</v>
      </c>
      <c r="K50" s="119">
        <v>71.598613516780418</v>
      </c>
      <c r="L50" s="119">
        <v>68.279914228421305</v>
      </c>
      <c r="M50" s="119">
        <v>65.585931453721727</v>
      </c>
      <c r="N50" s="119">
        <v>62.980371044126336</v>
      </c>
      <c r="O50" s="119">
        <v>60.463451037553412</v>
      </c>
      <c r="P50" s="119">
        <v>58.021665626564065</v>
      </c>
      <c r="Q50" s="119">
        <v>55.636318907667665</v>
      </c>
      <c r="R50" s="119">
        <v>53.295828882791341</v>
      </c>
      <c r="S50" s="119">
        <v>50.992514790521994</v>
      </c>
      <c r="T50" s="253"/>
      <c r="U50" s="253"/>
      <c r="V50" s="253"/>
      <c r="W50" s="253"/>
      <c r="X50"/>
    </row>
    <row r="51" spans="1:26" s="14" customFormat="1" x14ac:dyDescent="0.4">
      <c r="A51"/>
      <c r="B51" s="46" t="s">
        <v>287</v>
      </c>
      <c r="D51" s="119">
        <v>78.551901298157986</v>
      </c>
      <c r="E51" s="119">
        <v>79.538050043568091</v>
      </c>
      <c r="F51" s="119">
        <v>80.81308351777497</v>
      </c>
      <c r="G51" s="119">
        <v>80.673518010562546</v>
      </c>
      <c r="H51" s="119">
        <v>79.484335796243897</v>
      </c>
      <c r="I51" s="119">
        <v>77.440287313107248</v>
      </c>
      <c r="J51" s="119">
        <v>74.566778455596193</v>
      </c>
      <c r="K51" s="119">
        <v>71.946909901702824</v>
      </c>
      <c r="L51" s="119">
        <v>69.641638352759955</v>
      </c>
      <c r="M51" s="119">
        <v>67.369016940439678</v>
      </c>
      <c r="N51" s="119">
        <v>65.080180317170004</v>
      </c>
      <c r="O51" s="119">
        <v>63.018812708837054</v>
      </c>
      <c r="P51" s="119">
        <v>61.03448902686506</v>
      </c>
      <c r="Q51" s="119">
        <v>59.107467776309292</v>
      </c>
      <c r="R51" s="119">
        <v>57.225172250591115</v>
      </c>
      <c r="S51" s="119">
        <v>55.379639314282869</v>
      </c>
      <c r="T51" s="253"/>
      <c r="U51" s="253"/>
      <c r="V51" s="253"/>
      <c r="W51" s="253"/>
      <c r="X51"/>
    </row>
    <row r="52" spans="1:26" ht="20.25" customHeight="1" x14ac:dyDescent="0.4">
      <c r="B52" s="46" t="s">
        <v>288</v>
      </c>
      <c r="C52" s="14"/>
      <c r="D52" s="119">
        <v>78.551901298157986</v>
      </c>
      <c r="E52" s="119">
        <v>79.538050043568091</v>
      </c>
      <c r="F52" s="119">
        <v>80.81308351777497</v>
      </c>
      <c r="G52" s="119">
        <v>80.673518010562546</v>
      </c>
      <c r="H52" s="119">
        <v>79.484335796243897</v>
      </c>
      <c r="I52" s="119">
        <v>77.440287313107248</v>
      </c>
      <c r="J52" s="119">
        <v>75.004992289764871</v>
      </c>
      <c r="K52" s="119">
        <v>72.305007229714292</v>
      </c>
      <c r="L52" s="119">
        <v>69.390940360032289</v>
      </c>
      <c r="M52" s="119">
        <v>67.117645266000508</v>
      </c>
      <c r="N52" s="119">
        <v>64.940665998724739</v>
      </c>
      <c r="O52" s="119">
        <v>62.855850013326645</v>
      </c>
      <c r="P52" s="119">
        <v>60.847203639247176</v>
      </c>
      <c r="Q52" s="119">
        <v>58.893394977319566</v>
      </c>
      <c r="R52" s="119">
        <v>56.98035216332871</v>
      </c>
      <c r="S52" s="119">
        <v>55.098833611471441</v>
      </c>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v>79.484335796243897</v>
      </c>
      <c r="I54" s="253">
        <v>77.440287313107248</v>
      </c>
      <c r="J54" s="253">
        <v>68.026850286534099</v>
      </c>
      <c r="K54" s="253">
        <v>62.189103860276177</v>
      </c>
      <c r="L54" s="253">
        <v>56.957507752690006</v>
      </c>
      <c r="M54" s="253">
        <v>52.667045502663612</v>
      </c>
      <c r="N54" s="253">
        <v>48.473821270357668</v>
      </c>
      <c r="O54" s="253"/>
      <c r="P54" s="253"/>
      <c r="Q54" s="253"/>
      <c r="R54" s="253"/>
      <c r="S54" s="253"/>
      <c r="T54" s="253"/>
      <c r="U54" s="253"/>
      <c r="V54" s="253"/>
      <c r="W54" s="253"/>
      <c r="Y54" s="14"/>
      <c r="Z54" s="14"/>
    </row>
    <row r="55" spans="1:26" x14ac:dyDescent="0.4">
      <c r="B55" s="82" t="s">
        <v>318</v>
      </c>
      <c r="C55" s="14"/>
      <c r="D55" s="253"/>
      <c r="E55" s="253"/>
      <c r="F55" s="253"/>
      <c r="G55" s="253"/>
      <c r="H55" s="253">
        <v>0</v>
      </c>
      <c r="I55" s="253">
        <v>0</v>
      </c>
      <c r="J55" s="253">
        <v>3.9434051513671875</v>
      </c>
      <c r="K55" s="253">
        <v>5.35260009765625</v>
      </c>
      <c r="L55" s="253">
        <v>6.437591552734375</v>
      </c>
      <c r="M55" s="253">
        <v>7.4634780883789063</v>
      </c>
      <c r="N55" s="253">
        <v>8.372589111328125</v>
      </c>
      <c r="O55" s="253"/>
      <c r="P55" s="253"/>
      <c r="Q55" s="253"/>
      <c r="R55" s="253"/>
      <c r="S55" s="253"/>
      <c r="T55" s="253"/>
      <c r="U55" s="253"/>
      <c r="V55" s="253"/>
      <c r="W55" s="253"/>
      <c r="Y55" s="14"/>
      <c r="Z55" s="14"/>
    </row>
    <row r="56" spans="1:26" x14ac:dyDescent="0.4">
      <c r="B56" s="82" t="s">
        <v>319</v>
      </c>
      <c r="C56" s="14"/>
      <c r="D56" s="253"/>
      <c r="E56" s="253"/>
      <c r="F56" s="253"/>
      <c r="G56" s="253"/>
      <c r="H56" s="253">
        <v>0</v>
      </c>
      <c r="I56" s="253">
        <v>0</v>
      </c>
      <c r="J56" s="253">
        <v>2.5906524658203125</v>
      </c>
      <c r="K56" s="253">
        <v>3.8641738891601563</v>
      </c>
      <c r="L56" s="253">
        <v>4.6380233764648438</v>
      </c>
      <c r="M56" s="253">
        <v>5.1610183715820313</v>
      </c>
      <c r="N56" s="253">
        <v>5.7987060546875</v>
      </c>
      <c r="O56" s="253"/>
      <c r="P56" s="253"/>
      <c r="Q56" s="253"/>
      <c r="R56" s="253"/>
      <c r="S56" s="253"/>
      <c r="T56" s="253"/>
      <c r="U56" s="253"/>
      <c r="V56" s="253"/>
      <c r="W56" s="253"/>
      <c r="Y56" s="14"/>
      <c r="Z56" s="14"/>
    </row>
    <row r="57" spans="1:26" x14ac:dyDescent="0.4">
      <c r="B57" s="82" t="s">
        <v>320</v>
      </c>
      <c r="C57" s="14"/>
      <c r="D57" s="253"/>
      <c r="E57" s="253"/>
      <c r="F57" s="253"/>
      <c r="G57" s="253"/>
      <c r="H57" s="253">
        <v>0</v>
      </c>
      <c r="I57" s="253">
        <v>0</v>
      </c>
      <c r="J57" s="253">
        <v>2.65289306640625</v>
      </c>
      <c r="K57" s="253">
        <v>3.75189208984375</v>
      </c>
      <c r="L57" s="253">
        <v>4.4892959594726563</v>
      </c>
      <c r="M57" s="253">
        <v>5.1950912475585938</v>
      </c>
      <c r="N57" s="253">
        <v>6.1019744873046875</v>
      </c>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v>0</v>
      </c>
      <c r="I58" s="253">
        <v>0</v>
      </c>
      <c r="J58" s="253">
        <v>3.974365234375</v>
      </c>
      <c r="K58" s="253">
        <v>5.5295944213867188</v>
      </c>
      <c r="L58" s="253">
        <v>6.765289306640625</v>
      </c>
      <c r="M58" s="253">
        <v>7.7694549560546875</v>
      </c>
      <c r="N58" s="253">
        <v>8.37042236328125</v>
      </c>
      <c r="O58" s="253"/>
      <c r="P58" s="253"/>
      <c r="Q58" s="253"/>
      <c r="R58" s="253"/>
      <c r="S58" s="253"/>
      <c r="T58" s="253"/>
      <c r="U58" s="253"/>
      <c r="V58" s="253"/>
      <c r="W58" s="253"/>
      <c r="X58"/>
    </row>
    <row r="59" spans="1:26" s="14" customFormat="1" x14ac:dyDescent="0.4">
      <c r="A59"/>
      <c r="B59" s="82" t="s">
        <v>317</v>
      </c>
      <c r="D59" s="253"/>
      <c r="E59" s="253"/>
      <c r="F59" s="253"/>
      <c r="G59" s="253"/>
      <c r="H59" s="253">
        <v>79.484335796243897</v>
      </c>
      <c r="I59" s="253">
        <v>77.440287313107248</v>
      </c>
      <c r="J59" s="253">
        <v>68.026850286534099</v>
      </c>
      <c r="K59" s="253">
        <v>62.189103860276177</v>
      </c>
      <c r="L59" s="253">
        <v>56.957507752690006</v>
      </c>
      <c r="M59" s="253">
        <v>52.667045502663612</v>
      </c>
      <c r="N59" s="253">
        <v>48.473821270357668</v>
      </c>
      <c r="O59" s="253"/>
      <c r="P59" s="253"/>
      <c r="Q59" s="253"/>
      <c r="R59" s="253"/>
      <c r="S59" s="253"/>
      <c r="T59" s="253"/>
      <c r="U59" s="253"/>
      <c r="V59" s="253"/>
      <c r="W59" s="253"/>
      <c r="X59"/>
    </row>
    <row r="60" spans="1:26" s="14" customFormat="1" x14ac:dyDescent="0.4">
      <c r="A60"/>
      <c r="B60" s="82" t="s">
        <v>322</v>
      </c>
      <c r="D60" s="253"/>
      <c r="E60" s="253"/>
      <c r="F60" s="253"/>
      <c r="G60" s="253"/>
      <c r="H60" s="253">
        <v>79.484335796243897</v>
      </c>
      <c r="I60" s="253">
        <v>77.440287313107248</v>
      </c>
      <c r="J60" s="253">
        <v>71.970255437901287</v>
      </c>
      <c r="K60" s="253">
        <v>67.541703957932427</v>
      </c>
      <c r="L60" s="253">
        <v>63.395099305424381</v>
      </c>
      <c r="M60" s="253">
        <v>60.130523591042518</v>
      </c>
      <c r="N60" s="253">
        <v>56.846410381685793</v>
      </c>
      <c r="O60" s="253"/>
      <c r="P60" s="253"/>
      <c r="Q60" s="253"/>
      <c r="R60" s="253"/>
      <c r="S60" s="253"/>
      <c r="T60" s="253"/>
      <c r="U60" s="253"/>
      <c r="V60" s="253"/>
      <c r="W60" s="253"/>
      <c r="X60" s="70"/>
      <c r="Y60"/>
      <c r="Z60"/>
    </row>
    <row r="61" spans="1:26" s="14" customFormat="1" x14ac:dyDescent="0.4">
      <c r="A61"/>
      <c r="B61" s="82" t="s">
        <v>323</v>
      </c>
      <c r="D61" s="253"/>
      <c r="E61" s="253"/>
      <c r="F61" s="253"/>
      <c r="G61" s="253"/>
      <c r="H61" s="253">
        <v>79.484335796243897</v>
      </c>
      <c r="I61" s="253">
        <v>77.440287313107248</v>
      </c>
      <c r="J61" s="253">
        <v>74.560907903721599</v>
      </c>
      <c r="K61" s="253">
        <v>71.405877847092583</v>
      </c>
      <c r="L61" s="253">
        <v>68.033122681889225</v>
      </c>
      <c r="M61" s="253">
        <v>65.291541962624549</v>
      </c>
      <c r="N61" s="253">
        <v>62.645116436373293</v>
      </c>
      <c r="O61" s="253"/>
      <c r="P61" s="253"/>
      <c r="Q61" s="253"/>
      <c r="R61" s="253"/>
      <c r="S61" s="253"/>
      <c r="T61" s="253"/>
      <c r="U61" s="253"/>
      <c r="V61" s="253"/>
      <c r="W61" s="253"/>
      <c r="X61" s="70"/>
      <c r="Y61"/>
      <c r="Z61"/>
    </row>
    <row r="62" spans="1:26" s="14" customFormat="1" x14ac:dyDescent="0.4">
      <c r="A62"/>
      <c r="B62" s="82" t="s">
        <v>324</v>
      </c>
      <c r="D62" s="253"/>
      <c r="E62" s="253"/>
      <c r="F62" s="253"/>
      <c r="G62" s="253"/>
      <c r="H62" s="253">
        <v>79.484335796243897</v>
      </c>
      <c r="I62" s="253">
        <v>77.440287313107248</v>
      </c>
      <c r="J62" s="253">
        <v>77.213800970127849</v>
      </c>
      <c r="K62" s="253">
        <v>75.157769936936333</v>
      </c>
      <c r="L62" s="253">
        <v>72.522418641361881</v>
      </c>
      <c r="M62" s="253">
        <v>70.486633210183143</v>
      </c>
      <c r="N62" s="253">
        <v>68.747090923677973</v>
      </c>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v>79.484335796243897</v>
      </c>
      <c r="I63" s="253">
        <v>77.440287313107248</v>
      </c>
      <c r="J63" s="253">
        <v>81.188166204502849</v>
      </c>
      <c r="K63" s="253">
        <v>80.687364358323052</v>
      </c>
      <c r="L63" s="253">
        <v>79.287707948002506</v>
      </c>
      <c r="M63" s="253">
        <v>78.256088166237831</v>
      </c>
      <c r="N63" s="253">
        <v>77.117513286959223</v>
      </c>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953</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67.5</v>
      </c>
      <c r="E72" s="4">
        <v>14</v>
      </c>
      <c r="F72" s="4"/>
      <c r="G72" s="4"/>
      <c r="H72" s="4"/>
      <c r="I72" s="4"/>
      <c r="J72" s="4"/>
    </row>
    <row r="73" spans="1:26" x14ac:dyDescent="0.4">
      <c r="A73" s="212">
        <v>2</v>
      </c>
      <c r="B73" s="238" t="s">
        <v>33</v>
      </c>
      <c r="C73" s="238" t="s">
        <v>73</v>
      </c>
      <c r="D73" s="4">
        <v>69.3</v>
      </c>
      <c r="E73" s="4">
        <v>14.4</v>
      </c>
      <c r="F73" s="4"/>
      <c r="G73" s="4"/>
      <c r="H73" s="4"/>
      <c r="I73" s="4"/>
      <c r="J73" s="4"/>
    </row>
    <row r="74" spans="1:26" x14ac:dyDescent="0.4">
      <c r="A74" s="212">
        <v>3</v>
      </c>
      <c r="B74" s="238" t="s">
        <v>34</v>
      </c>
      <c r="C74" s="238" t="s">
        <v>74</v>
      </c>
      <c r="D74" s="4">
        <v>79</v>
      </c>
      <c r="E74" s="4">
        <v>16.399999999999999</v>
      </c>
      <c r="F74" s="4"/>
      <c r="G74" s="4"/>
      <c r="H74" s="4"/>
      <c r="I74" s="4"/>
      <c r="J74" s="4"/>
    </row>
    <row r="75" spans="1:26" x14ac:dyDescent="0.4">
      <c r="A75" s="212">
        <v>4</v>
      </c>
      <c r="B75" s="238" t="s">
        <v>36</v>
      </c>
      <c r="C75" s="238" t="s">
        <v>75</v>
      </c>
      <c r="D75" s="4">
        <v>31.9</v>
      </c>
      <c r="E75" s="4">
        <v>6.6</v>
      </c>
      <c r="F75" s="4"/>
      <c r="G75" s="4"/>
      <c r="H75" s="4"/>
      <c r="I75" s="4"/>
      <c r="J75" s="4"/>
    </row>
    <row r="76" spans="1:26" x14ac:dyDescent="0.4">
      <c r="A76" s="212">
        <v>5</v>
      </c>
      <c r="B76" s="238" t="s">
        <v>37</v>
      </c>
      <c r="C76" s="238" t="s">
        <v>76</v>
      </c>
      <c r="D76" s="4">
        <v>0.03</v>
      </c>
      <c r="E76" s="4">
        <v>0</v>
      </c>
      <c r="F76" s="4"/>
      <c r="G76" s="4"/>
      <c r="H76" s="4"/>
      <c r="I76" s="4"/>
      <c r="J76" s="4"/>
    </row>
    <row r="77" spans="1:26" x14ac:dyDescent="0.4">
      <c r="A77" s="212">
        <v>6</v>
      </c>
      <c r="B77" s="238" t="s">
        <v>38</v>
      </c>
      <c r="C77" s="238" t="s">
        <v>77</v>
      </c>
      <c r="D77" s="4">
        <v>1.1000000000000001</v>
      </c>
      <c r="E77" s="4">
        <v>0.2</v>
      </c>
      <c r="F77" s="4"/>
      <c r="G77" s="4"/>
      <c r="H77" s="4"/>
      <c r="I77" s="4"/>
      <c r="J77" s="4"/>
    </row>
    <row r="78" spans="1:26" x14ac:dyDescent="0.4">
      <c r="A78" s="212">
        <v>7</v>
      </c>
      <c r="B78" s="238" t="s">
        <v>39</v>
      </c>
      <c r="C78" s="238" t="s">
        <v>78</v>
      </c>
      <c r="D78" s="238">
        <v>248.8</v>
      </c>
      <c r="E78" s="238">
        <v>51.6</v>
      </c>
      <c r="F78" s="238"/>
      <c r="G78" s="238"/>
      <c r="H78" s="238"/>
      <c r="I78" s="238"/>
      <c r="J78" s="238"/>
    </row>
    <row r="79" spans="1:26" x14ac:dyDescent="0.4">
      <c r="A79" s="212">
        <v>8</v>
      </c>
      <c r="B79" s="238" t="s">
        <v>40</v>
      </c>
      <c r="C79" s="238" t="s">
        <v>79</v>
      </c>
      <c r="D79" s="4">
        <v>0.9</v>
      </c>
      <c r="E79" s="4">
        <v>0.2</v>
      </c>
      <c r="F79" s="4"/>
      <c r="G79" s="4"/>
      <c r="H79" s="4"/>
      <c r="I79" s="4"/>
      <c r="J79" s="4"/>
    </row>
    <row r="80" spans="1:26" x14ac:dyDescent="0.4">
      <c r="A80" s="212">
        <v>9</v>
      </c>
      <c r="B80" s="238" t="s">
        <v>41</v>
      </c>
      <c r="C80" s="238"/>
      <c r="D80" s="238">
        <v>247.9</v>
      </c>
      <c r="E80" s="238">
        <v>51.4</v>
      </c>
      <c r="F80" s="238"/>
      <c r="G80" s="238"/>
      <c r="H80" s="238"/>
      <c r="I80" s="238"/>
      <c r="J80" s="238"/>
    </row>
    <row r="81" spans="1:10" x14ac:dyDescent="0.4">
      <c r="A81" s="212">
        <v>10</v>
      </c>
      <c r="B81" s="238" t="s">
        <v>42</v>
      </c>
      <c r="C81" s="238"/>
      <c r="D81" s="4">
        <v>-0.2</v>
      </c>
      <c r="E81" s="4">
        <v>-0.1</v>
      </c>
      <c r="F81" s="4"/>
      <c r="G81" s="4"/>
      <c r="H81" s="4"/>
      <c r="I81" s="4"/>
      <c r="J81" s="4"/>
    </row>
    <row r="82" spans="1:10" x14ac:dyDescent="0.4">
      <c r="A82" s="212">
        <v>11</v>
      </c>
      <c r="B82" s="238" t="s">
        <v>43</v>
      </c>
      <c r="C82" s="238"/>
      <c r="D82" s="4">
        <v>0</v>
      </c>
      <c r="E82" s="4">
        <v>0</v>
      </c>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55.5</v>
      </c>
      <c r="E84" s="4">
        <v>11.5</v>
      </c>
      <c r="F84" s="4"/>
      <c r="G84" s="4"/>
      <c r="H84" s="4"/>
      <c r="I84" s="4"/>
      <c r="J84" s="4"/>
    </row>
    <row r="85" spans="1:10" x14ac:dyDescent="0.4">
      <c r="A85" s="212">
        <v>13</v>
      </c>
      <c r="B85" s="225" t="s">
        <v>45</v>
      </c>
      <c r="C85" s="225" t="s">
        <v>80</v>
      </c>
      <c r="D85" s="4">
        <v>34.4</v>
      </c>
      <c r="E85" s="4">
        <v>7.1</v>
      </c>
      <c r="F85" s="4"/>
      <c r="G85" s="4"/>
      <c r="H85" s="4"/>
      <c r="I85" s="4"/>
      <c r="J85" s="4"/>
    </row>
    <row r="86" spans="1:10" x14ac:dyDescent="0.4">
      <c r="A86" s="212">
        <v>14</v>
      </c>
      <c r="B86" s="225" t="s">
        <v>46</v>
      </c>
      <c r="C86" s="225" t="s">
        <v>28</v>
      </c>
      <c r="D86" s="4">
        <v>7.3</v>
      </c>
      <c r="E86" s="4">
        <v>1.5</v>
      </c>
      <c r="F86" s="4">
        <v>1.5</v>
      </c>
      <c r="G86" s="4">
        <v>1.5</v>
      </c>
      <c r="H86" s="4">
        <v>1.7</v>
      </c>
      <c r="I86" s="4">
        <v>1.8</v>
      </c>
      <c r="J86" s="4">
        <v>1.8</v>
      </c>
    </row>
    <row r="87" spans="1:10" x14ac:dyDescent="0.4">
      <c r="A87" s="212">
        <v>15</v>
      </c>
      <c r="B87" s="225" t="s">
        <v>47</v>
      </c>
      <c r="C87" s="225" t="s">
        <v>81</v>
      </c>
      <c r="D87" s="4">
        <v>97.1</v>
      </c>
      <c r="E87" s="4">
        <v>20.2</v>
      </c>
      <c r="F87" s="4"/>
      <c r="G87" s="4"/>
      <c r="H87" s="4"/>
      <c r="I87" s="4"/>
      <c r="J87" s="4"/>
    </row>
    <row r="88" spans="1:10" x14ac:dyDescent="0.4">
      <c r="A88" s="212">
        <v>16</v>
      </c>
      <c r="B88" s="225" t="s">
        <v>48</v>
      </c>
      <c r="C88" s="225" t="s">
        <v>82</v>
      </c>
      <c r="D88" s="4">
        <v>22.7</v>
      </c>
      <c r="E88" s="4">
        <v>4.7</v>
      </c>
      <c r="F88" s="4"/>
      <c r="G88" s="4"/>
      <c r="H88" s="4"/>
      <c r="I88" s="4"/>
      <c r="J88" s="4"/>
    </row>
    <row r="89" spans="1:10" x14ac:dyDescent="0.4">
      <c r="A89" s="212">
        <v>17</v>
      </c>
      <c r="B89" s="225" t="s">
        <v>49</v>
      </c>
      <c r="C89" s="225" t="s">
        <v>83</v>
      </c>
      <c r="D89" s="4">
        <v>9.6</v>
      </c>
      <c r="E89" s="4">
        <v>2</v>
      </c>
      <c r="F89" s="4"/>
      <c r="G89" s="4"/>
      <c r="H89" s="4"/>
      <c r="I89" s="4"/>
      <c r="J89" s="4"/>
    </row>
    <row r="90" spans="1:10" x14ac:dyDescent="0.4">
      <c r="A90" s="212">
        <v>18</v>
      </c>
      <c r="B90" s="225" t="s">
        <v>50</v>
      </c>
      <c r="C90" s="225" t="s">
        <v>84</v>
      </c>
      <c r="D90" s="4">
        <v>19.399999999999999</v>
      </c>
      <c r="E90" s="4">
        <v>4</v>
      </c>
      <c r="F90" s="4"/>
      <c r="G90" s="4"/>
      <c r="H90" s="4"/>
      <c r="I90" s="4"/>
      <c r="J90" s="4"/>
    </row>
    <row r="91" spans="1:10" x14ac:dyDescent="0.4">
      <c r="A91" s="212">
        <v>19</v>
      </c>
      <c r="B91" s="225" t="s">
        <v>10</v>
      </c>
      <c r="C91" s="225" t="s">
        <v>4</v>
      </c>
      <c r="D91" s="4">
        <v>18.7</v>
      </c>
      <c r="E91" s="4">
        <v>3.9</v>
      </c>
      <c r="F91" s="4"/>
      <c r="G91" s="4"/>
      <c r="H91" s="4"/>
      <c r="I91" s="4"/>
      <c r="J91" s="4"/>
    </row>
    <row r="92" spans="1:10" x14ac:dyDescent="0.4">
      <c r="A92" s="212">
        <v>20</v>
      </c>
      <c r="B92" s="225" t="s">
        <v>51</v>
      </c>
      <c r="C92" s="225"/>
      <c r="D92" s="4">
        <v>18.399999999999999</v>
      </c>
      <c r="E92" s="4">
        <v>3.8</v>
      </c>
      <c r="F92" s="4">
        <v>3.9</v>
      </c>
      <c r="G92" s="4">
        <v>4.0999999999999996</v>
      </c>
      <c r="H92" s="4">
        <v>4.0999999999999996</v>
      </c>
      <c r="I92" s="4">
        <v>4</v>
      </c>
      <c r="J92" s="4">
        <v>3.9</v>
      </c>
    </row>
    <row r="93" spans="1:10" x14ac:dyDescent="0.4">
      <c r="A93" s="212">
        <v>21</v>
      </c>
      <c r="B93" s="225" t="s">
        <v>52</v>
      </c>
      <c r="C93" s="225" t="s">
        <v>85</v>
      </c>
      <c r="D93" s="4">
        <v>6.2</v>
      </c>
      <c r="E93" s="4">
        <v>1.3</v>
      </c>
      <c r="F93" s="4"/>
      <c r="G93" s="4"/>
      <c r="H93" s="4"/>
      <c r="I93" s="4"/>
      <c r="J93" s="4"/>
    </row>
    <row r="94" spans="1:10" x14ac:dyDescent="0.4">
      <c r="A94" s="212">
        <v>22</v>
      </c>
      <c r="B94" s="225" t="s">
        <v>53</v>
      </c>
      <c r="C94" s="225" t="s">
        <v>86</v>
      </c>
      <c r="D94" s="4">
        <v>0.4</v>
      </c>
      <c r="E94" s="4">
        <v>0.1</v>
      </c>
      <c r="F94" s="4"/>
      <c r="G94" s="4"/>
      <c r="H94" s="4"/>
      <c r="I94" s="4"/>
      <c r="J94" s="4"/>
    </row>
    <row r="95" spans="1:10" x14ac:dyDescent="0.4">
      <c r="A95" s="212">
        <v>23</v>
      </c>
      <c r="B95" s="225" t="s">
        <v>54</v>
      </c>
      <c r="C95" s="225" t="s">
        <v>87</v>
      </c>
      <c r="D95" s="238">
        <v>271.3</v>
      </c>
      <c r="E95" s="238">
        <v>56.3</v>
      </c>
      <c r="F95" s="238"/>
      <c r="G95" s="238"/>
      <c r="H95" s="238"/>
      <c r="I95" s="238"/>
      <c r="J95" s="238"/>
    </row>
    <row r="96" spans="1:10" x14ac:dyDescent="0.4">
      <c r="A96" s="212">
        <v>24</v>
      </c>
      <c r="B96" s="225" t="s">
        <v>55</v>
      </c>
      <c r="C96" s="225" t="s">
        <v>79</v>
      </c>
      <c r="D96" s="4">
        <v>0.9</v>
      </c>
      <c r="E96" s="4">
        <v>0.2</v>
      </c>
      <c r="F96" s="4"/>
      <c r="G96" s="4"/>
      <c r="H96" s="4"/>
      <c r="I96" s="4"/>
      <c r="J96" s="4"/>
    </row>
    <row r="97" spans="1:10" x14ac:dyDescent="0.4">
      <c r="A97" s="212">
        <v>25</v>
      </c>
      <c r="B97" s="225" t="s">
        <v>56</v>
      </c>
      <c r="C97" s="225"/>
      <c r="D97" s="238">
        <v>270.39999999999998</v>
      </c>
      <c r="E97" s="238">
        <v>56.1</v>
      </c>
      <c r="F97" s="238"/>
      <c r="G97" s="238"/>
      <c r="H97" s="238"/>
      <c r="I97" s="238"/>
      <c r="J97" s="238"/>
    </row>
    <row r="98" spans="1:10" x14ac:dyDescent="0.4">
      <c r="A98" s="212">
        <v>26</v>
      </c>
      <c r="B98" s="225" t="s">
        <v>751</v>
      </c>
      <c r="C98" s="225"/>
      <c r="D98" s="4">
        <v>0.9</v>
      </c>
      <c r="E98" s="4">
        <v>0.2</v>
      </c>
      <c r="F98" s="4"/>
      <c r="G98" s="4"/>
      <c r="H98" s="4"/>
      <c r="I98" s="4"/>
      <c r="J98" s="4"/>
    </row>
    <row r="99" spans="1:10" x14ac:dyDescent="0.4">
      <c r="A99" s="212">
        <v>27</v>
      </c>
      <c r="B99" s="225" t="s">
        <v>57</v>
      </c>
      <c r="C99" s="225"/>
      <c r="D99" s="4">
        <v>0.3</v>
      </c>
      <c r="E99" s="4">
        <v>0.1</v>
      </c>
      <c r="F99" s="4"/>
      <c r="G99" s="4"/>
      <c r="H99" s="4"/>
      <c r="I99" s="4"/>
      <c r="J99" s="4"/>
    </row>
    <row r="100" spans="1:10" x14ac:dyDescent="0.4">
      <c r="A100" s="212">
        <v>28</v>
      </c>
      <c r="B100" s="225" t="s">
        <v>58</v>
      </c>
      <c r="C100" s="225"/>
      <c r="D100" s="4">
        <v>0</v>
      </c>
      <c r="E100" s="4">
        <v>0</v>
      </c>
      <c r="F100" s="4"/>
      <c r="G100" s="4"/>
      <c r="H100" s="4"/>
      <c r="I100" s="4"/>
      <c r="J100" s="4"/>
    </row>
    <row r="101" spans="1:10" x14ac:dyDescent="0.4">
      <c r="A101" s="212">
        <v>29</v>
      </c>
      <c r="B101" s="225" t="s">
        <v>59</v>
      </c>
      <c r="C101" s="225"/>
      <c r="D101" s="238">
        <v>261.89999999999998</v>
      </c>
      <c r="E101" s="238">
        <v>54.3</v>
      </c>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2.6</v>
      </c>
      <c r="G103" s="4">
        <v>2.2000000000000002</v>
      </c>
      <c r="H103" s="4">
        <v>2.2000000000000002</v>
      </c>
      <c r="I103" s="4">
        <v>2</v>
      </c>
      <c r="J103" s="4">
        <v>2.2999999999999998</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-22.5</v>
      </c>
      <c r="E105" s="4">
        <v>-4.7</v>
      </c>
      <c r="F105" s="4">
        <v>-4.7</v>
      </c>
      <c r="G105" s="4">
        <v>-4.2</v>
      </c>
      <c r="H105" s="4">
        <v>-3.6</v>
      </c>
      <c r="I105" s="4">
        <v>-3</v>
      </c>
      <c r="J105" s="4">
        <v>-2.5</v>
      </c>
    </row>
    <row r="106" spans="1:10" x14ac:dyDescent="0.4">
      <c r="A106" s="212">
        <v>32</v>
      </c>
      <c r="B106" s="225" t="s">
        <v>62</v>
      </c>
      <c r="C106" s="225" t="s">
        <v>88</v>
      </c>
      <c r="D106" s="4">
        <v>-15.2</v>
      </c>
      <c r="E106" s="4">
        <v>-3.2</v>
      </c>
      <c r="F106" s="4">
        <v>-3.1</v>
      </c>
      <c r="G106" s="4">
        <v>-2.6</v>
      </c>
      <c r="H106" s="4">
        <v>-1.9</v>
      </c>
      <c r="I106" s="4">
        <v>-1.2</v>
      </c>
      <c r="J106" s="4">
        <v>-0.6</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-3.9</v>
      </c>
      <c r="F108" s="4">
        <v>-3.4</v>
      </c>
      <c r="G108" s="4">
        <v>-2.9</v>
      </c>
      <c r="H108" s="4">
        <v>-2.6</v>
      </c>
      <c r="I108" s="4">
        <v>-2.1</v>
      </c>
      <c r="J108" s="4">
        <v>-1.7</v>
      </c>
    </row>
    <row r="109" spans="1:10" ht="14.25" x14ac:dyDescent="0.45">
      <c r="A109" s="212">
        <v>34</v>
      </c>
      <c r="B109" s="239" t="s">
        <v>3</v>
      </c>
      <c r="C109" s="239"/>
      <c r="D109" s="244"/>
      <c r="E109" s="4">
        <v>-2.4</v>
      </c>
      <c r="F109" s="4">
        <v>-1.9</v>
      </c>
      <c r="G109" s="4">
        <v>-1.4</v>
      </c>
      <c r="H109" s="4">
        <v>-0.9</v>
      </c>
      <c r="I109" s="4">
        <v>-0.3</v>
      </c>
      <c r="J109" s="4">
        <v>0.2</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394.1</v>
      </c>
      <c r="E111" s="4">
        <v>81.8</v>
      </c>
      <c r="F111" s="4">
        <v>84.3</v>
      </c>
      <c r="G111" s="4">
        <v>85.9</v>
      </c>
      <c r="H111" s="4">
        <v>86.6</v>
      </c>
      <c r="I111" s="4">
        <v>86.8</v>
      </c>
      <c r="J111" s="4">
        <v>86.5</v>
      </c>
    </row>
    <row r="112" spans="1:10" x14ac:dyDescent="0.4">
      <c r="A112" s="212">
        <v>36</v>
      </c>
      <c r="B112" s="225" t="s">
        <v>2</v>
      </c>
      <c r="C112" s="225"/>
      <c r="D112" s="4">
        <v>22.6</v>
      </c>
      <c r="E112" s="4">
        <v>3.3</v>
      </c>
      <c r="F112" s="4">
        <v>2.5</v>
      </c>
      <c r="G112" s="4">
        <v>1.6</v>
      </c>
      <c r="H112" s="4">
        <v>0.7</v>
      </c>
      <c r="I112" s="4">
        <v>0.2</v>
      </c>
      <c r="J112" s="4">
        <v>-0.4</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3.2</v>
      </c>
      <c r="F114" s="4">
        <v>3.1</v>
      </c>
      <c r="G114" s="4">
        <v>2.6</v>
      </c>
      <c r="H114" s="4">
        <v>1.9</v>
      </c>
      <c r="I114" s="4">
        <v>1.2</v>
      </c>
      <c r="J114" s="4">
        <v>0.6</v>
      </c>
    </row>
    <row r="115" spans="1:13" ht="14.25" x14ac:dyDescent="0.45">
      <c r="A115" s="212">
        <v>39</v>
      </c>
      <c r="B115" s="240" t="s">
        <v>754</v>
      </c>
      <c r="C115" s="225"/>
      <c r="D115" s="244"/>
      <c r="E115" s="4">
        <v>0.1</v>
      </c>
      <c r="F115" s="4">
        <v>-0.6</v>
      </c>
      <c r="G115" s="4">
        <v>-1</v>
      </c>
      <c r="H115" s="4">
        <v>-1.2</v>
      </c>
      <c r="I115" s="4">
        <v>-1</v>
      </c>
      <c r="J115" s="4">
        <v>-0.9</v>
      </c>
    </row>
    <row r="116" spans="1:13" ht="14.25" x14ac:dyDescent="0.45">
      <c r="A116" s="212">
        <v>40</v>
      </c>
      <c r="B116" s="241" t="s">
        <v>755</v>
      </c>
      <c r="C116" s="225"/>
      <c r="D116" s="244"/>
      <c r="E116" s="4">
        <v>1.5</v>
      </c>
      <c r="F116" s="4">
        <v>1.5</v>
      </c>
      <c r="G116" s="4">
        <v>1.5</v>
      </c>
      <c r="H116" s="4">
        <v>1.7</v>
      </c>
      <c r="I116" s="4">
        <v>1.8</v>
      </c>
      <c r="J116" s="4">
        <v>1.9</v>
      </c>
    </row>
    <row r="117" spans="1:13" ht="14.25" x14ac:dyDescent="0.45">
      <c r="A117" s="212">
        <v>41</v>
      </c>
      <c r="B117" s="241" t="s">
        <v>756</v>
      </c>
      <c r="C117" s="225"/>
      <c r="D117" s="244"/>
      <c r="E117" s="4">
        <v>0.9</v>
      </c>
      <c r="F117" s="4">
        <v>-0.2</v>
      </c>
      <c r="G117" s="4">
        <v>-0.9</v>
      </c>
      <c r="H117" s="4">
        <v>-1.2</v>
      </c>
      <c r="I117" s="4">
        <v>-1</v>
      </c>
      <c r="J117" s="4">
        <v>-1.1000000000000001</v>
      </c>
    </row>
    <row r="118" spans="1:13" ht="14.25" x14ac:dyDescent="0.45">
      <c r="A118" s="212">
        <v>42</v>
      </c>
      <c r="B118" s="241" t="s">
        <v>757</v>
      </c>
      <c r="C118" s="225"/>
      <c r="D118" s="244"/>
      <c r="E118" s="4">
        <v>-2.4</v>
      </c>
      <c r="F118" s="4">
        <v>-1.9</v>
      </c>
      <c r="G118" s="4">
        <v>-1.6</v>
      </c>
      <c r="H118" s="4">
        <v>-1.7</v>
      </c>
      <c r="I118" s="4">
        <v>-1.8</v>
      </c>
      <c r="J118" s="4">
        <v>-1.8</v>
      </c>
    </row>
    <row r="119" spans="1:13" ht="14.25" x14ac:dyDescent="0.45">
      <c r="A119" s="212">
        <v>43</v>
      </c>
      <c r="B119" s="240" t="s">
        <v>758</v>
      </c>
      <c r="C119" s="225"/>
      <c r="D119" s="244"/>
      <c r="E119" s="4">
        <v>0.1</v>
      </c>
      <c r="F119" s="4">
        <v>0</v>
      </c>
      <c r="G119" s="4">
        <v>0</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2</v>
      </c>
      <c r="F121" s="4">
        <v>1.9</v>
      </c>
      <c r="G121" s="4">
        <v>1.9</v>
      </c>
      <c r="H121" s="4">
        <v>2</v>
      </c>
      <c r="I121" s="4">
        <v>2.2000000000000002</v>
      </c>
      <c r="J121" s="4">
        <v>2.2999999999999998</v>
      </c>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-1.2</v>
      </c>
      <c r="F130">
        <v>0.2</v>
      </c>
      <c r="G130">
        <v>1.1000000000000001</v>
      </c>
      <c r="H130" s="4">
        <v>1.5</v>
      </c>
      <c r="I130" s="4">
        <v>1.2</v>
      </c>
      <c r="J130" s="4">
        <v>1.3</v>
      </c>
    </row>
    <row r="131" spans="1:10" ht="14.25" x14ac:dyDescent="0.45">
      <c r="A131" s="212">
        <v>2</v>
      </c>
      <c r="B131" s="225" t="s">
        <v>8</v>
      </c>
      <c r="C131" s="225"/>
      <c r="D131" s="246"/>
      <c r="E131">
        <v>3.1</v>
      </c>
      <c r="F131">
        <v>2.4</v>
      </c>
      <c r="G131">
        <v>2</v>
      </c>
      <c r="H131" s="4">
        <v>2.1</v>
      </c>
      <c r="I131" s="4">
        <v>2.1</v>
      </c>
      <c r="J131" s="4">
        <v>2.1</v>
      </c>
    </row>
    <row r="132" spans="1:10" x14ac:dyDescent="0.4">
      <c r="A132" s="212">
        <v>3</v>
      </c>
      <c r="B132" s="225" t="s">
        <v>9</v>
      </c>
      <c r="C132" s="225" t="s">
        <v>763</v>
      </c>
      <c r="D132" s="144">
        <v>481.9</v>
      </c>
      <c r="E132">
        <v>1.8</v>
      </c>
      <c r="F132">
        <v>2.7</v>
      </c>
      <c r="G132">
        <v>3.1</v>
      </c>
      <c r="H132" s="4">
        <v>3.5</v>
      </c>
      <c r="I132" s="4">
        <v>3.4</v>
      </c>
      <c r="J132" s="4">
        <v>3.4</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0.1</v>
      </c>
      <c r="H134" s="4"/>
      <c r="I134" s="4"/>
      <c r="J134" s="4"/>
    </row>
    <row r="135" spans="1:10" ht="14.25" x14ac:dyDescent="0.45">
      <c r="A135" s="212">
        <v>5</v>
      </c>
      <c r="B135" s="225" t="s">
        <v>767</v>
      </c>
      <c r="C135" s="225" t="s">
        <v>766</v>
      </c>
      <c r="D135" s="246"/>
      <c r="E135">
        <v>1.6</v>
      </c>
      <c r="H135" s="4"/>
      <c r="I135" s="4"/>
      <c r="J135" s="4"/>
    </row>
    <row r="136" spans="1:10" ht="14.25" x14ac:dyDescent="0.45">
      <c r="A136" s="212">
        <v>6</v>
      </c>
      <c r="B136" s="225" t="s">
        <v>10</v>
      </c>
      <c r="C136" s="225" t="s">
        <v>4</v>
      </c>
      <c r="D136" s="246"/>
      <c r="E136">
        <v>-3.4</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-4.3</v>
      </c>
      <c r="H138" s="4"/>
      <c r="I138" s="4"/>
      <c r="J138" s="4"/>
    </row>
    <row r="139" spans="1:10" ht="14.25" x14ac:dyDescent="0.45">
      <c r="A139" s="212">
        <v>9</v>
      </c>
      <c r="B139" s="225" t="s">
        <v>772</v>
      </c>
      <c r="C139" s="225" t="s">
        <v>773</v>
      </c>
      <c r="D139" s="246"/>
      <c r="E139">
        <v>-5</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-0.5</v>
      </c>
      <c r="H141" s="4"/>
      <c r="I141" s="4"/>
      <c r="J141" s="4"/>
    </row>
    <row r="142" spans="1:10" ht="14.25" x14ac:dyDescent="0.45">
      <c r="A142" s="212">
        <v>11</v>
      </c>
      <c r="B142" s="243" t="s">
        <v>776</v>
      </c>
      <c r="C142" s="225" t="s">
        <v>769</v>
      </c>
      <c r="D142" s="246"/>
      <c r="E142">
        <v>-1</v>
      </c>
      <c r="H142" s="4"/>
      <c r="I142" s="4"/>
      <c r="J142" s="4"/>
    </row>
    <row r="143" spans="1:10" ht="14.25" x14ac:dyDescent="0.45">
      <c r="A143" s="212">
        <v>12</v>
      </c>
      <c r="B143" s="243" t="s">
        <v>777</v>
      </c>
      <c r="C143" s="225" t="s">
        <v>778</v>
      </c>
      <c r="D143" s="246"/>
      <c r="E143">
        <v>0.4</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3.2</v>
      </c>
      <c r="H145" s="4"/>
      <c r="I145" s="4"/>
      <c r="J145" s="4"/>
    </row>
    <row r="146" spans="1:10" ht="14.25" x14ac:dyDescent="0.45">
      <c r="A146" s="212">
        <v>14</v>
      </c>
      <c r="B146" s="240" t="s">
        <v>781</v>
      </c>
      <c r="C146" s="225"/>
      <c r="D146" s="246"/>
      <c r="E146">
        <v>2.9</v>
      </c>
      <c r="H146" s="4"/>
      <c r="I146" s="4"/>
      <c r="J146" s="4"/>
    </row>
    <row r="147" spans="1:10" ht="14.25" x14ac:dyDescent="0.45">
      <c r="A147" s="212">
        <v>15</v>
      </c>
      <c r="B147" s="225" t="s">
        <v>782</v>
      </c>
      <c r="C147" s="225"/>
      <c r="D147" s="246"/>
      <c r="E147">
        <v>6.2</v>
      </c>
      <c r="H147" s="4"/>
      <c r="I147" s="4"/>
      <c r="J147" s="4"/>
    </row>
    <row r="148" spans="1:10" ht="14.25" x14ac:dyDescent="0.45">
      <c r="A148" s="212">
        <v>16</v>
      </c>
      <c r="B148" s="225" t="s">
        <v>783</v>
      </c>
      <c r="C148" s="225"/>
      <c r="D148" s="246"/>
      <c r="E148">
        <v>3.1</v>
      </c>
      <c r="H148" s="4"/>
      <c r="I148" s="4"/>
      <c r="J148" s="4"/>
    </row>
    <row r="149" spans="1:10" ht="14.25" x14ac:dyDescent="0.45">
      <c r="A149" s="212">
        <v>17</v>
      </c>
      <c r="B149" s="225" t="s">
        <v>784</v>
      </c>
      <c r="C149" s="225"/>
      <c r="D149" s="246"/>
      <c r="E149">
        <v>1.8</v>
      </c>
      <c r="H149" s="4"/>
      <c r="I149" s="4"/>
      <c r="J149" s="4"/>
    </row>
    <row r="150" spans="1:10" ht="14.25" x14ac:dyDescent="0.45">
      <c r="A150" s="212">
        <v>18</v>
      </c>
      <c r="B150" s="225" t="s">
        <v>785</v>
      </c>
      <c r="C150" s="225"/>
      <c r="D150" s="246"/>
      <c r="E150">
        <v>0.3</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v>0</v>
      </c>
      <c r="G152" s="3"/>
      <c r="H152" s="64"/>
      <c r="I152" s="64"/>
      <c r="J152" s="64"/>
    </row>
    <row r="153" spans="1:10" x14ac:dyDescent="0.4">
      <c r="A153" s="212">
        <v>20</v>
      </c>
      <c r="B153" s="225" t="s">
        <v>789</v>
      </c>
      <c r="C153" s="225"/>
      <c r="D153" s="144"/>
      <c r="E153">
        <v>-1.1000000000000001</v>
      </c>
      <c r="H153" s="4"/>
      <c r="I153" s="4"/>
      <c r="J153" s="4"/>
    </row>
    <row r="154" spans="1:10" ht="14.25" x14ac:dyDescent="0.45">
      <c r="A154" s="212">
        <v>21</v>
      </c>
      <c r="B154" s="225" t="s">
        <v>790</v>
      </c>
      <c r="C154" s="225"/>
      <c r="D154" s="246"/>
      <c r="E154">
        <v>-1.2</v>
      </c>
      <c r="H154" s="4"/>
      <c r="I154" s="4"/>
      <c r="J154" s="4"/>
    </row>
    <row r="155" spans="1:10" ht="14.25" x14ac:dyDescent="0.45">
      <c r="A155" s="212">
        <v>22</v>
      </c>
      <c r="B155" s="225" t="s">
        <v>791</v>
      </c>
      <c r="C155" s="225"/>
      <c r="D155" s="246"/>
      <c r="E155">
        <v>-0.2</v>
      </c>
      <c r="H155" s="4"/>
      <c r="I155" s="4"/>
      <c r="J155" s="4"/>
    </row>
    <row r="156" spans="1:10" x14ac:dyDescent="0.4">
      <c r="A156" s="212">
        <v>23</v>
      </c>
      <c r="B156" s="225" t="s">
        <v>792</v>
      </c>
      <c r="C156" s="225" t="s">
        <v>5</v>
      </c>
      <c r="D156" s="144"/>
      <c r="E156">
        <v>8.5</v>
      </c>
      <c r="H156" s="4"/>
      <c r="I156" s="4"/>
      <c r="J156" s="4"/>
    </row>
    <row r="157" spans="1:10" x14ac:dyDescent="0.4">
      <c r="A157" s="212">
        <v>24</v>
      </c>
      <c r="B157" s="225" t="s">
        <v>793</v>
      </c>
      <c r="C157" s="225"/>
      <c r="E157">
        <v>8.5</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5.2</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0.4</v>
      </c>
      <c r="F161">
        <v>1.1000000000000001</v>
      </c>
      <c r="G161">
        <v>1.1000000000000001</v>
      </c>
      <c r="H161" s="4">
        <v>1.1000000000000001</v>
      </c>
      <c r="I161" s="4">
        <v>1.1000000000000001</v>
      </c>
      <c r="J161" s="4">
        <v>1.1000000000000001</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v>
      </c>
      <c r="H163" s="4"/>
      <c r="I163" s="4"/>
      <c r="J163" s="4"/>
    </row>
    <row r="164" spans="1:26" ht="14.25" x14ac:dyDescent="0.45">
      <c r="A164" s="212">
        <v>28</v>
      </c>
      <c r="B164" s="240" t="s">
        <v>799</v>
      </c>
      <c r="C164" s="225"/>
      <c r="D164" s="246"/>
      <c r="E164">
        <v>0.3</v>
      </c>
      <c r="H164" s="4"/>
      <c r="I164" s="4"/>
      <c r="J164" s="4"/>
    </row>
    <row r="165" spans="1:26" ht="14.25" x14ac:dyDescent="0.45">
      <c r="A165" s="212">
        <v>29</v>
      </c>
      <c r="B165" s="240" t="s">
        <v>800</v>
      </c>
      <c r="C165" s="225"/>
      <c r="D165" s="246"/>
      <c r="E165">
        <v>0.1</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-1.3</v>
      </c>
      <c r="F167">
        <v>-2.2000000000000002</v>
      </c>
      <c r="G167">
        <v>-2.2000000000000002</v>
      </c>
      <c r="H167" s="4">
        <v>-1.8</v>
      </c>
      <c r="I167" s="4">
        <v>-1.7</v>
      </c>
      <c r="J167" s="4">
        <v>-1.5</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78.5</v>
      </c>
      <c r="F172" s="197">
        <v>81.8</v>
      </c>
      <c r="G172" s="197">
        <v>84.3</v>
      </c>
      <c r="H172" s="197">
        <v>85.9</v>
      </c>
      <c r="I172" s="197">
        <v>86.6</v>
      </c>
      <c r="J172" s="197">
        <v>86.8</v>
      </c>
      <c r="K172" s="198">
        <v>86.5</v>
      </c>
      <c r="L172" s="198">
        <v>85.7</v>
      </c>
      <c r="M172" s="198">
        <v>84.4</v>
      </c>
      <c r="N172" s="198">
        <v>82.8</v>
      </c>
      <c r="O172" s="198">
        <v>81</v>
      </c>
      <c r="P172" s="198">
        <v>79.2</v>
      </c>
      <c r="Q172" s="198">
        <v>77.8</v>
      </c>
      <c r="R172" s="198">
        <v>76.5</v>
      </c>
      <c r="S172" s="198">
        <v>75.3</v>
      </c>
      <c r="T172" s="198">
        <v>74.2</v>
      </c>
      <c r="U172" s="198"/>
      <c r="V172" s="198"/>
      <c r="W172" s="198"/>
    </row>
    <row r="173" spans="1:26" x14ac:dyDescent="0.4">
      <c r="A173" s="194">
        <v>2</v>
      </c>
      <c r="B173" s="195" t="s">
        <v>836</v>
      </c>
      <c r="C173" s="196" t="s">
        <v>837</v>
      </c>
      <c r="D173" s="196"/>
      <c r="E173" s="197">
        <v>-2.6</v>
      </c>
      <c r="F173" s="197">
        <v>-4.7</v>
      </c>
      <c r="G173" s="197">
        <v>-4.7</v>
      </c>
      <c r="H173" s="197">
        <v>-4.2</v>
      </c>
      <c r="I173" s="197">
        <v>-3.6</v>
      </c>
      <c r="J173" s="197">
        <v>-3</v>
      </c>
      <c r="K173" s="198">
        <v>-2.5</v>
      </c>
      <c r="L173" s="198">
        <v>-2.1</v>
      </c>
      <c r="M173" s="198">
        <v>-1.6</v>
      </c>
      <c r="N173" s="198">
        <v>-1.5</v>
      </c>
      <c r="O173" s="198">
        <v>-1.3</v>
      </c>
      <c r="P173" s="198">
        <v>-1.2</v>
      </c>
      <c r="Q173" s="198">
        <v>-1.2</v>
      </c>
      <c r="R173" s="198">
        <v>-1.3</v>
      </c>
      <c r="S173" s="198">
        <v>-1.3</v>
      </c>
      <c r="T173" s="198">
        <v>-1.4</v>
      </c>
      <c r="U173" s="198"/>
      <c r="V173" s="198"/>
      <c r="W173" s="198"/>
    </row>
    <row r="174" spans="1:26" x14ac:dyDescent="0.4">
      <c r="A174" s="194">
        <v>3</v>
      </c>
      <c r="B174" s="195" t="s">
        <v>3</v>
      </c>
      <c r="C174" s="196" t="s">
        <v>838</v>
      </c>
      <c r="D174" s="196"/>
      <c r="E174" s="197">
        <v>-1.5</v>
      </c>
      <c r="F174" s="197">
        <v>-2.4</v>
      </c>
      <c r="G174" s="197">
        <v>-1.9</v>
      </c>
      <c r="H174" s="197">
        <v>-1.4</v>
      </c>
      <c r="I174" s="197">
        <v>-0.9</v>
      </c>
      <c r="J174" s="197">
        <v>-0.3</v>
      </c>
      <c r="K174" s="198">
        <v>0.2</v>
      </c>
      <c r="L174" s="198">
        <v>0.7</v>
      </c>
      <c r="M174" s="198">
        <v>1.2</v>
      </c>
      <c r="N174" s="198">
        <v>1.2</v>
      </c>
      <c r="O174" s="198">
        <v>1.2</v>
      </c>
      <c r="P174" s="198">
        <v>1.2</v>
      </c>
      <c r="Q174" s="198">
        <v>1.2</v>
      </c>
      <c r="R174" s="198">
        <v>1.2</v>
      </c>
      <c r="S174" s="198">
        <v>1.2</v>
      </c>
      <c r="T174" s="198">
        <v>1.2</v>
      </c>
      <c r="U174" s="198"/>
      <c r="V174" s="198"/>
      <c r="W174" s="198"/>
    </row>
    <row r="175" spans="1:26" x14ac:dyDescent="0.4">
      <c r="A175" s="194">
        <v>4</v>
      </c>
      <c r="B175" s="195" t="s">
        <v>839</v>
      </c>
      <c r="C175" s="196"/>
      <c r="D175" s="196"/>
      <c r="E175" s="197">
        <v>-0.1</v>
      </c>
      <c r="F175" s="197">
        <v>0.8</v>
      </c>
      <c r="G175" s="197">
        <v>1.2</v>
      </c>
      <c r="H175" s="197">
        <v>1.2</v>
      </c>
      <c r="I175" s="197">
        <v>1</v>
      </c>
      <c r="J175" s="197">
        <v>1</v>
      </c>
      <c r="K175" s="198">
        <v>0.8</v>
      </c>
      <c r="L175" s="198">
        <v>0.8</v>
      </c>
      <c r="M175" s="198">
        <v>0.7</v>
      </c>
      <c r="N175" s="198">
        <v>0.5</v>
      </c>
      <c r="O175" s="198">
        <v>0.2</v>
      </c>
      <c r="P175" s="198">
        <v>0</v>
      </c>
      <c r="Q175" s="198">
        <v>0</v>
      </c>
      <c r="R175" s="198">
        <v>0</v>
      </c>
      <c r="S175" s="198">
        <v>0</v>
      </c>
      <c r="T175" s="198">
        <v>0</v>
      </c>
      <c r="U175" s="198"/>
      <c r="V175" s="198"/>
      <c r="W175" s="198"/>
    </row>
    <row r="176" spans="1:26" x14ac:dyDescent="0.4">
      <c r="A176" s="194">
        <v>5</v>
      </c>
      <c r="B176" s="195" t="s">
        <v>840</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1.2</v>
      </c>
      <c r="F177" s="197">
        <v>1.5</v>
      </c>
      <c r="G177" s="197">
        <v>1.5</v>
      </c>
      <c r="H177" s="197">
        <v>1.5</v>
      </c>
      <c r="I177" s="197">
        <v>1.7</v>
      </c>
      <c r="J177" s="197">
        <v>1.8</v>
      </c>
      <c r="K177" s="198">
        <v>1.9</v>
      </c>
      <c r="L177" s="198">
        <v>2</v>
      </c>
      <c r="M177" s="198">
        <v>2.1</v>
      </c>
      <c r="N177" s="198">
        <v>2.1</v>
      </c>
      <c r="O177" s="198">
        <v>2.2000000000000002</v>
      </c>
      <c r="P177" s="198">
        <v>2.2000000000000002</v>
      </c>
      <c r="Q177" s="198">
        <v>2.2000000000000002</v>
      </c>
      <c r="R177" s="198">
        <v>2.2000000000000002</v>
      </c>
      <c r="S177" s="198">
        <v>2.2000000000000002</v>
      </c>
      <c r="T177" s="198">
        <v>2.2000000000000002</v>
      </c>
      <c r="U177" s="198"/>
      <c r="V177" s="198"/>
      <c r="W177" s="198"/>
    </row>
    <row r="178" spans="1:26" x14ac:dyDescent="0.4">
      <c r="A178" s="194">
        <v>7</v>
      </c>
      <c r="B178" s="199" t="s">
        <v>842</v>
      </c>
      <c r="C178" s="196" t="s">
        <v>843</v>
      </c>
      <c r="D178" s="196"/>
      <c r="E178" s="197">
        <v>3.1</v>
      </c>
      <c r="F178" s="197">
        <v>2.9</v>
      </c>
      <c r="G178" s="197">
        <v>2.8</v>
      </c>
      <c r="H178" s="197">
        <v>2.9</v>
      </c>
      <c r="I178" s="197">
        <v>3</v>
      </c>
      <c r="J178" s="197">
        <v>3.1</v>
      </c>
      <c r="K178" s="198">
        <v>3.1</v>
      </c>
      <c r="L178" s="198">
        <v>3.2</v>
      </c>
      <c r="M178" s="198">
        <v>3.3</v>
      </c>
      <c r="N178" s="198">
        <v>3.3</v>
      </c>
      <c r="O178" s="198">
        <v>3.4</v>
      </c>
      <c r="P178" s="198">
        <v>3.4</v>
      </c>
      <c r="Q178" s="198">
        <v>3.5</v>
      </c>
      <c r="R178" s="198">
        <v>3.5</v>
      </c>
      <c r="S178" s="198">
        <v>3.5</v>
      </c>
      <c r="T178" s="198">
        <v>3.6</v>
      </c>
      <c r="U178" s="198"/>
      <c r="V178" s="198"/>
      <c r="W178" s="198"/>
    </row>
    <row r="179" spans="1:26" x14ac:dyDescent="0.4">
      <c r="A179" s="194">
        <v>8</v>
      </c>
      <c r="B179" s="199" t="s">
        <v>844</v>
      </c>
      <c r="C179" s="196" t="s">
        <v>845</v>
      </c>
      <c r="D179" s="196"/>
      <c r="E179" s="197">
        <v>3.4</v>
      </c>
      <c r="F179" s="197">
        <v>3.5</v>
      </c>
      <c r="G179" s="197">
        <v>2.1</v>
      </c>
      <c r="H179" s="197">
        <v>2</v>
      </c>
      <c r="I179" s="197">
        <v>2.1</v>
      </c>
      <c r="J179" s="197">
        <v>2.2000000000000002</v>
      </c>
      <c r="K179" s="198">
        <v>2.2000000000000002</v>
      </c>
      <c r="L179" s="198">
        <v>2.2999999999999998</v>
      </c>
      <c r="M179" s="198">
        <v>2.4</v>
      </c>
      <c r="N179" s="198">
        <v>2.5</v>
      </c>
      <c r="O179" s="198">
        <v>2.6</v>
      </c>
      <c r="P179" s="198">
        <v>2.7</v>
      </c>
      <c r="Q179" s="198">
        <v>2.6</v>
      </c>
      <c r="R179" s="198">
        <v>2.6</v>
      </c>
      <c r="S179" s="198">
        <v>2.6</v>
      </c>
      <c r="T179" s="198">
        <v>2.5</v>
      </c>
      <c r="U179" s="198"/>
      <c r="V179" s="198"/>
      <c r="W179" s="198"/>
    </row>
    <row r="180" spans="1:26" s="189" customFormat="1" ht="16.5" x14ac:dyDescent="0.6">
      <c r="A180" s="194">
        <v>9</v>
      </c>
      <c r="B180" s="195" t="s">
        <v>846</v>
      </c>
      <c r="C180" s="196" t="s">
        <v>847</v>
      </c>
      <c r="D180" s="196"/>
      <c r="E180" s="197">
        <v>1.6</v>
      </c>
      <c r="F180" s="197">
        <v>2</v>
      </c>
      <c r="G180" s="197">
        <v>1.9</v>
      </c>
      <c r="H180" s="197">
        <v>1.9</v>
      </c>
      <c r="I180" s="197">
        <v>2</v>
      </c>
      <c r="J180" s="197">
        <v>2.2000000000000002</v>
      </c>
      <c r="K180" s="197">
        <v>2.2999999999999998</v>
      </c>
      <c r="L180" s="197">
        <v>2.4</v>
      </c>
      <c r="M180" s="197">
        <v>2.5</v>
      </c>
      <c r="N180" s="197">
        <v>2.6</v>
      </c>
      <c r="O180" s="197">
        <v>2.7</v>
      </c>
      <c r="P180" s="197">
        <v>2.8</v>
      </c>
      <c r="Q180" s="197">
        <v>2.9</v>
      </c>
      <c r="R180" s="197">
        <v>2.9</v>
      </c>
      <c r="S180" s="197">
        <v>3</v>
      </c>
      <c r="T180" s="197">
        <v>3.1</v>
      </c>
      <c r="U180" s="197"/>
      <c r="V180" s="197"/>
      <c r="W180" s="197"/>
      <c r="X180"/>
      <c r="Y180"/>
      <c r="Z180"/>
    </row>
    <row r="181" spans="1:26" x14ac:dyDescent="0.4">
      <c r="A181" s="194">
        <v>10</v>
      </c>
      <c r="B181" s="195" t="s">
        <v>848</v>
      </c>
      <c r="C181" s="196" t="s">
        <v>849</v>
      </c>
      <c r="D181" s="196"/>
      <c r="E181" s="197">
        <v>1.7</v>
      </c>
      <c r="F181" s="197">
        <v>0</v>
      </c>
      <c r="G181" s="197">
        <v>0</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850</v>
      </c>
      <c r="C182" s="196" t="s">
        <v>851</v>
      </c>
      <c r="D182" s="196"/>
      <c r="E182" s="197">
        <v>0.9</v>
      </c>
      <c r="F182" s="197">
        <v>0.4</v>
      </c>
      <c r="G182" s="197">
        <v>1.1000000000000001</v>
      </c>
      <c r="H182" s="197">
        <v>1.1000000000000001</v>
      </c>
      <c r="I182" s="197">
        <v>1.1000000000000001</v>
      </c>
      <c r="J182" s="197">
        <v>1.1000000000000001</v>
      </c>
      <c r="K182" s="198">
        <v>1.1000000000000001</v>
      </c>
      <c r="L182" s="198">
        <v>1.1000000000000001</v>
      </c>
      <c r="M182" s="198">
        <v>1.1000000000000001</v>
      </c>
      <c r="N182" s="198">
        <v>1.1000000000000001</v>
      </c>
      <c r="O182" s="198">
        <v>1.1000000000000001</v>
      </c>
      <c r="P182" s="198">
        <v>1.1000000000000001</v>
      </c>
      <c r="Q182" s="198">
        <v>1.1000000000000001</v>
      </c>
      <c r="R182" s="198">
        <v>1.1000000000000001</v>
      </c>
      <c r="S182" s="198">
        <v>1.1000000000000001</v>
      </c>
      <c r="T182" s="198">
        <v>1.1000000000000001</v>
      </c>
      <c r="U182" s="198"/>
      <c r="V182" s="198"/>
      <c r="W182" s="198"/>
    </row>
    <row r="183" spans="1:26" x14ac:dyDescent="0.4">
      <c r="A183" s="194">
        <v>12</v>
      </c>
      <c r="B183" s="200" t="s">
        <v>7</v>
      </c>
      <c r="C183" s="196" t="s">
        <v>852</v>
      </c>
      <c r="D183" s="196"/>
      <c r="E183" s="197">
        <v>-1</v>
      </c>
      <c r="F183" s="197">
        <v>-1.2</v>
      </c>
      <c r="G183" s="197">
        <v>0.2</v>
      </c>
      <c r="H183" s="197">
        <v>1.1000000000000001</v>
      </c>
      <c r="I183" s="197">
        <v>1.5</v>
      </c>
      <c r="J183" s="197">
        <v>1.2</v>
      </c>
      <c r="K183" s="198">
        <v>1.3</v>
      </c>
      <c r="L183" s="198">
        <v>1.2</v>
      </c>
      <c r="M183" s="198">
        <v>1.2</v>
      </c>
      <c r="N183" s="198">
        <v>1.5</v>
      </c>
      <c r="O183" s="198">
        <v>1.5</v>
      </c>
      <c r="P183" s="198">
        <v>1.5</v>
      </c>
      <c r="Q183" s="198">
        <v>1.1000000000000001</v>
      </c>
      <c r="R183" s="198">
        <v>1.1000000000000001</v>
      </c>
      <c r="S183" s="198">
        <v>1.1000000000000001</v>
      </c>
      <c r="T183" s="198">
        <v>1.1000000000000001</v>
      </c>
      <c r="U183" s="198"/>
      <c r="V183" s="198"/>
      <c r="W183" s="198"/>
    </row>
    <row r="184" spans="1:26" x14ac:dyDescent="0.4">
      <c r="A184" s="194">
        <v>13</v>
      </c>
      <c r="B184" s="201" t="s">
        <v>8</v>
      </c>
      <c r="C184" s="196" t="s">
        <v>853</v>
      </c>
      <c r="D184" s="196"/>
      <c r="E184" s="197">
        <v>6.6</v>
      </c>
      <c r="F184" s="197">
        <v>3.1</v>
      </c>
      <c r="G184" s="197">
        <v>2.4</v>
      </c>
      <c r="H184" s="197">
        <v>2</v>
      </c>
      <c r="I184" s="197">
        <v>2.1</v>
      </c>
      <c r="J184" s="197">
        <v>2.1</v>
      </c>
      <c r="K184" s="198">
        <v>2.1</v>
      </c>
      <c r="L184" s="198">
        <v>2.2000000000000002</v>
      </c>
      <c r="M184" s="198">
        <v>2.2000000000000002</v>
      </c>
      <c r="N184" s="198">
        <v>2.2999999999999998</v>
      </c>
      <c r="O184" s="198">
        <v>2.2999999999999998</v>
      </c>
      <c r="P184" s="198">
        <v>2.4</v>
      </c>
      <c r="Q184" s="198">
        <v>2.2999999999999998</v>
      </c>
      <c r="R184" s="198">
        <v>2.2999999999999998</v>
      </c>
      <c r="S184" s="198">
        <v>2.2999999999999998</v>
      </c>
      <c r="T184" s="198">
        <v>2.2999999999999998</v>
      </c>
      <c r="U184" s="198"/>
      <c r="V184" s="198"/>
      <c r="W184" s="198"/>
    </row>
    <row r="185" spans="1:26" x14ac:dyDescent="0.4">
      <c r="A185" s="202">
        <v>14</v>
      </c>
      <c r="B185" s="203" t="s">
        <v>9</v>
      </c>
      <c r="C185" s="204" t="s">
        <v>854</v>
      </c>
      <c r="D185" s="204"/>
      <c r="E185" s="205">
        <v>5.6</v>
      </c>
      <c r="F185" s="205">
        <v>1.8</v>
      </c>
      <c r="G185" s="205">
        <v>2.7</v>
      </c>
      <c r="H185" s="205">
        <v>3.1</v>
      </c>
      <c r="I185" s="205">
        <v>3.5</v>
      </c>
      <c r="J185" s="205">
        <v>3.4</v>
      </c>
      <c r="K185" s="205">
        <v>3.4</v>
      </c>
      <c r="L185" s="205">
        <v>3.4</v>
      </c>
      <c r="M185" s="205">
        <v>3.4</v>
      </c>
      <c r="N185" s="205">
        <v>3.8</v>
      </c>
      <c r="O185" s="205">
        <v>3.9</v>
      </c>
      <c r="P185" s="205">
        <v>3.9</v>
      </c>
      <c r="Q185" s="205">
        <v>3.4</v>
      </c>
      <c r="R185" s="205">
        <v>3.4</v>
      </c>
      <c r="S185" s="205">
        <v>3.4</v>
      </c>
      <c r="T185" s="205">
        <v>3.4</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v>78.5</v>
      </c>
      <c r="F189" s="208">
        <v>81.8</v>
      </c>
      <c r="G189" s="208">
        <v>84.3</v>
      </c>
      <c r="H189" s="208">
        <v>85.9</v>
      </c>
      <c r="I189" s="208">
        <v>86.6</v>
      </c>
      <c r="J189" s="208">
        <v>86.8</v>
      </c>
      <c r="K189" s="208">
        <v>86.5</v>
      </c>
      <c r="L189" s="208">
        <v>85.7</v>
      </c>
      <c r="M189" s="208">
        <v>84.4</v>
      </c>
      <c r="N189" s="208">
        <v>82.9</v>
      </c>
      <c r="O189" s="208">
        <v>81.3</v>
      </c>
      <c r="P189" s="208">
        <v>79.5</v>
      </c>
      <c r="Q189" s="208">
        <v>78.099999999999994</v>
      </c>
      <c r="R189" s="208">
        <v>76.900000000000006</v>
      </c>
      <c r="S189" s="208">
        <v>75.8</v>
      </c>
      <c r="T189" s="208">
        <v>74.7</v>
      </c>
      <c r="U189" s="197"/>
      <c r="V189" s="197"/>
      <c r="W189" s="197"/>
    </row>
    <row r="190" spans="1:26" x14ac:dyDescent="0.4">
      <c r="A190" s="194">
        <v>2</v>
      </c>
      <c r="B190" s="195" t="s">
        <v>842</v>
      </c>
      <c r="C190" s="196" t="s">
        <v>843</v>
      </c>
      <c r="D190" s="196"/>
      <c r="E190" s="208">
        <v>3.1</v>
      </c>
      <c r="F190" s="208">
        <v>2.9</v>
      </c>
      <c r="G190" s="208">
        <v>2.8</v>
      </c>
      <c r="H190" s="208">
        <v>2.9</v>
      </c>
      <c r="I190" s="208">
        <v>3</v>
      </c>
      <c r="J190" s="208">
        <v>3.1</v>
      </c>
      <c r="K190" s="208">
        <v>3.1</v>
      </c>
      <c r="L190" s="208">
        <v>3.2</v>
      </c>
      <c r="M190" s="208">
        <v>3.3</v>
      </c>
      <c r="N190" s="208">
        <v>4.3</v>
      </c>
      <c r="O190" s="208">
        <v>3.4</v>
      </c>
      <c r="P190" s="208">
        <v>3.4</v>
      </c>
      <c r="Q190" s="208">
        <v>3.5</v>
      </c>
      <c r="R190" s="208">
        <v>3.5</v>
      </c>
      <c r="S190" s="208">
        <v>3.5</v>
      </c>
      <c r="T190" s="208">
        <v>3.6</v>
      </c>
      <c r="U190" s="197"/>
      <c r="V190" s="197"/>
      <c r="W190" s="197"/>
    </row>
    <row r="191" spans="1:26" x14ac:dyDescent="0.4">
      <c r="A191" s="194">
        <v>3</v>
      </c>
      <c r="B191" s="195" t="s">
        <v>844</v>
      </c>
      <c r="C191" s="196" t="s">
        <v>845</v>
      </c>
      <c r="D191" s="196"/>
      <c r="E191" s="208">
        <v>3.4</v>
      </c>
      <c r="F191" s="208">
        <v>3.5</v>
      </c>
      <c r="G191" s="208">
        <v>2.1</v>
      </c>
      <c r="H191" s="208">
        <v>2</v>
      </c>
      <c r="I191" s="208">
        <v>2.1</v>
      </c>
      <c r="J191" s="208">
        <v>2.2000000000000002</v>
      </c>
      <c r="K191" s="208">
        <v>2.2000000000000002</v>
      </c>
      <c r="L191" s="208">
        <v>2.2999999999999998</v>
      </c>
      <c r="M191" s="208">
        <v>2.4</v>
      </c>
      <c r="N191" s="208">
        <v>3.5</v>
      </c>
      <c r="O191" s="208">
        <v>2.6</v>
      </c>
      <c r="P191" s="208">
        <v>2.7</v>
      </c>
      <c r="Q191" s="208">
        <v>2.6</v>
      </c>
      <c r="R191" s="208">
        <v>2.6</v>
      </c>
      <c r="S191" s="208">
        <v>2.6</v>
      </c>
      <c r="T191" s="208">
        <v>2.5</v>
      </c>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v>78.5</v>
      </c>
      <c r="F193" s="208">
        <v>81.8</v>
      </c>
      <c r="G193" s="208">
        <v>84.3</v>
      </c>
      <c r="H193" s="208">
        <v>85.9</v>
      </c>
      <c r="I193" s="208">
        <v>86.6</v>
      </c>
      <c r="J193" s="208">
        <v>86.8</v>
      </c>
      <c r="K193" s="208">
        <v>86.5</v>
      </c>
      <c r="L193" s="208">
        <v>85.7</v>
      </c>
      <c r="M193" s="208">
        <v>84.4</v>
      </c>
      <c r="N193" s="208">
        <v>82.8</v>
      </c>
      <c r="O193" s="208">
        <v>81.400000000000006</v>
      </c>
      <c r="P193" s="208">
        <v>80.400000000000006</v>
      </c>
      <c r="Q193" s="208">
        <v>79.5</v>
      </c>
      <c r="R193" s="208">
        <v>78.7</v>
      </c>
      <c r="S193" s="208">
        <v>78</v>
      </c>
      <c r="T193" s="208">
        <v>77.400000000000006</v>
      </c>
      <c r="U193" s="197"/>
      <c r="V193" s="197"/>
      <c r="W193" s="197"/>
    </row>
    <row r="194" spans="1:23" x14ac:dyDescent="0.4">
      <c r="A194" s="194">
        <v>5</v>
      </c>
      <c r="B194" s="195" t="s">
        <v>3</v>
      </c>
      <c r="C194" s="196" t="s">
        <v>838</v>
      </c>
      <c r="D194" s="196"/>
      <c r="E194" s="208">
        <v>-1.5</v>
      </c>
      <c r="F194" s="208">
        <v>-2.4</v>
      </c>
      <c r="G194" s="208">
        <v>-1.9</v>
      </c>
      <c r="H194" s="208">
        <v>-1.4</v>
      </c>
      <c r="I194" s="208">
        <v>-0.9</v>
      </c>
      <c r="J194" s="208">
        <v>-0.3</v>
      </c>
      <c r="K194" s="208">
        <v>0.2</v>
      </c>
      <c r="L194" s="208">
        <v>0.7</v>
      </c>
      <c r="M194" s="208">
        <v>1.2</v>
      </c>
      <c r="N194" s="208">
        <v>1</v>
      </c>
      <c r="O194" s="208">
        <v>0.7</v>
      </c>
      <c r="P194" s="208">
        <v>0.7</v>
      </c>
      <c r="Q194" s="208">
        <v>0.7</v>
      </c>
      <c r="R194" s="208">
        <v>0.7</v>
      </c>
      <c r="S194" s="208">
        <v>0.7</v>
      </c>
      <c r="T194" s="208">
        <v>0.7</v>
      </c>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v>78.5</v>
      </c>
      <c r="F196" s="208">
        <v>81.8</v>
      </c>
      <c r="G196" s="208">
        <v>84.3</v>
      </c>
      <c r="H196" s="208">
        <v>85.9</v>
      </c>
      <c r="I196" s="208">
        <v>86.6</v>
      </c>
      <c r="J196" s="208">
        <v>86.8</v>
      </c>
      <c r="K196" s="208">
        <v>86.5</v>
      </c>
      <c r="L196" s="208">
        <v>85.7</v>
      </c>
      <c r="M196" s="208">
        <v>84.4</v>
      </c>
      <c r="N196" s="208">
        <v>83.3</v>
      </c>
      <c r="O196" s="208">
        <v>82</v>
      </c>
      <c r="P196" s="208">
        <v>80.7</v>
      </c>
      <c r="Q196" s="208">
        <v>79.900000000000006</v>
      </c>
      <c r="R196" s="208">
        <v>79.2</v>
      </c>
      <c r="S196" s="208">
        <v>78.599999999999994</v>
      </c>
      <c r="T196" s="208">
        <v>78.099999999999994</v>
      </c>
      <c r="U196" s="197"/>
      <c r="V196" s="197"/>
      <c r="W196" s="197"/>
    </row>
    <row r="197" spans="1:23" x14ac:dyDescent="0.4">
      <c r="A197" s="194">
        <v>7</v>
      </c>
      <c r="B197" s="195" t="s">
        <v>842</v>
      </c>
      <c r="C197" s="196" t="s">
        <v>843</v>
      </c>
      <c r="D197" s="196"/>
      <c r="E197" s="208">
        <v>3.1</v>
      </c>
      <c r="F197" s="208">
        <v>2.9</v>
      </c>
      <c r="G197" s="208">
        <v>2.8</v>
      </c>
      <c r="H197" s="208">
        <v>2.9</v>
      </c>
      <c r="I197" s="208">
        <v>3</v>
      </c>
      <c r="J197" s="208">
        <v>3.1</v>
      </c>
      <c r="K197" s="208">
        <v>3.1</v>
      </c>
      <c r="L197" s="208">
        <v>3.2</v>
      </c>
      <c r="M197" s="208">
        <v>3.3</v>
      </c>
      <c r="N197" s="208">
        <v>3.8</v>
      </c>
      <c r="O197" s="208">
        <v>3.9</v>
      </c>
      <c r="P197" s="208">
        <v>3.9</v>
      </c>
      <c r="Q197" s="208">
        <v>4</v>
      </c>
      <c r="R197" s="208">
        <v>4</v>
      </c>
      <c r="S197" s="208">
        <v>4</v>
      </c>
      <c r="T197" s="208">
        <v>4.0999999999999996</v>
      </c>
      <c r="U197" s="197"/>
      <c r="V197" s="197"/>
      <c r="W197" s="197"/>
    </row>
    <row r="198" spans="1:23" x14ac:dyDescent="0.4">
      <c r="A198" s="194">
        <v>8</v>
      </c>
      <c r="B198" s="195" t="s">
        <v>844</v>
      </c>
      <c r="C198" s="196" t="s">
        <v>845</v>
      </c>
      <c r="D198" s="196"/>
      <c r="E198" s="208">
        <v>3.4</v>
      </c>
      <c r="F198" s="208">
        <v>3.5</v>
      </c>
      <c r="G198" s="208">
        <v>2.1</v>
      </c>
      <c r="H198" s="208">
        <v>2</v>
      </c>
      <c r="I198" s="208">
        <v>2.1</v>
      </c>
      <c r="J198" s="208">
        <v>2.2000000000000002</v>
      </c>
      <c r="K198" s="208">
        <v>2.2000000000000002</v>
      </c>
      <c r="L198" s="208">
        <v>2.2999999999999998</v>
      </c>
      <c r="M198" s="208">
        <v>2.4</v>
      </c>
      <c r="N198" s="208">
        <v>3</v>
      </c>
      <c r="O198" s="208">
        <v>3.1</v>
      </c>
      <c r="P198" s="208">
        <v>3.2</v>
      </c>
      <c r="Q198" s="208">
        <v>3.1</v>
      </c>
      <c r="R198" s="208">
        <v>3.1</v>
      </c>
      <c r="S198" s="208">
        <v>3.1</v>
      </c>
      <c r="T198" s="208">
        <v>3</v>
      </c>
      <c r="U198" s="197"/>
      <c r="V198" s="197"/>
      <c r="W198" s="197"/>
    </row>
    <row r="199" spans="1:23" x14ac:dyDescent="0.4">
      <c r="A199" s="194">
        <v>9</v>
      </c>
      <c r="B199" s="200" t="s">
        <v>7</v>
      </c>
      <c r="C199" s="196" t="s">
        <v>852</v>
      </c>
      <c r="D199" s="196"/>
      <c r="E199" s="208">
        <v>-1</v>
      </c>
      <c r="F199" s="208">
        <v>-1.2</v>
      </c>
      <c r="G199" s="208">
        <v>0.2</v>
      </c>
      <c r="H199" s="208">
        <v>1.1000000000000001</v>
      </c>
      <c r="I199" s="208">
        <v>1.5</v>
      </c>
      <c r="J199" s="208">
        <v>1.2</v>
      </c>
      <c r="K199" s="208">
        <v>1.3</v>
      </c>
      <c r="L199" s="208">
        <v>1.2</v>
      </c>
      <c r="M199" s="208">
        <v>1.2</v>
      </c>
      <c r="N199" s="208">
        <v>1</v>
      </c>
      <c r="O199" s="208">
        <v>1</v>
      </c>
      <c r="P199" s="208">
        <v>1</v>
      </c>
      <c r="Q199" s="208">
        <v>0.6</v>
      </c>
      <c r="R199" s="208">
        <v>0.6</v>
      </c>
      <c r="S199" s="208">
        <v>0.6</v>
      </c>
      <c r="T199" s="208">
        <v>0.6</v>
      </c>
      <c r="U199" s="197"/>
      <c r="V199" s="197"/>
      <c r="W199" s="197"/>
    </row>
    <row r="200" spans="1:23" x14ac:dyDescent="0.4">
      <c r="A200" s="194">
        <v>10</v>
      </c>
      <c r="B200" s="200" t="s">
        <v>850</v>
      </c>
      <c r="C200" s="196" t="s">
        <v>851</v>
      </c>
      <c r="D200" s="196"/>
      <c r="E200" s="208">
        <v>0.9</v>
      </c>
      <c r="F200" s="208">
        <v>0.4</v>
      </c>
      <c r="G200" s="208">
        <v>1.1000000000000001</v>
      </c>
      <c r="H200" s="208">
        <v>1.1000000000000001</v>
      </c>
      <c r="I200" s="208">
        <v>1.1000000000000001</v>
      </c>
      <c r="J200" s="208">
        <v>1.1000000000000001</v>
      </c>
      <c r="K200" s="208">
        <v>1.1000000000000001</v>
      </c>
      <c r="L200" s="208">
        <v>1.1000000000000001</v>
      </c>
      <c r="M200" s="208">
        <v>1.1000000000000001</v>
      </c>
      <c r="N200" s="208">
        <v>0.6</v>
      </c>
      <c r="O200" s="208">
        <v>0.6</v>
      </c>
      <c r="P200" s="208">
        <v>0.6</v>
      </c>
      <c r="Q200" s="208">
        <v>0.6</v>
      </c>
      <c r="R200" s="208">
        <v>0.6</v>
      </c>
      <c r="S200" s="208">
        <v>0.6</v>
      </c>
      <c r="T200" s="208">
        <v>0.6</v>
      </c>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v>74.400000000000006</v>
      </c>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c r="E206">
        <v>78.5</v>
      </c>
      <c r="F206">
        <v>81.8</v>
      </c>
      <c r="G206">
        <v>84.6</v>
      </c>
      <c r="H206">
        <v>87.2</v>
      </c>
      <c r="I206">
        <v>89.5</v>
      </c>
      <c r="J206">
        <v>91.7</v>
      </c>
      <c r="K206">
        <v>93.7</v>
      </c>
      <c r="L206">
        <v>96.4</v>
      </c>
      <c r="M206">
        <v>99.3</v>
      </c>
      <c r="N206">
        <v>102.2</v>
      </c>
      <c r="O206">
        <v>105.3</v>
      </c>
      <c r="P206">
        <v>108.5</v>
      </c>
      <c r="Q206">
        <v>111.9</v>
      </c>
      <c r="R206">
        <v>115.3</v>
      </c>
      <c r="S206">
        <v>118.9</v>
      </c>
      <c r="T206">
        <v>122.6</v>
      </c>
    </row>
    <row r="207" spans="1:23" x14ac:dyDescent="0.4">
      <c r="A207" s="224">
        <v>2</v>
      </c>
      <c r="B207" s="225" t="s">
        <v>836</v>
      </c>
      <c r="C207" s="225" t="s">
        <v>837</v>
      </c>
      <c r="D207" s="225"/>
      <c r="E207">
        <v>-2.6</v>
      </c>
      <c r="F207">
        <v>-4.7</v>
      </c>
      <c r="G207">
        <v>-5.3</v>
      </c>
      <c r="H207">
        <v>-5.3</v>
      </c>
      <c r="I207">
        <v>-5.4</v>
      </c>
      <c r="J207">
        <v>-5.4</v>
      </c>
      <c r="K207">
        <v>-5.4</v>
      </c>
      <c r="L207">
        <v>-5.7</v>
      </c>
      <c r="M207">
        <v>-6</v>
      </c>
      <c r="N207">
        <v>-6.2</v>
      </c>
      <c r="O207">
        <v>-6.5</v>
      </c>
      <c r="P207">
        <v>-6.7</v>
      </c>
      <c r="Q207">
        <v>-7</v>
      </c>
      <c r="R207">
        <v>-7.2</v>
      </c>
      <c r="S207">
        <v>-7.4</v>
      </c>
      <c r="T207">
        <v>-7.6</v>
      </c>
    </row>
    <row r="208" spans="1:23" x14ac:dyDescent="0.4">
      <c r="A208" s="224">
        <v>3</v>
      </c>
      <c r="B208" s="225" t="s">
        <v>3</v>
      </c>
      <c r="C208" s="225" t="s">
        <v>838</v>
      </c>
      <c r="D208" s="225"/>
      <c r="E208">
        <v>-1.5</v>
      </c>
      <c r="F208">
        <v>-2.4</v>
      </c>
      <c r="G208">
        <v>-2.4</v>
      </c>
      <c r="H208">
        <v>-2.4</v>
      </c>
      <c r="I208">
        <v>-2.4</v>
      </c>
      <c r="J208">
        <v>-2.4</v>
      </c>
      <c r="K208">
        <v>-2.4</v>
      </c>
      <c r="L208">
        <v>-2.4</v>
      </c>
      <c r="M208">
        <v>-2.4</v>
      </c>
      <c r="N208">
        <v>-2.4</v>
      </c>
      <c r="O208">
        <v>-2.4</v>
      </c>
      <c r="P208">
        <v>-2.4</v>
      </c>
      <c r="Q208">
        <v>-2.4</v>
      </c>
      <c r="R208">
        <v>-2.4</v>
      </c>
      <c r="S208">
        <v>-2.4</v>
      </c>
      <c r="T208">
        <v>-2.4</v>
      </c>
    </row>
    <row r="209" spans="1:23" x14ac:dyDescent="0.4">
      <c r="A209" s="224">
        <v>4</v>
      </c>
      <c r="B209" s="225" t="s">
        <v>839</v>
      </c>
      <c r="C209" s="225"/>
      <c r="D209" s="225"/>
      <c r="E209">
        <v>-0.1</v>
      </c>
      <c r="F209">
        <v>0.8</v>
      </c>
      <c r="G209">
        <v>1</v>
      </c>
      <c r="H209">
        <v>0.9</v>
      </c>
      <c r="I209">
        <v>0.6</v>
      </c>
      <c r="J209">
        <v>0.3</v>
      </c>
      <c r="K209">
        <v>0</v>
      </c>
      <c r="L209">
        <v>0</v>
      </c>
      <c r="M209">
        <v>0</v>
      </c>
      <c r="N209">
        <v>0</v>
      </c>
      <c r="O209">
        <v>0</v>
      </c>
      <c r="P209">
        <v>0</v>
      </c>
      <c r="Q209">
        <v>0</v>
      </c>
      <c r="R209">
        <v>0</v>
      </c>
      <c r="S209">
        <v>0</v>
      </c>
      <c r="T209">
        <v>0</v>
      </c>
    </row>
    <row r="210" spans="1:23" x14ac:dyDescent="0.4">
      <c r="A210" s="224">
        <v>5</v>
      </c>
      <c r="B210" s="225" t="s">
        <v>25</v>
      </c>
      <c r="C210" s="225" t="s">
        <v>841</v>
      </c>
      <c r="D210" s="225"/>
      <c r="E210">
        <v>1.2</v>
      </c>
      <c r="F210">
        <v>1.5</v>
      </c>
      <c r="G210">
        <v>1.5</v>
      </c>
      <c r="H210">
        <v>1.7</v>
      </c>
      <c r="I210">
        <v>1.9</v>
      </c>
      <c r="J210">
        <v>2.1</v>
      </c>
      <c r="K210">
        <v>2.1</v>
      </c>
      <c r="L210">
        <v>2.2999999999999998</v>
      </c>
      <c r="M210">
        <v>2.4</v>
      </c>
      <c r="N210">
        <v>2.6</v>
      </c>
      <c r="O210">
        <v>2.8</v>
      </c>
      <c r="P210">
        <v>3</v>
      </c>
      <c r="Q210">
        <v>3.1</v>
      </c>
      <c r="R210">
        <v>3.3</v>
      </c>
      <c r="S210">
        <v>3.5</v>
      </c>
      <c r="T210">
        <v>3.7</v>
      </c>
    </row>
    <row r="211" spans="1:23" x14ac:dyDescent="0.4">
      <c r="A211" s="224">
        <v>6</v>
      </c>
      <c r="B211" s="225" t="s">
        <v>842</v>
      </c>
      <c r="C211" s="225" t="s">
        <v>843</v>
      </c>
      <c r="D211" s="225"/>
      <c r="E211">
        <v>3.1</v>
      </c>
      <c r="F211">
        <v>2.9</v>
      </c>
      <c r="G211">
        <v>2.8</v>
      </c>
      <c r="H211">
        <v>2.9</v>
      </c>
      <c r="I211">
        <v>3</v>
      </c>
      <c r="J211">
        <v>3.1</v>
      </c>
      <c r="K211">
        <v>3.1</v>
      </c>
      <c r="L211">
        <v>3.2</v>
      </c>
      <c r="M211">
        <v>3.3</v>
      </c>
      <c r="N211">
        <v>3.3</v>
      </c>
      <c r="O211">
        <v>3.4</v>
      </c>
      <c r="P211">
        <v>3.4</v>
      </c>
      <c r="Q211">
        <v>3.5</v>
      </c>
      <c r="R211">
        <v>3.5</v>
      </c>
      <c r="S211">
        <v>3.5</v>
      </c>
      <c r="T211">
        <v>3.6</v>
      </c>
    </row>
    <row r="212" spans="1:23" x14ac:dyDescent="0.4">
      <c r="A212" s="224">
        <v>7</v>
      </c>
      <c r="B212" s="225" t="s">
        <v>844</v>
      </c>
      <c r="C212" s="225" t="s">
        <v>845</v>
      </c>
      <c r="D212" s="225"/>
      <c r="E212">
        <v>3.4</v>
      </c>
      <c r="F212">
        <v>3.5</v>
      </c>
      <c r="G212">
        <v>2.1</v>
      </c>
      <c r="H212">
        <v>2</v>
      </c>
      <c r="I212">
        <v>2.1</v>
      </c>
      <c r="J212">
        <v>2.2000000000000002</v>
      </c>
      <c r="K212">
        <v>2.2000000000000002</v>
      </c>
      <c r="L212">
        <v>2.2999999999999998</v>
      </c>
      <c r="M212">
        <v>2.4</v>
      </c>
      <c r="N212">
        <v>2.5</v>
      </c>
      <c r="O212">
        <v>2.6</v>
      </c>
      <c r="P212">
        <v>2.7</v>
      </c>
      <c r="Q212">
        <v>2.6</v>
      </c>
      <c r="R212">
        <v>2.6</v>
      </c>
      <c r="S212">
        <v>2.6</v>
      </c>
      <c r="T212">
        <v>2.5</v>
      </c>
    </row>
    <row r="213" spans="1:23" x14ac:dyDescent="0.4">
      <c r="A213" s="224">
        <v>8</v>
      </c>
      <c r="B213" s="225" t="s">
        <v>846</v>
      </c>
      <c r="C213" s="225" t="s">
        <v>847</v>
      </c>
      <c r="D213" s="225"/>
      <c r="E213">
        <v>1.6</v>
      </c>
      <c r="F213">
        <v>2</v>
      </c>
      <c r="G213">
        <v>1.9</v>
      </c>
      <c r="H213">
        <v>1.9</v>
      </c>
      <c r="I213">
        <v>2.1</v>
      </c>
      <c r="J213">
        <v>2.2000000000000002</v>
      </c>
      <c r="K213">
        <v>2.4</v>
      </c>
      <c r="L213">
        <v>2.5</v>
      </c>
      <c r="M213">
        <v>2.6</v>
      </c>
      <c r="N213">
        <v>2.7</v>
      </c>
      <c r="O213">
        <v>2.8</v>
      </c>
      <c r="P213">
        <v>2.9</v>
      </c>
      <c r="Q213">
        <v>3</v>
      </c>
      <c r="R213">
        <v>3.1</v>
      </c>
      <c r="S213">
        <v>3.1</v>
      </c>
      <c r="T213">
        <v>3.2</v>
      </c>
    </row>
    <row r="214" spans="1:23" x14ac:dyDescent="0.4">
      <c r="A214" s="224">
        <v>9</v>
      </c>
      <c r="B214" s="225" t="s">
        <v>850</v>
      </c>
      <c r="C214" s="225" t="s">
        <v>851</v>
      </c>
      <c r="D214" s="225"/>
      <c r="E214">
        <v>0.9</v>
      </c>
      <c r="F214">
        <v>0.4</v>
      </c>
      <c r="G214">
        <v>1.1000000000000001</v>
      </c>
      <c r="H214">
        <v>1.1000000000000001</v>
      </c>
      <c r="I214">
        <v>1.1000000000000001</v>
      </c>
      <c r="J214">
        <v>1.1000000000000001</v>
      </c>
      <c r="K214">
        <v>1.1000000000000001</v>
      </c>
      <c r="L214">
        <v>1.1000000000000001</v>
      </c>
      <c r="M214">
        <v>1.1000000000000001</v>
      </c>
      <c r="N214">
        <v>1.1000000000000001</v>
      </c>
      <c r="O214">
        <v>1.1000000000000001</v>
      </c>
      <c r="P214">
        <v>1.1000000000000001</v>
      </c>
      <c r="Q214">
        <v>1.1000000000000001</v>
      </c>
      <c r="R214">
        <v>1.1000000000000001</v>
      </c>
      <c r="S214">
        <v>1.1000000000000001</v>
      </c>
      <c r="T214">
        <v>1.1000000000000001</v>
      </c>
    </row>
    <row r="215" spans="1:23" x14ac:dyDescent="0.4">
      <c r="A215" s="224">
        <v>10</v>
      </c>
      <c r="B215" s="225" t="s">
        <v>7</v>
      </c>
      <c r="C215" s="225" t="s">
        <v>852</v>
      </c>
      <c r="D215" s="225"/>
      <c r="E215">
        <v>-1</v>
      </c>
      <c r="F215">
        <v>-1.2</v>
      </c>
      <c r="G215">
        <v>0.6</v>
      </c>
      <c r="H215">
        <v>1.3</v>
      </c>
      <c r="I215">
        <v>1.6</v>
      </c>
      <c r="J215">
        <v>1.6</v>
      </c>
      <c r="K215">
        <v>1.6</v>
      </c>
      <c r="L215">
        <v>1.1000000000000001</v>
      </c>
      <c r="M215">
        <v>1.1000000000000001</v>
      </c>
      <c r="N215">
        <v>1.1000000000000001</v>
      </c>
      <c r="O215">
        <v>1.1000000000000001</v>
      </c>
      <c r="P215">
        <v>1.1000000000000001</v>
      </c>
      <c r="Q215">
        <v>1.1000000000000001</v>
      </c>
      <c r="R215">
        <v>1.1000000000000001</v>
      </c>
      <c r="S215">
        <v>1.1000000000000001</v>
      </c>
      <c r="T215">
        <v>1.1000000000000001</v>
      </c>
    </row>
    <row r="216" spans="1:23" x14ac:dyDescent="0.4">
      <c r="A216" s="224">
        <v>11</v>
      </c>
      <c r="B216" s="225" t="s">
        <v>8</v>
      </c>
      <c r="C216" s="225" t="s">
        <v>853</v>
      </c>
      <c r="D216" s="225"/>
      <c r="E216">
        <v>6.6</v>
      </c>
      <c r="F216">
        <v>3.1</v>
      </c>
      <c r="G216">
        <v>2.4</v>
      </c>
      <c r="H216">
        <v>2</v>
      </c>
      <c r="I216">
        <v>2.1</v>
      </c>
      <c r="J216">
        <v>2.1</v>
      </c>
      <c r="K216">
        <v>2.1</v>
      </c>
      <c r="L216">
        <v>2.2000000000000002</v>
      </c>
      <c r="M216">
        <v>2.2000000000000002</v>
      </c>
      <c r="N216">
        <v>2.2999999999999998</v>
      </c>
      <c r="O216">
        <v>2.2999999999999998</v>
      </c>
      <c r="P216">
        <v>2.4</v>
      </c>
      <c r="Q216">
        <v>2.2999999999999998</v>
      </c>
      <c r="R216">
        <v>2.2999999999999998</v>
      </c>
      <c r="S216">
        <v>2.2999999999999998</v>
      </c>
      <c r="T216">
        <v>2.2999999999999998</v>
      </c>
    </row>
    <row r="217" spans="1:23" x14ac:dyDescent="0.4">
      <c r="A217" s="224">
        <v>12</v>
      </c>
      <c r="B217" s="225" t="s">
        <v>9</v>
      </c>
      <c r="C217" s="225" t="s">
        <v>854</v>
      </c>
      <c r="D217" s="225"/>
      <c r="E217">
        <v>5.6</v>
      </c>
      <c r="F217">
        <v>1.8</v>
      </c>
      <c r="G217">
        <v>3</v>
      </c>
      <c r="H217">
        <v>3.4</v>
      </c>
      <c r="I217">
        <v>3.7</v>
      </c>
      <c r="J217">
        <v>3.7</v>
      </c>
      <c r="K217">
        <v>3.8</v>
      </c>
      <c r="L217">
        <v>3.3</v>
      </c>
      <c r="M217">
        <v>3.3</v>
      </c>
      <c r="N217">
        <v>3.4</v>
      </c>
      <c r="O217">
        <v>3.4</v>
      </c>
      <c r="P217">
        <v>3.5</v>
      </c>
      <c r="Q217">
        <v>3.4</v>
      </c>
      <c r="R217">
        <v>3.4</v>
      </c>
      <c r="S217">
        <v>3.4</v>
      </c>
      <c r="T217">
        <v>3.4</v>
      </c>
    </row>
    <row r="218" spans="1:23" x14ac:dyDescent="0.4">
      <c r="A218" s="226">
        <v>13</v>
      </c>
      <c r="B218" s="227" t="s">
        <v>858</v>
      </c>
      <c r="C218" s="227"/>
      <c r="D218" s="227"/>
      <c r="E218" s="228">
        <v>0.75</v>
      </c>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v>78.5</v>
      </c>
      <c r="F222" s="197">
        <v>81.8</v>
      </c>
      <c r="G222" s="197">
        <v>84.3</v>
      </c>
      <c r="H222" s="197">
        <v>85.9</v>
      </c>
      <c r="I222" s="197">
        <v>86.6</v>
      </c>
      <c r="J222" s="197">
        <v>86.8</v>
      </c>
      <c r="K222" s="198">
        <v>86.5</v>
      </c>
      <c r="L222" s="198">
        <v>85.7</v>
      </c>
      <c r="M222" s="198">
        <v>84.4</v>
      </c>
      <c r="N222" s="198">
        <v>82.8</v>
      </c>
      <c r="O222" s="198">
        <v>81</v>
      </c>
      <c r="P222" s="198">
        <v>79.2</v>
      </c>
      <c r="Q222" s="198">
        <v>77.8</v>
      </c>
      <c r="R222" s="198">
        <v>76.5</v>
      </c>
      <c r="S222" s="198">
        <v>75.3</v>
      </c>
      <c r="T222" s="198">
        <v>74.2</v>
      </c>
      <c r="U222" s="198"/>
      <c r="V222" s="198"/>
      <c r="W222" s="198"/>
    </row>
    <row r="223" spans="1:23" x14ac:dyDescent="0.4">
      <c r="A223" s="194">
        <v>2</v>
      </c>
      <c r="B223" s="229" t="s">
        <v>860</v>
      </c>
      <c r="C223" s="230"/>
      <c r="D223" s="196"/>
      <c r="E223" s="197">
        <v>8.4</v>
      </c>
      <c r="F223" s="197">
        <v>7.7</v>
      </c>
      <c r="G223" s="197">
        <v>8</v>
      </c>
      <c r="H223" s="197">
        <v>8.1</v>
      </c>
      <c r="I223" s="197">
        <v>8.1999999999999993</v>
      </c>
      <c r="J223" s="197">
        <v>8.3000000000000007</v>
      </c>
      <c r="K223" s="198">
        <v>8.3000000000000007</v>
      </c>
      <c r="L223" s="198">
        <v>8.1999999999999993</v>
      </c>
      <c r="M223" s="198">
        <v>8.1</v>
      </c>
      <c r="N223" s="198">
        <v>7.9</v>
      </c>
      <c r="O223" s="198">
        <v>7.7</v>
      </c>
      <c r="P223" s="198">
        <v>7.5</v>
      </c>
      <c r="Q223" s="198">
        <v>7.4</v>
      </c>
      <c r="R223" s="198">
        <v>7.3</v>
      </c>
      <c r="S223" s="198">
        <v>7.1</v>
      </c>
      <c r="T223" s="198">
        <v>7</v>
      </c>
      <c r="U223" s="198"/>
      <c r="V223" s="198"/>
      <c r="W223" s="198"/>
    </row>
    <row r="224" spans="1:23" x14ac:dyDescent="0.4">
      <c r="A224" s="194">
        <v>3</v>
      </c>
      <c r="B224" s="229" t="s">
        <v>861</v>
      </c>
      <c r="C224" s="230"/>
      <c r="D224" s="196"/>
      <c r="E224" s="197">
        <v>5.3</v>
      </c>
      <c r="F224" s="197">
        <v>5.5</v>
      </c>
      <c r="G224" s="197">
        <v>5.7</v>
      </c>
      <c r="H224" s="197">
        <v>5.8</v>
      </c>
      <c r="I224" s="197">
        <v>5.9</v>
      </c>
      <c r="J224" s="197">
        <v>6</v>
      </c>
      <c r="K224" s="198">
        <v>6</v>
      </c>
      <c r="L224" s="198">
        <v>5.9</v>
      </c>
      <c r="M224" s="198">
        <v>5.9</v>
      </c>
      <c r="N224" s="198">
        <v>5.8</v>
      </c>
      <c r="O224" s="198">
        <v>5.7</v>
      </c>
      <c r="P224" s="198">
        <v>5.5</v>
      </c>
      <c r="Q224" s="198">
        <v>5.4</v>
      </c>
      <c r="R224" s="198">
        <v>5.3</v>
      </c>
      <c r="S224" s="198">
        <v>5.2</v>
      </c>
      <c r="T224" s="198">
        <v>5.2</v>
      </c>
      <c r="U224" s="198"/>
      <c r="V224" s="198"/>
      <c r="W224" s="198"/>
    </row>
    <row r="225" spans="1:23" x14ac:dyDescent="0.4">
      <c r="A225" s="194">
        <v>4</v>
      </c>
      <c r="B225" s="229" t="s">
        <v>862</v>
      </c>
      <c r="C225" s="230"/>
      <c r="D225" s="196"/>
      <c r="E225" s="197">
        <v>4</v>
      </c>
      <c r="F225" s="197">
        <v>4.4000000000000004</v>
      </c>
      <c r="G225" s="197">
        <v>4.3</v>
      </c>
      <c r="H225" s="197">
        <v>3.9</v>
      </c>
      <c r="I225" s="197">
        <v>3.4</v>
      </c>
      <c r="J225" s="197">
        <v>2.8</v>
      </c>
      <c r="K225" s="198">
        <v>2.4</v>
      </c>
      <c r="L225" s="198">
        <v>1.9</v>
      </c>
      <c r="M225" s="198">
        <v>1.5</v>
      </c>
      <c r="N225" s="198">
        <v>1.4</v>
      </c>
      <c r="O225" s="198">
        <v>1.2</v>
      </c>
      <c r="P225" s="198">
        <v>1.1000000000000001</v>
      </c>
      <c r="Q225" s="198">
        <v>1.2</v>
      </c>
      <c r="R225" s="198">
        <v>1.2</v>
      </c>
      <c r="S225" s="198">
        <v>1.2</v>
      </c>
      <c r="T225" s="198">
        <v>1.3</v>
      </c>
      <c r="U225" s="198"/>
      <c r="V225" s="198"/>
      <c r="W225" s="198"/>
    </row>
    <row r="226" spans="1:23" x14ac:dyDescent="0.4">
      <c r="A226" s="202">
        <v>5</v>
      </c>
      <c r="B226" s="231" t="s">
        <v>863</v>
      </c>
      <c r="C226" s="232"/>
      <c r="D226" s="204"/>
      <c r="E226" s="205">
        <v>0.3</v>
      </c>
      <c r="F226" s="205">
        <v>0.3</v>
      </c>
      <c r="G226" s="205">
        <v>0.3</v>
      </c>
      <c r="H226" s="205">
        <v>0.3</v>
      </c>
      <c r="I226" s="205">
        <v>0.3</v>
      </c>
      <c r="J226" s="205">
        <v>0.2</v>
      </c>
      <c r="K226" s="233">
        <v>0.2</v>
      </c>
      <c r="L226" s="233">
        <v>0.1</v>
      </c>
      <c r="M226" s="233">
        <v>0.1</v>
      </c>
      <c r="N226" s="233">
        <v>0.1</v>
      </c>
      <c r="O226" s="233">
        <v>0.1</v>
      </c>
      <c r="P226" s="233">
        <v>0.1</v>
      </c>
      <c r="Q226" s="233">
        <v>0.1</v>
      </c>
      <c r="R226" s="233">
        <v>0.1</v>
      </c>
      <c r="S226" s="233">
        <v>0.1</v>
      </c>
      <c r="T226" s="233">
        <v>0.1</v>
      </c>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Austria's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Austria's gross debt was above 60% of GDP and its general government deficit was above 3% of GDP in 2023 (T-1), therefore it must adhere to an MTP with a planned net expenditure path that does not exceed the Commission's reference trajectory (or an alternative path that meets all criteria). If the planned net expenditure path exceeds the reference trajectory, Austria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Austria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Austria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Fiscal Advisory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Fiscal Advisory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Austria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Compliant</v>
      </c>
      <c r="F14" s="22" t="str">
        <f>Assessment!C236</f>
        <v>The average net expenditure growth reported in Austria's plan over the adjustment period (2025–2028) is higher than the reference trajectory transmitted by the Commission on Enter date, but the Fiscal Advisory Council deems the explanation and alternative assumptions to be satisfactory.</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Austria's latest MTP exceeds the Commission's reference trajectory but the Fiscal Advisory Council deems the explanation and alternative assumptions to be satisfactory.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Austria's planned net expenditure ensures gross government debt meets all risk-based debt requirements for a plausible downward path.</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Austria's net expenditure path brings the government deficit below 3% of GDP by the end of the adjustment period and maintains it below 3% of GDP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Breach</v>
      </c>
      <c r="F18" s="22" t="str">
        <f>Assessment!C296</f>
        <v>The time profile of the fiscal adjustment, measured as the change in the structural primary balance, is non-linear. The adjustment effort rises over the adjustment period, and it is not proportional to the total effort over the adjustment period. Therefore the net expenditure path put forward in Austria's latest MTP is not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Austria.</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Breach</v>
      </c>
      <c r="F21" s="22" t="str">
        <f>Assessment!C319</f>
        <v>The debt sustainability safeguard applies and Austria's fiscal path is not compliant.</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Breach</v>
      </c>
      <c r="F22" s="22" t="str">
        <f>Assessment!C332</f>
        <v>The deficit resilience safeguard applies and Austria's fiscal path is not compliant.</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Austria's total SPB adjustment required over the adjustment period is 3.9 pp of GDP. The planned average annual consolidation of 2.1 pp exceeds the required 1.0 pp, indicating that the plan appears consistent with achieving the target SPB implied by the reference trajectory by the end of the horizon.</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Breach</v>
      </c>
      <c r="F25" s="73" t="str">
        <f>IF(Receives_reference_trajectory,Assessment!C356,Assessment!C360)</f>
        <v>The net expenditure path in Austria's latest MTP exceeds the Commission's reference trajectory but the Fiscal Advisory Council deems the explanation and alternative assumptions to be satisfactory, but it does not meet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956</v>
      </c>
      <c r="C2" s="179">
        <v>2023</v>
      </c>
    </row>
    <row r="4" spans="1:14" ht="23.25" x14ac:dyDescent="0.7">
      <c r="A4" s="13" t="s">
        <v>802</v>
      </c>
    </row>
    <row r="5" spans="1:14" x14ac:dyDescent="0.4">
      <c r="A5" s="234"/>
      <c r="B5" s="234"/>
      <c r="C5" s="234"/>
      <c r="D5" s="272">
        <f>C2</f>
        <v>2023</v>
      </c>
      <c r="E5" s="272" cm="1">
        <f t="array" ref="E5:G5">_xlfn.SEQUENCE(1, AssessmentEnd-C2+1, C2)</f>
        <v>2023</v>
      </c>
      <c r="F5" s="272">
        <v>2024</v>
      </c>
      <c r="G5" s="272">
        <v>2025</v>
      </c>
      <c r="H5" s="272"/>
      <c r="I5" s="272"/>
      <c r="J5" s="272"/>
      <c r="K5" s="272"/>
      <c r="L5" s="272"/>
      <c r="M5" s="272"/>
    </row>
    <row r="6" spans="1:14" x14ac:dyDescent="0.4">
      <c r="A6" s="212"/>
      <c r="B6" s="212" t="s">
        <v>30</v>
      </c>
      <c r="C6" s="212" t="s">
        <v>31</v>
      </c>
      <c r="D6" s="272" t="s">
        <v>6</v>
      </c>
      <c r="E6" s="272" t="str" cm="1">
        <f t="array" ref="E6:G6">IF(ISNUMBER(_xlfn.ANCHORARRAY(E$5)),"% of GDP","")</f>
        <v>% of GDP</v>
      </c>
      <c r="F6" s="272" t="str">
        <v>% of GDP</v>
      </c>
      <c r="G6" s="272" t="str">
        <v>% of GDP</v>
      </c>
      <c r="H6" s="272"/>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G18">IF(ISNUMBER(_xlfn.ANCHORARRAY(E$5)),"% of GDP","")</f>
        <v>% of GDP</v>
      </c>
      <c r="F18" s="272" t="str">
        <v>% of GDP</v>
      </c>
      <c r="G18" s="272" t="str">
        <v>% of GDP</v>
      </c>
      <c r="H18" s="272"/>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G37">IF(ISNUMBER(_xlfn.ANCHORARRAY(E$5)),"growth rate","")</f>
        <v>growth rate</v>
      </c>
      <c r="F37" s="272" t="str">
        <v>growth rate</v>
      </c>
      <c r="G37" s="272" t="str">
        <v>growth rate</v>
      </c>
      <c r="H37" s="272"/>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G55">IF(ISNUMBER(_xlfn.ANCHORARRAY(E$37)),"%","")</f>
        <v/>
      </c>
      <c r="F55" s="272" t="str">
        <v/>
      </c>
      <c r="G55" s="272" t="str">
        <v/>
      </c>
      <c r="H55" s="272"/>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G63">_xlfn.SEQUENCE(1, AssessmentEnd-C2+1, C2)</f>
        <v>2023</v>
      </c>
      <c r="F63" s="272">
        <v>2024</v>
      </c>
      <c r="G63" s="272">
        <v>2025</v>
      </c>
      <c r="H63" s="272"/>
      <c r="I63" s="272"/>
      <c r="J63" s="272"/>
      <c r="K63" s="272"/>
      <c r="L63" s="272"/>
      <c r="M63" s="272"/>
    </row>
    <row r="64" spans="1:13" x14ac:dyDescent="0.4">
      <c r="A64" s="212"/>
      <c r="B64" s="212"/>
      <c r="C64" s="212"/>
      <c r="D64" s="272" t="s">
        <v>6</v>
      </c>
      <c r="E64" s="272" t="str" cm="1">
        <f t="array" ref="E64:G64">IF(ISNUMBER(_xlfn.ANCHORARRAY(E$37)),"growth rate","")</f>
        <v/>
      </c>
      <c r="F64" s="272" t="str">
        <v/>
      </c>
      <c r="G64" s="272" t="str">
        <v/>
      </c>
      <c r="H64" s="272"/>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G68">IF(ISNUMBER(_xlfn.ANCHORARRAY(E$37)),"growth rate","")</f>
        <v/>
      </c>
      <c r="F68" s="272" t="str">
        <v/>
      </c>
      <c r="G68" s="272" t="str">
        <v/>
      </c>
      <c r="H68" s="272"/>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G79">IF(ISNUMBER(_xlfn.ANCHORARRAY(E$37)),"growth rate","")</f>
        <v/>
      </c>
      <c r="F79" s="272" t="str">
        <v/>
      </c>
      <c r="G79" s="272" t="str">
        <v/>
      </c>
      <c r="H79" s="272"/>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G86">IF(ISNUMBER(_xlfn.ANCHORARRAY(E$37)),"growth rate","")</f>
        <v/>
      </c>
      <c r="F86" s="272" t="str">
        <v/>
      </c>
      <c r="G86" s="272" t="str">
        <v/>
      </c>
      <c r="H86" s="272"/>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G93">IF(ISNUMBER(_xlfn.ANCHORARRAY(E$37)),"%","")</f>
        <v/>
      </c>
      <c r="F93" s="272" t="str">
        <v/>
      </c>
      <c r="G93" s="272" t="str">
        <v/>
      </c>
      <c r="H93" s="272"/>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G95">IF(ISNUMBER(_xlfn.ANCHORARRAY(E$37)),"growth rate","")</f>
        <v/>
      </c>
      <c r="F95" s="272" t="str">
        <v/>
      </c>
      <c r="G95" s="272" t="str">
        <v/>
      </c>
      <c r="H95" s="272"/>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G101">IF(ISNUMBER(_xlfn.ANCHORARRAY(E$37)),"% pot. GDP","")</f>
        <v/>
      </c>
      <c r="F101" s="272" t="str">
        <v/>
      </c>
      <c r="G101" s="272" t="str">
        <v/>
      </c>
      <c r="H101" s="272"/>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v>
      </c>
    </row>
    <row r="3" spans="2:23" customFormat="1" ht="15.75" x14ac:dyDescent="0.5">
      <c r="B3" s="79"/>
    </row>
    <row r="4" spans="2:23" customFormat="1" ht="14.65" customHeight="1" x14ac:dyDescent="0.4">
      <c r="B4" s="39" t="s">
        <v>251</v>
      </c>
      <c r="C4" s="94"/>
      <c r="D4" s="44" cm="1">
        <f t="array" ref="D4:F4">_xlfn.SEQUENCE(1, AssessmentEnd-MTP_BaseYear+1, MTP_BaseYear)</f>
        <v>2023</v>
      </c>
      <c r="E4" s="44">
        <v>2024</v>
      </c>
      <c r="F4" s="44">
        <v>2025</v>
      </c>
      <c r="G4" s="44"/>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F5">IF(
  AND(_xlfn.ANCHORARRAY(D4)&gt;=MTP_YearT-1,_xlfn.ANCHORARRAY( D4)&lt;=MTP_EndYear),
  CHOOSE(SIGN(_xlfn.ANCHORARRAY(D4)-MTP_YearT)+2, "T-1", "T", "T+"&amp;(_xlfn.ANCHORARRAY(D4)-MTP_YearT)),
  ""
)</f>
        <v>T-1</v>
      </c>
      <c r="E5" s="47" t="str">
        <v>T</v>
      </c>
      <c r="F5" s="47" t="str">
        <v>T+1</v>
      </c>
      <c r="G5" s="47"/>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249.97019999999998</v>
      </c>
      <c r="E6" s="155">
        <f>IF(E$4&lt;=OutturnThrough,IF(ISNUMBER('Step 2 - Update outturn data'!F6),'Step 2 - Update outturn data'!F6,""),IF(ISNUMBER('Step 3 (IMPL) - Enter outlook'!E8),'Step 3 (IMPL) - Enter outlook'!E8,""))</f>
        <v>273.19140000000004</v>
      </c>
      <c r="F6" s="155">
        <f>IF(F$4&lt;=OutturnThrough,IF(ISNUMBER('Step 2 - Update outturn data'!G6),'Step 2 - Update outturn data'!G6,""),IF(ISNUMBER('Step 3 (IMPL) - Enter outlook'!F8),'Step 3 (IMPL) - Enter outlook'!F8,""))</f>
        <v>283.00670000000002</v>
      </c>
      <c r="G6" s="155" t="str">
        <f>IF(G$4&lt;=OutturnThrough,IF(ISNUMBER('Step 2 - Update outturn data'!H6),'Step 2 - Update outturn data'!H6,""),IF(ISNUMBER('Step 3 (IMPL) - Enter outlook'!G8),'Step 3 (IMPL) - Enter outlook'!G8,""))</f>
        <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5.7383000000000006</v>
      </c>
      <c r="E7" s="155">
        <f>IF(E$4&lt;=OutturnThrough,IF(ISNUMBER('Step 2 - Update outturn data'!F7),'Step 2 - Update outturn data'!F7,""),IF(ISNUMBER('Step 3 (IMPL) - Enter outlook'!E9),'Step 3 (IMPL) - Enter outlook'!E9,""))</f>
        <v>7.3407</v>
      </c>
      <c r="F7" s="155">
        <f>IF(F$4&lt;=OutturnThrough,IF(ISNUMBER('Step 2 - Update outturn data'!G7),'Step 2 - Update outturn data'!G7,""),IF(ISNUMBER('Step 3 (IMPL) - Enter outlook'!F9),'Step 3 (IMPL) - Enter outlook'!F9,""))</f>
        <v>8.2657999999999987</v>
      </c>
      <c r="G7" s="155" t="str">
        <f>IF(G$4&lt;=OutturnThrough,IF(ISNUMBER('Step 2 - Update outturn data'!H7),'Step 2 - Update outturn data'!H7,""),IF(ISNUMBER('Step 3 (IMPL) - Enter outlook'!G9),'Step 3 (IMPL) - Enter outlook'!G9,""))</f>
        <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-0.19832</v>
      </c>
      <c r="E8" s="155">
        <f>IF(E$4&lt;=OutturnThrough,IF(ISNUMBER('Step 2 - Update outturn data'!F8),'Step 2 - Update outturn data'!F8,""),IF(ISNUMBER('Step 3 (IMPL) - Enter outlook'!E10),'Step 3 (IMPL) - Enter outlook'!E10,""))</f>
        <v>-2.836E-2</v>
      </c>
      <c r="F8" s="155">
        <f>IF(F$4&lt;=OutturnThrough,IF(ISNUMBER('Step 2 - Update outturn data'!G8),'Step 2 - Update outturn data'!G8,""),IF(ISNUMBER('Step 3 (IMPL) - Enter outlook'!F10),'Step 3 (IMPL) - Enter outlook'!F10,""))</f>
        <v>0.63275999999999999</v>
      </c>
      <c r="G8" s="155" t="str">
        <f>IF(G$4&lt;=OutturnThrough,IF(ISNUMBER('Step 2 - Update outturn data'!H8),'Step 2 - Update outturn data'!H8,""),IF(ISNUMBER('Step 3 (IMPL) - Enter outlook'!G10),'Step 3 (IMPL) - Enter outlook'!G10,""))</f>
        <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1.3505</v>
      </c>
      <c r="E9" s="155">
        <f>IF(E$4&lt;=OutturnThrough,IF(ISNUMBER('Step 2 - Update outturn data'!F9),'Step 2 - Update outturn data'!F9,""),IF(ISNUMBER('Step 3 (IMPL) - Enter outlook'!E11),'Step 3 (IMPL) - Enter outlook'!E11,""))</f>
        <v>0.9556</v>
      </c>
      <c r="F9" s="155">
        <f>IF(F$4&lt;=OutturnThrough,IF(ISNUMBER('Step 2 - Update outturn data'!G9),'Step 2 - Update outturn data'!G9,""),IF(ISNUMBER('Step 3 (IMPL) - Enter outlook'!F11),'Step 3 (IMPL) - Enter outlook'!F11,""))</f>
        <v>0.80640000000000012</v>
      </c>
      <c r="G9" s="155" t="str">
        <f>IF(G$4&lt;=OutturnThrough,IF(ISNUMBER('Step 2 - Update outturn data'!H9),'Step 2 - Update outturn data'!H9,""),IF(ISNUMBER('Step 3 (IMPL) - Enter outlook'!G11),'Step 3 (IMPL) - Enter outlook'!G11,""))</f>
        <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0.93005000000000004</v>
      </c>
      <c r="E10" s="155">
        <f>IF(E$4&lt;=OutturnThrough,IF(ISNUMBER('Step 2 - Update outturn data'!F10),'Step 2 - Update outturn data'!F10,""),IF(ISNUMBER('Step 3 (IMPL) - Enter outlook'!E12),'Step 3 (IMPL) - Enter outlook'!E12,""))</f>
        <v>1.0083500000000001</v>
      </c>
      <c r="F10" s="155">
        <f>IF(F$4&lt;=OutturnThrough,IF(ISNUMBER('Step 2 - Update outturn data'!G10),'Step 2 - Update outturn data'!G10,""),IF(ISNUMBER('Step 3 (IMPL) - Enter outlook'!F12),'Step 3 (IMPL) - Enter outlook'!F12,""))</f>
        <v>1.09388</v>
      </c>
      <c r="G10" s="155" t="str">
        <f>IF(G$4&lt;=OutturnThrough,IF(ISNUMBER('Step 2 - Update outturn data'!H10),'Step 2 - Update outturn data'!H10,""),IF(ISNUMBER('Step 3 (IMPL) - Enter outlook'!G12),'Step 3 (IMPL) - Enter outlook'!G12,""))</f>
        <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2.8400000000000002E-2</v>
      </c>
      <c r="G11" s="155" t="str">
        <f>IF(G$4&lt;=OutturnThrough,IF(ISNUMBER('Step 2 - Update outturn data'!H11),'Step 2 - Update outturn data'!H11,""),IF(ISNUMBER('Step 3 (IMPL) - Enter outlook'!G13),'Step 3 (IMPL) - Enter outlook'!G13,""))</f>
        <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242.14967000000001</v>
      </c>
      <c r="E12" s="155">
        <f>IF(E$4&lt;=OutturnThrough,IF(ISNUMBER('Step 2 - Update outturn data'!F12),'Step 2 - Update outturn data'!F12,""),IF(ISNUMBER('Step 3 (IMPL) - Enter outlook'!E14),'Step 3 (IMPL) - Enter outlook'!E14,""))</f>
        <v>263.91511000000003</v>
      </c>
      <c r="F12" s="155">
        <f>IF(F$4&lt;=OutturnThrough,IF(ISNUMBER('Step 2 - Update outturn data'!G12),'Step 2 - Update outturn data'!G12,""),IF(ISNUMBER('Step 3 (IMPL) - Enter outlook'!F14),'Step 3 (IMPL) - Enter outlook'!F14,""))</f>
        <v>272.17945999999995</v>
      </c>
      <c r="G12" s="155" t="str">
        <f>IF(G$4&lt;=OutturnThrough,IF(ISNUMBER('Step 2 - Update outturn data'!H12),'Step 2 - Update outturn data'!H12,""),IF(ISNUMBER('Step 3 (IMPL) - Enter outlook'!G14),'Step 3 (IMPL) - Enter outlook'!G14,""))</f>
        <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-0.58499999999999996</v>
      </c>
      <c r="F13" s="155">
        <f>IF(F$4&lt;=OutturnThrough,IF(ISNUMBER('Step 2 - Update outturn data'!G13),'Step 2 - Update outturn data'!G13,""),IF(ISNUMBER('Step 3 (IMPL) - Enter outlook'!F15),'Step 3 (IMPL) - Enter outlook'!F15,""))</f>
        <v>0</v>
      </c>
      <c r="G13" s="155" t="str">
        <f>IF(G$4&lt;=OutturnThrough,IF(ISNUMBER('Step 2 - Update outturn data'!H13),'Step 2 - Update outturn data'!H13,""),IF(ISNUMBER('Step 3 (IMPL) - Enter outlook'!G15),'Step 3 (IMPL) - Enter outlook'!G15,""))</f>
        <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2.8989799999999999</v>
      </c>
      <c r="E14" s="155">
        <f>IF(E$4&lt;=OutturnThrough,IF(ISNUMBER('Step 2 - Update outturn data'!F14),'Step 2 - Update outturn data'!F14,""),IF(ISNUMBER('Step 3 (IMPL) - Enter outlook'!E16),'Step 3 (IMPL) - Enter outlook'!E16,""))</f>
        <v>3.3417400000000002</v>
      </c>
      <c r="F14" s="155">
        <f>IF(F$4&lt;=OutturnThrough,IF(ISNUMBER('Step 2 - Update outturn data'!G14),'Step 2 - Update outturn data'!G14,""),IF(ISNUMBER('Step 3 (IMPL) - Enter outlook'!F16),'Step 3 (IMPL) - Enter outlook'!F16,""))</f>
        <v>3.7082799999999998</v>
      </c>
      <c r="G14" s="155" t="str">
        <f>IF(G$4&lt;=OutturnThrough,IF(ISNUMBER('Step 2 - Update outturn data'!H14),'Step 2 - Update outturn data'!H14,""),IF(ISNUMBER('Step 3 (IMPL) - Enter outlook'!G16),'Step 3 (IMPL) - Enter outlook'!G16,""))</f>
        <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9.23001051374548</v>
      </c>
      <c r="F15" s="155">
        <f>IF(F$4&lt;=OutturnThrough,IF(ISNUMBER('Step 2 - Update outturn data'!G15),'Step 2 - Update outturn data'!G15,""),IF(ISNUMBER('Step 3 (IMPL) - Enter outlook'!F17),'Step 3 (IMPL) - Enter outlook'!F17,""))</f>
        <v>3.1314425308956118</v>
      </c>
      <c r="G15" s="155" t="str">
        <f>IF(G$4&lt;=OutturnThrough,IF(ISNUMBER('Step 2 - Update outturn data'!H15),'Step 2 - Update outturn data'!H15,""),IF(ISNUMBER('Step 3 (IMPL) - Enter outlook'!G17),'Step 3 (IMPL) - Enter outlook'!G17,""))</f>
        <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9.23001051374548</v>
      </c>
      <c r="F16" s="155">
        <f>IF(F$4&lt;=OutturnThrough,IF(ISNUMBER('Step 2 - Update outturn data'!G16),'Step 2 - Update outturn data'!G16,""),IF(ISNUMBER('Step 3 (IMPL) - Enter outlook'!F18),'Step 3 (IMPL) - Enter outlook'!F18,""))</f>
        <v>12.650485519474653</v>
      </c>
      <c r="G16" s="155" t="str">
        <f>IF(G$4&lt;=OutturnThrough,IF(ISNUMBER('Step 2 - Update outturn data'!H16),'Step 2 - Update outturn data'!H16,""),IF(ISNUMBER('Step 3 (IMPL) - Enter outlook'!G18),'Step 3 (IMPL) - Enter outlook'!G18,""))</f>
        <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-4.7021862880942864</v>
      </c>
      <c r="E17" s="155">
        <f>IF(E$4&lt;=OutturnThrough,IF(ISNUMBER('Step 2 - Update outturn data'!F17),'Step 2 - Update outturn data'!F17,""),IF(ISNUMBER('Step 3 (IMPL) - Enter outlook'!E19),'Step 3 (IMPL) - Enter outlook'!E19,""))</f>
        <v>-6.7800730072966813</v>
      </c>
      <c r="F17" s="155">
        <f>IF(F$4&lt;=OutturnThrough,IF(ISNUMBER('Step 2 - Update outturn data'!G17),'Step 2 - Update outturn data'!G17,""),IF(ISNUMBER('Step 3 (IMPL) - Enter outlook'!F19),'Step 3 (IMPL) - Enter outlook'!F19,""))</f>
        <v>-6.2822155740664396</v>
      </c>
      <c r="G17" s="155" t="str">
        <f>IF(G$4&lt;=OutturnThrough,IF(ISNUMBER('Step 2 - Update outturn data'!H17),'Step 2 - Update outturn data'!H17,""),IF(ISNUMBER('Step 3 (IMPL) - Enter outlook'!G19),'Step 3 (IMPL) - Enter outlook'!G19,""))</f>
        <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-2.6994400000000001</v>
      </c>
      <c r="E18" s="155">
        <f>IF(E$4&lt;=OutturnThrough,IF(ISNUMBER('Step 2 - Update outturn data'!F18),'Step 2 - Update outturn data'!F18,""),IF(ISNUMBER('Step 3 (IMPL) - Enter outlook'!E20),'Step 3 (IMPL) - Enter outlook'!E20,""))</f>
        <v>-3.9735</v>
      </c>
      <c r="F18" s="155">
        <f>IF(F$4&lt;=OutturnThrough,IF(ISNUMBER('Step 2 - Update outturn data'!G18),'Step 2 - Update outturn data'!G18,""),IF(ISNUMBER('Step 3 (IMPL) - Enter outlook'!F20),'Step 3 (IMPL) - Enter outlook'!F20,""))</f>
        <v>-3.5701800000000001</v>
      </c>
      <c r="G18" s="155" t="str">
        <f>IF(G$4&lt;=OutturnThrough,IF(ISNUMBER('Step 2 - Update outturn data'!H18),'Step 2 - Update outturn data'!H18,""),IF(ISNUMBER('Step 3 (IMPL) - Enter outlook'!G20),'Step 3 (IMPL) - Enter outlook'!G20,""))</f>
        <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-1.4985599999999999</v>
      </c>
      <c r="E19" s="155">
        <f>IF(E$4&lt;=OutturnThrough,IF(ISNUMBER('Step 2 - Update outturn data'!F19),'Step 2 - Update outturn data'!F19,""),IF(ISNUMBER('Step 3 (IMPL) - Enter outlook'!E21),'Step 3 (IMPL) - Enter outlook'!E21,""))</f>
        <v>-2.4877799999999999</v>
      </c>
      <c r="F19" s="155">
        <f>IF(F$4&lt;=OutturnThrough,IF(ISNUMBER('Step 2 - Update outturn data'!G19),'Step 2 - Update outturn data'!G19,""),IF(ISNUMBER('Step 3 (IMPL) - Enter outlook'!F21),'Step 3 (IMPL) - Enter outlook'!F21,""))</f>
        <v>-1.9583200000000001</v>
      </c>
      <c r="G19" s="155" t="str">
        <f>IF(G$4&lt;=OutturnThrough,IF(ISNUMBER('Step 2 - Update outturn data'!H19),'Step 2 - Update outturn data'!H19,""),IF(ISNUMBER('Step 3 (IMPL) - Enter outlook'!G21),'Step 3 (IMPL) - Enter outlook'!G21,""))</f>
        <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77.771534369543787</v>
      </c>
      <c r="E20" s="155">
        <f>IF(E$4&lt;=OutturnThrough,IF(ISNUMBER('Step 2 - Update outturn data'!F20),'Step 2 - Update outturn data'!F20,""),IF(ISNUMBER('Step 3 (IMPL) - Enter outlook'!E22),'Step 3 (IMPL) - Enter outlook'!E22,""))</f>
        <v>79.955679923964894</v>
      </c>
      <c r="F20" s="155">
        <f>IF(F$4&lt;=OutturnThrough,IF(ISNUMBER('Step 2 - Update outturn data'!G20),'Step 2 - Update outturn data'!G20,""),IF(ISNUMBER('Step 3 (IMPL) - Enter outlook'!F22),'Step 3 (IMPL) - Enter outlook'!F22,""))</f>
        <v>81.28634231728735</v>
      </c>
      <c r="G20" s="155" t="str">
        <f>IF(G$4&lt;=OutturnThrough,IF(ISNUMBER('Step 2 - Update outturn data'!H20),'Step 2 - Update outturn data'!H20,""),IF(ISNUMBER('Step 3 (IMPL) - Enter outlook'!G22),'Step 3 (IMPL) - Enter outlook'!G22,""))</f>
        <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4.2854335565683179</v>
      </c>
      <c r="E21" s="155">
        <f>IF(E$4&lt;=OutturnThrough,IF(ISNUMBER('Step 2 - Update outturn data'!F21),'Step 2 - Update outturn data'!F21,""),IF(ISNUMBER('Step 3 (IMPL) - Enter outlook'!E23),'Step 3 (IMPL) - Enter outlook'!E23,""))</f>
        <v>4.742013359574285</v>
      </c>
      <c r="F21" s="155">
        <f>IF(F$4&lt;=OutturnThrough,IF(ISNUMBER('Step 2 - Update outturn data'!G21),'Step 2 - Update outturn data'!G21,""),IF(ISNUMBER('Step 3 (IMPL) - Enter outlook'!F23),'Step 3 (IMPL) - Enter outlook'!F23,""))</f>
        <v>4.4771810056654546</v>
      </c>
      <c r="G21" s="155" t="str">
        <f>IF(G$4&lt;=OutturnThrough,IF(ISNUMBER('Step 2 - Update outturn data'!H21),'Step 2 - Update outturn data'!H21,""),IF(ISNUMBER('Step 3 (IMPL) - Enter outlook'!G23),'Step 3 (IMPL) - Enter outlook'!G23,""))</f>
        <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-0.78625125662632467</v>
      </c>
      <c r="E22" s="155">
        <f>IF(E$4&lt;=OutturnThrough,IF(ISNUMBER('Step 2 - Update outturn data'!F22),'Step 2 - Update outturn data'!F22,""),IF(ISNUMBER('Step 3 (IMPL) - Enter outlook'!E24),'Step 3 (IMPL) - Enter outlook'!E24,""))</f>
        <v>-0.65907095296766638</v>
      </c>
      <c r="F22" s="155">
        <f>IF(F$4&lt;=OutturnThrough,IF(ISNUMBER('Step 2 - Update outturn data'!G22),'Step 2 - Update outturn data'!G22,""),IF(ISNUMBER('Step 3 (IMPL) - Enter outlook'!F24),'Step 3 (IMPL) - Enter outlook'!F24,""))</f>
        <v>0.84918912942735236</v>
      </c>
      <c r="G22" s="155" t="str">
        <f>IF(G$4&lt;=OutturnThrough,IF(ISNUMBER('Step 2 - Update outturn data'!H22),'Step 2 - Update outturn data'!H22,""),IF(ISNUMBER('Step 3 (IMPL) - Enter outlook'!G24),'Step 3 (IMPL) - Enter outlook'!G24,""))</f>
        <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7.1747112690738302</v>
      </c>
      <c r="E23" s="155">
        <f>IF(E$4&lt;=OutturnThrough,IF(ISNUMBER('Step 2 - Update outturn data'!F23),'Step 2 - Update outturn data'!F23,""),IF(ISNUMBER('Step 3 (IMPL) - Enter outlook'!E25),'Step 3 (IMPL) - Enter outlook'!E25,""))</f>
        <v>4.0868078209680192</v>
      </c>
      <c r="F23" s="155">
        <f>IF(F$4&lt;=OutturnThrough,IF(ISNUMBER('Step 2 - Update outturn data'!G23),'Step 2 - Update outturn data'!G23,""),IF(ISNUMBER('Step 3 (IMPL) - Enter outlook'!F25),'Step 3 (IMPL) - Enter outlook'!F25,""))</f>
        <v>3.220007690657356</v>
      </c>
      <c r="G23" s="155" t="str">
        <f>IF(G$4&lt;=OutturnThrough,IF(ISNUMBER('Step 2 - Update outturn data'!H23),'Step 2 - Update outturn data'!H23,""),IF(ISNUMBER('Step 3 (IMPL) - Enter outlook'!G25),'Step 3 (IMPL) - Enter outlook'!G25,""))</f>
        <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6.3320487549350934</v>
      </c>
      <c r="E24" s="155">
        <f>IF(E$4&lt;=OutturnThrough,IF(ISNUMBER('Step 2 - Update outturn data'!F24),'Step 2 - Update outturn data'!F24,""),IF(ISNUMBER('Step 3 (IMPL) - Enter outlook'!E26),'Step 3 (IMPL) - Enter outlook'!E26,""))</f>
        <v>3.4008019047487403</v>
      </c>
      <c r="F24" s="155">
        <f>IF(F$4&lt;=OutturnThrough,IF(ISNUMBER('Step 2 - Update outturn data'!G24),'Step 2 - Update outturn data'!G24,""),IF(ISNUMBER('Step 3 (IMPL) - Enter outlook'!F26),'Step 3 (IMPL) - Enter outlook'!F26,""))</f>
        <v>4.0965407753604799</v>
      </c>
      <c r="G24" s="155" t="str">
        <f>IF(G$4&lt;=OutturnThrough,IF(ISNUMBER('Step 2 - Update outturn data'!H24),'Step 2 - Update outturn data'!H24,""),IF(ISNUMBER('Step 3 (IMPL) - Enter outlook'!G26),'Step 3 (IMPL) - Enter outlook'!G26,""))</f>
        <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1.2811706988826943</v>
      </c>
      <c r="E25" s="155">
        <f>IF(E$4&lt;=OutturnThrough,IF(ISNUMBER('Step 2 - Update outturn data'!F25),'Step 2 - Update outturn data'!F25,""),IF(ISNUMBER('Step 3 (IMPL) - Enter outlook'!E27),'Step 3 (IMPL) - Enter outlook'!E27,""))</f>
        <v>0.7632202426216983</v>
      </c>
      <c r="F25" s="155">
        <f>IF(F$4&lt;=OutturnThrough,IF(ISNUMBER('Step 2 - Update outturn data'!G25),'Step 2 - Update outturn data'!G25,""),IF(ISNUMBER('Step 3 (IMPL) - Enter outlook'!F27),'Step 3 (IMPL) - Enter outlook'!F27,""))</f>
        <v>0.5049237586856492</v>
      </c>
      <c r="G25" s="155" t="str">
        <f>IF(G$4&lt;=OutturnThrough,IF(ISNUMBER('Step 2 - Update outturn data'!H25),'Step 2 - Update outturn data'!H25,""),IF(ISNUMBER('Step 3 (IMPL) - Enter outlook'!G27),'Step 3 (IMPL) - Enter outlook'!G27,""))</f>
        <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0.23809017880056516</v>
      </c>
      <c r="E26" s="155">
        <f>IF(E$4&lt;=OutturnThrough,IF(ISNUMBER('Step 2 - Update outturn data'!F26),'Step 2 - Update outturn data'!F26,""),IF(ISNUMBER('Step 3 (IMPL) - Enter outlook'!E28),'Step 3 (IMPL) - Enter outlook'!E28,""))</f>
        <v>-1.1768084074108121</v>
      </c>
      <c r="F26" s="155">
        <f>IF(F$4&lt;=OutturnThrough,IF(ISNUMBER('Step 2 - Update outturn data'!G26),'Step 2 - Update outturn data'!G26,""),IF(ISNUMBER('Step 3 (IMPL) - Enter outlook'!F28),'Step 3 (IMPL) - Enter outlook'!F28,""))</f>
        <v>-1.067841660471891</v>
      </c>
      <c r="G26" s="155" t="str">
        <f>IF(G$4&lt;=OutturnThrough,IF(ISNUMBER('Step 2 - Update outturn data'!H26),'Step 2 - Update outturn data'!H26,""),IF(ISNUMBER('Step 3 (IMPL) - Enter outlook'!G28),'Step 3 (IMPL) - Enter outlook'!G28,""))</f>
        <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477.83729999999997</v>
      </c>
      <c r="E27" s="156">
        <f>IF(E$4&lt;=OutturnThrough,IF(ISNUMBER('Step 2 - Update outturn data'!F27),'Step 2 - Update outturn data'!F27,""),IF(ISNUMBER('Step 3 (IMPL) - Enter outlook'!E29),'Step 3 (IMPL) - Enter outlook'!E29,""))</f>
        <v>494.08759999999995</v>
      </c>
      <c r="F27" s="156">
        <f>IF(F$4&lt;=OutturnThrough,IF(ISNUMBER('Step 2 - Update outturn data'!G27),'Step 2 - Update outturn data'!G27,""),IF(ISNUMBER('Step 3 (IMPL) - Enter outlook'!F29),'Step 3 (IMPL) - Enter outlook'!F29,""))</f>
        <v>514.32809999999995</v>
      </c>
      <c r="G27" s="156" t="str">
        <f>IF(G$4&lt;=OutturnThrough,IF(ISNUMBER('Step 2 - Update outturn data'!H27),'Step 2 - Update outturn data'!H27,""),IF(ISNUMBER('Step 3 (IMPL) - Enter outlook'!G29),'Step 3 (IMPL) - Enter outlook'!G29,""))</f>
        <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2.6</v>
      </c>
      <c r="F34" s="44">
        <f>IF(ISNUMBER('Step 3 (MTP) - Plan and prior'!F6),'Step 3 (MTP) - Plan and prior'!F6,"")</f>
        <v>2.2000000000000002</v>
      </c>
      <c r="G34" s="44">
        <f>IF(ISNUMBER('Step 3 (MTP) - Plan and prior'!G6),'Step 3 (MTP) - Plan and prior'!G6,"")</f>
        <v>2.2000000000000002</v>
      </c>
      <c r="H34" s="44">
        <f>IF(ISNUMBER('Step 3 (MTP) - Plan and prior'!H6),'Step 3 (MTP) - Plan and prior'!H6,"")</f>
        <v>2</v>
      </c>
      <c r="I34" s="44">
        <f>IF(ISNUMBER('Step 3 (MTP) - Plan and prior'!I6),'Step 3 (MTP) - Plan and prior'!I6,"")</f>
        <v>2.2999999999999998</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-4.7</v>
      </c>
      <c r="E35" s="58">
        <f>IF(ISNUMBER('Step 3 (MTP) - Plan and prior'!E7),'Step 3 (MTP) - Plan and prior'!E7,"")</f>
        <v>-4.7</v>
      </c>
      <c r="F35" s="58">
        <f>IF(ISNUMBER('Step 3 (MTP) - Plan and prior'!F7),'Step 3 (MTP) - Plan and prior'!F7,"")</f>
        <v>-4.2</v>
      </c>
      <c r="G35" s="58">
        <f>IF(ISNUMBER('Step 3 (MTP) - Plan and prior'!G7),'Step 3 (MTP) - Plan and prior'!G7,"")</f>
        <v>-3.6</v>
      </c>
      <c r="H35" s="58">
        <f>IF(ISNUMBER('Step 3 (MTP) - Plan and prior'!H7),'Step 3 (MTP) - Plan and prior'!H7,"")</f>
        <v>-3</v>
      </c>
      <c r="I35" s="58">
        <f>IF(ISNUMBER('Step 3 (MTP) - Plan and prior'!I7),'Step 3 (MTP) - Plan and prior'!I7,"")</f>
        <v>-2.5</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-3.9</v>
      </c>
      <c r="E36" s="58">
        <f>IF(ISNUMBER('Step 3 (MTP) - Plan and prior'!E8),'Step 3 (MTP) - Plan and prior'!E8,"")</f>
        <v>-3.4</v>
      </c>
      <c r="F36" s="58">
        <f>IF(ISNUMBER('Step 3 (MTP) - Plan and prior'!F8),'Step 3 (MTP) - Plan and prior'!F8,"")</f>
        <v>-2.9</v>
      </c>
      <c r="G36" s="58">
        <f>IF(ISNUMBER('Step 3 (MTP) - Plan and prior'!G8),'Step 3 (MTP) - Plan and prior'!G8,"")</f>
        <v>-2.6</v>
      </c>
      <c r="H36" s="58">
        <f>IF(ISNUMBER('Step 3 (MTP) - Plan and prior'!H8),'Step 3 (MTP) - Plan and prior'!H8,"")</f>
        <v>-2.1</v>
      </c>
      <c r="I36" s="58">
        <f>IF(ISNUMBER('Step 3 (MTP) - Plan and prior'!I8),'Step 3 (MTP) - Plan and prior'!I8,"")</f>
        <v>-1.7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-2.4</v>
      </c>
      <c r="E37" s="58">
        <f>IF(ISNUMBER('Step 3 (MTP) - Plan and prior'!E9),'Step 3 (MTP) - Plan and prior'!E9,"")</f>
        <v>-1.9</v>
      </c>
      <c r="F37" s="58">
        <f>IF(ISNUMBER('Step 3 (MTP) - Plan and prior'!F9),'Step 3 (MTP) - Plan and prior'!F9,"")</f>
        <v>-1.4</v>
      </c>
      <c r="G37" s="58">
        <f>IF(ISNUMBER('Step 3 (MTP) - Plan and prior'!G9),'Step 3 (MTP) - Plan and prior'!G9,"")</f>
        <v>-0.9</v>
      </c>
      <c r="H37" s="58">
        <f>IF(ISNUMBER('Step 3 (MTP) - Plan and prior'!H9),'Step 3 (MTP) - Plan and prior'!H9,"")</f>
        <v>-0.3</v>
      </c>
      <c r="I37" s="58">
        <f>IF(ISNUMBER('Step 3 (MTP) - Plan and prior'!I9),'Step 3 (MTP) - Plan and prior'!I9,"")</f>
        <v>0.2</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81.8</v>
      </c>
      <c r="E38" s="58">
        <f>IF(ISNUMBER('Step 3 (MTP) - Plan and prior'!E10),'Step 3 (MTP) - Plan and prior'!E10,"")</f>
        <v>84.3</v>
      </c>
      <c r="F38" s="58">
        <f>IF(ISNUMBER('Step 3 (MTP) - Plan and prior'!F10),'Step 3 (MTP) - Plan and prior'!F10,"")</f>
        <v>85.9</v>
      </c>
      <c r="G38" s="58">
        <f>IF(ISNUMBER('Step 3 (MTP) - Plan and prior'!G10),'Step 3 (MTP) - Plan and prior'!G10,"")</f>
        <v>86.6</v>
      </c>
      <c r="H38" s="58">
        <f>IF(ISNUMBER('Step 3 (MTP) - Plan and prior'!H10),'Step 3 (MTP) - Plan and prior'!H10,"")</f>
        <v>86.8</v>
      </c>
      <c r="I38" s="58">
        <f>IF(ISNUMBER('Step 3 (MTP) - Plan and prior'!I10),'Step 3 (MTP) - Plan and prior'!I10,"")</f>
        <v>86.5</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3.3</v>
      </c>
      <c r="E39" s="58">
        <f>IF(ISNUMBER('Step 3 (MTP) - Plan and prior'!E11),'Step 3 (MTP) - Plan and prior'!E11,"")</f>
        <v>2.5</v>
      </c>
      <c r="F39" s="58">
        <f>IF(ISNUMBER('Step 3 (MTP) - Plan and prior'!F11),'Step 3 (MTP) - Plan and prior'!F11,"")</f>
        <v>1.6</v>
      </c>
      <c r="G39" s="58">
        <f>IF(ISNUMBER('Step 3 (MTP) - Plan and prior'!G11),'Step 3 (MTP) - Plan and prior'!G11,"")</f>
        <v>0.7</v>
      </c>
      <c r="H39" s="58">
        <f>IF(ISNUMBER('Step 3 (MTP) - Plan and prior'!H11),'Step 3 (MTP) - Plan and prior'!H11,"")</f>
        <v>0.2</v>
      </c>
      <c r="I39" s="58">
        <f>IF(ISNUMBER('Step 3 (MTP) - Plan and prior'!I11),'Step 3 (MTP) - Plan and prior'!I11,"")</f>
        <v>-0.4</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-1.2</v>
      </c>
      <c r="E40" s="58">
        <f>IF(ISNUMBER('Step 3 (MTP) - Plan and prior'!E12),'Step 3 (MTP) - Plan and prior'!E12,"")</f>
        <v>0.2</v>
      </c>
      <c r="F40" s="58">
        <f>IF(ISNUMBER('Step 3 (MTP) - Plan and prior'!F12),'Step 3 (MTP) - Plan and prior'!F12,"")</f>
        <v>1.1000000000000001</v>
      </c>
      <c r="G40" s="58">
        <f>IF(ISNUMBER('Step 3 (MTP) - Plan and prior'!G12),'Step 3 (MTP) - Plan and prior'!G12,"")</f>
        <v>1.5</v>
      </c>
      <c r="H40" s="58">
        <f>IF(ISNUMBER('Step 3 (MTP) - Plan and prior'!H12),'Step 3 (MTP) - Plan and prior'!H12,"")</f>
        <v>1.2</v>
      </c>
      <c r="I40" s="58">
        <f>IF(ISNUMBER('Step 3 (MTP) - Plan and prior'!I12),'Step 3 (MTP) - Plan and prior'!I12,"")</f>
        <v>1.3</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3.1</v>
      </c>
      <c r="E41" s="58">
        <f>IF(ISNUMBER('Step 3 (MTP) - Plan and prior'!E13),'Step 3 (MTP) - Plan and prior'!E13,"")</f>
        <v>2.4</v>
      </c>
      <c r="F41" s="58">
        <f>IF(ISNUMBER('Step 3 (MTP) - Plan and prior'!F13),'Step 3 (MTP) - Plan and prior'!F13,"")</f>
        <v>2</v>
      </c>
      <c r="G41" s="58">
        <f>IF(ISNUMBER('Step 3 (MTP) - Plan and prior'!G13),'Step 3 (MTP) - Plan and prior'!G13,"")</f>
        <v>2.1</v>
      </c>
      <c r="H41" s="58">
        <f>IF(ISNUMBER('Step 3 (MTP) - Plan and prior'!H13),'Step 3 (MTP) - Plan and prior'!H13,"")</f>
        <v>2.1</v>
      </c>
      <c r="I41" s="58">
        <f>IF(ISNUMBER('Step 3 (MTP) - Plan and prior'!I13),'Step 3 (MTP) - Plan and prior'!I13,"")</f>
        <v>2.1</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1.8</v>
      </c>
      <c r="E42" s="58">
        <f>IF(ISNUMBER('Step 3 (MTP) - Plan and prior'!E14),'Step 3 (MTP) - Plan and prior'!E14,"")</f>
        <v>2.7</v>
      </c>
      <c r="F42" s="58">
        <f>IF(ISNUMBER('Step 3 (MTP) - Plan and prior'!F14),'Step 3 (MTP) - Plan and prior'!F14,"")</f>
        <v>3.1</v>
      </c>
      <c r="G42" s="58">
        <f>IF(ISNUMBER('Step 3 (MTP) - Plan and prior'!G14),'Step 3 (MTP) - Plan and prior'!G14,"")</f>
        <v>3.5</v>
      </c>
      <c r="H42" s="58">
        <f>IF(ISNUMBER('Step 3 (MTP) - Plan and prior'!H14),'Step 3 (MTP) - Plan and prior'!H14,"")</f>
        <v>3.4</v>
      </c>
      <c r="I42" s="58">
        <f>IF(ISNUMBER('Step 3 (MTP) - Plan and prior'!I14),'Step 3 (MTP) - Plan and prior'!I14,"")</f>
        <v>3.4</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0.4</v>
      </c>
      <c r="E43" s="44">
        <f>IF(ISNUMBER('Step 3 (MTP) - Plan and prior'!E15),'Step 3 (MTP) - Plan and prior'!E15,"")</f>
        <v>1.1000000000000001</v>
      </c>
      <c r="F43" s="44">
        <f>IF(ISNUMBER('Step 3 (MTP) - Plan and prior'!F15),'Step 3 (MTP) - Plan and prior'!F15,"")</f>
        <v>1.1000000000000001</v>
      </c>
      <c r="G43" s="44">
        <f>IF(ISNUMBER('Step 3 (MTP) - Plan and prior'!G15),'Step 3 (MTP) - Plan and prior'!G15,"")</f>
        <v>1.1000000000000001</v>
      </c>
      <c r="H43" s="44">
        <f>IF(ISNUMBER('Step 3 (MTP) - Plan and prior'!H15),'Step 3 (MTP) - Plan and prior'!H15,"")</f>
        <v>1.1000000000000001</v>
      </c>
      <c r="I43" s="44">
        <f>IF(ISNUMBER('Step 3 (MTP) - Plan and prior'!I15),'Step 3 (MTP) - Plan and prior'!I15,"")</f>
        <v>1.1000000000000001</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-1.3</v>
      </c>
      <c r="E44" s="48">
        <f>IF(ISNUMBER('Step 3 (MTP) - Plan and prior'!E16),'Step 3 (MTP) - Plan and prior'!E16,"")</f>
        <v>-2.2000000000000002</v>
      </c>
      <c r="F44" s="48">
        <f>IF(ISNUMBER('Step 3 (MTP) - Plan and prior'!F16),'Step 3 (MTP) - Plan and prior'!F16,"")</f>
        <v>-2.2000000000000002</v>
      </c>
      <c r="G44" s="48">
        <f>IF(ISNUMBER('Step 3 (MTP) - Plan and prior'!G16),'Step 3 (MTP) - Plan and prior'!G16,"")</f>
        <v>-1.8</v>
      </c>
      <c r="H44" s="48">
        <f>IF(ISNUMBER('Step 3 (MTP) - Plan and prior'!H16),'Step 3 (MTP) - Plan and prior'!H16,"")</f>
        <v>-1.7</v>
      </c>
      <c r="I44" s="48">
        <f>IF(ISNUMBER('Step 3 (MTP) - Plan and prior'!I16),'Step 3 (MTP) - Plan and prior'!I16,"")</f>
        <v>-1.5</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-2.6</v>
      </c>
      <c r="E50" s="68">
        <f>IF(ISNUMBER('Step 3 (MTP) - Plan and prior'!E25),'Step 3 (MTP) - Plan and prior'!E25,"")</f>
        <v>-4.7</v>
      </c>
      <c r="F50" s="68">
        <f>IF(ISNUMBER('Step 3 (MTP) - Plan and prior'!F25),'Step 3 (MTP) - Plan and prior'!F25,"")</f>
        <v>-4.7</v>
      </c>
      <c r="G50" s="68">
        <f>IF(ISNUMBER('Step 3 (MTP) - Plan and prior'!G25),'Step 3 (MTP) - Plan and prior'!G25,"")</f>
        <v>-4.2</v>
      </c>
      <c r="H50" s="68">
        <f>IF(ISNUMBER('Step 3 (MTP) - Plan and prior'!H25),'Step 3 (MTP) - Plan and prior'!H25,"")</f>
        <v>-3.6</v>
      </c>
      <c r="I50" s="68">
        <f>IF(ISNUMBER('Step 3 (MTP) - Plan and prior'!I25),'Step 3 (MTP) - Plan and prior'!I25,"")</f>
        <v>-3</v>
      </c>
      <c r="J50" s="68">
        <f>IF(ISNUMBER('Step 3 (MTP) - Plan and prior'!J25),'Step 3 (MTP) - Plan and prior'!J25,"")</f>
        <v>-2.5</v>
      </c>
      <c r="K50" s="68">
        <f>IF(ISNUMBER('Step 3 (MTP) - Plan and prior'!K25),'Step 3 (MTP) - Plan and prior'!K25,"")</f>
        <v>-2.1</v>
      </c>
      <c r="L50" s="68">
        <f>IF(ISNUMBER('Step 3 (MTP) - Plan and prior'!L25),'Step 3 (MTP) - Plan and prior'!L25,"")</f>
        <v>-1.6</v>
      </c>
      <c r="M50" s="68">
        <f>IF(ISNUMBER('Step 3 (MTP) - Plan and prior'!M25),'Step 3 (MTP) - Plan and prior'!M25,"")</f>
        <v>-1.5</v>
      </c>
      <c r="N50" s="68">
        <f>IF(ISNUMBER('Step 3 (MTP) - Plan and prior'!N25),'Step 3 (MTP) - Plan and prior'!N25,"")</f>
        <v>-1.3</v>
      </c>
      <c r="O50" s="68">
        <f>IF(ISNUMBER('Step 3 (MTP) - Plan and prior'!O25),'Step 3 (MTP) - Plan and prior'!O25,"")</f>
        <v>-1.2</v>
      </c>
      <c r="P50" s="68">
        <f>IF(ISNUMBER('Step 3 (MTP) - Plan and prior'!P25),'Step 3 (MTP) - Plan and prior'!P25,"")</f>
        <v>-1.2</v>
      </c>
      <c r="Q50" s="68">
        <f>IF(ISNUMBER('Step 3 (MTP) - Plan and prior'!Q25),'Step 3 (MTP) - Plan and prior'!Q25,"")</f>
        <v>-1.3</v>
      </c>
      <c r="R50" s="68">
        <f>IF(ISNUMBER('Step 3 (MTP) - Plan and prior'!R25),'Step 3 (MTP) - Plan and prior'!R25,"")</f>
        <v>-1.3</v>
      </c>
      <c r="S50" s="68">
        <f>IF(ISNUMBER('Step 3 (MTP) - Plan and prior'!S25),'Step 3 (MTP) - Plan and prior'!S25,"")</f>
        <v>-1.4</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78.5</v>
      </c>
      <c r="E52" s="68">
        <f>IF(ISNUMBER('Step 3 (MTP) - Plan and prior'!E27),'Step 3 (MTP) - Plan and prior'!E27,"")</f>
        <v>81.8</v>
      </c>
      <c r="F52" s="68">
        <f>IF(ISNUMBER('Step 3 (MTP) - Plan and prior'!F27),'Step 3 (MTP) - Plan and prior'!F27,"")</f>
        <v>84.3</v>
      </c>
      <c r="G52" s="68">
        <f>IF(ISNUMBER('Step 3 (MTP) - Plan and prior'!G27),'Step 3 (MTP) - Plan and prior'!G27,"")</f>
        <v>85.9</v>
      </c>
      <c r="H52" s="68">
        <f>IF(ISNUMBER('Step 3 (MTP) - Plan and prior'!H27),'Step 3 (MTP) - Plan and prior'!H27,"")</f>
        <v>86.6</v>
      </c>
      <c r="I52" s="68">
        <f>IF(ISNUMBER('Step 3 (MTP) - Plan and prior'!I27),'Step 3 (MTP) - Plan and prior'!I27,"")</f>
        <v>86.8</v>
      </c>
      <c r="J52" s="68">
        <f>IF(ISNUMBER('Step 3 (MTP) - Plan and prior'!J27),'Step 3 (MTP) - Plan and prior'!J27,"")</f>
        <v>86.5</v>
      </c>
      <c r="K52" s="68">
        <f>IF(ISNUMBER('Step 3 (MTP) - Plan and prior'!K27),'Step 3 (MTP) - Plan and prior'!K27,"")</f>
        <v>85.7</v>
      </c>
      <c r="L52" s="68">
        <f>IF(ISNUMBER('Step 3 (MTP) - Plan and prior'!L27),'Step 3 (MTP) - Plan and prior'!L27,"")</f>
        <v>84.4</v>
      </c>
      <c r="M52" s="68">
        <f>IF(ISNUMBER('Step 3 (MTP) - Plan and prior'!M27),'Step 3 (MTP) - Plan and prior'!M27,"")</f>
        <v>82.8</v>
      </c>
      <c r="N52" s="68">
        <f>IF(ISNUMBER('Step 3 (MTP) - Plan and prior'!N27),'Step 3 (MTP) - Plan and prior'!N27,"")</f>
        <v>81</v>
      </c>
      <c r="O52" s="68">
        <f>IF(ISNUMBER('Step 3 (MTP) - Plan and prior'!O27),'Step 3 (MTP) - Plan and prior'!O27,"")</f>
        <v>79.2</v>
      </c>
      <c r="P52" s="68">
        <f>IF(ISNUMBER('Step 3 (MTP) - Plan and prior'!P27),'Step 3 (MTP) - Plan and prior'!P27,"")</f>
        <v>77.8</v>
      </c>
      <c r="Q52" s="68">
        <f>IF(ISNUMBER('Step 3 (MTP) - Plan and prior'!Q27),'Step 3 (MTP) - Plan and prior'!Q27,"")</f>
        <v>76.5</v>
      </c>
      <c r="R52" s="68">
        <f>IF(ISNUMBER('Step 3 (MTP) - Plan and prior'!R27),'Step 3 (MTP) - Plan and prior'!R27,"")</f>
        <v>75.3</v>
      </c>
      <c r="S52" s="68">
        <f>IF(ISNUMBER('Step 3 (MTP) - Plan and prior'!S27),'Step 3 (MTP) - Plan and prior'!S27,"")</f>
        <v>74.2</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74.400000000000006</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f>IF(ISNUMBER('Step 3 (MTP) - Plan and prior'!F39),'Step 3 (MTP) - Plan and prior'!F39,"")</f>
        <v>1.1375734655168435</v>
      </c>
      <c r="G64" s="84">
        <f>IF(ISNUMBER('Step 3 (MTP) - Plan and prior'!G39),'Step 3 (MTP) - Plan and prior'!G39,"")</f>
        <v>0.84178076551684322</v>
      </c>
      <c r="H64" s="84">
        <f>IF(ISNUMBER('Step 3 (MTP) - Plan and prior'!H39),'Step 3 (MTP) - Plan and prior'!H39,"")</f>
        <v>1.1492923905168433</v>
      </c>
      <c r="I64" s="84">
        <f>IF(ISNUMBER('Step 3 (MTP) - Plan and prior'!I39),'Step 3 (MTP) - Plan and prior'!I39,"")</f>
        <v>1.134393115516843</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7.2602828363552012</v>
      </c>
      <c r="E69" s="68">
        <f>IF(ISNUMBER('Step 3 (MTP) - Plan and prior'!E44),'Step 3 (MTP) - Plan and prior'!E44,"")</f>
        <v>6.7125514564843431</v>
      </c>
      <c r="F69" s="68">
        <f>IF(ISNUMBER('Step 3 (MTP) - Plan and prior'!F44),'Step 3 (MTP) - Plan and prior'!F44,"")</f>
        <v>1.1375734655168435</v>
      </c>
      <c r="G69" s="68">
        <f>IF(ISNUMBER('Step 3 (MTP) - Plan and prior'!G44),'Step 3 (MTP) - Plan and prior'!G44,"")</f>
        <v>0.84178076551684322</v>
      </c>
      <c r="H69" s="68">
        <f>IF(ISNUMBER('Step 3 (MTP) - Plan and prior'!H44),'Step 3 (MTP) - Plan and prior'!H44,"")</f>
        <v>1.1492923905168433</v>
      </c>
      <c r="I69" s="68">
        <f>IF(ISNUMBER('Step 3 (MTP) - Plan and prior'!I44),'Step 3 (MTP) - Plan and prior'!I44,"")</f>
        <v>1.134393115516843</v>
      </c>
      <c r="J69" s="68">
        <f>IF(ISNUMBER('Step 3 (MTP) - Plan and prior'!J44),'Step 3 (MTP) - Plan and prior'!J44,"")</f>
        <v>3.0800088749999999</v>
      </c>
      <c r="K69" s="68">
        <f>IF(ISNUMBER('Step 3 (MTP) - Plan and prior'!K44),'Step 3 (MTP) - Plan and prior'!K44,"")</f>
        <v>3.2288854999999996</v>
      </c>
      <c r="L69" s="68">
        <f>IF(ISNUMBER('Step 3 (MTP) - Plan and prior'!L44),'Step 3 (MTP) - Plan and prior'!L44,"")</f>
        <v>3.2983541250000004</v>
      </c>
      <c r="M69" s="68">
        <f>IF(ISNUMBER('Step 3 (MTP) - Plan and prior'!M44),'Step 3 (MTP) - Plan and prior'!M44,"")</f>
        <v>3.3506487500000004</v>
      </c>
      <c r="N69" s="68">
        <f>IF(ISNUMBER('Step 3 (MTP) - Plan and prior'!N44),'Step 3 (MTP) - Plan and prior'!N44,"")</f>
        <v>3.4082783750000001</v>
      </c>
      <c r="O69" s="68">
        <f>IF(ISNUMBER('Step 3 (MTP) - Plan and prior'!O44),'Step 3 (MTP) - Plan and prior'!O44,"")</f>
        <v>3.5118450000000001</v>
      </c>
      <c r="P69" s="68">
        <f>IF(ISNUMBER('Step 3 (MTP) - Plan and prior'!P44),'Step 3 (MTP) - Plan and prior'!P44,"")</f>
        <v>3.5752160000000002</v>
      </c>
      <c r="Q69" s="68">
        <f>IF(ISNUMBER('Step 3 (MTP) - Plan and prior'!Q44),'Step 3 (MTP) - Plan and prior'!Q44,"")</f>
        <v>3.6385870000000002</v>
      </c>
      <c r="R69" s="68">
        <f>IF(ISNUMBER('Step 3 (MTP) - Plan and prior'!R44),'Step 3 (MTP) - Plan and prior'!R44,"")</f>
        <v>3.7019589999999996</v>
      </c>
      <c r="S69" s="68">
        <f>IF(ISNUMBER('Step 3 (MTP) - Plan and prior'!S44),'Step 3 (MTP) - Plan and prior'!S44,"")</f>
        <v>3.7481670000000005</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-1.399295</v>
      </c>
      <c r="E71" s="68">
        <f>IF(ISNUMBER('Step 3 (MTP) - Plan and prior'!E46),'Step 3 (MTP) - Plan and prior'!E46,"")</f>
        <v>-1.3351299999999999</v>
      </c>
      <c r="F71" s="68">
        <f>IF(ISNUMBER('Step 3 (MTP) - Plan and prior'!F46),'Step 3 (MTP) - Plan and prior'!F46,"")</f>
        <v>-0.35512999999999995</v>
      </c>
      <c r="G71" s="68">
        <f>IF(ISNUMBER('Step 3 (MTP) - Plan and prior'!G46),'Step 3 (MTP) - Plan and prior'!G46,"")</f>
        <v>0.62487000000000004</v>
      </c>
      <c r="H71" s="68">
        <f>IF(ISNUMBER('Step 3 (MTP) - Plan and prior'!H46),'Step 3 (MTP) - Plan and prior'!H46,"")</f>
        <v>1.60487</v>
      </c>
      <c r="I71" s="68">
        <f>IF(ISNUMBER('Step 3 (MTP) - Plan and prior'!I46),'Step 3 (MTP) - Plan and prior'!I46,"")</f>
        <v>2.58487</v>
      </c>
      <c r="J71" s="68">
        <f>IF(ISNUMBER('Step 3 (MTP) - Plan and prior'!J46),'Step 3 (MTP) - Plan and prior'!J46,"")</f>
        <v>2.58487</v>
      </c>
      <c r="K71" s="68">
        <f>IF(ISNUMBER('Step 3 (MTP) - Plan and prior'!K46),'Step 3 (MTP) - Plan and prior'!K46,"")</f>
        <v>2.58487</v>
      </c>
      <c r="L71" s="68">
        <f>IF(ISNUMBER('Step 3 (MTP) - Plan and prior'!L46),'Step 3 (MTP) - Plan and prior'!L46,"")</f>
        <v>2.58487</v>
      </c>
      <c r="M71" s="68">
        <f>IF(ISNUMBER('Step 3 (MTP) - Plan and prior'!M46),'Step 3 (MTP) - Plan and prior'!M46,"")</f>
        <v>2.58487</v>
      </c>
      <c r="N71" s="68">
        <f>IF(ISNUMBER('Step 3 (MTP) - Plan and prior'!N46),'Step 3 (MTP) - Plan and prior'!N46,"")</f>
        <v>2.58487</v>
      </c>
      <c r="O71" s="68">
        <f>IF(ISNUMBER('Step 3 (MTP) - Plan and prior'!O46),'Step 3 (MTP) - Plan and prior'!O46,"")</f>
        <v>2.58487</v>
      </c>
      <c r="P71" s="68">
        <f>IF(ISNUMBER('Step 3 (MTP) - Plan and prior'!P46),'Step 3 (MTP) - Plan and prior'!P46,"")</f>
        <v>2.58487</v>
      </c>
      <c r="Q71" s="68">
        <f>IF(ISNUMBER('Step 3 (MTP) - Plan and prior'!Q46),'Step 3 (MTP) - Plan and prior'!Q46,"")</f>
        <v>2.58487</v>
      </c>
      <c r="R71" s="68">
        <f>IF(ISNUMBER('Step 3 (MTP) - Plan and prior'!R46),'Step 3 (MTP) - Plan and prior'!R46,"")</f>
        <v>2.58487</v>
      </c>
      <c r="S71" s="68">
        <f>IF(ISNUMBER('Step 3 (MTP) - Plan and prior'!S46),'Step 3 (MTP) - Plan and prior'!S46,"")</f>
        <v>2.58487</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78.551901298157986</v>
      </c>
      <c r="E72" s="68">
        <f>IF(ISNUMBER('Step 3 (MTP) - Plan and prior'!E47),'Step 3 (MTP) - Plan and prior'!E47,"")</f>
        <v>79.538050043568091</v>
      </c>
      <c r="F72" s="68">
        <f>IF(ISNUMBER('Step 3 (MTP) - Plan and prior'!F47),'Step 3 (MTP) - Plan and prior'!F47,"")</f>
        <v>80.81308351777497</v>
      </c>
      <c r="G72" s="68">
        <f>IF(ISNUMBER('Step 3 (MTP) - Plan and prior'!G47),'Step 3 (MTP) - Plan and prior'!G47,"")</f>
        <v>80.673518010562546</v>
      </c>
      <c r="H72" s="68">
        <f>IF(ISNUMBER('Step 3 (MTP) - Plan and prior'!H47),'Step 3 (MTP) - Plan and prior'!H47,"")</f>
        <v>79.484335796243897</v>
      </c>
      <c r="I72" s="68">
        <f>IF(ISNUMBER('Step 3 (MTP) - Plan and prior'!I47),'Step 3 (MTP) - Plan and prior'!I47,"")</f>
        <v>77.440287313107248</v>
      </c>
      <c r="J72" s="68">
        <f>IF(ISNUMBER('Step 3 (MTP) - Plan and prior'!J47),'Step 3 (MTP) - Plan and prior'!J47,"")</f>
        <v>74.560907903721599</v>
      </c>
      <c r="K72" s="68">
        <f>IF(ISNUMBER('Step 3 (MTP) - Plan and prior'!K47),'Step 3 (MTP) - Plan and prior'!K47,"")</f>
        <v>71.405877847092583</v>
      </c>
      <c r="L72" s="68">
        <f>IF(ISNUMBER('Step 3 (MTP) - Plan and prior'!L47),'Step 3 (MTP) - Plan and prior'!L47,"")</f>
        <v>68.033122681889225</v>
      </c>
      <c r="M72" s="68">
        <f>IF(ISNUMBER('Step 3 (MTP) - Plan and prior'!M47),'Step 3 (MTP) - Plan and prior'!M47,"")</f>
        <v>65.291541962624549</v>
      </c>
      <c r="N72" s="68">
        <f>IF(ISNUMBER('Step 3 (MTP) - Plan and prior'!N47),'Step 3 (MTP) - Plan and prior'!N47,"")</f>
        <v>62.645116436373293</v>
      </c>
      <c r="O72" s="68">
        <f>IF(ISNUMBER('Step 3 (MTP) - Plan and prior'!O47),'Step 3 (MTP) - Plan and prior'!O47,"")</f>
        <v>60.093322914132514</v>
      </c>
      <c r="P72" s="68">
        <f>IF(ISNUMBER('Step 3 (MTP) - Plan and prior'!P47),'Step 3 (MTP) - Plan and prior'!P47,"")</f>
        <v>57.62190382259854</v>
      </c>
      <c r="Q72" s="68">
        <f>IF(ISNUMBER('Step 3 (MTP) - Plan and prior'!Q47),'Step 3 (MTP) - Plan and prior'!Q47,"")</f>
        <v>55.211529192724086</v>
      </c>
      <c r="R72" s="68">
        <f>IF(ISNUMBER('Step 3 (MTP) - Plan and prior'!R47),'Step 3 (MTP) - Plan and prior'!R47,"")</f>
        <v>52.850057829371522</v>
      </c>
      <c r="S72" s="68">
        <f>IF(ISNUMBER('Step 3 (MTP) - Plan and prior'!S47),'Step 3 (MTP) - Plan and prior'!S47,"")</f>
        <v>50.529237044731246</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78.5</v>
      </c>
      <c r="E74" s="68">
        <f>IF(ISNUMBER('Step 3 (MTP) - Plan and prior'!E29),'Step 3 (MTP) - Plan and prior'!E29,"")</f>
        <v>81.8</v>
      </c>
      <c r="F74" s="68">
        <f>IF(ISNUMBER('Step 3 (MTP) - Plan and prior'!F29),'Step 3 (MTP) - Plan and prior'!F29,"")</f>
        <v>84.6</v>
      </c>
      <c r="G74" s="68">
        <f>IF(ISNUMBER('Step 3 (MTP) - Plan and prior'!G29),'Step 3 (MTP) - Plan and prior'!G29,"")</f>
        <v>87.2</v>
      </c>
      <c r="H74" s="68">
        <f>IF(ISNUMBER('Step 3 (MTP) - Plan and prior'!H29),'Step 3 (MTP) - Plan and prior'!H29,"")</f>
        <v>89.5</v>
      </c>
      <c r="I74" s="68">
        <f>IF(ISNUMBER('Step 3 (MTP) - Plan and prior'!I29),'Step 3 (MTP) - Plan and prior'!I29,"")</f>
        <v>91.7</v>
      </c>
      <c r="J74" s="68">
        <f>IF(ISNUMBER('Step 3 (MTP) - Plan and prior'!J29),'Step 3 (MTP) - Plan and prior'!J29,"")</f>
        <v>93.7</v>
      </c>
      <c r="K74" s="68">
        <f>IF(ISNUMBER('Step 3 (MTP) - Plan and prior'!K29),'Step 3 (MTP) - Plan and prior'!K29,"")</f>
        <v>96.4</v>
      </c>
      <c r="L74" s="68">
        <f>IF(ISNUMBER('Step 3 (MTP) - Plan and prior'!L29),'Step 3 (MTP) - Plan and prior'!L29,"")</f>
        <v>99.3</v>
      </c>
      <c r="M74" s="68">
        <f>IF(ISNUMBER('Step 3 (MTP) - Plan and prior'!M29),'Step 3 (MTP) - Plan and prior'!M29,"")</f>
        <v>102.2</v>
      </c>
      <c r="N74" s="68">
        <f>IF(ISNUMBER('Step 3 (MTP) - Plan and prior'!N29),'Step 3 (MTP) - Plan and prior'!N29,"")</f>
        <v>105.3</v>
      </c>
      <c r="O74" s="68">
        <f>IF(ISNUMBER('Step 3 (MTP) - Plan and prior'!O29),'Step 3 (MTP) - Plan and prior'!O29,"")</f>
        <v>108.5</v>
      </c>
      <c r="P74" s="68">
        <f>IF(ISNUMBER('Step 3 (MTP) - Plan and prior'!P29),'Step 3 (MTP) - Plan and prior'!P29,"")</f>
        <v>111.9</v>
      </c>
      <c r="Q74" s="68">
        <f>IF(ISNUMBER('Step 3 (MTP) - Plan and prior'!Q29),'Step 3 (MTP) - Plan and prior'!Q29,"")</f>
        <v>115.3</v>
      </c>
      <c r="R74" s="68">
        <f>IF(ISNUMBER('Step 3 (MTP) - Plan and prior'!R29),'Step 3 (MTP) - Plan and prior'!R29,"")</f>
        <v>118.9</v>
      </c>
      <c r="S74" s="68">
        <f>IF(ISNUMBER('Step 3 (MTP) - Plan and prior'!S29),'Step 3 (MTP) - Plan and prior'!S29,"")</f>
        <v>122.6</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78.5</v>
      </c>
      <c r="E75" s="68">
        <f>IF(ISNUMBER('Step 3 (MTP) - Plan and prior'!E30),'Step 3 (MTP) - Plan and prior'!E30,"")</f>
        <v>81.8</v>
      </c>
      <c r="F75" s="68">
        <f>IF(ISNUMBER('Step 3 (MTP) - Plan and prior'!F30),'Step 3 (MTP) - Plan and prior'!F30,"")</f>
        <v>84.3</v>
      </c>
      <c r="G75" s="68">
        <f>IF(ISNUMBER('Step 3 (MTP) - Plan and prior'!G30),'Step 3 (MTP) - Plan and prior'!G30,"")</f>
        <v>85.9</v>
      </c>
      <c r="H75" s="68">
        <f>IF(ISNUMBER('Step 3 (MTP) - Plan and prior'!H30),'Step 3 (MTP) - Plan and prior'!H30,"")</f>
        <v>86.6</v>
      </c>
      <c r="I75" s="68">
        <f>IF(ISNUMBER('Step 3 (MTP) - Plan and prior'!I30),'Step 3 (MTP) - Plan and prior'!I30,"")</f>
        <v>86.8</v>
      </c>
      <c r="J75" s="68">
        <f>IF(ISNUMBER('Step 3 (MTP) - Plan and prior'!J30),'Step 3 (MTP) - Plan and prior'!J30,"")</f>
        <v>86.5</v>
      </c>
      <c r="K75" s="68">
        <f>IF(ISNUMBER('Step 3 (MTP) - Plan and prior'!K30),'Step 3 (MTP) - Plan and prior'!K30,"")</f>
        <v>85.7</v>
      </c>
      <c r="L75" s="68">
        <f>IF(ISNUMBER('Step 3 (MTP) - Plan and prior'!L30),'Step 3 (MTP) - Plan and prior'!L30,"")</f>
        <v>84.4</v>
      </c>
      <c r="M75" s="68">
        <f>IF(ISNUMBER('Step 3 (MTP) - Plan and prior'!M30),'Step 3 (MTP) - Plan and prior'!M30,"")</f>
        <v>82.9</v>
      </c>
      <c r="N75" s="68">
        <f>IF(ISNUMBER('Step 3 (MTP) - Plan and prior'!N30),'Step 3 (MTP) - Plan and prior'!N30,"")</f>
        <v>81.3</v>
      </c>
      <c r="O75" s="68">
        <f>IF(ISNUMBER('Step 3 (MTP) - Plan and prior'!O30),'Step 3 (MTP) - Plan and prior'!O30,"")</f>
        <v>79.5</v>
      </c>
      <c r="P75" s="68">
        <f>IF(ISNUMBER('Step 3 (MTP) - Plan and prior'!P30),'Step 3 (MTP) - Plan and prior'!P30,"")</f>
        <v>78.099999999999994</v>
      </c>
      <c r="Q75" s="68">
        <f>IF(ISNUMBER('Step 3 (MTP) - Plan and prior'!Q30),'Step 3 (MTP) - Plan and prior'!Q30,"")</f>
        <v>76.900000000000006</v>
      </c>
      <c r="R75" s="68">
        <f>IF(ISNUMBER('Step 3 (MTP) - Plan and prior'!R30),'Step 3 (MTP) - Plan and prior'!R30,"")</f>
        <v>75.8</v>
      </c>
      <c r="S75" s="68">
        <f>IF(ISNUMBER('Step 3 (MTP) - Plan and prior'!S30),'Step 3 (MTP) - Plan and prior'!S30,"")</f>
        <v>74.7</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78.5</v>
      </c>
      <c r="E76" s="68">
        <f>IF(ISNUMBER('Step 3 (MTP) - Plan and prior'!E31),'Step 3 (MTP) - Plan and prior'!E31,"")</f>
        <v>81.8</v>
      </c>
      <c r="F76" s="68">
        <f>IF(ISNUMBER('Step 3 (MTP) - Plan and prior'!F31),'Step 3 (MTP) - Plan and prior'!F31,"")</f>
        <v>84.3</v>
      </c>
      <c r="G76" s="68">
        <f>IF(ISNUMBER('Step 3 (MTP) - Plan and prior'!G31),'Step 3 (MTP) - Plan and prior'!G31,"")</f>
        <v>85.9</v>
      </c>
      <c r="H76" s="68">
        <f>IF(ISNUMBER('Step 3 (MTP) - Plan and prior'!H31),'Step 3 (MTP) - Plan and prior'!H31,"")</f>
        <v>86.6</v>
      </c>
      <c r="I76" s="68">
        <f>IF(ISNUMBER('Step 3 (MTP) - Plan and prior'!I31),'Step 3 (MTP) - Plan and prior'!I31,"")</f>
        <v>86.8</v>
      </c>
      <c r="J76" s="68">
        <f>IF(ISNUMBER('Step 3 (MTP) - Plan and prior'!J31),'Step 3 (MTP) - Plan and prior'!J31,"")</f>
        <v>86.5</v>
      </c>
      <c r="K76" s="68">
        <f>IF(ISNUMBER('Step 3 (MTP) - Plan and prior'!K31),'Step 3 (MTP) - Plan and prior'!K31,"")</f>
        <v>85.7</v>
      </c>
      <c r="L76" s="68">
        <f>IF(ISNUMBER('Step 3 (MTP) - Plan and prior'!L31),'Step 3 (MTP) - Plan and prior'!L31,"")</f>
        <v>84.4</v>
      </c>
      <c r="M76" s="68">
        <f>IF(ISNUMBER('Step 3 (MTP) - Plan and prior'!M31),'Step 3 (MTP) - Plan and prior'!M31,"")</f>
        <v>82.8</v>
      </c>
      <c r="N76" s="68">
        <f>IF(ISNUMBER('Step 3 (MTP) - Plan and prior'!N31),'Step 3 (MTP) - Plan and prior'!N31,"")</f>
        <v>81.400000000000006</v>
      </c>
      <c r="O76" s="68">
        <f>IF(ISNUMBER('Step 3 (MTP) - Plan and prior'!O31),'Step 3 (MTP) - Plan and prior'!O31,"")</f>
        <v>80.400000000000006</v>
      </c>
      <c r="P76" s="68">
        <f>IF(ISNUMBER('Step 3 (MTP) - Plan and prior'!P31),'Step 3 (MTP) - Plan and prior'!P31,"")</f>
        <v>79.5</v>
      </c>
      <c r="Q76" s="68">
        <f>IF(ISNUMBER('Step 3 (MTP) - Plan and prior'!Q31),'Step 3 (MTP) - Plan and prior'!Q31,"")</f>
        <v>78.7</v>
      </c>
      <c r="R76" s="68">
        <f>IF(ISNUMBER('Step 3 (MTP) - Plan and prior'!R31),'Step 3 (MTP) - Plan and prior'!R31,"")</f>
        <v>78</v>
      </c>
      <c r="S76" s="68">
        <f>IF(ISNUMBER('Step 3 (MTP) - Plan and prior'!S31),'Step 3 (MTP) - Plan and prior'!S31,"")</f>
        <v>77.400000000000006</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78.5</v>
      </c>
      <c r="E77" s="68">
        <f>IF(ISNUMBER('Step 3 (MTP) - Plan and prior'!E32),'Step 3 (MTP) - Plan and prior'!E32,"")</f>
        <v>81.8</v>
      </c>
      <c r="F77" s="68">
        <f>IF(ISNUMBER('Step 3 (MTP) - Plan and prior'!F32),'Step 3 (MTP) - Plan and prior'!F32,"")</f>
        <v>84.3</v>
      </c>
      <c r="G77" s="68">
        <f>IF(ISNUMBER('Step 3 (MTP) - Plan and prior'!G32),'Step 3 (MTP) - Plan and prior'!G32,"")</f>
        <v>85.9</v>
      </c>
      <c r="H77" s="68">
        <f>IF(ISNUMBER('Step 3 (MTP) - Plan and prior'!H32),'Step 3 (MTP) - Plan and prior'!H32,"")</f>
        <v>86.6</v>
      </c>
      <c r="I77" s="68">
        <f>IF(ISNUMBER('Step 3 (MTP) - Plan and prior'!I32),'Step 3 (MTP) - Plan and prior'!I32,"")</f>
        <v>86.8</v>
      </c>
      <c r="J77" s="68">
        <f>IF(ISNUMBER('Step 3 (MTP) - Plan and prior'!J32),'Step 3 (MTP) - Plan and prior'!J32,"")</f>
        <v>86.5</v>
      </c>
      <c r="K77" s="68">
        <f>IF(ISNUMBER('Step 3 (MTP) - Plan and prior'!K32),'Step 3 (MTP) - Plan and prior'!K32,"")</f>
        <v>85.7</v>
      </c>
      <c r="L77" s="68">
        <f>IF(ISNUMBER('Step 3 (MTP) - Plan and prior'!L32),'Step 3 (MTP) - Plan and prior'!L32,"")</f>
        <v>84.4</v>
      </c>
      <c r="M77" s="68">
        <f>IF(ISNUMBER('Step 3 (MTP) - Plan and prior'!M32),'Step 3 (MTP) - Plan and prior'!M32,"")</f>
        <v>83.3</v>
      </c>
      <c r="N77" s="68">
        <f>IF(ISNUMBER('Step 3 (MTP) - Plan and prior'!N32),'Step 3 (MTP) - Plan and prior'!N32,"")</f>
        <v>82</v>
      </c>
      <c r="O77" s="68">
        <f>IF(ISNUMBER('Step 3 (MTP) - Plan and prior'!O32),'Step 3 (MTP) - Plan and prior'!O32,"")</f>
        <v>80.7</v>
      </c>
      <c r="P77" s="68">
        <f>IF(ISNUMBER('Step 3 (MTP) - Plan and prior'!P32),'Step 3 (MTP) - Plan and prior'!P32,"")</f>
        <v>79.900000000000006</v>
      </c>
      <c r="Q77" s="68">
        <f>IF(ISNUMBER('Step 3 (MTP) - Plan and prior'!Q32),'Step 3 (MTP) - Plan and prior'!Q32,"")</f>
        <v>79.2</v>
      </c>
      <c r="R77" s="68">
        <f>IF(ISNUMBER('Step 3 (MTP) - Plan and prior'!R32),'Step 3 (MTP) - Plan and prior'!R32,"")</f>
        <v>78.599999999999994</v>
      </c>
      <c r="S77" s="68">
        <f>IF(ISNUMBER('Step 3 (MTP) - Plan and prior'!S32),'Step 3 (MTP) - Plan and prior'!S32,"")</f>
        <v>78.099999999999994</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f>IF(ISNUMBER('Step 3 (MTP) - Plan and prior'!H54),'Step 3 (MTP) - Plan and prior'!H54,"")</f>
        <v>79.484335796243897</v>
      </c>
      <c r="I79" s="68">
        <f>IF(ISNUMBER('Step 3 (MTP) - Plan and prior'!I54),'Step 3 (MTP) - Plan and prior'!I54,"")</f>
        <v>77.440287313107248</v>
      </c>
      <c r="J79" s="68">
        <f>IF(ISNUMBER('Step 3 (MTP) - Plan and prior'!J54),'Step 3 (MTP) - Plan and prior'!J54,"")</f>
        <v>68.026850286534099</v>
      </c>
      <c r="K79" s="68">
        <f>IF(ISNUMBER('Step 3 (MTP) - Plan and prior'!K54),'Step 3 (MTP) - Plan and prior'!K54,"")</f>
        <v>62.189103860276177</v>
      </c>
      <c r="L79" s="68">
        <f>IF(ISNUMBER('Step 3 (MTP) - Plan and prior'!L54),'Step 3 (MTP) - Plan and prior'!L54,"")</f>
        <v>56.957507752690006</v>
      </c>
      <c r="M79" s="68">
        <f>IF(ISNUMBER('Step 3 (MTP) - Plan and prior'!M54),'Step 3 (MTP) - Plan and prior'!M54,"")</f>
        <v>52.667045502663612</v>
      </c>
      <c r="N79" s="68">
        <f>IF(ISNUMBER('Step 3 (MTP) - Plan and prior'!N54),'Step 3 (MTP) - Plan and prior'!N54,"")</f>
        <v>48.473821270357668</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f>IF(ISNUMBER('Step 3 (MTP) - Plan and prior'!H55),'Step 3 (MTP) - Plan and prior'!H55,"")</f>
        <v>0</v>
      </c>
      <c r="I80" s="68">
        <f>IF(ISNUMBER('Step 3 (MTP) - Plan and prior'!I55),'Step 3 (MTP) - Plan and prior'!I55,"")</f>
        <v>0</v>
      </c>
      <c r="J80" s="68">
        <f>IF(ISNUMBER('Step 3 (MTP) - Plan and prior'!J55),'Step 3 (MTP) - Plan and prior'!J55,"")</f>
        <v>3.9434051513671875</v>
      </c>
      <c r="K80" s="68">
        <f>IF(ISNUMBER('Step 3 (MTP) - Plan and prior'!K55),'Step 3 (MTP) - Plan and prior'!K55,"")</f>
        <v>5.35260009765625</v>
      </c>
      <c r="L80" s="68">
        <f>IF(ISNUMBER('Step 3 (MTP) - Plan and prior'!L55),'Step 3 (MTP) - Plan and prior'!L55,"")</f>
        <v>6.437591552734375</v>
      </c>
      <c r="M80" s="68">
        <f>IF(ISNUMBER('Step 3 (MTP) - Plan and prior'!M55),'Step 3 (MTP) - Plan and prior'!M55,"")</f>
        <v>7.4634780883789063</v>
      </c>
      <c r="N80" s="68">
        <f>IF(ISNUMBER('Step 3 (MTP) - Plan and prior'!N55),'Step 3 (MTP) - Plan and prior'!N55,"")</f>
        <v>8.372589111328125</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f>IF(ISNUMBER('Step 3 (MTP) - Plan and prior'!H56),'Step 3 (MTP) - Plan and prior'!H56,"")</f>
        <v>0</v>
      </c>
      <c r="I81" s="68">
        <f>IF(ISNUMBER('Step 3 (MTP) - Plan and prior'!I56),'Step 3 (MTP) - Plan and prior'!I56,"")</f>
        <v>0</v>
      </c>
      <c r="J81" s="68">
        <f>IF(ISNUMBER('Step 3 (MTP) - Plan and prior'!J56),'Step 3 (MTP) - Plan and prior'!J56,"")</f>
        <v>2.5906524658203125</v>
      </c>
      <c r="K81" s="68">
        <f>IF(ISNUMBER('Step 3 (MTP) - Plan and prior'!K56),'Step 3 (MTP) - Plan and prior'!K56,"")</f>
        <v>3.8641738891601563</v>
      </c>
      <c r="L81" s="68">
        <f>IF(ISNUMBER('Step 3 (MTP) - Plan and prior'!L56),'Step 3 (MTP) - Plan and prior'!L56,"")</f>
        <v>4.6380233764648438</v>
      </c>
      <c r="M81" s="68">
        <f>IF(ISNUMBER('Step 3 (MTP) - Plan and prior'!M56),'Step 3 (MTP) - Plan and prior'!M56,"")</f>
        <v>5.1610183715820313</v>
      </c>
      <c r="N81" s="68">
        <f>IF(ISNUMBER('Step 3 (MTP) - Plan and prior'!N56),'Step 3 (MTP) - Plan and prior'!N56,"")</f>
        <v>5.7987060546875</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f>IF(ISNUMBER('Step 3 (MTP) - Plan and prior'!H57),'Step 3 (MTP) - Plan and prior'!H57,"")</f>
        <v>0</v>
      </c>
      <c r="I82" s="68">
        <f>IF(ISNUMBER('Step 3 (MTP) - Plan and prior'!I57),'Step 3 (MTP) - Plan and prior'!I57,"")</f>
        <v>0</v>
      </c>
      <c r="J82" s="68">
        <f>IF(ISNUMBER('Step 3 (MTP) - Plan and prior'!J57),'Step 3 (MTP) - Plan and prior'!J57,"")</f>
        <v>2.65289306640625</v>
      </c>
      <c r="K82" s="68">
        <f>IF(ISNUMBER('Step 3 (MTP) - Plan and prior'!K57),'Step 3 (MTP) - Plan and prior'!K57,"")</f>
        <v>3.75189208984375</v>
      </c>
      <c r="L82" s="68">
        <f>IF(ISNUMBER('Step 3 (MTP) - Plan and prior'!L57),'Step 3 (MTP) - Plan and prior'!L57,"")</f>
        <v>4.4892959594726563</v>
      </c>
      <c r="M82" s="68">
        <f>IF(ISNUMBER('Step 3 (MTP) - Plan and prior'!M57),'Step 3 (MTP) - Plan and prior'!M57,"")</f>
        <v>5.1950912475585938</v>
      </c>
      <c r="N82" s="68">
        <f>IF(ISNUMBER('Step 3 (MTP) - Plan and prior'!N57),'Step 3 (MTP) - Plan and prior'!N57,"")</f>
        <v>6.1019744873046875</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f>IF(ISNUMBER('Step 3 (MTP) - Plan and prior'!H58),'Step 3 (MTP) - Plan and prior'!H58,"")</f>
        <v>0</v>
      </c>
      <c r="I83" s="68">
        <f>IF(ISNUMBER('Step 3 (MTP) - Plan and prior'!I58),'Step 3 (MTP) - Plan and prior'!I58,"")</f>
        <v>0</v>
      </c>
      <c r="J83" s="68">
        <f>IF(ISNUMBER('Step 3 (MTP) - Plan and prior'!J58),'Step 3 (MTP) - Plan and prior'!J58,"")</f>
        <v>3.974365234375</v>
      </c>
      <c r="K83" s="68">
        <f>IF(ISNUMBER('Step 3 (MTP) - Plan and prior'!K58),'Step 3 (MTP) - Plan and prior'!K58,"")</f>
        <v>5.5295944213867188</v>
      </c>
      <c r="L83" s="68">
        <f>IF(ISNUMBER('Step 3 (MTP) - Plan and prior'!L58),'Step 3 (MTP) - Plan and prior'!L58,"")</f>
        <v>6.765289306640625</v>
      </c>
      <c r="M83" s="68">
        <f>IF(ISNUMBER('Step 3 (MTP) - Plan and prior'!M58),'Step 3 (MTP) - Plan and prior'!M58,"")</f>
        <v>7.7694549560546875</v>
      </c>
      <c r="N83" s="68">
        <f>IF(ISNUMBER('Step 3 (MTP) - Plan and prior'!N58),'Step 3 (MTP) - Plan and prior'!N58,"")</f>
        <v>8.37042236328125</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f>IF(ISNUMBER('Step 3 (MTP) - Plan and prior'!H59),'Step 3 (MTP) - Plan and prior'!H59,"")</f>
        <v>79.484335796243897</v>
      </c>
      <c r="I84" s="68">
        <f>IF(ISNUMBER('Step 3 (MTP) - Plan and prior'!I59),'Step 3 (MTP) - Plan and prior'!I59,"")</f>
        <v>77.440287313107248</v>
      </c>
      <c r="J84" s="68">
        <f>IF(ISNUMBER('Step 3 (MTP) - Plan and prior'!J59),'Step 3 (MTP) - Plan and prior'!J59,"")</f>
        <v>68.026850286534099</v>
      </c>
      <c r="K84" s="68">
        <f>IF(ISNUMBER('Step 3 (MTP) - Plan and prior'!K59),'Step 3 (MTP) - Plan and prior'!K59,"")</f>
        <v>62.189103860276177</v>
      </c>
      <c r="L84" s="68">
        <f>IF(ISNUMBER('Step 3 (MTP) - Plan and prior'!L59),'Step 3 (MTP) - Plan and prior'!L59,"")</f>
        <v>56.957507752690006</v>
      </c>
      <c r="M84" s="68">
        <f>IF(ISNUMBER('Step 3 (MTP) - Plan and prior'!M59),'Step 3 (MTP) - Plan and prior'!M59,"")</f>
        <v>52.667045502663612</v>
      </c>
      <c r="N84" s="68">
        <f>IF(ISNUMBER('Step 3 (MTP) - Plan and prior'!N59),'Step 3 (MTP) - Plan and prior'!N59,"")</f>
        <v>48.473821270357668</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f>IF(ISNUMBER('Step 3 (MTP) - Plan and prior'!H60),'Step 3 (MTP) - Plan and prior'!H60,"")</f>
        <v>79.484335796243897</v>
      </c>
      <c r="I85" s="68">
        <f>IF(ISNUMBER('Step 3 (MTP) - Plan and prior'!I60),'Step 3 (MTP) - Plan and prior'!I60,"")</f>
        <v>77.440287313107248</v>
      </c>
      <c r="J85" s="68">
        <f>IF(ISNUMBER('Step 3 (MTP) - Plan and prior'!J60),'Step 3 (MTP) - Plan and prior'!J60,"")</f>
        <v>71.970255437901287</v>
      </c>
      <c r="K85" s="68">
        <f>IF(ISNUMBER('Step 3 (MTP) - Plan and prior'!K60),'Step 3 (MTP) - Plan and prior'!K60,"")</f>
        <v>67.541703957932427</v>
      </c>
      <c r="L85" s="68">
        <f>IF(ISNUMBER('Step 3 (MTP) - Plan and prior'!L60),'Step 3 (MTP) - Plan and prior'!L60,"")</f>
        <v>63.395099305424381</v>
      </c>
      <c r="M85" s="68">
        <f>IF(ISNUMBER('Step 3 (MTP) - Plan and prior'!M60),'Step 3 (MTP) - Plan and prior'!M60,"")</f>
        <v>60.130523591042518</v>
      </c>
      <c r="N85" s="68">
        <f>IF(ISNUMBER('Step 3 (MTP) - Plan and prior'!N60),'Step 3 (MTP) - Plan and prior'!N60,"")</f>
        <v>56.846410381685793</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f>IF(ISNUMBER('Step 3 (MTP) - Plan and prior'!H61),'Step 3 (MTP) - Plan and prior'!H61,"")</f>
        <v>79.484335796243897</v>
      </c>
      <c r="I86" s="68">
        <f>IF(ISNUMBER('Step 3 (MTP) - Plan and prior'!I61),'Step 3 (MTP) - Plan and prior'!I61,"")</f>
        <v>77.440287313107248</v>
      </c>
      <c r="J86" s="68">
        <f>IF(ISNUMBER('Step 3 (MTP) - Plan and prior'!J61),'Step 3 (MTP) - Plan and prior'!J61,"")</f>
        <v>74.560907903721599</v>
      </c>
      <c r="K86" s="68">
        <f>IF(ISNUMBER('Step 3 (MTP) - Plan and prior'!K61),'Step 3 (MTP) - Plan and prior'!K61,"")</f>
        <v>71.405877847092583</v>
      </c>
      <c r="L86" s="68">
        <f>IF(ISNUMBER('Step 3 (MTP) - Plan and prior'!L61),'Step 3 (MTP) - Plan and prior'!L61,"")</f>
        <v>68.033122681889225</v>
      </c>
      <c r="M86" s="68">
        <f>IF(ISNUMBER('Step 3 (MTP) - Plan and prior'!M61),'Step 3 (MTP) - Plan and prior'!M61,"")</f>
        <v>65.291541962624549</v>
      </c>
      <c r="N86" s="68">
        <f>IF(ISNUMBER('Step 3 (MTP) - Plan and prior'!N61),'Step 3 (MTP) - Plan and prior'!N61,"")</f>
        <v>62.645116436373293</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f>IF(ISNUMBER('Step 3 (MTP) - Plan and prior'!H62),'Step 3 (MTP) - Plan and prior'!H62,"")</f>
        <v>79.484335796243897</v>
      </c>
      <c r="I87" s="68">
        <f>IF(ISNUMBER('Step 3 (MTP) - Plan and prior'!I62),'Step 3 (MTP) - Plan and prior'!I62,"")</f>
        <v>77.440287313107248</v>
      </c>
      <c r="J87" s="68">
        <f>IF(ISNUMBER('Step 3 (MTP) - Plan and prior'!J62),'Step 3 (MTP) - Plan and prior'!J62,"")</f>
        <v>77.213800970127849</v>
      </c>
      <c r="K87" s="68">
        <f>IF(ISNUMBER('Step 3 (MTP) - Plan and prior'!K62),'Step 3 (MTP) - Plan and prior'!K62,"")</f>
        <v>75.157769936936333</v>
      </c>
      <c r="L87" s="68">
        <f>IF(ISNUMBER('Step 3 (MTP) - Plan and prior'!L62),'Step 3 (MTP) - Plan and prior'!L62,"")</f>
        <v>72.522418641361881</v>
      </c>
      <c r="M87" s="68">
        <f>IF(ISNUMBER('Step 3 (MTP) - Plan and prior'!M62),'Step 3 (MTP) - Plan and prior'!M62,"")</f>
        <v>70.486633210183143</v>
      </c>
      <c r="N87" s="68">
        <f>IF(ISNUMBER('Step 3 (MTP) - Plan and prior'!N62),'Step 3 (MTP) - Plan and prior'!N62,"")</f>
        <v>68.747090923677973</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f>IF(ISNUMBER('Step 3 (MTP) - Plan and prior'!H63),'Step 3 (MTP) - Plan and prior'!H63,"")</f>
        <v>79.484335796243897</v>
      </c>
      <c r="I88" s="68">
        <f>IF(ISNUMBER('Step 3 (MTP) - Plan and prior'!I63),'Step 3 (MTP) - Plan and prior'!I63,"")</f>
        <v>77.440287313107248</v>
      </c>
      <c r="J88" s="68">
        <f>IF(ISNUMBER('Step 3 (MTP) - Plan and prior'!J63),'Step 3 (MTP) - Plan and prior'!J63,"")</f>
        <v>81.188166204502849</v>
      </c>
      <c r="K88" s="68">
        <f>IF(ISNUMBER('Step 3 (MTP) - Plan and prior'!K63),'Step 3 (MTP) - Plan and prior'!K63,"")</f>
        <v>80.687364358323052</v>
      </c>
      <c r="L88" s="68">
        <f>IF(ISNUMBER('Step 3 (MTP) - Plan and prior'!L63),'Step 3 (MTP) - Plan and prior'!L63,"")</f>
        <v>79.287707948002506</v>
      </c>
      <c r="M88" s="68">
        <f>IF(ISNUMBER('Step 3 (MTP) - Plan and prior'!M63),'Step 3 (MTP) - Plan and prior'!M63,"")</f>
        <v>78.256088166237831</v>
      </c>
      <c r="N88" s="68">
        <f>IF(ISNUMBER('Step 3 (MTP) - Plan and prior'!N63),'Step 3 (MTP) - Plan and prior'!N63,"")</f>
        <v>77.117513286959223</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e" cm="1">
        <f t="array" ref="C94">IF(
   AssessmentEnd &lt;= OutturnThrough,
   NA(),
   SUMPRODUCT(
      (4:4 &gt;= OutturnThrough+1) *
      (4:4 &lt;= AssessmentEnd) *
      (34:34 &lt; 15:15)
   ) = 0
)</f>
        <v>#N/A</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957</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959</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958</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960</v>
      </c>
      <c r="C98" s="15" t="e"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#N/A</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961</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e"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#N/A</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F105">_xlfn.SEQUENCE(1, AssessmentEnd-MTP_BaseYear+1, MTP_BaseYear)</f>
        <v>2023</v>
      </c>
      <c r="E105" s="3">
        <v>2024</v>
      </c>
      <c r="F105" s="3">
        <v>2025</v>
      </c>
      <c r="G105" s="3"/>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F106">IF(_xlfn.SEQUENCE(1,COLUMNS(_xlfn.ANCHORARRAY(D105)),-1)=-1,"T-1",IF(_xlfn.SEQUENCE(1,COLUMNS(_xlfn.ANCHORARRAY(D105)),-1)=0,"T","T+"&amp;_xlfn.SEQUENCE(1,COLUMNS(_xlfn.ANCHORARRAY(D105)),-1)))</f>
        <v>T-1</v>
      </c>
      <c r="E106" s="3" t="str">
        <v>T</v>
      </c>
      <c r="F106" s="3" t="str">
        <v>T+1</v>
      </c>
      <c r="G106" s="3"/>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249.97019999999998</v>
      </c>
      <c r="E108" s="144">
        <f t="shared" si="2"/>
        <v>273.19140000000004</v>
      </c>
      <c r="F108" s="144">
        <f t="shared" si="2"/>
        <v>283.00670000000002</v>
      </c>
      <c r="G108" s="144" t="str">
        <f t="shared" si="2"/>
        <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5.7383000000000006</v>
      </c>
      <c r="E109" s="144">
        <f t="shared" si="3"/>
        <v>7.3407</v>
      </c>
      <c r="F109" s="144">
        <f t="shared" si="3"/>
        <v>8.2657999999999987</v>
      </c>
      <c r="G109" s="144" t="str">
        <f t="shared" si="3"/>
        <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-0.19832</v>
      </c>
      <c r="E110" s="144">
        <f t="shared" si="4"/>
        <v>-2.836E-2</v>
      </c>
      <c r="F110" s="144">
        <f t="shared" si="4"/>
        <v>0.63275999999999999</v>
      </c>
      <c r="G110" s="144" t="str">
        <f t="shared" si="4"/>
        <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1.3505</v>
      </c>
      <c r="E111" s="144">
        <f t="shared" si="5"/>
        <v>0.9556</v>
      </c>
      <c r="F111" s="144">
        <f t="shared" si="5"/>
        <v>0.80640000000000012</v>
      </c>
      <c r="G111" s="144" t="str">
        <f t="shared" si="5"/>
        <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0.93005000000000004</v>
      </c>
      <c r="E112" s="144">
        <f t="shared" si="6"/>
        <v>1.0083500000000001</v>
      </c>
      <c r="F112" s="144">
        <f t="shared" si="6"/>
        <v>1.09388</v>
      </c>
      <c r="G112" s="144" t="str">
        <f t="shared" si="6"/>
        <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2.8400000000000002E-2</v>
      </c>
      <c r="G113" s="144" t="str">
        <f t="shared" si="7"/>
        <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242.14967000000001</v>
      </c>
      <c r="E114" s="144">
        <f t="shared" si="8"/>
        <v>263.91511000000003</v>
      </c>
      <c r="F114" s="144">
        <f t="shared" si="8"/>
        <v>272.17945999999995</v>
      </c>
      <c r="G114" s="144" t="str">
        <f t="shared" si="8"/>
        <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21.765440000000012</v>
      </c>
      <c r="F115" s="91">
        <f t="shared" ref="F115:J115" si="9">IF(ISNUMBER(F105),F114-E114,"")</f>
        <v>8.2643499999999221</v>
      </c>
      <c r="G115" s="91" t="str">
        <f t="shared" si="9"/>
        <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-0.58499999999999996</v>
      </c>
      <c r="F116" s="144">
        <f t="shared" si="10"/>
        <v>0</v>
      </c>
      <c r="G116" s="144" t="str">
        <f t="shared" si="10"/>
        <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22.350440000000013</v>
      </c>
      <c r="F117" s="144">
        <f t="shared" ref="F117:J117" si="11">IF(ISNUMBER(F105),F115-F116,"")</f>
        <v>8.2643499999999221</v>
      </c>
      <c r="G117" s="144" t="str">
        <f t="shared" si="11"/>
        <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9.2300105137454924</v>
      </c>
      <c r="F119" s="144">
        <f t="shared" ref="F119:J119" si="12">IF(ISNUMBER(F105),F117/E114*100,"")</f>
        <v>3.1314425308956055</v>
      </c>
      <c r="G119" s="144" t="str">
        <f t="shared" si="12"/>
        <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2.6</v>
      </c>
      <c r="F120" s="144">
        <f t="shared" si="13"/>
        <v>2.2000000000000002</v>
      </c>
      <c r="G120" s="144" t="str">
        <f t="shared" si="13"/>
        <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16.054548580000016</v>
      </c>
      <c r="F121" s="144">
        <f t="shared" ref="F121:J121" si="14">IF(ISNUMBER(F105),((F119-F120)/100)*E114,"")</f>
        <v>2.4582175799999209</v>
      </c>
      <c r="G121" s="144" t="str">
        <f t="shared" si="14"/>
        <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16.054548580000016</v>
      </c>
      <c r="F122" s="144">
        <f t="shared" ref="F122:J122" si="15">IF(ISNUMBER(F105),F121+IF(ISNUMBER(E105),E122,0),"")</f>
        <v>18.512766159999938</v>
      </c>
      <c r="G122" s="144" t="str">
        <f t="shared" si="15"/>
        <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477.83729999999997</v>
      </c>
      <c r="E123" s="144">
        <f t="shared" si="16"/>
        <v>494.08759999999995</v>
      </c>
      <c r="F123" s="144">
        <f t="shared" si="16"/>
        <v>514.32809999999995</v>
      </c>
      <c r="G123" s="144" t="str">
        <f t="shared" si="16"/>
        <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3.2493324220239526</v>
      </c>
      <c r="F125" s="4">
        <f t="shared" ref="F125:J125" si="17">IF(ISNUMBER(F105),F121/F$123*100,"")</f>
        <v>0.47794736083832895</v>
      </c>
      <c r="G125" s="4" t="str">
        <f t="shared" si="17"/>
        <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3.2493324220239526</v>
      </c>
      <c r="F126" s="4">
        <f t="shared" ref="F126:J126" si="18">IF(ISNUMBER(F105),F122/F$123*100,"")</f>
        <v>3.5994078799116633</v>
      </c>
      <c r="G126" s="4" t="str">
        <f t="shared" si="18"/>
        <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3.2493324220239526</v>
      </c>
      <c r="F128" s="4">
        <f t="shared" ref="F128:J128" si="19">IF(ISNUMBER(F105),F121/F$123*100,"")</f>
        <v>0.47794736083832895</v>
      </c>
      <c r="G128" s="4" t="str">
        <f t="shared" si="19"/>
        <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2.8989799999999999</v>
      </c>
      <c r="E129" s="144">
        <f t="shared" si="20"/>
        <v>3.3417400000000002</v>
      </c>
      <c r="F129" s="144">
        <f t="shared" si="20"/>
        <v>3.7082799999999998</v>
      </c>
      <c r="G129" s="144" t="str">
        <f t="shared" si="20"/>
        <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0.6066876738170085</v>
      </c>
      <c r="E130" s="4">
        <f t="shared" si="21"/>
        <v>0.67634565206655672</v>
      </c>
      <c r="F130" s="4">
        <f t="shared" si="21"/>
        <v>0.72099502243801183</v>
      </c>
      <c r="G130" s="4" t="str">
        <f t="shared" si="21"/>
        <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0.44276000000000026</v>
      </c>
      <c r="F131" s="4">
        <f t="shared" ref="F131:J131" si="22">IF(ISNUMBER(F105),F129-E129,"")</f>
        <v>0.36653999999999964</v>
      </c>
      <c r="G131" s="4" t="str">
        <f t="shared" si="22"/>
        <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8.9611639717329536E-2</v>
      </c>
      <c r="F132" s="4">
        <f>IF(ISNUMBER(F105),F131/F$27*100,"")</f>
        <v>7.1265793177545556E-2</v>
      </c>
      <c r="G132" s="4" t="str">
        <f t="shared" ref="G132:J132" si="23">IF(ISNUMBER(G105),G131/G$27*100,"")</f>
        <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#N/A</v>
      </c>
      <c r="F133" s="4" t="e">
        <f t="shared" ref="F133:G133" si="24">IF(ISNUMBER(F105),F134/100*F$27,"")</f>
        <v>#N/A</v>
      </c>
      <c r="G133" s="4" t="str">
        <f t="shared" si="24"/>
        <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#N/A</v>
      </c>
      <c r="F134" s="4" t="e">
        <f>IF(ISNUMBER(F105),F130-'Step 1 - Set global parameters'!$B$27,"")</f>
        <v>#N/A</v>
      </c>
      <c r="G134" s="4" t="str">
        <f>IF(ISNUMBER(G105),G130-'Step 1 - Set global parameters'!$B$27,"")</f>
        <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#N/A</v>
      </c>
      <c r="F135" s="117" t="e">
        <f t="shared" si="25"/>
        <v>#N/A</v>
      </c>
      <c r="G135" s="117" t="str">
        <f t="shared" si="25"/>
        <v/>
      </c>
      <c r="H135" s="117" t="str">
        <f t="shared" si="25"/>
        <v/>
      </c>
      <c r="I135" s="117" t="str">
        <f t="shared" si="25"/>
        <v/>
      </c>
      <c r="J135" s="117" t="str">
        <f t="shared" si="25"/>
        <v/>
      </c>
      <c r="K135" s="117"/>
    </row>
    <row r="136" spans="1:35" s="44" customFormat="1" x14ac:dyDescent="0.4">
      <c r="B136" s="82" t="s">
        <v>652</v>
      </c>
      <c r="C136" s="44" t="s">
        <v>651</v>
      </c>
      <c r="E136" s="48">
        <f>IF(ISNUMBER(E105),E121,"")</f>
        <v>16.054548580000016</v>
      </c>
      <c r="F136" s="48">
        <f t="shared" ref="F136:J136" si="26">IF(ISNUMBER(F105),F121,"")</f>
        <v>2.4582175799999209</v>
      </c>
      <c r="G136" s="48" t="str">
        <f t="shared" si="26"/>
        <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16.054548580000016</v>
      </c>
      <c r="F137" s="48">
        <f t="shared" ref="F137:J137" si="27">IF(ISNUMBER(F105),IF(OR(F136="",ISNA(F136)),"",MAX(F136,0)),"")</f>
        <v>2.4582175799999209</v>
      </c>
      <c r="G137" s="48" t="str">
        <f t="shared" si="27"/>
        <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#N/A</v>
      </c>
      <c r="F138" s="48" t="e">
        <f t="shared" ref="F138:G138" si="28">IF(ISNUMBER(F105),IF((F137-MAX(F133,0))&gt;0,F137-MAX(F133,0),0),"")</f>
        <v>#N/A</v>
      </c>
      <c r="G138" s="48" t="str">
        <f t="shared" si="28"/>
        <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0</v>
      </c>
      <c r="F139" s="48">
        <f t="shared" ref="F139:J139" si="30">IF(ISNUMBER(F105),IF(OR(F136="",ISNA(F136)),"",ABS(MIN(F136,0))),"")</f>
        <v>0</v>
      </c>
      <c r="G139" s="48" t="str">
        <f t="shared" si="30"/>
        <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16.054548580000016</v>
      </c>
      <c r="F140" s="48">
        <f t="shared" ref="F140:J140" si="31">IF(ISNUMBER(F105),IF(F145=FALSE,F137-F139,IF(F146=TRUE,F138-F139,F139)),"")</f>
        <v>2.4582175799999209</v>
      </c>
      <c r="G140" s="48" t="str">
        <f t="shared" si="31"/>
        <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16.054548580000016</v>
      </c>
      <c r="F141" s="48">
        <f>IF(ISNUMBER(F105),F140+IF(ISNUMBER(E105),E141,0),"")</f>
        <v>18.512766159999938</v>
      </c>
      <c r="G141" s="48" t="str">
        <f>IF(ISNUMBER(G105),G140+IF(ISNUMBER(F105),F141,0),"")</f>
        <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3.2493324220239526</v>
      </c>
      <c r="F142" s="4">
        <f t="shared" ref="F142:J142" si="33">IF(ISNUMBER(F105),F140/F123*100,"")</f>
        <v>0.47794736083832895</v>
      </c>
      <c r="G142" s="4" t="str">
        <f t="shared" si="33"/>
        <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3.2493324220239526</v>
      </c>
      <c r="F143" s="4">
        <f t="shared" ref="F143:J143" si="34">IF(ISNUMBER(F105),F141/F$123*100,"")</f>
        <v>3.5994078799116633</v>
      </c>
      <c r="G143" s="4" t="str">
        <f t="shared" si="34"/>
        <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#N/A</v>
      </c>
      <c r="F144" s="4" t="e">
        <f t="shared" ref="F144:J144" si="35">IF(ISNUMBER(F105),F126-F134,"")</f>
        <v>#N/A</v>
      </c>
      <c r="G144" s="4" t="str">
        <f t="shared" si="35"/>
        <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1</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1</v>
      </c>
      <c r="G149" s="119" t="b">
        <f>IF(G143 &gt; 0.6, TRUE, FALSE)</f>
        <v>1</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1</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1</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1</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1</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0</v>
      </c>
      <c r="D158" s="58"/>
      <c r="E158" s="58"/>
      <c r="F158" s="58"/>
      <c r="G158" s="58"/>
      <c r="H158" s="58"/>
      <c r="I158" s="58"/>
      <c r="J158" s="58"/>
      <c r="K158" s="58"/>
      <c r="L158" s="58"/>
      <c r="M158" s="58"/>
      <c r="N158" s="58"/>
      <c r="O158" s="58"/>
      <c r="P158" s="58"/>
      <c r="Q158" s="58"/>
      <c r="R158" s="58"/>
      <c r="S158" s="58"/>
      <c r="T158" s="58"/>
    </row>
    <row r="159" spans="1:35" x14ac:dyDescent="0.4">
      <c r="B159" s="46" t="s">
        <v>963</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(2025), the balance in Austria's cumulative control account is a debit (overspend) of 3.6 percentage points of GDP. Observed annual and cumulative deviations exceed the respective 0.3 and 0.6 percentage points of GDP limits.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1</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b"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0</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Austria's outturn or plans are not compliant (diagnostic only—not assessed as a separate compliance criterion during implementation).</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F172">_xlfn.SEQUENCE(1, AssessmentEnd-MTP_BaseYear+1, MTP_BaseYear)</f>
        <v>2023</v>
      </c>
      <c r="E172" s="14">
        <v>2024</v>
      </c>
      <c r="F172" s="17">
        <v>2025</v>
      </c>
      <c r="G172" s="14"/>
      <c r="H172" s="14"/>
      <c r="I172" s="14"/>
    </row>
    <row r="173" spans="2:35" customFormat="1" x14ac:dyDescent="0.4">
      <c r="B173" t="s">
        <v>383</v>
      </c>
      <c r="C173" s="37"/>
      <c r="D173" s="91" cm="1">
        <f t="array" ref="D173:F173">INDEX(18:18, COLUMN($D$18) + _xlfn.SEQUENCE(1, COLUMNS(_xlfn.ANCHORARRAY(D4))) - 1)</f>
        <v>-2.6994400000000001</v>
      </c>
      <c r="E173" s="91">
        <v>-3.9735</v>
      </c>
      <c r="F173" s="91">
        <v>-3.5701800000000001</v>
      </c>
      <c r="G173" s="91"/>
      <c r="H173" s="91"/>
      <c r="I173" s="91"/>
      <c r="J173" s="91"/>
      <c r="K173" s="91"/>
      <c r="L173" s="91"/>
      <c r="M173" s="91"/>
      <c r="N173" s="91"/>
    </row>
    <row r="174" spans="2:35" customFormat="1" x14ac:dyDescent="0.4">
      <c r="B174" t="s">
        <v>214</v>
      </c>
      <c r="C174" s="37"/>
      <c r="D174" s="91" cm="1">
        <f t="array" ref="D174:F174">INDEX(19:19, COLUMN($D$19) + _xlfn.SEQUENCE(1, COLUMNS(_xlfn.ANCHORARRAY(D4))) - 1)</f>
        <v>-1.4985599999999999</v>
      </c>
      <c r="E174" s="91">
        <v>-2.4877799999999999</v>
      </c>
      <c r="F174" s="91">
        <v>-1.9583200000000001</v>
      </c>
      <c r="G174" s="91"/>
      <c r="H174" s="91"/>
      <c r="I174" s="91"/>
      <c r="J174" s="91"/>
      <c r="K174" s="91"/>
      <c r="L174" s="91"/>
      <c r="M174" s="91"/>
    </row>
    <row r="175" spans="2:35" customFormat="1" x14ac:dyDescent="0.4">
      <c r="B175" s="7" t="s">
        <v>384</v>
      </c>
      <c r="C175" s="93"/>
      <c r="D175" s="91"/>
      <c r="E175" s="117" cm="1">
        <f t="array" ref="E175:F175">_xlfn.DROP(_xlfn.ANCHORARRAY(D174),,1) - _xlfn.TAKE(_xlfn.ANCHORARRAY(D174),,COLUMNS(_xlfn.ANCHORARRAY(D172))-1)</f>
        <v>-0.98921999999999999</v>
      </c>
      <c r="F175" s="91">
        <v>0.52945999999999982</v>
      </c>
      <c r="G175" s="91"/>
      <c r="H175" s="91"/>
      <c r="I175" s="91"/>
      <c r="J175" s="91"/>
      <c r="K175" s="91"/>
      <c r="L175" s="91"/>
    </row>
    <row r="176" spans="2:35" customFormat="1" x14ac:dyDescent="0.4">
      <c r="B176" t="s">
        <v>660</v>
      </c>
      <c r="D176" s="3" t="b">
        <f>IF(ISNUMBER(D172),D173&lt;-1.5,"")</f>
        <v>1</v>
      </c>
      <c r="E176" s="3" t="b">
        <f t="shared" ref="E176:K176" si="36">IF(ISNUMBER(E172),E173&lt;-1.5,"")</f>
        <v>1</v>
      </c>
      <c r="F176" s="3" t="b">
        <f t="shared" si="36"/>
        <v>1</v>
      </c>
      <c r="G176" s="3" t="str">
        <f t="shared" si="36"/>
        <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1</v>
      </c>
    </row>
    <row r="178" spans="2:35" x14ac:dyDescent="0.4">
      <c r="B178" t="s">
        <v>306</v>
      </c>
      <c r="C178" s="15">
        <f>IF(Receives_reference_trajectory,IF(AdjustmentPeriod=4,0.4,0.25),"Not applicable")</f>
        <v>0.4</v>
      </c>
      <c r="E178" s="17"/>
    </row>
    <row r="179" spans="2:35" x14ac:dyDescent="0.4">
      <c r="B179" t="s">
        <v>962</v>
      </c>
      <c r="C179" s="121" t="b"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0</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but Austria's outturn or plans are not compliant (diagnostic only—not assessed as a separate compliance criterion during implementation).</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2.1583200000000002</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0.71944000000000008</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t="e" cm="1">
        <f t="array" ref="C188">IF(
  AssessmentEnd &gt; OutturnThrough,
  (
    INDEX($19:$19, _xlfn.XMATCH(AssessmentEnd, $4:$4, 0))
    - INDEX($19:$19, _xlfn.XMATCH(OutturnThrough, $4:$4, 0))
  ) / (AssessmentEnd - OutturnThrough),
  NA()
)</f>
        <v>#N/A</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0.52945999999999982</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0</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Not applicable — the assessment period does not extend beyond the latest outturn year; there is no forward-looking SPB path to assess.</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Austria's MTP must not exceed (or Austria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Austria's gross general government debt in 2023 was 77.8%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0</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Austria's net borrowing (general government deficit) in 2023 was 4.7% of GDP, which exceeds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Austria's gross debt was above 60% of GDP and its general government deficit was above 3% of GDP in 2023 (T-1), therefore it must adhere to an MTP with a planned net expenditure path that does not exceed the Commission's reference trajectory (or an alternative path that meets all criteria). If the planned net expenditure path exceeds the reference trajectory, Austria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Advisory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Fiscal Advisory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Austria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1.0657599342668433</v>
      </c>
    </row>
    <row r="233" spans="2:35" customFormat="1" x14ac:dyDescent="0.4">
      <c r="B233" t="s">
        <v>492</v>
      </c>
      <c r="C233" s="126">
        <f>AVERAGEIFS(
  34:34,
  32:32, "&gt;" &amp; MTP_YearT,
  32:32, "&lt;=" &amp; AdjustmentPeriodEnd
)</f>
        <v>2.1749999999999998</v>
      </c>
    </row>
    <row r="234" spans="2:35" customFormat="1" x14ac:dyDescent="0.4">
      <c r="B234" t="s">
        <v>493</v>
      </c>
      <c r="C234" s="126" t="b">
        <f>IFERROR(C232-C233&lt;0, NA())</f>
        <v>1</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Austria's plan over the adjustment period (2025–2028) is higher than the reference trajectory transmitted by the Commission on Enter date, but the Fiscal Advisory Council deems the explanation and alternative assumptions to be satisfactory.</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0</v>
      </c>
      <c r="E240" s="18"/>
      <c r="J240" s="16"/>
    </row>
    <row r="241" spans="2:35" x14ac:dyDescent="0.4">
      <c r="B241" s="14" t="s">
        <v>519</v>
      </c>
      <c r="C241" s="15" t="b">
        <f>IF(AND(Receives_reference_trajectory,NOT(C240)),'Step 4 (MTP) - IFI scrutiny'!D3="Yes",NA())</f>
        <v>1</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Austria's latest MTP exceeds the Commission's reference trajectory but the Fiscal Advisory Council deems the explanation and alternative assumptions to be satisfactory.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0</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b"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1</v>
      </c>
      <c r="E260" s="18"/>
      <c r="J260" s="16"/>
    </row>
    <row r="261" spans="2:35" x14ac:dyDescent="0.4">
      <c r="B261" s="12" t="s">
        <v>357</v>
      </c>
      <c r="C261" s="15" t="b"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1</v>
      </c>
      <c r="E261" s="18"/>
      <c r="J261" s="16"/>
    </row>
    <row r="262" spans="2:35" x14ac:dyDescent="0.4">
      <c r="B262" s="12" t="s">
        <v>358</v>
      </c>
      <c r="C262" s="15" t="b"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62" s="18"/>
      <c r="J262" s="16"/>
    </row>
    <row r="263" spans="2:35" x14ac:dyDescent="0.4">
      <c r="B263" s="12" t="s">
        <v>359</v>
      </c>
      <c r="C263" s="15" t="b"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63" s="18"/>
      <c r="J263" s="16"/>
    </row>
    <row r="264" spans="2:35" x14ac:dyDescent="0.4">
      <c r="B264" s="12" t="s">
        <v>360</v>
      </c>
      <c r="C264" s="15" t="b" cm="1">
        <f t="array" ref="C264">IF(OR(NOT(Receives_reference_trajectory),C258),"Not applicable",
 IF(_xlfn.XMATCH(AdjustmentPeriodEnd+5,46:46,1)-_xlfn.XMATCH(AdjustmentPeriodEnd,46:46,0)&lt;=0,TRUE,
   INDEX(87:87,_xlfn.XMATCH(AdjustmentPeriodEnd+5,46:46,1)) &lt; INDEX(87:87,_xlfn.XMATCH(AdjustmentPeriodEnd,46:46,0))
 ))</f>
        <v>1</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Austria's planned net expenditure ensures gross government debt meets all risk-based debt requirements for a plausible downward path.</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0</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Austria's net expenditure path brings the government deficit below 3% of GDP by the end of the adjustment period and maintains it below 3% of GDP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-2.4</v>
      </c>
      <c r="E287" s="91">
        <v>-1.9</v>
      </c>
      <c r="F287" s="91">
        <v>-1.4</v>
      </c>
      <c r="G287" s="91">
        <v>-0.9</v>
      </c>
      <c r="H287" s="91">
        <v>-0.3</v>
      </c>
      <c r="I287" s="91">
        <v>0.2</v>
      </c>
    </row>
    <row r="288" spans="2:35" ht="13.5" customHeight="1" x14ac:dyDescent="0.4">
      <c r="B288" s="7" t="s">
        <v>346</v>
      </c>
      <c r="C288" s="93"/>
      <c r="E288" s="100">
        <f>IF(ISNUMBER(E287),E287-D287,"")</f>
        <v>0.5</v>
      </c>
      <c r="F288" s="100">
        <f t="shared" ref="F288:M288" si="37">IF(ISNUMBER(F287),F287-E287,"")</f>
        <v>0.5</v>
      </c>
      <c r="G288" s="100">
        <f t="shared" si="37"/>
        <v>0.49999999999999989</v>
      </c>
      <c r="H288" s="100">
        <f t="shared" si="37"/>
        <v>0.60000000000000009</v>
      </c>
      <c r="I288" s="100">
        <f t="shared" si="37"/>
        <v>0.5</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0</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0</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0</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0.53333333333333333</v>
      </c>
      <c r="D293" s="51"/>
    </row>
    <row r="294" spans="2:15" x14ac:dyDescent="0.4">
      <c r="B294" s="5" t="s">
        <v>348</v>
      </c>
      <c r="C294" s="97" t="b">
        <f>IF(Receives_reference_trajectory,AND(C290:C292),NA())</f>
        <v>0</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non-linear. The adjustment effort rises over the adjustment period, and it is not proportional to the total effort over the adjustment period. Therefore the net expenditure path put forward in Austria's latest MTP is not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Austria.</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1</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b"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0</v>
      </c>
    </row>
    <row r="317" spans="2:35" x14ac:dyDescent="0.4">
      <c r="B317" s="14" t="s">
        <v>527</v>
      </c>
      <c r="C317" s="15" t="b">
        <f>IF(
  NOT(Receives_reference_trajectory),
  NA(),
  IF(
    OR(C313=TRUE, C314=TRUE),
    IF(
      OR(
        IF(C313=TRUE, C315=FALSE, FALSE),
        IF(C314=TRUE, C316=FALSE, FALSE)
      ),
      FALSE,
      TRUE
    ),
    NA()
  )
)</f>
        <v>0</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Austria's fiscal path is not compliant.</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-3.9</v>
      </c>
      <c r="E323" s="91">
        <v>-3.4</v>
      </c>
      <c r="F323" s="91">
        <v>-2.9</v>
      </c>
      <c r="G323" s="91">
        <v>-2.6</v>
      </c>
      <c r="H323" s="91">
        <v>-2.1</v>
      </c>
      <c r="I323" s="91">
        <v>-1.7</v>
      </c>
      <c r="J323" s="91"/>
      <c r="K323" s="91"/>
      <c r="L323" s="91"/>
      <c r="M323" s="91"/>
      <c r="N323" s="91"/>
    </row>
    <row r="324" spans="2:35" customFormat="1" x14ac:dyDescent="0.4">
      <c r="B324" t="s">
        <v>214</v>
      </c>
      <c r="C324" s="37"/>
      <c r="D324" s="91" cm="1">
        <f t="array" ref="D324:I324">INDEX(37:37, COLUMN($D$37) + _xlfn.SEQUENCE(1, COLUMNS(_xlfn.ANCHORARRAY(D322))) - 1)</f>
        <v>-2.4</v>
      </c>
      <c r="E324" s="91">
        <v>-1.9</v>
      </c>
      <c r="F324" s="91">
        <v>-1.4</v>
      </c>
      <c r="G324" s="91">
        <v>-0.9</v>
      </c>
      <c r="H324" s="91">
        <v>-0.3</v>
      </c>
      <c r="I324" s="91">
        <v>0.2</v>
      </c>
      <c r="J324" s="91"/>
      <c r="K324" s="91"/>
      <c r="L324" s="91"/>
      <c r="M324" s="91"/>
    </row>
    <row r="325" spans="2:35" customFormat="1" x14ac:dyDescent="0.4">
      <c r="B325" s="7" t="s">
        <v>384</v>
      </c>
      <c r="C325" s="93"/>
      <c r="D325" s="91"/>
      <c r="E325" s="91"/>
      <c r="F325" s="91">
        <f>IF(COUNT(E324,F324)=2, F324-E324, "")</f>
        <v>0.5</v>
      </c>
      <c r="G325" s="91">
        <f t="shared" ref="G325:L325" si="38">IF(COUNT(F324,G324)=2, G324-F324, "")</f>
        <v>0.49999999999999989</v>
      </c>
      <c r="H325" s="91">
        <f t="shared" si="38"/>
        <v>0.60000000000000009</v>
      </c>
      <c r="I325" s="91">
        <f t="shared" si="38"/>
        <v>0.5</v>
      </c>
      <c r="J325" s="91" t="str">
        <f t="shared" si="38"/>
        <v/>
      </c>
      <c r="K325" s="91" t="str">
        <f t="shared" si="38"/>
        <v/>
      </c>
      <c r="L325" s="91" t="str">
        <f t="shared" si="38"/>
        <v/>
      </c>
    </row>
    <row r="326" spans="2:35" customFormat="1" x14ac:dyDescent="0.4">
      <c r="B326" t="s">
        <v>660</v>
      </c>
      <c r="D326" s="3" t="b">
        <f>IF(ISNUMBER(D322),D323&lt;-1.5,"")</f>
        <v>1</v>
      </c>
      <c r="E326" s="3" t="b">
        <f>IF(ISNUMBER(E322),E323&lt;-1.5,"")</f>
        <v>1</v>
      </c>
      <c r="F326" s="3" t="b">
        <f>IF(ISNUMBER(F322),F323&lt;-1.5,"")</f>
        <v>1</v>
      </c>
      <c r="G326" s="3" t="b">
        <f t="shared" ref="G326:M326" si="39">IF(ISNUMBER(G322),G323&lt;-1.5,"")</f>
        <v>1</v>
      </c>
      <c r="H326" s="3" t="b">
        <f t="shared" si="39"/>
        <v>1</v>
      </c>
      <c r="I326" s="3" t="b">
        <f t="shared" si="39"/>
        <v>1</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1</v>
      </c>
    </row>
    <row r="329" spans="2:35" x14ac:dyDescent="0.4">
      <c r="B329" t="s">
        <v>306</v>
      </c>
      <c r="C329" s="15">
        <f>IF(Receives_reference_trajectory,IF(AdjustmentPeriod=4,0.4,0.25),NA())</f>
        <v>0.4</v>
      </c>
      <c r="E329" s="17"/>
    </row>
    <row r="330" spans="2:35" x14ac:dyDescent="0.4">
      <c r="B330" t="s">
        <v>473</v>
      </c>
      <c r="C330" s="121" t="b"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0</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applies and Austria's fiscal path is not compliant.</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cm="1">
        <f t="array" ref="C338">IF(
  Receives_reference_trajectory,
  IFERROR(
    INDEX(71:71, _xlfn.XMATCH(AdjustmentPeriodEnd, 62:62, 0)) -
    INDEX(71:71, _xlfn.XMATCH(MTP_YearT,        62:62, 0)),
    NA()
  ),
  NA()
)</f>
        <v>3.92</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cm="1">
        <f t="array" ref="C339">IF(
  Receives_reference_trajectory,
  IFERROR(
    (
      INDEX(71:71, _xlfn.XMATCH(AdjustmentPeriodEnd, 62:62, 0)) -
      INDEX(71:71, _xlfn.XMATCH(MTP_YearT,        62:62, 0))
    ) / (AdjustmentPeriodEnd - MTP_YearT),
    NA()
  ),
  NA()
)</f>
        <v>0.98</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2.1</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str">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Austria's total SPB adjustment required over the adjustment period is 3.9 pp of GDP. The planned average annual consolidation of 2.1 pp exceeds the required 1.0 pp, indicating that the plan appears consistent with achieving the target SPB implied by the reference trajectory by the end of the horizon.</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0</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Austria's latest MTP exceeds the Commission's reference trajectory but the Fiscal Advisory Council deems the explanation and alternative assumptions to be satisfactory, but it does not meet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2.6</v>
      </c>
      <c r="G4" s="64">
        <f>IF(MTP_Council_Endorsed,IF(Assessment!F34="",NA(),Assessment!F34),NA())</f>
        <v>2.2000000000000002</v>
      </c>
      <c r="H4" s="64">
        <f>IF(MTP_Council_Endorsed,IF(Assessment!G34="",NA(),Assessment!G34),NA())</f>
        <v>2.2000000000000002</v>
      </c>
      <c r="I4" s="64">
        <f>IF(MTP_Council_Endorsed,IF(Assessment!H34="",NA(),Assessment!H34),NA())</f>
        <v>2</v>
      </c>
      <c r="J4" s="64">
        <f>IF(MTP_Council_Endorsed,IF(Assessment!I34="",NA(),Assessment!I34),NA())</f>
        <v>2.2999999999999998</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t="e">
        <f>IF(OR(ISNUMBER(H8),ISNUMBER(H9)),NA(),IF(ISNUMBER(Assessment!G15),Assessment!G15,NA()))</f>
        <v>#N/A</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cm="1">
        <f t="array" ref="F9">IF(MTP_Council_Endorsed,IF(
  AND(
    INDEX($2:$2, COLUMN()) &gt;= MTP_BaseYear,
    INDEX($2:$2, COLUMN()) &lt;= OutturnThrough
  ),
  IFERROR(
    IF(
      F4 - INDEX(Assessment!$15:$15,
                   _xlfn.XMATCH(INDEX($2:$2, COLUMN()),
                          Assessment!$4:$4, 0)
            ) &lt; 0,
      INDEX(Assessment!$15:$15,
            _xlfn.XMATCH(INDEX($2:$2, COLUMN()),
                   Assessment!$4:$4, 0)
      ),
      NA()
    ),
    NA()
  ),
  NA()
),NA())</f>
        <v>9.23001051374548</v>
      </c>
      <c r="G9" s="64" cm="1">
        <f t="array" ref="G9">IF(MTP_Council_Endorsed,IF(
  AND(
    INDEX($2:$2, COLUMN()) &gt;= MTP_BaseYear,
    INDEX($2:$2, COLUMN()) &lt;= OutturnThrough
  ),
  IFERROR(
    IF(
      G4 - INDEX(Assessment!$15:$15,
                   _xlfn.XMATCH(INDEX($2:$2, COLUMN()),
                          Assessment!$4:$4, 0)
            ) &lt; 0,
      INDEX(Assessment!$15:$15,
            _xlfn.XMATCH(INDEX($2:$2, COLUMN()),
                   Assessment!$4:$4, 0)
      ),
      NA()
    ),
    NA()
  ),
  NA()
),NA())</f>
        <v>3.1314425308956118</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9.23001051374548</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3.2493324220239526</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3.5994078799116633</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t="e">
        <f>IF(COUNTIF('Step 1 - Set global parameters'!$B$21:$G$21,TRUE)&gt;0,
  IF(MTP_Council_Endorsed,IF(ISNUMBER(H15),NA(),IF(Assessment!G144="",NA(),Assessment!G144)),NA()),
  IF(MTP_Council_Endorsed,IF(ISNUMBER(H15),NA(),IF(Assessment!G126="",NA(),Assessment!G126)),NA())
)</f>
        <v>#N/A</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#N/A</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f>IF(COUNTIF('Step 1 - Set global parameters'!$B$21:$G$21,TRUE)&gt;0,
  IF(MTP_Council_Endorsed,IF(NOT(Assessment!E145),IF(Assessment!E142&gt;0,Assessment!E142,NA()),NA()),NA()),
  IF(MTP_Council_Endorsed,IF(NOT(Assessment!E127),IF(Assessment!E125&gt;0,Assessment!E125,NA()),NA()),NA())
)</f>
        <v>3.2493324220239526</v>
      </c>
      <c r="G19" s="64">
        <f>IF(COUNTIF('Step 1 - Set global parameters'!$B$21:$G$21,TRUE)&gt;0,
  IF(MTP_Council_Endorsed,IF(NOT(Assessment!F145),IF(Assessment!F142&gt;0,Assessment!F142,NA()),NA()),NA()),
  IF(MTP_Council_Endorsed,IF(NOT(Assessment!F127),IF(Assessment!F125&gt;0,Assessment!F125,NA()),NA()),NA())
)</f>
        <v>0.47794736083832895</v>
      </c>
      <c r="H19" s="64" t="str">
        <f>IF(COUNTIF('Step 1 - Set global parameters'!$B$21:$G$21,TRUE)&gt;0,
  IF(MTP_Council_Endorsed,IF(NOT(Assessment!G145),IF(Assessment!G142&gt;0,Assessment!G142,NA()),NA()),NA()),
  IF(MTP_Council_Endorsed,IF(NOT(Assessment!G127),IF(Assessment!G125&gt;0,Assessment!G125,NA()),NA()),NA())
)</f>
        <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3.5994078799116633</v>
      </c>
    </row>
    <row r="27" spans="2:23" x14ac:dyDescent="0.4">
      <c r="C27" s="110"/>
    </row>
    <row r="28" spans="2:23" ht="16.5" x14ac:dyDescent="0.6">
      <c r="B28" s="110" t="s">
        <v>481</v>
      </c>
      <c r="C28" s="11" t="s">
        <v>940</v>
      </c>
    </row>
    <row r="29" spans="2:23" x14ac:dyDescent="0.4">
      <c r="C29" s="2" t="s">
        <v>497</v>
      </c>
      <c r="E29" s="64">
        <f>IF(ISNUMBER(Assessment!D38),Assessment!D38,NA())</f>
        <v>81.8</v>
      </c>
      <c r="F29" s="64">
        <f>IF(ISNUMBER(Assessment!E38),Assessment!E38,NA())</f>
        <v>84.3</v>
      </c>
      <c r="G29" s="64">
        <f>IF(ISNUMBER(Assessment!F38),Assessment!F38,NA())</f>
        <v>85.9</v>
      </c>
      <c r="H29" s="64">
        <f>IF(ISNUMBER(Assessment!G38),Assessment!G38,NA())</f>
        <v>86.6</v>
      </c>
      <c r="I29" s="64">
        <f>IF(ISNUMBER(Assessment!H38),Assessment!H38,NA())</f>
        <v>86.8</v>
      </c>
      <c r="J29" s="64">
        <f>IF(ISNUMBER(Assessment!I38),Assessment!I38,NA())</f>
        <v>86.5</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77.771534369543787</v>
      </c>
      <c r="F31" s="64" t="e">
        <f>IF(OR(ISNUMBER(F91),ISNUMBER(F92)),NA(),IF(ISNUMBER(Assessment!E20),Assessment!E20,NA()))</f>
        <v>#N/A</v>
      </c>
      <c r="G31" s="64" t="e">
        <f>IF(OR(ISNUMBER(G91),ISNUMBER(G92)),NA(),IF(ISNUMBER(Assessment!F20),Assessment!F20,NA()))</f>
        <v>#N/A</v>
      </c>
      <c r="H31" s="64" t="e">
        <f>IF(OR(ISNUMBER(H91),ISNUMBER(H92)),NA(),IF(ISNUMBER(Assessment!G20),Assessment!G20,NA()))</f>
        <v>#N/A</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79.955679923964894</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81.28634231728735</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86.8</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-4.7</v>
      </c>
      <c r="G39" s="64">
        <f>Assessment!F50</f>
        <v>-4.7</v>
      </c>
      <c r="H39" s="64">
        <f>Assessment!G50</f>
        <v>-4.2</v>
      </c>
      <c r="I39" s="64">
        <f>Assessment!H50</f>
        <v>-3.6</v>
      </c>
      <c r="J39" s="64">
        <f>Assessment!I50</f>
        <v>-3</v>
      </c>
      <c r="K39" s="64">
        <f>Assessment!J50</f>
        <v>-2.5</v>
      </c>
      <c r="L39" s="64">
        <f>Assessment!K50</f>
        <v>-2.1</v>
      </c>
      <c r="M39" s="64">
        <f>Assessment!L50</f>
        <v>-1.6</v>
      </c>
      <c r="N39" s="64">
        <f>Assessment!M50</f>
        <v>-1.5</v>
      </c>
      <c r="O39" s="64">
        <f>Assessment!N50</f>
        <v>-1.3</v>
      </c>
      <c r="P39" s="64">
        <f>Assessment!O50</f>
        <v>-1.2</v>
      </c>
      <c r="Q39" s="64">
        <f>Assessment!P50</f>
        <v>-1.2</v>
      </c>
      <c r="R39" s="64">
        <f>Assessment!Q50</f>
        <v>-1.3</v>
      </c>
      <c r="S39" s="64">
        <f>Assessment!R50</f>
        <v>-1.3</v>
      </c>
      <c r="T39" s="64">
        <f>Assessment!S50</f>
        <v>-1.4</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t="e">
        <f>IF(OR(ISNUMBER(H41),ISNUMBER(H42)),NA(),IF(ISNUMBER(Assessment!G17),Assessment!G17,NA()))</f>
        <v>#N/A</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-6.7800730072966813</v>
      </c>
      <c r="G42" s="3"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-6.2822155740664396</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4.7</v>
      </c>
      <c r="G44" s="64">
        <f t="shared" si="0"/>
        <v>4.7</v>
      </c>
      <c r="H44" s="64">
        <f t="shared" si="0"/>
        <v>4.2</v>
      </c>
      <c r="I44" s="64">
        <f t="shared" si="0"/>
        <v>3.6</v>
      </c>
      <c r="J44" s="64">
        <f t="shared" si="0"/>
        <v>3</v>
      </c>
      <c r="K44" s="64">
        <f t="shared" si="0"/>
        <v>2.5</v>
      </c>
      <c r="L44" s="64">
        <f t="shared" si="0"/>
        <v>2.1</v>
      </c>
      <c r="M44" s="64">
        <f t="shared" si="0"/>
        <v>1.6</v>
      </c>
      <c r="N44" s="64">
        <f t="shared" si="0"/>
        <v>1.5</v>
      </c>
      <c r="O44" s="64">
        <f t="shared" si="0"/>
        <v>1.3</v>
      </c>
      <c r="P44" s="64">
        <f t="shared" si="0"/>
        <v>1.2</v>
      </c>
      <c r="Q44" s="64">
        <f t="shared" si="0"/>
        <v>1.2</v>
      </c>
      <c r="R44" s="64">
        <f t="shared" si="0"/>
        <v>1.3</v>
      </c>
      <c r="S44" s="64">
        <f t="shared" si="0"/>
        <v>1.3</v>
      </c>
      <c r="T44" s="64">
        <f t="shared" si="0"/>
        <v>1.4</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f t="shared" ref="F46:T46" si="4">IF(F82&lt;&gt;"",-F82,NA())</f>
        <v>6.7800730072966813</v>
      </c>
      <c r="G46" s="64">
        <f t="shared" si="4"/>
        <v>6.2822155740664396</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-1.9</v>
      </c>
      <c r="G49" s="64">
        <f>Assessment!F37</f>
        <v>-1.4</v>
      </c>
      <c r="H49" s="64">
        <f>Assessment!G37</f>
        <v>-0.9</v>
      </c>
      <c r="I49" s="64">
        <f>Assessment!H37</f>
        <v>-0.3</v>
      </c>
      <c r="J49" s="64">
        <f>Assessment!I37</f>
        <v>0.2</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t="e">
        <f>IF(OR(ISNUMBER(H53),ISNUMBER(H54)),NA(),IF(ISNUMBER(Assessment!G19),Assessment!G19,NA()))</f>
        <v>#N/A</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-2.4877799999999999</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-1.9583200000000001</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-2.4877799999999999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0.2</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2.5</v>
      </c>
      <c r="G59" s="64">
        <f>IF(
  AND(
    ISNUMBER(Assessment!E38),
    ISNUMBER(Assessment!F38)
  ),
  Assessment!F38-Assessment!E38,
  NA()
)</f>
        <v>1.6000000000000085</v>
      </c>
      <c r="H59" s="64">
        <f>IF(
  AND(
    ISNUMBER(Assessment!F38),
    ISNUMBER(Assessment!G38)
  ),
  Assessment!G38-Assessment!F38,
  NA()
)</f>
        <v>0.69999999999998863</v>
      </c>
      <c r="I59" s="64">
        <f>IF(
  AND(
    ISNUMBER(Assessment!G38),
    ISNUMBER(Assessment!H38)
  ),
  Assessment!H38-Assessment!G38,
  NA()
)</f>
        <v>0.20000000000000284</v>
      </c>
      <c r="J59" s="64">
        <f>IF(
  AND(
    ISNUMBER(Assessment!H38),
    ISNUMBER(Assessment!I38)
  ),
  Assessment!I38-Assessment!H38,
  NA()
)</f>
        <v>-0.29999999999999716</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4.742013359574285</v>
      </c>
      <c r="G63" s="64" cm="1">
        <f t="array" ref="G63">IF(
  AND(
    INDEX(2:2, COLUMN()) &gt; MTP_BaseYear,
    INDEX(2:2, COLUMN()) &lt;= OutturnThrough
  ),
  IFERROR(
    IF(
      Assessment!F21 &gt; INDEX($65:$65, COLUMN()),
      Assessment!F21,
      NA()
    ),
    NA()
  ),
  NA()
)</f>
        <v>4.4771810056654546</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4.2854335565683179</v>
      </c>
      <c r="F64" s="64" t="e">
        <f>IF(OR(ISNUMBER(F62),ISNUMBER(F63)),NA(),IF(ISNUMBER(Assessment!E21),Assessment!E21,NA()))</f>
        <v>#N/A</v>
      </c>
      <c r="G64" s="64" t="e">
        <f>IF(OR(ISNUMBER(G62),ISNUMBER(G63)),NA(),IF(ISNUMBER(Assessment!F21),Assessment!F21,NA()))</f>
        <v>#N/A</v>
      </c>
      <c r="H64" s="64" t="e">
        <f>IF(OR(ISNUMBER(H62),ISNUMBER(H63)),NA(),IF(ISNUMBER(Assessment!G21),Assessment!G21,NA()))</f>
        <v>#N/A</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-0.5</v>
      </c>
      <c r="F65" s="64">
        <f>IF(
  ISNUMBER(Assessment!E20),
  IF(Assessment!E20&gt;90,-1,
     IF(Assessment!E20&gt;60,-0.5,0)
  ),
  NA()
)</f>
        <v>-0.5</v>
      </c>
      <c r="G65" s="64">
        <f>IF(
  ISNUMBER(Assessment!F20),
  IF(Assessment!F20&gt;90,-1,
     IF(Assessment!F20&gt;60,-0.5,0)
  ),
  NA()
)</f>
        <v>-0.5</v>
      </c>
      <c r="H65" s="64" t="e">
        <f>IF(
  ISNUMBER(Assessment!G20),
  IF(Assessment!G20&gt;90,-1,
     IF(Assessment!G20&gt;60,-0.5,0)
  ),
  NA()
)</f>
        <v>#N/A</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-0.5</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4.742013359574285</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0.49999999999999989</v>
      </c>
      <c r="I70" s="64">
        <f>IF(
  AND(
    ISNUMBER(Assessment!H37),
    ISNUMBER(Assessment!G37)
  ),
  Assessment!H37 - Assessment!G37,
  NA()
)</f>
        <v>0.60000000000000009</v>
      </c>
      <c r="J70" s="64">
        <f>IF(
  AND(
    ISNUMBER(Assessment!I37),
    ISNUMBER(Assessment!H37)
  ),
  Assessment!I37 - Assessment!H37,
  NA()
)</f>
        <v>0.5</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t="e">
        <f>IF(ISNUMBER(H74),NA(),IF(ISNUMBER(Assessment!G19),Assessment!G19-Assessment!F19,NA()))</f>
        <v>#N/A</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-0.98921999999999999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0.52945999999999982</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-0.98921999999999999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0.60000000000000009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-4.7</v>
      </c>
      <c r="G79" s="64">
        <f>Assessment!F50</f>
        <v>-4.7</v>
      </c>
      <c r="H79" s="64">
        <f>Assessment!G50</f>
        <v>-4.2</v>
      </c>
      <c r="I79" s="64">
        <f>Assessment!H50</f>
        <v>-3.6</v>
      </c>
      <c r="J79" s="64">
        <f>Assessment!I50</f>
        <v>-3</v>
      </c>
      <c r="K79" s="64">
        <f>Assessment!J50</f>
        <v>-2.5</v>
      </c>
      <c r="L79" s="64">
        <f>Assessment!K50</f>
        <v>-2.1</v>
      </c>
      <c r="M79" s="64">
        <f>Assessment!L50</f>
        <v>-1.6</v>
      </c>
      <c r="N79" s="64">
        <f>Assessment!M50</f>
        <v>-1.5</v>
      </c>
      <c r="O79" s="64">
        <f>Assessment!N50</f>
        <v>-1.3</v>
      </c>
      <c r="P79" s="64">
        <f>Assessment!O50</f>
        <v>-1.2</v>
      </c>
      <c r="Q79" s="64">
        <f>Assessment!P50</f>
        <v>-1.2</v>
      </c>
      <c r="R79" s="64">
        <f>Assessment!Q50</f>
        <v>-1.3</v>
      </c>
      <c r="S79" s="64">
        <f>Assessment!R50</f>
        <v>-1.3</v>
      </c>
      <c r="T79" s="64">
        <f>Assessment!S50</f>
        <v>-1.4</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t="e">
        <f>IF(OR(ISNUMBER(H81),ISNUMBER(H82)),NA(),IF(ISNUMBER(Assessment!G17),Assessment!G17,NA()))</f>
        <v>#N/A</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-6.7800730072966813</v>
      </c>
      <c r="G82" s="123"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-6.2822155740664396</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4.7</v>
      </c>
      <c r="G84" s="64">
        <f t="shared" si="6"/>
        <v>4.7</v>
      </c>
      <c r="H84" s="64">
        <f t="shared" si="6"/>
        <v>4.2</v>
      </c>
      <c r="I84" s="64">
        <f t="shared" si="6"/>
        <v>3.6</v>
      </c>
      <c r="J84" s="64">
        <f t="shared" si="6"/>
        <v>3</v>
      </c>
      <c r="K84" s="64">
        <f t="shared" si="6"/>
        <v>2.5</v>
      </c>
      <c r="L84" s="64">
        <f t="shared" si="6"/>
        <v>2.1</v>
      </c>
      <c r="M84" s="64">
        <f t="shared" si="6"/>
        <v>1.6</v>
      </c>
      <c r="N84" s="64">
        <f t="shared" si="6"/>
        <v>1.5</v>
      </c>
      <c r="O84" s="64">
        <f t="shared" si="6"/>
        <v>1.3</v>
      </c>
      <c r="P84" s="64">
        <f t="shared" si="6"/>
        <v>1.2</v>
      </c>
      <c r="Q84" s="64">
        <f t="shared" si="6"/>
        <v>1.2</v>
      </c>
      <c r="R84" s="64">
        <f t="shared" si="6"/>
        <v>1.3</v>
      </c>
      <c r="S84" s="64">
        <f t="shared" si="6"/>
        <v>1.3</v>
      </c>
      <c r="T84" s="64">
        <f t="shared" si="6"/>
        <v>1.4</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f t="shared" ref="F86:T86" si="10">IF(F82&lt;&gt;"",-F82,NA())</f>
        <v>6.7800730072966813</v>
      </c>
      <c r="G86" s="64">
        <f t="shared" si="10"/>
        <v>6.2822155740664396</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78.551901298157986</v>
      </c>
      <c r="F89" s="64">
        <f>Assessment!E72</f>
        <v>79.538050043568091</v>
      </c>
      <c r="G89" s="64">
        <f>Assessment!F72</f>
        <v>80.81308351777497</v>
      </c>
      <c r="H89" s="64">
        <f>Assessment!G72</f>
        <v>80.673518010562546</v>
      </c>
      <c r="I89" s="64">
        <f>Assessment!H72</f>
        <v>79.484335796243897</v>
      </c>
      <c r="J89" s="64">
        <f>Assessment!I72</f>
        <v>77.440287313107248</v>
      </c>
      <c r="K89" s="64">
        <f>Assessment!J72</f>
        <v>74.560907903721599</v>
      </c>
      <c r="L89" s="64">
        <f>Assessment!K72</f>
        <v>71.405877847092583</v>
      </c>
      <c r="M89" s="64">
        <f>Assessment!L72</f>
        <v>68.033122681889225</v>
      </c>
      <c r="N89" s="64">
        <f>Assessment!M72</f>
        <v>65.291541962624549</v>
      </c>
      <c r="O89" s="64">
        <f>Assessment!N72</f>
        <v>62.645116436373293</v>
      </c>
      <c r="P89" s="64">
        <f>Assessment!O72</f>
        <v>60.093322914132514</v>
      </c>
      <c r="Q89" s="64">
        <f>Assessment!P72</f>
        <v>57.62190382259854</v>
      </c>
      <c r="R89" s="64">
        <f>Assessment!Q72</f>
        <v>55.211529192724086</v>
      </c>
      <c r="S89" s="64">
        <f>Assessment!R72</f>
        <v>52.850057829371522</v>
      </c>
      <c r="T89" s="64">
        <f>Assessment!S72</f>
        <v>50.529237044731246</v>
      </c>
      <c r="U89" s="64" t="str">
        <f>Assessment!T72</f>
        <v/>
      </c>
      <c r="V89" s="64" t="str">
        <f>Assessment!U72</f>
        <v/>
      </c>
      <c r="W89" s="64" t="str">
        <f>Assessment!V72</f>
        <v/>
      </c>
    </row>
    <row r="90" spans="2:23" x14ac:dyDescent="0.4">
      <c r="C90" s="2" t="s">
        <v>243</v>
      </c>
      <c r="E90" s="64">
        <f>IF(OR(ISNUMBER(E91),ISNUMBER(E92)),NA(),IF(ISNUMBER(Assessment!D20),Assessment!D20,NA()))</f>
        <v>77.771534369543787</v>
      </c>
      <c r="F90" s="64" t="e">
        <f>IF(OR(ISNUMBER(F91),ISNUMBER(F92)),NA(),IF(ISNUMBER(Assessment!E20),Assessment!E20,NA()))</f>
        <v>#N/A</v>
      </c>
      <c r="G90" s="64" t="e">
        <f>IF(OR(ISNUMBER(G91),ISNUMBER(G92)),NA(),IF(ISNUMBER(Assessment!F20),Assessment!F20,NA()))</f>
        <v>#N/A</v>
      </c>
      <c r="H90" s="64" t="e">
        <f>IF(OR(ISNUMBER(H91),ISNUMBER(H92)),NA(),IF(ISNUMBER(Assessment!G20),Assessment!G20,NA()))</f>
        <v>#N/A</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79.955679923964894</v>
      </c>
      <c r="G92" s="106"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81.28634231728735</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78.5</v>
      </c>
      <c r="F96" s="6">
        <f>IF(ISNUMBER(Assessment!E52),Assessment!E52,NA())</f>
        <v>81.8</v>
      </c>
      <c r="G96" s="6">
        <f>IF(ISNUMBER(Assessment!F52),Assessment!F52,NA())</f>
        <v>84.3</v>
      </c>
      <c r="H96" s="6">
        <f>IF(ISNUMBER(Assessment!G52),Assessment!G52,NA())</f>
        <v>85.9</v>
      </c>
      <c r="I96" s="6">
        <f>IF(ISNUMBER(Assessment!H52),Assessment!H52,NA())</f>
        <v>86.6</v>
      </c>
      <c r="J96" s="6">
        <f>IF(ISNUMBER(Assessment!I52),Assessment!I52,NA())</f>
        <v>86.8</v>
      </c>
      <c r="K96" s="6">
        <f>IF(ISNUMBER(Assessment!J52),Assessment!J52,NA())</f>
        <v>86.5</v>
      </c>
      <c r="L96" s="6">
        <f>IF(ISNUMBER(Assessment!K52),Assessment!K52,NA())</f>
        <v>85.7</v>
      </c>
      <c r="M96" s="6">
        <f>IF(ISNUMBER(Assessment!L52),Assessment!L52,NA())</f>
        <v>84.4</v>
      </c>
      <c r="N96" s="6">
        <f>IF(ISNUMBER(Assessment!M52),Assessment!M52,NA())</f>
        <v>82.8</v>
      </c>
      <c r="O96" s="6">
        <f>IF(ISNUMBER(Assessment!N52),Assessment!N52,NA())</f>
        <v>81</v>
      </c>
      <c r="P96" s="6">
        <f>IF(ISNUMBER(Assessment!O52),Assessment!O52,NA())</f>
        <v>79.2</v>
      </c>
      <c r="Q96" s="6">
        <f>IF(ISNUMBER(Assessment!P52),Assessment!P52,NA())</f>
        <v>77.8</v>
      </c>
      <c r="R96" s="6">
        <f>IF(ISNUMBER(Assessment!Q52),Assessment!Q52,NA())</f>
        <v>76.5</v>
      </c>
      <c r="S96" s="6">
        <f>IF(ISNUMBER(Assessment!R52),Assessment!R52,NA())</f>
        <v>75.3</v>
      </c>
      <c r="T96" s="6">
        <f>IF(ISNUMBER(Assessment!S52),Assessment!S52,NA())</f>
        <v>74.2</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f>IF(ISNUMBER(Assessment!H79),Assessment!H79,NA())</f>
        <v>79.484335796243897</v>
      </c>
      <c r="J101" s="88">
        <f>IF(ISNUMBER(Assessment!I79),Assessment!I79,NA())</f>
        <v>77.440287313107248</v>
      </c>
      <c r="K101" s="88">
        <f>IF(ISNUMBER(Assessment!J79),Assessment!J79,NA())</f>
        <v>68.026850286534099</v>
      </c>
      <c r="L101" s="88">
        <f>IF(ISNUMBER(Assessment!K79),Assessment!K79,NA())</f>
        <v>62.189103860276177</v>
      </c>
      <c r="M101" s="88">
        <f>IF(ISNUMBER(Assessment!L79),Assessment!L79,NA())</f>
        <v>56.957507752690006</v>
      </c>
      <c r="N101" s="88">
        <f>IF(ISNUMBER(Assessment!M79),Assessment!M79,NA())</f>
        <v>52.667045502663612</v>
      </c>
      <c r="O101" s="88">
        <f>IF(ISNUMBER(Assessment!N79),Assessment!N79,NA())</f>
        <v>48.473821270357668</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f>IF(ISNUMBER(Assessment!H80),Assessment!H80,NA())</f>
        <v>0</v>
      </c>
      <c r="J102" s="88">
        <f>IF(ISNUMBER(Assessment!I80),Assessment!I80,NA())</f>
        <v>0</v>
      </c>
      <c r="K102" s="88">
        <f>IF(ISNUMBER(Assessment!J80),Assessment!J80,NA())</f>
        <v>3.9434051513671875</v>
      </c>
      <c r="L102" s="88">
        <f>IF(ISNUMBER(Assessment!K80),Assessment!K80,NA())</f>
        <v>5.35260009765625</v>
      </c>
      <c r="M102" s="88">
        <f>IF(ISNUMBER(Assessment!L80),Assessment!L80,NA())</f>
        <v>6.437591552734375</v>
      </c>
      <c r="N102" s="88">
        <f>IF(ISNUMBER(Assessment!M80),Assessment!M80,NA())</f>
        <v>7.4634780883789063</v>
      </c>
      <c r="O102" s="88">
        <f>IF(ISNUMBER(Assessment!N80),Assessment!N80,NA())</f>
        <v>8.372589111328125</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f>IF(ISNUMBER(Assessment!H81),Assessment!H81,NA())</f>
        <v>0</v>
      </c>
      <c r="J103" s="88">
        <f>IF(ISNUMBER(Assessment!I81),Assessment!I81,NA())</f>
        <v>0</v>
      </c>
      <c r="K103" s="88">
        <f>IF(ISNUMBER(Assessment!J81),Assessment!J81,NA())</f>
        <v>2.5906524658203125</v>
      </c>
      <c r="L103" s="88">
        <f>IF(ISNUMBER(Assessment!K81),Assessment!K81,NA())</f>
        <v>3.8641738891601563</v>
      </c>
      <c r="M103" s="88">
        <f>IF(ISNUMBER(Assessment!L81),Assessment!L81,NA())</f>
        <v>4.6380233764648438</v>
      </c>
      <c r="N103" s="88">
        <f>IF(ISNUMBER(Assessment!M81),Assessment!M81,NA())</f>
        <v>5.1610183715820313</v>
      </c>
      <c r="O103" s="88">
        <f>IF(ISNUMBER(Assessment!N81),Assessment!N81,NA())</f>
        <v>5.7987060546875</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f>IF(ISNUMBER(Assessment!H82),Assessment!H82,NA())</f>
        <v>0</v>
      </c>
      <c r="J104" s="88">
        <f>IF(ISNUMBER(Assessment!I82),Assessment!I82,NA())</f>
        <v>0</v>
      </c>
      <c r="K104" s="88">
        <f>IF(ISNUMBER(Assessment!J82),Assessment!J82,NA())</f>
        <v>2.65289306640625</v>
      </c>
      <c r="L104" s="88">
        <f>IF(ISNUMBER(Assessment!K82),Assessment!K82,NA())</f>
        <v>3.75189208984375</v>
      </c>
      <c r="M104" s="88">
        <f>IF(ISNUMBER(Assessment!L82),Assessment!L82,NA())</f>
        <v>4.4892959594726563</v>
      </c>
      <c r="N104" s="88">
        <f>IF(ISNUMBER(Assessment!M82),Assessment!M82,NA())</f>
        <v>5.1950912475585938</v>
      </c>
      <c r="O104" s="88">
        <f>IF(ISNUMBER(Assessment!N82),Assessment!N82,NA())</f>
        <v>6.1019744873046875</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f>IF(ISNUMBER(Assessment!H83),Assessment!H83,NA())</f>
        <v>0</v>
      </c>
      <c r="J105" s="88">
        <f>IF(ISNUMBER(Assessment!I83),Assessment!I83,NA())</f>
        <v>0</v>
      </c>
      <c r="K105" s="88">
        <f>IF(ISNUMBER(Assessment!J83),Assessment!J83,NA())</f>
        <v>3.974365234375</v>
      </c>
      <c r="L105" s="88">
        <f>IF(ISNUMBER(Assessment!K83),Assessment!K83,NA())</f>
        <v>5.5295944213867188</v>
      </c>
      <c r="M105" s="88">
        <f>IF(ISNUMBER(Assessment!L83),Assessment!L83,NA())</f>
        <v>6.765289306640625</v>
      </c>
      <c r="N105" s="88">
        <f>IF(ISNUMBER(Assessment!M83),Assessment!M83,NA())</f>
        <v>7.7694549560546875</v>
      </c>
      <c r="O105" s="88">
        <f>IF(ISNUMBER(Assessment!N83),Assessment!N83,NA())</f>
        <v>8.37042236328125</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f>IF(ISNUMBER(Assessment!H84),Assessment!H84,NA())</f>
        <v>79.484335796243897</v>
      </c>
      <c r="J106" s="88">
        <f>IF(ISNUMBER(Assessment!I84),Assessment!I84,NA())</f>
        <v>77.440287313107248</v>
      </c>
      <c r="K106" s="88">
        <f>IF(ISNUMBER(Assessment!J84),Assessment!J84,NA())</f>
        <v>68.026850286534099</v>
      </c>
      <c r="L106" s="88">
        <f>IF(ISNUMBER(Assessment!K84),Assessment!K84,NA())</f>
        <v>62.189103860276177</v>
      </c>
      <c r="M106" s="88">
        <f>IF(ISNUMBER(Assessment!L84),Assessment!L84,NA())</f>
        <v>56.957507752690006</v>
      </c>
      <c r="N106" s="88">
        <f>IF(ISNUMBER(Assessment!M84),Assessment!M84,NA())</f>
        <v>52.667045502663612</v>
      </c>
      <c r="O106" s="88">
        <f>IF(ISNUMBER(Assessment!N84),Assessment!N84,NA())</f>
        <v>48.473821270357668</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f>IF(ISNUMBER(Assessment!H85),Assessment!H85,NA())</f>
        <v>79.484335796243897</v>
      </c>
      <c r="J107" s="88">
        <f>IF(ISNUMBER(Assessment!I85),Assessment!I85,NA())</f>
        <v>77.440287313107248</v>
      </c>
      <c r="K107" s="88">
        <f>IF(ISNUMBER(Assessment!J85),Assessment!J85,NA())</f>
        <v>71.970255437901287</v>
      </c>
      <c r="L107" s="88">
        <f>IF(ISNUMBER(Assessment!K85),Assessment!K85,NA())</f>
        <v>67.541703957932427</v>
      </c>
      <c r="M107" s="88">
        <f>IF(ISNUMBER(Assessment!L85),Assessment!L85,NA())</f>
        <v>63.395099305424381</v>
      </c>
      <c r="N107" s="88">
        <f>IF(ISNUMBER(Assessment!M85),Assessment!M85,NA())</f>
        <v>60.130523591042518</v>
      </c>
      <c r="O107" s="88">
        <f>IF(ISNUMBER(Assessment!N85),Assessment!N85,NA())</f>
        <v>56.846410381685793</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f>IF(ISNUMBER(Assessment!H86),Assessment!H86,NA())</f>
        <v>79.484335796243897</v>
      </c>
      <c r="J108" s="88">
        <f>IF(ISNUMBER(Assessment!I86),Assessment!I86,NA())</f>
        <v>77.440287313107248</v>
      </c>
      <c r="K108" s="88">
        <f>IF(ISNUMBER(Assessment!J86),Assessment!J86,NA())</f>
        <v>74.560907903721599</v>
      </c>
      <c r="L108" s="88">
        <f>IF(ISNUMBER(Assessment!K86),Assessment!K86,NA())</f>
        <v>71.405877847092583</v>
      </c>
      <c r="M108" s="88">
        <f>IF(ISNUMBER(Assessment!L86),Assessment!L86,NA())</f>
        <v>68.033122681889225</v>
      </c>
      <c r="N108" s="88">
        <f>IF(ISNUMBER(Assessment!M86),Assessment!M86,NA())</f>
        <v>65.291541962624549</v>
      </c>
      <c r="O108" s="88">
        <f>IF(ISNUMBER(Assessment!N86),Assessment!N86,NA())</f>
        <v>62.645116436373293</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f>IF(ISNUMBER(Assessment!H87),Assessment!H87,NA())</f>
        <v>79.484335796243897</v>
      </c>
      <c r="J109" s="88">
        <f>IF(ISNUMBER(Assessment!I87),Assessment!I87,NA())</f>
        <v>77.440287313107248</v>
      </c>
      <c r="K109" s="88">
        <f>IF(ISNUMBER(Assessment!J87),Assessment!J87,NA())</f>
        <v>77.213800970127849</v>
      </c>
      <c r="L109" s="88">
        <f>IF(ISNUMBER(Assessment!K87),Assessment!K87,NA())</f>
        <v>75.157769936936333</v>
      </c>
      <c r="M109" s="88">
        <f>IF(ISNUMBER(Assessment!L87),Assessment!L87,NA())</f>
        <v>72.522418641361881</v>
      </c>
      <c r="N109" s="88">
        <f>IF(ISNUMBER(Assessment!M87),Assessment!M87,NA())</f>
        <v>70.486633210183143</v>
      </c>
      <c r="O109" s="88">
        <f>IF(ISNUMBER(Assessment!N87),Assessment!N87,NA())</f>
        <v>68.747090923677973</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f>IF(ISNUMBER(Assessment!H88),Assessment!H88,NA())</f>
        <v>79.484335796243897</v>
      </c>
      <c r="J110" s="88">
        <f>IF(ISNUMBER(Assessment!I88),Assessment!I88,NA())</f>
        <v>77.440287313107248</v>
      </c>
      <c r="K110" s="88">
        <f>IF(ISNUMBER(Assessment!J88),Assessment!J88,NA())</f>
        <v>81.188166204502849</v>
      </c>
      <c r="L110" s="88">
        <f>IF(ISNUMBER(Assessment!K88),Assessment!K88,NA())</f>
        <v>80.687364358323052</v>
      </c>
      <c r="M110" s="88">
        <f>IF(ISNUMBER(Assessment!L88),Assessment!L88,NA())</f>
        <v>79.287707948002506</v>
      </c>
      <c r="N110" s="88">
        <f>IF(ISNUMBER(Assessment!M88),Assessment!M88,NA())</f>
        <v>78.256088166237831</v>
      </c>
      <c r="O110" s="88">
        <f>IF(ISNUMBER(Assessment!N88),Assessment!N88,NA())</f>
        <v>77.117513286959223</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77.771534369543787</v>
      </c>
      <c r="F111" s="88">
        <f>IF(Assessment!E20="",NA(),Assessment!E20)</f>
        <v>79.955679923964894</v>
      </c>
      <c r="G111" s="88">
        <f>IF(Assessment!F20="",NA(),Assessment!F20)</f>
        <v>81.28634231728735</v>
      </c>
      <c r="H111" s="88" t="e">
        <f>IF(Assessment!G20="",NA(),Assessment!G20)</f>
        <v>#N/A</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f>Assessment!E69</f>
        <v>6.7125514564843431</v>
      </c>
      <c r="G114" s="64">
        <f>Assessment!F69</f>
        <v>1.1375734655168435</v>
      </c>
      <c r="H114" s="64">
        <f>Assessment!G69</f>
        <v>0.84178076551684322</v>
      </c>
      <c r="I114" s="64">
        <f>Assessment!H69</f>
        <v>1.1492923905168433</v>
      </c>
      <c r="J114" s="64">
        <f>Assessment!I69</f>
        <v>1.134393115516843</v>
      </c>
      <c r="K114" s="64">
        <f>Assessment!J69</f>
        <v>3.0800088749999999</v>
      </c>
      <c r="L114" s="64">
        <f>Assessment!K69</f>
        <v>3.2288854999999996</v>
      </c>
      <c r="M114" s="64">
        <f>Assessment!L69</f>
        <v>3.2983541250000004</v>
      </c>
      <c r="N114" s="64">
        <f>Assessment!M69</f>
        <v>3.3506487500000004</v>
      </c>
      <c r="O114" s="64">
        <f>Assessment!N69</f>
        <v>3.4082783750000001</v>
      </c>
      <c r="P114" s="64">
        <f>Assessment!O69</f>
        <v>3.5118450000000001</v>
      </c>
      <c r="Q114" s="64">
        <f>Assessment!P69</f>
        <v>3.5752160000000002</v>
      </c>
      <c r="R114" s="64">
        <f>Assessment!Q69</f>
        <v>3.6385870000000002</v>
      </c>
      <c r="S114" s="64">
        <f>Assessment!R69</f>
        <v>3.7019589999999996</v>
      </c>
      <c r="T114" s="64">
        <f>Assessment!S69</f>
        <v>3.7481670000000005</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t="e">
        <f>IF(OR(ISNUMBER(H128),ISNUMBER(H129)),NA(),IF(ISNUMBER(Assessment!G15),Assessment!G15,NA()))</f>
        <v>#N/A</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9.23001051374548</v>
      </c>
      <c r="G119" s="106" cm="1">
        <f t="array" ref="G119">IF(
  AND(
    INDEX($2:$2, COLUMN()) &gt;= MTP_BaseYear,
    INDEX($2:$2, COLUMN()) &lt;= OutturnThrough
  ),
  IFERROR(
    IF(
      G114 - INDEX(Assessment!$15:$15,
                   _xlfn.XMATCH(INDEX($2:$2, COLUMN()),
                          Assessment!$4:$4, 0)
            ) &lt; 0,
      INDEX(Assessment!$15:$15,
            _xlfn.XMATCH(INDEX($2:$2, COLUMN()),
                   Assessment!$4:$4, 0)
      ),
      NA()
    ),
    NA()
  ),
  NA()
)</f>
        <v>3.1314425308956118</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9.23001051374548</v>
      </c>
    </row>
    <row r="122" spans="2:23" ht="13.5" customHeight="1" x14ac:dyDescent="0.6">
      <c r="C122" s="11"/>
    </row>
    <row r="123" spans="2:23" ht="16.5" x14ac:dyDescent="0.6">
      <c r="B123" s="110" t="s">
        <v>590</v>
      </c>
      <c r="C123" s="11" t="s">
        <v>389</v>
      </c>
    </row>
    <row r="124" spans="2:23" x14ac:dyDescent="0.4">
      <c r="C124" s="2" t="s">
        <v>388</v>
      </c>
      <c r="F124" s="64">
        <f>Assessment!E71</f>
        <v>-1.3351299999999999</v>
      </c>
      <c r="G124" s="64">
        <f>Assessment!F71</f>
        <v>-0.35512999999999995</v>
      </c>
      <c r="H124" s="64">
        <f>Assessment!G71</f>
        <v>0.62487000000000004</v>
      </c>
      <c r="I124" s="64">
        <f>Assessment!H71</f>
        <v>1.60487</v>
      </c>
      <c r="J124" s="64">
        <f>Assessment!I71</f>
        <v>2.58487</v>
      </c>
      <c r="K124" s="64">
        <f>Assessment!J71</f>
        <v>2.58487</v>
      </c>
      <c r="L124" s="64">
        <f>Assessment!K71</f>
        <v>2.58487</v>
      </c>
      <c r="M124" s="64">
        <f>Assessment!L71</f>
        <v>2.58487</v>
      </c>
      <c r="N124" s="64">
        <f>Assessment!M71</f>
        <v>2.58487</v>
      </c>
      <c r="O124" s="64">
        <f>Assessment!N71</f>
        <v>2.58487</v>
      </c>
      <c r="P124" s="64">
        <f>Assessment!O71</f>
        <v>2.58487</v>
      </c>
      <c r="Q124" s="64">
        <f>Assessment!P71</f>
        <v>2.58487</v>
      </c>
      <c r="R124" s="64">
        <f>Assessment!Q71</f>
        <v>2.58487</v>
      </c>
      <c r="S124" s="64">
        <f>Assessment!R71</f>
        <v>2.58487</v>
      </c>
      <c r="T124" s="64">
        <f>Assessment!S71</f>
        <v>2.58487</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t="e">
        <f>IF(OR(ISNUMBER(H128),ISNUMBER(H129)),NA(),IF(ISNUMBER(Assessment!G19),Assessment!G19,NA()))</f>
        <v>#N/A</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-2.4877799999999999</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-1.9583200000000001</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-2.4877799999999999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2.58487</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-3.4</v>
      </c>
      <c r="G134" s="3">
        <f>IF(ISNUMBER(Assessment!F36),Assessment!F36,NA())</f>
        <v>-2.9</v>
      </c>
      <c r="H134" s="3">
        <f>IF(ISNUMBER(Assessment!G36),Assessment!G36,NA())</f>
        <v>-2.6</v>
      </c>
      <c r="I134" s="3">
        <f>IF(ISNUMBER(Assessment!H36),Assessment!H36,NA())</f>
        <v>-2.1</v>
      </c>
      <c r="J134" s="3">
        <f>IF(ISNUMBER(Assessment!I36),Assessment!I36,NA())</f>
        <v>-1.7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t="e">
        <f>IF(OR(ISNUMBER(H138),ISNUMBER(H139)),NA(),IF(ISNUMBER(Assessment!G18),Assessment!G18,NA()))</f>
        <v>#N/A</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-3.9735</v>
      </c>
      <c r="G139" s="106" cm="1">
        <f t="array" ref="G139">_xlfn.LET(
  _xlpm.y, INDEX('Chart data'!$2:$2, COLUMN()),
  _xlpm.col, _xlfn.XMATCH(_xlpm.y, Assessment!$4:$4, 0),
  _xlpm.v, INDEX(Assessment!$18:$18, _xlpm.col),
  IF(
    _xlpm.y&lt;=OutturnThrough,
    IF(AND(ISNUMBER(_xlpm.v), _xlpm.v&lt;0), _xlpm.v, NA()),
    NA()
  )
)</f>
        <v>-3.5701800000000001</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-3.9735</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-1.7</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f>IF(OR(ISNUMBER(F149),ISNUMBER(F150)),NA(),IF(ISNUMBER(Assessment!E17),Assessment!E17+(Assessment!E7/Assessment!E27*100),NA()))</f>
        <v>-5.294364804945519</v>
      </c>
      <c r="G146" s="64">
        <f>IF(OR(ISNUMBER(G149),ISNUMBER(G150)),NA(),IF(ISNUMBER(Assessment!F17),Assessment!F17+(Assessment!F7/Assessment!F27*100),NA()))</f>
        <v>-4.6751091375330285</v>
      </c>
      <c r="H146" s="64" t="e">
        <f>IF(OR(ISNUMBER(H149),ISNUMBER(H150)),NA(),IF(ISNUMBER(Assessment!G17),Assessment!G17+(Assessment!G7/Assessment!G27*100),NA()))</f>
        <v>#N/A</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t="e" cm="1">
        <f t="array" ref="V149">_xlfn.LET(
  _xlpm.y, INDEX('Chart data'!$2:$2, COLUMN()),
  _xlpm.col, _xlfn.XMATCH(_xlpm.y, Assessment!$4:$4, 0),
  _xlpm.v, INDEX(Assessment!$17:$17, _xlpm.col)
     + INDEX(Assessment!$7:$7, _xlpm.col),
  IF(
    _xlpm.y&lt;=OutturnThrough,
    IF(AND(ISNUMBER(_xlpm.v), _xlpm.v&gt;=0), _xlpm.v, NA()),
    NA()
  )
)</f>
        <v>#N/A</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-5.294364804945519</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2024–2025</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AT</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964</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965</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2026-06-21T20:30:14Z</dcterms:modified>
</cp:coreProperties>
</file>