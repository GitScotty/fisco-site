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795" documentId="8_{DADD2F2B-A246-41F3-B18D-13B5F4864129}" xr6:coauthVersionLast="47" xr6:coauthVersionMax="47" xr10:uidLastSave="{DB7F6DD7-0C4F-40B6-B96D-7933A1368F91}"/>
  <bookViews>
    <workbookView xWindow="-98" yWindow="-98" windowWidth="21795" windowHeight="12975"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D130" i="64"/>
  <c r="D129" i="64"/>
  <c r="E131" i="64" s="1"/>
  <c r="E132" i="64" s="1"/>
  <c r="U44" i="65"/>
  <c r="U84" i="65"/>
  <c r="F84" i="65"/>
  <c r="P84" i="65"/>
  <c r="H84" i="65"/>
  <c r="J84" i="65"/>
  <c r="N44" i="65"/>
  <c r="M44" i="65"/>
  <c r="R44" i="65"/>
  <c r="T44" i="65"/>
  <c r="K44" i="65"/>
  <c r="S44" i="65"/>
  <c r="C307" i="64"/>
  <c r="C308" i="64" s="1"/>
  <c r="F19" i="21" s="1"/>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<sst xmlns="http://schemas.openxmlformats.org/spreadsheetml/2006/main" count="2098" uniqueCount="964">
  <si>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</si>
  <si>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</si>
  <si>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</si>
  <si>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</si>
  <si>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</si>
  <si>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</si>
  <si>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</si>
  <si>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</si>
  <si>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</si>
  <si>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</si>
  <si>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</si>
  <si>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</si>
  <si>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</si>
  <si>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</si>
  <si>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</si>
  <si>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</si>
  <si>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</si>
  <si>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</si>
  <si>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</si>
  <si>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</si>
  <si>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</si>
  <si>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</si>
  <si>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</si>
  <si>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</si>
  <si>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</si>
  <si>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</si>
  <si>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</si>
  <si>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</si>
  <si>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</si>
  <si>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</si>
  <si>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</si>
  <si>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</si>
  <si>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</si>
  <si>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</si>
  <si>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</si>
  <si>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</si>
  <si>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</si>
  <si>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</si>
  <si>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</si>
  <si>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</si>
  <si>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</si>
  <si>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</si>
  <si>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</si>
  <si>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</si>
  <si>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</si>
  <si>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</si>
  <si>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</si>
  <si>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</si>
  <si>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</si>
  <si>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</si>
  <si>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</si>
  <si>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</si>
  <si>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</si>
  <si>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</si>
  <si>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</si>
  <si>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</si>
  <si>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</si>
  <si>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</si>
  <si>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</si>
  <si>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</si>
  <si>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</si>
  <si>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</si>
  <si>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</si>
  <si>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</si>
  <si>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</si>
  <si>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</si>
  <si>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</si>
  <si>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</si>
  <si>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</si>
  <si>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</si>
  <si>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</si>
  <si>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</si>
  <si>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</si>
  <si>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</si>
  <si>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</si>
  <si>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</si>
  <si>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</si>
  <si>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</si>
  <si>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</si>
  <si>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</si>
  <si>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</si>
  <si>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</si>
  <si>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</si>
  <si>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</si>
  <si>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</si>
  <si>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</si>
  <si>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</si>
  <si>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</si>
  <si>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</si>
  <si>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</si>
  <si>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</si>
  <si>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</si>
  <si>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</si>
  <si>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</si>
  <si>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</si>
  <si>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</si>
  <si>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</si>
  <si>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</si>
  <si>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</si>
  <si>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</si>
  <si>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</si>
  <si>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</si>
  <si>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</si>
  <si>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</si>
  <si>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</si>
  <si>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</si>
  <si>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</si>
  <si>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</si>
  <si>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</si>
  <si>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</si>
  <si>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</si>
  <si>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</si>
  <si>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</si>
  <si>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</si>
  <si>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</si>
  <si>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</si>
  <si>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</si>
  <si>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</si>
  <si>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</si>
  <si>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</si>
  <si>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</si>
  <si>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</si>
  <si>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</si>
  <si>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</si>
  <si>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</si>
  <si>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</si>
  <si>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</si>
  <si>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</si>
  <si>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</si>
  <si>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</si>
  <si>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</si>
  <si>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</si>
  <si>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</si>
  <si>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</si>
  <si>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</si>
  <si>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</si>
  <si>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</si>
  <si>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</si>
  <si>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</si>
  <si>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</si>
  <si>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</si>
  <si>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</si>
  <si>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</si>
  <si>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</si>
  <si>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</si>
  <si>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</si>
  <si>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</si>
  <si>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</si>
  <si>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</si>
  <si>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</si>
  <si>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</si>
  <si>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</si>
  <si>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</si>
  <si>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</si>
  <si>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</si>
  <si>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</si>
  <si>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</si>
  <si>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</si>
  <si>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</si>
  <si>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</si>
  <si>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</si>
  <si>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</si>
  <si>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</si>
  <si>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</si>
  <si>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</si>
  <si>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</si>
  <si>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</si>
  <si>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</si>
  <si>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</si>
  <si>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</si>
  <si>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</si>
  <si>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</si>
  <si>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</si>
  <si>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</si>
  <si>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</si>
  <si>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</si>
  <si>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</si>
  <si>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</si>
  <si>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</si>
  <si>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</si>
  <si>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</si>
  <si>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</si>
  <si>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</si>
  <si>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</si>
  <si>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</si>
  <si>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</si>
  <si>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</si>
  <si>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</si>
  <si>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</si>
  <si>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</si>
  <si>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</si>
  <si>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</si>
  <si>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</si>
  <si>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</si>
  <si>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</si>
  <si>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</si>
  <si>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</si>
  <si>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</si>
  <si>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</si>
  <si>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</si>
  <si>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</si>
  <si>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</si>
  <si>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</si>
  <si>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</si>
  <si>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</si>
  <si>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</si>
  <si>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</si>
  <si>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</si>
  <si>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</si>
  <si>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</si>
  <si>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</si>
  <si>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</si>
  <si>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</si>
  <si>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</si>
  <si>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</si>
  <si>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</si>
  <si>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</si>
  <si>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</si>
  <si>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</si>
  <si>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</si>
  <si>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</si>
  <si>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</si>
  <si>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</si>
  <si>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</si>
  <si>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</si>
  <si>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</si>
  <si>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</si>
  <si>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</si>
  <si>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</si>
  <si>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</si>
  <si>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</si>
  <si>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</si>
  <si>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</si>
  <si>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</si>
  <si>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</si>
  <si>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</si>
  <si>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</si>
  <si>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</si>
  <si>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</si>
  <si>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</si>
  <si>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</si>
  <si>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</si>
  <si>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</si>
  <si>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</si>
  <si>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</si>
  <si>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</si>
  <si>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</si>
  <si>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</si>
  <si>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</si>
  <si>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</si>
  <si>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</si>
  <si>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</si>
  <si>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</si>
  <si>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</si>
  <si>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</si>
  <si>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</si>
  <si>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</si>
  <si>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</si>
  <si>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</si>
  <si>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</si>
  <si>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</si>
  <si>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</si>
  <si>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</si>
  <si>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</si>
  <si>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</si>
  <si>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</si>
  <si>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</si>
  <si>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</si>
  <si>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</si>
  <si>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</si>
  <si>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</si>
  <si>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</si>
  <si>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</si>
  <si>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</si>
  <si>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</si>
  <si>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</si>
  <si>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</si>
  <si>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</si>
  <si>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</si>
  <si>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</si>
  <si>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</si>
  <si>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</si>
  <si>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</si>
  <si>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</si>
  <si>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</si>
  <si>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</si>
  <si>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</si>
  <si>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</si>
  <si>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</si>
  <si>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</si>
  <si>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</si>
  <si>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</si>
  <si>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</si>
  <si>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</si>
  <si>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</si>
  <si>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</si>
  <si>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</si>
  <si>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</si>
  <si>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</si>
  <si>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</si>
  <si>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</si>
  <si>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</si>
  <si>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</si>
  <si>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</si>
  <si>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</si>
  <si>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</si>
  <si>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</si>
  <si>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</si>
  <si>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</si>
  <si>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</si>
  <si>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</si>
  <si>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</si>
  <si>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</si>
  <si>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</si>
  <si>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</si>
  <si>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</si>
  <si>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</si>
  <si>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</si>
  <si>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</si>
  <si>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</si>
  <si>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</si>
  <si>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</si>
  <si>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</si>
  <si>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</si>
  <si>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</si>
  <si>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</si>
  <si>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</si>
  <si>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</si>
  <si>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</si>
  <si>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</si>
  <si>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</si>
  <si>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</si>
  <si>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</si>
  <si>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</si>
  <si>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</si>
  <si>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</si>
  <si>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</si>
  <si>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</si>
  <si>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</si>
  <si>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</si>
  <si>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</si>
  <si>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</si>
  <si>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</si>
  <si>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</si>
  <si>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</si>
  <si>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</si>
  <si>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</si>
  <si>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</si>
  <si>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</si>
  <si>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</si>
  <si>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</si>
  <si>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</si>
  <si>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</si>
  <si>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</si>
  <si>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</si>
  <si>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</si>
  <si>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</si>
  <si>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</si>
  <si>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</si>
  <si>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</si>
  <si>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</si>
  <si>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</si>
  <si>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</si>
  <si>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</si>
  <si>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</si>
  <si>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</si>
  <si>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</si>
  <si>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</si>
  <si>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</si>
  <si>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</si>
  <si>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</si>
  <si>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</si>
  <si>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</si>
  <si>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</si>
  <si>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</si>
  <si>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</si>
  <si>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</si>
  <si>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</si>
  <si>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</si>
  <si>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</si>
  <si>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</si>
  <si>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</si>
  <si>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</si>
  <si>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</si>
  <si>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</si>
  <si>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</si>
  <si>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</si>
  <si>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</si>
  <si>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</si>
  <si>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</si>
  <si>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</si>
  <si>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</si>
  <si>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</si>
  <si>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</si>
  <si>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</si>
  <si>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</si>
  <si>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</si>
  <si>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</si>
  <si>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</si>
  <si>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</si>
  <si>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</si>
  <si>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</si>
  <si>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</si>
  <si>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</si>
  <si>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</si>
  <si>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</si>
  <si>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</si>
  <si>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</si>
  <si>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</si>
  <si>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</si>
  <si>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</si>
  <si>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</si>
  <si>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</si>
  <si>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</si>
  <si>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</si>
  <si>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</si>
  <si>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</si>
  <si>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</si>
  <si>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</si>
  <si>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</si>
  <si>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</si>
  <si>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</si>
  <si>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</si>
  <si>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</si>
  <si>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</si>
  <si>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</si>
  <si>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</si>
  <si>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</si>
  <si>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</si>
  <si>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</si>
  <si>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</si>
  <si>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</si>
  <si>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</si>
  <si>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</si>
  <si>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</si>
  <si>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</si>
  <si>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</si>
  <si>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</si>
  <si>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</si>
  <si>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</si>
  <si>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</si>
  <si>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</si>
  <si>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</si>
  <si>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</si>
  <si>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</si>
  <si>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</si>
  <si>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</si>
  <si>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</si>
  <si>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</si>
  <si>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</si>
  <si>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</si>
  <si>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</si>
  <si>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</si>
  <si>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</si>
  <si>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</si>
  <si>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</si>
  <si>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</si>
  <si>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</si>
  <si>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</si>
  <si>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</si>
  <si>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</si>
  <si>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</si>
  <si>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</si>
  <si>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</si>
  <si>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</si>
  <si>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</si>
  <si>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</si>
  <si>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</si>
  <si>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</si>
  <si>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</si>
  <si>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</si>
  <si>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</si>
  <si>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</si>
  <si>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</si>
  <si>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</si>
  <si>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</si>
  <si>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</si>
  <si>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</si>
  <si>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</si>
  <si>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</si>
  <si>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</si>
  <si>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</si>
  <si>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</si>
  <si>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</si>
  <si>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</si>
  <si>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</si>
  <si>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</si>
  <si>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</si>
  <si>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</si>
  <si>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</si>
  <si>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</si>
  <si>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</si>
  <si>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</si>
  <si>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</si>
  <si>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</si>
  <si>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</si>
  <si>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</si>
  <si>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</si>
  <si>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</si>
  <si>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</si>
  <si>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</si>
  <si>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</si>
  <si>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</si>
  <si>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</si>
  <si>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</si>
  <si>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</si>
  <si>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</si>
  <si>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</si>
  <si>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</si>
  <si>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</si>
  <si>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</si>
  <si>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</si>
  <si>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</si>
  <si>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</si>
  <si>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</si>
  <si>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</si>
  <si>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</si>
  <si>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</si>
  <si>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</si>
  <si>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</si>
  <si>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</si>
  <si>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</si>
  <si>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</si>
  <si>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</si>
  <si>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</si>
  <si>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</si>
  <si>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</si>
  <si>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</si>
  <si>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</si>
  <si>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</si>
  <si>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</si>
  <si>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</si>
  <si>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</si>
  <si>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</si>
  <si>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</si>
  <si>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</si>
  <si>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</si>
  <si>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</si>
  <si>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</si>
  <si>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</si>
  <si>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</si>
  <si>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</si>
  <si>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</si>
  <si>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</si>
  <si>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</si>
  <si>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</si>
  <si>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</si>
  <si>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</si>
  <si>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</si>
  <si>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</si>
  <si>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</si>
  <si>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</si>
  <si>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</si>
  <si>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</si>
  <si>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</si>
  <si>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</si>
  <si>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</si>
  <si>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</si>
  <si>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</si>
  <si>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</si>
  <si>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</si>
  <si>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</si>
  <si>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</si>
  <si>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</si>
  <si>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</si>
  <si>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</si>
  <si>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</si>
  <si>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</si>
  <si>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</si>
  <si>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</si>
  <si>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</si>
  <si>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</si>
  <si>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</si>
  <si>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</si>
  <si>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</si>
  <si>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</si>
  <si>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</si>
  <si>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</si>
  <si>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</si>
  <si>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</si>
  <si>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</si>
  <si>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</si>
  <si>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</si>
  <si>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</si>
  <si>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</si>
  <si>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</si>
  <si>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</si>
  <si>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</si>
  <si>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</si>
  <si>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</si>
  <si>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</si>
  <si>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</si>
  <si>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</si>
  <si>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</si>
  <si>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</si>
  <si>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</si>
  <si>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</si>
  <si>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</si>
  <si>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</si>
  <si>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</si>
  <si>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</si>
  <si>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</si>
  <si>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</si>
  <si>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</si>
  <si>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</si>
  <si>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</si>
  <si>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</si>
  <si>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</si>
  <si>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</si>
  <si>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</si>
  <si>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</si>
  <si>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</si>
  <si>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</si>
  <si>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</si>
  <si>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</si>
  <si>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</si>
  <si>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</si>
  <si>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</si>
  <si>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</si>
  <si>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</si>
  <si>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</si>
  <si>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</si>
  <si>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</si>
  <si>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</si>
  <si>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</si>
  <si>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</si>
  <si>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</si>
  <si>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</si>
  <si>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</si>
  <si>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</si>
  <si>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</si>
  <si>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</si>
  <si>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</si>
  <si>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</si>
  <si>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</si>
  <si>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</si>
  <si>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</si>
  <si>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</si>
  <si>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</si>
  <si>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</si>
  <si>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</si>
  <si>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</si>
  <si>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</si>
  <si>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</si>
  <si>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</si>
  <si>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</si>
  <si>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</si>
  <si>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</si>
  <si>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</si>
  <si>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</si>
  <si>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</si>
  <si>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</si>
  <si>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</si>
  <si>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</si>
  <si>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</si>
  <si>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</si>
  <si>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</si>
  <si>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</si>
  <si>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</si>
  <si>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</si>
  <si>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</si>
  <si>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</si>
  <si>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</si>
  <si>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</si>
  <si>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</si>
  <si>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</si>
  <si>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</si>
  <si>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</si>
  <si>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</si>
  <si>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</si>
  <si>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</si>
  <si>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</si>
  <si>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</si>
  <si>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</si>
  <si>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</si>
  <si>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</si>
  <si>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</si>
  <si>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</si>
  <si>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</si>
  <si>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</si>
  <si>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</si>
  <si>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</si>
  <si>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</si>
  <si>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</si>
  <si>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</si>
  <si>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</si>
  <si>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</si>
  <si>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</si>
  <si>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</si>
  <si>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</si>
  <si>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</si>
  <si>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</si>
  <si>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</si>
  <si>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</si>
  <si>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</si>
  <si>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</si>
  <si>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</si>
  <si>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</si>
  <si>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</si>
  <si>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</si>
  <si>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</si>
  <si>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</si>
  <si>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</si>
  <si>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</si>
  <si>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</si>
  <si>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</si>
  <si>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</si>
  <si>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</si>
  <si>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</si>
  <si>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</si>
  <si>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</si>
  <si>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</si>
  <si>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</si>
  <si>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</si>
  <si>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</si>
  <si>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</si>
  <si>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</si>
  <si>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</si>
  <si>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</si>
  <si>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</si>
  <si>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</si>
  <si>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</si>
  <si>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</si>
  <si>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</si>
  <si>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</si>
  <si>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</si>
  <si>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</si>
  <si>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</si>
  <si>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</si>
  <si>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</si>
  <si>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</si>
  <si>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</si>
  <si>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</si>
  <si>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</si>
  <si>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</si>
  <si>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</si>
  <si>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</si>
  <si>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</si>
  <si>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</si>
  <si>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</si>
  <si>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</si>
  <si>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</si>
  <si>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</si>
  <si>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</si>
  <si>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</si>
  <si>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</si>
  <si>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</si>
  <si>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</si>
  <si>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</si>
  <si>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</si>
  <si>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</si>
  <si>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</si>
  <si>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</si>
  <si>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</si>
  <si>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</si>
  <si>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</si>
  <si>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</si>
  <si>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</si>
  <si>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</si>
  <si>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</si>
  <si>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</si>
  <si>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</si>
  <si>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</si>
  <si>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</si>
  <si>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</si>
  <si>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</si>
  <si>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</si>
  <si>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</si>
  <si>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</si>
  <si>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</si>
  <si>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</si>
  <si>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</si>
  <si>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</si>
  <si>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</si>
  <si>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</si>
  <si>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</si>
  <si>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</si>
  <si>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</si>
  <si>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</si>
  <si>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</si>
  <si>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</si>
  <si>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</si>
  <si>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</si>
  <si>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</si>
  <si>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</si>
  <si>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</si>
  <si>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</si>
  <si>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</si>
  <si>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</si>
  <si>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</si>
  <si>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</si>
  <si>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</si>
  <si>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</si>
  <si>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</si>
  <si>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</si>
  <si>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</si>
  <si>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</si>
  <si>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</si>
  <si>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</si>
  <si>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</si>
  <si>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</si>
  <si>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</si>
  <si>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</si>
  <si>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</si>
  <si>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</si>
  <si>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</si>
  <si>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</si>
  <si>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</si>
  <si>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</si>
  <si>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</si>
  <si>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</si>
  <si>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</si>
  <si>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</si>
  <si>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</si>
  <si>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</si>
  <si>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</si>
  <si>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</si>
  <si>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</si>
  <si>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</si>
  <si>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</si>
  <si>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</si>
  <si>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</si>
  <si>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</si>
  <si>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</si>
  <si>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</si>
  <si>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</si>
  <si>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</si>
  <si>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</si>
  <si>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</si>
  <si>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</si>
  <si>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</si>
  <si>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</si>
  <si>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</si>
  <si>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</si>
  <si>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</si>
  <si>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</si>
  <si>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</si>
  <si>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</si>
  <si>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</si>
  <si>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</si>
  <si>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</si>
  <si>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</si>
  <si>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</si>
  <si>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</si>
  <si>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</si>
  <si>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</si>
  <si>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</si>
  <si>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</si>
  <si>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</si>
  <si>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</si>
  <si>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</si>
  <si>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</si>
  <si>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</si>
  <si>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</si>
  <si>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</si>
  <si>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</si>
  <si>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</si>
  <si>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</si>
  <si>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</si>
  <si>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</si>
  <si>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</si>
  <si>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</si>
  <si>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</si>
  <si>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</si>
  <si>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</si>
  <si>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</si>
  <si>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</si>
  <si>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</si>
  <si>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</si>
  <si>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</si>
  <si>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</si>
  <si>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</si>
  <si>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</si>
  <si>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</si>
  <si>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</si>
  <si>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</si>
  <si>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</si>
  <si>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</si>
  <si>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</si>
  <si>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</si>
  <si>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</si>
  <si>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</si>
  <si>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</si>
  <si>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</si>
  <si>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</si>
  <si>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</si>
  <si>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</si>
  <si>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</si>
  <si>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</si>
  <si>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</si>
  <si>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</si>
  <si>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</si>
  <si>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</si>
  <si>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</si>
  <si>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</si>
  <si>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</si>
  <si>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</si>
  <si>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</si>
  <si>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</si>
  <si>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</si>
  <si>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</si>
  <si>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</si>
  <si>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</si>
  <si>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</si>
  <si>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</si>
  <si>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</si>
  <si>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</si>
  <si>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</si>
  <si>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</si>
  <si>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</si>
  <si>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</si>
  <si>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</si>
  <si>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</si>
  <si>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</si>
  <si>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</si>
  <si>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</si>
  <si>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</si>
  <si>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</si>
  <si>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</si>
  <si>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</si>
  <si>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</si>
  <si>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</si>
  <si>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</si>
  <si>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</si>
  <si>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</si>
  <si>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</si>
  <si>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</si>
  <si>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</si>
  <si>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</si>
  <si>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</si>
  <si>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</si>
  <si>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</si>
  <si>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</si>
  <si>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</si>
  <si>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</si>
  <si>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</si>
  <si>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</si>
  <si>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</si>
  <si>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</si>
  <si>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</si>
  <si>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</si>
  <si>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</si>
  <si>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</si>
  <si>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</si>
  <si>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</si>
  <si>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</si>
  <si>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</si>
  <si>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</si>
  <si>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</si>
  <si>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</si>
  <si>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</si>
  <si>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</si>
  <si>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</si>
  <si>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</si>
  <si>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</si>
  <si>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</si>
  <si>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</si>
  <si>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</si>
  <si>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</si>
  <si>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</si>
  <si>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</si>
  <si>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</si>
  <si>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</si>
  <si>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Draft budgety plan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</si>
</sst>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153.69999999999999</c:v>
                </c:pt>
                <c:pt idx="1">
                  <c:v>149.1</c:v>
                </c:pt>
                <c:pt idx="2">
                  <c:v>143.1</c:v>
                </c:pt>
                <c:pt idx="3">
                  <c:v>138</c:v>
                </c:pt>
                <c:pt idx="4">
                  <c:v>133.4</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146.13231049104562</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154.16497702081645</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136.80000000000001</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-1.1530287070829932</c:v>
                </c:pt>
                <c:pt idx="1">
                  <c:v>-1.6215257433249399</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-0.14432286519806431</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-0.34349177805685849</c:v>
                </c:pt>
                <c:pt idx="2">
                  <c:v>1.1918144900881076</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-1.1142479555285194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-1.6215257433249399</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-1.6215257433249399</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-1</c:v>
                </c:pt>
                <c:pt idx="1">
                  <c:v>-0.6</c:v>
                </c:pt>
                <c:pt idx="2">
                  <c:v>-0.8</c:v>
                </c:pt>
                <c:pt idx="3">
                  <c:v>-1.1000000000000001</c:v>
                </c:pt>
                <c:pt idx="4">
                  <c:v>-1.2</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1.3470701540957015</c:v>
                </c:pt>
                <c:pt idx="1">
                  <c:v>1.7273751105781794</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0.2</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0.10000000000000009</c:v>
                </c:pt>
                <c:pt idx="2">
                  <c:v>0.10000000000000009</c:v>
                </c:pt>
                <c:pt idx="3">
                  <c:v>0.10000000000000009</c:v>
                </c:pt>
                <c:pt idx="4">
                  <c:v>9.9999999999999645E-2</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2.2746199999999996</c:v>
                </c:pt>
                <c:pt idx="1">
                  <c:v>-0.1768799999999997</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-1.8435300000000001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-1.8435300000000001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2.2746199999999996</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-1.8435300000000001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2.2746199999999996</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-8.2000000000000171</c:v>
                </c:pt>
                <c:pt idx="1">
                  <c:v>-4.5999999999999943</c:v>
                </c:pt>
                <c:pt idx="2">
                  <c:v>-6</c:v>
                </c:pt>
                <c:pt idx="3">
                  <c:v>-5.0999999999999943</c:v>
                </c:pt>
                <c:pt idx="4">
                  <c:v>-4.5999999999999943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-1.7513179237631793</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-0.82100649195079434</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-9.3000000000000007</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-1</c:v>
                </c:pt>
                <c:pt idx="1">
                  <c:v>-1</c:v>
                </c:pt>
                <c:pt idx="2">
                  <c:v>-1</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-9.3000000000000007</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-0.82100649195079434</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-9.3000000000000007</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-0.82100649195079434</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3.8204099999999999</c:v>
                </c:pt>
                <c:pt idx="1">
                  <c:v>3.6435300000000002</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1.8</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3.6999999999999997</c:v>
                </c:pt>
                <c:pt idx="2">
                  <c:v>3.6000000000000005</c:v>
                </c:pt>
                <c:pt idx="3">
                  <c:v>3.1</c:v>
                </c:pt>
                <c:pt idx="4">
                  <c:v>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7.5</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-0.12946679588512477</c:v>
                </c:pt>
                <c:pt idx="1">
                  <c:v>2.8340876161799811</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12</xdr:row>
      <xdr:rowOff>161925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78117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topLeftCell="A6"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227</v>
      </c>
    </row>
    <row r="3" spans="1:11" ht="13.5" customHeight="1" x14ac:dyDescent="0.4">
      <c r="A3" s="157" t="s">
        <v>305</v>
      </c>
      <c r="B3" s="284" t="s">
        <v>330</v>
      </c>
    </row>
    <row r="5" spans="1:11" ht="18" x14ac:dyDescent="0.55000000000000004">
      <c r="A5" s="50" t="s">
        <v>744</v>
      </c>
      <c r="K5" s="38"/>
    </row>
    <row r="6" spans="1:11" ht="13.5" customHeight="1" x14ac:dyDescent="0.4">
      <c r="A6" s="157" t="s">
        <v>743</v>
      </c>
      <c r="B6" s="285" t="s">
        <v>742</v>
      </c>
      <c r="K6" s="38"/>
    </row>
    <row r="7" spans="1:11" ht="13.5" customHeight="1" x14ac:dyDescent="0.4">
      <c r="A7" s="159" t="s">
        <v>745</v>
      </c>
      <c r="B7" s="286" t="s">
        <v>963</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v>45464</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1</v>
      </c>
      <c r="D21" s="87" t="b">
        <v>1</v>
      </c>
      <c r="E21" s="87" t="b">
        <v>1</v>
      </c>
      <c r="F21" s="87" t="b">
        <v>1</v>
      </c>
      <c r="G21" s="87" t="b">
        <v>0</v>
      </c>
      <c r="H21" s="87" t="b">
        <v>0</v>
      </c>
      <c r="I21" s="71" t="b">
        <v>0</v>
      </c>
      <c r="J21" s="71" t="b">
        <v>0</v>
      </c>
    </row>
    <row r="22" spans="1:11" ht="13.5" customHeight="1" x14ac:dyDescent="0.4">
      <c r="A22" t="s">
        <v>701</v>
      </c>
      <c r="B22" s="87" t="e">
        <v>#N/A</v>
      </c>
      <c r="C22" s="87" t="s">
        <v>739</v>
      </c>
      <c r="D22" s="87" t="s">
        <v>739</v>
      </c>
      <c r="E22" s="87" t="s">
        <v>739</v>
      </c>
      <c r="F22" s="87" t="s">
        <v>739</v>
      </c>
      <c r="G22" s="87" t="e">
        <v>#N/A</v>
      </c>
      <c r="H22" s="87" t="e">
        <v>#N/A</v>
      </c>
      <c r="I22" s="71" t="e">
        <v>#N/A</v>
      </c>
      <c r="J22" s="71" t="e">
        <v>#N/A</v>
      </c>
    </row>
    <row r="23" spans="1:11" ht="13.5" customHeight="1" x14ac:dyDescent="0.4">
      <c r="A23" t="s">
        <v>642</v>
      </c>
      <c r="B23" s="87" t="e">
        <v>#N/A</v>
      </c>
      <c r="C23" s="87" t="s">
        <v>607</v>
      </c>
      <c r="D23" s="87" t="s">
        <v>607</v>
      </c>
      <c r="E23" s="87" t="s">
        <v>607</v>
      </c>
      <c r="F23" s="87" t="s">
        <v>607</v>
      </c>
      <c r="G23" s="87" t="e">
        <v>#N/A</v>
      </c>
      <c r="H23" s="87" t="e">
        <v>#N/A</v>
      </c>
      <c r="I23" s="71" t="e">
        <v>#N/A</v>
      </c>
      <c r="J23" s="71" t="e">
        <v>#N/A</v>
      </c>
    </row>
    <row r="24" spans="1:11" ht="13.5" customHeight="1" x14ac:dyDescent="0.4">
      <c r="A24" s="86" t="s">
        <v>950</v>
      </c>
      <c r="B24" s="87"/>
      <c r="C24" s="87">
        <v>1.5</v>
      </c>
      <c r="D24" s="87">
        <v>1.5</v>
      </c>
      <c r="E24" s="87">
        <v>1.5</v>
      </c>
      <c r="F24" s="87">
        <v>1.5</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v>2024</v>
      </c>
      <c r="J26" s="71"/>
    </row>
    <row r="27" spans="1:11" ht="13.5" customHeight="1" x14ac:dyDescent="0.4">
      <c r="A27" t="s">
        <v>935</v>
      </c>
      <c r="B27" s="266">
        <v>2.2000000000000002</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topLeftCell="A3"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111.255</v>
      </c>
      <c r="F6" s="140">
        <v>113.87</v>
      </c>
      <c r="G6" s="180">
        <v>119.875</v>
      </c>
      <c r="H6" s="180"/>
      <c r="I6" s="180"/>
      <c r="J6" s="180"/>
      <c r="K6" s="180"/>
      <c r="L6" s="180"/>
      <c r="M6" s="180"/>
      <c r="N6" s="180"/>
      <c r="O6" s="180"/>
      <c r="P6" s="180"/>
      <c r="Q6" s="180"/>
      <c r="R6" s="257" t="b">
        <v>1</v>
      </c>
      <c r="S6" s="255" t="s">
        <v>276</v>
      </c>
      <c r="T6" s="180"/>
      <c r="U6" s="180"/>
      <c r="V6" s="180">
        <v>0.3</v>
      </c>
      <c r="W6" s="180">
        <v>0.1</v>
      </c>
      <c r="X6" s="180">
        <v>-0.1</v>
      </c>
      <c r="Y6" s="180"/>
      <c r="Z6" s="180"/>
    </row>
    <row r="7" spans="1:34" ht="14.65" customHeight="1" x14ac:dyDescent="0.7">
      <c r="A7" s="13"/>
      <c r="B7" s="80" t="s">
        <v>25</v>
      </c>
      <c r="C7" s="44" t="s">
        <v>6</v>
      </c>
      <c r="D7" s="44"/>
      <c r="E7" s="141" cm="1">
        <f t="array" ref="E7:G7">INDEX(175:175, _xlfn.XMATCH(INDEX(_xlfn.ANCHORARRAY(E4),1,1), 33:33, 0) + _xlfn.SEQUENCE(1, COLUMNS(_xlfn.ANCHORARRAY(E4))) - 1)/1000</f>
        <v>7.6120000000000001</v>
      </c>
      <c r="F7" s="141">
        <v>8.2249999999999996</v>
      </c>
      <c r="G7" s="181">
        <v>7.8410000000000002</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0.3</v>
      </c>
      <c r="F8" s="141">
        <v>0.1</v>
      </c>
      <c r="G8" s="181">
        <v>-0.1</v>
      </c>
      <c r="H8" s="181"/>
      <c r="I8" s="181"/>
      <c r="J8" s="181"/>
      <c r="K8" s="181"/>
      <c r="L8" s="181"/>
      <c r="M8" s="181"/>
      <c r="N8" s="181"/>
      <c r="O8" s="181"/>
      <c r="P8" s="181"/>
      <c r="Q8" s="181"/>
      <c r="R8" s="257" t="b">
        <v>1</v>
      </c>
      <c r="S8" s="256" t="s">
        <v>279</v>
      </c>
      <c r="T8" s="181"/>
      <c r="U8" s="181"/>
      <c r="V8" s="181">
        <v>0.3</v>
      </c>
      <c r="W8" s="181">
        <v>0.4</v>
      </c>
      <c r="X8" s="181">
        <v>0.4</v>
      </c>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5.6639999999999997</v>
      </c>
      <c r="F9" s="141">
        <v>5.8730000000000002</v>
      </c>
      <c r="G9" s="181">
        <v>8.43</v>
      </c>
      <c r="H9" s="181"/>
      <c r="I9" s="181"/>
      <c r="J9" s="181"/>
      <c r="K9" s="181"/>
      <c r="L9" s="181"/>
      <c r="M9" s="181"/>
      <c r="N9" s="181"/>
      <c r="O9" s="181"/>
      <c r="P9" s="181"/>
      <c r="Q9" s="181"/>
      <c r="R9" s="257" t="b">
        <v>1</v>
      </c>
      <c r="S9" s="256" t="s">
        <v>596</v>
      </c>
      <c r="T9" s="181"/>
      <c r="U9" s="181"/>
      <c r="V9" s="181"/>
      <c r="W9" s="181">
        <v>2</v>
      </c>
      <c r="X9" s="181">
        <v>1.1000000000000001</v>
      </c>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0.73899999999999999</v>
      </c>
      <c r="F10" s="141">
        <v>0.70499999999999996</v>
      </c>
      <c r="G10" s="181">
        <v>0.78</v>
      </c>
      <c r="H10" s="181"/>
      <c r="I10" s="181"/>
      <c r="J10" s="181"/>
      <c r="K10" s="181"/>
      <c r="L10" s="181"/>
      <c r="M10" s="181"/>
      <c r="N10" s="181"/>
      <c r="O10" s="181"/>
      <c r="P10" s="181"/>
      <c r="Q10" s="181"/>
      <c r="R10" s="262" t="b">
        <v>1</v>
      </c>
      <c r="S10" s="263" t="s">
        <v>598</v>
      </c>
      <c r="T10" s="264"/>
      <c r="U10" s="264"/>
      <c r="V10" s="181">
        <v>5.2</v>
      </c>
      <c r="W10" s="181">
        <v>5.3</v>
      </c>
      <c r="X10" s="181">
        <v>6</v>
      </c>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0.3</v>
      </c>
      <c r="F11" s="141">
        <v>0.4</v>
      </c>
      <c r="G11" s="181">
        <v>0.4</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96.642539999999997</v>
      </c>
      <c r="F12" s="141">
        <v>98.517420000000001</v>
      </c>
      <c r="G12" s="181">
        <v>102.40949000000001</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2</v>
      </c>
      <c r="G13" s="181">
        <v>1.1000000000000001</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5.2</v>
      </c>
      <c r="F14" s="141">
        <v>5.3</v>
      </c>
      <c r="G14" s="181">
        <v>6</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-0.12946679588512477</v>
      </c>
      <c r="G15" s="180">
        <v>2.8340876161799811</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-0.12946679588512477</v>
      </c>
      <c r="G16" s="182">
        <v>2.7009516178656101</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cm="1">
        <f t="array" ref="E17:G17">INDEX(139:139, _xlfn.XMATCH(INDEX(_xlfn.ANCHORARRAY(E4),1,1), 33:33, 0) + _xlfn.SEQUENCE(1, COLUMNS(_xlfn.ANCHORARRAY(E4))) - 1)</f>
        <v>-1.4299943654750491</v>
      </c>
      <c r="F17" s="142">
        <v>1.3470701540957015</v>
      </c>
      <c r="G17" s="182">
        <v>1.7273751105781794</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-1.84205</v>
      </c>
      <c r="F18" s="142">
        <v>0.34606999999999999</v>
      </c>
      <c r="G18" s="182">
        <v>0.48633999999999999</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1.54579</v>
      </c>
      <c r="F19" s="142">
        <v>3.8204099999999999</v>
      </c>
      <c r="G19" s="182">
        <v>3.6435300000000002</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cm="1">
        <f t="array" ref="E20:G20">INDEX(145:145, _xlfn.XMATCH(INDEX(_xlfn.ANCHORARRAY(E4),1,1), 33:33, 0) + _xlfn.SEQUENCE(1, COLUMNS(_xlfn.ANCHORARRAY(E4))) - 1)</f>
        <v>164.27800194226435</v>
      </c>
      <c r="F20" s="142">
        <v>154.16497702081645</v>
      </c>
      <c r="G20" s="182">
        <v>146.13231049104562</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cm="1">
        <f t="array" ref="E21:G21">INDEX(146:146, _xlfn.XMATCH(INDEX(_xlfn.ANCHORARRAY(E4),1,1), 33:33, 0) + _xlfn.SEQUENCE(1, COLUMNS(_xlfn.ANCHORARRAY(E4))) - 1)</f>
        <v>0.4917970039993555</v>
      </c>
      <c r="F21" s="182">
        <v>-1.7513179237631793</v>
      </c>
      <c r="G21" s="182">
        <v>-0.82100649195079434</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cm="1">
        <f t="array" ref="E22:G22">_xlfn.LET(
  _xlpm.pos,  _xlfn.XMATCH(INDEX(_xlfn.ANCHORARRAY(E4),1,1)+0, 33:33+0, 0) + _xlfn.SEQUENCE(1, COLUMNS(_xlfn.ANCHORARRAY(E4))),
  _xlpm.num,  INDEX(35:35, _xlpm.pos - 1),
  _xlpm.den,  INDEX(35:35, _xlpm.pos - 2),
  IF((_xlpm.num=0) + (_xlpm.den=0), "", 100*(_xlpm.num/_xlpm.den - 1))
)</f>
        <v>2.1358911863197383</v>
      </c>
      <c r="F22" s="140">
        <v>2.0865774054565467</v>
      </c>
      <c r="G22" s="180">
        <v>2.0730652469252542</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6.2696911980743009</v>
      </c>
      <c r="F23" s="140">
        <v>3.2094021239268633</v>
      </c>
      <c r="G23" s="180">
        <v>2.7768191292891542</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cm="1">
        <f t="array" ref="E24:G24">_xlfn.LET(
  _xlpm.pos,  _xlfn.XMATCH(INDEX(_xlfn.ANCHORARRAY(E4),1,1)+0, 33:33+0, 0) + _xlfn.SEQUENCE(1, COLUMNS(_xlfn.ANCHORARRAY(E4))),
  _xlpm.num,  INDEX(34:34, _xlpm.pos - 1),
  _xlpm.den,  INDEX(34:34, _xlpm.pos - 2),
  IF((_xlpm.num=0) + (_xlpm.den=0), "", 100*(_xlpm.num/_xlpm.den - 1))
)</f>
        <v>8.5394961661031665</v>
      </c>
      <c r="F24" s="140">
        <v>5.3629461889515229</v>
      </c>
      <c r="G24" s="180">
        <v>4.9074496485536745</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cm="1">
        <f t="array" ref="E25:G25">_xlfn.LET(
  _xlpm.pos,  _xlfn.XMATCH(INDEX(_xlfn.ANCHORARRAY(E4),1,1)+0, 33:33+0, 0) + _xlfn.SEQUENCE(1, COLUMNS(_xlfn.ANCHORARRAY(E4))),
  _xlpm.num,  INDEX(90:90, _xlpm.pos - 1),
  _xlpm.den,  INDEX(90:90, _xlpm.pos - 2),
  IF((_xlpm.num=0) + (_xlpm.den=0), "", 100*(_xlpm.num/_xlpm.den - 1))
)</f>
        <v>0.41214777352651666</v>
      </c>
      <c r="F25" s="142">
        <v>0.89840122569280201</v>
      </c>
      <c r="G25" s="182">
        <v>1.6052979221115482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cm="1">
        <f t="array" ref="E26:G26">_xlfn.LET(
  _xlpm.pos,   _xlfn.XMATCH(INDEX(_xlfn.ANCHORARRAY(E4),1,1)+0, 33:33+0, 0) + _xlfn.SEQUENCE(1, COLUMNS(_xlfn.ANCHORARRAY(E4))),
  _xlpm.rGDP,  INDEX(89:89, _xlpm.pos - 1),
  _xlpm.pGDP,  INDEX(90:90, _xlpm.pos - 1),
  IF((_xlpm.rGDP=0) + (_xlpm.pGDP=0), "", 100*(_xlpm.rGDP/_xlpm.pGDP - 1))
)</f>
        <v>1.0428730339908876</v>
      </c>
      <c r="F26" s="142">
        <v>2.2327473732196124</v>
      </c>
      <c r="G26" s="182">
        <v>2.7034073702548067</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224.68620000000001</v>
      </c>
      <c r="F27" s="142">
        <v>236.73599999999999</v>
      </c>
      <c r="G27" s="182">
        <v>248.3537</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Greece</v>
      </c>
      <c r="C30" s="8"/>
    </row>
    <row r="31" spans="1:34" outlineLevel="1" x14ac:dyDescent="0.4">
      <c r="A31" s="150" t="s">
        <v>830</v>
      </c>
      <c r="B31" s="254">
        <v>46194.877581018518</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v>207008.7</v>
      </c>
      <c r="E34" s="9">
        <v>224686.2</v>
      </c>
      <c r="F34">
        <v>236736</v>
      </c>
      <c r="G34">
        <v>248353.7</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v>200136.6</v>
      </c>
      <c r="E35" s="9">
        <v>204411.3</v>
      </c>
      <c r="F35">
        <v>208676.5</v>
      </c>
      <c r="G35">
        <v>213002.5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v>188065.7</v>
      </c>
      <c r="E36" s="9">
        <v>199128.6</v>
      </c>
      <c r="F36">
        <v>206577.3</v>
      </c>
      <c r="G36">
        <v>216774.2</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v>101913.7</v>
      </c>
      <c r="E37" s="9">
        <v>98499.8</v>
      </c>
      <c r="F37">
        <v>99693.5</v>
      </c>
      <c r="G37">
        <v>98004.800000000003</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v>121907.9</v>
      </c>
      <c r="E38" s="9">
        <v>109270</v>
      </c>
      <c r="F38">
        <v>112839.8</v>
      </c>
      <c r="G38">
        <v>109250.4</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v>-19994.099999999999</v>
      </c>
      <c r="E39" s="9">
        <v>-10770.1</v>
      </c>
      <c r="F39">
        <v>-13146.4</v>
      </c>
      <c r="G39">
        <v>-11245.7</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v>167164.70000000001</v>
      </c>
      <c r="E40" s="9">
        <v>177102.6</v>
      </c>
      <c r="F40">
        <v>184298.3</v>
      </c>
      <c r="G40">
        <v>193666.2</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v>32544.5</v>
      </c>
      <c r="E41" s="9">
        <v>35689.699999999997</v>
      </c>
      <c r="F41">
        <v>37971.300000000003</v>
      </c>
      <c r="G41">
        <v>41925.1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v>6330.9</v>
      </c>
      <c r="E42" s="9">
        <v>471.4</v>
      </c>
      <c r="F42">
        <v>5192</v>
      </c>
      <c r="G42">
        <v>721.7</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v>61.7</v>
      </c>
      <c r="E43" s="9">
        <v>166.8</v>
      </c>
      <c r="F43">
        <v>141.69999999999999</v>
      </c>
      <c r="G43">
        <v>178.3</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v>6392.6</v>
      </c>
      <c r="E44" s="9">
        <v>638.20000000000005</v>
      </c>
      <c r="F44">
        <v>5333.7</v>
      </c>
      <c r="G44">
        <v>900</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v>146877.70000000001</v>
      </c>
      <c r="E45" s="9">
        <v>155442.79999999999</v>
      </c>
      <c r="F45">
        <v>162570.79999999999</v>
      </c>
      <c r="G45">
        <v>171484.79999999999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v>144007.4</v>
      </c>
      <c r="E46" s="9">
        <v>152523.9</v>
      </c>
      <c r="F46">
        <v>159572</v>
      </c>
      <c r="G46">
        <v>168321.5</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v>2870.2</v>
      </c>
      <c r="E47" s="9">
        <v>2918.9</v>
      </c>
      <c r="F47">
        <v>2998.7</v>
      </c>
      <c r="G47">
        <v>3163.2</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v>-5324</v>
      </c>
      <c r="E48" s="9">
        <v>-3213</v>
      </c>
      <c r="F48">
        <v>3189</v>
      </c>
      <c r="G48">
        <v>4290</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v>22740</v>
      </c>
      <c r="E49" s="9">
        <v>23487</v>
      </c>
      <c r="F49">
        <v>24541</v>
      </c>
      <c r="G49">
        <v>25237</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v>39510</v>
      </c>
      <c r="E50" s="9">
        <v>38430</v>
      </c>
      <c r="F50">
        <v>40195</v>
      </c>
      <c r="G50">
        <v>42621</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v>11796</v>
      </c>
      <c r="E51" s="9">
        <v>4497</v>
      </c>
      <c r="F51">
        <v>3382</v>
      </c>
      <c r="G51">
        <v>3296</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v>5167</v>
      </c>
      <c r="E52" s="9">
        <v>7617</v>
      </c>
      <c r="F52">
        <v>8231</v>
      </c>
      <c r="G52">
        <v>7847</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v>1331</v>
      </c>
      <c r="E53" s="9">
        <v>2368</v>
      </c>
      <c r="F53">
        <v>2472</v>
      </c>
      <c r="G53">
        <v>1914</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v>43</v>
      </c>
      <c r="E54" s="9">
        <v>78</v>
      </c>
      <c r="F54">
        <v>72</v>
      </c>
      <c r="G54">
        <v>61</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v>19151</v>
      </c>
      <c r="E55" s="9">
        <v>22802</v>
      </c>
      <c r="F55">
        <v>26397</v>
      </c>
      <c r="G55">
        <v>27474</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v>2940</v>
      </c>
      <c r="E56" s="9">
        <v>2953</v>
      </c>
      <c r="F56">
        <v>3417</v>
      </c>
      <c r="G56">
        <v>3502</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v>3662</v>
      </c>
      <c r="E57" s="9">
        <v>2692</v>
      </c>
      <c r="F57">
        <v>3175</v>
      </c>
      <c r="G57">
        <v>2904</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v>496</v>
      </c>
      <c r="E58" s="9">
        <v>601</v>
      </c>
      <c r="F58">
        <v>609</v>
      </c>
      <c r="G58">
        <v>641</v>
      </c>
    </row>
    <row r="59" spans="1:169" outlineLevel="1" x14ac:dyDescent="0.4">
      <c r="A59" t="s">
        <v>107</v>
      </c>
      <c r="B59" t="s">
        <v>106</v>
      </c>
      <c r="C59" t="s">
        <v>674</v>
      </c>
      <c r="D59" s="9">
        <v>0</v>
      </c>
      <c r="E59" s="9">
        <v>0</v>
      </c>
      <c r="F59">
        <v>0</v>
      </c>
      <c r="G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v>3772</v>
      </c>
      <c r="E60" s="9">
        <v>5251</v>
      </c>
      <c r="F60">
        <v>5469</v>
      </c>
      <c r="G60">
        <v>6272</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v>5398</v>
      </c>
      <c r="E61" s="9">
        <v>5653</v>
      </c>
      <c r="F61">
        <v>6011</v>
      </c>
      <c r="G61">
        <v>8457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v>4290</v>
      </c>
      <c r="E62" s="9">
        <v>5063</v>
      </c>
      <c r="F62">
        <v>5264</v>
      </c>
      <c r="G62">
        <v>7789</v>
      </c>
    </row>
    <row r="63" spans="1:169" outlineLevel="1" x14ac:dyDescent="0.4">
      <c r="A63" t="s">
        <v>668</v>
      </c>
      <c r="B63" t="s">
        <v>109</v>
      </c>
      <c r="C63" t="s">
        <v>674</v>
      </c>
      <c r="D63" s="9">
        <v>16005</v>
      </c>
      <c r="E63" s="9">
        <v>16618</v>
      </c>
      <c r="F63">
        <v>17517</v>
      </c>
      <c r="G63">
        <v>18098</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v>80</v>
      </c>
      <c r="E64" s="9">
        <v>80</v>
      </c>
      <c r="F64">
        <v>91</v>
      </c>
      <c r="G64">
        <v>116</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v>6484</v>
      </c>
      <c r="E65" s="9">
        <v>6571</v>
      </c>
      <c r="F65">
        <v>6592</v>
      </c>
      <c r="G65">
        <v>6352</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v>3107</v>
      </c>
      <c r="E66" s="9">
        <v>1283</v>
      </c>
      <c r="F66">
        <v>1301</v>
      </c>
      <c r="G66">
        <v>1303</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v>0</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v>5162</v>
      </c>
      <c r="E68" s="9">
        <v>7612</v>
      </c>
      <c r="F68">
        <v>8225</v>
      </c>
      <c r="G68">
        <v>7841</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v>385</v>
      </c>
      <c r="E69" s="9">
        <v>1374</v>
      </c>
      <c r="F69">
        <v>1723</v>
      </c>
      <c r="G69">
        <v>1175</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v>29041</v>
      </c>
      <c r="E70" s="9">
        <v>29219</v>
      </c>
      <c r="F70">
        <v>31519</v>
      </c>
      <c r="G70">
        <v>32504</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v>37164</v>
      </c>
      <c r="E71" s="9">
        <v>38785</v>
      </c>
      <c r="F71">
        <v>39639</v>
      </c>
      <c r="G71">
        <v>40757</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v>6146</v>
      </c>
      <c r="E72" s="9">
        <v>7148</v>
      </c>
      <c r="F72">
        <v>6639</v>
      </c>
      <c r="G72">
        <v>6901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v>262</v>
      </c>
      <c r="E73" s="9">
        <v>259</v>
      </c>
      <c r="F73">
        <v>268</v>
      </c>
      <c r="G73">
        <v>294</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v>4681</v>
      </c>
      <c r="E74" s="9">
        <v>5104</v>
      </c>
      <c r="F74">
        <v>5499</v>
      </c>
      <c r="G74">
        <v>7934</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v>5136</v>
      </c>
      <c r="E75" s="9">
        <v>5394</v>
      </c>
      <c r="F75">
        <v>5743</v>
      </c>
      <c r="G75">
        <v>8163</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v>700</v>
      </c>
      <c r="E76" s="9">
        <v>1432</v>
      </c>
      <c r="F76">
        <v>1700</v>
      </c>
      <c r="G76">
        <v>1901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v>455</v>
      </c>
      <c r="E77" s="9">
        <v>290</v>
      </c>
      <c r="F77">
        <v>244</v>
      </c>
      <c r="G77">
        <v>229</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v>69</v>
      </c>
      <c r="E78" s="9">
        <v>73</v>
      </c>
      <c r="F78">
        <v>75</v>
      </c>
      <c r="G78">
        <v>34</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v>11319</v>
      </c>
      <c r="E79" s="9">
        <v>12364</v>
      </c>
      <c r="F79">
        <v>12222</v>
      </c>
      <c r="G79">
        <v>14059</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v>40956</v>
      </c>
      <c r="E80" s="9">
        <v>43708</v>
      </c>
      <c r="F80">
        <v>44014</v>
      </c>
      <c r="G80">
        <v>45833</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v>20629</v>
      </c>
      <c r="E81" s="9">
        <v>21890</v>
      </c>
      <c r="F81">
        <v>21560</v>
      </c>
      <c r="G81">
        <v>22431</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v>20327</v>
      </c>
      <c r="E82" s="9">
        <v>21818</v>
      </c>
      <c r="F82">
        <v>22454</v>
      </c>
      <c r="G82">
        <v>23402</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v>8234</v>
      </c>
      <c r="E83" s="9">
        <v>9056</v>
      </c>
      <c r="F83">
        <v>10067</v>
      </c>
      <c r="G83">
        <v>11854</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v>425</v>
      </c>
      <c r="E84" s="9">
        <v>-134</v>
      </c>
      <c r="F84">
        <v>25</v>
      </c>
      <c r="G84">
        <v>-61</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v>275</v>
      </c>
      <c r="E85" s="9">
        <v>284</v>
      </c>
      <c r="F85">
        <v>321</v>
      </c>
      <c r="G85">
        <v>346</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v>1675</v>
      </c>
      <c r="E86" s="9">
        <v>1852</v>
      </c>
      <c r="F86">
        <v>2010</v>
      </c>
      <c r="G86">
        <v>2023</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v>4528</v>
      </c>
      <c r="E87" s="146">
        <v>4742</v>
      </c>
      <c r="F87">
        <v>4959</v>
      </c>
      <c r="G87">
        <v>5922</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v>368005</v>
      </c>
      <c r="E88" s="9">
        <v>369110</v>
      </c>
      <c r="F88">
        <v>364964</v>
      </c>
      <c r="G88">
        <v>362925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v>192091.41</v>
      </c>
      <c r="E89" s="9">
        <v>196194.31</v>
      </c>
      <c r="F89" s="9">
        <v>200288.05</v>
      </c>
      <c r="G89" s="9">
        <v>204440.16</v>
      </c>
      <c r="H89" s="9"/>
      <c r="I89" s="9"/>
      <c r="J89" s="9"/>
      <c r="K89" s="9"/>
      <c r="L89" s="9"/>
      <c r="M89" s="9"/>
      <c r="N89" s="9"/>
      <c r="O89" s="9"/>
      <c r="P89" s="9"/>
      <c r="Q89" s="9"/>
    </row>
    <row r="90" spans="1:169" outlineLevel="1" x14ac:dyDescent="0.4">
      <c r="A90" t="s">
        <v>681</v>
      </c>
      <c r="B90" t="s">
        <v>294</v>
      </c>
      <c r="C90" t="s">
        <v>672</v>
      </c>
      <c r="D90" s="9">
        <v>193372.38999999998</v>
      </c>
      <c r="E90" s="9">
        <v>194169.37</v>
      </c>
      <c r="F90" s="9">
        <v>195913.79</v>
      </c>
      <c r="G90" s="9">
        <v>199058.78999999998</v>
      </c>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v>1018.9999999999999</v>
      </c>
      <c r="E91" s="9">
        <v>864</v>
      </c>
      <c r="F91" s="9">
        <v>572</v>
      </c>
      <c r="G91" s="9">
        <v>1326</v>
      </c>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v>5368</v>
      </c>
      <c r="E92" s="9">
        <v>5049</v>
      </c>
      <c r="F92" s="9">
        <v>5288</v>
      </c>
      <c r="G92" s="9">
        <v>5986</v>
      </c>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v>739</v>
      </c>
      <c r="F93" s="9">
        <v>705</v>
      </c>
      <c r="G93" s="9">
        <v>780</v>
      </c>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v>1995</v>
      </c>
      <c r="G94" s="9">
        <v>960</v>
      </c>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v>5664</v>
      </c>
      <c r="F95" s="9">
        <v>5873</v>
      </c>
      <c r="G95" s="9">
        <v>8430</v>
      </c>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v>295.45999999999998</v>
      </c>
      <c r="F96" s="9">
        <v>149.57999999999998</v>
      </c>
      <c r="G96" s="9">
        <v>-21.49</v>
      </c>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v>-151</v>
      </c>
      <c r="E97" s="9">
        <v>-302</v>
      </c>
      <c r="F97" s="9">
        <v>-400</v>
      </c>
      <c r="G97" s="9">
        <v>-436</v>
      </c>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v>-2.7577699999999998</v>
      </c>
      <c r="E98" s="9">
        <v>-1.84205</v>
      </c>
      <c r="F98" s="9">
        <v>0.34606999999999999</v>
      </c>
      <c r="G98" s="9">
        <v>0.48633999999999999</v>
      </c>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v>-0.26416000000000001</v>
      </c>
      <c r="E99" s="9">
        <v>1.54579</v>
      </c>
      <c r="F99" s="9">
        <v>3.8204099999999999</v>
      </c>
      <c r="G99" s="9">
        <v>3.6435300000000002</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19.086154350034562</v>
      </c>
      <c r="E106" s="4">
        <f t="shared" ref="E106:K106" si="1">IFERROR(E160/E$34*100,"")</f>
        <v>17.103854175289804</v>
      </c>
      <c r="F106" s="4">
        <f t="shared" si="1"/>
        <v>16.97882873749662</v>
      </c>
      <c r="G106" s="4">
        <f t="shared" si="1"/>
        <v>17.161411325863074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9.2513019984184233</v>
      </c>
      <c r="E107" s="4">
        <f t="shared" ref="E107:K107" si="3">IFERROR(E161/E$34*100,"")</f>
        <v>10.148375823704347</v>
      </c>
      <c r="F107" s="4">
        <f t="shared" si="3"/>
        <v>11.150395377128953</v>
      </c>
      <c r="G107" s="4">
        <f t="shared" si="3"/>
        <v>11.062448435437039</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14.028878979482503</v>
      </c>
      <c r="E108" s="4">
        <f t="shared" ref="E108:K108" si="6">IFERROR(E162/E$34*100,"")</f>
        <v>13.004358968196533</v>
      </c>
      <c r="F108" s="4">
        <f t="shared" si="6"/>
        <v>13.313986888348204</v>
      </c>
      <c r="G108" s="4">
        <f t="shared" si="6"/>
        <v>13.087785686301432</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5.5413129979561244</v>
      </c>
      <c r="E109" s="4">
        <f t="shared" ref="E109:K109" si="9">IFERROR(E163/E$34*100,"")</f>
        <v>5.3131879038410013</v>
      </c>
      <c r="F109" s="4">
        <f t="shared" si="9"/>
        <v>5.4647370911057047</v>
      </c>
      <c r="G109" s="4">
        <f t="shared" si="9"/>
        <v>5.2783590500161663</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0.12656472892202114</v>
      </c>
      <c r="E110" s="4">
        <f t="shared" ref="E110:K110" si="12">IFERROR(E164/E$34*100,"")</f>
        <v>0.11527187695550506</v>
      </c>
      <c r="F110" s="4">
        <f t="shared" si="12"/>
        <v>0.11320627196539604</v>
      </c>
      <c r="G110" s="4">
        <f t="shared" si="12"/>
        <v>0.11837955303263047</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2.4810551440591624</v>
      </c>
      <c r="E111" s="4">
        <f t="shared" ref="E111:K111" si="15">IFERROR(E165/E$34*100,"")</f>
        <v>2.4006814837760393</v>
      </c>
      <c r="F111" s="4">
        <f t="shared" si="15"/>
        <v>2.4259090294674235</v>
      </c>
      <c r="G111" s="4">
        <f t="shared" si="15"/>
        <v>3.2868445285896684</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50.515268198872796</v>
      </c>
      <c r="E112" s="4">
        <f t="shared" ref="E112:K112" si="18">IFERROR(E166/E$34*100,"")</f>
        <v>48.085730231763229</v>
      </c>
      <c r="F112" s="4">
        <f t="shared" si="18"/>
        <v>49.447063395512302</v>
      </c>
      <c r="G112" s="4">
        <f t="shared" si="18"/>
        <v>49.995228579240006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2.3119801245068445</v>
      </c>
      <c r="E113" s="4">
        <f t="shared" ref="E113:K113" si="21">IFERROR(E167/E$34*100,"")</f>
        <v>2.5208490775134389</v>
      </c>
      <c r="F113" s="4">
        <f t="shared" si="21"/>
        <v>2.4808225195998919</v>
      </c>
      <c r="G113" s="4">
        <f t="shared" si="21"/>
        <v>3.3943524900172615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48.20328807436595</v>
      </c>
      <c r="E114" s="4">
        <f t="shared" ref="E114:K114" si="24">IFERROR(E168/E$34*100,"")</f>
        <v>45.56488115424979</v>
      </c>
      <c r="F114" s="4">
        <f t="shared" si="24"/>
        <v>46.966240875912405</v>
      </c>
      <c r="G114" s="4">
        <f t="shared" si="24"/>
        <v>46.600876089222751</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0.84271086780210869</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4.22411462557448E-4</v>
      </c>
      <c r="G116" s="4">
        <f t="shared" si="30"/>
        <v>8.0530308185462903E-4</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10.985045556056338</v>
      </c>
      <c r="E118" s="4">
        <f t="shared" ref="E118:K118" si="35">IFERROR(E173/E$34*100,"")</f>
        <v>10.45324545966775</v>
      </c>
      <c r="F118" s="4">
        <f t="shared" si="35"/>
        <v>10.366399702622331</v>
      </c>
      <c r="G118" s="4">
        <f t="shared" si="35"/>
        <v>10.161716938382636</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5.4678861323219747</v>
      </c>
      <c r="E119" s="4">
        <f t="shared" ref="E119:K119" si="37">IFERROR(E174/E$34*100,"")</f>
        <v>5.5027856628488978</v>
      </c>
      <c r="F119" s="4">
        <f t="shared" si="37"/>
        <v>5.1627128953771289</v>
      </c>
      <c r="G119" s="4">
        <f t="shared" si="37"/>
        <v>5.6608780138971149</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2.4936150026544777</v>
      </c>
      <c r="E120" s="4">
        <f t="shared" ref="E120:K120" si="40">IFERROR(E175/E$34*100,"")</f>
        <v>3.3878360130706735</v>
      </c>
      <c r="F120" s="4">
        <f t="shared" si="40"/>
        <v>3.4743342795350096</v>
      </c>
      <c r="G120" s="4">
        <f t="shared" si="40"/>
        <v>3.1571907324110735</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17.952868647549593</v>
      </c>
      <c r="E121" s="4">
        <f t="shared" ref="E121:K121" si="43">IFERROR(E176/E$34*100,"")</f>
        <v>17.261852307796381</v>
      </c>
      <c r="F121" s="4">
        <f t="shared" si="43"/>
        <v>16.743967964314681</v>
      </c>
      <c r="G121" s="4">
        <f t="shared" si="43"/>
        <v>16.410868853574559</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2.9689573433387095</v>
      </c>
      <c r="E122" s="4">
        <f t="shared" ref="E122:K122" si="46">IFERROR(E177/E$34*100,"")</f>
        <v>3.1813257779071429</v>
      </c>
      <c r="F122" s="4">
        <f t="shared" si="46"/>
        <v>2.8043896999188971</v>
      </c>
      <c r="G122" s="4">
        <f t="shared" si="46"/>
        <v>2.7786982839393977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5.6983112303975627</v>
      </c>
      <c r="E123" s="4">
        <f t="shared" ref="E123:K123" si="49">IFERROR(E178/E$34*100,"")</f>
        <v>2.0014580334706804</v>
      </c>
      <c r="F123" s="4">
        <f t="shared" si="49"/>
        <v>1.4285955663692891</v>
      </c>
      <c r="G123" s="4">
        <f t="shared" si="49"/>
        <v>1.3271394788964286</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1.4820633142471789</v>
      </c>
      <c r="E124" s="4">
        <f t="shared" ref="E124:K124" si="52">IFERROR(E179/E$34*100,"")</f>
        <v>1.3868230447619836</v>
      </c>
      <c r="F124" s="4">
        <f t="shared" si="52"/>
        <v>1.5147675047310083</v>
      </c>
      <c r="G124" s="4">
        <f t="shared" si="52"/>
        <v>1.4837709283171541</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3.9776106028393974</v>
      </c>
      <c r="E125" s="4">
        <f t="shared" ref="E125:K125" si="55">IFERROR(E180/E$34*100,"")</f>
        <v>4.0305101069847638</v>
      </c>
      <c r="F125" s="4">
        <f t="shared" si="55"/>
        <v>4.2524161935658285</v>
      </c>
      <c r="G125" s="4">
        <f t="shared" si="55"/>
        <v>4.7730313661523871</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1.8221456392895563</v>
      </c>
      <c r="E127" s="4">
        <f t="shared" ref="E127:K127" si="61">IFERROR(E182/E$34*100,"")</f>
        <v>2.3370371656114171</v>
      </c>
      <c r="F127" s="4">
        <f t="shared" si="61"/>
        <v>2.3101682887266826</v>
      </c>
      <c r="G127" s="4">
        <f t="shared" si="61"/>
        <v>2.5254304646961168</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0.23863731331098645</v>
      </c>
      <c r="E128" s="4">
        <f t="shared" ref="E128:K128" si="64">IFERROR(E183/E$34*100,"")</f>
        <v>-2.7148974881412387E-2</v>
      </c>
      <c r="F128" s="4">
        <f t="shared" si="64"/>
        <v>4.2241146255744794E-2</v>
      </c>
      <c r="G128" s="4">
        <f t="shared" si="64"/>
        <v>-1.0871591605037492E-2</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53.087140782005783</v>
      </c>
      <c r="E129" s="4">
        <f t="shared" ref="E129:K129" si="67">IFERROR(E184/E$34*100,"")</f>
        <v>49.515724597238282</v>
      </c>
      <c r="F129" s="4">
        <f t="shared" si="67"/>
        <v>48.099993241416598</v>
      </c>
      <c r="G129" s="4">
        <f t="shared" si="67"/>
        <v>48.267853468661833</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53.087140782005783</v>
      </c>
      <c r="E131" s="4">
        <f t="shared" ref="E131:K131" si="71">IFERROR(E129-E130,"")</f>
        <v>49.515724597238282</v>
      </c>
      <c r="F131" s="4">
        <f t="shared" si="71"/>
        <v>48.099993241416598</v>
      </c>
      <c r="G131" s="4">
        <f t="shared" si="71"/>
        <v>48.267853468661833</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f>IFERROR(D187/D$34*100,"")</f>
        <v>0</v>
      </c>
      <c r="E132" s="4">
        <f t="shared" ref="E132:K132" si="78">IFERROR(E187/E$34*100,"")</f>
        <v>0.32890315471088122</v>
      </c>
      <c r="F132" s="4">
        <f t="shared" si="78"/>
        <v>0.29780008110300082</v>
      </c>
      <c r="G132" s="4">
        <f t="shared" si="78"/>
        <v>0.31406820192330531</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f>IFERROR(D188/D$34*100,"")</f>
        <v>0</v>
      </c>
      <c r="E133" s="4">
        <f t="shared" ref="E133:K133" si="89">IFERROR(E188/E$34*100,"")</f>
        <v>0.13149895276167381</v>
      </c>
      <c r="F133" s="4">
        <f t="shared" si="89"/>
        <v>6.3184306569343054E-2</v>
      </c>
      <c r="G133" s="4">
        <f t="shared" si="89"/>
        <v>-8.6529816145279881E-3</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f>IFERROR(D189/D$34*100,"")</f>
        <v>7.2943794149714483E-2</v>
      </c>
      <c r="E134" s="4">
        <f t="shared" ref="E134:K134" si="92">IFERROR(E189/E$34*100,"")</f>
        <v>0.13440967892109085</v>
      </c>
      <c r="F134" s="4">
        <f t="shared" si="92"/>
        <v>0.16896458502297917</v>
      </c>
      <c r="G134" s="4">
        <f t="shared" si="92"/>
        <v>0.17555607184430916</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50.520581985201588</v>
      </c>
      <c r="E135" s="4">
        <f t="shared" ref="E135:K135" si="95">IFERROR(E131-E132-E133-E134-E120,"")</f>
        <v>45.533076797773965</v>
      </c>
      <c r="F135" s="4">
        <f t="shared" si="95"/>
        <v>44.095709989186275</v>
      </c>
      <c r="G135" s="4">
        <f t="shared" si="95"/>
        <v>44.629691444097666</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-2.5718725831329796</v>
      </c>
      <c r="E139" s="4">
        <f t="shared" ref="E139:K139" si="112">IFERROR(E194/E$34*100,"")</f>
        <v>-1.4299943654750491</v>
      </c>
      <c r="F139" s="4">
        <f t="shared" si="112"/>
        <v>1.3470701540957015</v>
      </c>
      <c r="G139" s="4">
        <f t="shared" si="112"/>
        <v>1.7273751105781794</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-5.0654875857874568</v>
      </c>
      <c r="E140" s="4">
        <f t="shared" ref="E140:K140" si="114">IFERROR(E195/E$34*100,"")</f>
        <v>-4.8178303785457226</v>
      </c>
      <c r="F140" s="4">
        <f t="shared" si="114"/>
        <v>-2.1272641254393077</v>
      </c>
      <c r="G140" s="4">
        <f t="shared" si="114"/>
        <v>-1.4298156218328939</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-2.7577699999999998</v>
      </c>
      <c r="E142" s="4">
        <f t="shared" ref="E142:K142" si="118">IFERROR(E98,"")</f>
        <v>-1.84205</v>
      </c>
      <c r="F142" s="4">
        <f t="shared" si="118"/>
        <v>0.34606999999999999</v>
      </c>
      <c r="G142" s="4">
        <f t="shared" si="118"/>
        <v>0.48633999999999999</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-0.26416000000000001</v>
      </c>
      <c r="E143" s="4">
        <f t="shared" ref="E143:K143" si="120">IFERROR(E99,"")</f>
        <v>1.54579</v>
      </c>
      <c r="F143" s="4">
        <f t="shared" si="120"/>
        <v>3.8204099999999999</v>
      </c>
      <c r="G143" s="4">
        <f t="shared" si="120"/>
        <v>3.6435300000000002</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177.77272162957399</v>
      </c>
      <c r="E145" s="4">
        <f t="shared" ref="E145:K145" si="122">IFERROR(E200/E$34*100,"")</f>
        <v>164.27800194226435</v>
      </c>
      <c r="F145" s="4">
        <f t="shared" si="122"/>
        <v>154.16497702081645</v>
      </c>
      <c r="G145" s="4">
        <f t="shared" si="122"/>
        <v>146.13231049104562</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0.4917970039993555</v>
      </c>
      <c r="F146" s="4">
        <f t="shared" si="124"/>
        <v>-1.7513179237631793</v>
      </c>
      <c r="G146" s="4">
        <f t="shared" si="124"/>
        <v>-0.82100649195079434</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5.0654875857874568</v>
      </c>
      <c r="E148" s="4">
        <f t="shared" ref="E148:K148" si="129">IFERROR(E203/E$34*100,"")</f>
        <v>4.8178303785457226</v>
      </c>
      <c r="F148" s="4">
        <f t="shared" si="129"/>
        <v>2.1272641254393077</v>
      </c>
      <c r="G148" s="4">
        <f t="shared" si="129"/>
        <v>1.4298156218328939</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2.4936150026544777</v>
      </c>
      <c r="E150" s="4">
        <f t="shared" ref="E150:K150" si="134">IFERROR(E205/E$34*100,"")</f>
        <v>3.3878360130706735</v>
      </c>
      <c r="F150" s="4">
        <f t="shared" si="134"/>
        <v>3.4743342795350096</v>
      </c>
      <c r="G150" s="4">
        <f t="shared" si="134"/>
        <v>3.1571907324110735</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-5.0654875857874568</v>
      </c>
      <c r="E153" s="4">
        <f t="shared" ref="E153:K153" si="143">IFERROR(E208/E$34*100,"")</f>
        <v>-4.326033374546367</v>
      </c>
      <c r="F153" s="4">
        <f t="shared" si="143"/>
        <v>-3.8785820492024872</v>
      </c>
      <c r="G153" s="4">
        <f t="shared" si="143"/>
        <v>-2.2508221137836881</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39510</v>
      </c>
      <c r="E160" s="9">
        <f t="shared" si="147"/>
        <v>38430</v>
      </c>
      <c r="F160" s="9">
        <f t="shared" ref="F160:K160" si="148">F50</f>
        <v>40195</v>
      </c>
      <c r="G160" s="9">
        <f t="shared" si="148"/>
        <v>42621</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19151</v>
      </c>
      <c r="E161" s="9">
        <f t="shared" si="150"/>
        <v>22802</v>
      </c>
      <c r="F161" s="9">
        <f t="shared" ref="F161:K161" si="151">F55</f>
        <v>26397</v>
      </c>
      <c r="G161" s="9">
        <f t="shared" si="151"/>
        <v>27474</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29041</v>
      </c>
      <c r="E162" s="9">
        <f t="shared" si="153"/>
        <v>29219</v>
      </c>
      <c r="F162" s="9">
        <f t="shared" ref="F162:K162" si="154">F70</f>
        <v>31519</v>
      </c>
      <c r="G162" s="9">
        <f t="shared" si="154"/>
        <v>32504</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11471</v>
      </c>
      <c r="E163" s="9">
        <f t="shared" si="156"/>
        <v>11938</v>
      </c>
      <c r="F163" s="9">
        <f t="shared" ref="F163:K163" si="157">(F85+F86+F87)+F67+F53+F57</f>
        <v>12937</v>
      </c>
      <c r="G163" s="9">
        <f t="shared" si="157"/>
        <v>13109</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262</v>
      </c>
      <c r="E164" s="9">
        <f t="shared" si="159"/>
        <v>259</v>
      </c>
      <c r="F164" s="9">
        <f t="shared" ref="F164:K164" si="160">F73</f>
        <v>268</v>
      </c>
      <c r="G164" s="9">
        <f t="shared" si="160"/>
        <v>294</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5136</v>
      </c>
      <c r="E165" s="9">
        <f t="shared" si="162"/>
        <v>5394</v>
      </c>
      <c r="F165" s="9">
        <f t="shared" ref="F165:K165" si="163">F74+F77</f>
        <v>5743</v>
      </c>
      <c r="G165" s="9">
        <f t="shared" si="163"/>
        <v>8163</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104571</v>
      </c>
      <c r="E166" s="9">
        <f t="shared" si="165"/>
        <v>108042</v>
      </c>
      <c r="F166" s="9">
        <f t="shared" ref="F166:K166" si="166">F160+F161+F162+F163+F164+F165</f>
        <v>117059</v>
      </c>
      <c r="G166" s="9">
        <f t="shared" si="166"/>
        <v>124165</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4786</v>
      </c>
      <c r="E167" s="9">
        <f t="shared" si="168"/>
        <v>5664</v>
      </c>
      <c r="F167" s="9">
        <f t="shared" ref="F167:K167" si="169">SUM(F58+F62)</f>
        <v>5873</v>
      </c>
      <c r="G167" s="9">
        <f t="shared" si="169"/>
        <v>8430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99785</v>
      </c>
      <c r="E168" s="9">
        <f t="shared" si="171"/>
        <v>102378</v>
      </c>
      <c r="F168" s="9">
        <f t="shared" ref="F168:K168" si="172">F166-F167</f>
        <v>111186</v>
      </c>
      <c r="G168" s="9">
        <f t="shared" si="172"/>
        <v>115735</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1995</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22740</v>
      </c>
      <c r="E173" s="9">
        <f t="shared" si="175"/>
        <v>23487</v>
      </c>
      <c r="F173" s="9">
        <f t="shared" ref="F173:K173" si="176">F49</f>
        <v>24541</v>
      </c>
      <c r="G173" s="9">
        <f t="shared" si="176"/>
        <v>25237</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11319</v>
      </c>
      <c r="E174" s="9">
        <f t="shared" si="178"/>
        <v>12364</v>
      </c>
      <c r="F174" s="9">
        <f t="shared" ref="F174:K174" si="179">F79</f>
        <v>12222</v>
      </c>
      <c r="G174" s="9">
        <f t="shared" si="179"/>
        <v>14059</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5162</v>
      </c>
      <c r="E175" s="9">
        <f t="shared" si="181"/>
        <v>7612</v>
      </c>
      <c r="F175" s="9">
        <f t="shared" ref="F175:K175" si="182">F68</f>
        <v>8225</v>
      </c>
      <c r="G175" s="9">
        <f t="shared" si="182"/>
        <v>7841</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37164</v>
      </c>
      <c r="E176" s="9">
        <f t="shared" si="184"/>
        <v>38785</v>
      </c>
      <c r="F176" s="9">
        <f t="shared" ref="F176:K176" si="185">F71</f>
        <v>39639</v>
      </c>
      <c r="G176" s="9">
        <f t="shared" si="185"/>
        <v>40757</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6146</v>
      </c>
      <c r="E177" s="9">
        <f t="shared" si="187"/>
        <v>7148</v>
      </c>
      <c r="F177" s="9">
        <f t="shared" ref="F177:K177" si="188">F72</f>
        <v>6639</v>
      </c>
      <c r="G177" s="9">
        <f t="shared" si="188"/>
        <v>6901</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11796</v>
      </c>
      <c r="E178" s="9">
        <f t="shared" si="190"/>
        <v>4497</v>
      </c>
      <c r="F178" s="9">
        <f t="shared" ref="F178:K178" si="191">F51</f>
        <v>3382</v>
      </c>
      <c r="G178" s="9">
        <f t="shared" si="191"/>
        <v>3296</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3068</v>
      </c>
      <c r="E179" s="9">
        <f t="shared" si="193"/>
        <v>3116</v>
      </c>
      <c r="F179" s="9">
        <f t="shared" ref="F179:K179" si="194">F64+(F52-F68)+F54+F56+F59</f>
        <v>3586</v>
      </c>
      <c r="G179" s="9">
        <f t="shared" si="194"/>
        <v>3685</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8234</v>
      </c>
      <c r="E180" s="9">
        <f t="shared" si="196"/>
        <v>9056</v>
      </c>
      <c r="F180" s="9">
        <f t="shared" ref="F180:K180" si="197">F83</f>
        <v>10067</v>
      </c>
      <c r="G180" s="9">
        <f t="shared" si="197"/>
        <v>11854</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3772</v>
      </c>
      <c r="E182" s="145">
        <f t="shared" si="199"/>
        <v>5251</v>
      </c>
      <c r="F182" s="145">
        <f t="shared" ref="F182:K182" si="200">F60</f>
        <v>5469</v>
      </c>
      <c r="G182" s="145">
        <f t="shared" si="200"/>
        <v>6272</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494</v>
      </c>
      <c r="E183" s="145">
        <f t="shared" si="202"/>
        <v>-61</v>
      </c>
      <c r="F183" s="145">
        <f t="shared" ref="F183:K183" si="203">F84+F78</f>
        <v>100</v>
      </c>
      <c r="G183" s="145">
        <f t="shared" si="203"/>
        <v>-27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109895</v>
      </c>
      <c r="E184" s="9">
        <f>E173+E174+E175+E176+E177+E178+E179+E180+E182+E183</f>
        <v>111255</v>
      </c>
      <c r="F184" s="9">
        <f t="shared" ref="F184:K184" si="206">F173+F174+F175+F176+F177+F178+F179+F180+F182+F183</f>
        <v>113870</v>
      </c>
      <c r="G184" s="9">
        <f t="shared" si="206"/>
        <v>119875</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4786</v>
      </c>
      <c r="E185">
        <f t="shared" ref="E185:J185" si="208">E167</f>
        <v>5664</v>
      </c>
      <c r="F185">
        <f t="shared" si="208"/>
        <v>5873</v>
      </c>
      <c r="G185">
        <f t="shared" si="208"/>
        <v>8430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105109</v>
      </c>
      <c r="E186" s="9">
        <f t="shared" si="209"/>
        <v>105591</v>
      </c>
      <c r="F186" s="9">
        <f t="shared" ref="F186:K186" si="210">F184-F185</f>
        <v>107997</v>
      </c>
      <c r="G186" s="9">
        <f t="shared" si="210"/>
        <v>111445</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739</v>
      </c>
      <c r="F187">
        <f t="shared" si="212"/>
        <v>705</v>
      </c>
      <c r="G187">
        <f t="shared" si="212"/>
        <v>780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295.45999999999998</v>
      </c>
      <c r="F188" s="9">
        <f t="shared" si="213"/>
        <v>149.57999999999998</v>
      </c>
      <c r="G188" s="9">
        <f t="shared" si="213"/>
        <v>-21.49</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151</v>
      </c>
      <c r="E189" s="9">
        <f t="shared" ref="E189:O189" si="214">-E97</f>
        <v>302</v>
      </c>
      <c r="F189" s="9">
        <f t="shared" si="214"/>
        <v>400</v>
      </c>
      <c r="G189" s="9">
        <f t="shared" si="214"/>
        <v>436</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99796</v>
      </c>
      <c r="E190" s="9">
        <f t="shared" si="216"/>
        <v>96642.54</v>
      </c>
      <c r="F190" s="9">
        <f t="shared" ref="F190:K190" si="217">F186-F187-F188-F189-F175</f>
        <v>98517.42</v>
      </c>
      <c r="G190" s="9">
        <f t="shared" si="217"/>
        <v>102409.49</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-5324</v>
      </c>
      <c r="E194" s="6">
        <f t="shared" si="219"/>
        <v>-3213</v>
      </c>
      <c r="F194" s="6">
        <f t="shared" ref="F194:K194" si="220">F166-F184</f>
        <v>3189</v>
      </c>
      <c r="G194" s="6">
        <f t="shared" si="220"/>
        <v>4290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-10486</v>
      </c>
      <c r="E195" s="6">
        <f t="shared" si="222"/>
        <v>-10825</v>
      </c>
      <c r="F195" s="6">
        <f t="shared" ref="F195:K195" si="223">F194-F175</f>
        <v>-5036</v>
      </c>
      <c r="G195" s="6">
        <f t="shared" si="223"/>
        <v>-3551</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368005</v>
      </c>
      <c r="E200" s="9">
        <f t="shared" si="225"/>
        <v>369110</v>
      </c>
      <c r="F200" s="9">
        <f t="shared" ref="F200:K200" si="226">F88</f>
        <v>364964</v>
      </c>
      <c r="G200" s="9">
        <f t="shared" si="226"/>
        <v>362925</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1105</v>
      </c>
      <c r="F201" s="9">
        <f t="shared" ref="F201" si="228">F200-E200</f>
        <v>-4146</v>
      </c>
      <c r="G201" s="9">
        <f t="shared" ref="G201" si="229">G200-F200</f>
        <v>-2039</v>
      </c>
      <c r="H201" s="9">
        <f t="shared" ref="H201" si="230">H200-G200</f>
        <v>-362925</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10486</v>
      </c>
      <c r="E203" s="9">
        <f t="shared" si="248"/>
        <v>10825</v>
      </c>
      <c r="F203" s="9">
        <f t="shared" ref="F203:K203" si="249">-F195</f>
        <v>5036</v>
      </c>
      <c r="G203" s="9">
        <f t="shared" si="249"/>
        <v>3551</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5162</v>
      </c>
      <c r="E205" s="9">
        <f t="shared" si="251"/>
        <v>7612</v>
      </c>
      <c r="F205" s="9">
        <f t="shared" ref="F205:K205" si="252">F175</f>
        <v>8225</v>
      </c>
      <c r="G205" s="9">
        <f t="shared" si="252"/>
        <v>7841</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-10486</v>
      </c>
      <c r="E208" s="9">
        <f t="shared" si="254"/>
        <v>-9720</v>
      </c>
      <c r="F208" s="9">
        <f t="shared" ref="F208:K208" si="255">F201-F203-F204</f>
        <v>-9182</v>
      </c>
      <c r="G208" s="9">
        <f t="shared" si="255"/>
        <v>-5590</v>
      </c>
      <c r="H208" s="9">
        <f t="shared" si="255"/>
        <v>-362925</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952</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Draft budgety plan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111.255</v>
      </c>
      <c r="E8" s="167">
        <f>IF(ISNUMBER(E$6),IF(AND(E$6&gt;=MTP_BaseYear,E$6&lt;=OutturnThrough),'Step 2 - Update outturn data'!F6,INDEX($D$59:$J$59,MATCH(E$6,$D$34:$J$34,0))/100*E$29),"")</f>
        <v>113.87</v>
      </c>
      <c r="F8" s="167">
        <f>IF(ISNUMBER(F$6),IF(AND(F$6&gt;=MTP_BaseYear,F$6&lt;=OutturnThrough),'Step 2 - Update outturn data'!G6,INDEX($D$59:$J$59,MATCH(F$6,$D$34:$J$34,0))/100*F$29),"")</f>
        <v>119.875</v>
      </c>
      <c r="G8" s="167">
        <f>IF(ISNUMBER(G$6),IF(AND(G$6&gt;=MTP_BaseYear,G$6&lt;=OutturnThrough),'Step 2 - Update outturn data'!H6,INDEX($D$59:$J$59,MATCH(G$6,$D$34:$J$34,0))/100*G$29),"")</f>
        <v>131.1565823848</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7.6120000000000001</v>
      </c>
      <c r="E9" s="167">
        <f>IF(ISNUMBER(E$6),IF(AND(E$6&gt;=MTP_BaseYear,E$6&lt;=OutturnThrough),'Step 2 - Update outturn data'!F7,INDEX($D$50:$J$50,MATCH(E$6,$D$34:$J$34,0))/100*E$29),"")</f>
        <v>8.2249999999999996</v>
      </c>
      <c r="F9" s="167">
        <f>IF(ISNUMBER(F$6),IF(AND(F$6&gt;=MTP_BaseYear,F$6&lt;=OutturnThrough),'Step 2 - Update outturn data'!G7,INDEX($D$50:$J$50,MATCH(F$6,$D$34:$J$34,0))/100*F$29),"")</f>
        <v>7.8410000000000002</v>
      </c>
      <c r="G9" s="167">
        <f>IF(ISNUMBER(G$6),IF(AND(G$6&gt;=MTP_BaseYear,G$6&lt;=OutturnThrough),'Step 2 - Update outturn data'!H7,INDEX($D$50:$J$50,MATCH(G$6,$D$34:$J$34,0))/100*G$29),"")</f>
        <v>7.8380427719999997</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0.3</v>
      </c>
      <c r="E10" s="167">
        <f>IF(ISNUMBER(E$6),IF(AND(E$6&gt;=MTP_BaseYear,E$6&lt;=OutturnThrough),'Step 2 - Update outturn data'!F8,INDEX($D$63:$J$63,MATCH(E$6,$D$34:$J$34,0))/100*E$29),"")</f>
        <v>0.1</v>
      </c>
      <c r="F10" s="167">
        <f>IF(ISNUMBER(F$6),IF(AND(F$6&gt;=MTP_BaseYear,F$6&lt;=OutturnThrough),'Step 2 - Update outturn data'!G8,INDEX($D$63:$J$63,MATCH(F$6,$D$34:$J$34,0))/100*F$29),"")</f>
        <v>-0.1</v>
      </c>
      <c r="G10" s="167">
        <f>IF(ISNUMBER(G$6),IF(AND(G$6&gt;=MTP_BaseYear,G$6&lt;=OutturnThrough),'Step 2 - Update outturn data'!H8,INDEX($D$63:$J$63,MATCH(G$6,$D$34:$J$34,0))/100*G$29),"")</f>
        <v>-0.26126809239999998</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5.6639999999999997</v>
      </c>
      <c r="E11" s="167">
        <f>IF(ISNUMBER(E$6),IF(AND(E$6&gt;=MTP_BaseYear,E$6&lt;=OutturnThrough),'Step 2 - Update outturn data'!F9,INDEX($D$60:$J$60,MATCH(E$6,$D$34:$J$34,0))/100*E$29),"")</f>
        <v>5.8730000000000002</v>
      </c>
      <c r="F11" s="167">
        <f>IF(ISNUMBER(F$6),IF(AND(F$6&gt;=MTP_BaseYear,F$6&lt;=OutturnThrough),'Step 2 - Update outturn data'!G9,INDEX($D$60:$J$60,MATCH(F$6,$D$34:$J$34,0))/100*F$29),"")</f>
        <v>8.43</v>
      </c>
      <c r="G11" s="167">
        <f>IF(ISNUMBER(G$6),IF(AND(G$6&gt;=MTP_BaseYear,G$6&lt;=OutturnThrough),'Step 2 - Update outturn data'!H9,INDEX($D$60:$J$60,MATCH(G$6,$D$34:$J$34,0))/100*G$29),"")</f>
        <v>12.5408684352</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0.73899999999999999</v>
      </c>
      <c r="E12" s="167">
        <f>IF(ISNUMBER(E$6),IF(AND(E$6&gt;=MTP_BaseYear,E$6&lt;=OutturnThrough),'Step 2 - Update outturn data'!F10,INDEX($D$62:$J$62,MATCH(E$6,$D$34:$J$34,0))/100*E$29),"")</f>
        <v>0.70499999999999996</v>
      </c>
      <c r="F12" s="167">
        <f>IF(ISNUMBER(F$6),IF(AND(F$6&gt;=MTP_BaseYear,F$6&lt;=OutturnThrough),'Step 2 - Update outturn data'!G10,INDEX($D$62:$J$62,MATCH(F$6,$D$34:$J$34,0))/100*F$29),"")</f>
        <v>0.78</v>
      </c>
      <c r="G12" s="167">
        <f>IF(ISNUMBER(G$6),IF(AND(G$6&gt;=MTP_BaseYear,G$6&lt;=OutturnThrough),'Step 2 - Update outturn data'!H10,INDEX($D$62:$J$62,MATCH(G$6,$D$34:$J$34,0))/100*G$29),"")</f>
        <v>1.3063404620000001</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0.3</v>
      </c>
      <c r="E13" s="167">
        <f>IF(ISNUMBER(E$6),IF(AND(E$6&gt;=MTP_BaseYear,E$6&lt;=OutturnThrough),'Step 2 - Update outturn data'!F11,INDEX($D$64:$J$64,MATCH(E$6,$D$34:$J$34,0))/100*E$29),"")</f>
        <v>0.4</v>
      </c>
      <c r="F13" s="167">
        <f>IF(ISNUMBER(F$6),IF(AND(F$6&gt;=MTP_BaseYear,F$6&lt;=OutturnThrough),'Step 2 - Update outturn data'!G11,INDEX($D$64:$J$64,MATCH(F$6,$D$34:$J$34,0))/100*F$29),"")</f>
        <v>0.4</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96.642539999999997</v>
      </c>
      <c r="E14" s="167">
        <f>IF(ISNUMBER(E$6),IF(AND(E$6&gt;=MTP_BaseYear,E$6&lt;=OutturnThrough),'Step 2 - Update outturn data'!F12,INDEX($D$65:$J$65,MATCH(E$6,$D$34:$J$34,0))/100*E$29),"")</f>
        <v>98.517420000000001</v>
      </c>
      <c r="F14" s="167">
        <f>IF(ISNUMBER(F$6),IF(AND(F$6&gt;=MTP_BaseYear,F$6&lt;=OutturnThrough),'Step 2 - Update outturn data'!G12,INDEX($D$65:$J$65,MATCH(F$6,$D$34:$J$34,0))/100*F$29),"")</f>
        <v>102.40949000000001</v>
      </c>
      <c r="G14" s="167">
        <f>IF(ISNUMBER(G$6),IF(AND(G$6&gt;=MTP_BaseYear,G$6&lt;=OutturnThrough),'Step 2 - Update outturn data'!H12,INDEX($D$65:$J$65,MATCH(G$6,$D$34:$J$34,0))/100*G$29),"")</f>
        <v>109.73259880799999</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2</v>
      </c>
      <c r="F15" s="167">
        <f>IF(ISNUMBER(F$6),IF(AND(F$6&gt;=MTP_BaseYear,F$6&lt;=OutturnThrough),'Step 2 - Update outturn data'!G13,(INDEX($D$45:$J$45,MATCH(F$6,$D$34:$J$34,0))-INDEX($D$46:$J$46,MATCH(F$6,$D$34:$J$34,0)))/100*F$29),"")</f>
        <v>1.1000000000000001</v>
      </c>
      <c r="G15" s="167">
        <f>IF(ISNUMBER(G$6),IF(AND(G$6&gt;=MTP_BaseYear,G$6&lt;=OutturnThrough),'Step 2 - Update outturn data'!H13,(INDEX($D$45:$J$45,MATCH(G$6,$D$34:$J$34,0))-INDEX($D$46:$J$46,MATCH(G$6,$D$34:$J$34,0)))/100*G$29),"")</f>
        <v>-0.52253618479999997</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5.2</v>
      </c>
      <c r="E16" s="167">
        <f>IF(ISNUMBER(E$6),IF(AND(E$6&gt;=MTP_BaseYear,E$6&lt;=OutturnThrough),'Step 2 - Update outturn data'!F14,INDEX($D$87:$J$87,MATCH(E$6,$D$34:$J$34,0))/100*E$29),"")</f>
        <v>5.3</v>
      </c>
      <c r="F16" s="167">
        <f>IF(ISNUMBER(F$6),IF(AND(F$6&gt;=MTP_BaseYear,F$6&lt;=OutturnThrough),'Step 2 - Update outturn data'!G14,INDEX($D$87:$J$87,MATCH(F$6,$D$34:$J$34,0))/100*F$29),"")</f>
        <v>6</v>
      </c>
      <c r="G16" s="167">
        <f>IF(ISNUMBER(G$6),IF(AND(G$6&gt;=MTP_BaseYear,G$6&lt;=OutturnThrough),'Step 2 - Update outturn data'!H14,INDEX($D$87:$J$87,MATCH(G$6,$D$34:$J$34,0))/100*G$29),"")</f>
        <v>6.7929704024000008</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f>IF(ISNUMBER(E$6),IF(AND(E$6&gt;=MTP_BaseYear,E$6&lt;=OutturnThrough),'Step 2 - Update outturn data'!F15,INDEX($D$67:$J$67,MATCH(E$6,$D$34:$J$34,0))),"")</f>
        <v>-0.12946679588512477</v>
      </c>
      <c r="F17" s="167">
        <f>IF(ISNUMBER(F$6),IF(AND(F$6&gt;=MTP_BaseYear,F$6&lt;=OutturnThrough),'Step 2 - Update outturn data'!G15,INDEX($D$67:$J$67,MATCH(F$6,$D$34:$J$34,0))),"")</f>
        <v>2.8340876161799811</v>
      </c>
      <c r="G17" s="167">
        <f>IF(ISNUMBER(G$6),IF(AND(G$6&gt;=MTP_BaseYear,G$6&lt;=OutturnThrough),'Step 2 - Update outturn data'!H15,INDEX($D$67:$J$67,MATCH(G$6,$D$34:$J$34,0))),"")</f>
        <v>7.5</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f>IF(ISNUMBER(E$6),IF(E$6&lt;=MTP_BaseYear,"",IF(ISNUMBER(D18),((1+D18/100)*(1+E17/100)-1)*100,E17)),"")</f>
        <v>-0.12946679588512477</v>
      </c>
      <c r="F18" s="69">
        <f>IF(ISNUMBER(F$6),IF(F$6&lt;=MTP_BaseYear,"",IF(ISNUMBER(E18),((1+E18/100)*(1+F17/100)-1)*100,F17)),"")</f>
        <v>2.7009516178656101</v>
      </c>
      <c r="G18" s="69">
        <f>IF(ISNUMBER(G$6),IF(G$6&lt;=MTP_BaseYear,"",IF(ISNUMBER(F18),((1+F18/100)*(1+G17/100)-1)*100,G17)),"")</f>
        <v>10.403522989205527</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f>IF(ISNUMBER(D$6),IF(AND(D$6&gt;=MTP_BaseYear,D$6&lt;=OutturnThrough),'Step 2 - Update outturn data'!E17,INDEX($D$69:$J$69,MATCH(D$6,$D$34:$J$34,0))),"")</f>
        <v>-1.4299943654750491</v>
      </c>
      <c r="E19" s="167">
        <f>IF(ISNUMBER(E$6),IF(AND(E$6&gt;=MTP_BaseYear,E$6&lt;=OutturnThrough),'Step 2 - Update outturn data'!F17,INDEX($D$69:$J$69,MATCH(E$6,$D$34:$J$34,0))),"")</f>
        <v>1.3470701540957015</v>
      </c>
      <c r="F19" s="167">
        <f>IF(ISNUMBER(F$6),IF(AND(F$6&gt;=MTP_BaseYear,F$6&lt;=OutturnThrough),'Step 2 - Update outturn data'!G17,INDEX($D$69:$J$69,MATCH(F$6,$D$34:$J$34,0))),"")</f>
        <v>1.7273751105781794</v>
      </c>
      <c r="G19" s="167">
        <f>IF(ISNUMBER(G$6),IF(AND(G$6&gt;=MTP_BaseYear,G$6&lt;=OutturnThrough),'Step 2 - Update outturn data'!H17,INDEX($D$69:$J$69,MATCH(G$6,$D$34:$J$34,0))),"")</f>
        <v>0.2</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-1.84205</v>
      </c>
      <c r="E20" s="167">
        <f>IF(ISNUMBER(E$6),IF(AND(E$6&gt;=MTP_BaseYear,E$6&lt;=OutturnThrough),'Step 2 - Update outturn data'!F18,INDEX($D$72:$J$72,MATCH(E$6,$D$34:$J$34,0))),"")</f>
        <v>0.34606999999999999</v>
      </c>
      <c r="F20" s="167">
        <f>IF(ISNUMBER(F$6),IF(AND(F$6&gt;=MTP_BaseYear,F$6&lt;=OutturnThrough),'Step 2 - Update outturn data'!G18,INDEX($D$72:$J$72,MATCH(F$6,$D$34:$J$34,0))),"")</f>
        <v>0.48633999999999999</v>
      </c>
      <c r="G20" s="167">
        <f>IF(ISNUMBER(G$6),IF(AND(G$6&gt;=MTP_BaseYear,G$6&lt;=OutturnThrough),'Step 2 - Update outturn data'!H18,INDEX($D$72:$J$72,MATCH(G$6,$D$34:$J$34,0))),"")</f>
        <v>-1.2</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1.54579</v>
      </c>
      <c r="E21" s="167">
        <f>IF(ISNUMBER(E$6),IF(AND(E$6&gt;=MTP_BaseYear,E$6&lt;=OutturnThrough),'Step 2 - Update outturn data'!F19,INDEX($D$73:$J$73,MATCH(E$6,$D$34:$J$34,0))),"")</f>
        <v>3.8204099999999999</v>
      </c>
      <c r="F21" s="167">
        <f>IF(ISNUMBER(F$6),IF(AND(F$6&gt;=MTP_BaseYear,F$6&lt;=OutturnThrough),'Step 2 - Update outturn data'!G19,INDEX($D$73:$J$73,MATCH(F$6,$D$34:$J$34,0))),"")</f>
        <v>3.6435300000000002</v>
      </c>
      <c r="G21" s="167">
        <f>IF(ISNUMBER(G$6),IF(AND(G$6&gt;=MTP_BaseYear,G$6&lt;=OutturnThrough),'Step 2 - Update outturn data'!H19,INDEX($D$73:$J$73,MATCH(G$6,$D$34:$J$34,0))),"")</f>
        <v>1.8</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f>IF(ISNUMBER(D$6),IF(AND(D$6&gt;=MTP_BaseYear,D$6&lt;=OutturnThrough),'Step 2 - Update outturn data'!E20,INDEX($D$75:$J$75,MATCH(D$6,$D$34:$J$34,0))),"")</f>
        <v>164.27800194226435</v>
      </c>
      <c r="E22" s="167">
        <f>IF(ISNUMBER(E$6),IF(AND(E$6&gt;=MTP_BaseYear,E$6&lt;=OutturnThrough),'Step 2 - Update outturn data'!F20,INDEX($D$75:$J$75,MATCH(E$6,$D$34:$J$34,0))),"")</f>
        <v>154.16497702081645</v>
      </c>
      <c r="F22" s="167">
        <f>IF(ISNUMBER(F$6),IF(AND(F$6&gt;=MTP_BaseYear,F$6&lt;=OutturnThrough),'Step 2 - Update outturn data'!G20,INDEX($D$75:$J$75,MATCH(F$6,$D$34:$J$34,0))),"")</f>
        <v>146.13231049104562</v>
      </c>
      <c r="G22" s="167">
        <f>IF(ISNUMBER(G$6),IF(AND(G$6&gt;=MTP_BaseYear,G$6&lt;=OutturnThrough),'Step 2 - Update outturn data'!H20,INDEX($D$75:$J$75,MATCH(G$6,$D$34:$J$34,0))),"")</f>
        <v>136.80000000000001</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f>IF(ISNUMBER(D$6),IF(AND(D$6&gt;=MTP_BaseYear,D$6&lt;=OutturnThrough),'Step 2 - Update outturn data'!E21,INDEX($D$76:$J$76,MATCH(D$6,$D$34:$J$34,0))),"")</f>
        <v>0.4917970039993555</v>
      </c>
      <c r="E23" s="167">
        <f>IF(ISNUMBER(E$6),IF(AND(E$6&gt;=MTP_BaseYear,E$6&lt;=OutturnThrough),'Step 2 - Update outturn data'!F21,INDEX($D$76:$J$76,MATCH(E$6,$D$34:$J$34,0))),"")</f>
        <v>-1.7513179237631793</v>
      </c>
      <c r="F23" s="167">
        <f>IF(ISNUMBER(F$6),IF(AND(F$6&gt;=MTP_BaseYear,F$6&lt;=OutturnThrough),'Step 2 - Update outturn data'!G21,INDEX($D$76:$J$76,MATCH(F$6,$D$34:$J$34,0))),"")</f>
        <v>-0.82100649195079434</v>
      </c>
      <c r="G23" s="167">
        <f>IF(ISNUMBER(G$6),IF(AND(G$6&gt;=MTP_BaseYear,G$6&lt;=OutturnThrough),'Step 2 - Update outturn data'!H21,INDEX($D$76:$J$76,MATCH(G$6,$D$34:$J$34,0))),"")</f>
        <v>-9.3000000000000007</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f>IF(ISNUMBER(D$6),IF(AND(D$6&gt;=MTP_BaseYear,D$6&lt;=OutturnThrough),'Step 2 - Update outturn data'!E22,INDEX($D$94:$J$94,MATCH(D$6,$D$92:$J$92,0))),"")</f>
        <v>2.1358911863197383</v>
      </c>
      <c r="E24" s="167">
        <f>IF(ISNUMBER(E$6),IF(AND(E$6&gt;=MTP_BaseYear,E$6&lt;=OutturnThrough),'Step 2 - Update outturn data'!F22,INDEX($D$94:$J$94,MATCH(E$6,$D$92:$J$92,0))),"")</f>
        <v>2.0865774054565467</v>
      </c>
      <c r="F24" s="167">
        <f>IF(ISNUMBER(F$6),IF(AND(F$6&gt;=MTP_BaseYear,F$6&lt;=OutturnThrough),'Step 2 - Update outturn data'!G22,INDEX($D$94:$J$94,MATCH(F$6,$D$92:$J$92,0))),"")</f>
        <v>2.0730652469252542</v>
      </c>
      <c r="G24" s="167">
        <f>IF(ISNUMBER(G$6),IF(AND(G$6&gt;=MTP_BaseYear,G$6&lt;=OutturnThrough),'Step 2 - Update outturn data'!H22,INDEX($D$94:$J$94,MATCH(G$6,$D$92:$J$92,0))),"")</f>
        <v>2</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f>IF(ISNUMBER(D$6),IF(AND(D$6&gt;=MTP_BaseYear,D$6&lt;=OutturnThrough),'Step 2 - Update outturn data'!E23,INDEX($D$95:$J$95,MATCH(D$6,$D$92:$J$92,0))),"")</f>
        <v>6.2696911980743009</v>
      </c>
      <c r="E25" s="167">
        <f>IF(ISNUMBER(E$6),IF(AND(E$6&gt;=MTP_BaseYear,E$6&lt;=OutturnThrough),'Step 2 - Update outturn data'!F23,INDEX($D$95:$J$95,MATCH(E$6,$D$92:$J$92,0))),"")</f>
        <v>3.2094021239268633</v>
      </c>
      <c r="F25" s="167">
        <f>IF(ISNUMBER(F$6),IF(AND(F$6&gt;=MTP_BaseYear,F$6&lt;=OutturnThrough),'Step 2 - Update outturn data'!G23,INDEX($D$95:$J$95,MATCH(F$6,$D$92:$J$92,0))),"")</f>
        <v>2.7768191292891542</v>
      </c>
      <c r="G25" s="167">
        <f>IF(ISNUMBER(G$6),IF(AND(G$6&gt;=MTP_BaseYear,G$6&lt;=OutturnThrough),'Step 2 - Update outturn data'!H23,INDEX($D$95:$J$95,MATCH(G$6,$D$92:$J$92,0))),"")</f>
        <v>3.2</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f>IF(ISNUMBER(D$6),IF(AND(D$6&gt;=MTP_BaseYear,D$6&lt;=OutturnThrough),'Step 2 - Update outturn data'!E24,INDEX($D$96:$J$96,MATCH(D$6,$D$92:$J$92,0))),"")</f>
        <v>8.5394961661031665</v>
      </c>
      <c r="E26" s="167">
        <f>IF(ISNUMBER(E$6),IF(AND(E$6&gt;=MTP_BaseYear,E$6&lt;=OutturnThrough),'Step 2 - Update outturn data'!F24,INDEX($D$96:$J$96,MATCH(E$6,$D$92:$J$92,0))),"")</f>
        <v>5.3629461889515229</v>
      </c>
      <c r="F26" s="167">
        <f>IF(ISNUMBER(F$6),IF(AND(F$6&gt;=MTP_BaseYear,F$6&lt;=OutturnThrough),'Step 2 - Update outturn data'!G24,INDEX($D$96:$J$96,MATCH(F$6,$D$92:$J$92,0))),"")</f>
        <v>4.9074496485536745</v>
      </c>
      <c r="G26" s="167">
        <f>IF(ISNUMBER(G$6),IF(AND(G$6&gt;=MTP_BaseYear,G$6&lt;=OutturnThrough),'Step 2 - Update outturn data'!H24,INDEX($D$96:$J$96,MATCH(G$6,$D$92:$J$92,0))),"")</f>
        <v>5.2</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f>IF(ISNUMBER(D$6),IF(AND(D$6&gt;=MTP_BaseYear,D$6&lt;=OutturnThrough),'Step 2 - Update outturn data'!E25,INDEX($D$125:$J$125,MATCH(D$6,$D$92:$J$92,0))),"")</f>
        <v>0.41214777352651666</v>
      </c>
      <c r="E27" s="167">
        <f>IF(ISNUMBER(E$6),IF(AND(E$6&gt;=MTP_BaseYear,E$6&lt;=OutturnThrough),'Step 2 - Update outturn data'!F25,INDEX($D$125:$J$125,MATCH(E$6,$D$92:$J$92,0))),"")</f>
        <v>0.89840122569280201</v>
      </c>
      <c r="F27" s="167">
        <f>IF(ISNUMBER(F$6),IF(AND(F$6&gt;=MTP_BaseYear,F$6&lt;=OutturnThrough),'Step 2 - Update outturn data'!G25,INDEX($D$125:$J$125,MATCH(F$6,$D$92:$J$92,0))),"")</f>
        <v>1.6052979221115482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f>IF(ISNUMBER(D$6),IF(AND(D$6&gt;=MTP_BaseYear,D$6&lt;=OutturnThrough),'Step 2 - Update outturn data'!E26,INDEX($D$131:$J$131,MATCH(D$6,$D$92:$J$92,0))),"")</f>
        <v>1.0428730339908876</v>
      </c>
      <c r="E28" s="167">
        <f>IF(ISNUMBER(E$6),IF(AND(E$6&gt;=MTP_BaseYear,E$6&lt;=OutturnThrough),'Step 2 - Update outturn data'!F26,INDEX($D$131:$J$131,MATCH(E$6,$D$92:$J$92,0))),"")</f>
        <v>2.2327473732196124</v>
      </c>
      <c r="F28" s="167">
        <f>IF(ISNUMBER(F$6),IF(AND(F$6&gt;=MTP_BaseYear,F$6&lt;=OutturnThrough),'Step 2 - Update outturn data'!G26,INDEX($D$131:$J$131,MATCH(F$6,$D$92:$J$92,0))),"")</f>
        <v>2.7034073702548067</v>
      </c>
      <c r="G28" s="167">
        <f>IF(ISNUMBER(G$6),IF(AND(G$6&gt;=MTP_BaseYear,G$6&lt;=OutturnThrough),'Step 2 - Update outturn data'!H26,INDEX($D$131:$J$131,MATCH(G$6,$D$92:$J$92,0))),"")</f>
        <v>2.7</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224.68620000000001</v>
      </c>
      <c r="E29" s="278">
        <f>IF(ISNUMBER(E$6),IF(AND(E$6&gt;=MTP_BaseYear,E$6&lt;=OutturnThrough),'Step 2 - Update outturn data'!F27,D29*(1+INDEX($D$96:$J$96,MATCH(E$6,$D$92:$J$92,0))/100)),"")</f>
        <v>236.73599999999999</v>
      </c>
      <c r="F29" s="278">
        <f>IF(ISNUMBER(F$6),IF(AND(F$6&gt;=MTP_BaseYear,F$6&lt;=OutturnThrough),'Step 2 - Update outturn data'!G27,E29*(1+INDEX($D$96:$J$96,MATCH(F$6,$D$92:$J$92,0))/100)),"")</f>
        <v>248.3537</v>
      </c>
      <c r="G29" s="278">
        <f>IF(ISNUMBER(G$6),IF(AND(G$6&gt;=MTP_BaseYear,G$6&lt;=OutturnThrough),'Step 2 - Update outturn data'!H27,F29*(1+INDEX($D$96:$J$96,MATCH(G$6,$D$92:$J$92,0))/100)),"")</f>
        <v>261.2680924</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v>38.4</v>
      </c>
      <c r="E36" s="4">
        <v>17.100000000000001</v>
      </c>
      <c r="F36" s="4">
        <v>17</v>
      </c>
      <c r="G36" s="4">
        <v>17.2</v>
      </c>
      <c r="H36" s="4">
        <v>17.2</v>
      </c>
      <c r="I36" s="4"/>
      <c r="J36" s="4"/>
    </row>
    <row r="37" spans="1:11" x14ac:dyDescent="0.4">
      <c r="A37" s="212">
        <v>2</v>
      </c>
      <c r="B37" s="242" t="s">
        <v>33</v>
      </c>
      <c r="C37" s="242" t="s">
        <v>73</v>
      </c>
      <c r="D37" s="4">
        <v>22.8</v>
      </c>
      <c r="E37" s="4">
        <v>10.1</v>
      </c>
      <c r="F37" s="4">
        <v>11.2</v>
      </c>
      <c r="G37" s="4">
        <v>11.1</v>
      </c>
      <c r="H37" s="4">
        <v>10.8</v>
      </c>
      <c r="I37" s="4"/>
      <c r="J37" s="4"/>
    </row>
    <row r="38" spans="1:11" x14ac:dyDescent="0.4">
      <c r="A38" s="212">
        <v>3</v>
      </c>
      <c r="B38" s="242" t="s">
        <v>34</v>
      </c>
      <c r="C38" s="242" t="s">
        <v>74</v>
      </c>
      <c r="D38" s="4">
        <v>29.2</v>
      </c>
      <c r="E38" s="4">
        <v>13</v>
      </c>
      <c r="F38" s="4">
        <v>13.3</v>
      </c>
      <c r="G38" s="4">
        <v>13.1</v>
      </c>
      <c r="H38" s="4">
        <v>12.8</v>
      </c>
      <c r="I38" s="4"/>
      <c r="J38" s="4"/>
    </row>
    <row r="39" spans="1:11" x14ac:dyDescent="0.4">
      <c r="A39" s="212">
        <v>4</v>
      </c>
      <c r="B39" s="242" t="s">
        <v>36</v>
      </c>
      <c r="C39" s="242" t="s">
        <v>75</v>
      </c>
      <c r="D39" s="4">
        <v>11.9</v>
      </c>
      <c r="E39" s="4">
        <v>5.3</v>
      </c>
      <c r="F39" s="4">
        <v>5.5</v>
      </c>
      <c r="G39" s="4">
        <v>5.3</v>
      </c>
      <c r="H39" s="4">
        <v>5.3</v>
      </c>
      <c r="I39" s="4"/>
      <c r="J39" s="4"/>
    </row>
    <row r="40" spans="1:11" x14ac:dyDescent="0.4">
      <c r="A40" s="212">
        <v>5</v>
      </c>
      <c r="B40" s="242" t="s">
        <v>37</v>
      </c>
      <c r="C40" s="242" t="s">
        <v>76</v>
      </c>
      <c r="D40" s="4">
        <v>0.3</v>
      </c>
      <c r="E40" s="4">
        <v>0.1</v>
      </c>
      <c r="F40" s="4">
        <v>0.1</v>
      </c>
      <c r="G40" s="4">
        <v>0.1</v>
      </c>
      <c r="H40" s="4">
        <v>0.1</v>
      </c>
      <c r="I40" s="4"/>
      <c r="J40" s="4"/>
    </row>
    <row r="41" spans="1:11" x14ac:dyDescent="0.4">
      <c r="A41" s="212">
        <v>6</v>
      </c>
      <c r="B41" s="242" t="s">
        <v>38</v>
      </c>
      <c r="C41" s="242" t="s">
        <v>77</v>
      </c>
      <c r="D41" s="4">
        <v>5.4</v>
      </c>
      <c r="E41" s="4">
        <v>2.4</v>
      </c>
      <c r="F41" s="4">
        <v>2.4</v>
      </c>
      <c r="G41" s="4">
        <v>3.3</v>
      </c>
      <c r="H41" s="4">
        <v>4.2</v>
      </c>
      <c r="I41" s="4"/>
      <c r="J41" s="4"/>
    </row>
    <row r="42" spans="1:11" x14ac:dyDescent="0.4">
      <c r="A42" s="212">
        <v>7</v>
      </c>
      <c r="B42" s="242" t="s">
        <v>39</v>
      </c>
      <c r="C42" s="242" t="s">
        <v>78</v>
      </c>
      <c r="D42" s="242">
        <v>108</v>
      </c>
      <c r="E42" s="242">
        <v>48.1</v>
      </c>
      <c r="F42" s="242">
        <v>49.4</v>
      </c>
      <c r="G42" s="242">
        <v>50</v>
      </c>
      <c r="H42" s="242">
        <v>50.4</v>
      </c>
      <c r="I42" s="242"/>
      <c r="J42" s="242"/>
    </row>
    <row r="43" spans="1:11" x14ac:dyDescent="0.4">
      <c r="A43" s="212">
        <v>8</v>
      </c>
      <c r="B43" s="242" t="s">
        <v>40</v>
      </c>
      <c r="C43" s="242" t="s">
        <v>79</v>
      </c>
      <c r="D43" s="4">
        <v>5.7</v>
      </c>
      <c r="E43" s="4">
        <v>2.5</v>
      </c>
      <c r="F43" s="4">
        <v>2.5</v>
      </c>
      <c r="G43" s="4">
        <v>3.4</v>
      </c>
      <c r="H43" s="4">
        <v>4.8</v>
      </c>
      <c r="I43" s="4"/>
      <c r="J43" s="4"/>
    </row>
    <row r="44" spans="1:11" x14ac:dyDescent="0.4">
      <c r="A44" s="212">
        <v>9</v>
      </c>
      <c r="B44" s="242" t="s">
        <v>41</v>
      </c>
      <c r="C44" s="242"/>
      <c r="D44" s="242">
        <v>102.4</v>
      </c>
      <c r="E44" s="242">
        <v>45.6</v>
      </c>
      <c r="F44" s="242">
        <v>47</v>
      </c>
      <c r="G44" s="242">
        <v>46.6</v>
      </c>
      <c r="H44" s="242">
        <v>45.6</v>
      </c>
      <c r="I44" s="242"/>
      <c r="J44" s="242"/>
    </row>
    <row r="45" spans="1:11" x14ac:dyDescent="0.4">
      <c r="A45" s="212">
        <v>10</v>
      </c>
      <c r="B45" s="242" t="s">
        <v>42</v>
      </c>
      <c r="C45" s="242"/>
      <c r="D45" s="4">
        <v>-4</v>
      </c>
      <c r="E45" s="4">
        <v>-1.8</v>
      </c>
      <c r="F45" s="4">
        <v>0.8</v>
      </c>
      <c r="G45" s="4">
        <v>0.4</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v>23.5</v>
      </c>
      <c r="E48" s="4">
        <v>10.5</v>
      </c>
      <c r="F48" s="4">
        <v>10.4</v>
      </c>
      <c r="G48" s="4">
        <v>10.199999999999999</v>
      </c>
      <c r="H48" s="4">
        <v>10.1</v>
      </c>
      <c r="I48" s="4"/>
      <c r="J48" s="4"/>
    </row>
    <row r="49" spans="1:10" x14ac:dyDescent="0.4">
      <c r="A49" s="212">
        <v>13</v>
      </c>
      <c r="B49" s="225" t="s">
        <v>45</v>
      </c>
      <c r="C49" s="225" t="s">
        <v>80</v>
      </c>
      <c r="D49" s="4">
        <v>12.4</v>
      </c>
      <c r="E49" s="4">
        <v>5.5</v>
      </c>
      <c r="F49" s="4">
        <v>5.2</v>
      </c>
      <c r="G49" s="4">
        <v>5.7</v>
      </c>
      <c r="H49" s="4">
        <v>5.9</v>
      </c>
      <c r="I49" s="4"/>
      <c r="J49" s="4"/>
    </row>
    <row r="50" spans="1:10" x14ac:dyDescent="0.4">
      <c r="A50" s="212">
        <v>14</v>
      </c>
      <c r="B50" s="225" t="s">
        <v>46</v>
      </c>
      <c r="C50" s="225" t="s">
        <v>28</v>
      </c>
      <c r="D50" s="4">
        <v>7.6</v>
      </c>
      <c r="E50" s="4">
        <v>3.4</v>
      </c>
      <c r="F50" s="4">
        <v>3.5</v>
      </c>
      <c r="G50" s="4">
        <v>3.2</v>
      </c>
      <c r="H50" s="4">
        <v>3</v>
      </c>
      <c r="I50" s="4"/>
      <c r="J50" s="4"/>
    </row>
    <row r="51" spans="1:10" x14ac:dyDescent="0.4">
      <c r="A51" s="212">
        <v>15</v>
      </c>
      <c r="B51" s="225" t="s">
        <v>47</v>
      </c>
      <c r="C51" s="225" t="s">
        <v>81</v>
      </c>
      <c r="D51" s="4">
        <v>38.799999999999997</v>
      </c>
      <c r="E51" s="4">
        <v>17.3</v>
      </c>
      <c r="F51" s="4">
        <v>16.7</v>
      </c>
      <c r="G51" s="4">
        <v>16.399999999999999</v>
      </c>
      <c r="H51" s="4">
        <v>16.8</v>
      </c>
      <c r="I51" s="4"/>
      <c r="J51" s="4"/>
    </row>
    <row r="52" spans="1:10" x14ac:dyDescent="0.4">
      <c r="A52" s="212">
        <v>16</v>
      </c>
      <c r="B52" s="225" t="s">
        <v>48</v>
      </c>
      <c r="C52" s="225" t="s">
        <v>82</v>
      </c>
      <c r="D52" s="4">
        <v>7.1</v>
      </c>
      <c r="E52" s="4">
        <v>3.2</v>
      </c>
      <c r="F52" s="4">
        <v>2.8</v>
      </c>
      <c r="G52" s="4">
        <v>2.8</v>
      </c>
      <c r="H52" s="4">
        <v>2.5</v>
      </c>
      <c r="I52" s="4"/>
      <c r="J52" s="4"/>
    </row>
    <row r="53" spans="1:10" x14ac:dyDescent="0.4">
      <c r="A53" s="212">
        <v>17</v>
      </c>
      <c r="B53" s="225" t="s">
        <v>49</v>
      </c>
      <c r="C53" s="225" t="s">
        <v>83</v>
      </c>
      <c r="D53" s="4">
        <v>4.5</v>
      </c>
      <c r="E53" s="4">
        <v>2</v>
      </c>
      <c r="F53" s="4">
        <v>1.4</v>
      </c>
      <c r="G53" s="4">
        <v>1.3</v>
      </c>
      <c r="H53" s="4">
        <v>1.2</v>
      </c>
      <c r="I53" s="4"/>
      <c r="J53" s="4"/>
    </row>
    <row r="54" spans="1:10" x14ac:dyDescent="0.4">
      <c r="A54" s="212">
        <v>18</v>
      </c>
      <c r="B54" s="225" t="s">
        <v>50</v>
      </c>
      <c r="C54" s="225" t="s">
        <v>84</v>
      </c>
      <c r="D54" s="4">
        <v>3.1</v>
      </c>
      <c r="E54" s="4">
        <v>1.4</v>
      </c>
      <c r="F54" s="4">
        <v>1.5</v>
      </c>
      <c r="G54" s="4">
        <v>1.5</v>
      </c>
      <c r="H54" s="4">
        <v>1.9</v>
      </c>
      <c r="I54" s="4"/>
      <c r="J54" s="4"/>
    </row>
    <row r="55" spans="1:10" x14ac:dyDescent="0.4">
      <c r="A55" s="212">
        <v>19</v>
      </c>
      <c r="B55" s="225" t="s">
        <v>10</v>
      </c>
      <c r="C55" s="225" t="s">
        <v>4</v>
      </c>
      <c r="D55" s="4">
        <v>9.1</v>
      </c>
      <c r="E55" s="4">
        <v>4</v>
      </c>
      <c r="F55" s="4">
        <v>4.3</v>
      </c>
      <c r="G55" s="4">
        <v>4.8</v>
      </c>
      <c r="H55" s="4">
        <v>6.6</v>
      </c>
      <c r="I55" s="4"/>
      <c r="J55" s="4"/>
    </row>
    <row r="56" spans="1:10" x14ac:dyDescent="0.4">
      <c r="A56" s="212">
        <v>20</v>
      </c>
      <c r="B56" s="225" t="s">
        <v>51</v>
      </c>
      <c r="C56" s="225"/>
      <c r="D56" s="4">
        <v>5.6</v>
      </c>
      <c r="E56" s="4">
        <v>2.5</v>
      </c>
      <c r="F56" s="4">
        <v>2.8</v>
      </c>
      <c r="G56" s="4">
        <v>2.9</v>
      </c>
      <c r="H56" s="4">
        <v>2.8</v>
      </c>
      <c r="I56" s="4"/>
      <c r="J56" s="4"/>
    </row>
    <row r="57" spans="1:10" x14ac:dyDescent="0.4">
      <c r="A57" s="212">
        <v>21</v>
      </c>
      <c r="B57" s="225" t="s">
        <v>52</v>
      </c>
      <c r="C57" s="225" t="s">
        <v>85</v>
      </c>
      <c r="D57" s="4">
        <v>5.3</v>
      </c>
      <c r="E57" s="4">
        <v>2.2999999999999998</v>
      </c>
      <c r="F57" s="4">
        <v>2.2999999999999998</v>
      </c>
      <c r="G57" s="4">
        <v>2.5</v>
      </c>
      <c r="H57" s="4">
        <v>2</v>
      </c>
      <c r="I57" s="4"/>
      <c r="J57" s="4"/>
    </row>
    <row r="58" spans="1:10" x14ac:dyDescent="0.4">
      <c r="A58" s="212">
        <v>22</v>
      </c>
      <c r="B58" s="225" t="s">
        <v>53</v>
      </c>
      <c r="C58" s="225" t="s">
        <v>86</v>
      </c>
      <c r="D58" s="4">
        <v>-0.1</v>
      </c>
      <c r="E58" s="4">
        <v>0</v>
      </c>
      <c r="F58" s="4">
        <v>0</v>
      </c>
      <c r="G58" s="4">
        <v>0</v>
      </c>
      <c r="H58" s="4">
        <v>0</v>
      </c>
      <c r="I58" s="4"/>
      <c r="J58" s="4"/>
    </row>
    <row r="59" spans="1:10" x14ac:dyDescent="0.4">
      <c r="A59" s="212">
        <v>23</v>
      </c>
      <c r="B59" s="225" t="s">
        <v>54</v>
      </c>
      <c r="C59" s="225" t="s">
        <v>87</v>
      </c>
      <c r="D59" s="242">
        <v>111.3</v>
      </c>
      <c r="E59" s="242">
        <v>49.5</v>
      </c>
      <c r="F59" s="242">
        <v>48.1</v>
      </c>
      <c r="G59" s="242">
        <v>48.3</v>
      </c>
      <c r="H59" s="242">
        <v>50.2</v>
      </c>
      <c r="I59" s="242"/>
      <c r="J59" s="242"/>
    </row>
    <row r="60" spans="1:10" x14ac:dyDescent="0.4">
      <c r="A60" s="212">
        <v>24</v>
      </c>
      <c r="B60" s="225" t="s">
        <v>55</v>
      </c>
      <c r="C60" s="225" t="s">
        <v>79</v>
      </c>
      <c r="D60" s="4">
        <v>5.7</v>
      </c>
      <c r="E60" s="4">
        <v>2.5</v>
      </c>
      <c r="F60" s="4">
        <v>2.5</v>
      </c>
      <c r="G60" s="4">
        <v>3.4</v>
      </c>
      <c r="H60" s="4">
        <v>4.8</v>
      </c>
      <c r="I60" s="4"/>
      <c r="J60" s="4"/>
    </row>
    <row r="61" spans="1:10" x14ac:dyDescent="0.4">
      <c r="A61" s="212">
        <v>25</v>
      </c>
      <c r="B61" s="225" t="s">
        <v>56</v>
      </c>
      <c r="C61" s="225"/>
      <c r="D61" s="242">
        <v>105.6</v>
      </c>
      <c r="E61" s="242">
        <v>47</v>
      </c>
      <c r="F61" s="242">
        <v>45.6</v>
      </c>
      <c r="G61" s="242">
        <v>44.9</v>
      </c>
      <c r="H61" s="242">
        <v>45.4</v>
      </c>
      <c r="I61" s="242"/>
      <c r="J61" s="242"/>
    </row>
    <row r="62" spans="1:10" x14ac:dyDescent="0.4">
      <c r="A62" s="212">
        <v>26</v>
      </c>
      <c r="B62" s="225" t="s">
        <v>751</v>
      </c>
      <c r="C62" s="225"/>
      <c r="D62" s="4">
        <v>0.7</v>
      </c>
      <c r="E62" s="4">
        <v>0.3</v>
      </c>
      <c r="F62" s="4">
        <v>0.3</v>
      </c>
      <c r="G62" s="4">
        <v>0.3</v>
      </c>
      <c r="H62" s="4">
        <v>0.5</v>
      </c>
      <c r="I62" s="4"/>
      <c r="J62" s="4"/>
    </row>
    <row r="63" spans="1:10" x14ac:dyDescent="0.4">
      <c r="A63" s="212">
        <v>27</v>
      </c>
      <c r="B63" s="225" t="s">
        <v>57</v>
      </c>
      <c r="C63" s="225"/>
      <c r="D63" s="4">
        <v>0.3</v>
      </c>
      <c r="E63" s="4">
        <v>0.1</v>
      </c>
      <c r="F63" s="4">
        <v>0.1</v>
      </c>
      <c r="G63" s="4">
        <v>0</v>
      </c>
      <c r="H63" s="4">
        <v>-0.1</v>
      </c>
      <c r="I63" s="4"/>
      <c r="J63" s="4"/>
    </row>
    <row r="64" spans="1:10" x14ac:dyDescent="0.4">
      <c r="A64" s="212">
        <v>28</v>
      </c>
      <c r="B64" s="225" t="s">
        <v>58</v>
      </c>
      <c r="C64" s="225"/>
      <c r="D64" s="4">
        <v>0.3</v>
      </c>
      <c r="E64" s="4">
        <v>0.1</v>
      </c>
      <c r="F64" s="4">
        <v>0.2</v>
      </c>
      <c r="G64" s="4">
        <v>0.2</v>
      </c>
      <c r="H64" s="4">
        <v>0</v>
      </c>
      <c r="I64" s="4"/>
      <c r="J64" s="4"/>
    </row>
    <row r="65" spans="1:11" x14ac:dyDescent="0.4">
      <c r="A65" s="212">
        <v>29</v>
      </c>
      <c r="B65" s="225" t="s">
        <v>59</v>
      </c>
      <c r="C65" s="225"/>
      <c r="D65" s="242">
        <v>96.7</v>
      </c>
      <c r="E65" s="242">
        <v>43</v>
      </c>
      <c r="F65" s="242">
        <v>41.6</v>
      </c>
      <c r="G65" s="242">
        <v>41.3</v>
      </c>
      <c r="H65" s="242">
        <v>42</v>
      </c>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v>-0.1</v>
      </c>
      <c r="G67" s="4">
        <v>2.9</v>
      </c>
      <c r="H67" s="4">
        <v>7.5</v>
      </c>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v>-3.2</v>
      </c>
      <c r="E69" s="4">
        <v>-1.4</v>
      </c>
      <c r="F69" s="4">
        <v>1.3</v>
      </c>
      <c r="G69" s="4">
        <v>1.7</v>
      </c>
      <c r="H69" s="4">
        <v>0.2</v>
      </c>
      <c r="I69" s="4"/>
      <c r="J69" s="4"/>
    </row>
    <row r="70" spans="1:11" x14ac:dyDescent="0.4">
      <c r="A70" s="212">
        <v>32</v>
      </c>
      <c r="B70" s="225" t="s">
        <v>62</v>
      </c>
      <c r="C70" s="225" t="s">
        <v>88</v>
      </c>
      <c r="D70" s="4">
        <v>4.4000000000000004</v>
      </c>
      <c r="E70" s="4">
        <v>2</v>
      </c>
      <c r="F70" s="4">
        <v>4.8</v>
      </c>
      <c r="G70" s="4">
        <v>4.9000000000000004</v>
      </c>
      <c r="H70" s="4">
        <v>3.2</v>
      </c>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v>-1.8</v>
      </c>
      <c r="F72" s="4">
        <v>0.5</v>
      </c>
      <c r="G72" s="4">
        <v>0.5</v>
      </c>
      <c r="H72" s="4">
        <v>-1.2</v>
      </c>
      <c r="I72" s="4"/>
      <c r="J72" s="4"/>
    </row>
    <row r="73" spans="1:11" ht="14.25" x14ac:dyDescent="0.45">
      <c r="A73" s="212">
        <v>34</v>
      </c>
      <c r="B73" s="225" t="s">
        <v>3</v>
      </c>
      <c r="C73" s="225"/>
      <c r="D73" s="244"/>
      <c r="E73" s="4">
        <v>1.6</v>
      </c>
      <c r="F73" s="4">
        <v>3.9</v>
      </c>
      <c r="G73" s="4">
        <v>3.7</v>
      </c>
      <c r="H73" s="4">
        <v>1.8</v>
      </c>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v>369.1</v>
      </c>
      <c r="E75" s="4">
        <v>164.3</v>
      </c>
      <c r="F75" s="4">
        <v>154.19999999999999</v>
      </c>
      <c r="G75" s="4">
        <v>146.1</v>
      </c>
      <c r="H75" s="4">
        <v>136.80000000000001</v>
      </c>
      <c r="I75" s="4"/>
      <c r="J75" s="4"/>
    </row>
    <row r="76" spans="1:11" x14ac:dyDescent="0.4">
      <c r="A76" s="212">
        <v>36</v>
      </c>
      <c r="B76" s="225" t="s">
        <v>2</v>
      </c>
      <c r="C76" s="225"/>
      <c r="D76" s="4">
        <v>1.1000000000000001</v>
      </c>
      <c r="E76" s="4">
        <v>-13.5</v>
      </c>
      <c r="F76" s="4">
        <v>-10.1</v>
      </c>
      <c r="G76" s="4">
        <v>-8</v>
      </c>
      <c r="H76" s="4">
        <v>-9.3000000000000007</v>
      </c>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v>-2</v>
      </c>
      <c r="F78" s="4">
        <v>-4.8</v>
      </c>
      <c r="G78" s="4">
        <v>-4.9000000000000004</v>
      </c>
      <c r="H78" s="4">
        <v>-3.2</v>
      </c>
      <c r="I78" s="4"/>
      <c r="J78" s="4"/>
    </row>
    <row r="79" spans="1:11" ht="14.25" x14ac:dyDescent="0.45">
      <c r="A79" s="212">
        <v>39</v>
      </c>
      <c r="B79" s="240" t="s">
        <v>754</v>
      </c>
      <c r="C79" s="225"/>
      <c r="D79" s="244"/>
      <c r="E79" s="4">
        <v>-10.6</v>
      </c>
      <c r="F79" s="4">
        <v>-4.9000000000000004</v>
      </c>
      <c r="G79" s="4">
        <v>-4.0999999999999996</v>
      </c>
      <c r="H79" s="4">
        <v>-4.2</v>
      </c>
      <c r="I79" s="4"/>
      <c r="J79" s="4"/>
    </row>
    <row r="80" spans="1:11" ht="14.25" x14ac:dyDescent="0.45">
      <c r="A80" s="212">
        <v>40</v>
      </c>
      <c r="B80" s="241" t="s">
        <v>755</v>
      </c>
      <c r="C80" s="225"/>
      <c r="D80" s="244"/>
      <c r="E80" s="4">
        <v>3.4</v>
      </c>
      <c r="F80" s="4">
        <v>3.5</v>
      </c>
      <c r="G80" s="4">
        <v>3.2</v>
      </c>
      <c r="H80" s="4">
        <v>3</v>
      </c>
      <c r="I80" s="4"/>
      <c r="J80" s="4"/>
    </row>
    <row r="81" spans="1:11" ht="14.25" x14ac:dyDescent="0.45">
      <c r="A81" s="212">
        <v>41</v>
      </c>
      <c r="B81" s="241" t="s">
        <v>756</v>
      </c>
      <c r="C81" s="225"/>
      <c r="D81" s="244"/>
      <c r="E81" s="4">
        <v>-3.4</v>
      </c>
      <c r="F81" s="4">
        <v>-3.3</v>
      </c>
      <c r="G81" s="4">
        <v>-3.1</v>
      </c>
      <c r="H81" s="4">
        <v>-2.7</v>
      </c>
      <c r="I81" s="4"/>
      <c r="J81" s="4"/>
    </row>
    <row r="82" spans="1:11" ht="14.25" x14ac:dyDescent="0.45">
      <c r="A82" s="212">
        <v>42</v>
      </c>
      <c r="B82" s="241" t="s">
        <v>757</v>
      </c>
      <c r="C82" s="225"/>
      <c r="D82" s="244"/>
      <c r="E82" s="4">
        <v>-10.5</v>
      </c>
      <c r="F82" s="4">
        <v>-5.0999999999999996</v>
      </c>
      <c r="G82" s="4">
        <v>-4.2</v>
      </c>
      <c r="H82" s="4">
        <v>-4.5</v>
      </c>
      <c r="I82" s="4"/>
      <c r="J82" s="4"/>
    </row>
    <row r="83" spans="1:11" ht="14.25" x14ac:dyDescent="0.45">
      <c r="A83" s="212">
        <v>43</v>
      </c>
      <c r="B83" s="240" t="s">
        <v>758</v>
      </c>
      <c r="C83" s="225"/>
      <c r="D83" s="244"/>
      <c r="E83" s="4">
        <v>-1</v>
      </c>
      <c r="F83" s="4">
        <v>-0.4</v>
      </c>
      <c r="G83" s="4">
        <v>1</v>
      </c>
      <c r="H83" s="4">
        <v>-1.8</v>
      </c>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v>2.1</v>
      </c>
      <c r="F85" s="4">
        <v>2.2000000000000002</v>
      </c>
      <c r="G85" s="4">
        <v>2.1</v>
      </c>
      <c r="H85" s="4">
        <v>2.2000000000000002</v>
      </c>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v>5.0999999999999996</v>
      </c>
      <c r="E87" s="4">
        <v>2.2999999999999998</v>
      </c>
      <c r="F87" s="4">
        <v>2.2000000000000002</v>
      </c>
      <c r="G87" s="4">
        <v>2.4</v>
      </c>
      <c r="H87" s="4">
        <v>2.6</v>
      </c>
      <c r="I87" s="4"/>
      <c r="J87" s="4"/>
    </row>
    <row r="88" spans="1:11" x14ac:dyDescent="0.4">
      <c r="A88" s="212">
        <v>46</v>
      </c>
      <c r="B88" s="225" t="s">
        <v>761</v>
      </c>
      <c r="C88" s="225" t="s">
        <v>762</v>
      </c>
      <c r="D88" s="4">
        <v>0.6</v>
      </c>
      <c r="E88" s="4">
        <v>0.3</v>
      </c>
      <c r="F88" s="4">
        <v>0.3</v>
      </c>
      <c r="G88" s="4">
        <v>0.6</v>
      </c>
      <c r="H88" s="4">
        <v>0.8</v>
      </c>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E94">
        <v>2.1</v>
      </c>
      <c r="F94">
        <v>2.1</v>
      </c>
      <c r="G94">
        <v>2.1</v>
      </c>
      <c r="H94" s="4">
        <v>2</v>
      </c>
      <c r="I94" s="4"/>
      <c r="J94" s="4"/>
    </row>
    <row r="95" spans="1:11" ht="14.25" x14ac:dyDescent="0.45">
      <c r="A95" s="212">
        <v>2</v>
      </c>
      <c r="B95" s="225" t="s">
        <v>8</v>
      </c>
      <c r="C95" s="225"/>
      <c r="D95" s="246"/>
      <c r="E95">
        <v>6.3</v>
      </c>
      <c r="F95">
        <v>3.2</v>
      </c>
      <c r="G95">
        <v>2.8</v>
      </c>
      <c r="H95" s="4">
        <v>3.2</v>
      </c>
      <c r="I95" s="4"/>
      <c r="J95" s="4"/>
    </row>
    <row r="96" spans="1:11" x14ac:dyDescent="0.4">
      <c r="A96" s="212">
        <v>3</v>
      </c>
      <c r="B96" s="225" t="s">
        <v>9</v>
      </c>
      <c r="C96" s="225" t="s">
        <v>763</v>
      </c>
      <c r="D96" s="144">
        <v>224.7</v>
      </c>
      <c r="E96">
        <v>8.5</v>
      </c>
      <c r="F96">
        <v>5.4</v>
      </c>
      <c r="G96">
        <v>4.9000000000000004</v>
      </c>
      <c r="H96" s="4">
        <v>5.2</v>
      </c>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E98">
        <v>2.2999999999999998</v>
      </c>
      <c r="F98">
        <v>2.4</v>
      </c>
      <c r="G98">
        <v>2</v>
      </c>
      <c r="H98" s="4">
        <v>1.5</v>
      </c>
      <c r="I98" s="4"/>
      <c r="J98" s="4"/>
    </row>
    <row r="99" spans="1:11" ht="14.25" x14ac:dyDescent="0.45">
      <c r="A99" s="212">
        <v>5</v>
      </c>
      <c r="B99" s="225" t="s">
        <v>767</v>
      </c>
      <c r="C99" s="225" t="s">
        <v>766</v>
      </c>
      <c r="D99" s="246"/>
      <c r="E99">
        <v>2.8</v>
      </c>
      <c r="F99">
        <v>-2.6</v>
      </c>
      <c r="G99">
        <v>0.3</v>
      </c>
      <c r="H99" s="4">
        <v>1.1000000000000001</v>
      </c>
      <c r="I99" s="4"/>
      <c r="J99" s="4"/>
    </row>
    <row r="100" spans="1:11" ht="14.25" x14ac:dyDescent="0.45">
      <c r="A100" s="212">
        <v>6</v>
      </c>
      <c r="B100" s="225" t="s">
        <v>10</v>
      </c>
      <c r="C100" s="225" t="s">
        <v>4</v>
      </c>
      <c r="D100" s="246"/>
      <c r="E100">
        <v>6.5</v>
      </c>
      <c r="F100">
        <v>4.5</v>
      </c>
      <c r="G100">
        <v>8.9</v>
      </c>
      <c r="H100" s="4">
        <v>7.1</v>
      </c>
      <c r="I100" s="4"/>
      <c r="J100" s="4"/>
    </row>
    <row r="101" spans="1:11" ht="14.25" x14ac:dyDescent="0.45">
      <c r="A101" s="212">
        <v>7</v>
      </c>
      <c r="B101" s="225" t="s">
        <v>768</v>
      </c>
      <c r="C101" s="225" t="s">
        <v>769</v>
      </c>
      <c r="D101" s="246"/>
      <c r="E101" s="282">
        <v>-1.3</v>
      </c>
      <c r="F101" s="282">
        <v>0.6</v>
      </c>
      <c r="G101" s="282">
        <v>-1.5</v>
      </c>
      <c r="H101" s="283">
        <v>-1.2</v>
      </c>
      <c r="I101" s="283"/>
      <c r="J101" s="283"/>
    </row>
    <row r="102" spans="1:11" ht="14.25" x14ac:dyDescent="0.45">
      <c r="A102" s="212">
        <v>8</v>
      </c>
      <c r="B102" s="225" t="s">
        <v>770</v>
      </c>
      <c r="C102" s="225" t="s">
        <v>771</v>
      </c>
      <c r="D102" s="246"/>
      <c r="E102">
        <v>2.2000000000000002</v>
      </c>
      <c r="F102">
        <v>1</v>
      </c>
      <c r="G102">
        <v>1.7</v>
      </c>
      <c r="H102" s="4">
        <v>2.9</v>
      </c>
      <c r="I102" s="4"/>
      <c r="J102" s="4"/>
    </row>
    <row r="103" spans="1:11" ht="14.25" x14ac:dyDescent="0.45">
      <c r="A103" s="212">
        <v>9</v>
      </c>
      <c r="B103" s="225" t="s">
        <v>772</v>
      </c>
      <c r="C103" s="225" t="s">
        <v>773</v>
      </c>
      <c r="D103" s="246"/>
      <c r="E103">
        <v>0</v>
      </c>
      <c r="F103">
        <v>4.8</v>
      </c>
      <c r="G103">
        <v>-1.3</v>
      </c>
      <c r="H103" s="4">
        <v>4.4000000000000004</v>
      </c>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E105">
        <v>3.3</v>
      </c>
      <c r="F105">
        <v>1.9</v>
      </c>
      <c r="G105">
        <v>3</v>
      </c>
      <c r="H105" s="4">
        <v>2.6</v>
      </c>
      <c r="I105" s="4"/>
      <c r="J105" s="4"/>
    </row>
    <row r="106" spans="1:11" ht="14.25" x14ac:dyDescent="0.45">
      <c r="A106" s="212">
        <v>11</v>
      </c>
      <c r="B106" s="243" t="s">
        <v>776</v>
      </c>
      <c r="C106" s="225" t="s">
        <v>769</v>
      </c>
      <c r="D106" s="246"/>
      <c r="E106">
        <v>-1.9</v>
      </c>
      <c r="F106">
        <v>1.9</v>
      </c>
      <c r="G106">
        <v>-2.1</v>
      </c>
      <c r="H106" s="4">
        <v>0.3</v>
      </c>
      <c r="I106" s="4"/>
      <c r="J106" s="4"/>
    </row>
    <row r="107" spans="1:11" ht="14.25" x14ac:dyDescent="0.45">
      <c r="A107" s="212">
        <v>12</v>
      </c>
      <c r="B107" s="243" t="s">
        <v>777</v>
      </c>
      <c r="C107" s="225" t="s">
        <v>778</v>
      </c>
      <c r="D107" s="246"/>
      <c r="E107">
        <v>0.8</v>
      </c>
      <c r="F107">
        <v>-1.7</v>
      </c>
      <c r="G107">
        <v>1.2</v>
      </c>
      <c r="H107" s="4">
        <v>-0.9</v>
      </c>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E109">
        <v>3.5</v>
      </c>
      <c r="F109">
        <v>2.1</v>
      </c>
      <c r="G109">
        <v>3.4</v>
      </c>
      <c r="H109" s="4">
        <v>3.3</v>
      </c>
      <c r="I109" s="4"/>
      <c r="J109" s="4"/>
    </row>
    <row r="110" spans="1:11" ht="14.25" x14ac:dyDescent="0.45">
      <c r="A110" s="212">
        <v>14</v>
      </c>
      <c r="B110" s="240" t="s">
        <v>781</v>
      </c>
      <c r="C110" s="225"/>
      <c r="D110" s="246"/>
      <c r="E110">
        <v>4.2</v>
      </c>
      <c r="F110">
        <v>3</v>
      </c>
      <c r="G110">
        <v>2.9</v>
      </c>
      <c r="H110" s="4">
        <v>3.2</v>
      </c>
      <c r="I110" s="4"/>
      <c r="J110" s="4"/>
    </row>
    <row r="111" spans="1:11" ht="14.25" x14ac:dyDescent="0.45">
      <c r="A111" s="212">
        <v>15</v>
      </c>
      <c r="B111" s="225" t="s">
        <v>782</v>
      </c>
      <c r="C111" s="225"/>
      <c r="D111" s="246"/>
      <c r="E111">
        <v>3.2</v>
      </c>
      <c r="F111">
        <v>3.4</v>
      </c>
      <c r="G111">
        <v>2.6</v>
      </c>
      <c r="H111" s="4">
        <v>3</v>
      </c>
      <c r="I111" s="4"/>
      <c r="J111" s="4"/>
    </row>
    <row r="112" spans="1:11" ht="14.25" x14ac:dyDescent="0.45">
      <c r="A112" s="212">
        <v>16</v>
      </c>
      <c r="B112" s="225" t="s">
        <v>783</v>
      </c>
      <c r="C112" s="225"/>
      <c r="D112" s="246"/>
      <c r="E112">
        <v>2.9</v>
      </c>
      <c r="F112">
        <v>1.9</v>
      </c>
      <c r="G112">
        <v>1.4</v>
      </c>
      <c r="H112" s="4">
        <v>3.2</v>
      </c>
      <c r="I112" s="4"/>
      <c r="J112" s="4"/>
    </row>
    <row r="113" spans="1:11" ht="14.25" x14ac:dyDescent="0.45">
      <c r="A113" s="212">
        <v>17</v>
      </c>
      <c r="B113" s="225" t="s">
        <v>784</v>
      </c>
      <c r="C113" s="225"/>
      <c r="D113" s="246"/>
      <c r="E113">
        <v>-5.4</v>
      </c>
      <c r="F113">
        <v>0.2</v>
      </c>
      <c r="G113">
        <v>-3.3</v>
      </c>
      <c r="H113" s="4">
        <v>2.1</v>
      </c>
      <c r="I113" s="4"/>
      <c r="J113" s="4"/>
    </row>
    <row r="114" spans="1:11" ht="14.25" x14ac:dyDescent="0.45">
      <c r="A114" s="212">
        <v>18</v>
      </c>
      <c r="B114" s="225" t="s">
        <v>785</v>
      </c>
      <c r="C114" s="225"/>
      <c r="D114" s="246"/>
      <c r="E114">
        <v>-10.4</v>
      </c>
      <c r="F114">
        <v>-1.4</v>
      </c>
      <c r="G114">
        <v>-1.9</v>
      </c>
      <c r="H114" s="4">
        <v>2.5</v>
      </c>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v>3760</v>
      </c>
      <c r="E116" s="3">
        <v>2</v>
      </c>
      <c r="F116">
        <v>1.5</v>
      </c>
      <c r="G116" s="3">
        <v>3</v>
      </c>
      <c r="H116" s="64">
        <v>0.6</v>
      </c>
      <c r="I116" s="64"/>
      <c r="J116" s="64"/>
    </row>
    <row r="117" spans="1:11" x14ac:dyDescent="0.4">
      <c r="A117" s="212">
        <v>20</v>
      </c>
      <c r="B117" s="225" t="s">
        <v>789</v>
      </c>
      <c r="C117" s="225"/>
      <c r="D117" s="144">
        <v>1909</v>
      </c>
      <c r="E117">
        <v>1.2</v>
      </c>
      <c r="F117">
        <v>-0.5</v>
      </c>
      <c r="G117">
        <v>-0.8</v>
      </c>
      <c r="H117" s="4">
        <v>-0.2</v>
      </c>
      <c r="I117" s="4"/>
      <c r="J117" s="4"/>
    </row>
    <row r="118" spans="1:11" ht="14.25" x14ac:dyDescent="0.45">
      <c r="A118" s="212">
        <v>21</v>
      </c>
      <c r="B118" s="225" t="s">
        <v>790</v>
      </c>
      <c r="C118" s="225"/>
      <c r="D118" s="246"/>
      <c r="E118">
        <v>0.1</v>
      </c>
      <c r="F118">
        <v>0.6</v>
      </c>
      <c r="G118">
        <v>-0.9</v>
      </c>
      <c r="H118" s="4">
        <v>1.3</v>
      </c>
      <c r="I118" s="4"/>
      <c r="J118" s="4"/>
    </row>
    <row r="119" spans="1:11" ht="14.25" x14ac:dyDescent="0.45">
      <c r="A119" s="212">
        <v>22</v>
      </c>
      <c r="B119" s="225" t="s">
        <v>791</v>
      </c>
      <c r="C119" s="225"/>
      <c r="D119" s="246"/>
      <c r="E119">
        <v>-1.1000000000000001</v>
      </c>
      <c r="F119">
        <v>1.1000000000000001</v>
      </c>
      <c r="G119">
        <v>-0.1</v>
      </c>
      <c r="H119" s="4">
        <v>1.5</v>
      </c>
      <c r="I119" s="4"/>
      <c r="J119" s="4"/>
    </row>
    <row r="120" spans="1:11" x14ac:dyDescent="0.4">
      <c r="A120" s="212">
        <v>23</v>
      </c>
      <c r="B120" s="225" t="s">
        <v>792</v>
      </c>
      <c r="C120" s="225" t="s">
        <v>5</v>
      </c>
      <c r="D120" s="144">
        <v>78.599999999999994</v>
      </c>
      <c r="E120">
        <v>5.4</v>
      </c>
      <c r="F120">
        <v>7.3</v>
      </c>
      <c r="G120">
        <v>6.6</v>
      </c>
      <c r="H120" s="4">
        <v>4.4000000000000004</v>
      </c>
      <c r="I120" s="4"/>
      <c r="J120" s="4"/>
    </row>
    <row r="121" spans="1:11" x14ac:dyDescent="0.4">
      <c r="A121" s="212">
        <v>24</v>
      </c>
      <c r="B121" s="225" t="s">
        <v>793</v>
      </c>
      <c r="C121" s="225"/>
      <c r="D121">
        <v>20.9</v>
      </c>
      <c r="E121">
        <v>3.3</v>
      </c>
      <c r="F121">
        <v>5.8</v>
      </c>
      <c r="G121">
        <v>3.5</v>
      </c>
      <c r="H121" s="4">
        <v>3.7</v>
      </c>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E123">
        <v>11.1</v>
      </c>
      <c r="F123">
        <v>10.1</v>
      </c>
      <c r="G123">
        <v>8.9</v>
      </c>
      <c r="H123" s="4">
        <v>8.4</v>
      </c>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E125">
        <v>0.5</v>
      </c>
      <c r="F125">
        <v>1</v>
      </c>
      <c r="G125">
        <v>1.5</v>
      </c>
      <c r="H125" s="4">
        <v>1.9</v>
      </c>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E127">
        <v>0.1</v>
      </c>
      <c r="F127">
        <v>0.1</v>
      </c>
      <c r="G127">
        <v>0.2</v>
      </c>
      <c r="H127" s="4">
        <v>0.2</v>
      </c>
      <c r="I127" s="4"/>
      <c r="J127" s="4"/>
    </row>
    <row r="128" spans="1:11" ht="14.25" x14ac:dyDescent="0.45">
      <c r="A128" s="212">
        <v>28</v>
      </c>
      <c r="B128" s="240" t="s">
        <v>799</v>
      </c>
      <c r="C128" s="225"/>
      <c r="D128" s="246"/>
      <c r="E128">
        <v>0.1</v>
      </c>
      <c r="F128">
        <v>0.1</v>
      </c>
      <c r="G128">
        <v>0.2</v>
      </c>
      <c r="H128" s="4">
        <v>0.3</v>
      </c>
      <c r="I128" s="4"/>
      <c r="J128" s="4"/>
    </row>
    <row r="129" spans="1:11" ht="14.25" x14ac:dyDescent="0.45">
      <c r="A129" s="212">
        <v>29</v>
      </c>
      <c r="B129" s="240" t="s">
        <v>800</v>
      </c>
      <c r="C129" s="225"/>
      <c r="D129" s="246"/>
      <c r="E129">
        <v>0.4</v>
      </c>
      <c r="F129">
        <v>0.9</v>
      </c>
      <c r="G129">
        <v>1.2</v>
      </c>
      <c r="H129" s="4">
        <v>1.3</v>
      </c>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E131">
        <v>1</v>
      </c>
      <c r="F131">
        <v>2</v>
      </c>
      <c r="G131">
        <v>2.6</v>
      </c>
      <c r="H131" s="4">
        <v>2.7</v>
      </c>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Greece's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Greece is adhering to its Council-endorsed medium-term structural-fiscal plan.</v>
      </c>
      <c r="M4" s="26"/>
      <c r="N4" s="26"/>
      <c r="Q4" s="28"/>
      <c r="R4" s="28"/>
      <c r="AU4" s="173"/>
      <c r="AV4" s="25"/>
    </row>
    <row r="5" spans="1:54" customFormat="1" x14ac:dyDescent="0.45">
      <c r="B5" s="134"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Greece's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Compliant</v>
      </c>
      <c r="E11" s="22" t="str">
        <f>IF(AssessmentRound="New or revised MTP",NA(),Assessment!C161)</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Compliant</v>
      </c>
      <c r="E12" s="22" t="str">
        <f>IF(AssessmentRound="New or revised MTP",NA(),Assessment!C169)</f>
        <v>The debt sustainability safeguard applies and Greece's outturn and plans are compliant (diagnostic only—not assessed as a separate compliance criterion during implementation).</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Compliant</v>
      </c>
      <c r="E13" s="22" t="str">
        <f>IF(AssessmentRound="New or revised MTP",NA(),Assessment!C181)</f>
        <v>The deficit resilience safeguard applies and Greece's outturn and plans are compliant (diagnostic only—not assessed as a separate compliance criterion during implementation).</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At risk</v>
      </c>
      <c r="E14" s="22" t="str">
        <f>IF(AssessmentRound="New or revised MTP",NA(),Assessment!C192)</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Greece's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G18">IF(AssessmentRound="New or revised MTP", "", IF(_xlfn.ANCHORARRAY(D21)&lt;=AdjustmentPeriodEnd, IF(_xlfn.ANCHORARRAY(D21)&lt;=OutturnThrough, "Observed", "Planned"), ""))</f>
        <v>Observed</v>
      </c>
      <c r="E18" s="30" t="str">
        <v>Observed</v>
      </c>
      <c r="F18" s="30" t="str">
        <v>Observed</v>
      </c>
      <c r="G18" s="30" t="str">
        <v>Planned</v>
      </c>
      <c r="H18" s="30"/>
      <c r="I18" s="30"/>
      <c r="J18" s="22"/>
      <c r="P18" s="22"/>
      <c r="Q18" s="22"/>
      <c r="R18" s="22"/>
      <c r="S18" s="22"/>
      <c r="T18" s="22"/>
      <c r="U18" s="22"/>
    </row>
    <row r="19" spans="1:21" customFormat="1" ht="14.85" customHeight="1" x14ac:dyDescent="0.45">
      <c r="A19" s="3"/>
      <c r="B19" s="66" t="s">
        <v>495</v>
      </c>
      <c r="C19" s="66"/>
      <c r="D19" s="96" t="str" cm="1">
        <f t="array" aca="1" ref="D19:G19" ca="1">IF(AssessmentRound="New or revised MTP", "", IF(AssessmentRound="Revised MTP","",_xlfn.HSTACK("",IF(OFFSET(Assessment!$F$145,0,0,1,COLUMNS(_xlfn.ANCHORARRAY(D21))-1),"Yes","No"))))</f>
        <v/>
      </c>
      <c r="E19" s="96" t="str">
        <f ca="1"/>
        <v>Yes</v>
      </c>
      <c r="F19" s="96" t="str">
        <f ca="1"/>
        <v>Yes</v>
      </c>
      <c r="G19" s="96" t="str">
        <f ca="1"/>
        <v>Yes</v>
      </c>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111.255</v>
      </c>
      <c r="E23" s="4">
        <f>Assessment!E108</f>
        <v>113.87</v>
      </c>
      <c r="F23" s="4">
        <f>Assessment!F108</f>
        <v>119.875</v>
      </c>
      <c r="G23" s="4">
        <f>Assessment!G108</f>
        <v>131.1565823848</v>
      </c>
      <c r="H23" t="str">
        <f>Assessment!H108</f>
        <v/>
      </c>
      <c r="I23" t="str">
        <f>Assessment!I108</f>
        <v/>
      </c>
      <c r="J23" t="str">
        <f>Assessment!J108</f>
        <v/>
      </c>
    </row>
    <row r="24" spans="1:21" customFormat="1" ht="14.85" customHeight="1" x14ac:dyDescent="0.4">
      <c r="A24" s="3">
        <v>2</v>
      </c>
      <c r="B24" t="s">
        <v>25</v>
      </c>
      <c r="C24" t="s">
        <v>6</v>
      </c>
      <c r="D24" s="4">
        <f>Assessment!D109</f>
        <v>7.6120000000000001</v>
      </c>
      <c r="E24" s="4">
        <f>Assessment!E109</f>
        <v>8.2249999999999996</v>
      </c>
      <c r="F24" s="4">
        <f>Assessment!F109</f>
        <v>7.8410000000000002</v>
      </c>
      <c r="G24" s="4">
        <f>Assessment!G109</f>
        <v>7.8380427719999997</v>
      </c>
      <c r="H24" t="str">
        <f>Assessment!H109</f>
        <v/>
      </c>
      <c r="I24" t="str">
        <f>Assessment!I109</f>
        <v/>
      </c>
      <c r="J24" t="str">
        <f>Assessment!J109</f>
        <v/>
      </c>
    </row>
    <row r="25" spans="1:21" customFormat="1" ht="14.85" customHeight="1" x14ac:dyDescent="0.4">
      <c r="A25" s="3">
        <v>3</v>
      </c>
      <c r="B25" t="s">
        <v>276</v>
      </c>
      <c r="C25" t="s">
        <v>6</v>
      </c>
      <c r="D25" s="4">
        <f>Assessment!D110</f>
        <v>0.3</v>
      </c>
      <c r="E25" s="4">
        <f>Assessment!E110</f>
        <v>0.1</v>
      </c>
      <c r="F25" s="4">
        <f>Assessment!F110</f>
        <v>-0.1</v>
      </c>
      <c r="G25" s="4">
        <f>Assessment!G110</f>
        <v>-0.26126809239999998</v>
      </c>
      <c r="H25" t="str">
        <f>Assessment!H110</f>
        <v/>
      </c>
      <c r="I25" t="str">
        <f>Assessment!I110</f>
        <v/>
      </c>
      <c r="J25" t="str">
        <f>Assessment!J110</f>
        <v/>
      </c>
    </row>
    <row r="26" spans="1:21" customFormat="1" ht="14.85" customHeight="1" x14ac:dyDescent="0.4">
      <c r="A26" s="3">
        <v>4</v>
      </c>
      <c r="B26" t="s">
        <v>625</v>
      </c>
      <c r="C26" t="s">
        <v>6</v>
      </c>
      <c r="D26" s="4">
        <f>Assessment!D111</f>
        <v>5.6639999999999997</v>
      </c>
      <c r="E26" s="4">
        <f>Assessment!E111</f>
        <v>5.8730000000000002</v>
      </c>
      <c r="F26" s="4">
        <f>Assessment!F111</f>
        <v>8.43</v>
      </c>
      <c r="G26" s="4">
        <f>Assessment!G111</f>
        <v>12.5408684352</v>
      </c>
      <c r="H26" t="str">
        <f>Assessment!H111</f>
        <v/>
      </c>
      <c r="I26" t="str">
        <f>Assessment!I111</f>
        <v/>
      </c>
      <c r="J26" t="str">
        <f>Assessment!J111</f>
        <v/>
      </c>
    </row>
    <row r="27" spans="1:21" customFormat="1" ht="14.85" customHeight="1" x14ac:dyDescent="0.4">
      <c r="A27" s="3">
        <v>5</v>
      </c>
      <c r="B27" t="s">
        <v>278</v>
      </c>
      <c r="C27" t="s">
        <v>6</v>
      </c>
      <c r="D27" s="4">
        <f>Assessment!D112</f>
        <v>0.73899999999999999</v>
      </c>
      <c r="E27" s="4">
        <f>Assessment!E112</f>
        <v>0.70499999999999996</v>
      </c>
      <c r="F27" s="4">
        <f>Assessment!F112</f>
        <v>0.78</v>
      </c>
      <c r="G27" s="4">
        <f>Assessment!G112</f>
        <v>1.3063404620000001</v>
      </c>
      <c r="H27" t="str">
        <f>Assessment!H112</f>
        <v/>
      </c>
      <c r="I27" t="str">
        <f>Assessment!I112</f>
        <v/>
      </c>
      <c r="J27" t="str">
        <f>Assessment!J112</f>
        <v/>
      </c>
    </row>
    <row r="28" spans="1:21" customFormat="1" ht="14.65" customHeight="1" x14ac:dyDescent="0.4">
      <c r="A28" s="3">
        <v>6</v>
      </c>
      <c r="B28" t="s">
        <v>626</v>
      </c>
      <c r="C28" t="s">
        <v>6</v>
      </c>
      <c r="D28" s="4">
        <f>Assessment!D113</f>
        <v>0.3</v>
      </c>
      <c r="E28" s="4">
        <f>Assessment!E113</f>
        <v>0.4</v>
      </c>
      <c r="F28" s="4">
        <f>Assessment!F113</f>
        <v>0.4</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96.642539999999997</v>
      </c>
      <c r="E29" s="4">
        <f>Assessment!E114</f>
        <v>98.517420000000001</v>
      </c>
      <c r="F29" s="4">
        <f>Assessment!F114</f>
        <v>102.40949000000001</v>
      </c>
      <c r="G29" s="4">
        <f>Assessment!G114</f>
        <v>109.73259880799999</v>
      </c>
      <c r="H29" t="str">
        <f>Assessment!H114</f>
        <v/>
      </c>
      <c r="I29" t="str">
        <f>Assessment!I114</f>
        <v/>
      </c>
      <c r="J29" t="str">
        <f>Assessment!J114</f>
        <v/>
      </c>
    </row>
    <row r="30" spans="1:21" customFormat="1" ht="14.65" customHeight="1" x14ac:dyDescent="0.4">
      <c r="A30" s="3">
        <v>8</v>
      </c>
      <c r="B30" t="s">
        <v>628</v>
      </c>
      <c r="C30" t="s">
        <v>6</v>
      </c>
      <c r="D30" s="4"/>
      <c r="E30" s="4">
        <f>Assessment!E115</f>
        <v>1.8748800000000045</v>
      </c>
      <c r="F30" s="4">
        <f>Assessment!F115</f>
        <v>3.8920700000000039</v>
      </c>
      <c r="G30" s="4">
        <f>Assessment!G115</f>
        <v>7.3231088079999864</v>
      </c>
      <c r="H30" t="str">
        <f>Assessment!H115</f>
        <v/>
      </c>
      <c r="I30" t="str">
        <f>Assessment!I115</f>
        <v/>
      </c>
      <c r="J30" t="str">
        <f>Assessment!J115</f>
        <v/>
      </c>
    </row>
    <row r="31" spans="1:21" customFormat="1" ht="14.65" customHeight="1" x14ac:dyDescent="0.4">
      <c r="A31" s="3">
        <v>9</v>
      </c>
      <c r="B31" t="s">
        <v>629</v>
      </c>
      <c r="C31" t="s">
        <v>6</v>
      </c>
      <c r="D31" s="4"/>
      <c r="E31" s="4">
        <f>Assessment!E116</f>
        <v>2</v>
      </c>
      <c r="F31" s="4">
        <f>Assessment!F116</f>
        <v>1.1000000000000001</v>
      </c>
      <c r="G31" s="4">
        <f>Assessment!G116</f>
        <v>-0.52253618479999997</v>
      </c>
      <c r="H31" t="str">
        <f>Assessment!H116</f>
        <v/>
      </c>
      <c r="I31" t="str">
        <f>Assessment!I116</f>
        <v/>
      </c>
      <c r="J31" t="str">
        <f>Assessment!J116</f>
        <v/>
      </c>
    </row>
    <row r="32" spans="1:21" customFormat="1" ht="14.65" customHeight="1" x14ac:dyDescent="0.4">
      <c r="A32" s="3">
        <v>10</v>
      </c>
      <c r="B32" t="s">
        <v>630</v>
      </c>
      <c r="C32" t="s">
        <v>6</v>
      </c>
      <c r="D32" s="4"/>
      <c r="E32" s="4">
        <f>Assessment!E117</f>
        <v>-0.12511999999999546</v>
      </c>
      <c r="F32" s="4">
        <f>Assessment!F117</f>
        <v>2.7920700000000038</v>
      </c>
      <c r="G32" s="4">
        <f>Assessment!G117</f>
        <v>7.8456449927999863</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f>Assessment!E119</f>
        <v>-0.12946679588512</v>
      </c>
      <c r="F34" s="4">
        <f>Assessment!F119</f>
        <v>2.8340876161799646</v>
      </c>
      <c r="G34" s="4">
        <f>Assessment!G119</f>
        <v>7.6610526942376005</v>
      </c>
      <c r="H34" t="str">
        <f>Assessment!H119</f>
        <v/>
      </c>
      <c r="I34" t="str">
        <f>Assessment!I119</f>
        <v/>
      </c>
      <c r="J34" t="str">
        <f>Assessment!J119</f>
        <v/>
      </c>
    </row>
    <row r="35" spans="1:23" customFormat="1" ht="14.65" customHeight="1" x14ac:dyDescent="0.4">
      <c r="A35" s="3">
        <v>12</v>
      </c>
      <c r="B35" t="s">
        <v>946</v>
      </c>
      <c r="C35" t="s">
        <v>601</v>
      </c>
      <c r="D35" s="4"/>
      <c r="E35" s="258">
        <f>Assessment!E120</f>
        <v>2.6</v>
      </c>
      <c r="F35" s="4">
        <f>Assessment!F120</f>
        <v>3.6999999999999997</v>
      </c>
      <c r="G35" s="4">
        <f>Assessment!G120</f>
        <v>3.6000000000000005</v>
      </c>
      <c r="H35" t="str">
        <f>Assessment!H120</f>
        <v/>
      </c>
      <c r="I35" t="str">
        <f>Assessment!I120</f>
        <v/>
      </c>
      <c r="J35" t="str">
        <f>Assessment!J120</f>
        <v/>
      </c>
    </row>
    <row r="36" spans="1:23" customFormat="1" ht="14.65" customHeight="1" x14ac:dyDescent="0.4">
      <c r="A36" s="3">
        <v>13</v>
      </c>
      <c r="B36" t="s">
        <v>929</v>
      </c>
      <c r="C36" t="s">
        <v>6</v>
      </c>
      <c r="D36" s="4"/>
      <c r="E36" s="258">
        <f>Assessment!E121</f>
        <v>-2.6378260399999953</v>
      </c>
      <c r="F36" s="4">
        <f>Assessment!F121</f>
        <v>-0.85307453999999605</v>
      </c>
      <c r="G36" s="4">
        <f>Assessment!G121</f>
        <v>4.1589033527999852</v>
      </c>
      <c r="H36" t="str">
        <f>Assessment!H121</f>
        <v/>
      </c>
      <c r="I36" t="str">
        <f>Assessment!I121</f>
        <v/>
      </c>
      <c r="J36" t="str">
        <f>Assessment!J121</f>
        <v/>
      </c>
    </row>
    <row r="37" spans="1:23" customFormat="1" ht="14.65" customHeight="1" x14ac:dyDescent="0.4">
      <c r="A37" s="3">
        <v>14</v>
      </c>
      <c r="B37" t="s">
        <v>930</v>
      </c>
      <c r="C37" t="s">
        <v>6</v>
      </c>
      <c r="D37" s="4"/>
      <c r="E37" s="258">
        <f>Assessment!E122</f>
        <v>-2.6378260399999953</v>
      </c>
      <c r="F37" s="4">
        <f>Assessment!F122</f>
        <v>-3.4909005799999915</v>
      </c>
      <c r="G37" s="4">
        <f>Assessment!G122</f>
        <v>0.66800277279999376</v>
      </c>
      <c r="H37" t="str">
        <f>Assessment!H122</f>
        <v/>
      </c>
      <c r="I37" t="str">
        <f>Assessment!I122</f>
        <v/>
      </c>
      <c r="J37" t="str">
        <f>Assessment!J122</f>
        <v/>
      </c>
    </row>
    <row r="38" spans="1:23" customFormat="1" ht="14.65" customHeight="1" x14ac:dyDescent="0.4">
      <c r="A38" s="3">
        <v>15</v>
      </c>
      <c r="B38" t="s">
        <v>9</v>
      </c>
      <c r="C38" t="s">
        <v>6</v>
      </c>
      <c r="D38" s="4">
        <f>Assessment!D123</f>
        <v>224.68620000000001</v>
      </c>
      <c r="E38" s="4">
        <f>Assessment!E123</f>
        <v>236.73599999999999</v>
      </c>
      <c r="F38" s="4">
        <f>Assessment!F123</f>
        <v>248.3537</v>
      </c>
      <c r="G38" s="4">
        <f>Assessment!G123</f>
        <v>261.2680924</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f>Assessment!E125</f>
        <v>-1.1142479555285194</v>
      </c>
      <c r="F40" s="4">
        <f>Assessment!F125</f>
        <v>-0.34349177805685849</v>
      </c>
      <c r="G40" s="4">
        <f>Assessment!G125</f>
        <v>1.5918144900881073</v>
      </c>
      <c r="H40" t="str">
        <f>Assessment!H125</f>
        <v/>
      </c>
      <c r="I40" t="str">
        <f>Assessment!I125</f>
        <v/>
      </c>
      <c r="J40" t="str">
        <f>Assessment!J125</f>
        <v/>
      </c>
    </row>
    <row r="41" spans="1:23" customFormat="1" ht="14.65" customHeight="1" x14ac:dyDescent="0.45">
      <c r="A41" s="3">
        <v>17</v>
      </c>
      <c r="B41" t="s">
        <v>945</v>
      </c>
      <c r="C41" t="s">
        <v>603</v>
      </c>
      <c r="D41" s="4"/>
      <c r="E41" s="258">
        <f>Assessment!E126</f>
        <v>-1.1142479555285194</v>
      </c>
      <c r="F41" s="4">
        <f>Assessment!F126</f>
        <v>-1.4056164977610526</v>
      </c>
      <c r="G41" s="4">
        <f>Assessment!G126</f>
        <v>0.2556771348019356</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2024</v>
      </c>
      <c r="C43" t="s">
        <v>603</v>
      </c>
      <c r="D43" s="4"/>
      <c r="E43" s="4"/>
      <c r="F43" s="4">
        <f>Assessment!F134</f>
        <v>0.21590924556388735</v>
      </c>
      <c r="G43" s="4">
        <f>Assessment!G134</f>
        <v>0.39999999999999991</v>
      </c>
      <c r="H43" t="str">
        <f>Assessment!H134</f>
        <v/>
      </c>
      <c r="I43" t="str">
        <f>Assessment!I134</f>
        <v/>
      </c>
      <c r="J43" t="str">
        <f>Assessment!J134</f>
        <v/>
      </c>
    </row>
    <row r="44" spans="1:23" customFormat="1" ht="14.65" customHeight="1" x14ac:dyDescent="0.4">
      <c r="A44" s="3">
        <v>19</v>
      </c>
      <c r="B44" t="s">
        <v>938</v>
      </c>
      <c r="C44" t="s">
        <v>603</v>
      </c>
      <c r="D44" s="4"/>
      <c r="E44" s="4">
        <f>Assessment!E142</f>
        <v>-1.1142479555285194</v>
      </c>
      <c r="F44" s="4">
        <f>Assessment!F142</f>
        <v>-0.34349177805685849</v>
      </c>
      <c r="G44" s="4">
        <f>Assessment!G142</f>
        <v>1.1918144900881076</v>
      </c>
    </row>
    <row r="45" spans="1:23" customFormat="1" ht="14.65" customHeight="1" x14ac:dyDescent="0.4">
      <c r="A45" s="3">
        <v>20</v>
      </c>
      <c r="B45" s="261" t="s">
        <v>932</v>
      </c>
      <c r="C45" s="261" t="s">
        <v>603</v>
      </c>
      <c r="D45" s="4"/>
      <c r="E45" s="4"/>
      <c r="F45" s="4">
        <f>Assessment!F144</f>
        <v>-1.6215257433249399</v>
      </c>
      <c r="G45" s="4">
        <f>Assessment!G144</f>
        <v>-0.14432286519806431</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2.6</v>
      </c>
      <c r="E52" s="45">
        <v>3.6999999999999997</v>
      </c>
      <c r="F52" s="45">
        <v>3.6000000000000005</v>
      </c>
      <c r="G52" s="47">
        <v>3.1</v>
      </c>
      <c r="H52" s="45">
        <v>3</v>
      </c>
      <c r="I52" s="45"/>
      <c r="J52" s="64"/>
      <c r="K52" s="64"/>
      <c r="L52" s="64"/>
      <c r="M52" s="22"/>
    </row>
    <row r="53" spans="1:13" customFormat="1" x14ac:dyDescent="0.45">
      <c r="A53" s="22"/>
      <c r="B53" s="135" t="str">
        <f>ScenarioName</f>
        <v>Draft budgety plan 2026</v>
      </c>
      <c r="C53" s="64" t="str" cm="1">
        <f t="array" ref="C53:H53">INDEX(
  Assessment!$15:$15,
  1,
  MATCH(MTP_BaseYear,Assessment!$4:$4,0)
    + _xlfn.SEQUENCE(1, COLUMNS(_xlfn.ANCHORARRAY(C50)), 0)
)</f>
        <v/>
      </c>
      <c r="D53" s="64">
        <v>-0.12946679588512477</v>
      </c>
      <c r="E53" s="64">
        <v>2.8340876161799811</v>
      </c>
      <c r="F53" s="64">
        <v>7.5</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-1.6</v>
      </c>
      <c r="D54" s="45">
        <v>-1</v>
      </c>
      <c r="E54" s="45">
        <v>-0.6</v>
      </c>
      <c r="F54" s="45">
        <v>-0.8</v>
      </c>
      <c r="G54" s="47">
        <v>-1.1000000000000001</v>
      </c>
      <c r="H54" s="47">
        <v>-1.2</v>
      </c>
      <c r="I54" s="47"/>
      <c r="J54" s="64"/>
      <c r="K54" s="64"/>
      <c r="L54" s="64"/>
      <c r="M54" s="22"/>
    </row>
    <row r="55" spans="1:13" customFormat="1" x14ac:dyDescent="0.45">
      <c r="A55" s="22"/>
      <c r="B55" s="135" t="str">
        <f>ScenarioName</f>
        <v>Draft budgety plan 2026</v>
      </c>
      <c r="C55" s="64" cm="1">
        <f t="array" ref="C55:H55">INDEX(
  Assessment!$17:$17,
  1,
  MATCH(MTP_BaseYear,Assessment!$4:$4,0)
    + _xlfn.SEQUENCE(1, COLUMNS(_xlfn.ANCHORARRAY(C50)), 0)
)</f>
        <v>-1.4299943654750491</v>
      </c>
      <c r="D55" s="64">
        <v>1.3470701540957015</v>
      </c>
      <c r="E55" s="64">
        <v>1.7273751105781794</v>
      </c>
      <c r="F55" s="64">
        <v>0.2</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-1.5</v>
      </c>
      <c r="D56" s="47">
        <v>-1.5</v>
      </c>
      <c r="E56" s="47">
        <v>-1.1000000000000001</v>
      </c>
      <c r="F56" s="47">
        <v>-1.1000000000000001</v>
      </c>
      <c r="G56" s="47">
        <v>-1.2</v>
      </c>
      <c r="H56" s="47">
        <v>-1.3</v>
      </c>
      <c r="I56" s="47"/>
      <c r="J56" s="64"/>
      <c r="K56" s="64"/>
      <c r="L56" s="64"/>
      <c r="M56" s="22"/>
    </row>
    <row r="57" spans="1:13" customFormat="1" x14ac:dyDescent="0.45">
      <c r="A57" s="22"/>
      <c r="B57" s="135" t="str">
        <f>ScenarioName</f>
        <v>Draft budgety plan 2026</v>
      </c>
      <c r="C57" s="64" cm="1">
        <f t="array" ref="C57:H57">INDEX(
  Assessment!$18:$18,
  1,
  MATCH(MTP_BaseYear,Assessment!$4:$4,0)
    + _xlfn.SEQUENCE(1, COLUMNS(_xlfn.ANCHORARRAY(C50)), 0)
)</f>
        <v>-1.84205</v>
      </c>
      <c r="D57" s="64">
        <v>0.34606999999999999</v>
      </c>
      <c r="E57" s="64">
        <v>0.48633999999999999</v>
      </c>
      <c r="F57" s="64">
        <v>-1.2</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1.9</v>
      </c>
      <c r="D58" s="45">
        <v>1.9</v>
      </c>
      <c r="E58" s="45">
        <v>2</v>
      </c>
      <c r="F58" s="45">
        <v>2.1</v>
      </c>
      <c r="G58" s="47">
        <v>2.2000000000000002</v>
      </c>
      <c r="H58" s="47">
        <v>2.2999999999999998</v>
      </c>
      <c r="I58" s="47"/>
      <c r="J58" s="64"/>
      <c r="K58" s="64"/>
      <c r="L58" s="64"/>
      <c r="M58" s="22"/>
    </row>
    <row r="59" spans="1:13" customFormat="1" x14ac:dyDescent="0.45">
      <c r="A59" s="22"/>
      <c r="B59" s="135" t="str">
        <f>ScenarioName</f>
        <v>Draft budgety plan 2026</v>
      </c>
      <c r="C59" s="64" cm="1">
        <f t="array" ref="C59:H59">INDEX(
  Assessment!$19:$19,
  1,
  MATCH(MTP_BaseYear,Assessment!$4:$4,0)
    + _xlfn.SEQUENCE(1, COLUMNS(_xlfn.ANCHORARRAY(C50)), 0)
)</f>
        <v>1.54579</v>
      </c>
      <c r="D59" s="64">
        <v>3.8204099999999999</v>
      </c>
      <c r="E59" s="64">
        <v>3.6435300000000002</v>
      </c>
      <c r="F59" s="64">
        <v>1.8</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161.9</v>
      </c>
      <c r="D60" s="45">
        <v>153.69999999999999</v>
      </c>
      <c r="E60" s="45">
        <v>149.1</v>
      </c>
      <c r="F60" s="45">
        <v>143.1</v>
      </c>
      <c r="G60" s="45">
        <v>138</v>
      </c>
      <c r="H60" s="45">
        <v>133.4</v>
      </c>
      <c r="I60" s="45"/>
      <c r="J60" s="64"/>
      <c r="K60" s="64"/>
      <c r="L60" s="64"/>
      <c r="M60" s="22"/>
    </row>
    <row r="61" spans="1:13" customFormat="1" x14ac:dyDescent="0.45">
      <c r="A61" s="22"/>
      <c r="B61" s="135" t="str">
        <f>ScenarioName</f>
        <v>Draft budgety plan 2026</v>
      </c>
      <c r="C61" s="64" cm="1">
        <f t="array" ref="C61:H61">INDEX(
  Assessment!$20:$20,
  1,
  MATCH(MTP_BaseYear,Assessment!$4:$4,0)
    + _xlfn.SEQUENCE(1, COLUMNS(_xlfn.ANCHORARRAY(C50)), 0)
)</f>
        <v>164.27800194226435</v>
      </c>
      <c r="D61" s="64">
        <v>154.16497702081645</v>
      </c>
      <c r="E61" s="64">
        <v>146.13231049104562</v>
      </c>
      <c r="F61" s="64">
        <v>136.80000000000001</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-10.8</v>
      </c>
      <c r="D62" s="45">
        <v>-8.1999999999999993</v>
      </c>
      <c r="E62" s="45">
        <v>-4.5999999999999996</v>
      </c>
      <c r="F62" s="45">
        <v>-6.1</v>
      </c>
      <c r="G62" s="45">
        <v>-5</v>
      </c>
      <c r="H62" s="45">
        <v>-4.7</v>
      </c>
      <c r="I62" s="45"/>
      <c r="J62" s="64"/>
      <c r="K62" s="64"/>
      <c r="L62" s="64"/>
      <c r="M62" s="22"/>
    </row>
    <row r="63" spans="1:13" customFormat="1" x14ac:dyDescent="0.45">
      <c r="A63" s="22"/>
      <c r="B63" s="135" t="str">
        <f>ScenarioName</f>
        <v>Draft budgety plan 2026</v>
      </c>
      <c r="C63" s="64" cm="1">
        <f t="array" ref="C63:H63">INDEX(
  Assessment!$21:$21,
  1,
  MATCH(MTP_BaseYear,Assessment!$4:$4,0)
    + _xlfn.SEQUENCE(1, COLUMNS(_xlfn.ANCHORARRAY(C50)), 0)
)</f>
        <v>0.4917970039993555</v>
      </c>
      <c r="D63" s="64">
        <v>-1.7513179237631793</v>
      </c>
      <c r="E63" s="64">
        <v>-0.82100649195079434</v>
      </c>
      <c r="F63" s="64">
        <v>-9.3000000000000007</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2</v>
      </c>
      <c r="D65" s="107">
        <v>2.2000000000000002</v>
      </c>
      <c r="E65" s="107">
        <v>2.2999999999999998</v>
      </c>
      <c r="F65" s="107">
        <v>2</v>
      </c>
      <c r="G65" s="107">
        <v>1.5</v>
      </c>
      <c r="H65" s="107">
        <v>1.3</v>
      </c>
      <c r="I65" s="107"/>
      <c r="J65" s="108"/>
      <c r="K65" s="108"/>
      <c r="L65" s="108"/>
      <c r="M65" s="22"/>
    </row>
    <row r="66" spans="1:13" customFormat="1" x14ac:dyDescent="0.45">
      <c r="A66" s="22"/>
      <c r="B66" s="171" t="str">
        <f>ScenarioName</f>
        <v>Draft budgety plan 2026</v>
      </c>
      <c r="C66" s="108" cm="1">
        <f t="array" ref="C66:H66">INDEX(
  Assessment!$22:$22,
  1,
  MATCH(MTP_BaseYear,Assessment!$4:$4,0)
    + _xlfn.SEQUENCE(1, COLUMNS(_xlfn.ANCHORARRAY(C50)), 0)
)</f>
        <v>2.1358911863197383</v>
      </c>
      <c r="D66" s="64">
        <v>2.0865774054565467</v>
      </c>
      <c r="E66" s="64">
        <v>2.0730652469252542</v>
      </c>
      <c r="F66" s="64">
        <v>2</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4.5</v>
      </c>
      <c r="D67" s="107">
        <v>3</v>
      </c>
      <c r="E67" s="107">
        <v>2.2000000000000002</v>
      </c>
      <c r="F67" s="107">
        <v>2.2999999999999998</v>
      </c>
      <c r="G67" s="107">
        <v>2.2999999999999998</v>
      </c>
      <c r="H67" s="107">
        <v>2.4</v>
      </c>
      <c r="I67" s="107"/>
    </row>
    <row r="68" spans="1:13" customFormat="1" x14ac:dyDescent="0.45">
      <c r="A68" s="22"/>
      <c r="B68" s="171" t="str">
        <f>ScenarioName</f>
        <v>Draft budgety plan 2026</v>
      </c>
      <c r="C68" s="108" cm="1">
        <f t="array" ref="C68:H68">INDEX(
  Assessment!$23:$23,
  1,
  MATCH(MTP_BaseYear,Assessment!$4:$4,0)
    + _xlfn.SEQUENCE(1, COLUMNS(_xlfn.ANCHORARRAY(C50)), 0)
)</f>
        <v>6.2696911980743009</v>
      </c>
      <c r="D68" s="64">
        <v>3.2094021239268633</v>
      </c>
      <c r="E68" s="64">
        <v>2.7768191292891542</v>
      </c>
      <c r="F68" s="64">
        <v>3.2</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6.6</v>
      </c>
      <c r="D69" s="107">
        <v>5.3</v>
      </c>
      <c r="E69" s="107">
        <v>4.5</v>
      </c>
      <c r="F69" s="107">
        <v>4.3</v>
      </c>
      <c r="G69" s="107">
        <v>3.8</v>
      </c>
      <c r="H69" s="107">
        <v>3.7</v>
      </c>
      <c r="I69" s="107"/>
    </row>
    <row r="70" spans="1:13" x14ac:dyDescent="0.45">
      <c r="B70" s="171" t="str">
        <f>ScenarioName</f>
        <v>Draft budgety plan 2026</v>
      </c>
      <c r="C70" s="108" cm="1">
        <f t="array" ref="C70:H70">INDEX(
  Assessment!$24:$24,
  1,
  MATCH(MTP_BaseYear,Assessment!$4:$4,0)
    + _xlfn.SEQUENCE(1, COLUMNS(_xlfn.ANCHORARRAY(C50)), 0)
)</f>
        <v>8.5394961661031665</v>
      </c>
      <c r="D70" s="64">
        <v>5.3629461889515229</v>
      </c>
      <c r="E70" s="64">
        <v>4.9074496485536745</v>
      </c>
      <c r="F70" s="64">
        <v>5.2</v>
      </c>
      <c r="G70" s="64" t="str">
        <v/>
      </c>
      <c r="H70" s="64" t="str">
        <v/>
      </c>
      <c r="I70" s="64"/>
    </row>
    <row r="71" spans="1:13" x14ac:dyDescent="0.45">
      <c r="B71" s="170" t="s">
        <v>275</v>
      </c>
      <c r="C71" s="107" cm="1">
        <f t="array" ref="C71:H71">INDEX(
  Assessment!$43:$43,
  1,
  MATCH(MTP_BaseYear,Assessment!$32:$32,0)
    + _xlfn.SEQUENCE(1, COLUMNS(_xlfn.ANCHORARRAY(C50)), 0)
)</f>
        <v>0.6</v>
      </c>
      <c r="D71" s="107">
        <v>1.2</v>
      </c>
      <c r="E71" s="107">
        <v>2.5</v>
      </c>
      <c r="F71" s="107">
        <v>2.4</v>
      </c>
      <c r="G71" s="107">
        <v>1.7</v>
      </c>
      <c r="H71" s="107">
        <v>1.5</v>
      </c>
      <c r="I71" s="107"/>
    </row>
    <row r="72" spans="1:13" x14ac:dyDescent="0.45">
      <c r="B72" s="171" t="str">
        <f>ScenarioName</f>
        <v>Draft budgety plan 2026</v>
      </c>
      <c r="C72" s="108" cm="1">
        <f t="array" ref="C72:H72">INDEX(
  Assessment!$25:$25,
  1,
  MATCH(MTP_BaseYear,Assessment!$4:$4,0)
    + _xlfn.SEQUENCE(1, COLUMNS(_xlfn.ANCHORARRAY(C50)), 0)
)</f>
        <v>0.41214777352651666</v>
      </c>
      <c r="D72" s="64">
        <v>0.89840122569280201</v>
      </c>
      <c r="E72" s="64">
        <v>1.6052979221115482</v>
      </c>
      <c r="F72" s="64">
        <v>1.9</v>
      </c>
      <c r="G72" s="64" t="str">
        <v/>
      </c>
      <c r="H72" s="64" t="str">
        <v/>
      </c>
      <c r="I72" s="64"/>
    </row>
    <row r="73" spans="1:13" x14ac:dyDescent="0.45">
      <c r="B73" s="170" t="s">
        <v>272</v>
      </c>
      <c r="C73" s="107" cm="1">
        <f t="array" ref="C73:H73">INDEX(
  Assessment!$44:$44,
  1,
  MATCH(MTP_BaseYear,Assessment!$32:$32,0)
    + _xlfn.SEQUENCE(1, COLUMNS(_xlfn.ANCHORARRAY(C50)), 0)
)</f>
        <v>0.3</v>
      </c>
      <c r="D73" s="107">
        <v>1.2</v>
      </c>
      <c r="E73" s="107">
        <v>1</v>
      </c>
      <c r="F73" s="107">
        <v>0.6</v>
      </c>
      <c r="G73" s="107">
        <v>0.3</v>
      </c>
      <c r="H73" s="107">
        <v>0.1</v>
      </c>
      <c r="I73" s="107"/>
    </row>
    <row r="74" spans="1:13" x14ac:dyDescent="0.45">
      <c r="B74" s="172" t="str">
        <f>ScenarioName</f>
        <v>Draft budgety plan 2026</v>
      </c>
      <c r="C74" s="109" cm="1">
        <f t="array" ref="C74:H74">INDEX(
  Assessment!$26:$26,
  1,
  MATCH(MTP_BaseYear,Assessment!$4:$4,0)
    + _xlfn.SEQUENCE(1, COLUMNS(_xlfn.ANCHORARRAY(C50)), 0)
)</f>
        <v>1.0428730339908876</v>
      </c>
      <c r="D74" s="109">
        <v>2.2327473732196124</v>
      </c>
      <c r="E74" s="109">
        <v>2.7034073702548067</v>
      </c>
      <c r="F74" s="109">
        <v>2.7</v>
      </c>
      <c r="G74" s="109" t="str">
        <v/>
      </c>
      <c r="H74" s="109" t="str">
        <v/>
      </c>
      <c r="I74" s="108"/>
    </row>
    <row r="75" spans="1:13" x14ac:dyDescent="0.45">
      <c r="B75" s="153" t="str">
        <f>"Numbers in green indicate "&amp;ScenarioName&amp;" is outperforming the medium-term plan"</f>
        <v>Numbers in green indicate Draft budgety plan 2026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Draft budgety plan 2026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Draft budgety plan 2026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2.6</v>
      </c>
      <c r="F6" s="164">
        <f t="shared" ref="F6:I6" si="0">G103</f>
        <v>3.6999999999999997</v>
      </c>
      <c r="G6" s="164">
        <f t="shared" si="0"/>
        <v>3.6000000000000005</v>
      </c>
      <c r="H6" s="164">
        <f t="shared" si="0"/>
        <v>3.1</v>
      </c>
      <c r="I6" s="164">
        <f t="shared" si="0"/>
        <v>3</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-1.6</v>
      </c>
      <c r="E7" s="165">
        <f t="shared" ref="E7:I7" si="1">F105</f>
        <v>-1</v>
      </c>
      <c r="F7" s="165">
        <f t="shared" si="1"/>
        <v>-0.6</v>
      </c>
      <c r="G7" s="165">
        <f t="shared" si="1"/>
        <v>-0.8</v>
      </c>
      <c r="H7" s="165">
        <f t="shared" si="1"/>
        <v>-1.1000000000000001</v>
      </c>
      <c r="I7" s="165">
        <f t="shared" si="1"/>
        <v>-1.2</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-1.5</v>
      </c>
      <c r="E8" s="165">
        <f t="shared" ref="E8:I8" si="2">F108</f>
        <v>-1.5</v>
      </c>
      <c r="F8" s="165">
        <f t="shared" si="2"/>
        <v>-1.1000000000000001</v>
      </c>
      <c r="G8" s="165">
        <f t="shared" si="2"/>
        <v>-1.1000000000000001</v>
      </c>
      <c r="H8" s="165">
        <f t="shared" si="2"/>
        <v>-1.2</v>
      </c>
      <c r="I8" s="165">
        <f t="shared" si="2"/>
        <v>-1.3</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1.9</v>
      </c>
      <c r="E9" s="165">
        <f t="shared" ref="E9:I9" si="3">F109</f>
        <v>1.9</v>
      </c>
      <c r="F9" s="165">
        <f t="shared" si="3"/>
        <v>2</v>
      </c>
      <c r="G9" s="165">
        <f t="shared" si="3"/>
        <v>2.1</v>
      </c>
      <c r="H9" s="165">
        <f t="shared" si="3"/>
        <v>2.2000000000000002</v>
      </c>
      <c r="I9" s="165">
        <f t="shared" si="3"/>
        <v>2.2999999999999998</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161.9</v>
      </c>
      <c r="E10" s="165">
        <f t="shared" ref="E10:I10" si="4">F111</f>
        <v>153.69999999999999</v>
      </c>
      <c r="F10" s="165">
        <f t="shared" si="4"/>
        <v>149.1</v>
      </c>
      <c r="G10" s="165">
        <f t="shared" si="4"/>
        <v>143.1</v>
      </c>
      <c r="H10" s="165">
        <f t="shared" si="4"/>
        <v>138</v>
      </c>
      <c r="I10" s="165">
        <f t="shared" si="4"/>
        <v>133.4</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-10.8</v>
      </c>
      <c r="E11" s="165">
        <f t="shared" ref="E11:I11" si="5">F112</f>
        <v>-8.1999999999999993</v>
      </c>
      <c r="F11" s="165">
        <f t="shared" si="5"/>
        <v>-4.5999999999999996</v>
      </c>
      <c r="G11" s="165">
        <f t="shared" si="5"/>
        <v>-6.1</v>
      </c>
      <c r="H11" s="165">
        <f t="shared" si="5"/>
        <v>-5</v>
      </c>
      <c r="I11" s="165">
        <f t="shared" si="5"/>
        <v>-4.7</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2</v>
      </c>
      <c r="E12" s="165">
        <f t="shared" ref="E12:I12" si="6">F130</f>
        <v>2.2000000000000002</v>
      </c>
      <c r="F12" s="165">
        <f t="shared" si="6"/>
        <v>2.2999999999999998</v>
      </c>
      <c r="G12" s="165">
        <f t="shared" si="6"/>
        <v>2</v>
      </c>
      <c r="H12" s="165">
        <f t="shared" si="6"/>
        <v>1.5</v>
      </c>
      <c r="I12" s="165">
        <f t="shared" si="6"/>
        <v>1.3</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4.5</v>
      </c>
      <c r="E13" s="165">
        <f t="shared" ref="E13:I13" si="7">F131</f>
        <v>3</v>
      </c>
      <c r="F13" s="165">
        <f t="shared" si="7"/>
        <v>2.2000000000000002</v>
      </c>
      <c r="G13" s="165">
        <f t="shared" si="7"/>
        <v>2.2999999999999998</v>
      </c>
      <c r="H13" s="165">
        <f t="shared" si="7"/>
        <v>2.2999999999999998</v>
      </c>
      <c r="I13" s="165">
        <f t="shared" si="7"/>
        <v>2.4</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6.6</v>
      </c>
      <c r="E14" s="165">
        <f t="shared" ref="E14:I14" si="8">F132</f>
        <v>5.3</v>
      </c>
      <c r="F14" s="165">
        <f t="shared" si="8"/>
        <v>4.5</v>
      </c>
      <c r="G14" s="165">
        <f t="shared" si="8"/>
        <v>4.3</v>
      </c>
      <c r="H14" s="165">
        <f t="shared" si="8"/>
        <v>3.8</v>
      </c>
      <c r="I14" s="165">
        <f t="shared" si="8"/>
        <v>3.7</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0.6</v>
      </c>
      <c r="E15" s="37">
        <f t="shared" ref="E15:I15" si="9">F161</f>
        <v>1.2</v>
      </c>
      <c r="F15" s="37">
        <f t="shared" si="9"/>
        <v>2.5</v>
      </c>
      <c r="G15" s="37">
        <f t="shared" si="9"/>
        <v>2.4</v>
      </c>
      <c r="H15" s="37">
        <f t="shared" si="9"/>
        <v>1.7</v>
      </c>
      <c r="I15" s="37">
        <f t="shared" si="9"/>
        <v>1.5</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0.3</v>
      </c>
      <c r="E16" s="164">
        <f t="shared" ref="E16:I16" si="10">F167</f>
        <v>1.2</v>
      </c>
      <c r="F16" s="164">
        <f t="shared" si="10"/>
        <v>1</v>
      </c>
      <c r="G16" s="164">
        <f t="shared" si="10"/>
        <v>0.6</v>
      </c>
      <c r="H16" s="164">
        <f t="shared" si="10"/>
        <v>0.3</v>
      </c>
      <c r="I16" s="164">
        <f t="shared" si="10"/>
        <v>0.1</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Greece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-1.6</v>
      </c>
      <c r="E25" s="253">
        <f t="shared" ref="E25:S25" si="11">F173</f>
        <v>-1</v>
      </c>
      <c r="F25" s="253">
        <f t="shared" si="11"/>
        <v>-0.6</v>
      </c>
      <c r="G25" s="253">
        <f t="shared" si="11"/>
        <v>-0.8</v>
      </c>
      <c r="H25" s="253">
        <f t="shared" si="11"/>
        <v>-1.1000000000000001</v>
      </c>
      <c r="I25" s="253">
        <f t="shared" si="11"/>
        <v>-1.2</v>
      </c>
      <c r="J25" s="253">
        <f t="shared" si="11"/>
        <v>-1.4</v>
      </c>
      <c r="K25" s="253">
        <f t="shared" si="11"/>
        <v>-1.5</v>
      </c>
      <c r="L25" s="253">
        <f t="shared" si="11"/>
        <v>-1.6</v>
      </c>
      <c r="M25" s="253">
        <f t="shared" si="11"/>
        <v>-1.7</v>
      </c>
      <c r="N25" s="253">
        <f t="shared" si="11"/>
        <v>-1.9</v>
      </c>
      <c r="O25" s="253">
        <f t="shared" si="11"/>
        <v>-2.2000000000000002</v>
      </c>
      <c r="P25" s="253">
        <f t="shared" si="11"/>
        <v>-2.4</v>
      </c>
      <c r="Q25" s="253">
        <f t="shared" si="11"/>
        <v>-2.2000000000000002</v>
      </c>
      <c r="R25" s="253">
        <f t="shared" si="11"/>
        <v>-2.4</v>
      </c>
      <c r="S25" s="253">
        <f t="shared" si="11"/>
        <v>-2.5</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161.9</v>
      </c>
      <c r="E27" s="253">
        <f t="shared" ref="E27:S27" si="12">F172</f>
        <v>153.69999999999999</v>
      </c>
      <c r="F27" s="253">
        <f t="shared" si="12"/>
        <v>149.1</v>
      </c>
      <c r="G27" s="253">
        <f t="shared" si="12"/>
        <v>143.1</v>
      </c>
      <c r="H27" s="253">
        <f t="shared" si="12"/>
        <v>138</v>
      </c>
      <c r="I27" s="253">
        <f t="shared" si="12"/>
        <v>133.4</v>
      </c>
      <c r="J27" s="253">
        <f t="shared" si="12"/>
        <v>130.1</v>
      </c>
      <c r="K27" s="253">
        <f t="shared" si="12"/>
        <v>127.1</v>
      </c>
      <c r="L27" s="253">
        <f t="shared" si="12"/>
        <v>124.3</v>
      </c>
      <c r="M27" s="253">
        <f t="shared" si="12"/>
        <v>121.7</v>
      </c>
      <c r="N27" s="253">
        <f t="shared" si="12"/>
        <v>120.6</v>
      </c>
      <c r="O27" s="253">
        <f t="shared" si="12"/>
        <v>119.6</v>
      </c>
      <c r="P27" s="253">
        <f t="shared" si="12"/>
        <v>118.4</v>
      </c>
      <c r="Q27" s="253">
        <f t="shared" si="12"/>
        <v>117.1</v>
      </c>
      <c r="R27" s="253">
        <f t="shared" si="12"/>
        <v>115.9</v>
      </c>
      <c r="S27" s="253">
        <f t="shared" si="12"/>
        <v>114.9</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161.9</v>
      </c>
      <c r="E29" s="253">
        <f t="shared" ref="E29:S29" si="13">F206</f>
        <v>153.69999999999999</v>
      </c>
      <c r="F29" s="253">
        <f t="shared" si="13"/>
        <v>148.80000000000001</v>
      </c>
      <c r="G29" s="253">
        <f t="shared" si="13"/>
        <v>142.4</v>
      </c>
      <c r="H29" s="253">
        <f t="shared" si="13"/>
        <v>137.19999999999999</v>
      </c>
      <c r="I29" s="253">
        <f t="shared" si="13"/>
        <v>132.5</v>
      </c>
      <c r="J29" s="253">
        <f t="shared" si="13"/>
        <v>128.80000000000001</v>
      </c>
      <c r="K29" s="253">
        <f t="shared" si="13"/>
        <v>125.4</v>
      </c>
      <c r="L29" s="253">
        <f t="shared" si="13"/>
        <v>122.2</v>
      </c>
      <c r="M29" s="253">
        <f t="shared" si="13"/>
        <v>119.3</v>
      </c>
      <c r="N29" s="253">
        <f t="shared" si="13"/>
        <v>117.8</v>
      </c>
      <c r="O29" s="253">
        <f t="shared" si="13"/>
        <v>116.5</v>
      </c>
      <c r="P29" s="253">
        <f t="shared" si="13"/>
        <v>114.9</v>
      </c>
      <c r="Q29" s="253">
        <f t="shared" si="13"/>
        <v>113.3</v>
      </c>
      <c r="R29" s="253">
        <f t="shared" si="13"/>
        <v>111.7</v>
      </c>
      <c r="S29" s="253">
        <f t="shared" si="13"/>
        <v>110.3</v>
      </c>
      <c r="T29" s="253" t="s">
        <v>698</v>
      </c>
      <c r="U29" s="253" t="s">
        <v>698</v>
      </c>
      <c r="V29" s="253" t="s">
        <v>698</v>
      </c>
      <c r="W29" s="253" t="s">
        <v>698</v>
      </c>
      <c r="X29" s="37"/>
      <c r="Y29" s="37"/>
      <c r="Z29" s="14"/>
    </row>
    <row r="30" spans="1:26" s="14" customFormat="1" x14ac:dyDescent="0.4">
      <c r="A30"/>
      <c r="B30" s="46" t="s">
        <v>286</v>
      </c>
      <c r="D30" s="253">
        <f t="shared" ref="D30:S30" si="14">E189</f>
        <v>161.9</v>
      </c>
      <c r="E30" s="253">
        <f t="shared" si="14"/>
        <v>153.69999999999999</v>
      </c>
      <c r="F30" s="253">
        <f t="shared" si="14"/>
        <v>149.1</v>
      </c>
      <c r="G30" s="253">
        <f t="shared" si="14"/>
        <v>143.1</v>
      </c>
      <c r="H30" s="253">
        <f t="shared" si="14"/>
        <v>138</v>
      </c>
      <c r="I30" s="253">
        <f t="shared" si="14"/>
        <v>133.4</v>
      </c>
      <c r="J30" s="253">
        <f t="shared" si="14"/>
        <v>130.5</v>
      </c>
      <c r="K30" s="253">
        <f t="shared" si="14"/>
        <v>127.7</v>
      </c>
      <c r="L30" s="253">
        <f t="shared" si="14"/>
        <v>125.2</v>
      </c>
      <c r="M30" s="253">
        <f t="shared" si="14"/>
        <v>122.7</v>
      </c>
      <c r="N30" s="253">
        <f t="shared" si="14"/>
        <v>121.8</v>
      </c>
      <c r="O30" s="253">
        <f t="shared" si="14"/>
        <v>121</v>
      </c>
      <c r="P30" s="253">
        <f t="shared" si="14"/>
        <v>119.9</v>
      </c>
      <c r="Q30" s="253">
        <f t="shared" si="14"/>
        <v>118.8</v>
      </c>
      <c r="R30" s="253">
        <f t="shared" si="14"/>
        <v>117.7</v>
      </c>
      <c r="S30" s="253">
        <f t="shared" si="14"/>
        <v>116.7</v>
      </c>
      <c r="T30" s="253" t="s">
        <v>698</v>
      </c>
      <c r="U30" s="253" t="s">
        <v>698</v>
      </c>
      <c r="V30" s="253" t="s">
        <v>698</v>
      </c>
      <c r="W30" s="253" t="s">
        <v>698</v>
      </c>
      <c r="X30" s="37"/>
      <c r="Y30" s="37"/>
    </row>
    <row r="31" spans="1:26" s="14" customFormat="1" x14ac:dyDescent="0.4">
      <c r="A31"/>
      <c r="B31" s="46" t="s">
        <v>287</v>
      </c>
      <c r="D31" s="253">
        <f t="shared" ref="D31:S31" si="15">E193</f>
        <v>161.9</v>
      </c>
      <c r="E31" s="253">
        <f t="shared" si="15"/>
        <v>153.69999999999999</v>
      </c>
      <c r="F31" s="253">
        <f t="shared" si="15"/>
        <v>149.1</v>
      </c>
      <c r="G31" s="253">
        <f t="shared" si="15"/>
        <v>143.1</v>
      </c>
      <c r="H31" s="253">
        <f t="shared" si="15"/>
        <v>138</v>
      </c>
      <c r="I31" s="253">
        <f t="shared" si="15"/>
        <v>133.4</v>
      </c>
      <c r="J31" s="253">
        <f t="shared" si="15"/>
        <v>130</v>
      </c>
      <c r="K31" s="253">
        <f t="shared" si="15"/>
        <v>127.1</v>
      </c>
      <c r="L31" s="253">
        <f t="shared" si="15"/>
        <v>124.8</v>
      </c>
      <c r="M31" s="253">
        <f t="shared" si="15"/>
        <v>122.8</v>
      </c>
      <c r="N31" s="253">
        <f t="shared" si="15"/>
        <v>122.4</v>
      </c>
      <c r="O31" s="253">
        <f t="shared" si="15"/>
        <v>121.9</v>
      </c>
      <c r="P31" s="253">
        <f t="shared" si="15"/>
        <v>121.3</v>
      </c>
      <c r="Q31" s="253">
        <f t="shared" si="15"/>
        <v>120.5</v>
      </c>
      <c r="R31" s="253">
        <f t="shared" si="15"/>
        <v>119.9</v>
      </c>
      <c r="S31" s="253">
        <f t="shared" si="15"/>
        <v>119.3</v>
      </c>
      <c r="T31" s="253" t="s">
        <v>698</v>
      </c>
      <c r="U31" s="253" t="s">
        <v>698</v>
      </c>
      <c r="V31" s="253" t="s">
        <v>698</v>
      </c>
      <c r="W31" s="253" t="s">
        <v>698</v>
      </c>
      <c r="X31" s="37"/>
      <c r="Y31" s="37"/>
    </row>
    <row r="32" spans="1:26" x14ac:dyDescent="0.4">
      <c r="B32" s="46" t="s">
        <v>288</v>
      </c>
      <c r="C32" s="14"/>
      <c r="D32" s="253">
        <f t="shared" ref="D32:S32" si="16">E196</f>
        <v>161.9</v>
      </c>
      <c r="E32" s="253">
        <f t="shared" si="16"/>
        <v>153.69999999999999</v>
      </c>
      <c r="F32" s="253">
        <f t="shared" si="16"/>
        <v>149.1</v>
      </c>
      <c r="G32" s="253">
        <f t="shared" si="16"/>
        <v>143.1</v>
      </c>
      <c r="H32" s="253">
        <f t="shared" si="16"/>
        <v>138</v>
      </c>
      <c r="I32" s="253">
        <f t="shared" si="16"/>
        <v>133.4</v>
      </c>
      <c r="J32" s="253">
        <f t="shared" si="16"/>
        <v>130.80000000000001</v>
      </c>
      <c r="K32" s="253">
        <f t="shared" si="16"/>
        <v>128.5</v>
      </c>
      <c r="L32" s="253">
        <f t="shared" si="16"/>
        <v>126.6</v>
      </c>
      <c r="M32" s="253">
        <f t="shared" si="16"/>
        <v>124.7</v>
      </c>
      <c r="N32" s="253">
        <f t="shared" si="16"/>
        <v>124.5</v>
      </c>
      <c r="O32" s="253">
        <f t="shared" si="16"/>
        <v>124.4</v>
      </c>
      <c r="P32" s="253">
        <f t="shared" si="16"/>
        <v>124.1</v>
      </c>
      <c r="Q32" s="253">
        <f t="shared" si="16"/>
        <v>123.8</v>
      </c>
      <c r="R32" s="253">
        <f t="shared" si="16"/>
        <v>123.5</v>
      </c>
      <c r="S32" s="253">
        <f t="shared" si="16"/>
        <v>123.5</v>
      </c>
      <c r="T32" s="253" t="s">
        <v>698</v>
      </c>
      <c r="U32" s="253" t="s">
        <v>698</v>
      </c>
      <c r="V32" s="253" t="s">
        <v>698</v>
      </c>
      <c r="W32" s="253" t="s">
        <v>698</v>
      </c>
      <c r="X32" s="37"/>
      <c r="Y32" s="37"/>
      <c r="Z32" s="14"/>
    </row>
    <row r="33" spans="1:26" x14ac:dyDescent="0.4">
      <c r="B33" s="61" t="s">
        <v>355</v>
      </c>
      <c r="C33" s="19"/>
      <c r="D33" s="119">
        <f>E202</f>
        <v>71.8</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v>2.9696829634729704</v>
      </c>
      <c r="G39" s="252">
        <v>3.2444096853891877</v>
      </c>
      <c r="H39" s="252">
        <v>3.0965231853891879</v>
      </c>
      <c r="I39" s="252">
        <v>3.0449796853891877</v>
      </c>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4.4700080209056496</v>
      </c>
      <c r="E44" s="253">
        <v>1.7916717664570148</v>
      </c>
      <c r="F44" s="253">
        <v>2.9696829634729704</v>
      </c>
      <c r="G44" s="253">
        <v>3.2444096853891877</v>
      </c>
      <c r="H44" s="253">
        <v>3.0965231853891879</v>
      </c>
      <c r="I44" s="253">
        <v>3.0449796853891877</v>
      </c>
      <c r="J44" s="253">
        <v>3.3389693999999999</v>
      </c>
      <c r="K44" s="253">
        <v>3.2888442999999996</v>
      </c>
      <c r="L44" s="253">
        <v>3.2535126999999999</v>
      </c>
      <c r="M44" s="253">
        <v>3.2021711999999996</v>
      </c>
      <c r="N44" s="253">
        <v>3.2474053999999999</v>
      </c>
      <c r="O44" s="253">
        <v>3.2303970999999998</v>
      </c>
      <c r="P44" s="253">
        <v>3.2133888999999995</v>
      </c>
      <c r="Q44" s="253">
        <v>3.1963805999999999</v>
      </c>
      <c r="R44" s="253">
        <v>3.284144</v>
      </c>
      <c r="S44" s="253">
        <v>3.3402711999999997</v>
      </c>
      <c r="T44" s="253"/>
      <c r="U44" s="253"/>
      <c r="V44" s="253"/>
      <c r="W44" s="253"/>
    </row>
    <row r="45" spans="1:26" x14ac:dyDescent="0.4">
      <c r="B45" s="46" t="s">
        <v>206</v>
      </c>
      <c r="C45" s="14"/>
      <c r="D45" s="253">
        <v>-1.5923841206274993</v>
      </c>
      <c r="E45" s="253">
        <v>-1.1512948262368923</v>
      </c>
      <c r="F45" s="253">
        <v>-0.34970036315950415</v>
      </c>
      <c r="G45" s="253">
        <v>-0.59070667162167956</v>
      </c>
      <c r="H45" s="253">
        <v>-0.89253986496137339</v>
      </c>
      <c r="I45" s="253">
        <v>-1.0259500208519876</v>
      </c>
      <c r="J45" s="253">
        <v>-1.175590784300184</v>
      </c>
      <c r="K45" s="253">
        <v>-1.2309998232533408</v>
      </c>
      <c r="L45" s="253">
        <v>-1.3414287021375784</v>
      </c>
      <c r="M45" s="253">
        <v>-1.4470669261111699</v>
      </c>
      <c r="N45" s="253">
        <v>-1.6038329960664739</v>
      </c>
      <c r="O45" s="253">
        <v>-1.8018166345028201</v>
      </c>
      <c r="P45" s="253">
        <v>-2.001104308943336</v>
      </c>
      <c r="Q45" s="253">
        <v>-1.8596903289663982</v>
      </c>
      <c r="R45" s="253">
        <v>-1.9799428865175956</v>
      </c>
      <c r="S45" s="253">
        <v>-2.1244769701007811</v>
      </c>
      <c r="T45" s="253"/>
      <c r="U45" s="253"/>
      <c r="V45" s="253"/>
      <c r="W45" s="253"/>
    </row>
    <row r="46" spans="1:26" x14ac:dyDescent="0.4">
      <c r="B46" s="46" t="s">
        <v>3</v>
      </c>
      <c r="C46" s="14"/>
      <c r="D46" s="253">
        <v>1.927511</v>
      </c>
      <c r="E46" s="253">
        <v>1.7293769999999999</v>
      </c>
      <c r="F46" s="253">
        <v>2.1293769999999999</v>
      </c>
      <c r="G46" s="253">
        <v>2.289377</v>
      </c>
      <c r="H46" s="253">
        <v>2.4493770000000001</v>
      </c>
      <c r="I46" s="253">
        <v>2.6093770000000003</v>
      </c>
      <c r="J46" s="253">
        <v>2.6093770000000003</v>
      </c>
      <c r="K46" s="253">
        <v>2.6093770000000003</v>
      </c>
      <c r="L46" s="253">
        <v>2.6093770000000003</v>
      </c>
      <c r="M46" s="253">
        <v>2.6093770000000003</v>
      </c>
      <c r="N46" s="253">
        <v>2.6093770000000003</v>
      </c>
      <c r="O46" s="253">
        <v>2.6093770000000003</v>
      </c>
      <c r="P46" s="253">
        <v>2.6093770000000003</v>
      </c>
      <c r="Q46" s="253">
        <v>2.6093770000000003</v>
      </c>
      <c r="R46" s="253">
        <v>2.6093770000000003</v>
      </c>
      <c r="S46" s="253">
        <v>2.6093770000000003</v>
      </c>
      <c r="T46" s="253"/>
      <c r="U46" s="253"/>
      <c r="V46" s="253"/>
      <c r="W46" s="253"/>
    </row>
    <row r="47" spans="1:26" s="14" customFormat="1" x14ac:dyDescent="0.4">
      <c r="A47"/>
      <c r="B47" s="46" t="s">
        <v>1</v>
      </c>
      <c r="D47" s="253">
        <v>161.91113695162562</v>
      </c>
      <c r="E47" s="253">
        <v>153.85247852629993</v>
      </c>
      <c r="F47" s="253">
        <v>149.71870642137412</v>
      </c>
      <c r="G47" s="253">
        <v>145.14356408597757</v>
      </c>
      <c r="H47" s="253">
        <v>140.84130510503616</v>
      </c>
      <c r="I47" s="253">
        <v>136.59425954400712</v>
      </c>
      <c r="J47" s="253">
        <v>132.39011631707174</v>
      </c>
      <c r="K47" s="253">
        <v>128.4132738094454</v>
      </c>
      <c r="L47" s="253">
        <v>124.69755840460566</v>
      </c>
      <c r="M47" s="253">
        <v>121.16811216704178</v>
      </c>
      <c r="N47" s="253">
        <v>119.13749499989976</v>
      </c>
      <c r="O47" s="253">
        <v>117.38561044918471</v>
      </c>
      <c r="P47" s="253">
        <v>115.90446514538829</v>
      </c>
      <c r="Q47" s="253">
        <v>114.34444706752751</v>
      </c>
      <c r="R47" s="253">
        <v>112.85394408482392</v>
      </c>
      <c r="S47" s="253">
        <v>111.49198072132114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v>161.91113695162562</v>
      </c>
      <c r="E49" s="119">
        <v>153.85247852629993</v>
      </c>
      <c r="F49" s="119">
        <v>149.27724770206569</v>
      </c>
      <c r="G49" s="119">
        <v>144.64149369189252</v>
      </c>
      <c r="H49" s="119">
        <v>140.97028194012782</v>
      </c>
      <c r="I49" s="119">
        <v>137.12768547201716</v>
      </c>
      <c r="J49" s="119">
        <v>133.06420047402705</v>
      </c>
      <c r="K49" s="119">
        <v>129.20537488531068</v>
      </c>
      <c r="L49" s="119">
        <v>125.58478915343861</v>
      </c>
      <c r="M49" s="119">
        <v>122.22215834719655</v>
      </c>
      <c r="N49" s="119">
        <v>120.36072956677233</v>
      </c>
      <c r="O49" s="119">
        <v>118.78010294440216</v>
      </c>
      <c r="P49" s="119">
        <v>117.4726377320048</v>
      </c>
      <c r="Q49" s="119">
        <v>116.08698164075201</v>
      </c>
      <c r="R49" s="119">
        <v>114.77038516536352</v>
      </c>
      <c r="S49" s="119">
        <v>113.58183212549778</v>
      </c>
      <c r="T49" s="253"/>
      <c r="U49" s="253"/>
      <c r="V49" s="253"/>
      <c r="W49" s="253"/>
      <c r="X49"/>
    </row>
    <row r="50" spans="1:26" s="14" customFormat="1" ht="16.899999999999999" customHeight="1" x14ac:dyDescent="0.4">
      <c r="A50"/>
      <c r="B50" s="46" t="s">
        <v>286</v>
      </c>
      <c r="D50" s="119">
        <v>161.91113695162562</v>
      </c>
      <c r="E50" s="119">
        <v>153.85247852629993</v>
      </c>
      <c r="F50" s="119">
        <v>149.59789004219343</v>
      </c>
      <c r="G50" s="119">
        <v>145.28997291256584</v>
      </c>
      <c r="H50" s="119">
        <v>141.245715508969</v>
      </c>
      <c r="I50" s="119">
        <v>137.25281579283103</v>
      </c>
      <c r="J50" s="119">
        <v>133.8200610374854</v>
      </c>
      <c r="K50" s="119">
        <v>130.33135826476072</v>
      </c>
      <c r="L50" s="119">
        <v>127.10070861941526</v>
      </c>
      <c r="M50" s="119">
        <v>124.01923664244671</v>
      </c>
      <c r="N50" s="119">
        <v>122.42510295927377</v>
      </c>
      <c r="O50" s="119">
        <v>121.09479805070788</v>
      </c>
      <c r="P50" s="119">
        <v>120.02577525279222</v>
      </c>
      <c r="Q50" s="119">
        <v>118.86551713807437</v>
      </c>
      <c r="R50" s="119">
        <v>117.75943490401559</v>
      </c>
      <c r="S50" s="119">
        <v>116.76749363520288</v>
      </c>
      <c r="T50" s="253"/>
      <c r="U50" s="253"/>
      <c r="V50" s="253"/>
      <c r="W50" s="253"/>
      <c r="X50"/>
    </row>
    <row r="51" spans="1:26" s="14" customFormat="1" x14ac:dyDescent="0.4">
      <c r="A51"/>
      <c r="B51" s="46" t="s">
        <v>287</v>
      </c>
      <c r="D51" s="119">
        <v>161.91113695162559</v>
      </c>
      <c r="E51" s="119">
        <v>153.8524785262999</v>
      </c>
      <c r="F51" s="119">
        <v>149.5978900421934</v>
      </c>
      <c r="G51" s="119">
        <v>145.28997291256582</v>
      </c>
      <c r="H51" s="119">
        <v>141.24571550896897</v>
      </c>
      <c r="I51" s="119">
        <v>137.252815792831</v>
      </c>
      <c r="J51" s="119">
        <v>133.19987174493465</v>
      </c>
      <c r="K51" s="119">
        <v>129.61740093667183</v>
      </c>
      <c r="L51" s="119">
        <v>126.62324281684465</v>
      </c>
      <c r="M51" s="119">
        <v>123.9582492961739</v>
      </c>
      <c r="N51" s="119">
        <v>122.86677195220706</v>
      </c>
      <c r="O51" s="119">
        <v>121.89445504372533</v>
      </c>
      <c r="P51" s="119">
        <v>121.20192897993118</v>
      </c>
      <c r="Q51" s="119">
        <v>120.43521323996886</v>
      </c>
      <c r="R51" s="119">
        <v>119.73882488752483</v>
      </c>
      <c r="S51" s="119">
        <v>119.17177249323562</v>
      </c>
      <c r="T51" s="253"/>
      <c r="U51" s="253"/>
      <c r="V51" s="253"/>
      <c r="W51" s="253"/>
      <c r="X51"/>
    </row>
    <row r="52" spans="1:26" ht="20.25" customHeight="1" x14ac:dyDescent="0.4">
      <c r="B52" s="46" t="s">
        <v>288</v>
      </c>
      <c r="C52" s="14"/>
      <c r="D52" s="119">
        <v>161.91113695162559</v>
      </c>
      <c r="E52" s="119">
        <v>153.8524785262999</v>
      </c>
      <c r="F52" s="119">
        <v>149.5978900421934</v>
      </c>
      <c r="G52" s="119">
        <v>145.28997291256582</v>
      </c>
      <c r="H52" s="119">
        <v>141.24571550896897</v>
      </c>
      <c r="I52" s="119">
        <v>137.252815792831</v>
      </c>
      <c r="J52" s="119">
        <v>134.04990677283786</v>
      </c>
      <c r="K52" s="119">
        <v>131.09718210184437</v>
      </c>
      <c r="L52" s="119">
        <v>128.43374884607385</v>
      </c>
      <c r="M52" s="119">
        <v>125.960106342782</v>
      </c>
      <c r="N52" s="119">
        <v>125.00714031514717</v>
      </c>
      <c r="O52" s="119">
        <v>124.38158177295794</v>
      </c>
      <c r="P52" s="119">
        <v>124.06921835577116</v>
      </c>
      <c r="Q52" s="119">
        <v>123.71484359844193</v>
      </c>
      <c r="R52" s="119">
        <v>123.46122288222477</v>
      </c>
      <c r="S52" s="119">
        <v>123.36840037036164</v>
      </c>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v>141.245715508969</v>
      </c>
      <c r="I54" s="253">
        <v>137.25281579283103</v>
      </c>
      <c r="J54" s="253">
        <v>122.25815120291972</v>
      </c>
      <c r="K54" s="253">
        <v>114.25010057030696</v>
      </c>
      <c r="L54" s="253">
        <v>107.60513128906666</v>
      </c>
      <c r="M54" s="253">
        <v>101.59635785946392</v>
      </c>
      <c r="N54" s="253">
        <v>98.13518877979223</v>
      </c>
      <c r="O54" s="253"/>
      <c r="P54" s="253"/>
      <c r="Q54" s="253"/>
      <c r="R54" s="253"/>
      <c r="S54" s="253"/>
      <c r="T54" s="253"/>
      <c r="U54" s="253"/>
      <c r="V54" s="253"/>
      <c r="W54" s="253"/>
      <c r="Y54" s="14"/>
      <c r="Z54" s="14"/>
    </row>
    <row r="55" spans="1:26" x14ac:dyDescent="0.4">
      <c r="B55" s="82" t="s">
        <v>318</v>
      </c>
      <c r="C55" s="14"/>
      <c r="D55" s="253"/>
      <c r="E55" s="253"/>
      <c r="F55" s="253"/>
      <c r="G55" s="253"/>
      <c r="H55" s="253">
        <v>0</v>
      </c>
      <c r="I55" s="253">
        <v>0</v>
      </c>
      <c r="J55" s="253">
        <v>6.4420318603515625</v>
      </c>
      <c r="K55" s="253">
        <v>8.8560104370117188</v>
      </c>
      <c r="L55" s="253">
        <v>10.978988647460938</v>
      </c>
      <c r="M55" s="253">
        <v>12.468063354492188</v>
      </c>
      <c r="N55" s="253">
        <v>13.204620361328125</v>
      </c>
      <c r="O55" s="253"/>
      <c r="P55" s="253"/>
      <c r="Q55" s="253"/>
      <c r="R55" s="253"/>
      <c r="S55" s="253"/>
      <c r="T55" s="253"/>
      <c r="U55" s="253"/>
      <c r="V55" s="253"/>
      <c r="W55" s="253"/>
      <c r="Y55" s="14"/>
      <c r="Z55" s="14"/>
    </row>
    <row r="56" spans="1:26" x14ac:dyDescent="0.4">
      <c r="B56" s="82" t="s">
        <v>319</v>
      </c>
      <c r="C56" s="14"/>
      <c r="D56" s="253"/>
      <c r="E56" s="253"/>
      <c r="F56" s="253"/>
      <c r="G56" s="253"/>
      <c r="H56" s="253">
        <v>0</v>
      </c>
      <c r="I56" s="253">
        <v>0</v>
      </c>
      <c r="J56" s="253">
        <v>4.6009597778320313</v>
      </c>
      <c r="K56" s="253">
        <v>6.482452392578125</v>
      </c>
      <c r="L56" s="253">
        <v>7.56524658203125</v>
      </c>
      <c r="M56" s="253">
        <v>8.8123855590820313</v>
      </c>
      <c r="N56" s="253">
        <v>9.766448974609375</v>
      </c>
      <c r="O56" s="253"/>
      <c r="P56" s="253"/>
      <c r="Q56" s="253"/>
      <c r="R56" s="253"/>
      <c r="S56" s="253"/>
      <c r="T56" s="253"/>
      <c r="U56" s="253"/>
      <c r="V56" s="253"/>
      <c r="W56" s="253"/>
      <c r="Y56" s="14"/>
      <c r="Z56" s="14"/>
    </row>
    <row r="57" spans="1:26" x14ac:dyDescent="0.4">
      <c r="B57" s="82" t="s">
        <v>320</v>
      </c>
      <c r="C57" s="14"/>
      <c r="D57" s="253"/>
      <c r="E57" s="253"/>
      <c r="F57" s="253"/>
      <c r="G57" s="253"/>
      <c r="H57" s="253">
        <v>0</v>
      </c>
      <c r="I57" s="253">
        <v>0</v>
      </c>
      <c r="J57" s="253">
        <v>4.7600479125976563</v>
      </c>
      <c r="K57" s="253">
        <v>6.3986282348632813</v>
      </c>
      <c r="L57" s="253">
        <v>8.135406494140625</v>
      </c>
      <c r="M57" s="253">
        <v>9.994384765625</v>
      </c>
      <c r="N57" s="253">
        <v>11.097587585449219</v>
      </c>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v>0</v>
      </c>
      <c r="I58" s="253">
        <v>0</v>
      </c>
      <c r="J58" s="253">
        <v>7.0638427734375</v>
      </c>
      <c r="K58" s="253">
        <v>10.344230651855469</v>
      </c>
      <c r="L58" s="253">
        <v>12.353729248046875</v>
      </c>
      <c r="M58" s="253">
        <v>14.168663024902344</v>
      </c>
      <c r="N58" s="253">
        <v>15.993553161621094</v>
      </c>
      <c r="O58" s="253"/>
      <c r="P58" s="253"/>
      <c r="Q58" s="253"/>
      <c r="R58" s="253"/>
      <c r="S58" s="253"/>
      <c r="T58" s="253"/>
      <c r="U58" s="253"/>
      <c r="V58" s="253"/>
      <c r="W58" s="253"/>
      <c r="X58"/>
    </row>
    <row r="59" spans="1:26" s="14" customFormat="1" x14ac:dyDescent="0.4">
      <c r="A59"/>
      <c r="B59" s="82" t="s">
        <v>317</v>
      </c>
      <c r="D59" s="253"/>
      <c r="E59" s="253"/>
      <c r="F59" s="253"/>
      <c r="G59" s="253"/>
      <c r="H59" s="253">
        <v>141.245715508969</v>
      </c>
      <c r="I59" s="253">
        <v>137.25281579283103</v>
      </c>
      <c r="J59" s="253">
        <v>122.25815120291972</v>
      </c>
      <c r="K59" s="253">
        <v>114.25010057030696</v>
      </c>
      <c r="L59" s="253">
        <v>107.60513128906666</v>
      </c>
      <c r="M59" s="253">
        <v>101.59635785946392</v>
      </c>
      <c r="N59" s="253">
        <v>98.13518877979223</v>
      </c>
      <c r="O59" s="253"/>
      <c r="P59" s="253"/>
      <c r="Q59" s="253"/>
      <c r="R59" s="253"/>
      <c r="S59" s="253"/>
      <c r="T59" s="253"/>
      <c r="U59" s="253"/>
      <c r="V59" s="253"/>
      <c r="W59" s="253"/>
      <c r="X59"/>
    </row>
    <row r="60" spans="1:26" s="14" customFormat="1" x14ac:dyDescent="0.4">
      <c r="A60"/>
      <c r="B60" s="82" t="s">
        <v>322</v>
      </c>
      <c r="D60" s="253"/>
      <c r="E60" s="253"/>
      <c r="F60" s="253"/>
      <c r="G60" s="253"/>
      <c r="H60" s="253">
        <v>141.245715508969</v>
      </c>
      <c r="I60" s="253">
        <v>137.25281579283103</v>
      </c>
      <c r="J60" s="253">
        <v>128.70018306327128</v>
      </c>
      <c r="K60" s="253">
        <v>123.10611100731867</v>
      </c>
      <c r="L60" s="253">
        <v>118.5841199365276</v>
      </c>
      <c r="M60" s="253">
        <v>114.06442121395611</v>
      </c>
      <c r="N60" s="253">
        <v>111.33980914112036</v>
      </c>
      <c r="O60" s="253"/>
      <c r="P60" s="253"/>
      <c r="Q60" s="253"/>
      <c r="R60" s="253"/>
      <c r="S60" s="253"/>
      <c r="T60" s="253"/>
      <c r="U60" s="253"/>
      <c r="V60" s="253"/>
      <c r="W60" s="253"/>
      <c r="X60" s="70"/>
      <c r="Y60"/>
      <c r="Z60"/>
    </row>
    <row r="61" spans="1:26" s="14" customFormat="1" x14ac:dyDescent="0.4">
      <c r="A61"/>
      <c r="B61" s="82" t="s">
        <v>323</v>
      </c>
      <c r="D61" s="253"/>
      <c r="E61" s="253"/>
      <c r="F61" s="253"/>
      <c r="G61" s="253"/>
      <c r="H61" s="253">
        <v>141.245715508969</v>
      </c>
      <c r="I61" s="253">
        <v>137.25281579283103</v>
      </c>
      <c r="J61" s="253">
        <v>133.30114284110331</v>
      </c>
      <c r="K61" s="253">
        <v>129.5885633998968</v>
      </c>
      <c r="L61" s="253">
        <v>126.14936651855885</v>
      </c>
      <c r="M61" s="253">
        <v>122.87680677303814</v>
      </c>
      <c r="N61" s="253">
        <v>121.10625811572973</v>
      </c>
      <c r="O61" s="253"/>
      <c r="P61" s="253"/>
      <c r="Q61" s="253"/>
      <c r="R61" s="253"/>
      <c r="S61" s="253"/>
      <c r="T61" s="253"/>
      <c r="U61" s="253"/>
      <c r="V61" s="253"/>
      <c r="W61" s="253"/>
      <c r="X61" s="70"/>
      <c r="Y61"/>
      <c r="Z61"/>
    </row>
    <row r="62" spans="1:26" s="14" customFormat="1" x14ac:dyDescent="0.4">
      <c r="A62"/>
      <c r="B62" s="82" t="s">
        <v>324</v>
      </c>
      <c r="D62" s="253"/>
      <c r="E62" s="253"/>
      <c r="F62" s="253"/>
      <c r="G62" s="253"/>
      <c r="H62" s="253">
        <v>141.245715508969</v>
      </c>
      <c r="I62" s="253">
        <v>137.25281579283103</v>
      </c>
      <c r="J62" s="253">
        <v>138.06119075370097</v>
      </c>
      <c r="K62" s="253">
        <v>135.98719163476008</v>
      </c>
      <c r="L62" s="253">
        <v>134.28477301269947</v>
      </c>
      <c r="M62" s="253">
        <v>132.87119153866314</v>
      </c>
      <c r="N62" s="253">
        <v>132.20384570117895</v>
      </c>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v>141.245715508969</v>
      </c>
      <c r="I63" s="253">
        <v>137.25281579283103</v>
      </c>
      <c r="J63" s="253">
        <v>145.12503352713847</v>
      </c>
      <c r="K63" s="253">
        <v>146.33142228661555</v>
      </c>
      <c r="L63" s="253">
        <v>146.63850226074635</v>
      </c>
      <c r="M63" s="253">
        <v>147.03985456356548</v>
      </c>
      <c r="N63" s="253">
        <v>148.19739886280004</v>
      </c>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951</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38.4</v>
      </c>
      <c r="E72" s="4">
        <v>17.399999999999999</v>
      </c>
      <c r="F72" s="4">
        <v>17.3</v>
      </c>
      <c r="G72" s="4"/>
      <c r="H72" s="4"/>
      <c r="I72" s="4"/>
      <c r="J72" s="4"/>
    </row>
    <row r="73" spans="1:26" x14ac:dyDescent="0.4">
      <c r="A73" s="212">
        <v>2</v>
      </c>
      <c r="B73" s="238" t="s">
        <v>33</v>
      </c>
      <c r="C73" s="238" t="s">
        <v>73</v>
      </c>
      <c r="D73" s="4">
        <v>23.3</v>
      </c>
      <c r="E73" s="4">
        <v>10.6</v>
      </c>
      <c r="F73" s="4">
        <v>10.8</v>
      </c>
      <c r="G73" s="4"/>
      <c r="H73" s="4"/>
      <c r="I73" s="4"/>
      <c r="J73" s="4"/>
    </row>
    <row r="74" spans="1:26" x14ac:dyDescent="0.4">
      <c r="A74" s="212">
        <v>3</v>
      </c>
      <c r="B74" s="238" t="s">
        <v>34</v>
      </c>
      <c r="C74" s="238" t="s">
        <v>74</v>
      </c>
      <c r="D74" s="4">
        <v>29.2</v>
      </c>
      <c r="E74" s="4">
        <v>13.3</v>
      </c>
      <c r="F74" s="4">
        <v>13.3</v>
      </c>
      <c r="G74" s="4"/>
      <c r="H74" s="4"/>
      <c r="I74" s="4"/>
      <c r="J74" s="4"/>
    </row>
    <row r="75" spans="1:26" x14ac:dyDescent="0.4">
      <c r="A75" s="212">
        <v>4</v>
      </c>
      <c r="B75" s="238" t="s">
        <v>36</v>
      </c>
      <c r="C75" s="238" t="s">
        <v>75</v>
      </c>
      <c r="D75" s="4">
        <v>11.6</v>
      </c>
      <c r="E75" s="4">
        <v>5.3</v>
      </c>
      <c r="F75" s="4">
        <v>5.0999999999999996</v>
      </c>
      <c r="G75" s="4"/>
      <c r="H75" s="4"/>
      <c r="I75" s="4"/>
      <c r="J75" s="4"/>
    </row>
    <row r="76" spans="1:26" x14ac:dyDescent="0.4">
      <c r="A76" s="212">
        <v>5</v>
      </c>
      <c r="B76" s="238" t="s">
        <v>37</v>
      </c>
      <c r="C76" s="238" t="s">
        <v>76</v>
      </c>
      <c r="D76" s="4">
        <v>0.3</v>
      </c>
      <c r="E76" s="4">
        <v>0.1</v>
      </c>
      <c r="F76" s="4">
        <v>0.1</v>
      </c>
      <c r="G76" s="4"/>
      <c r="H76" s="4"/>
      <c r="I76" s="4"/>
      <c r="J76" s="4"/>
    </row>
    <row r="77" spans="1:26" x14ac:dyDescent="0.4">
      <c r="A77" s="212">
        <v>6</v>
      </c>
      <c r="B77" s="238" t="s">
        <v>38</v>
      </c>
      <c r="C77" s="238" t="s">
        <v>77</v>
      </c>
      <c r="D77" s="4">
        <v>5.0999999999999996</v>
      </c>
      <c r="E77" s="4">
        <v>2.2999999999999998</v>
      </c>
      <c r="F77" s="4">
        <v>2.6</v>
      </c>
      <c r="G77" s="4"/>
      <c r="H77" s="4"/>
      <c r="I77" s="4"/>
      <c r="J77" s="4"/>
    </row>
    <row r="78" spans="1:26" x14ac:dyDescent="0.4">
      <c r="A78" s="212">
        <v>7</v>
      </c>
      <c r="B78" s="238" t="s">
        <v>39</v>
      </c>
      <c r="C78" s="238" t="s">
        <v>78</v>
      </c>
      <c r="D78" s="238">
        <v>107.8</v>
      </c>
      <c r="E78" s="238">
        <v>48.9</v>
      </c>
      <c r="F78" s="238">
        <v>49.3</v>
      </c>
      <c r="G78" s="238"/>
      <c r="H78" s="238"/>
      <c r="I78" s="238"/>
      <c r="J78" s="238"/>
    </row>
    <row r="79" spans="1:26" x14ac:dyDescent="0.4">
      <c r="A79" s="212">
        <v>8</v>
      </c>
      <c r="B79" s="238" t="s">
        <v>40</v>
      </c>
      <c r="C79" s="238" t="s">
        <v>79</v>
      </c>
      <c r="D79" s="4">
        <v>5.4</v>
      </c>
      <c r="E79" s="4">
        <v>2.5</v>
      </c>
      <c r="F79" s="4">
        <v>3</v>
      </c>
      <c r="G79" s="4"/>
      <c r="H79" s="4"/>
      <c r="I79" s="4"/>
      <c r="J79" s="4"/>
    </row>
    <row r="80" spans="1:26" x14ac:dyDescent="0.4">
      <c r="A80" s="212">
        <v>9</v>
      </c>
      <c r="B80" s="238" t="s">
        <v>41</v>
      </c>
      <c r="C80" s="238"/>
      <c r="D80" s="238">
        <v>102.4</v>
      </c>
      <c r="E80" s="238">
        <v>46.5</v>
      </c>
      <c r="F80" s="238">
        <v>46.3</v>
      </c>
      <c r="G80" s="238"/>
      <c r="H80" s="238"/>
      <c r="I80" s="238"/>
      <c r="J80" s="238"/>
    </row>
    <row r="81" spans="1:10" x14ac:dyDescent="0.4">
      <c r="A81" s="212">
        <v>10</v>
      </c>
      <c r="B81" s="238" t="s">
        <v>42</v>
      </c>
      <c r="C81" s="238"/>
      <c r="D81" s="4">
        <v>-4.3</v>
      </c>
      <c r="E81" s="4">
        <v>-2</v>
      </c>
      <c r="F81" s="4">
        <v>0.4</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23.5</v>
      </c>
      <c r="E84" s="4">
        <v>10.7</v>
      </c>
      <c r="F84" s="4">
        <v>10.7</v>
      </c>
      <c r="G84" s="4"/>
      <c r="H84" s="4"/>
      <c r="I84" s="4"/>
      <c r="J84" s="4"/>
    </row>
    <row r="85" spans="1:10" x14ac:dyDescent="0.4">
      <c r="A85" s="212">
        <v>13</v>
      </c>
      <c r="B85" s="225" t="s">
        <v>45</v>
      </c>
      <c r="C85" s="225" t="s">
        <v>80</v>
      </c>
      <c r="D85" s="4">
        <v>12</v>
      </c>
      <c r="E85" s="4">
        <v>5.5</v>
      </c>
      <c r="F85" s="4">
        <v>5.6</v>
      </c>
      <c r="G85" s="4"/>
      <c r="H85" s="4"/>
      <c r="I85" s="4"/>
      <c r="J85" s="4"/>
    </row>
    <row r="86" spans="1:10" x14ac:dyDescent="0.4">
      <c r="A86" s="212">
        <v>14</v>
      </c>
      <c r="B86" s="225" t="s">
        <v>46</v>
      </c>
      <c r="C86" s="225" t="s">
        <v>28</v>
      </c>
      <c r="D86" s="4">
        <v>7.6</v>
      </c>
      <c r="E86" s="4">
        <v>3.5</v>
      </c>
      <c r="F86" s="4">
        <v>3.4</v>
      </c>
      <c r="G86" s="4">
        <v>3.2</v>
      </c>
      <c r="H86" s="4">
        <v>3.3</v>
      </c>
      <c r="I86" s="4">
        <v>3.5</v>
      </c>
      <c r="J86" s="4">
        <v>3.6</v>
      </c>
    </row>
    <row r="87" spans="1:10" x14ac:dyDescent="0.4">
      <c r="A87" s="212">
        <v>15</v>
      </c>
      <c r="B87" s="225" t="s">
        <v>47</v>
      </c>
      <c r="C87" s="225" t="s">
        <v>81</v>
      </c>
      <c r="D87" s="4">
        <v>38.799999999999997</v>
      </c>
      <c r="E87" s="4">
        <v>17.600000000000001</v>
      </c>
      <c r="F87" s="4">
        <v>17.7</v>
      </c>
      <c r="G87" s="4"/>
      <c r="H87" s="4"/>
      <c r="I87" s="4"/>
      <c r="J87" s="4"/>
    </row>
    <row r="88" spans="1:10" x14ac:dyDescent="0.4">
      <c r="A88" s="212">
        <v>16</v>
      </c>
      <c r="B88" s="225" t="s">
        <v>48</v>
      </c>
      <c r="C88" s="225" t="s">
        <v>82</v>
      </c>
      <c r="D88" s="4">
        <v>7.1</v>
      </c>
      <c r="E88" s="4">
        <v>3.2</v>
      </c>
      <c r="F88" s="4">
        <v>2.5</v>
      </c>
      <c r="G88" s="4"/>
      <c r="H88" s="4"/>
      <c r="I88" s="4"/>
      <c r="J88" s="4"/>
    </row>
    <row r="89" spans="1:10" x14ac:dyDescent="0.4">
      <c r="A89" s="212">
        <v>17</v>
      </c>
      <c r="B89" s="225" t="s">
        <v>49</v>
      </c>
      <c r="C89" s="225" t="s">
        <v>83</v>
      </c>
      <c r="D89" s="4">
        <v>4</v>
      </c>
      <c r="E89" s="4">
        <v>1.8</v>
      </c>
      <c r="F89" s="4">
        <v>1.7</v>
      </c>
      <c r="G89" s="4"/>
      <c r="H89" s="4"/>
      <c r="I89" s="4"/>
      <c r="J89" s="4"/>
    </row>
    <row r="90" spans="1:10" x14ac:dyDescent="0.4">
      <c r="A90" s="212">
        <v>18</v>
      </c>
      <c r="B90" s="225" t="s">
        <v>50</v>
      </c>
      <c r="C90" s="225" t="s">
        <v>84</v>
      </c>
      <c r="D90" s="4">
        <v>3.3</v>
      </c>
      <c r="E90" s="4">
        <v>1.5</v>
      </c>
      <c r="F90" s="4">
        <v>1.5</v>
      </c>
      <c r="G90" s="4"/>
      <c r="H90" s="4"/>
      <c r="I90" s="4"/>
      <c r="J90" s="4"/>
    </row>
    <row r="91" spans="1:10" x14ac:dyDescent="0.4">
      <c r="A91" s="212">
        <v>19</v>
      </c>
      <c r="B91" s="225" t="s">
        <v>10</v>
      </c>
      <c r="C91" s="225" t="s">
        <v>4</v>
      </c>
      <c r="D91" s="4">
        <v>8.6</v>
      </c>
      <c r="E91" s="4">
        <v>3.9</v>
      </c>
      <c r="F91" s="4">
        <v>5.7</v>
      </c>
      <c r="G91" s="4"/>
      <c r="H91" s="4"/>
      <c r="I91" s="4"/>
      <c r="J91" s="4"/>
    </row>
    <row r="92" spans="1:10" x14ac:dyDescent="0.4">
      <c r="A92" s="212">
        <v>20</v>
      </c>
      <c r="B92" s="225" t="s">
        <v>51</v>
      </c>
      <c r="C92" s="225"/>
      <c r="D92" s="4">
        <v>5.2</v>
      </c>
      <c r="E92" s="4">
        <v>2.4</v>
      </c>
      <c r="F92" s="4">
        <v>3.8</v>
      </c>
      <c r="G92" s="4">
        <v>3.7</v>
      </c>
      <c r="H92" s="4">
        <v>3.6</v>
      </c>
      <c r="I92" s="4">
        <v>3.5</v>
      </c>
      <c r="J92" s="4">
        <v>3.5</v>
      </c>
    </row>
    <row r="93" spans="1:10" x14ac:dyDescent="0.4">
      <c r="A93" s="212">
        <v>21</v>
      </c>
      <c r="B93" s="225" t="s">
        <v>52</v>
      </c>
      <c r="C93" s="225" t="s">
        <v>85</v>
      </c>
      <c r="D93" s="4">
        <v>6.3</v>
      </c>
      <c r="E93" s="4">
        <v>2.9</v>
      </c>
      <c r="F93" s="4">
        <v>1.5</v>
      </c>
      <c r="G93" s="4"/>
      <c r="H93" s="4"/>
      <c r="I93" s="4"/>
      <c r="J93" s="4"/>
    </row>
    <row r="94" spans="1:10" x14ac:dyDescent="0.4">
      <c r="A94" s="212">
        <v>22</v>
      </c>
      <c r="B94" s="225" t="s">
        <v>53</v>
      </c>
      <c r="C94" s="225" t="s">
        <v>86</v>
      </c>
      <c r="D94" s="4">
        <v>0.1</v>
      </c>
      <c r="E94" s="4">
        <v>0</v>
      </c>
      <c r="F94" s="4">
        <v>0</v>
      </c>
      <c r="G94" s="4"/>
      <c r="H94" s="4"/>
      <c r="I94" s="4"/>
      <c r="J94" s="4"/>
    </row>
    <row r="95" spans="1:10" x14ac:dyDescent="0.4">
      <c r="A95" s="212">
        <v>23</v>
      </c>
      <c r="B95" s="225" t="s">
        <v>54</v>
      </c>
      <c r="C95" s="225" t="s">
        <v>87</v>
      </c>
      <c r="D95" s="238">
        <v>111.3</v>
      </c>
      <c r="E95" s="238">
        <v>50.5</v>
      </c>
      <c r="F95" s="238">
        <v>50.3</v>
      </c>
      <c r="G95" s="238"/>
      <c r="H95" s="238"/>
      <c r="I95" s="238"/>
      <c r="J95" s="238"/>
    </row>
    <row r="96" spans="1:10" x14ac:dyDescent="0.4">
      <c r="A96" s="212">
        <v>24</v>
      </c>
      <c r="B96" s="225" t="s">
        <v>55</v>
      </c>
      <c r="C96" s="225" t="s">
        <v>79</v>
      </c>
      <c r="D96" s="4">
        <v>5.4</v>
      </c>
      <c r="E96" s="4">
        <v>2.5</v>
      </c>
      <c r="F96" s="4">
        <v>3</v>
      </c>
      <c r="G96" s="4"/>
      <c r="H96" s="4"/>
      <c r="I96" s="4"/>
      <c r="J96" s="4"/>
    </row>
    <row r="97" spans="1:10" x14ac:dyDescent="0.4">
      <c r="A97" s="212">
        <v>25</v>
      </c>
      <c r="B97" s="225" t="s">
        <v>56</v>
      </c>
      <c r="C97" s="225"/>
      <c r="D97" s="238">
        <v>105.9</v>
      </c>
      <c r="E97" s="238">
        <v>48.1</v>
      </c>
      <c r="F97" s="238">
        <v>47.3</v>
      </c>
      <c r="G97" s="238"/>
      <c r="H97" s="238"/>
      <c r="I97" s="238"/>
      <c r="J97" s="238"/>
    </row>
    <row r="98" spans="1:10" x14ac:dyDescent="0.4">
      <c r="A98" s="212">
        <v>26</v>
      </c>
      <c r="B98" s="225" t="s">
        <v>751</v>
      </c>
      <c r="C98" s="225"/>
      <c r="D98" s="4">
        <v>0.8</v>
      </c>
      <c r="E98" s="4">
        <v>0.4</v>
      </c>
      <c r="F98" s="4">
        <v>0.3</v>
      </c>
      <c r="G98" s="4"/>
      <c r="H98" s="4"/>
      <c r="I98" s="4"/>
      <c r="J98" s="4"/>
    </row>
    <row r="99" spans="1:10" x14ac:dyDescent="0.4">
      <c r="A99" s="212">
        <v>27</v>
      </c>
      <c r="B99" s="225" t="s">
        <v>57</v>
      </c>
      <c r="C99" s="225"/>
      <c r="D99" s="4">
        <v>0.2</v>
      </c>
      <c r="E99" s="4">
        <v>0.1</v>
      </c>
      <c r="F99" s="4">
        <v>0.1</v>
      </c>
      <c r="G99" s="4"/>
      <c r="H99" s="4"/>
      <c r="I99" s="4"/>
      <c r="J99" s="4"/>
    </row>
    <row r="100" spans="1:10" x14ac:dyDescent="0.4">
      <c r="A100" s="212">
        <v>28</v>
      </c>
      <c r="B100" s="225" t="s">
        <v>58</v>
      </c>
      <c r="C100" s="225"/>
      <c r="D100" s="4">
        <v>0.5</v>
      </c>
      <c r="E100" s="4">
        <v>0.2</v>
      </c>
      <c r="F100" s="4">
        <v>0.2</v>
      </c>
      <c r="G100" s="4"/>
      <c r="H100" s="4"/>
      <c r="I100" s="4"/>
      <c r="J100" s="4"/>
    </row>
    <row r="101" spans="1:10" x14ac:dyDescent="0.4">
      <c r="A101" s="212">
        <v>29</v>
      </c>
      <c r="B101" s="225" t="s">
        <v>59</v>
      </c>
      <c r="C101" s="225"/>
      <c r="D101" s="238">
        <v>96.8</v>
      </c>
      <c r="E101" s="238">
        <v>44</v>
      </c>
      <c r="F101" s="238">
        <v>43.3</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v>2.6</v>
      </c>
      <c r="G103" s="4">
        <v>3.6999999999999997</v>
      </c>
      <c r="H103" s="4">
        <v>3.6000000000000005</v>
      </c>
      <c r="I103" s="4">
        <v>3.1</v>
      </c>
      <c r="J103" s="4">
        <v>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-3.5</v>
      </c>
      <c r="E105" s="4">
        <v>-1.6</v>
      </c>
      <c r="F105" s="4">
        <v>-1</v>
      </c>
      <c r="G105" s="4">
        <v>-0.6</v>
      </c>
      <c r="H105" s="4">
        <v>-0.8</v>
      </c>
      <c r="I105" s="4">
        <v>-1.1000000000000001</v>
      </c>
      <c r="J105" s="4">
        <v>-1.2</v>
      </c>
    </row>
    <row r="106" spans="1:10" x14ac:dyDescent="0.4">
      <c r="A106" s="212">
        <v>32</v>
      </c>
      <c r="B106" s="225" t="s">
        <v>62</v>
      </c>
      <c r="C106" s="225" t="s">
        <v>88</v>
      </c>
      <c r="D106" s="4">
        <v>4.0999999999999996</v>
      </c>
      <c r="E106" s="4">
        <v>1.9</v>
      </c>
      <c r="F106" s="4">
        <v>2.4</v>
      </c>
      <c r="G106" s="4">
        <v>2.5</v>
      </c>
      <c r="H106" s="4">
        <v>2.4</v>
      </c>
      <c r="I106" s="4">
        <v>2.4</v>
      </c>
      <c r="J106" s="4">
        <v>2.4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-1.5</v>
      </c>
      <c r="F108" s="4">
        <v>-1.5</v>
      </c>
      <c r="G108" s="4">
        <v>-1.1000000000000001</v>
      </c>
      <c r="H108" s="4">
        <v>-1.1000000000000001</v>
      </c>
      <c r="I108" s="4">
        <v>-1.2</v>
      </c>
      <c r="J108" s="4">
        <v>-1.3</v>
      </c>
    </row>
    <row r="109" spans="1:10" ht="14.25" x14ac:dyDescent="0.45">
      <c r="A109" s="212">
        <v>34</v>
      </c>
      <c r="B109" s="239" t="s">
        <v>3</v>
      </c>
      <c r="C109" s="239"/>
      <c r="D109" s="244"/>
      <c r="E109" s="4">
        <v>1.9</v>
      </c>
      <c r="F109" s="4">
        <v>1.9</v>
      </c>
      <c r="G109" s="4">
        <v>2</v>
      </c>
      <c r="H109" s="4">
        <v>2.1</v>
      </c>
      <c r="I109" s="4">
        <v>2.2000000000000002</v>
      </c>
      <c r="J109" s="4">
        <v>2.2999999999999998</v>
      </c>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v>356.7</v>
      </c>
      <c r="E111" s="4">
        <v>161.9</v>
      </c>
      <c r="F111" s="4">
        <v>153.69999999999999</v>
      </c>
      <c r="G111" s="4">
        <v>149.1</v>
      </c>
      <c r="H111" s="4">
        <v>143.1</v>
      </c>
      <c r="I111" s="4">
        <v>138</v>
      </c>
      <c r="J111" s="4">
        <v>133.4</v>
      </c>
    </row>
    <row r="112" spans="1:10" x14ac:dyDescent="0.4">
      <c r="A112" s="212">
        <v>36</v>
      </c>
      <c r="B112" s="225" t="s">
        <v>2</v>
      </c>
      <c r="C112" s="225"/>
      <c r="D112" s="4">
        <v>-0.1</v>
      </c>
      <c r="E112" s="4">
        <v>-10.8</v>
      </c>
      <c r="F112" s="4">
        <v>-8.1999999999999993</v>
      </c>
      <c r="G112" s="4">
        <v>-4.5999999999999996</v>
      </c>
      <c r="H112" s="4">
        <v>-6.1</v>
      </c>
      <c r="I112" s="4">
        <v>-5</v>
      </c>
      <c r="J112" s="4">
        <v>-4.7</v>
      </c>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v>-1.9</v>
      </c>
      <c r="F114" s="4">
        <v>-2.4</v>
      </c>
      <c r="G114" s="4">
        <v>-2.5</v>
      </c>
      <c r="H114" s="4">
        <v>-2.4</v>
      </c>
      <c r="I114" s="4">
        <v>-2.4</v>
      </c>
      <c r="J114" s="4">
        <v>-2.4</v>
      </c>
    </row>
    <row r="115" spans="1:13" ht="14.25" x14ac:dyDescent="0.45">
      <c r="A115" s="212">
        <v>39</v>
      </c>
      <c r="B115" s="240" t="s">
        <v>754</v>
      </c>
      <c r="C115" s="225"/>
      <c r="D115" s="244"/>
      <c r="E115" s="4">
        <v>-7.3</v>
      </c>
      <c r="F115" s="4">
        <v>-4.7</v>
      </c>
      <c r="G115" s="4">
        <v>-3.5</v>
      </c>
      <c r="H115" s="4">
        <v>-2.8</v>
      </c>
      <c r="I115" s="4">
        <v>-1.7</v>
      </c>
      <c r="J115" s="4">
        <v>-1.3</v>
      </c>
    </row>
    <row r="116" spans="1:13" ht="14.25" x14ac:dyDescent="0.45">
      <c r="A116" s="212">
        <v>40</v>
      </c>
      <c r="B116" s="241" t="s">
        <v>755</v>
      </c>
      <c r="C116" s="225"/>
      <c r="D116" s="244"/>
      <c r="E116" s="4">
        <v>3.5</v>
      </c>
      <c r="F116" s="4">
        <v>3.4</v>
      </c>
      <c r="G116" s="4">
        <v>3.2</v>
      </c>
      <c r="H116" s="4">
        <v>3.3</v>
      </c>
      <c r="I116" s="4">
        <v>3.5</v>
      </c>
      <c r="J116" s="4">
        <v>3.6</v>
      </c>
    </row>
    <row r="117" spans="1:13" ht="14.25" x14ac:dyDescent="0.45">
      <c r="A117" s="212">
        <v>41</v>
      </c>
      <c r="B117" s="241" t="s">
        <v>756</v>
      </c>
      <c r="C117" s="225"/>
      <c r="D117" s="244"/>
      <c r="E117" s="4">
        <v>-3.3</v>
      </c>
      <c r="F117" s="4">
        <v>-3.3</v>
      </c>
      <c r="G117" s="4">
        <v>-3.3</v>
      </c>
      <c r="H117" s="4">
        <v>-2.8</v>
      </c>
      <c r="I117" s="4">
        <v>-2</v>
      </c>
      <c r="J117" s="4">
        <v>-1.7</v>
      </c>
    </row>
    <row r="118" spans="1:13" ht="14.25" x14ac:dyDescent="0.45">
      <c r="A118" s="212">
        <v>42</v>
      </c>
      <c r="B118" s="241" t="s">
        <v>757</v>
      </c>
      <c r="C118" s="225"/>
      <c r="D118" s="244"/>
      <c r="E118" s="4">
        <v>-7.5</v>
      </c>
      <c r="F118" s="4">
        <v>-4.8</v>
      </c>
      <c r="G118" s="4">
        <v>-3.4</v>
      </c>
      <c r="H118" s="4">
        <v>-3.3</v>
      </c>
      <c r="I118" s="4">
        <v>-3.2</v>
      </c>
      <c r="J118" s="4">
        <v>-3.2</v>
      </c>
    </row>
    <row r="119" spans="1:13" ht="14.25" x14ac:dyDescent="0.45">
      <c r="A119" s="212">
        <v>43</v>
      </c>
      <c r="B119" s="240" t="s">
        <v>758</v>
      </c>
      <c r="C119" s="225"/>
      <c r="D119" s="244"/>
      <c r="E119" s="4">
        <v>-1.6</v>
      </c>
      <c r="F119" s="4">
        <v>-1.1000000000000001</v>
      </c>
      <c r="G119" s="4">
        <v>1.5</v>
      </c>
      <c r="H119" s="4">
        <v>-0.8</v>
      </c>
      <c r="I119" s="4">
        <v>-0.9</v>
      </c>
      <c r="J119" s="4">
        <v>-1</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E130">
        <v>2</v>
      </c>
      <c r="F130">
        <v>2.2000000000000002</v>
      </c>
      <c r="G130">
        <v>2.2999999999999998</v>
      </c>
      <c r="H130" s="4">
        <v>2</v>
      </c>
      <c r="I130" s="4">
        <v>1.5</v>
      </c>
      <c r="J130" s="4">
        <v>1.3</v>
      </c>
    </row>
    <row r="131" spans="1:10" ht="14.25" x14ac:dyDescent="0.45">
      <c r="A131" s="212">
        <v>2</v>
      </c>
      <c r="B131" s="225" t="s">
        <v>8</v>
      </c>
      <c r="C131" s="225"/>
      <c r="D131" s="246"/>
      <c r="E131">
        <v>4.5</v>
      </c>
      <c r="F131">
        <v>3</v>
      </c>
      <c r="G131">
        <v>2.2000000000000002</v>
      </c>
      <c r="H131" s="4">
        <v>2.2999999999999998</v>
      </c>
      <c r="I131" s="4">
        <v>2.2999999999999998</v>
      </c>
      <c r="J131" s="4">
        <v>2.4</v>
      </c>
    </row>
    <row r="132" spans="1:10" x14ac:dyDescent="0.4">
      <c r="A132" s="212">
        <v>3</v>
      </c>
      <c r="B132" s="225" t="s">
        <v>9</v>
      </c>
      <c r="C132" s="225" t="s">
        <v>763</v>
      </c>
      <c r="D132" s="144">
        <v>220.3</v>
      </c>
      <c r="E132">
        <v>6.6</v>
      </c>
      <c r="F132">
        <v>5.3</v>
      </c>
      <c r="G132">
        <v>4.5</v>
      </c>
      <c r="H132" s="4">
        <v>4.3</v>
      </c>
      <c r="I132" s="4">
        <v>3.8</v>
      </c>
      <c r="J132" s="4">
        <v>3.7</v>
      </c>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E134">
        <v>1.8</v>
      </c>
      <c r="F134">
        <v>1.7</v>
      </c>
      <c r="G134">
        <v>1.6</v>
      </c>
      <c r="H134" s="4"/>
      <c r="I134" s="4"/>
      <c r="J134" s="4"/>
    </row>
    <row r="135" spans="1:10" ht="14.25" x14ac:dyDescent="0.45">
      <c r="A135" s="212">
        <v>5</v>
      </c>
      <c r="B135" s="225" t="s">
        <v>767</v>
      </c>
      <c r="C135" s="225" t="s">
        <v>766</v>
      </c>
      <c r="D135" s="246"/>
      <c r="E135">
        <v>1.7</v>
      </c>
      <c r="F135">
        <v>0.4</v>
      </c>
      <c r="G135">
        <v>0</v>
      </c>
      <c r="H135" s="4"/>
      <c r="I135" s="4"/>
      <c r="J135" s="4"/>
    </row>
    <row r="136" spans="1:10" ht="14.25" x14ac:dyDescent="0.45">
      <c r="A136" s="212">
        <v>6</v>
      </c>
      <c r="B136" s="225" t="s">
        <v>10</v>
      </c>
      <c r="C136" s="225" t="s">
        <v>4</v>
      </c>
      <c r="D136" s="246"/>
      <c r="E136">
        <v>4</v>
      </c>
      <c r="F136">
        <v>6.7</v>
      </c>
      <c r="G136">
        <v>8.4</v>
      </c>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E138">
        <v>3.7</v>
      </c>
      <c r="F138">
        <v>4.2</v>
      </c>
      <c r="G138">
        <v>4</v>
      </c>
      <c r="H138" s="4"/>
      <c r="I138" s="4"/>
      <c r="J138" s="4"/>
    </row>
    <row r="139" spans="1:10" ht="14.25" x14ac:dyDescent="0.45">
      <c r="A139" s="212">
        <v>9</v>
      </c>
      <c r="B139" s="225" t="s">
        <v>772</v>
      </c>
      <c r="C139" s="225" t="s">
        <v>773</v>
      </c>
      <c r="D139" s="246"/>
      <c r="E139">
        <v>2.1</v>
      </c>
      <c r="F139">
        <v>3.8</v>
      </c>
      <c r="G139">
        <v>3.6</v>
      </c>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E141">
        <v>2.2000000000000002</v>
      </c>
      <c r="F141">
        <v>2.2000000000000002</v>
      </c>
      <c r="G141">
        <v>2.2999999999999998</v>
      </c>
      <c r="H141" s="4"/>
      <c r="I141" s="4"/>
      <c r="J141" s="4"/>
    </row>
    <row r="142" spans="1:10" ht="14.25" x14ac:dyDescent="0.45">
      <c r="A142" s="212">
        <v>11</v>
      </c>
      <c r="B142" s="243" t="s">
        <v>776</v>
      </c>
      <c r="C142" s="225" t="s">
        <v>769</v>
      </c>
      <c r="D142" s="246"/>
      <c r="E142">
        <v>-0.6</v>
      </c>
      <c r="F142">
        <v>0</v>
      </c>
      <c r="G142">
        <v>-0.1</v>
      </c>
      <c r="H142" s="4"/>
      <c r="I142" s="4"/>
      <c r="J142" s="4"/>
    </row>
    <row r="143" spans="1:10" ht="14.25" x14ac:dyDescent="0.45">
      <c r="A143" s="212">
        <v>12</v>
      </c>
      <c r="B143" s="243" t="s">
        <v>777</v>
      </c>
      <c r="C143" s="225" t="s">
        <v>778</v>
      </c>
      <c r="D143" s="246"/>
      <c r="E143">
        <v>0.5</v>
      </c>
      <c r="F143">
        <v>0</v>
      </c>
      <c r="G143">
        <v>0</v>
      </c>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E145">
        <v>4.5999999999999996</v>
      </c>
      <c r="F145">
        <v>2.7</v>
      </c>
      <c r="G145">
        <v>2.1</v>
      </c>
      <c r="H145" s="4"/>
      <c r="I145" s="4"/>
      <c r="J145" s="4"/>
    </row>
    <row r="146" spans="1:10" ht="14.25" x14ac:dyDescent="0.45">
      <c r="A146" s="212">
        <v>14</v>
      </c>
      <c r="B146" s="240" t="s">
        <v>781</v>
      </c>
      <c r="C146" s="225"/>
      <c r="D146" s="246"/>
      <c r="E146">
        <v>4.2</v>
      </c>
      <c r="F146">
        <v>2.8</v>
      </c>
      <c r="G146">
        <v>2.1</v>
      </c>
      <c r="H146" s="4"/>
      <c r="I146" s="4"/>
      <c r="J146" s="4"/>
    </row>
    <row r="147" spans="1:10" ht="14.25" x14ac:dyDescent="0.45">
      <c r="A147" s="212">
        <v>15</v>
      </c>
      <c r="B147" s="225" t="s">
        <v>782</v>
      </c>
      <c r="C147" s="225"/>
      <c r="D147" s="246"/>
      <c r="E147">
        <v>2.8</v>
      </c>
      <c r="F147">
        <v>3.1</v>
      </c>
      <c r="G147">
        <v>2.2000000000000002</v>
      </c>
      <c r="H147" s="4"/>
      <c r="I147" s="4"/>
      <c r="J147" s="4"/>
    </row>
    <row r="148" spans="1:10" ht="14.25" x14ac:dyDescent="0.45">
      <c r="A148" s="212">
        <v>16</v>
      </c>
      <c r="B148" s="225" t="s">
        <v>783</v>
      </c>
      <c r="C148" s="225"/>
      <c r="D148" s="246"/>
      <c r="E148">
        <v>3.9</v>
      </c>
      <c r="F148">
        <v>2.2999999999999998</v>
      </c>
      <c r="G148">
        <v>1.8</v>
      </c>
      <c r="H148" s="4"/>
      <c r="I148" s="4"/>
      <c r="J148" s="4"/>
    </row>
    <row r="149" spans="1:10" ht="14.25" x14ac:dyDescent="0.45">
      <c r="A149" s="212">
        <v>17</v>
      </c>
      <c r="B149" s="225" t="s">
        <v>784</v>
      </c>
      <c r="C149" s="225"/>
      <c r="D149" s="246"/>
      <c r="E149">
        <v>-6.1</v>
      </c>
      <c r="F149">
        <v>2.6</v>
      </c>
      <c r="G149">
        <v>1.6</v>
      </c>
      <c r="H149" s="4"/>
      <c r="I149" s="4"/>
      <c r="J149" s="4"/>
    </row>
    <row r="150" spans="1:10" ht="14.25" x14ac:dyDescent="0.45">
      <c r="A150" s="212">
        <v>18</v>
      </c>
      <c r="B150" s="225" t="s">
        <v>785</v>
      </c>
      <c r="C150" s="225"/>
      <c r="D150" s="246"/>
      <c r="E150">
        <v>-11.7</v>
      </c>
      <c r="F150">
        <v>2.5</v>
      </c>
      <c r="G150">
        <v>1.5</v>
      </c>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v>3504</v>
      </c>
      <c r="E152" s="3">
        <v>0.4</v>
      </c>
      <c r="F152">
        <v>0.9</v>
      </c>
      <c r="G152" s="3">
        <v>0.7</v>
      </c>
      <c r="H152" s="64"/>
      <c r="I152" s="64"/>
      <c r="J152" s="64"/>
    </row>
    <row r="153" spans="1:10" x14ac:dyDescent="0.4">
      <c r="A153" s="212">
        <v>20</v>
      </c>
      <c r="B153" s="225" t="s">
        <v>789</v>
      </c>
      <c r="C153" s="225"/>
      <c r="D153" s="144">
        <v>1668</v>
      </c>
      <c r="E153">
        <v>1.7</v>
      </c>
      <c r="F153">
        <v>0</v>
      </c>
      <c r="G153">
        <v>0</v>
      </c>
      <c r="H153" s="4"/>
      <c r="I153" s="4"/>
      <c r="J153" s="4"/>
    </row>
    <row r="154" spans="1:10" ht="14.25" x14ac:dyDescent="0.45">
      <c r="A154" s="212">
        <v>21</v>
      </c>
      <c r="B154" s="225" t="s">
        <v>790</v>
      </c>
      <c r="C154" s="225"/>
      <c r="D154" s="246"/>
      <c r="E154">
        <v>1.6</v>
      </c>
      <c r="F154">
        <v>1.2</v>
      </c>
      <c r="G154">
        <v>1.5</v>
      </c>
      <c r="H154" s="4"/>
      <c r="I154" s="4"/>
      <c r="J154" s="4"/>
    </row>
    <row r="155" spans="1:10" ht="14.25" x14ac:dyDescent="0.45">
      <c r="A155" s="212">
        <v>22</v>
      </c>
      <c r="B155" s="225" t="s">
        <v>791</v>
      </c>
      <c r="C155" s="225"/>
      <c r="D155" s="246"/>
      <c r="E155">
        <v>-0.1</v>
      </c>
      <c r="F155">
        <v>1.2</v>
      </c>
      <c r="G155">
        <v>1.5</v>
      </c>
      <c r="H155" s="4"/>
      <c r="I155" s="4"/>
      <c r="J155" s="4"/>
    </row>
    <row r="156" spans="1:10" x14ac:dyDescent="0.4">
      <c r="A156" s="212">
        <v>23</v>
      </c>
      <c r="B156" s="225" t="s">
        <v>792</v>
      </c>
      <c r="C156" s="225" t="s">
        <v>5</v>
      </c>
      <c r="D156" s="144">
        <v>76423</v>
      </c>
      <c r="E156">
        <v>6</v>
      </c>
      <c r="F156">
        <v>5.2</v>
      </c>
      <c r="G156">
        <v>3.4</v>
      </c>
      <c r="H156" s="4"/>
      <c r="I156" s="4"/>
      <c r="J156" s="4"/>
    </row>
    <row r="157" spans="1:10" x14ac:dyDescent="0.4">
      <c r="A157" s="212">
        <v>24</v>
      </c>
      <c r="B157" s="225" t="s">
        <v>793</v>
      </c>
      <c r="C157" s="225"/>
      <c r="D157">
        <v>21810</v>
      </c>
      <c r="E157">
        <v>5.6</v>
      </c>
      <c r="F157">
        <v>4.3</v>
      </c>
      <c r="G157">
        <v>2.7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E159">
        <v>11.1</v>
      </c>
      <c r="F159">
        <v>10.3</v>
      </c>
      <c r="G159">
        <v>9.6999999999999993</v>
      </c>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E161">
        <v>0.6</v>
      </c>
      <c r="F161">
        <v>1.2</v>
      </c>
      <c r="G161">
        <v>2.5</v>
      </c>
      <c r="H161" s="4">
        <v>2.4</v>
      </c>
      <c r="I161" s="4">
        <v>1.7</v>
      </c>
      <c r="J161" s="4">
        <v>1.5</v>
      </c>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E163">
        <v>-0.3</v>
      </c>
      <c r="F163">
        <v>0.1</v>
      </c>
      <c r="G163">
        <v>0.3</v>
      </c>
      <c r="H163" s="4">
        <v>0.3</v>
      </c>
      <c r="I163" s="4">
        <v>0.1</v>
      </c>
      <c r="J163" s="4">
        <v>0</v>
      </c>
    </row>
    <row r="164" spans="1:26" ht="14.25" x14ac:dyDescent="0.45">
      <c r="A164" s="212">
        <v>28</v>
      </c>
      <c r="B164" s="240" t="s">
        <v>799</v>
      </c>
      <c r="C164" s="225"/>
      <c r="D164" s="246"/>
      <c r="E164">
        <v>0.1</v>
      </c>
      <c r="F164">
        <v>0.1</v>
      </c>
      <c r="G164">
        <v>0.3</v>
      </c>
      <c r="H164" s="4">
        <v>0.4</v>
      </c>
      <c r="I164" s="4">
        <v>0.5</v>
      </c>
      <c r="J164" s="4">
        <v>0.4</v>
      </c>
    </row>
    <row r="165" spans="1:26" ht="14.25" x14ac:dyDescent="0.45">
      <c r="A165" s="212">
        <v>29</v>
      </c>
      <c r="B165" s="240" t="s">
        <v>800</v>
      </c>
      <c r="C165" s="225"/>
      <c r="D165" s="246"/>
      <c r="E165">
        <v>0.8</v>
      </c>
      <c r="F165">
        <v>1</v>
      </c>
      <c r="G165">
        <v>1.9</v>
      </c>
      <c r="H165" s="4">
        <v>1.7</v>
      </c>
      <c r="I165" s="4">
        <v>1.1000000000000001</v>
      </c>
      <c r="J165" s="4">
        <v>1.1000000000000001</v>
      </c>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0.3</v>
      </c>
      <c r="F167">
        <v>1.2</v>
      </c>
      <c r="G167">
        <v>1</v>
      </c>
      <c r="H167" s="4">
        <v>0.6</v>
      </c>
      <c r="I167" s="4">
        <v>0.3</v>
      </c>
      <c r="J167" s="4">
        <v>0.1</v>
      </c>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v>161.9</v>
      </c>
      <c r="F172" s="197">
        <v>153.69999999999999</v>
      </c>
      <c r="G172" s="197">
        <v>149.1</v>
      </c>
      <c r="H172" s="197">
        <v>143.1</v>
      </c>
      <c r="I172" s="197">
        <v>138</v>
      </c>
      <c r="J172" s="197">
        <v>133.4</v>
      </c>
      <c r="K172" s="198">
        <v>130.1</v>
      </c>
      <c r="L172" s="198">
        <v>127.1</v>
      </c>
      <c r="M172" s="198">
        <v>124.3</v>
      </c>
      <c r="N172" s="198">
        <v>121.7</v>
      </c>
      <c r="O172" s="198">
        <v>120.6</v>
      </c>
      <c r="P172" s="198">
        <v>119.6</v>
      </c>
      <c r="Q172" s="198">
        <v>118.4</v>
      </c>
      <c r="R172" s="198">
        <v>117.1</v>
      </c>
      <c r="S172" s="198">
        <v>115.9</v>
      </c>
      <c r="T172" s="198">
        <v>114.9</v>
      </c>
      <c r="U172" s="198"/>
      <c r="V172" s="198"/>
      <c r="W172" s="198"/>
    </row>
    <row r="173" spans="1:26" x14ac:dyDescent="0.4">
      <c r="A173" s="194">
        <v>2</v>
      </c>
      <c r="B173" s="195" t="s">
        <v>836</v>
      </c>
      <c r="C173" s="196" t="s">
        <v>837</v>
      </c>
      <c r="D173" s="196"/>
      <c r="E173" s="197">
        <v>-1.6</v>
      </c>
      <c r="F173" s="197">
        <v>-1</v>
      </c>
      <c r="G173" s="197">
        <v>-0.6</v>
      </c>
      <c r="H173" s="197">
        <v>-0.8</v>
      </c>
      <c r="I173" s="197">
        <v>-1.1000000000000001</v>
      </c>
      <c r="J173" s="197">
        <v>-1.2</v>
      </c>
      <c r="K173" s="198">
        <v>-1.4</v>
      </c>
      <c r="L173" s="198">
        <v>-1.5</v>
      </c>
      <c r="M173" s="198">
        <v>-1.6</v>
      </c>
      <c r="N173" s="198">
        <v>-1.7</v>
      </c>
      <c r="O173" s="198">
        <v>-1.9</v>
      </c>
      <c r="P173" s="198">
        <v>-2.2000000000000002</v>
      </c>
      <c r="Q173" s="198">
        <v>-2.4</v>
      </c>
      <c r="R173" s="198">
        <v>-2.2000000000000002</v>
      </c>
      <c r="S173" s="198">
        <v>-2.4</v>
      </c>
      <c r="T173" s="198">
        <v>-2.5</v>
      </c>
      <c r="U173" s="198"/>
      <c r="V173" s="198"/>
      <c r="W173" s="198"/>
    </row>
    <row r="174" spans="1:26" x14ac:dyDescent="0.4">
      <c r="A174" s="194">
        <v>3</v>
      </c>
      <c r="B174" s="195" t="s">
        <v>3</v>
      </c>
      <c r="C174" s="196" t="s">
        <v>838</v>
      </c>
      <c r="D174" s="196"/>
      <c r="E174" s="197">
        <v>1.9</v>
      </c>
      <c r="F174" s="197">
        <v>1.9</v>
      </c>
      <c r="G174" s="197">
        <v>2</v>
      </c>
      <c r="H174" s="197">
        <v>2.1</v>
      </c>
      <c r="I174" s="197">
        <v>2.2000000000000002</v>
      </c>
      <c r="J174" s="197">
        <v>2.2999999999999998</v>
      </c>
      <c r="K174" s="198">
        <v>2.2999999999999998</v>
      </c>
      <c r="L174" s="198">
        <v>2.2999999999999998</v>
      </c>
      <c r="M174" s="198">
        <v>2.2999999999999998</v>
      </c>
      <c r="N174" s="198">
        <v>2.2999999999999998</v>
      </c>
      <c r="O174" s="198">
        <v>2.2999999999999998</v>
      </c>
      <c r="P174" s="198">
        <v>2.2999999999999998</v>
      </c>
      <c r="Q174" s="198">
        <v>2.2999999999999998</v>
      </c>
      <c r="R174" s="198">
        <v>2.2999999999999998</v>
      </c>
      <c r="S174" s="198">
        <v>2.2999999999999998</v>
      </c>
      <c r="T174" s="198">
        <v>2.2999999999999998</v>
      </c>
      <c r="U174" s="198"/>
      <c r="V174" s="198"/>
      <c r="W174" s="198"/>
    </row>
    <row r="175" spans="1:26" x14ac:dyDescent="0.4">
      <c r="A175" s="194">
        <v>4</v>
      </c>
      <c r="B175" s="195" t="s">
        <v>839</v>
      </c>
      <c r="C175" s="196"/>
      <c r="D175" s="196"/>
      <c r="E175" s="197">
        <v>-0.1</v>
      </c>
      <c r="F175" s="197">
        <v>-0.7</v>
      </c>
      <c r="G175" s="197">
        <v>-0.5</v>
      </c>
      <c r="H175" s="197">
        <v>-0.3</v>
      </c>
      <c r="I175" s="197">
        <v>-0.2</v>
      </c>
      <c r="J175" s="197">
        <v>-0.1</v>
      </c>
      <c r="K175" s="198">
        <v>0</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840</v>
      </c>
      <c r="C176" s="196"/>
      <c r="D176" s="196"/>
      <c r="E176" s="197">
        <v>-0.2</v>
      </c>
      <c r="F176" s="197">
        <v>-0.2</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841</v>
      </c>
      <c r="D177" s="196"/>
      <c r="E177" s="197">
        <v>3.5</v>
      </c>
      <c r="F177" s="197">
        <v>3.4</v>
      </c>
      <c r="G177" s="197">
        <v>3.2</v>
      </c>
      <c r="H177" s="197">
        <v>3.3</v>
      </c>
      <c r="I177" s="197">
        <v>3.5</v>
      </c>
      <c r="J177" s="197">
        <v>3.6</v>
      </c>
      <c r="K177" s="198">
        <v>3.8</v>
      </c>
      <c r="L177" s="198">
        <v>3.8</v>
      </c>
      <c r="M177" s="198">
        <v>3.8</v>
      </c>
      <c r="N177" s="198">
        <v>3.8</v>
      </c>
      <c r="O177" s="198">
        <v>3.8</v>
      </c>
      <c r="P177" s="198">
        <v>3.9</v>
      </c>
      <c r="Q177" s="198">
        <v>4</v>
      </c>
      <c r="R177" s="198">
        <v>3.9</v>
      </c>
      <c r="S177" s="198">
        <v>3.9</v>
      </c>
      <c r="T177" s="198">
        <v>4</v>
      </c>
      <c r="U177" s="198"/>
      <c r="V177" s="198"/>
      <c r="W177" s="198"/>
    </row>
    <row r="178" spans="1:26" x14ac:dyDescent="0.4">
      <c r="A178" s="194">
        <v>7</v>
      </c>
      <c r="B178" s="199" t="s">
        <v>842</v>
      </c>
      <c r="C178" s="196" t="s">
        <v>843</v>
      </c>
      <c r="D178" s="196"/>
      <c r="E178" s="197">
        <v>4</v>
      </c>
      <c r="F178" s="197">
        <v>3.5</v>
      </c>
      <c r="G178" s="197">
        <v>3.7</v>
      </c>
      <c r="H178" s="197">
        <v>3.8</v>
      </c>
      <c r="I178" s="197">
        <v>3.9</v>
      </c>
      <c r="J178" s="197">
        <v>4</v>
      </c>
      <c r="K178" s="198">
        <v>4</v>
      </c>
      <c r="L178" s="198">
        <v>4.0999999999999996</v>
      </c>
      <c r="M178" s="198">
        <v>4.2</v>
      </c>
      <c r="N178" s="198">
        <v>4.3</v>
      </c>
      <c r="O178" s="198">
        <v>4.4000000000000004</v>
      </c>
      <c r="P178" s="198">
        <v>4.3</v>
      </c>
      <c r="Q178" s="198">
        <v>4.3</v>
      </c>
      <c r="R178" s="198">
        <v>4.3</v>
      </c>
      <c r="S178" s="198">
        <v>4.3</v>
      </c>
      <c r="T178" s="198">
        <v>4.3</v>
      </c>
      <c r="U178" s="198"/>
      <c r="V178" s="198"/>
      <c r="W178" s="198"/>
    </row>
    <row r="179" spans="1:26" x14ac:dyDescent="0.4">
      <c r="A179" s="194">
        <v>8</v>
      </c>
      <c r="B179" s="199" t="s">
        <v>844</v>
      </c>
      <c r="C179" s="196" t="s">
        <v>845</v>
      </c>
      <c r="D179" s="196"/>
      <c r="E179" s="197">
        <v>3.4</v>
      </c>
      <c r="F179" s="197">
        <v>3.6</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846</v>
      </c>
      <c r="C180" s="196" t="s">
        <v>847</v>
      </c>
      <c r="D180" s="196"/>
      <c r="E180" s="197">
        <v>2.1</v>
      </c>
      <c r="F180" s="197">
        <v>2.2000000000000002</v>
      </c>
      <c r="G180" s="197">
        <v>2.2000000000000002</v>
      </c>
      <c r="H180" s="197">
        <v>2.2999999999999998</v>
      </c>
      <c r="I180" s="197">
        <v>2.5</v>
      </c>
      <c r="J180" s="197">
        <v>2.7</v>
      </c>
      <c r="K180" s="197">
        <v>2.9</v>
      </c>
      <c r="L180" s="197">
        <v>3</v>
      </c>
      <c r="M180" s="197">
        <v>3.1</v>
      </c>
      <c r="N180" s="197">
        <v>3.1</v>
      </c>
      <c r="O180" s="197">
        <v>3.2</v>
      </c>
      <c r="P180" s="197">
        <v>3.3</v>
      </c>
      <c r="Q180" s="197">
        <v>3.4</v>
      </c>
      <c r="R180" s="197">
        <v>3.4</v>
      </c>
      <c r="S180" s="197">
        <v>3.5</v>
      </c>
      <c r="T180" s="197">
        <v>3.5</v>
      </c>
      <c r="U180" s="197"/>
      <c r="V180" s="197"/>
      <c r="W180" s="197"/>
      <c r="X180"/>
      <c r="Y180"/>
      <c r="Z180"/>
    </row>
    <row r="181" spans="1:26" x14ac:dyDescent="0.4">
      <c r="A181" s="194">
        <v>10</v>
      </c>
      <c r="B181" s="195" t="s">
        <v>848</v>
      </c>
      <c r="C181" s="196" t="s">
        <v>849</v>
      </c>
      <c r="D181" s="196"/>
      <c r="E181" s="197">
        <v>-1.6</v>
      </c>
      <c r="F181" s="197">
        <v>-1.1000000000000001</v>
      </c>
      <c r="G181" s="197">
        <v>1.5</v>
      </c>
      <c r="H181" s="197">
        <v>-0.8</v>
      </c>
      <c r="I181" s="197">
        <v>-0.9</v>
      </c>
      <c r="J181" s="197">
        <v>-1</v>
      </c>
      <c r="K181" s="198">
        <v>-1</v>
      </c>
      <c r="L181" s="198">
        <v>-1</v>
      </c>
      <c r="M181" s="198">
        <v>-1.1000000000000001</v>
      </c>
      <c r="N181" s="198">
        <v>-1.1000000000000001</v>
      </c>
      <c r="O181" s="198">
        <v>0.2</v>
      </c>
      <c r="P181" s="198">
        <v>0.2</v>
      </c>
      <c r="Q181" s="198">
        <v>0.2</v>
      </c>
      <c r="R181" s="198">
        <v>0.2</v>
      </c>
      <c r="S181" s="198">
        <v>0.2</v>
      </c>
      <c r="T181" s="198">
        <v>0.2</v>
      </c>
      <c r="U181" s="198"/>
      <c r="V181" s="198"/>
      <c r="W181" s="198"/>
    </row>
    <row r="182" spans="1:26" x14ac:dyDescent="0.4">
      <c r="A182" s="194">
        <v>11</v>
      </c>
      <c r="B182" s="200" t="s">
        <v>850</v>
      </c>
      <c r="C182" s="196" t="s">
        <v>851</v>
      </c>
      <c r="D182" s="196"/>
      <c r="E182" s="197">
        <v>0.6</v>
      </c>
      <c r="F182" s="197">
        <v>1.2</v>
      </c>
      <c r="G182" s="197">
        <v>2.5</v>
      </c>
      <c r="H182" s="197">
        <v>2.4</v>
      </c>
      <c r="I182" s="197">
        <v>1.7</v>
      </c>
      <c r="J182" s="197">
        <v>1.5</v>
      </c>
      <c r="K182" s="198">
        <v>0.5</v>
      </c>
      <c r="L182" s="198">
        <v>0.3</v>
      </c>
      <c r="M182" s="198">
        <v>0.2</v>
      </c>
      <c r="N182" s="198">
        <v>0.2</v>
      </c>
      <c r="O182" s="198">
        <v>0.2</v>
      </c>
      <c r="P182" s="198">
        <v>0.3</v>
      </c>
      <c r="Q182" s="198">
        <v>0.7</v>
      </c>
      <c r="R182" s="198">
        <v>0.7</v>
      </c>
      <c r="S182" s="198">
        <v>0.8</v>
      </c>
      <c r="T182" s="198">
        <v>0.9</v>
      </c>
      <c r="U182" s="198"/>
      <c r="V182" s="198"/>
      <c r="W182" s="198"/>
    </row>
    <row r="183" spans="1:26" x14ac:dyDescent="0.4">
      <c r="A183" s="194">
        <v>12</v>
      </c>
      <c r="B183" s="200" t="s">
        <v>7</v>
      </c>
      <c r="C183" s="196" t="s">
        <v>852</v>
      </c>
      <c r="D183" s="196"/>
      <c r="E183" s="197">
        <v>2</v>
      </c>
      <c r="F183" s="197">
        <v>2.2000000000000002</v>
      </c>
      <c r="G183" s="197">
        <v>2.2999999999999998</v>
      </c>
      <c r="H183" s="197">
        <v>2</v>
      </c>
      <c r="I183" s="197">
        <v>1.5</v>
      </c>
      <c r="J183" s="197">
        <v>1.3</v>
      </c>
      <c r="K183" s="198">
        <v>0.4</v>
      </c>
      <c r="L183" s="198">
        <v>0.3</v>
      </c>
      <c r="M183" s="198">
        <v>0.2</v>
      </c>
      <c r="N183" s="198">
        <v>0.2</v>
      </c>
      <c r="O183" s="198">
        <v>0.2</v>
      </c>
      <c r="P183" s="198">
        <v>0.3</v>
      </c>
      <c r="Q183" s="198">
        <v>0.7</v>
      </c>
      <c r="R183" s="198">
        <v>0.7</v>
      </c>
      <c r="S183" s="198">
        <v>0.8</v>
      </c>
      <c r="T183" s="198">
        <v>0.9</v>
      </c>
      <c r="U183" s="198"/>
      <c r="V183" s="198"/>
      <c r="W183" s="198"/>
    </row>
    <row r="184" spans="1:26" x14ac:dyDescent="0.4">
      <c r="A184" s="194">
        <v>13</v>
      </c>
      <c r="B184" s="201" t="s">
        <v>8</v>
      </c>
      <c r="C184" s="196" t="s">
        <v>853</v>
      </c>
      <c r="D184" s="196"/>
      <c r="E184" s="197">
        <v>4.5</v>
      </c>
      <c r="F184" s="197">
        <v>3</v>
      </c>
      <c r="G184" s="197">
        <v>2.2000000000000002</v>
      </c>
      <c r="H184" s="197">
        <v>2.2999999999999998</v>
      </c>
      <c r="I184" s="197">
        <v>2.2999999999999998</v>
      </c>
      <c r="J184" s="197">
        <v>2.4</v>
      </c>
      <c r="K184" s="198">
        <v>2.4</v>
      </c>
      <c r="L184" s="198">
        <v>2.4</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854</v>
      </c>
      <c r="D185" s="204"/>
      <c r="E185" s="205">
        <v>6.6</v>
      </c>
      <c r="F185" s="205">
        <v>5.3</v>
      </c>
      <c r="G185" s="205">
        <v>4.5</v>
      </c>
      <c r="H185" s="205">
        <v>4.3</v>
      </c>
      <c r="I185" s="205">
        <v>3.8</v>
      </c>
      <c r="J185" s="205">
        <v>3.7</v>
      </c>
      <c r="K185" s="205">
        <v>2.8</v>
      </c>
      <c r="L185" s="205">
        <v>2.7</v>
      </c>
      <c r="M185" s="205">
        <v>2.7</v>
      </c>
      <c r="N185" s="205">
        <v>2.7</v>
      </c>
      <c r="O185" s="205">
        <v>2.7</v>
      </c>
      <c r="P185" s="205">
        <v>2.8</v>
      </c>
      <c r="Q185" s="205">
        <v>3.2</v>
      </c>
      <c r="R185" s="205">
        <v>3.2</v>
      </c>
      <c r="S185" s="205">
        <v>3.3</v>
      </c>
      <c r="T185" s="205">
        <v>3.4</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v>161.9</v>
      </c>
      <c r="F189" s="208">
        <v>153.69999999999999</v>
      </c>
      <c r="G189" s="208">
        <v>149.1</v>
      </c>
      <c r="H189" s="208">
        <v>143.1</v>
      </c>
      <c r="I189" s="208">
        <v>138</v>
      </c>
      <c r="J189" s="208">
        <v>133.4</v>
      </c>
      <c r="K189" s="208">
        <v>130.5</v>
      </c>
      <c r="L189" s="208">
        <v>127.7</v>
      </c>
      <c r="M189" s="208">
        <v>125.2</v>
      </c>
      <c r="N189" s="208">
        <v>122.7</v>
      </c>
      <c r="O189" s="208">
        <v>121.8</v>
      </c>
      <c r="P189" s="208">
        <v>121</v>
      </c>
      <c r="Q189" s="208">
        <v>119.9</v>
      </c>
      <c r="R189" s="208">
        <v>118.8</v>
      </c>
      <c r="S189" s="208">
        <v>117.7</v>
      </c>
      <c r="T189" s="208">
        <v>116.7</v>
      </c>
      <c r="U189" s="197"/>
      <c r="V189" s="197"/>
      <c r="W189" s="197"/>
    </row>
    <row r="190" spans="1:26" x14ac:dyDescent="0.4">
      <c r="A190" s="194">
        <v>2</v>
      </c>
      <c r="B190" s="195" t="s">
        <v>842</v>
      </c>
      <c r="C190" s="196" t="s">
        <v>843</v>
      </c>
      <c r="D190" s="196"/>
      <c r="E190" s="208">
        <v>4</v>
      </c>
      <c r="F190" s="208">
        <v>3.5</v>
      </c>
      <c r="G190" s="208">
        <v>3.7</v>
      </c>
      <c r="H190" s="208">
        <v>3.8</v>
      </c>
      <c r="I190" s="208">
        <v>3.9</v>
      </c>
      <c r="J190" s="208">
        <v>4</v>
      </c>
      <c r="K190" s="208">
        <v>7.6</v>
      </c>
      <c r="L190" s="208">
        <v>4.0999999999999996</v>
      </c>
      <c r="M190" s="208">
        <v>4.2</v>
      </c>
      <c r="N190" s="208">
        <v>4.3</v>
      </c>
      <c r="O190" s="208">
        <v>4.4000000000000004</v>
      </c>
      <c r="P190" s="208">
        <v>4.3</v>
      </c>
      <c r="Q190" s="208">
        <v>4.3</v>
      </c>
      <c r="R190" s="208">
        <v>4.3</v>
      </c>
      <c r="S190" s="208">
        <v>4.3</v>
      </c>
      <c r="T190" s="208">
        <v>4.3</v>
      </c>
      <c r="U190" s="197"/>
      <c r="V190" s="197"/>
      <c r="W190" s="197"/>
    </row>
    <row r="191" spans="1:26" x14ac:dyDescent="0.4">
      <c r="A191" s="194">
        <v>3</v>
      </c>
      <c r="B191" s="195" t="s">
        <v>844</v>
      </c>
      <c r="C191" s="196" t="s">
        <v>845</v>
      </c>
      <c r="D191" s="196"/>
      <c r="E191" s="208">
        <v>3.4</v>
      </c>
      <c r="F191" s="208">
        <v>3.6</v>
      </c>
      <c r="G191" s="208">
        <v>2.8</v>
      </c>
      <c r="H191" s="208">
        <v>2.8</v>
      </c>
      <c r="I191" s="208">
        <v>2.8</v>
      </c>
      <c r="J191" s="208">
        <v>2.8</v>
      </c>
      <c r="K191" s="208">
        <v>6.4</v>
      </c>
      <c r="L191" s="208">
        <v>2.8</v>
      </c>
      <c r="M191" s="208">
        <v>2.7</v>
      </c>
      <c r="N191" s="208">
        <v>2.7</v>
      </c>
      <c r="O191" s="208">
        <v>2.7</v>
      </c>
      <c r="P191" s="208">
        <v>2.7</v>
      </c>
      <c r="Q191" s="208">
        <v>2.7</v>
      </c>
      <c r="R191" s="208">
        <v>2.6</v>
      </c>
      <c r="S191" s="208">
        <v>2.6</v>
      </c>
      <c r="T191" s="208">
        <v>2.5</v>
      </c>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v>161.9</v>
      </c>
      <c r="F193" s="208">
        <v>153.69999999999999</v>
      </c>
      <c r="G193" s="208">
        <v>149.1</v>
      </c>
      <c r="H193" s="208">
        <v>143.1</v>
      </c>
      <c r="I193" s="208">
        <v>138</v>
      </c>
      <c r="J193" s="208">
        <v>133.4</v>
      </c>
      <c r="K193" s="208">
        <v>130</v>
      </c>
      <c r="L193" s="208">
        <v>127.1</v>
      </c>
      <c r="M193" s="208">
        <v>124.8</v>
      </c>
      <c r="N193" s="208">
        <v>122.8</v>
      </c>
      <c r="O193" s="208">
        <v>122.4</v>
      </c>
      <c r="P193" s="208">
        <v>121.9</v>
      </c>
      <c r="Q193" s="208">
        <v>121.3</v>
      </c>
      <c r="R193" s="208">
        <v>120.5</v>
      </c>
      <c r="S193" s="208">
        <v>119.9</v>
      </c>
      <c r="T193" s="208">
        <v>119.3</v>
      </c>
      <c r="U193" s="197"/>
      <c r="V193" s="197"/>
      <c r="W193" s="197"/>
    </row>
    <row r="194" spans="1:23" x14ac:dyDescent="0.4">
      <c r="A194" s="194">
        <v>5</v>
      </c>
      <c r="B194" s="195" t="s">
        <v>3</v>
      </c>
      <c r="C194" s="196" t="s">
        <v>838</v>
      </c>
      <c r="D194" s="196"/>
      <c r="E194" s="208">
        <v>1.9</v>
      </c>
      <c r="F194" s="208">
        <v>1.9</v>
      </c>
      <c r="G194" s="208">
        <v>2</v>
      </c>
      <c r="H194" s="208">
        <v>2.1</v>
      </c>
      <c r="I194" s="208">
        <v>2.2000000000000002</v>
      </c>
      <c r="J194" s="208">
        <v>2.2999999999999998</v>
      </c>
      <c r="K194" s="208">
        <v>2.1</v>
      </c>
      <c r="L194" s="208">
        <v>1.8</v>
      </c>
      <c r="M194" s="208">
        <v>1.8</v>
      </c>
      <c r="N194" s="208">
        <v>1.8</v>
      </c>
      <c r="O194" s="208">
        <v>1.8</v>
      </c>
      <c r="P194" s="208">
        <v>1.8</v>
      </c>
      <c r="Q194" s="208">
        <v>1.8</v>
      </c>
      <c r="R194" s="208">
        <v>1.8</v>
      </c>
      <c r="S194" s="208">
        <v>1.8</v>
      </c>
      <c r="T194" s="208">
        <v>1.8</v>
      </c>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v>161.9</v>
      </c>
      <c r="F196" s="208">
        <v>153.69999999999999</v>
      </c>
      <c r="G196" s="208">
        <v>149.1</v>
      </c>
      <c r="H196" s="208">
        <v>143.1</v>
      </c>
      <c r="I196" s="208">
        <v>138</v>
      </c>
      <c r="J196" s="208">
        <v>133.4</v>
      </c>
      <c r="K196" s="208">
        <v>130.80000000000001</v>
      </c>
      <c r="L196" s="208">
        <v>128.5</v>
      </c>
      <c r="M196" s="208">
        <v>126.6</v>
      </c>
      <c r="N196" s="208">
        <v>124.7</v>
      </c>
      <c r="O196" s="208">
        <v>124.5</v>
      </c>
      <c r="P196" s="208">
        <v>124.4</v>
      </c>
      <c r="Q196" s="208">
        <v>124.1</v>
      </c>
      <c r="R196" s="208">
        <v>123.8</v>
      </c>
      <c r="S196" s="208">
        <v>123.5</v>
      </c>
      <c r="T196" s="208">
        <v>123.5</v>
      </c>
      <c r="U196" s="197"/>
      <c r="V196" s="197"/>
      <c r="W196" s="197"/>
    </row>
    <row r="197" spans="1:23" x14ac:dyDescent="0.4">
      <c r="A197" s="194">
        <v>7</v>
      </c>
      <c r="B197" s="195" t="s">
        <v>842</v>
      </c>
      <c r="C197" s="196" t="s">
        <v>843</v>
      </c>
      <c r="D197" s="196"/>
      <c r="E197" s="208">
        <v>4</v>
      </c>
      <c r="F197" s="208">
        <v>3.5</v>
      </c>
      <c r="G197" s="208">
        <v>3.7</v>
      </c>
      <c r="H197" s="208">
        <v>3.8</v>
      </c>
      <c r="I197" s="208">
        <v>3.9</v>
      </c>
      <c r="J197" s="208">
        <v>4</v>
      </c>
      <c r="K197" s="208">
        <v>4.5</v>
      </c>
      <c r="L197" s="208">
        <v>4.5999999999999996</v>
      </c>
      <c r="M197" s="208">
        <v>4.7</v>
      </c>
      <c r="N197" s="208">
        <v>4.8</v>
      </c>
      <c r="O197" s="208">
        <v>4.9000000000000004</v>
      </c>
      <c r="P197" s="208">
        <v>4.8</v>
      </c>
      <c r="Q197" s="208">
        <v>4.8</v>
      </c>
      <c r="R197" s="208">
        <v>4.8</v>
      </c>
      <c r="S197" s="208">
        <v>4.8</v>
      </c>
      <c r="T197" s="208">
        <v>4.8</v>
      </c>
      <c r="U197" s="197"/>
      <c r="V197" s="197"/>
      <c r="W197" s="197"/>
    </row>
    <row r="198" spans="1:23" x14ac:dyDescent="0.4">
      <c r="A198" s="194">
        <v>8</v>
      </c>
      <c r="B198" s="195" t="s">
        <v>844</v>
      </c>
      <c r="C198" s="196" t="s">
        <v>845</v>
      </c>
      <c r="D198" s="196"/>
      <c r="E198" s="208">
        <v>3.4</v>
      </c>
      <c r="F198" s="208">
        <v>3.6</v>
      </c>
      <c r="G198" s="208">
        <v>2.8</v>
      </c>
      <c r="H198" s="208">
        <v>2.8</v>
      </c>
      <c r="I198" s="208">
        <v>2.8</v>
      </c>
      <c r="J198" s="208">
        <v>2.8</v>
      </c>
      <c r="K198" s="208">
        <v>3.3</v>
      </c>
      <c r="L198" s="208">
        <v>3.3</v>
      </c>
      <c r="M198" s="208">
        <v>3.2</v>
      </c>
      <c r="N198" s="208">
        <v>3.2</v>
      </c>
      <c r="O198" s="208">
        <v>3.2</v>
      </c>
      <c r="P198" s="208">
        <v>3.2</v>
      </c>
      <c r="Q198" s="208">
        <v>3.2</v>
      </c>
      <c r="R198" s="208">
        <v>3.1</v>
      </c>
      <c r="S198" s="208">
        <v>3.1</v>
      </c>
      <c r="T198" s="208">
        <v>3</v>
      </c>
      <c r="U198" s="197"/>
      <c r="V198" s="197"/>
      <c r="W198" s="197"/>
    </row>
    <row r="199" spans="1:23" x14ac:dyDescent="0.4">
      <c r="A199" s="194">
        <v>9</v>
      </c>
      <c r="B199" s="200" t="s">
        <v>7</v>
      </c>
      <c r="C199" s="196" t="s">
        <v>852</v>
      </c>
      <c r="D199" s="196"/>
      <c r="E199" s="208">
        <v>2</v>
      </c>
      <c r="F199" s="208">
        <v>2.2000000000000002</v>
      </c>
      <c r="G199" s="208">
        <v>2.2999999999999998</v>
      </c>
      <c r="H199" s="208">
        <v>2</v>
      </c>
      <c r="I199" s="208">
        <v>1.5</v>
      </c>
      <c r="J199" s="208">
        <v>1.3</v>
      </c>
      <c r="K199" s="208">
        <v>-0.1</v>
      </c>
      <c r="L199" s="208">
        <v>-0.2</v>
      </c>
      <c r="M199" s="208">
        <v>-0.3</v>
      </c>
      <c r="N199" s="208">
        <v>-0.3</v>
      </c>
      <c r="O199" s="208">
        <v>-0.3</v>
      </c>
      <c r="P199" s="208">
        <v>-0.2</v>
      </c>
      <c r="Q199" s="208">
        <v>0.2</v>
      </c>
      <c r="R199" s="208">
        <v>0.2</v>
      </c>
      <c r="S199" s="208">
        <v>0.3</v>
      </c>
      <c r="T199" s="208">
        <v>0.4</v>
      </c>
      <c r="U199" s="197"/>
      <c r="V199" s="197"/>
      <c r="W199" s="197"/>
    </row>
    <row r="200" spans="1:23" x14ac:dyDescent="0.4">
      <c r="A200" s="194">
        <v>10</v>
      </c>
      <c r="B200" s="200" t="s">
        <v>850</v>
      </c>
      <c r="C200" s="196" t="s">
        <v>851</v>
      </c>
      <c r="D200" s="196"/>
      <c r="E200" s="208">
        <v>0.6</v>
      </c>
      <c r="F200" s="208">
        <v>1.2</v>
      </c>
      <c r="G200" s="208">
        <v>2.5</v>
      </c>
      <c r="H200" s="208">
        <v>2.4</v>
      </c>
      <c r="I200" s="208">
        <v>1.7</v>
      </c>
      <c r="J200" s="208">
        <v>1.5</v>
      </c>
      <c r="K200" s="208">
        <v>0</v>
      </c>
      <c r="L200" s="208">
        <v>-0.2</v>
      </c>
      <c r="M200" s="208">
        <v>-0.3</v>
      </c>
      <c r="N200" s="208">
        <v>-0.3</v>
      </c>
      <c r="O200" s="208">
        <v>-0.3</v>
      </c>
      <c r="P200" s="208">
        <v>-0.2</v>
      </c>
      <c r="Q200" s="208">
        <v>0.2</v>
      </c>
      <c r="R200" s="208">
        <v>0.2</v>
      </c>
      <c r="S200" s="208">
        <v>0.3</v>
      </c>
      <c r="T200" s="208">
        <v>0.4</v>
      </c>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v>71.8</v>
      </c>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c r="E206">
        <v>161.9</v>
      </c>
      <c r="F206">
        <v>153.69999999999999</v>
      </c>
      <c r="G206">
        <v>148.80000000000001</v>
      </c>
      <c r="H206">
        <v>142.4</v>
      </c>
      <c r="I206">
        <v>137.19999999999999</v>
      </c>
      <c r="J206">
        <v>132.5</v>
      </c>
      <c r="K206">
        <v>128.80000000000001</v>
      </c>
      <c r="L206">
        <v>125.4</v>
      </c>
      <c r="M206">
        <v>122.2</v>
      </c>
      <c r="N206">
        <v>119.3</v>
      </c>
      <c r="O206">
        <v>117.8</v>
      </c>
      <c r="P206">
        <v>116.5</v>
      </c>
      <c r="Q206">
        <v>114.9</v>
      </c>
      <c r="R206">
        <v>113.3</v>
      </c>
      <c r="S206">
        <v>111.7</v>
      </c>
      <c r="T206">
        <v>110.3</v>
      </c>
    </row>
    <row r="207" spans="1:23" x14ac:dyDescent="0.4">
      <c r="A207" s="224">
        <v>2</v>
      </c>
      <c r="B207" s="225" t="s">
        <v>836</v>
      </c>
      <c r="C207" s="225" t="s">
        <v>837</v>
      </c>
      <c r="D207" s="225"/>
      <c r="E207">
        <v>-1.6</v>
      </c>
      <c r="F207">
        <v>-1</v>
      </c>
      <c r="G207">
        <v>-0.5</v>
      </c>
      <c r="H207">
        <v>-0.5</v>
      </c>
      <c r="I207">
        <v>-0.7</v>
      </c>
      <c r="J207">
        <v>-0.9</v>
      </c>
      <c r="K207">
        <v>-1.1000000000000001</v>
      </c>
      <c r="L207">
        <v>-1.1000000000000001</v>
      </c>
      <c r="M207">
        <v>-1.2</v>
      </c>
      <c r="N207">
        <v>-1.3</v>
      </c>
      <c r="O207">
        <v>-1.5</v>
      </c>
      <c r="P207">
        <v>-1.7</v>
      </c>
      <c r="Q207">
        <v>-1.9</v>
      </c>
      <c r="R207">
        <v>-1.8</v>
      </c>
      <c r="S207">
        <v>1</v>
      </c>
      <c r="T207">
        <v>-2</v>
      </c>
    </row>
    <row r="208" spans="1:23" x14ac:dyDescent="0.4">
      <c r="A208" s="224">
        <v>3</v>
      </c>
      <c r="B208" s="225" t="s">
        <v>3</v>
      </c>
      <c r="C208" s="225" t="s">
        <v>838</v>
      </c>
      <c r="D208" s="225"/>
      <c r="E208">
        <v>1.9</v>
      </c>
      <c r="F208">
        <v>1.9</v>
      </c>
      <c r="G208">
        <v>1.9</v>
      </c>
      <c r="H208">
        <v>1.9</v>
      </c>
      <c r="I208">
        <v>1.9</v>
      </c>
      <c r="J208">
        <v>1.9</v>
      </c>
      <c r="K208">
        <v>1.9</v>
      </c>
      <c r="L208">
        <v>1.9</v>
      </c>
      <c r="M208">
        <v>1.9</v>
      </c>
      <c r="N208">
        <v>1.9</v>
      </c>
      <c r="O208">
        <v>1.9</v>
      </c>
      <c r="P208">
        <v>1.9</v>
      </c>
      <c r="Q208">
        <v>1.9</v>
      </c>
      <c r="R208">
        <v>1.9</v>
      </c>
      <c r="S208">
        <v>-1.9</v>
      </c>
      <c r="T208">
        <v>1.9</v>
      </c>
    </row>
    <row r="209" spans="1:23" x14ac:dyDescent="0.4">
      <c r="A209" s="224">
        <v>4</v>
      </c>
      <c r="B209" s="225" t="s">
        <v>839</v>
      </c>
      <c r="C209" s="225"/>
      <c r="D209" s="225"/>
      <c r="E209">
        <v>-0.1</v>
      </c>
      <c r="F209">
        <v>-0.7</v>
      </c>
      <c r="G209">
        <v>-0.5</v>
      </c>
      <c r="H209">
        <v>-0.4</v>
      </c>
      <c r="I209">
        <v>-0.2</v>
      </c>
      <c r="J209">
        <v>0</v>
      </c>
      <c r="K209">
        <v>0</v>
      </c>
      <c r="L209">
        <v>0</v>
      </c>
      <c r="M209">
        <v>0</v>
      </c>
      <c r="N209">
        <v>0</v>
      </c>
      <c r="O209">
        <v>0</v>
      </c>
      <c r="P209">
        <v>0</v>
      </c>
      <c r="Q209">
        <v>0</v>
      </c>
      <c r="R209">
        <v>0</v>
      </c>
      <c r="S209">
        <v>1.9</v>
      </c>
      <c r="T209">
        <v>0</v>
      </c>
    </row>
    <row r="210" spans="1:23" x14ac:dyDescent="0.4">
      <c r="A210" s="224">
        <v>5</v>
      </c>
      <c r="B210" s="225" t="s">
        <v>25</v>
      </c>
      <c r="C210" s="225" t="s">
        <v>841</v>
      </c>
      <c r="D210" s="225"/>
      <c r="E210">
        <v>3.5</v>
      </c>
      <c r="F210">
        <v>3.4</v>
      </c>
      <c r="G210">
        <v>3.2</v>
      </c>
      <c r="H210">
        <v>3.2</v>
      </c>
      <c r="I210">
        <v>3.5</v>
      </c>
      <c r="J210">
        <v>3.6</v>
      </c>
      <c r="K210">
        <v>3.8</v>
      </c>
      <c r="L210">
        <v>3.7</v>
      </c>
      <c r="M210">
        <v>3.7</v>
      </c>
      <c r="N210">
        <v>3.7</v>
      </c>
      <c r="O210">
        <v>3.7</v>
      </c>
      <c r="P210">
        <v>3.8</v>
      </c>
      <c r="Q210">
        <v>3.8</v>
      </c>
      <c r="R210">
        <v>3.8</v>
      </c>
      <c r="S210">
        <v>0</v>
      </c>
      <c r="T210">
        <v>3.8</v>
      </c>
    </row>
    <row r="211" spans="1:23" x14ac:dyDescent="0.4">
      <c r="A211" s="224">
        <v>6</v>
      </c>
      <c r="B211" s="225" t="s">
        <v>842</v>
      </c>
      <c r="C211" s="225" t="s">
        <v>843</v>
      </c>
      <c r="D211" s="225"/>
      <c r="E211">
        <v>4</v>
      </c>
      <c r="F211">
        <v>3.5</v>
      </c>
      <c r="G211">
        <v>3.7</v>
      </c>
      <c r="H211">
        <v>3.8</v>
      </c>
      <c r="I211">
        <v>3.9</v>
      </c>
      <c r="J211">
        <v>4</v>
      </c>
      <c r="K211">
        <v>4</v>
      </c>
      <c r="L211">
        <v>4.0999999999999996</v>
      </c>
      <c r="M211">
        <v>4.2</v>
      </c>
      <c r="N211">
        <v>4.3</v>
      </c>
      <c r="O211">
        <v>4.4000000000000004</v>
      </c>
      <c r="P211">
        <v>4.3</v>
      </c>
      <c r="Q211">
        <v>4.3</v>
      </c>
      <c r="R211">
        <v>4.3</v>
      </c>
      <c r="S211">
        <v>3.8</v>
      </c>
      <c r="T211">
        <v>4.3</v>
      </c>
    </row>
    <row r="212" spans="1:23" x14ac:dyDescent="0.4">
      <c r="A212" s="224">
        <v>7</v>
      </c>
      <c r="B212" s="225" t="s">
        <v>844</v>
      </c>
      <c r="C212" s="225" t="s">
        <v>845</v>
      </c>
      <c r="D212" s="225"/>
      <c r="E212">
        <v>3.4</v>
      </c>
      <c r="F212">
        <v>3.6</v>
      </c>
      <c r="G212">
        <v>2.8</v>
      </c>
      <c r="H212">
        <v>2.8</v>
      </c>
      <c r="I212">
        <v>2.8</v>
      </c>
      <c r="J212">
        <v>2.8</v>
      </c>
      <c r="K212">
        <v>2.8</v>
      </c>
      <c r="L212">
        <v>2.8</v>
      </c>
      <c r="M212">
        <v>2.7</v>
      </c>
      <c r="N212">
        <v>2.7</v>
      </c>
      <c r="O212">
        <v>2.7</v>
      </c>
      <c r="P212">
        <v>2.7</v>
      </c>
      <c r="Q212">
        <v>2.7</v>
      </c>
      <c r="R212">
        <v>2.6</v>
      </c>
      <c r="S212">
        <v>4.3</v>
      </c>
      <c r="T212">
        <v>2.5</v>
      </c>
    </row>
    <row r="213" spans="1:23" x14ac:dyDescent="0.4">
      <c r="A213" s="224">
        <v>8</v>
      </c>
      <c r="B213" s="225" t="s">
        <v>846</v>
      </c>
      <c r="C213" s="225" t="s">
        <v>847</v>
      </c>
      <c r="D213" s="225"/>
      <c r="E213">
        <v>2.1</v>
      </c>
      <c r="F213">
        <v>2.2000000000000002</v>
      </c>
      <c r="G213">
        <v>2.2000000000000002</v>
      </c>
      <c r="H213">
        <v>2.2999999999999998</v>
      </c>
      <c r="I213">
        <v>2.5</v>
      </c>
      <c r="J213">
        <v>2.7</v>
      </c>
      <c r="K213">
        <v>2.9</v>
      </c>
      <c r="L213">
        <v>3</v>
      </c>
      <c r="M213">
        <v>3.1</v>
      </c>
      <c r="N213">
        <v>3.1</v>
      </c>
      <c r="O213">
        <v>3.2</v>
      </c>
      <c r="P213">
        <v>3.3</v>
      </c>
      <c r="Q213">
        <v>3.4</v>
      </c>
      <c r="R213">
        <v>3.4</v>
      </c>
      <c r="S213">
        <v>2.6</v>
      </c>
      <c r="T213">
        <v>3.5</v>
      </c>
    </row>
    <row r="214" spans="1:23" x14ac:dyDescent="0.4">
      <c r="A214" s="224">
        <v>9</v>
      </c>
      <c r="B214" s="225" t="s">
        <v>850</v>
      </c>
      <c r="C214" s="225" t="s">
        <v>851</v>
      </c>
      <c r="D214" s="225"/>
      <c r="E214">
        <v>0.6</v>
      </c>
      <c r="F214">
        <v>1.2</v>
      </c>
      <c r="G214">
        <v>2.5</v>
      </c>
      <c r="H214">
        <v>2.4</v>
      </c>
      <c r="I214">
        <v>1.7</v>
      </c>
      <c r="J214">
        <v>1.5</v>
      </c>
      <c r="K214">
        <v>0.5</v>
      </c>
      <c r="L214">
        <v>0.3</v>
      </c>
      <c r="M214">
        <v>0.2</v>
      </c>
      <c r="N214">
        <v>0.2</v>
      </c>
      <c r="O214">
        <v>0.2</v>
      </c>
      <c r="P214">
        <v>0.3</v>
      </c>
      <c r="Q214">
        <v>0.7</v>
      </c>
      <c r="R214">
        <v>0.7</v>
      </c>
      <c r="S214">
        <v>3.5</v>
      </c>
      <c r="T214">
        <v>0.9</v>
      </c>
    </row>
    <row r="215" spans="1:23" x14ac:dyDescent="0.4">
      <c r="A215" s="224">
        <v>10</v>
      </c>
      <c r="B215" s="225" t="s">
        <v>7</v>
      </c>
      <c r="C215" s="225" t="s">
        <v>852</v>
      </c>
      <c r="D215" s="225"/>
      <c r="E215">
        <v>2</v>
      </c>
      <c r="F215">
        <v>2.2000000000000002</v>
      </c>
      <c r="G215">
        <v>2.2999999999999998</v>
      </c>
      <c r="H215">
        <v>2</v>
      </c>
      <c r="I215">
        <v>1.4</v>
      </c>
      <c r="J215">
        <v>1.1000000000000001</v>
      </c>
      <c r="K215">
        <v>0.5</v>
      </c>
      <c r="L215">
        <v>0.3</v>
      </c>
      <c r="M215">
        <v>0.2</v>
      </c>
      <c r="N215">
        <v>0.2</v>
      </c>
      <c r="O215">
        <v>0.2</v>
      </c>
      <c r="P215">
        <v>0.3</v>
      </c>
      <c r="Q215">
        <v>0.7</v>
      </c>
      <c r="R215">
        <v>0.7</v>
      </c>
      <c r="S215">
        <v>0.8</v>
      </c>
      <c r="T215">
        <v>0.9</v>
      </c>
    </row>
    <row r="216" spans="1:23" x14ac:dyDescent="0.4">
      <c r="A216" s="224">
        <v>11</v>
      </c>
      <c r="B216" s="225" t="s">
        <v>8</v>
      </c>
      <c r="C216" s="225" t="s">
        <v>853</v>
      </c>
      <c r="D216" s="225"/>
      <c r="E216">
        <v>4.5</v>
      </c>
      <c r="F216">
        <v>3</v>
      </c>
      <c r="G216">
        <v>2.2000000000000002</v>
      </c>
      <c r="H216">
        <v>2.2999999999999998</v>
      </c>
      <c r="I216">
        <v>2.2999999999999998</v>
      </c>
      <c r="J216">
        <v>2.4</v>
      </c>
      <c r="K216">
        <v>2.4</v>
      </c>
      <c r="L216">
        <v>2.4</v>
      </c>
      <c r="M216">
        <v>2.5</v>
      </c>
      <c r="N216">
        <v>2.5</v>
      </c>
      <c r="O216">
        <v>2.6</v>
      </c>
      <c r="P216">
        <v>2.5</v>
      </c>
      <c r="Q216">
        <v>2.5</v>
      </c>
      <c r="R216">
        <v>2.5</v>
      </c>
      <c r="S216">
        <v>0.8</v>
      </c>
      <c r="T216">
        <v>2.4</v>
      </c>
    </row>
    <row r="217" spans="1:23" x14ac:dyDescent="0.4">
      <c r="A217" s="224">
        <v>12</v>
      </c>
      <c r="B217" s="225" t="s">
        <v>9</v>
      </c>
      <c r="C217" s="225" t="s">
        <v>854</v>
      </c>
      <c r="D217" s="225"/>
      <c r="E217">
        <v>6.6</v>
      </c>
      <c r="F217">
        <v>5.3</v>
      </c>
      <c r="G217">
        <v>4.5999999999999996</v>
      </c>
      <c r="H217">
        <v>4.3</v>
      </c>
      <c r="I217">
        <v>3.7</v>
      </c>
      <c r="J217">
        <v>3.5</v>
      </c>
      <c r="K217">
        <v>2.9</v>
      </c>
      <c r="L217">
        <v>2.8</v>
      </c>
      <c r="M217">
        <v>2.7</v>
      </c>
      <c r="N217">
        <v>2.7</v>
      </c>
      <c r="O217">
        <v>2.7</v>
      </c>
      <c r="P217">
        <v>2.8</v>
      </c>
      <c r="Q217">
        <v>3.2</v>
      </c>
      <c r="R217">
        <v>3.2</v>
      </c>
      <c r="S217">
        <v>2.4</v>
      </c>
      <c r="T217">
        <v>3.4</v>
      </c>
    </row>
    <row r="218" spans="1:23" x14ac:dyDescent="0.4">
      <c r="A218" s="226">
        <v>13</v>
      </c>
      <c r="B218" s="227" t="s">
        <v>858</v>
      </c>
      <c r="C218" s="227"/>
      <c r="D218" s="227"/>
      <c r="E218" s="228">
        <v>0.75</v>
      </c>
      <c r="F218" s="228"/>
      <c r="G218" s="228"/>
      <c r="H218" s="228"/>
      <c r="I218" s="228"/>
      <c r="J218" s="228"/>
      <c r="K218" s="228"/>
      <c r="L218" s="228"/>
      <c r="M218" s="228"/>
      <c r="N218" s="228"/>
      <c r="O218" s="228"/>
      <c r="P218" s="228"/>
      <c r="Q218" s="228"/>
      <c r="R218" s="228"/>
      <c r="S218" s="228">
        <v>3.3</v>
      </c>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v>161.9</v>
      </c>
      <c r="F222" s="197">
        <v>153.69999999999999</v>
      </c>
      <c r="G222" s="197">
        <v>149.1</v>
      </c>
      <c r="H222" s="197">
        <v>143.1</v>
      </c>
      <c r="I222" s="197">
        <v>138</v>
      </c>
      <c r="J222" s="197">
        <v>133.4</v>
      </c>
      <c r="K222" s="198">
        <v>130.1</v>
      </c>
      <c r="L222" s="198">
        <v>127.1</v>
      </c>
      <c r="M222" s="198">
        <v>124.3</v>
      </c>
      <c r="N222" s="198">
        <v>121.7</v>
      </c>
      <c r="O222" s="198">
        <v>120.6</v>
      </c>
      <c r="P222" s="198">
        <v>119.6</v>
      </c>
      <c r="Q222" s="198">
        <v>118.4</v>
      </c>
      <c r="R222" s="198">
        <v>117.1</v>
      </c>
      <c r="S222" s="198">
        <v>115.9</v>
      </c>
      <c r="T222" s="198">
        <v>114.9</v>
      </c>
      <c r="U222" s="198"/>
      <c r="V222" s="198"/>
      <c r="W222" s="198"/>
    </row>
    <row r="223" spans="1:23" x14ac:dyDescent="0.4">
      <c r="A223" s="194">
        <v>2</v>
      </c>
      <c r="B223" s="229" t="s">
        <v>860</v>
      </c>
      <c r="C223" s="230"/>
      <c r="D223" s="196"/>
      <c r="E223" s="197">
        <v>6.3</v>
      </c>
      <c r="F223" s="197">
        <v>2.2999999999999998</v>
      </c>
      <c r="G223" s="197">
        <v>2.2000000000000002</v>
      </c>
      <c r="H223" s="197">
        <v>5.0999999999999996</v>
      </c>
      <c r="I223" s="197">
        <v>4.4000000000000004</v>
      </c>
      <c r="J223" s="197">
        <v>6</v>
      </c>
      <c r="K223" s="198">
        <v>5.4</v>
      </c>
      <c r="L223" s="198">
        <v>6.1</v>
      </c>
      <c r="M223" s="198">
        <v>7.7</v>
      </c>
      <c r="N223" s="198">
        <v>6.9</v>
      </c>
      <c r="O223" s="198">
        <v>10.1</v>
      </c>
      <c r="P223" s="198">
        <v>8.1</v>
      </c>
      <c r="Q223" s="198">
        <v>8.5</v>
      </c>
      <c r="R223" s="198">
        <v>9.9</v>
      </c>
      <c r="S223" s="198">
        <v>10.7</v>
      </c>
      <c r="T223" s="198">
        <v>11.6</v>
      </c>
      <c r="U223" s="198"/>
      <c r="V223" s="198"/>
      <c r="W223" s="198"/>
    </row>
    <row r="224" spans="1:23" x14ac:dyDescent="0.4">
      <c r="A224" s="194">
        <v>3</v>
      </c>
      <c r="B224" s="229" t="s">
        <v>861</v>
      </c>
      <c r="C224" s="230"/>
      <c r="D224" s="196"/>
      <c r="E224" s="197">
        <v>8.9</v>
      </c>
      <c r="F224" s="197">
        <v>8.4</v>
      </c>
      <c r="G224" s="197">
        <v>8</v>
      </c>
      <c r="H224" s="197">
        <v>7.8</v>
      </c>
      <c r="I224" s="197">
        <v>7.5</v>
      </c>
      <c r="J224" s="197">
        <v>7.3</v>
      </c>
      <c r="K224" s="198">
        <v>7.1</v>
      </c>
      <c r="L224" s="198">
        <v>6.9</v>
      </c>
      <c r="M224" s="198">
        <v>6.8</v>
      </c>
      <c r="N224" s="198">
        <v>6.6</v>
      </c>
      <c r="O224" s="198">
        <v>6.5</v>
      </c>
      <c r="P224" s="198">
        <v>6.4</v>
      </c>
      <c r="Q224" s="198">
        <v>6.3</v>
      </c>
      <c r="R224" s="198">
        <v>6.3</v>
      </c>
      <c r="S224" s="198">
        <v>6.2</v>
      </c>
      <c r="T224" s="198">
        <v>6.2</v>
      </c>
      <c r="U224" s="198"/>
      <c r="V224" s="198"/>
      <c r="W224" s="198"/>
    </row>
    <row r="225" spans="1:23" x14ac:dyDescent="0.4">
      <c r="A225" s="194">
        <v>4</v>
      </c>
      <c r="B225" s="229" t="s">
        <v>862</v>
      </c>
      <c r="C225" s="230"/>
      <c r="D225" s="196"/>
      <c r="E225" s="197">
        <v>0</v>
      </c>
      <c r="F225" s="197">
        <v>0</v>
      </c>
      <c r="G225" s="197">
        <v>2</v>
      </c>
      <c r="H225" s="197">
        <v>0</v>
      </c>
      <c r="I225" s="197">
        <v>0.2</v>
      </c>
      <c r="J225" s="197">
        <v>0.2</v>
      </c>
      <c r="K225" s="198">
        <v>0.4</v>
      </c>
      <c r="L225" s="198">
        <v>0.4</v>
      </c>
      <c r="M225" s="198">
        <v>0.5</v>
      </c>
      <c r="N225" s="198">
        <v>0.6</v>
      </c>
      <c r="O225" s="198">
        <v>2</v>
      </c>
      <c r="P225" s="198">
        <v>2.2000000000000002</v>
      </c>
      <c r="Q225" s="198">
        <v>2.4</v>
      </c>
      <c r="R225" s="198">
        <v>2.2999999999999998</v>
      </c>
      <c r="S225" s="198">
        <v>2.4</v>
      </c>
      <c r="T225" s="198">
        <v>2.6</v>
      </c>
      <c r="U225" s="198"/>
      <c r="V225" s="198"/>
      <c r="W225" s="198"/>
    </row>
    <row r="226" spans="1:23" x14ac:dyDescent="0.4">
      <c r="A226" s="202">
        <v>5</v>
      </c>
      <c r="B226" s="231" t="s">
        <v>863</v>
      </c>
      <c r="C226" s="232"/>
      <c r="D226" s="204"/>
      <c r="E226" s="205">
        <v>0</v>
      </c>
      <c r="F226" s="205">
        <v>0</v>
      </c>
      <c r="G226" s="205">
        <v>0.1</v>
      </c>
      <c r="H226" s="205">
        <v>0</v>
      </c>
      <c r="I226" s="205">
        <v>0</v>
      </c>
      <c r="J226" s="205">
        <v>0</v>
      </c>
      <c r="K226" s="233">
        <v>0</v>
      </c>
      <c r="L226" s="233">
        <v>0</v>
      </c>
      <c r="M226" s="233">
        <v>0</v>
      </c>
      <c r="N226" s="233">
        <v>0</v>
      </c>
      <c r="O226" s="233">
        <v>0.1</v>
      </c>
      <c r="P226" s="233">
        <v>0.1</v>
      </c>
      <c r="Q226" s="233">
        <v>0.1</v>
      </c>
      <c r="R226" s="233">
        <v>0.1</v>
      </c>
      <c r="S226" s="233">
        <v>0.1</v>
      </c>
      <c r="T226" s="233">
        <v>0.2</v>
      </c>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topLeftCell="B1" zoomScaleNormal="100" workbookViewId="0">
      <selection activeCell="M16" sqref="M16"/>
    </sheetView>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election activeCell="J7" sqref="J7"/>
    </sheetView>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Greece's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Greece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Greece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Hellenic Fiscal Council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Hellenic Fiscal Council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Greece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Compliant</v>
      </c>
      <c r="F14" s="22" t="str">
        <f>Assessment!C236</f>
        <v>The average net expenditure growth reported in Greece's plan over the adjustment period (2025–2028) is higher than the reference trajectory transmitted by the Commission on 21 June 2024, but the Hellenic Fiscal Council deems the explanation and alternative assumptions to be satisfactory.</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Greece's latest MTP exceeds the Commission's reference trajectory but the Hellenic Fiscal Council deems the explanation and alternative assumptions to be satisfactory.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Greece's planned net expenditure ensures gross government debt meets all risk-based debt requirements for a plausible downward path.</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Greece's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Greece.</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Compliant</v>
      </c>
      <c r="F21" s="22" t="str">
        <f>Assessment!C319</f>
        <v>The debt sustainability safeguard applies and Greece's fiscal path is compliant.</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Greece's latest MTP exceeds the Commission's reference trajectory but the Hellenic Fiscal Council deems the explanation and alternative assumptions to be satisfactory,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953</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Draft budgety plan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111.255</v>
      </c>
      <c r="E6" s="155">
        <f>IF(E$4&lt;=OutturnThrough,IF(ISNUMBER('Step 2 - Update outturn data'!F6),'Step 2 - Update outturn data'!F6,""),IF(ISNUMBER('Step 3 (IMPL) - Enter outlook'!E8),'Step 3 (IMPL) - Enter outlook'!E8,""))</f>
        <v>113.87</v>
      </c>
      <c r="F6" s="155">
        <f>IF(F$4&lt;=OutturnThrough,IF(ISNUMBER('Step 2 - Update outturn data'!G6),'Step 2 - Update outturn data'!G6,""),IF(ISNUMBER('Step 3 (IMPL) - Enter outlook'!F8),'Step 3 (IMPL) - Enter outlook'!F8,""))</f>
        <v>119.875</v>
      </c>
      <c r="G6" s="155">
        <f>IF(G$4&lt;=OutturnThrough,IF(ISNUMBER('Step 2 - Update outturn data'!H6),'Step 2 - Update outturn data'!H6,""),IF(ISNUMBER('Step 3 (IMPL) - Enter outlook'!G8),'Step 3 (IMPL) - Enter outlook'!G8,""))</f>
        <v>131.1565823848</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7.6120000000000001</v>
      </c>
      <c r="E7" s="155">
        <f>IF(E$4&lt;=OutturnThrough,IF(ISNUMBER('Step 2 - Update outturn data'!F7),'Step 2 - Update outturn data'!F7,""),IF(ISNUMBER('Step 3 (IMPL) - Enter outlook'!E9),'Step 3 (IMPL) - Enter outlook'!E9,""))</f>
        <v>8.2249999999999996</v>
      </c>
      <c r="F7" s="155">
        <f>IF(F$4&lt;=OutturnThrough,IF(ISNUMBER('Step 2 - Update outturn data'!G7),'Step 2 - Update outturn data'!G7,""),IF(ISNUMBER('Step 3 (IMPL) - Enter outlook'!F9),'Step 3 (IMPL) - Enter outlook'!F9,""))</f>
        <v>7.8410000000000002</v>
      </c>
      <c r="G7" s="155">
        <f>IF(G$4&lt;=OutturnThrough,IF(ISNUMBER('Step 2 - Update outturn data'!H7),'Step 2 - Update outturn data'!H7,""),IF(ISNUMBER('Step 3 (IMPL) - Enter outlook'!G9),'Step 3 (IMPL) - Enter outlook'!G9,""))</f>
        <v>7.8380427719999997</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0.3</v>
      </c>
      <c r="E8" s="155">
        <f>IF(E$4&lt;=OutturnThrough,IF(ISNUMBER('Step 2 - Update outturn data'!F8),'Step 2 - Update outturn data'!F8,""),IF(ISNUMBER('Step 3 (IMPL) - Enter outlook'!E10),'Step 3 (IMPL) - Enter outlook'!E10,""))</f>
        <v>0.1</v>
      </c>
      <c r="F8" s="155">
        <f>IF(F$4&lt;=OutturnThrough,IF(ISNUMBER('Step 2 - Update outturn data'!G8),'Step 2 - Update outturn data'!G8,""),IF(ISNUMBER('Step 3 (IMPL) - Enter outlook'!F10),'Step 3 (IMPL) - Enter outlook'!F10,""))</f>
        <v>-0.1</v>
      </c>
      <c r="G8" s="155">
        <f>IF(G$4&lt;=OutturnThrough,IF(ISNUMBER('Step 2 - Update outturn data'!H8),'Step 2 - Update outturn data'!H8,""),IF(ISNUMBER('Step 3 (IMPL) - Enter outlook'!G10),'Step 3 (IMPL) - Enter outlook'!G10,""))</f>
        <v>-0.26126809239999998</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5.6639999999999997</v>
      </c>
      <c r="E9" s="155">
        <f>IF(E$4&lt;=OutturnThrough,IF(ISNUMBER('Step 2 - Update outturn data'!F9),'Step 2 - Update outturn data'!F9,""),IF(ISNUMBER('Step 3 (IMPL) - Enter outlook'!E11),'Step 3 (IMPL) - Enter outlook'!E11,""))</f>
        <v>5.8730000000000002</v>
      </c>
      <c r="F9" s="155">
        <f>IF(F$4&lt;=OutturnThrough,IF(ISNUMBER('Step 2 - Update outturn data'!G9),'Step 2 - Update outturn data'!G9,""),IF(ISNUMBER('Step 3 (IMPL) - Enter outlook'!F11),'Step 3 (IMPL) - Enter outlook'!F11,""))</f>
        <v>8.43</v>
      </c>
      <c r="G9" s="155">
        <f>IF(G$4&lt;=OutturnThrough,IF(ISNUMBER('Step 2 - Update outturn data'!H9),'Step 2 - Update outturn data'!H9,""),IF(ISNUMBER('Step 3 (IMPL) - Enter outlook'!G11),'Step 3 (IMPL) - Enter outlook'!G11,""))</f>
        <v>12.5408684352</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0.73899999999999999</v>
      </c>
      <c r="E10" s="155">
        <f>IF(E$4&lt;=OutturnThrough,IF(ISNUMBER('Step 2 - Update outturn data'!F10),'Step 2 - Update outturn data'!F10,""),IF(ISNUMBER('Step 3 (IMPL) - Enter outlook'!E12),'Step 3 (IMPL) - Enter outlook'!E12,""))</f>
        <v>0.70499999999999996</v>
      </c>
      <c r="F10" s="155">
        <f>IF(F$4&lt;=OutturnThrough,IF(ISNUMBER('Step 2 - Update outturn data'!G10),'Step 2 - Update outturn data'!G10,""),IF(ISNUMBER('Step 3 (IMPL) - Enter outlook'!F12),'Step 3 (IMPL) - Enter outlook'!F12,""))</f>
        <v>0.78</v>
      </c>
      <c r="G10" s="155">
        <f>IF(G$4&lt;=OutturnThrough,IF(ISNUMBER('Step 2 - Update outturn data'!H10),'Step 2 - Update outturn data'!H10,""),IF(ISNUMBER('Step 3 (IMPL) - Enter outlook'!G12),'Step 3 (IMPL) - Enter outlook'!G12,""))</f>
        <v>1.3063404620000001</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0.3</v>
      </c>
      <c r="E11" s="155">
        <f>IF(E$4&lt;=OutturnThrough,IF(ISNUMBER('Step 2 - Update outturn data'!F11),'Step 2 - Update outturn data'!F11,""),IF(ISNUMBER('Step 3 (IMPL) - Enter outlook'!E13),'Step 3 (IMPL) - Enter outlook'!E13,""))</f>
        <v>0.4</v>
      </c>
      <c r="F11" s="155">
        <f>IF(F$4&lt;=OutturnThrough,IF(ISNUMBER('Step 2 - Update outturn data'!G11),'Step 2 - Update outturn data'!G11,""),IF(ISNUMBER('Step 3 (IMPL) - Enter outlook'!F13),'Step 3 (IMPL) - Enter outlook'!F13,""))</f>
        <v>0.4</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96.642539999999997</v>
      </c>
      <c r="E12" s="155">
        <f>IF(E$4&lt;=OutturnThrough,IF(ISNUMBER('Step 2 - Update outturn data'!F12),'Step 2 - Update outturn data'!F12,""),IF(ISNUMBER('Step 3 (IMPL) - Enter outlook'!E14),'Step 3 (IMPL) - Enter outlook'!E14,""))</f>
        <v>98.517420000000001</v>
      </c>
      <c r="F12" s="155">
        <f>IF(F$4&lt;=OutturnThrough,IF(ISNUMBER('Step 2 - Update outturn data'!G12),'Step 2 - Update outturn data'!G12,""),IF(ISNUMBER('Step 3 (IMPL) - Enter outlook'!F14),'Step 3 (IMPL) - Enter outlook'!F14,""))</f>
        <v>102.40949000000001</v>
      </c>
      <c r="G12" s="155">
        <f>IF(G$4&lt;=OutturnThrough,IF(ISNUMBER('Step 2 - Update outturn data'!H12),'Step 2 - Update outturn data'!H12,""),IF(ISNUMBER('Step 3 (IMPL) - Enter outlook'!G14),'Step 3 (IMPL) - Enter outlook'!G14,""))</f>
        <v>109.73259880799999</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2</v>
      </c>
      <c r="F13" s="155">
        <f>IF(F$4&lt;=OutturnThrough,IF(ISNUMBER('Step 2 - Update outturn data'!G13),'Step 2 - Update outturn data'!G13,""),IF(ISNUMBER('Step 3 (IMPL) - Enter outlook'!F15),'Step 3 (IMPL) - Enter outlook'!F15,""))</f>
        <v>1.1000000000000001</v>
      </c>
      <c r="G13" s="155">
        <f>IF(G$4&lt;=OutturnThrough,IF(ISNUMBER('Step 2 - Update outturn data'!H13),'Step 2 - Update outturn data'!H13,""),IF(ISNUMBER('Step 3 (IMPL) - Enter outlook'!G15),'Step 3 (IMPL) - Enter outlook'!G15,""))</f>
        <v>-0.52253618479999997</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5.2</v>
      </c>
      <c r="E14" s="155">
        <f>IF(E$4&lt;=OutturnThrough,IF(ISNUMBER('Step 2 - Update outturn data'!F14),'Step 2 - Update outturn data'!F14,""),IF(ISNUMBER('Step 3 (IMPL) - Enter outlook'!E16),'Step 3 (IMPL) - Enter outlook'!E16,""))</f>
        <v>5.3</v>
      </c>
      <c r="F14" s="155">
        <f>IF(F$4&lt;=OutturnThrough,IF(ISNUMBER('Step 2 - Update outturn data'!G14),'Step 2 - Update outturn data'!G14,""),IF(ISNUMBER('Step 3 (IMPL) - Enter outlook'!F16),'Step 3 (IMPL) - Enter outlook'!F16,""))</f>
        <v>6</v>
      </c>
      <c r="G14" s="155">
        <f>IF(G$4&lt;=OutturnThrough,IF(ISNUMBER('Step 2 - Update outturn data'!H14),'Step 2 - Update outturn data'!H14,""),IF(ISNUMBER('Step 3 (IMPL) - Enter outlook'!G16),'Step 3 (IMPL) - Enter outlook'!G16,""))</f>
        <v>6.7929704024000008</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-0.12946679588512477</v>
      </c>
      <c r="F15" s="155">
        <f>IF(F$4&lt;=OutturnThrough,IF(ISNUMBER('Step 2 - Update outturn data'!G15),'Step 2 - Update outturn data'!G15,""),IF(ISNUMBER('Step 3 (IMPL) - Enter outlook'!F17),'Step 3 (IMPL) - Enter outlook'!F17,""))</f>
        <v>2.8340876161799811</v>
      </c>
      <c r="G15" s="155">
        <f>IF(G$4&lt;=OutturnThrough,IF(ISNUMBER('Step 2 - Update outturn data'!H15),'Step 2 - Update outturn data'!H15,""),IF(ISNUMBER('Step 3 (IMPL) - Enter outlook'!G17),'Step 3 (IMPL) - Enter outlook'!G17,""))</f>
        <v>7.5</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-0.12946679588512477</v>
      </c>
      <c r="F16" s="155">
        <f>IF(F$4&lt;=OutturnThrough,IF(ISNUMBER('Step 2 - Update outturn data'!G16),'Step 2 - Update outturn data'!G16,""),IF(ISNUMBER('Step 3 (IMPL) - Enter outlook'!F18),'Step 3 (IMPL) - Enter outlook'!F18,""))</f>
        <v>2.7009516178656101</v>
      </c>
      <c r="G16" s="155">
        <f>IF(G$4&lt;=OutturnThrough,IF(ISNUMBER('Step 2 - Update outturn data'!H16),'Step 2 - Update outturn data'!H16,""),IF(ISNUMBER('Step 3 (IMPL) - Enter outlook'!G18),'Step 3 (IMPL) - Enter outlook'!G18,""))</f>
        <v>10.403522989205527</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f>IF(D$4&lt;=OutturnThrough,IF(ISNUMBER('Step 2 - Update outturn data'!E17),'Step 2 - Update outturn data'!E17,""),IF(ISNUMBER('Step 3 (IMPL) - Enter outlook'!D19),'Step 3 (IMPL) - Enter outlook'!D19,""))</f>
        <v>-1.4299943654750491</v>
      </c>
      <c r="E17" s="155">
        <f>IF(E$4&lt;=OutturnThrough,IF(ISNUMBER('Step 2 - Update outturn data'!F17),'Step 2 - Update outturn data'!F17,""),IF(ISNUMBER('Step 3 (IMPL) - Enter outlook'!E19),'Step 3 (IMPL) - Enter outlook'!E19,""))</f>
        <v>1.3470701540957015</v>
      </c>
      <c r="F17" s="155">
        <f>IF(F$4&lt;=OutturnThrough,IF(ISNUMBER('Step 2 - Update outturn data'!G17),'Step 2 - Update outturn data'!G17,""),IF(ISNUMBER('Step 3 (IMPL) - Enter outlook'!F19),'Step 3 (IMPL) - Enter outlook'!F19,""))</f>
        <v>1.7273751105781794</v>
      </c>
      <c r="G17" s="155">
        <f>IF(G$4&lt;=OutturnThrough,IF(ISNUMBER('Step 2 - Update outturn data'!H17),'Step 2 - Update outturn data'!H17,""),IF(ISNUMBER('Step 3 (IMPL) - Enter outlook'!G19),'Step 3 (IMPL) - Enter outlook'!G19,""))</f>
        <v>0.2</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-1.84205</v>
      </c>
      <c r="E18" s="155">
        <f>IF(E$4&lt;=OutturnThrough,IF(ISNUMBER('Step 2 - Update outturn data'!F18),'Step 2 - Update outturn data'!F18,""),IF(ISNUMBER('Step 3 (IMPL) - Enter outlook'!E20),'Step 3 (IMPL) - Enter outlook'!E20,""))</f>
        <v>0.34606999999999999</v>
      </c>
      <c r="F18" s="155">
        <f>IF(F$4&lt;=OutturnThrough,IF(ISNUMBER('Step 2 - Update outturn data'!G18),'Step 2 - Update outturn data'!G18,""),IF(ISNUMBER('Step 3 (IMPL) - Enter outlook'!F20),'Step 3 (IMPL) - Enter outlook'!F20,""))</f>
        <v>0.48633999999999999</v>
      </c>
      <c r="G18" s="155">
        <f>IF(G$4&lt;=OutturnThrough,IF(ISNUMBER('Step 2 - Update outturn data'!H18),'Step 2 - Update outturn data'!H18,""),IF(ISNUMBER('Step 3 (IMPL) - Enter outlook'!G20),'Step 3 (IMPL) - Enter outlook'!G20,""))</f>
        <v>-1.2</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1.54579</v>
      </c>
      <c r="E19" s="155">
        <f>IF(E$4&lt;=OutturnThrough,IF(ISNUMBER('Step 2 - Update outturn data'!F19),'Step 2 - Update outturn data'!F19,""),IF(ISNUMBER('Step 3 (IMPL) - Enter outlook'!E21),'Step 3 (IMPL) - Enter outlook'!E21,""))</f>
        <v>3.8204099999999999</v>
      </c>
      <c r="F19" s="155">
        <f>IF(F$4&lt;=OutturnThrough,IF(ISNUMBER('Step 2 - Update outturn data'!G19),'Step 2 - Update outturn data'!G19,""),IF(ISNUMBER('Step 3 (IMPL) - Enter outlook'!F21),'Step 3 (IMPL) - Enter outlook'!F21,""))</f>
        <v>3.6435300000000002</v>
      </c>
      <c r="G19" s="155">
        <f>IF(G$4&lt;=OutturnThrough,IF(ISNUMBER('Step 2 - Update outturn data'!H19),'Step 2 - Update outturn data'!H19,""),IF(ISNUMBER('Step 3 (IMPL) - Enter outlook'!G21),'Step 3 (IMPL) - Enter outlook'!G21,""))</f>
        <v>1.8</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f>IF(D$4&lt;=OutturnThrough,IF(ISNUMBER('Step 2 - Update outturn data'!E20),'Step 2 - Update outturn data'!E20,""),IF(ISNUMBER('Step 3 (IMPL) - Enter outlook'!D22),'Step 3 (IMPL) - Enter outlook'!D22,""))</f>
        <v>164.27800194226435</v>
      </c>
      <c r="E20" s="155">
        <f>IF(E$4&lt;=OutturnThrough,IF(ISNUMBER('Step 2 - Update outturn data'!F20),'Step 2 - Update outturn data'!F20,""),IF(ISNUMBER('Step 3 (IMPL) - Enter outlook'!E22),'Step 3 (IMPL) - Enter outlook'!E22,""))</f>
        <v>154.16497702081645</v>
      </c>
      <c r="F20" s="155">
        <f>IF(F$4&lt;=OutturnThrough,IF(ISNUMBER('Step 2 - Update outturn data'!G20),'Step 2 - Update outturn data'!G20,""),IF(ISNUMBER('Step 3 (IMPL) - Enter outlook'!F22),'Step 3 (IMPL) - Enter outlook'!F22,""))</f>
        <v>146.13231049104562</v>
      </c>
      <c r="G20" s="155">
        <f>IF(G$4&lt;=OutturnThrough,IF(ISNUMBER('Step 2 - Update outturn data'!H20),'Step 2 - Update outturn data'!H20,""),IF(ISNUMBER('Step 3 (IMPL) - Enter outlook'!G22),'Step 3 (IMPL) - Enter outlook'!G22,""))</f>
        <v>136.80000000000001</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f>IF(D$4&lt;=OutturnThrough,IF(ISNUMBER('Step 2 - Update outturn data'!E21),'Step 2 - Update outturn data'!E21,""),IF(ISNUMBER('Step 3 (IMPL) - Enter outlook'!D23),'Step 3 (IMPL) - Enter outlook'!D23,""))</f>
        <v>0.4917970039993555</v>
      </c>
      <c r="E21" s="155">
        <f>IF(E$4&lt;=OutturnThrough,IF(ISNUMBER('Step 2 - Update outturn data'!F21),'Step 2 - Update outturn data'!F21,""),IF(ISNUMBER('Step 3 (IMPL) - Enter outlook'!E23),'Step 3 (IMPL) - Enter outlook'!E23,""))</f>
        <v>-1.7513179237631793</v>
      </c>
      <c r="F21" s="155">
        <f>IF(F$4&lt;=OutturnThrough,IF(ISNUMBER('Step 2 - Update outturn data'!G21),'Step 2 - Update outturn data'!G21,""),IF(ISNUMBER('Step 3 (IMPL) - Enter outlook'!F23),'Step 3 (IMPL) - Enter outlook'!F23,""))</f>
        <v>-0.82100649195079434</v>
      </c>
      <c r="G21" s="155">
        <f>IF(G$4&lt;=OutturnThrough,IF(ISNUMBER('Step 2 - Update outturn data'!H21),'Step 2 - Update outturn data'!H21,""),IF(ISNUMBER('Step 3 (IMPL) - Enter outlook'!G23),'Step 3 (IMPL) - Enter outlook'!G23,""))</f>
        <v>-9.3000000000000007</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f>IF(D$4&lt;=OutturnThrough,IF(ISNUMBER('Step 2 - Update outturn data'!E22),'Step 2 - Update outturn data'!E22,""),IF(ISNUMBER('Step 3 (IMPL) - Enter outlook'!D24),'Step 3 (IMPL) - Enter outlook'!D24,""))</f>
        <v>2.1358911863197383</v>
      </c>
      <c r="E22" s="155">
        <f>IF(E$4&lt;=OutturnThrough,IF(ISNUMBER('Step 2 - Update outturn data'!F22),'Step 2 - Update outturn data'!F22,""),IF(ISNUMBER('Step 3 (IMPL) - Enter outlook'!E24),'Step 3 (IMPL) - Enter outlook'!E24,""))</f>
        <v>2.0865774054565467</v>
      </c>
      <c r="F22" s="155">
        <f>IF(F$4&lt;=OutturnThrough,IF(ISNUMBER('Step 2 - Update outturn data'!G22),'Step 2 - Update outturn data'!G22,""),IF(ISNUMBER('Step 3 (IMPL) - Enter outlook'!F24),'Step 3 (IMPL) - Enter outlook'!F24,""))</f>
        <v>2.0730652469252542</v>
      </c>
      <c r="G22" s="155">
        <f>IF(G$4&lt;=OutturnThrough,IF(ISNUMBER('Step 2 - Update outturn data'!H22),'Step 2 - Update outturn data'!H22,""),IF(ISNUMBER('Step 3 (IMPL) - Enter outlook'!G24),'Step 3 (IMPL) - Enter outlook'!G24,""))</f>
        <v>2</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f>IF(D$4&lt;=OutturnThrough,IF(ISNUMBER('Step 2 - Update outturn data'!E23),'Step 2 - Update outturn data'!E23,""),IF(ISNUMBER('Step 3 (IMPL) - Enter outlook'!D25),'Step 3 (IMPL) - Enter outlook'!D25,""))</f>
        <v>6.2696911980743009</v>
      </c>
      <c r="E23" s="155">
        <f>IF(E$4&lt;=OutturnThrough,IF(ISNUMBER('Step 2 - Update outturn data'!F23),'Step 2 - Update outturn data'!F23,""),IF(ISNUMBER('Step 3 (IMPL) - Enter outlook'!E25),'Step 3 (IMPL) - Enter outlook'!E25,""))</f>
        <v>3.2094021239268633</v>
      </c>
      <c r="F23" s="155">
        <f>IF(F$4&lt;=OutturnThrough,IF(ISNUMBER('Step 2 - Update outturn data'!G23),'Step 2 - Update outturn data'!G23,""),IF(ISNUMBER('Step 3 (IMPL) - Enter outlook'!F25),'Step 3 (IMPL) - Enter outlook'!F25,""))</f>
        <v>2.7768191292891542</v>
      </c>
      <c r="G23" s="155">
        <f>IF(G$4&lt;=OutturnThrough,IF(ISNUMBER('Step 2 - Update outturn data'!H23),'Step 2 - Update outturn data'!H23,""),IF(ISNUMBER('Step 3 (IMPL) - Enter outlook'!G25),'Step 3 (IMPL) - Enter outlook'!G25,""))</f>
        <v>3.2</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f>IF(D$4&lt;=OutturnThrough,IF(ISNUMBER('Step 2 - Update outturn data'!E24),'Step 2 - Update outturn data'!E24,""),IF(ISNUMBER('Step 3 (IMPL) - Enter outlook'!D26),'Step 3 (IMPL) - Enter outlook'!D26,""))</f>
        <v>8.5394961661031665</v>
      </c>
      <c r="E24" s="155">
        <f>IF(E$4&lt;=OutturnThrough,IF(ISNUMBER('Step 2 - Update outturn data'!F24),'Step 2 - Update outturn data'!F24,""),IF(ISNUMBER('Step 3 (IMPL) - Enter outlook'!E26),'Step 3 (IMPL) - Enter outlook'!E26,""))</f>
        <v>5.3629461889515229</v>
      </c>
      <c r="F24" s="155">
        <f>IF(F$4&lt;=OutturnThrough,IF(ISNUMBER('Step 2 - Update outturn data'!G24),'Step 2 - Update outturn data'!G24,""),IF(ISNUMBER('Step 3 (IMPL) - Enter outlook'!F26),'Step 3 (IMPL) - Enter outlook'!F26,""))</f>
        <v>4.9074496485536745</v>
      </c>
      <c r="G24" s="155">
        <f>IF(G$4&lt;=OutturnThrough,IF(ISNUMBER('Step 2 - Update outturn data'!H24),'Step 2 - Update outturn data'!H24,""),IF(ISNUMBER('Step 3 (IMPL) - Enter outlook'!G26),'Step 3 (IMPL) - Enter outlook'!G26,""))</f>
        <v>5.2</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f>IF(D$4&lt;=OutturnThrough,IF(ISNUMBER('Step 2 - Update outturn data'!E25),'Step 2 - Update outturn data'!E25,""),IF(ISNUMBER('Step 3 (IMPL) - Enter outlook'!D27),'Step 3 (IMPL) - Enter outlook'!D27,""))</f>
        <v>0.41214777352651666</v>
      </c>
      <c r="E25" s="155">
        <f>IF(E$4&lt;=OutturnThrough,IF(ISNUMBER('Step 2 - Update outturn data'!F25),'Step 2 - Update outturn data'!F25,""),IF(ISNUMBER('Step 3 (IMPL) - Enter outlook'!E27),'Step 3 (IMPL) - Enter outlook'!E27,""))</f>
        <v>0.89840122569280201</v>
      </c>
      <c r="F25" s="155">
        <f>IF(F$4&lt;=OutturnThrough,IF(ISNUMBER('Step 2 - Update outturn data'!G25),'Step 2 - Update outturn data'!G25,""),IF(ISNUMBER('Step 3 (IMPL) - Enter outlook'!F27),'Step 3 (IMPL) - Enter outlook'!F27,""))</f>
        <v>1.6052979221115482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f>IF(D$4&lt;=OutturnThrough,IF(ISNUMBER('Step 2 - Update outturn data'!E26),'Step 2 - Update outturn data'!E26,""),IF(ISNUMBER('Step 3 (IMPL) - Enter outlook'!D28),'Step 3 (IMPL) - Enter outlook'!D28,""))</f>
        <v>1.0428730339908876</v>
      </c>
      <c r="E26" s="155">
        <f>IF(E$4&lt;=OutturnThrough,IF(ISNUMBER('Step 2 - Update outturn data'!F26),'Step 2 - Update outturn data'!F26,""),IF(ISNUMBER('Step 3 (IMPL) - Enter outlook'!E28),'Step 3 (IMPL) - Enter outlook'!E28,""))</f>
        <v>2.2327473732196124</v>
      </c>
      <c r="F26" s="155">
        <f>IF(F$4&lt;=OutturnThrough,IF(ISNUMBER('Step 2 - Update outturn data'!G26),'Step 2 - Update outturn data'!G26,""),IF(ISNUMBER('Step 3 (IMPL) - Enter outlook'!F28),'Step 3 (IMPL) - Enter outlook'!F28,""))</f>
        <v>2.7034073702548067</v>
      </c>
      <c r="G26" s="155">
        <f>IF(G$4&lt;=OutturnThrough,IF(ISNUMBER('Step 2 - Update outturn data'!H26),'Step 2 - Update outturn data'!H26,""),IF(ISNUMBER('Step 3 (IMPL) - Enter outlook'!G28),'Step 3 (IMPL) - Enter outlook'!G28,""))</f>
        <v>2.7</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224.68620000000001</v>
      </c>
      <c r="E27" s="156">
        <f>IF(E$4&lt;=OutturnThrough,IF(ISNUMBER('Step 2 - Update outturn data'!F27),'Step 2 - Update outturn data'!F27,""),IF(ISNUMBER('Step 3 (IMPL) - Enter outlook'!E29),'Step 3 (IMPL) - Enter outlook'!E29,""))</f>
        <v>236.73599999999999</v>
      </c>
      <c r="F27" s="156">
        <f>IF(F$4&lt;=OutturnThrough,IF(ISNUMBER('Step 2 - Update outturn data'!G27),'Step 2 - Update outturn data'!G27,""),IF(ISNUMBER('Step 3 (IMPL) - Enter outlook'!F29),'Step 3 (IMPL) - Enter outlook'!F29,""))</f>
        <v>248.3537</v>
      </c>
      <c r="G27" s="156">
        <f>IF(G$4&lt;=OutturnThrough,IF(ISNUMBER('Step 2 - Update outturn data'!H27),'Step 2 - Update outturn data'!H27,""),IF(ISNUMBER('Step 3 (IMPL) - Enter outlook'!G29),'Step 3 (IMPL) - Enter outlook'!G29,""))</f>
        <v>261.2680924</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2.6</v>
      </c>
      <c r="F34" s="44">
        <f>IF(ISNUMBER('Step 3 (MTP) - Plan and prior'!F6),'Step 3 (MTP) - Plan and prior'!F6,"")</f>
        <v>3.6999999999999997</v>
      </c>
      <c r="G34" s="44">
        <f>IF(ISNUMBER('Step 3 (MTP) - Plan and prior'!G6),'Step 3 (MTP) - Plan and prior'!G6,"")</f>
        <v>3.6000000000000005</v>
      </c>
      <c r="H34" s="44">
        <f>IF(ISNUMBER('Step 3 (MTP) - Plan and prior'!H6),'Step 3 (MTP) - Plan and prior'!H6,"")</f>
        <v>3.1</v>
      </c>
      <c r="I34" s="44">
        <f>IF(ISNUMBER('Step 3 (MTP) - Plan and prior'!I6),'Step 3 (MTP) - Plan and prior'!I6,"")</f>
        <v>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-1.6</v>
      </c>
      <c r="E35" s="58">
        <f>IF(ISNUMBER('Step 3 (MTP) - Plan and prior'!E7),'Step 3 (MTP) - Plan and prior'!E7,"")</f>
        <v>-1</v>
      </c>
      <c r="F35" s="58">
        <f>IF(ISNUMBER('Step 3 (MTP) - Plan and prior'!F7),'Step 3 (MTP) - Plan and prior'!F7,"")</f>
        <v>-0.6</v>
      </c>
      <c r="G35" s="58">
        <f>IF(ISNUMBER('Step 3 (MTP) - Plan and prior'!G7),'Step 3 (MTP) - Plan and prior'!G7,"")</f>
        <v>-0.8</v>
      </c>
      <c r="H35" s="58">
        <f>IF(ISNUMBER('Step 3 (MTP) - Plan and prior'!H7),'Step 3 (MTP) - Plan and prior'!H7,"")</f>
        <v>-1.1000000000000001</v>
      </c>
      <c r="I35" s="58">
        <f>IF(ISNUMBER('Step 3 (MTP) - Plan and prior'!I7),'Step 3 (MTP) - Plan and prior'!I7,"")</f>
        <v>-1.2</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-1.5</v>
      </c>
      <c r="E36" s="58">
        <f>IF(ISNUMBER('Step 3 (MTP) - Plan and prior'!E8),'Step 3 (MTP) - Plan and prior'!E8,"")</f>
        <v>-1.5</v>
      </c>
      <c r="F36" s="58">
        <f>IF(ISNUMBER('Step 3 (MTP) - Plan and prior'!F8),'Step 3 (MTP) - Plan and prior'!F8,"")</f>
        <v>-1.1000000000000001</v>
      </c>
      <c r="G36" s="58">
        <f>IF(ISNUMBER('Step 3 (MTP) - Plan and prior'!G8),'Step 3 (MTP) - Plan and prior'!G8,"")</f>
        <v>-1.1000000000000001</v>
      </c>
      <c r="H36" s="58">
        <f>IF(ISNUMBER('Step 3 (MTP) - Plan and prior'!H8),'Step 3 (MTP) - Plan and prior'!H8,"")</f>
        <v>-1.2</v>
      </c>
      <c r="I36" s="58">
        <f>IF(ISNUMBER('Step 3 (MTP) - Plan and prior'!I8),'Step 3 (MTP) - Plan and prior'!I8,"")</f>
        <v>-1.3</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1.9</v>
      </c>
      <c r="E37" s="58">
        <f>IF(ISNUMBER('Step 3 (MTP) - Plan and prior'!E9),'Step 3 (MTP) - Plan and prior'!E9,"")</f>
        <v>1.9</v>
      </c>
      <c r="F37" s="58">
        <f>IF(ISNUMBER('Step 3 (MTP) - Plan and prior'!F9),'Step 3 (MTP) - Plan and prior'!F9,"")</f>
        <v>2</v>
      </c>
      <c r="G37" s="58">
        <f>IF(ISNUMBER('Step 3 (MTP) - Plan and prior'!G9),'Step 3 (MTP) - Plan and prior'!G9,"")</f>
        <v>2.1</v>
      </c>
      <c r="H37" s="58">
        <f>IF(ISNUMBER('Step 3 (MTP) - Plan and prior'!H9),'Step 3 (MTP) - Plan and prior'!H9,"")</f>
        <v>2.2000000000000002</v>
      </c>
      <c r="I37" s="58">
        <f>IF(ISNUMBER('Step 3 (MTP) - Plan and prior'!I9),'Step 3 (MTP) - Plan and prior'!I9,"")</f>
        <v>2.2999999999999998</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161.9</v>
      </c>
      <c r="E38" s="58">
        <f>IF(ISNUMBER('Step 3 (MTP) - Plan and prior'!E10),'Step 3 (MTP) - Plan and prior'!E10,"")</f>
        <v>153.69999999999999</v>
      </c>
      <c r="F38" s="58">
        <f>IF(ISNUMBER('Step 3 (MTP) - Plan and prior'!F10),'Step 3 (MTP) - Plan and prior'!F10,"")</f>
        <v>149.1</v>
      </c>
      <c r="G38" s="58">
        <f>IF(ISNUMBER('Step 3 (MTP) - Plan and prior'!G10),'Step 3 (MTP) - Plan and prior'!G10,"")</f>
        <v>143.1</v>
      </c>
      <c r="H38" s="58">
        <f>IF(ISNUMBER('Step 3 (MTP) - Plan and prior'!H10),'Step 3 (MTP) - Plan and prior'!H10,"")</f>
        <v>138</v>
      </c>
      <c r="I38" s="58">
        <f>IF(ISNUMBER('Step 3 (MTP) - Plan and prior'!I10),'Step 3 (MTP) - Plan and prior'!I10,"")</f>
        <v>133.4</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-10.8</v>
      </c>
      <c r="E39" s="58">
        <f>IF(ISNUMBER('Step 3 (MTP) - Plan and prior'!E11),'Step 3 (MTP) - Plan and prior'!E11,"")</f>
        <v>-8.1999999999999993</v>
      </c>
      <c r="F39" s="58">
        <f>IF(ISNUMBER('Step 3 (MTP) - Plan and prior'!F11),'Step 3 (MTP) - Plan and prior'!F11,"")</f>
        <v>-4.5999999999999996</v>
      </c>
      <c r="G39" s="58">
        <f>IF(ISNUMBER('Step 3 (MTP) - Plan and prior'!G11),'Step 3 (MTP) - Plan and prior'!G11,"")</f>
        <v>-6.1</v>
      </c>
      <c r="H39" s="58">
        <f>IF(ISNUMBER('Step 3 (MTP) - Plan and prior'!H11),'Step 3 (MTP) - Plan and prior'!H11,"")</f>
        <v>-5</v>
      </c>
      <c r="I39" s="58">
        <f>IF(ISNUMBER('Step 3 (MTP) - Plan and prior'!I11),'Step 3 (MTP) - Plan and prior'!I11,"")</f>
        <v>-4.7</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2</v>
      </c>
      <c r="E40" s="58">
        <f>IF(ISNUMBER('Step 3 (MTP) - Plan and prior'!E12),'Step 3 (MTP) - Plan and prior'!E12,"")</f>
        <v>2.2000000000000002</v>
      </c>
      <c r="F40" s="58">
        <f>IF(ISNUMBER('Step 3 (MTP) - Plan and prior'!F12),'Step 3 (MTP) - Plan and prior'!F12,"")</f>
        <v>2.2999999999999998</v>
      </c>
      <c r="G40" s="58">
        <f>IF(ISNUMBER('Step 3 (MTP) - Plan and prior'!G12),'Step 3 (MTP) - Plan and prior'!G12,"")</f>
        <v>2</v>
      </c>
      <c r="H40" s="58">
        <f>IF(ISNUMBER('Step 3 (MTP) - Plan and prior'!H12),'Step 3 (MTP) - Plan and prior'!H12,"")</f>
        <v>1.5</v>
      </c>
      <c r="I40" s="58">
        <f>IF(ISNUMBER('Step 3 (MTP) - Plan and prior'!I12),'Step 3 (MTP) - Plan and prior'!I12,"")</f>
        <v>1.3</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4.5</v>
      </c>
      <c r="E41" s="58">
        <f>IF(ISNUMBER('Step 3 (MTP) - Plan and prior'!E13),'Step 3 (MTP) - Plan and prior'!E13,"")</f>
        <v>3</v>
      </c>
      <c r="F41" s="58">
        <f>IF(ISNUMBER('Step 3 (MTP) - Plan and prior'!F13),'Step 3 (MTP) - Plan and prior'!F13,"")</f>
        <v>2.2000000000000002</v>
      </c>
      <c r="G41" s="58">
        <f>IF(ISNUMBER('Step 3 (MTP) - Plan and prior'!G13),'Step 3 (MTP) - Plan and prior'!G13,"")</f>
        <v>2.2999999999999998</v>
      </c>
      <c r="H41" s="58">
        <f>IF(ISNUMBER('Step 3 (MTP) - Plan and prior'!H13),'Step 3 (MTP) - Plan and prior'!H13,"")</f>
        <v>2.2999999999999998</v>
      </c>
      <c r="I41" s="58">
        <f>IF(ISNUMBER('Step 3 (MTP) - Plan and prior'!I13),'Step 3 (MTP) - Plan and prior'!I13,"")</f>
        <v>2.4</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6.6</v>
      </c>
      <c r="E42" s="58">
        <f>IF(ISNUMBER('Step 3 (MTP) - Plan and prior'!E14),'Step 3 (MTP) - Plan and prior'!E14,"")</f>
        <v>5.3</v>
      </c>
      <c r="F42" s="58">
        <f>IF(ISNUMBER('Step 3 (MTP) - Plan and prior'!F14),'Step 3 (MTP) - Plan and prior'!F14,"")</f>
        <v>4.5</v>
      </c>
      <c r="G42" s="58">
        <f>IF(ISNUMBER('Step 3 (MTP) - Plan and prior'!G14),'Step 3 (MTP) - Plan and prior'!G14,"")</f>
        <v>4.3</v>
      </c>
      <c r="H42" s="58">
        <f>IF(ISNUMBER('Step 3 (MTP) - Plan and prior'!H14),'Step 3 (MTP) - Plan and prior'!H14,"")</f>
        <v>3.8</v>
      </c>
      <c r="I42" s="58">
        <f>IF(ISNUMBER('Step 3 (MTP) - Plan and prior'!I14),'Step 3 (MTP) - Plan and prior'!I14,"")</f>
        <v>3.7</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0.6</v>
      </c>
      <c r="E43" s="44">
        <f>IF(ISNUMBER('Step 3 (MTP) - Plan and prior'!E15),'Step 3 (MTP) - Plan and prior'!E15,"")</f>
        <v>1.2</v>
      </c>
      <c r="F43" s="44">
        <f>IF(ISNUMBER('Step 3 (MTP) - Plan and prior'!F15),'Step 3 (MTP) - Plan and prior'!F15,"")</f>
        <v>2.5</v>
      </c>
      <c r="G43" s="44">
        <f>IF(ISNUMBER('Step 3 (MTP) - Plan and prior'!G15),'Step 3 (MTP) - Plan and prior'!G15,"")</f>
        <v>2.4</v>
      </c>
      <c r="H43" s="44">
        <f>IF(ISNUMBER('Step 3 (MTP) - Plan and prior'!H15),'Step 3 (MTP) - Plan and prior'!H15,"")</f>
        <v>1.7</v>
      </c>
      <c r="I43" s="44">
        <f>IF(ISNUMBER('Step 3 (MTP) - Plan and prior'!I15),'Step 3 (MTP) - Plan and prior'!I15,"")</f>
        <v>1.5</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0.3</v>
      </c>
      <c r="E44" s="48">
        <f>IF(ISNUMBER('Step 3 (MTP) - Plan and prior'!E16),'Step 3 (MTP) - Plan and prior'!E16,"")</f>
        <v>1.2</v>
      </c>
      <c r="F44" s="48">
        <f>IF(ISNUMBER('Step 3 (MTP) - Plan and prior'!F16),'Step 3 (MTP) - Plan and prior'!F16,"")</f>
        <v>1</v>
      </c>
      <c r="G44" s="48">
        <f>IF(ISNUMBER('Step 3 (MTP) - Plan and prior'!G16),'Step 3 (MTP) - Plan and prior'!G16,"")</f>
        <v>0.6</v>
      </c>
      <c r="H44" s="48">
        <f>IF(ISNUMBER('Step 3 (MTP) - Plan and prior'!H16),'Step 3 (MTP) - Plan and prior'!H16,"")</f>
        <v>0.3</v>
      </c>
      <c r="I44" s="48">
        <f>IF(ISNUMBER('Step 3 (MTP) - Plan and prior'!I16),'Step 3 (MTP) - Plan and prior'!I16,"")</f>
        <v>0.1</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-1.6</v>
      </c>
      <c r="E50" s="68">
        <f>IF(ISNUMBER('Step 3 (MTP) - Plan and prior'!E25),'Step 3 (MTP) - Plan and prior'!E25,"")</f>
        <v>-1</v>
      </c>
      <c r="F50" s="68">
        <f>IF(ISNUMBER('Step 3 (MTP) - Plan and prior'!F25),'Step 3 (MTP) - Plan and prior'!F25,"")</f>
        <v>-0.6</v>
      </c>
      <c r="G50" s="68">
        <f>IF(ISNUMBER('Step 3 (MTP) - Plan and prior'!G25),'Step 3 (MTP) - Plan and prior'!G25,"")</f>
        <v>-0.8</v>
      </c>
      <c r="H50" s="68">
        <f>IF(ISNUMBER('Step 3 (MTP) - Plan and prior'!H25),'Step 3 (MTP) - Plan and prior'!H25,"")</f>
        <v>-1.1000000000000001</v>
      </c>
      <c r="I50" s="68">
        <f>IF(ISNUMBER('Step 3 (MTP) - Plan and prior'!I25),'Step 3 (MTP) - Plan and prior'!I25,"")</f>
        <v>-1.2</v>
      </c>
      <c r="J50" s="68">
        <f>IF(ISNUMBER('Step 3 (MTP) - Plan and prior'!J25),'Step 3 (MTP) - Plan and prior'!J25,"")</f>
        <v>-1.4</v>
      </c>
      <c r="K50" s="68">
        <f>IF(ISNUMBER('Step 3 (MTP) - Plan and prior'!K25),'Step 3 (MTP) - Plan and prior'!K25,"")</f>
        <v>-1.5</v>
      </c>
      <c r="L50" s="68">
        <f>IF(ISNUMBER('Step 3 (MTP) - Plan and prior'!L25),'Step 3 (MTP) - Plan and prior'!L25,"")</f>
        <v>-1.6</v>
      </c>
      <c r="M50" s="68">
        <f>IF(ISNUMBER('Step 3 (MTP) - Plan and prior'!M25),'Step 3 (MTP) - Plan and prior'!M25,"")</f>
        <v>-1.7</v>
      </c>
      <c r="N50" s="68">
        <f>IF(ISNUMBER('Step 3 (MTP) - Plan and prior'!N25),'Step 3 (MTP) - Plan and prior'!N25,"")</f>
        <v>-1.9</v>
      </c>
      <c r="O50" s="68">
        <f>IF(ISNUMBER('Step 3 (MTP) - Plan and prior'!O25),'Step 3 (MTP) - Plan and prior'!O25,"")</f>
        <v>-2.2000000000000002</v>
      </c>
      <c r="P50" s="68">
        <f>IF(ISNUMBER('Step 3 (MTP) - Plan and prior'!P25),'Step 3 (MTP) - Plan and prior'!P25,"")</f>
        <v>-2.4</v>
      </c>
      <c r="Q50" s="68">
        <f>IF(ISNUMBER('Step 3 (MTP) - Plan and prior'!Q25),'Step 3 (MTP) - Plan and prior'!Q25,"")</f>
        <v>-2.2000000000000002</v>
      </c>
      <c r="R50" s="68">
        <f>IF(ISNUMBER('Step 3 (MTP) - Plan and prior'!R25),'Step 3 (MTP) - Plan and prior'!R25,"")</f>
        <v>-2.4</v>
      </c>
      <c r="S50" s="68">
        <f>IF(ISNUMBER('Step 3 (MTP) - Plan and prior'!S25),'Step 3 (MTP) - Plan and prior'!S25,"")</f>
        <v>-2.5</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161.9</v>
      </c>
      <c r="E52" s="68">
        <f>IF(ISNUMBER('Step 3 (MTP) - Plan and prior'!E27),'Step 3 (MTP) - Plan and prior'!E27,"")</f>
        <v>153.69999999999999</v>
      </c>
      <c r="F52" s="68">
        <f>IF(ISNUMBER('Step 3 (MTP) - Plan and prior'!F27),'Step 3 (MTP) - Plan and prior'!F27,"")</f>
        <v>149.1</v>
      </c>
      <c r="G52" s="68">
        <f>IF(ISNUMBER('Step 3 (MTP) - Plan and prior'!G27),'Step 3 (MTP) - Plan and prior'!G27,"")</f>
        <v>143.1</v>
      </c>
      <c r="H52" s="68">
        <f>IF(ISNUMBER('Step 3 (MTP) - Plan and prior'!H27),'Step 3 (MTP) - Plan and prior'!H27,"")</f>
        <v>138</v>
      </c>
      <c r="I52" s="68">
        <f>IF(ISNUMBER('Step 3 (MTP) - Plan and prior'!I27),'Step 3 (MTP) - Plan and prior'!I27,"")</f>
        <v>133.4</v>
      </c>
      <c r="J52" s="68">
        <f>IF(ISNUMBER('Step 3 (MTP) - Plan and prior'!J27),'Step 3 (MTP) - Plan and prior'!J27,"")</f>
        <v>130.1</v>
      </c>
      <c r="K52" s="68">
        <f>IF(ISNUMBER('Step 3 (MTP) - Plan and prior'!K27),'Step 3 (MTP) - Plan and prior'!K27,"")</f>
        <v>127.1</v>
      </c>
      <c r="L52" s="68">
        <f>IF(ISNUMBER('Step 3 (MTP) - Plan and prior'!L27),'Step 3 (MTP) - Plan and prior'!L27,"")</f>
        <v>124.3</v>
      </c>
      <c r="M52" s="68">
        <f>IF(ISNUMBER('Step 3 (MTP) - Plan and prior'!M27),'Step 3 (MTP) - Plan and prior'!M27,"")</f>
        <v>121.7</v>
      </c>
      <c r="N52" s="68">
        <f>IF(ISNUMBER('Step 3 (MTP) - Plan and prior'!N27),'Step 3 (MTP) - Plan and prior'!N27,"")</f>
        <v>120.6</v>
      </c>
      <c r="O52" s="68">
        <f>IF(ISNUMBER('Step 3 (MTP) - Plan and prior'!O27),'Step 3 (MTP) - Plan and prior'!O27,"")</f>
        <v>119.6</v>
      </c>
      <c r="P52" s="68">
        <f>IF(ISNUMBER('Step 3 (MTP) - Plan and prior'!P27),'Step 3 (MTP) - Plan and prior'!P27,"")</f>
        <v>118.4</v>
      </c>
      <c r="Q52" s="68">
        <f>IF(ISNUMBER('Step 3 (MTP) - Plan and prior'!Q27),'Step 3 (MTP) - Plan and prior'!Q27,"")</f>
        <v>117.1</v>
      </c>
      <c r="R52" s="68">
        <f>IF(ISNUMBER('Step 3 (MTP) - Plan and prior'!R27),'Step 3 (MTP) - Plan and prior'!R27,"")</f>
        <v>115.9</v>
      </c>
      <c r="S52" s="68">
        <f>IF(ISNUMBER('Step 3 (MTP) - Plan and prior'!S27),'Step 3 (MTP) - Plan and prior'!S27,"")</f>
        <v>114.9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71.8</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f>IF(ISNUMBER('Step 3 (MTP) - Plan and prior'!F39),'Step 3 (MTP) - Plan and prior'!F39,"")</f>
        <v>2.9696829634729704</v>
      </c>
      <c r="G64" s="84">
        <f>IF(ISNUMBER('Step 3 (MTP) - Plan and prior'!G39),'Step 3 (MTP) - Plan and prior'!G39,"")</f>
        <v>3.2444096853891877</v>
      </c>
      <c r="H64" s="84">
        <f>IF(ISNUMBER('Step 3 (MTP) - Plan and prior'!H39),'Step 3 (MTP) - Plan and prior'!H39,"")</f>
        <v>3.0965231853891879</v>
      </c>
      <c r="I64" s="84">
        <f>IF(ISNUMBER('Step 3 (MTP) - Plan and prior'!I39),'Step 3 (MTP) - Plan and prior'!I39,"")</f>
        <v>3.0449796853891877</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4.4700080209056496</v>
      </c>
      <c r="E69" s="68">
        <f>IF(ISNUMBER('Step 3 (MTP) - Plan and prior'!E44),'Step 3 (MTP) - Plan and prior'!E44,"")</f>
        <v>1.7916717664570148</v>
      </c>
      <c r="F69" s="68">
        <f>IF(ISNUMBER('Step 3 (MTP) - Plan and prior'!F44),'Step 3 (MTP) - Plan and prior'!F44,"")</f>
        <v>2.9696829634729704</v>
      </c>
      <c r="G69" s="68">
        <f>IF(ISNUMBER('Step 3 (MTP) - Plan and prior'!G44),'Step 3 (MTP) - Plan and prior'!G44,"")</f>
        <v>3.2444096853891877</v>
      </c>
      <c r="H69" s="68">
        <f>IF(ISNUMBER('Step 3 (MTP) - Plan and prior'!H44),'Step 3 (MTP) - Plan and prior'!H44,"")</f>
        <v>3.0965231853891879</v>
      </c>
      <c r="I69" s="68">
        <f>IF(ISNUMBER('Step 3 (MTP) - Plan and prior'!I44),'Step 3 (MTP) - Plan and prior'!I44,"")</f>
        <v>3.0449796853891877</v>
      </c>
      <c r="J69" s="68">
        <f>IF(ISNUMBER('Step 3 (MTP) - Plan and prior'!J44),'Step 3 (MTP) - Plan and prior'!J44,"")</f>
        <v>3.3389693999999999</v>
      </c>
      <c r="K69" s="68">
        <f>IF(ISNUMBER('Step 3 (MTP) - Plan and prior'!K44),'Step 3 (MTP) - Plan and prior'!K44,"")</f>
        <v>3.2888442999999996</v>
      </c>
      <c r="L69" s="68">
        <f>IF(ISNUMBER('Step 3 (MTP) - Plan and prior'!L44),'Step 3 (MTP) - Plan and prior'!L44,"")</f>
        <v>3.2535126999999999</v>
      </c>
      <c r="M69" s="68">
        <f>IF(ISNUMBER('Step 3 (MTP) - Plan and prior'!M44),'Step 3 (MTP) - Plan and prior'!M44,"")</f>
        <v>3.2021711999999996</v>
      </c>
      <c r="N69" s="68">
        <f>IF(ISNUMBER('Step 3 (MTP) - Plan and prior'!N44),'Step 3 (MTP) - Plan and prior'!N44,"")</f>
        <v>3.2474053999999999</v>
      </c>
      <c r="O69" s="68">
        <f>IF(ISNUMBER('Step 3 (MTP) - Plan and prior'!O44),'Step 3 (MTP) - Plan and prior'!O44,"")</f>
        <v>3.2303970999999998</v>
      </c>
      <c r="P69" s="68">
        <f>IF(ISNUMBER('Step 3 (MTP) - Plan and prior'!P44),'Step 3 (MTP) - Plan and prior'!P44,"")</f>
        <v>3.2133888999999995</v>
      </c>
      <c r="Q69" s="68">
        <f>IF(ISNUMBER('Step 3 (MTP) - Plan and prior'!Q44),'Step 3 (MTP) - Plan and prior'!Q44,"")</f>
        <v>3.1963805999999999</v>
      </c>
      <c r="R69" s="68">
        <f>IF(ISNUMBER('Step 3 (MTP) - Plan and prior'!R44),'Step 3 (MTP) - Plan and prior'!R44,"")</f>
        <v>3.284144</v>
      </c>
      <c r="S69" s="68">
        <f>IF(ISNUMBER('Step 3 (MTP) - Plan and prior'!S44),'Step 3 (MTP) - Plan and prior'!S44,"")</f>
        <v>3.3402711999999997</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1.927511</v>
      </c>
      <c r="E71" s="68">
        <f>IF(ISNUMBER('Step 3 (MTP) - Plan and prior'!E46),'Step 3 (MTP) - Plan and prior'!E46,"")</f>
        <v>1.7293769999999999</v>
      </c>
      <c r="F71" s="68">
        <f>IF(ISNUMBER('Step 3 (MTP) - Plan and prior'!F46),'Step 3 (MTP) - Plan and prior'!F46,"")</f>
        <v>2.1293769999999999</v>
      </c>
      <c r="G71" s="68">
        <f>IF(ISNUMBER('Step 3 (MTP) - Plan and prior'!G46),'Step 3 (MTP) - Plan and prior'!G46,"")</f>
        <v>2.289377</v>
      </c>
      <c r="H71" s="68">
        <f>IF(ISNUMBER('Step 3 (MTP) - Plan and prior'!H46),'Step 3 (MTP) - Plan and prior'!H46,"")</f>
        <v>2.4493770000000001</v>
      </c>
      <c r="I71" s="68">
        <f>IF(ISNUMBER('Step 3 (MTP) - Plan and prior'!I46),'Step 3 (MTP) - Plan and prior'!I46,"")</f>
        <v>2.6093770000000003</v>
      </c>
      <c r="J71" s="68">
        <f>IF(ISNUMBER('Step 3 (MTP) - Plan and prior'!J46),'Step 3 (MTP) - Plan and prior'!J46,"")</f>
        <v>2.6093770000000003</v>
      </c>
      <c r="K71" s="68">
        <f>IF(ISNUMBER('Step 3 (MTP) - Plan and prior'!K46),'Step 3 (MTP) - Plan and prior'!K46,"")</f>
        <v>2.6093770000000003</v>
      </c>
      <c r="L71" s="68">
        <f>IF(ISNUMBER('Step 3 (MTP) - Plan and prior'!L46),'Step 3 (MTP) - Plan and prior'!L46,"")</f>
        <v>2.6093770000000003</v>
      </c>
      <c r="M71" s="68">
        <f>IF(ISNUMBER('Step 3 (MTP) - Plan and prior'!M46),'Step 3 (MTP) - Plan and prior'!M46,"")</f>
        <v>2.6093770000000003</v>
      </c>
      <c r="N71" s="68">
        <f>IF(ISNUMBER('Step 3 (MTP) - Plan and prior'!N46),'Step 3 (MTP) - Plan and prior'!N46,"")</f>
        <v>2.6093770000000003</v>
      </c>
      <c r="O71" s="68">
        <f>IF(ISNUMBER('Step 3 (MTP) - Plan and prior'!O46),'Step 3 (MTP) - Plan and prior'!O46,"")</f>
        <v>2.6093770000000003</v>
      </c>
      <c r="P71" s="68">
        <f>IF(ISNUMBER('Step 3 (MTP) - Plan and prior'!P46),'Step 3 (MTP) - Plan and prior'!P46,"")</f>
        <v>2.6093770000000003</v>
      </c>
      <c r="Q71" s="68">
        <f>IF(ISNUMBER('Step 3 (MTP) - Plan and prior'!Q46),'Step 3 (MTP) - Plan and prior'!Q46,"")</f>
        <v>2.6093770000000003</v>
      </c>
      <c r="R71" s="68">
        <f>IF(ISNUMBER('Step 3 (MTP) - Plan and prior'!R46),'Step 3 (MTP) - Plan and prior'!R46,"")</f>
        <v>2.6093770000000003</v>
      </c>
      <c r="S71" s="68">
        <f>IF(ISNUMBER('Step 3 (MTP) - Plan and prior'!S46),'Step 3 (MTP) - Plan and prior'!S46,"")</f>
        <v>2.6093770000000003</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161.91113695162562</v>
      </c>
      <c r="E72" s="68">
        <f>IF(ISNUMBER('Step 3 (MTP) - Plan and prior'!E47),'Step 3 (MTP) - Plan and prior'!E47,"")</f>
        <v>153.85247852629993</v>
      </c>
      <c r="F72" s="68">
        <f>IF(ISNUMBER('Step 3 (MTP) - Plan and prior'!F47),'Step 3 (MTP) - Plan and prior'!F47,"")</f>
        <v>149.71870642137412</v>
      </c>
      <c r="G72" s="68">
        <f>IF(ISNUMBER('Step 3 (MTP) - Plan and prior'!G47),'Step 3 (MTP) - Plan and prior'!G47,"")</f>
        <v>145.14356408597757</v>
      </c>
      <c r="H72" s="68">
        <f>IF(ISNUMBER('Step 3 (MTP) - Plan and prior'!H47),'Step 3 (MTP) - Plan and prior'!H47,"")</f>
        <v>140.84130510503616</v>
      </c>
      <c r="I72" s="68">
        <f>IF(ISNUMBER('Step 3 (MTP) - Plan and prior'!I47),'Step 3 (MTP) - Plan and prior'!I47,"")</f>
        <v>136.59425954400712</v>
      </c>
      <c r="J72" s="68">
        <f>IF(ISNUMBER('Step 3 (MTP) - Plan and prior'!J47),'Step 3 (MTP) - Plan and prior'!J47,"")</f>
        <v>132.39011631707174</v>
      </c>
      <c r="K72" s="68">
        <f>IF(ISNUMBER('Step 3 (MTP) - Plan and prior'!K47),'Step 3 (MTP) - Plan and prior'!K47,"")</f>
        <v>128.4132738094454</v>
      </c>
      <c r="L72" s="68">
        <f>IF(ISNUMBER('Step 3 (MTP) - Plan and prior'!L47),'Step 3 (MTP) - Plan and prior'!L47,"")</f>
        <v>124.69755840460566</v>
      </c>
      <c r="M72" s="68">
        <f>IF(ISNUMBER('Step 3 (MTP) - Plan and prior'!M47),'Step 3 (MTP) - Plan and prior'!M47,"")</f>
        <v>121.16811216704178</v>
      </c>
      <c r="N72" s="68">
        <f>IF(ISNUMBER('Step 3 (MTP) - Plan and prior'!N47),'Step 3 (MTP) - Plan and prior'!N47,"")</f>
        <v>119.13749499989976</v>
      </c>
      <c r="O72" s="68">
        <f>IF(ISNUMBER('Step 3 (MTP) - Plan and prior'!O47),'Step 3 (MTP) - Plan and prior'!O47,"")</f>
        <v>117.38561044918471</v>
      </c>
      <c r="P72" s="68">
        <f>IF(ISNUMBER('Step 3 (MTP) - Plan and prior'!P47),'Step 3 (MTP) - Plan and prior'!P47,"")</f>
        <v>115.90446514538829</v>
      </c>
      <c r="Q72" s="68">
        <f>IF(ISNUMBER('Step 3 (MTP) - Plan and prior'!Q47),'Step 3 (MTP) - Plan and prior'!Q47,"")</f>
        <v>114.34444706752751</v>
      </c>
      <c r="R72" s="68">
        <f>IF(ISNUMBER('Step 3 (MTP) - Plan and prior'!R47),'Step 3 (MTP) - Plan and prior'!R47,"")</f>
        <v>112.85394408482392</v>
      </c>
      <c r="S72" s="68">
        <f>IF(ISNUMBER('Step 3 (MTP) - Plan and prior'!S47),'Step 3 (MTP) - Plan and prior'!S47,"")</f>
        <v>111.49198072132114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161.9</v>
      </c>
      <c r="E74" s="68">
        <f>IF(ISNUMBER('Step 3 (MTP) - Plan and prior'!E29),'Step 3 (MTP) - Plan and prior'!E29,"")</f>
        <v>153.69999999999999</v>
      </c>
      <c r="F74" s="68">
        <f>IF(ISNUMBER('Step 3 (MTP) - Plan and prior'!F29),'Step 3 (MTP) - Plan and prior'!F29,"")</f>
        <v>148.80000000000001</v>
      </c>
      <c r="G74" s="68">
        <f>IF(ISNUMBER('Step 3 (MTP) - Plan and prior'!G29),'Step 3 (MTP) - Plan and prior'!G29,"")</f>
        <v>142.4</v>
      </c>
      <c r="H74" s="68">
        <f>IF(ISNUMBER('Step 3 (MTP) - Plan and prior'!H29),'Step 3 (MTP) - Plan and prior'!H29,"")</f>
        <v>137.19999999999999</v>
      </c>
      <c r="I74" s="68">
        <f>IF(ISNUMBER('Step 3 (MTP) - Plan and prior'!I29),'Step 3 (MTP) - Plan and prior'!I29,"")</f>
        <v>132.5</v>
      </c>
      <c r="J74" s="68">
        <f>IF(ISNUMBER('Step 3 (MTP) - Plan and prior'!J29),'Step 3 (MTP) - Plan and prior'!J29,"")</f>
        <v>128.80000000000001</v>
      </c>
      <c r="K74" s="68">
        <f>IF(ISNUMBER('Step 3 (MTP) - Plan and prior'!K29),'Step 3 (MTP) - Plan and prior'!K29,"")</f>
        <v>125.4</v>
      </c>
      <c r="L74" s="68">
        <f>IF(ISNUMBER('Step 3 (MTP) - Plan and prior'!L29),'Step 3 (MTP) - Plan and prior'!L29,"")</f>
        <v>122.2</v>
      </c>
      <c r="M74" s="68">
        <f>IF(ISNUMBER('Step 3 (MTP) - Plan and prior'!M29),'Step 3 (MTP) - Plan and prior'!M29,"")</f>
        <v>119.3</v>
      </c>
      <c r="N74" s="68">
        <f>IF(ISNUMBER('Step 3 (MTP) - Plan and prior'!N29),'Step 3 (MTP) - Plan and prior'!N29,"")</f>
        <v>117.8</v>
      </c>
      <c r="O74" s="68">
        <f>IF(ISNUMBER('Step 3 (MTP) - Plan and prior'!O29),'Step 3 (MTP) - Plan and prior'!O29,"")</f>
        <v>116.5</v>
      </c>
      <c r="P74" s="68">
        <f>IF(ISNUMBER('Step 3 (MTP) - Plan and prior'!P29),'Step 3 (MTP) - Plan and prior'!P29,"")</f>
        <v>114.9</v>
      </c>
      <c r="Q74" s="68">
        <f>IF(ISNUMBER('Step 3 (MTP) - Plan and prior'!Q29),'Step 3 (MTP) - Plan and prior'!Q29,"")</f>
        <v>113.3</v>
      </c>
      <c r="R74" s="68">
        <f>IF(ISNUMBER('Step 3 (MTP) - Plan and prior'!R29),'Step 3 (MTP) - Plan and prior'!R29,"")</f>
        <v>111.7</v>
      </c>
      <c r="S74" s="68">
        <f>IF(ISNUMBER('Step 3 (MTP) - Plan and prior'!S29),'Step 3 (MTP) - Plan and prior'!S29,"")</f>
        <v>110.3</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161.9</v>
      </c>
      <c r="E75" s="68">
        <f>IF(ISNUMBER('Step 3 (MTP) - Plan and prior'!E30),'Step 3 (MTP) - Plan and prior'!E30,"")</f>
        <v>153.69999999999999</v>
      </c>
      <c r="F75" s="68">
        <f>IF(ISNUMBER('Step 3 (MTP) - Plan and prior'!F30),'Step 3 (MTP) - Plan and prior'!F30,"")</f>
        <v>149.1</v>
      </c>
      <c r="G75" s="68">
        <f>IF(ISNUMBER('Step 3 (MTP) - Plan and prior'!G30),'Step 3 (MTP) - Plan and prior'!G30,"")</f>
        <v>143.1</v>
      </c>
      <c r="H75" s="68">
        <f>IF(ISNUMBER('Step 3 (MTP) - Plan and prior'!H30),'Step 3 (MTP) - Plan and prior'!H30,"")</f>
        <v>138</v>
      </c>
      <c r="I75" s="68">
        <f>IF(ISNUMBER('Step 3 (MTP) - Plan and prior'!I30),'Step 3 (MTP) - Plan and prior'!I30,"")</f>
        <v>133.4</v>
      </c>
      <c r="J75" s="68">
        <f>IF(ISNUMBER('Step 3 (MTP) - Plan and prior'!J30),'Step 3 (MTP) - Plan and prior'!J30,"")</f>
        <v>130.5</v>
      </c>
      <c r="K75" s="68">
        <f>IF(ISNUMBER('Step 3 (MTP) - Plan and prior'!K30),'Step 3 (MTP) - Plan and prior'!K30,"")</f>
        <v>127.7</v>
      </c>
      <c r="L75" s="68">
        <f>IF(ISNUMBER('Step 3 (MTP) - Plan and prior'!L30),'Step 3 (MTP) - Plan and prior'!L30,"")</f>
        <v>125.2</v>
      </c>
      <c r="M75" s="68">
        <f>IF(ISNUMBER('Step 3 (MTP) - Plan and prior'!M30),'Step 3 (MTP) - Plan and prior'!M30,"")</f>
        <v>122.7</v>
      </c>
      <c r="N75" s="68">
        <f>IF(ISNUMBER('Step 3 (MTP) - Plan and prior'!N30),'Step 3 (MTP) - Plan and prior'!N30,"")</f>
        <v>121.8</v>
      </c>
      <c r="O75" s="68">
        <f>IF(ISNUMBER('Step 3 (MTP) - Plan and prior'!O30),'Step 3 (MTP) - Plan and prior'!O30,"")</f>
        <v>121</v>
      </c>
      <c r="P75" s="68">
        <f>IF(ISNUMBER('Step 3 (MTP) - Plan and prior'!P30),'Step 3 (MTP) - Plan and prior'!P30,"")</f>
        <v>119.9</v>
      </c>
      <c r="Q75" s="68">
        <f>IF(ISNUMBER('Step 3 (MTP) - Plan and prior'!Q30),'Step 3 (MTP) - Plan and prior'!Q30,"")</f>
        <v>118.8</v>
      </c>
      <c r="R75" s="68">
        <f>IF(ISNUMBER('Step 3 (MTP) - Plan and prior'!R30),'Step 3 (MTP) - Plan and prior'!R30,"")</f>
        <v>117.7</v>
      </c>
      <c r="S75" s="68">
        <f>IF(ISNUMBER('Step 3 (MTP) - Plan and prior'!S30),'Step 3 (MTP) - Plan and prior'!S30,"")</f>
        <v>116.7</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161.9</v>
      </c>
      <c r="E76" s="68">
        <f>IF(ISNUMBER('Step 3 (MTP) - Plan and prior'!E31),'Step 3 (MTP) - Plan and prior'!E31,"")</f>
        <v>153.69999999999999</v>
      </c>
      <c r="F76" s="68">
        <f>IF(ISNUMBER('Step 3 (MTP) - Plan and prior'!F31),'Step 3 (MTP) - Plan and prior'!F31,"")</f>
        <v>149.1</v>
      </c>
      <c r="G76" s="68">
        <f>IF(ISNUMBER('Step 3 (MTP) - Plan and prior'!G31),'Step 3 (MTP) - Plan and prior'!G31,"")</f>
        <v>143.1</v>
      </c>
      <c r="H76" s="68">
        <f>IF(ISNUMBER('Step 3 (MTP) - Plan and prior'!H31),'Step 3 (MTP) - Plan and prior'!H31,"")</f>
        <v>138</v>
      </c>
      <c r="I76" s="68">
        <f>IF(ISNUMBER('Step 3 (MTP) - Plan and prior'!I31),'Step 3 (MTP) - Plan and prior'!I31,"")</f>
        <v>133.4</v>
      </c>
      <c r="J76" s="68">
        <f>IF(ISNUMBER('Step 3 (MTP) - Plan and prior'!J31),'Step 3 (MTP) - Plan and prior'!J31,"")</f>
        <v>130</v>
      </c>
      <c r="K76" s="68">
        <f>IF(ISNUMBER('Step 3 (MTP) - Plan and prior'!K31),'Step 3 (MTP) - Plan and prior'!K31,"")</f>
        <v>127.1</v>
      </c>
      <c r="L76" s="68">
        <f>IF(ISNUMBER('Step 3 (MTP) - Plan and prior'!L31),'Step 3 (MTP) - Plan and prior'!L31,"")</f>
        <v>124.8</v>
      </c>
      <c r="M76" s="68">
        <f>IF(ISNUMBER('Step 3 (MTP) - Plan and prior'!M31),'Step 3 (MTP) - Plan and prior'!M31,"")</f>
        <v>122.8</v>
      </c>
      <c r="N76" s="68">
        <f>IF(ISNUMBER('Step 3 (MTP) - Plan and prior'!N31),'Step 3 (MTP) - Plan and prior'!N31,"")</f>
        <v>122.4</v>
      </c>
      <c r="O76" s="68">
        <f>IF(ISNUMBER('Step 3 (MTP) - Plan and prior'!O31),'Step 3 (MTP) - Plan and prior'!O31,"")</f>
        <v>121.9</v>
      </c>
      <c r="P76" s="68">
        <f>IF(ISNUMBER('Step 3 (MTP) - Plan and prior'!P31),'Step 3 (MTP) - Plan and prior'!P31,"")</f>
        <v>121.3</v>
      </c>
      <c r="Q76" s="68">
        <f>IF(ISNUMBER('Step 3 (MTP) - Plan and prior'!Q31),'Step 3 (MTP) - Plan and prior'!Q31,"")</f>
        <v>120.5</v>
      </c>
      <c r="R76" s="68">
        <f>IF(ISNUMBER('Step 3 (MTP) - Plan and prior'!R31),'Step 3 (MTP) - Plan and prior'!R31,"")</f>
        <v>119.9</v>
      </c>
      <c r="S76" s="68">
        <f>IF(ISNUMBER('Step 3 (MTP) - Plan and prior'!S31),'Step 3 (MTP) - Plan and prior'!S31,"")</f>
        <v>119.3</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161.9</v>
      </c>
      <c r="E77" s="68">
        <f>IF(ISNUMBER('Step 3 (MTP) - Plan and prior'!E32),'Step 3 (MTP) - Plan and prior'!E32,"")</f>
        <v>153.69999999999999</v>
      </c>
      <c r="F77" s="68">
        <f>IF(ISNUMBER('Step 3 (MTP) - Plan and prior'!F32),'Step 3 (MTP) - Plan and prior'!F32,"")</f>
        <v>149.1</v>
      </c>
      <c r="G77" s="68">
        <f>IF(ISNUMBER('Step 3 (MTP) - Plan and prior'!G32),'Step 3 (MTP) - Plan and prior'!G32,"")</f>
        <v>143.1</v>
      </c>
      <c r="H77" s="68">
        <f>IF(ISNUMBER('Step 3 (MTP) - Plan and prior'!H32),'Step 3 (MTP) - Plan and prior'!H32,"")</f>
        <v>138</v>
      </c>
      <c r="I77" s="68">
        <f>IF(ISNUMBER('Step 3 (MTP) - Plan and prior'!I32),'Step 3 (MTP) - Plan and prior'!I32,"")</f>
        <v>133.4</v>
      </c>
      <c r="J77" s="68">
        <f>IF(ISNUMBER('Step 3 (MTP) - Plan and prior'!J32),'Step 3 (MTP) - Plan and prior'!J32,"")</f>
        <v>130.80000000000001</v>
      </c>
      <c r="K77" s="68">
        <f>IF(ISNUMBER('Step 3 (MTP) - Plan and prior'!K32),'Step 3 (MTP) - Plan and prior'!K32,"")</f>
        <v>128.5</v>
      </c>
      <c r="L77" s="68">
        <f>IF(ISNUMBER('Step 3 (MTP) - Plan and prior'!L32),'Step 3 (MTP) - Plan and prior'!L32,"")</f>
        <v>126.6</v>
      </c>
      <c r="M77" s="68">
        <f>IF(ISNUMBER('Step 3 (MTP) - Plan and prior'!M32),'Step 3 (MTP) - Plan and prior'!M32,"")</f>
        <v>124.7</v>
      </c>
      <c r="N77" s="68">
        <f>IF(ISNUMBER('Step 3 (MTP) - Plan and prior'!N32),'Step 3 (MTP) - Plan and prior'!N32,"")</f>
        <v>124.5</v>
      </c>
      <c r="O77" s="68">
        <f>IF(ISNUMBER('Step 3 (MTP) - Plan and prior'!O32),'Step 3 (MTP) - Plan and prior'!O32,"")</f>
        <v>124.4</v>
      </c>
      <c r="P77" s="68">
        <f>IF(ISNUMBER('Step 3 (MTP) - Plan and prior'!P32),'Step 3 (MTP) - Plan and prior'!P32,"")</f>
        <v>124.1</v>
      </c>
      <c r="Q77" s="68">
        <f>IF(ISNUMBER('Step 3 (MTP) - Plan and prior'!Q32),'Step 3 (MTP) - Plan and prior'!Q32,"")</f>
        <v>123.8</v>
      </c>
      <c r="R77" s="68">
        <f>IF(ISNUMBER('Step 3 (MTP) - Plan and prior'!R32),'Step 3 (MTP) - Plan and prior'!R32,"")</f>
        <v>123.5</v>
      </c>
      <c r="S77" s="68">
        <f>IF(ISNUMBER('Step 3 (MTP) - Plan and prior'!S32),'Step 3 (MTP) - Plan and prior'!S32,"")</f>
        <v>123.5</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f>IF(ISNUMBER('Step 3 (MTP) - Plan and prior'!H54),'Step 3 (MTP) - Plan and prior'!H54,"")</f>
        <v>141.245715508969</v>
      </c>
      <c r="I79" s="68">
        <f>IF(ISNUMBER('Step 3 (MTP) - Plan and prior'!I54),'Step 3 (MTP) - Plan and prior'!I54,"")</f>
        <v>137.25281579283103</v>
      </c>
      <c r="J79" s="68">
        <f>IF(ISNUMBER('Step 3 (MTP) - Plan and prior'!J54),'Step 3 (MTP) - Plan and prior'!J54,"")</f>
        <v>122.25815120291972</v>
      </c>
      <c r="K79" s="68">
        <f>IF(ISNUMBER('Step 3 (MTP) - Plan and prior'!K54),'Step 3 (MTP) - Plan and prior'!K54,"")</f>
        <v>114.25010057030696</v>
      </c>
      <c r="L79" s="68">
        <f>IF(ISNUMBER('Step 3 (MTP) - Plan and prior'!L54),'Step 3 (MTP) - Plan and prior'!L54,"")</f>
        <v>107.60513128906666</v>
      </c>
      <c r="M79" s="68">
        <f>IF(ISNUMBER('Step 3 (MTP) - Plan and prior'!M54),'Step 3 (MTP) - Plan and prior'!M54,"")</f>
        <v>101.59635785946392</v>
      </c>
      <c r="N79" s="68">
        <f>IF(ISNUMBER('Step 3 (MTP) - Plan and prior'!N54),'Step 3 (MTP) - Plan and prior'!N54,"")</f>
        <v>98.13518877979223</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f>IF(ISNUMBER('Step 3 (MTP) - Plan and prior'!H55),'Step 3 (MTP) - Plan and prior'!H55,"")</f>
        <v>0</v>
      </c>
      <c r="I80" s="68">
        <f>IF(ISNUMBER('Step 3 (MTP) - Plan and prior'!I55),'Step 3 (MTP) - Plan and prior'!I55,"")</f>
        <v>0</v>
      </c>
      <c r="J80" s="68">
        <f>IF(ISNUMBER('Step 3 (MTP) - Plan and prior'!J55),'Step 3 (MTP) - Plan and prior'!J55,"")</f>
        <v>6.4420318603515625</v>
      </c>
      <c r="K80" s="68">
        <f>IF(ISNUMBER('Step 3 (MTP) - Plan and prior'!K55),'Step 3 (MTP) - Plan and prior'!K55,"")</f>
        <v>8.8560104370117188</v>
      </c>
      <c r="L80" s="68">
        <f>IF(ISNUMBER('Step 3 (MTP) - Plan and prior'!L55),'Step 3 (MTP) - Plan and prior'!L55,"")</f>
        <v>10.978988647460938</v>
      </c>
      <c r="M80" s="68">
        <f>IF(ISNUMBER('Step 3 (MTP) - Plan and prior'!M55),'Step 3 (MTP) - Plan and prior'!M55,"")</f>
        <v>12.468063354492188</v>
      </c>
      <c r="N80" s="68">
        <f>IF(ISNUMBER('Step 3 (MTP) - Plan and prior'!N55),'Step 3 (MTP) - Plan and prior'!N55,"")</f>
        <v>13.204620361328125</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f>IF(ISNUMBER('Step 3 (MTP) - Plan and prior'!H56),'Step 3 (MTP) - Plan and prior'!H56,"")</f>
        <v>0</v>
      </c>
      <c r="I81" s="68">
        <f>IF(ISNUMBER('Step 3 (MTP) - Plan and prior'!I56),'Step 3 (MTP) - Plan and prior'!I56,"")</f>
        <v>0</v>
      </c>
      <c r="J81" s="68">
        <f>IF(ISNUMBER('Step 3 (MTP) - Plan and prior'!J56),'Step 3 (MTP) - Plan and prior'!J56,"")</f>
        <v>4.6009597778320313</v>
      </c>
      <c r="K81" s="68">
        <f>IF(ISNUMBER('Step 3 (MTP) - Plan and prior'!K56),'Step 3 (MTP) - Plan and prior'!K56,"")</f>
        <v>6.482452392578125</v>
      </c>
      <c r="L81" s="68">
        <f>IF(ISNUMBER('Step 3 (MTP) - Plan and prior'!L56),'Step 3 (MTP) - Plan and prior'!L56,"")</f>
        <v>7.56524658203125</v>
      </c>
      <c r="M81" s="68">
        <f>IF(ISNUMBER('Step 3 (MTP) - Plan and prior'!M56),'Step 3 (MTP) - Plan and prior'!M56,"")</f>
        <v>8.8123855590820313</v>
      </c>
      <c r="N81" s="68">
        <f>IF(ISNUMBER('Step 3 (MTP) - Plan and prior'!N56),'Step 3 (MTP) - Plan and prior'!N56,"")</f>
        <v>9.766448974609375</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f>IF(ISNUMBER('Step 3 (MTP) - Plan and prior'!H57),'Step 3 (MTP) - Plan and prior'!H57,"")</f>
        <v>0</v>
      </c>
      <c r="I82" s="68">
        <f>IF(ISNUMBER('Step 3 (MTP) - Plan and prior'!I57),'Step 3 (MTP) - Plan and prior'!I57,"")</f>
        <v>0</v>
      </c>
      <c r="J82" s="68">
        <f>IF(ISNUMBER('Step 3 (MTP) - Plan and prior'!J57),'Step 3 (MTP) - Plan and prior'!J57,"")</f>
        <v>4.7600479125976563</v>
      </c>
      <c r="K82" s="68">
        <f>IF(ISNUMBER('Step 3 (MTP) - Plan and prior'!K57),'Step 3 (MTP) - Plan and prior'!K57,"")</f>
        <v>6.3986282348632813</v>
      </c>
      <c r="L82" s="68">
        <f>IF(ISNUMBER('Step 3 (MTP) - Plan and prior'!L57),'Step 3 (MTP) - Plan and prior'!L57,"")</f>
        <v>8.135406494140625</v>
      </c>
      <c r="M82" s="68">
        <f>IF(ISNUMBER('Step 3 (MTP) - Plan and prior'!M57),'Step 3 (MTP) - Plan and prior'!M57,"")</f>
        <v>9.994384765625</v>
      </c>
      <c r="N82" s="68">
        <f>IF(ISNUMBER('Step 3 (MTP) - Plan and prior'!N57),'Step 3 (MTP) - Plan and prior'!N57,"")</f>
        <v>11.097587585449219</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f>IF(ISNUMBER('Step 3 (MTP) - Plan and prior'!H58),'Step 3 (MTP) - Plan and prior'!H58,"")</f>
        <v>0</v>
      </c>
      <c r="I83" s="68">
        <f>IF(ISNUMBER('Step 3 (MTP) - Plan and prior'!I58),'Step 3 (MTP) - Plan and prior'!I58,"")</f>
        <v>0</v>
      </c>
      <c r="J83" s="68">
        <f>IF(ISNUMBER('Step 3 (MTP) - Plan and prior'!J58),'Step 3 (MTP) - Plan and prior'!J58,"")</f>
        <v>7.0638427734375</v>
      </c>
      <c r="K83" s="68">
        <f>IF(ISNUMBER('Step 3 (MTP) - Plan and prior'!K58),'Step 3 (MTP) - Plan and prior'!K58,"")</f>
        <v>10.344230651855469</v>
      </c>
      <c r="L83" s="68">
        <f>IF(ISNUMBER('Step 3 (MTP) - Plan and prior'!L58),'Step 3 (MTP) - Plan and prior'!L58,"")</f>
        <v>12.353729248046875</v>
      </c>
      <c r="M83" s="68">
        <f>IF(ISNUMBER('Step 3 (MTP) - Plan and prior'!M58),'Step 3 (MTP) - Plan and prior'!M58,"")</f>
        <v>14.168663024902344</v>
      </c>
      <c r="N83" s="68">
        <f>IF(ISNUMBER('Step 3 (MTP) - Plan and prior'!N58),'Step 3 (MTP) - Plan and prior'!N58,"")</f>
        <v>15.993553161621094</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f>IF(ISNUMBER('Step 3 (MTP) - Plan and prior'!H59),'Step 3 (MTP) - Plan and prior'!H59,"")</f>
        <v>141.245715508969</v>
      </c>
      <c r="I84" s="68">
        <f>IF(ISNUMBER('Step 3 (MTP) - Plan and prior'!I59),'Step 3 (MTP) - Plan and prior'!I59,"")</f>
        <v>137.25281579283103</v>
      </c>
      <c r="J84" s="68">
        <f>IF(ISNUMBER('Step 3 (MTP) - Plan and prior'!J59),'Step 3 (MTP) - Plan and prior'!J59,"")</f>
        <v>122.25815120291972</v>
      </c>
      <c r="K84" s="68">
        <f>IF(ISNUMBER('Step 3 (MTP) - Plan and prior'!K59),'Step 3 (MTP) - Plan and prior'!K59,"")</f>
        <v>114.25010057030696</v>
      </c>
      <c r="L84" s="68">
        <f>IF(ISNUMBER('Step 3 (MTP) - Plan and prior'!L59),'Step 3 (MTP) - Plan and prior'!L59,"")</f>
        <v>107.60513128906666</v>
      </c>
      <c r="M84" s="68">
        <f>IF(ISNUMBER('Step 3 (MTP) - Plan and prior'!M59),'Step 3 (MTP) - Plan and prior'!M59,"")</f>
        <v>101.59635785946392</v>
      </c>
      <c r="N84" s="68">
        <f>IF(ISNUMBER('Step 3 (MTP) - Plan and prior'!N59),'Step 3 (MTP) - Plan and prior'!N59,"")</f>
        <v>98.13518877979223</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f>IF(ISNUMBER('Step 3 (MTP) - Plan and prior'!H60),'Step 3 (MTP) - Plan and prior'!H60,"")</f>
        <v>141.245715508969</v>
      </c>
      <c r="I85" s="68">
        <f>IF(ISNUMBER('Step 3 (MTP) - Plan and prior'!I60),'Step 3 (MTP) - Plan and prior'!I60,"")</f>
        <v>137.25281579283103</v>
      </c>
      <c r="J85" s="68">
        <f>IF(ISNUMBER('Step 3 (MTP) - Plan and prior'!J60),'Step 3 (MTP) - Plan and prior'!J60,"")</f>
        <v>128.70018306327128</v>
      </c>
      <c r="K85" s="68">
        <f>IF(ISNUMBER('Step 3 (MTP) - Plan and prior'!K60),'Step 3 (MTP) - Plan and prior'!K60,"")</f>
        <v>123.10611100731867</v>
      </c>
      <c r="L85" s="68">
        <f>IF(ISNUMBER('Step 3 (MTP) - Plan and prior'!L60),'Step 3 (MTP) - Plan and prior'!L60,"")</f>
        <v>118.5841199365276</v>
      </c>
      <c r="M85" s="68">
        <f>IF(ISNUMBER('Step 3 (MTP) - Plan and prior'!M60),'Step 3 (MTP) - Plan and prior'!M60,"")</f>
        <v>114.06442121395611</v>
      </c>
      <c r="N85" s="68">
        <f>IF(ISNUMBER('Step 3 (MTP) - Plan and prior'!N60),'Step 3 (MTP) - Plan and prior'!N60,"")</f>
        <v>111.33980914112036</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f>IF(ISNUMBER('Step 3 (MTP) - Plan and prior'!H61),'Step 3 (MTP) - Plan and prior'!H61,"")</f>
        <v>141.245715508969</v>
      </c>
      <c r="I86" s="68">
        <f>IF(ISNUMBER('Step 3 (MTP) - Plan and prior'!I61),'Step 3 (MTP) - Plan and prior'!I61,"")</f>
        <v>137.25281579283103</v>
      </c>
      <c r="J86" s="68">
        <f>IF(ISNUMBER('Step 3 (MTP) - Plan and prior'!J61),'Step 3 (MTP) - Plan and prior'!J61,"")</f>
        <v>133.30114284110331</v>
      </c>
      <c r="K86" s="68">
        <f>IF(ISNUMBER('Step 3 (MTP) - Plan and prior'!K61),'Step 3 (MTP) - Plan and prior'!K61,"")</f>
        <v>129.5885633998968</v>
      </c>
      <c r="L86" s="68">
        <f>IF(ISNUMBER('Step 3 (MTP) - Plan and prior'!L61),'Step 3 (MTP) - Plan and prior'!L61,"")</f>
        <v>126.14936651855885</v>
      </c>
      <c r="M86" s="68">
        <f>IF(ISNUMBER('Step 3 (MTP) - Plan and prior'!M61),'Step 3 (MTP) - Plan and prior'!M61,"")</f>
        <v>122.87680677303814</v>
      </c>
      <c r="N86" s="68">
        <f>IF(ISNUMBER('Step 3 (MTP) - Plan and prior'!N61),'Step 3 (MTP) - Plan and prior'!N61,"")</f>
        <v>121.10625811572973</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f>IF(ISNUMBER('Step 3 (MTP) - Plan and prior'!H62),'Step 3 (MTP) - Plan and prior'!H62,"")</f>
        <v>141.245715508969</v>
      </c>
      <c r="I87" s="68">
        <f>IF(ISNUMBER('Step 3 (MTP) - Plan and prior'!I62),'Step 3 (MTP) - Plan and prior'!I62,"")</f>
        <v>137.25281579283103</v>
      </c>
      <c r="J87" s="68">
        <f>IF(ISNUMBER('Step 3 (MTP) - Plan and prior'!J62),'Step 3 (MTP) - Plan and prior'!J62,"")</f>
        <v>138.06119075370097</v>
      </c>
      <c r="K87" s="68">
        <f>IF(ISNUMBER('Step 3 (MTP) - Plan and prior'!K62),'Step 3 (MTP) - Plan and prior'!K62,"")</f>
        <v>135.98719163476008</v>
      </c>
      <c r="L87" s="68">
        <f>IF(ISNUMBER('Step 3 (MTP) - Plan and prior'!L62),'Step 3 (MTP) - Plan and prior'!L62,"")</f>
        <v>134.28477301269947</v>
      </c>
      <c r="M87" s="68">
        <f>IF(ISNUMBER('Step 3 (MTP) - Plan and prior'!M62),'Step 3 (MTP) - Plan and prior'!M62,"")</f>
        <v>132.87119153866314</v>
      </c>
      <c r="N87" s="68">
        <f>IF(ISNUMBER('Step 3 (MTP) - Plan and prior'!N62),'Step 3 (MTP) - Plan and prior'!N62,"")</f>
        <v>132.20384570117895</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f>IF(ISNUMBER('Step 3 (MTP) - Plan and prior'!H63),'Step 3 (MTP) - Plan and prior'!H63,"")</f>
        <v>141.245715508969</v>
      </c>
      <c r="I88" s="68">
        <f>IF(ISNUMBER('Step 3 (MTP) - Plan and prior'!I63),'Step 3 (MTP) - Plan and prior'!I63,"")</f>
        <v>137.25281579283103</v>
      </c>
      <c r="J88" s="68">
        <f>IF(ISNUMBER('Step 3 (MTP) - Plan and prior'!J63),'Step 3 (MTP) - Plan and prior'!J63,"")</f>
        <v>145.12503352713847</v>
      </c>
      <c r="K88" s="68">
        <f>IF(ISNUMBER('Step 3 (MTP) - Plan and prior'!K63),'Step 3 (MTP) - Plan and prior'!K63,"")</f>
        <v>146.33142228661555</v>
      </c>
      <c r="L88" s="68">
        <f>IF(ISNUMBER('Step 3 (MTP) - Plan and prior'!L63),'Step 3 (MTP) - Plan and prior'!L63,"")</f>
        <v>146.63850226074635</v>
      </c>
      <c r="M88" s="68">
        <f>IF(ISNUMBER('Step 3 (MTP) - Plan and prior'!M63),'Step 3 (MTP) - Plan and prior'!M63,"")</f>
        <v>147.03985456356548</v>
      </c>
      <c r="N88" s="68">
        <f>IF(ISNUMBER('Step 3 (MTP) - Plan and prior'!N63),'Step 3 (MTP) - Plan and prior'!N63,"")</f>
        <v>148.19739886280004</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954</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956</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955</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957</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958</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Greece's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111.255</v>
      </c>
      <c r="E108" s="144">
        <f t="shared" si="2"/>
        <v>113.87</v>
      </c>
      <c r="F108" s="144">
        <f t="shared" si="2"/>
        <v>119.875</v>
      </c>
      <c r="G108" s="144">
        <f t="shared" si="2"/>
        <v>131.1565823848</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7.6120000000000001</v>
      </c>
      <c r="E109" s="144">
        <f t="shared" si="3"/>
        <v>8.2249999999999996</v>
      </c>
      <c r="F109" s="144">
        <f t="shared" si="3"/>
        <v>7.8410000000000002</v>
      </c>
      <c r="G109" s="144">
        <f t="shared" si="3"/>
        <v>7.8380427719999997</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0.3</v>
      </c>
      <c r="E110" s="144">
        <f t="shared" si="4"/>
        <v>0.1</v>
      </c>
      <c r="F110" s="144">
        <f t="shared" si="4"/>
        <v>-0.1</v>
      </c>
      <c r="G110" s="144">
        <f t="shared" si="4"/>
        <v>-0.26126809239999998</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5.6639999999999997</v>
      </c>
      <c r="E111" s="144">
        <f t="shared" si="5"/>
        <v>5.8730000000000002</v>
      </c>
      <c r="F111" s="144">
        <f t="shared" si="5"/>
        <v>8.43</v>
      </c>
      <c r="G111" s="144">
        <f t="shared" si="5"/>
        <v>12.5408684352</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0.73899999999999999</v>
      </c>
      <c r="E112" s="144">
        <f t="shared" si="6"/>
        <v>0.70499999999999996</v>
      </c>
      <c r="F112" s="144">
        <f t="shared" si="6"/>
        <v>0.78</v>
      </c>
      <c r="G112" s="144">
        <f t="shared" si="6"/>
        <v>1.3063404620000001</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0.3</v>
      </c>
      <c r="E113" s="144">
        <f t="shared" si="7"/>
        <v>0.4</v>
      </c>
      <c r="F113" s="144">
        <f t="shared" si="7"/>
        <v>0.4</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96.642539999999997</v>
      </c>
      <c r="E114" s="144">
        <f t="shared" si="8"/>
        <v>98.517420000000001</v>
      </c>
      <c r="F114" s="144">
        <f t="shared" si="8"/>
        <v>102.40949000000001</v>
      </c>
      <c r="G114" s="144">
        <f t="shared" si="8"/>
        <v>109.73259880799999</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1.8748800000000045</v>
      </c>
      <c r="F115" s="91">
        <f t="shared" ref="F115:J115" si="9">IF(ISNUMBER(F105),F114-E114,"")</f>
        <v>3.8920700000000039</v>
      </c>
      <c r="G115" s="91">
        <f t="shared" si="9"/>
        <v>7.3231088079999864</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2</v>
      </c>
      <c r="F116" s="144">
        <f t="shared" si="10"/>
        <v>1.1000000000000001</v>
      </c>
      <c r="G116" s="144">
        <f t="shared" si="10"/>
        <v>-0.52253618479999997</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-0.12511999999999546</v>
      </c>
      <c r="F117" s="144">
        <f t="shared" ref="F117:J117" si="11">IF(ISNUMBER(F105),F115-F116,"")</f>
        <v>2.7920700000000038</v>
      </c>
      <c r="G117" s="144">
        <f t="shared" si="11"/>
        <v>7.8456449927999863</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f>IF(ISNUMBER(E105),E117/D114*100,"")</f>
        <v>-0.12946679588512</v>
      </c>
      <c r="F119" s="144">
        <f t="shared" ref="F119:J119" si="12">IF(ISNUMBER(F105),F117/E114*100,"")</f>
        <v>2.8340876161799646</v>
      </c>
      <c r="G119" s="144">
        <f t="shared" si="12"/>
        <v>7.6610526942376005</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2.6</v>
      </c>
      <c r="F120" s="144">
        <f t="shared" si="13"/>
        <v>3.6999999999999997</v>
      </c>
      <c r="G120" s="144">
        <f t="shared" si="13"/>
        <v>3.6000000000000005</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f>IF(ISNUMBER(E105),((E119-E120)/100)*D114,"")</f>
        <v>-2.6378260399999953</v>
      </c>
      <c r="F121" s="144">
        <f t="shared" ref="F121:J121" si="14">IF(ISNUMBER(F105),((F119-F120)/100)*E114,"")</f>
        <v>-0.85307453999999605</v>
      </c>
      <c r="G121" s="144">
        <f t="shared" si="14"/>
        <v>4.1589033527999852</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f>IF(ISNUMBER(E105),E121+IF(ISNUMBER(D105),D122,0),"")</f>
        <v>-2.6378260399999953</v>
      </c>
      <c r="F122" s="144">
        <f t="shared" ref="F122:J122" si="15">IF(ISNUMBER(F105),F121+IF(ISNUMBER(E105),E122,0),"")</f>
        <v>-3.4909005799999915</v>
      </c>
      <c r="G122" s="144">
        <f t="shared" si="15"/>
        <v>0.66800277279999376</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224.68620000000001</v>
      </c>
      <c r="E123" s="144">
        <f t="shared" si="16"/>
        <v>236.73599999999999</v>
      </c>
      <c r="F123" s="144">
        <f t="shared" si="16"/>
        <v>248.3537</v>
      </c>
      <c r="G123" s="144">
        <f t="shared" si="16"/>
        <v>261.2680924</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f>IF(ISNUMBER(E105),E121/E$123*100,"")</f>
        <v>-1.1142479555285194</v>
      </c>
      <c r="F125" s="4">
        <f t="shared" ref="F125:J125" si="17">IF(ISNUMBER(F105),F121/F$123*100,"")</f>
        <v>-0.34349177805685849</v>
      </c>
      <c r="G125" s="4">
        <f t="shared" si="17"/>
        <v>1.5918144900881073</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f>IF(ISNUMBER(E105),E122/E$123*100,"")</f>
        <v>-1.1142479555285194</v>
      </c>
      <c r="F126" s="4">
        <f t="shared" ref="F126:J126" si="18">IF(ISNUMBER(F105),F122/F$123*100,"")</f>
        <v>-1.4056164977610526</v>
      </c>
      <c r="G126" s="4">
        <f t="shared" si="18"/>
        <v>0.2556771348019356</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f>IF(ISNUMBER(E105),E121/E$123*100,"")</f>
        <v>-1.1142479555285194</v>
      </c>
      <c r="F128" s="4">
        <f t="shared" ref="F128:J128" si="19">IF(ISNUMBER(F105),F121/F$123*100,"")</f>
        <v>-0.34349177805685849</v>
      </c>
      <c r="G128" s="4">
        <f t="shared" si="19"/>
        <v>1.5918144900881073</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5.2</v>
      </c>
      <c r="E129" s="144">
        <f t="shared" si="20"/>
        <v>5.3</v>
      </c>
      <c r="F129" s="144">
        <f t="shared" si="20"/>
        <v>6</v>
      </c>
      <c r="G129" s="144">
        <f t="shared" si="20"/>
        <v>6.7929704024000008</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f t="shared" ref="D130:J130" si="21">IF(ISNUMBER(D105),D14/D123*100,"")</f>
        <v>2.3143388423499083</v>
      </c>
      <c r="E130" s="4">
        <f t="shared" si="21"/>
        <v>2.238780751554474</v>
      </c>
      <c r="F130" s="4">
        <f t="shared" si="21"/>
        <v>2.4159092455638875</v>
      </c>
      <c r="G130" s="4">
        <f t="shared" si="21"/>
        <v>2.6</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9.9999999999999645E-2</v>
      </c>
      <c r="F131" s="4">
        <f t="shared" ref="F131:J131" si="22">IF(ISNUMBER(F105),F129-E129,"")</f>
        <v>0.70000000000000018</v>
      </c>
      <c r="G131" s="4">
        <f t="shared" si="22"/>
        <v>0.79297040240000083</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f>IF(ISNUMBER(E105),E131/E$27*100,"")</f>
        <v>4.2241146255744648E-2</v>
      </c>
      <c r="F132" s="4">
        <f>IF(ISNUMBER(F105),F131/F$27*100,"")</f>
        <v>0.28185607864912021</v>
      </c>
      <c r="G132" s="4">
        <f t="shared" ref="G132:J132" si="23">IF(ISNUMBER(G105),G131/G$27*100,"")</f>
        <v>0.30350832170733177</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2024</v>
      </c>
      <c r="C133" t="s">
        <v>6</v>
      </c>
      <c r="E133" s="4">
        <f>IF(ISNUMBER(E105),E134/100*E$27,"")</f>
        <v>9.1807999999999099E-2</v>
      </c>
      <c r="F133" s="4">
        <f t="shared" ref="F133:G133" si="24">IF(ISNUMBER(F105),F134/100*F$27,"")</f>
        <v>0.5362186000000001</v>
      </c>
      <c r="G133" s="4">
        <f t="shared" si="24"/>
        <v>1.0450723695999997</v>
      </c>
      <c r="H133" s="4"/>
      <c r="I133" s="4"/>
      <c r="J133" s="4"/>
      <c r="K133" s="4"/>
    </row>
    <row r="134" spans="1:35" x14ac:dyDescent="0.4">
      <c r="B134" s="5" t="str">
        <f>"Growth of defence expenditure since "&amp;'Step 1 - Set global parameters'!B26&amp;""</f>
        <v>Growth of defence expenditure since 2024</v>
      </c>
      <c r="C134" t="s">
        <v>603</v>
      </c>
      <c r="E134" s="4">
        <f>IF(ISNUMBER(E105),E130-'Step 1 - Set global parameters'!$B$27,"")</f>
        <v>3.8780751554473802E-2</v>
      </c>
      <c r="F134" s="4">
        <f>IF(ISNUMBER(F105),F130-'Step 1 - Set global parameters'!$B$27,"")</f>
        <v>0.21590924556388735</v>
      </c>
      <c r="G134" s="4">
        <f>IF(ISNUMBER(G105),G130-'Step 1 - Set global parameters'!$B$27,"")</f>
        <v>0.39999999999999991</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f t="shared" ref="E135:J135" si="25">IF(ISNUMBER(E105),IF((E128-E134)&gt;0,E128-E134,0),"")</f>
        <v>0</v>
      </c>
      <c r="F135" s="117">
        <f t="shared" si="25"/>
        <v>0</v>
      </c>
      <c r="G135" s="117">
        <f t="shared" si="25"/>
        <v>1.1918144900881074</v>
      </c>
      <c r="H135" s="117" t="str">
        <f t="shared" si="25"/>
        <v/>
      </c>
      <c r="I135" s="117" t="str">
        <f t="shared" si="25"/>
        <v/>
      </c>
      <c r="J135" s="117" t="str">
        <f t="shared" si="25"/>
        <v/>
      </c>
      <c r="K135" s="117"/>
    </row>
    <row r="136" spans="1:35" s="44" customFormat="1" x14ac:dyDescent="0.4">
      <c r="B136" s="82" t="s">
        <v>652</v>
      </c>
      <c r="C136" s="44" t="s">
        <v>651</v>
      </c>
      <c r="E136" s="48">
        <f>IF(ISNUMBER(E105),E121,"")</f>
        <v>-2.6378260399999953</v>
      </c>
      <c r="F136" s="48">
        <f t="shared" ref="F136:J136" si="26">IF(ISNUMBER(F105),F121,"")</f>
        <v>-0.85307453999999605</v>
      </c>
      <c r="G136" s="48">
        <f t="shared" si="26"/>
        <v>4.1589033527999852</v>
      </c>
      <c r="H136" s="48" t="str">
        <f t="shared" si="26"/>
        <v/>
      </c>
      <c r="I136" s="48" t="str">
        <f t="shared" si="26"/>
        <v/>
      </c>
      <c r="J136" s="48" t="str">
        <f t="shared" si="26"/>
        <v/>
      </c>
      <c r="K136" s="48"/>
    </row>
    <row r="137" spans="1:35" s="44" customFormat="1" x14ac:dyDescent="0.4">
      <c r="B137" s="90" t="s">
        <v>249</v>
      </c>
      <c r="C137" s="44" t="s">
        <v>651</v>
      </c>
      <c r="D137" s="48"/>
      <c r="E137" s="48">
        <f>IF(ISNUMBER(E105),IF(OR(E136="",ISNA(E136)),"",MAX(E136,0)),"")</f>
        <v>0</v>
      </c>
      <c r="F137" s="48">
        <f t="shared" ref="F137:J137" si="27">IF(ISNUMBER(F105),IF(OR(F136="",ISNA(F136)),"",MAX(F136,0)),"")</f>
        <v>0</v>
      </c>
      <c r="G137" s="48">
        <f t="shared" si="27"/>
        <v>4.1589033527999852</v>
      </c>
      <c r="H137" s="48" t="str">
        <f t="shared" si="27"/>
        <v/>
      </c>
      <c r="I137" s="48" t="str">
        <f t="shared" si="27"/>
        <v/>
      </c>
      <c r="J137" s="48" t="str">
        <f t="shared" si="27"/>
        <v/>
      </c>
      <c r="K137" s="48"/>
    </row>
    <row r="138" spans="1:35" s="44" customFormat="1" x14ac:dyDescent="0.4">
      <c r="B138" s="90" t="s">
        <v>649</v>
      </c>
      <c r="C138" s="44" t="s">
        <v>651</v>
      </c>
      <c r="E138" s="48">
        <f>IF(ISNUMBER(E105),IF((E137-MAX(E133,0))&gt;0,E137-MAX(E133,0),0),"")</f>
        <v>0</v>
      </c>
      <c r="F138" s="48">
        <f t="shared" ref="F138:G138" si="28">IF(ISNUMBER(F105),IF((F137-MAX(F133,0))&gt;0,F137-MAX(F133,0),0),"")</f>
        <v>0</v>
      </c>
      <c r="G138" s="48">
        <f t="shared" si="28"/>
        <v>3.1138309831999855</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f>IF(ISNUMBER(E105),IF(OR(E136="",ISNA(E136)),"",ABS(MIN(E136,0))),"")</f>
        <v>2.6378260399999953</v>
      </c>
      <c r="F139" s="48">
        <f t="shared" ref="F139:J139" si="30">IF(ISNUMBER(F105),IF(OR(F136="",ISNA(F136)),"",ABS(MIN(F136,0))),"")</f>
        <v>0.85307453999999605</v>
      </c>
      <c r="G139" s="48">
        <f t="shared" si="30"/>
        <v>0</v>
      </c>
      <c r="H139" s="48" t="str">
        <f t="shared" si="30"/>
        <v/>
      </c>
      <c r="I139" s="48" t="str">
        <f t="shared" si="30"/>
        <v/>
      </c>
      <c r="J139" s="48" t="str">
        <f t="shared" si="30"/>
        <v/>
      </c>
      <c r="K139" s="48"/>
    </row>
    <row r="140" spans="1:35" s="44" customFormat="1" x14ac:dyDescent="0.4">
      <c r="B140" s="55" t="s">
        <v>653</v>
      </c>
      <c r="C140" s="44" t="s">
        <v>651</v>
      </c>
      <c r="E140" s="48">
        <f>IF(ISNUMBER(E105),IF(E145=FALSE,E137-E139,IF(E146=TRUE,E138-E139,E139)),"")</f>
        <v>-2.6378260399999953</v>
      </c>
      <c r="F140" s="48">
        <f t="shared" ref="F140:J140" si="31">IF(ISNUMBER(F105),IF(F145=FALSE,F137-F139,IF(F146=TRUE,F138-F139,F139)),"")</f>
        <v>-0.85307453999999605</v>
      </c>
      <c r="G140" s="48">
        <f t="shared" si="31"/>
        <v>3.1138309831999855</v>
      </c>
      <c r="H140" s="48" t="str">
        <f t="shared" si="31"/>
        <v/>
      </c>
      <c r="I140" s="48" t="str">
        <f t="shared" si="31"/>
        <v/>
      </c>
      <c r="J140" s="48" t="str">
        <f t="shared" si="31"/>
        <v/>
      </c>
      <c r="K140" s="48"/>
    </row>
    <row r="141" spans="1:35" s="44" customFormat="1" x14ac:dyDescent="0.4">
      <c r="B141" s="55" t="s">
        <v>697</v>
      </c>
      <c r="C141" s="44" t="s">
        <v>651</v>
      </c>
      <c r="E141" s="48">
        <f>IF(ISNUMBER(E105),E140+IF(ISNUMBER(D105),D141,0),"")</f>
        <v>-2.6378260399999953</v>
      </c>
      <c r="F141" s="48">
        <f>IF(ISNUMBER(F105),F140+IF(ISNUMBER(E105),E141,0),"")</f>
        <v>-3.4909005799999915</v>
      </c>
      <c r="G141" s="48">
        <f>IF(ISNUMBER(G105),G140+IF(ISNUMBER(F105),F141,0),"")</f>
        <v>-0.37706959680000596</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f>IF(ISNUMBER(E105),E140/E123*100,"")</f>
        <v>-1.1142479555285194</v>
      </c>
      <c r="F142" s="4">
        <f t="shared" ref="F142:J142" si="33">IF(ISNUMBER(F105),F140/F123*100,"")</f>
        <v>-0.34349177805685849</v>
      </c>
      <c r="G142" s="4">
        <f t="shared" si="33"/>
        <v>1.1918144900881076</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f>IF(ISNUMBER(E105),E141/E$123*100,"")</f>
        <v>-1.1142479555285194</v>
      </c>
      <c r="F143" s="4">
        <f t="shared" ref="F143:J143" si="34">IF(ISNUMBER(F105),F141/F$123*100,"")</f>
        <v>-1.4056164977610526</v>
      </c>
      <c r="G143" s="4">
        <f t="shared" si="34"/>
        <v>-0.14432286519806425</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f>IF(ISNUMBER(E105),E126-E134,"")</f>
        <v>-1.1530287070829932</v>
      </c>
      <c r="F144" s="4">
        <f t="shared" ref="F144:J144" si="35">IF(ISNUMBER(F105),F126-F134,"")</f>
        <v>-1.6215257433249399</v>
      </c>
      <c r="G144" s="4">
        <f t="shared" si="35"/>
        <v>-0.14432286519806431</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1</v>
      </c>
      <c r="G145" s="148" t="b">
        <f>'Step 1 - Set global parameters'!D21</f>
        <v>1</v>
      </c>
      <c r="H145" s="148" t="b">
        <f>'Step 1 - Set global parameters'!E21</f>
        <v>1</v>
      </c>
      <c r="I145" s="148" t="b">
        <f>'Step 1 - Set global parameters'!F21</f>
        <v>1</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b">
        <f>IF('Step 1 - Set global parameters'!C21,IF('Step 1 - Set global parameters'!C23="Defence", TRUE, FALSE),NA())</f>
        <v>1</v>
      </c>
      <c r="G146" s="148" t="b">
        <f>IF('Step 1 - Set global parameters'!D21,IF('Step 1 - Set global parameters'!D23="Defence", TRUE, FALSE),NA())</f>
        <v>1</v>
      </c>
      <c r="H146" s="148" t="b">
        <f>IF('Step 1 - Set global parameters'!E21,IF('Step 1 - Set global parameters'!E23="Defence", TRUE, FALSE),NA())</f>
        <v>1</v>
      </c>
      <c r="I146" s="148" t="b">
        <f>IF('Step 1 - Set global parameters'!F21,IF('Step 1 - Set global parameters'!F23="Defence", TRUE, FALSE),NA())</f>
        <v>1</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f>IF('Step 1 - Set global parameters'!C21,'Step 1 - Set global parameters'!C24,NA())</f>
        <v>1.5</v>
      </c>
      <c r="G147" s="148">
        <f>IF('Step 1 - Set global parameters'!D21,'Step 1 - Set global parameters'!D24,NA())</f>
        <v>1.5</v>
      </c>
      <c r="H147" s="148">
        <f>IF('Step 1 - Set global parameters'!E21,'Step 1 - Set global parameters'!E24,NA())</f>
        <v>1.5</v>
      </c>
      <c r="I147" s="148">
        <f>IF('Step 1 - Set global parameters'!F21,'Step 1 - Set global parameters'!F24,NA())</f>
        <v>1.5</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b">
        <f>F142 &gt; 0.3</f>
        <v>0</v>
      </c>
      <c r="G148" s="76" t="b">
        <f>G142 &gt; 0.3</f>
        <v>1</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b">
        <f>IF(F143 &gt; 0.6, TRUE, FALSE)</f>
        <v>0</v>
      </c>
      <c r="G149" s="119" t="b">
        <f>IF(G143 &gt; 0.6, TRUE, FALSE)</f>
        <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b">
        <f>MAX(INDEX(142:142,_xlfn.XMATCH(MTP_YearT,105:105,0)):INDEX(142:142,_xlfn.XMATCH(AssessmentEnd,105:105,0)))&gt;0.3</f>
        <v>1</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b">
        <f>MAX(INDEX(143:143,_xlfn.XMATCH(MTP_YearT,105:105,0)):INDEX(143:143,_xlfn.XMATCH(AssessmentEnd,105:105,0)))&gt;0.6</f>
        <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b">
        <f>MAX(INDEX(142:142,_xlfn.XMATCH(MTP_YearT,105:105,0)):INDEX(142:142,_xlfn.XMATCH(OutturnThrough,105:105,0)))&gt;0.3</f>
        <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b">
        <f>MAX(INDEX(143:143,_xlfn.XMATCH(MTP_YearT,105:105,0)):INDEX(143:143,_xlfn.XMATCH(OutturnThrough,105:105,0)))&gt;0.6</f>
        <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b"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0</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b"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0</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b"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1</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b"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1</v>
      </c>
      <c r="D158" s="58"/>
      <c r="E158" s="58"/>
      <c r="F158" s="58"/>
      <c r="G158" s="58"/>
      <c r="H158" s="58"/>
      <c r="I158" s="58"/>
      <c r="J158" s="58"/>
      <c r="K158" s="58"/>
      <c r="L158" s="58"/>
      <c r="M158" s="58"/>
      <c r="N158" s="58"/>
      <c r="O158" s="58"/>
      <c r="P158" s="58"/>
      <c r="Q158" s="58"/>
      <c r="R158" s="58"/>
      <c r="S158" s="58"/>
      <c r="T158" s="58"/>
    </row>
    <row r="159" spans="1:35" x14ac:dyDescent="0.4">
      <c r="B159" s="46" t="s">
        <v>960</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Compliant</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str">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1</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b"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1</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Greece's outturn and plans are compliant (diagnostic only—not assessed as a separate compliance criterion during implementation).</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-1.84205</v>
      </c>
      <c r="E173" s="91">
        <v>0.34606999999999999</v>
      </c>
      <c r="F173" s="91">
        <v>0.48633999999999999</v>
      </c>
      <c r="G173" s="91">
        <v>-1.2</v>
      </c>
      <c r="H173" s="91"/>
      <c r="I173" s="91"/>
      <c r="J173" s="91"/>
      <c r="K173" s="91"/>
      <c r="L173" s="91"/>
      <c r="M173" s="91"/>
      <c r="N173" s="91"/>
    </row>
    <row r="174" spans="2:35" customFormat="1" x14ac:dyDescent="0.4">
      <c r="B174" t="s">
        <v>214</v>
      </c>
      <c r="C174" s="37"/>
      <c r="D174" s="91" cm="1">
        <f t="array" ref="D174:G174">INDEX(19:19, COLUMN($D$19) + _xlfn.SEQUENCE(1, COLUMNS(_xlfn.ANCHORARRAY(D4))) - 1)</f>
        <v>1.54579</v>
      </c>
      <c r="E174" s="91">
        <v>3.8204099999999999</v>
      </c>
      <c r="F174" s="91">
        <v>3.6435300000000002</v>
      </c>
      <c r="G174" s="91">
        <v>1.8</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2.2746199999999996</v>
      </c>
      <c r="F175" s="91">
        <v>-0.1768799999999997</v>
      </c>
      <c r="G175" s="91">
        <v>-1.8435300000000001</v>
      </c>
      <c r="H175" s="91"/>
      <c r="I175" s="91"/>
      <c r="J175" s="91"/>
      <c r="K175" s="91"/>
      <c r="L175" s="91"/>
    </row>
    <row r="176" spans="2:35" customFormat="1" x14ac:dyDescent="0.4">
      <c r="B176" t="s">
        <v>660</v>
      </c>
      <c r="D176" s="3" t="b">
        <f>IF(ISNUMBER(D172),D173&lt;-1.5,"")</f>
        <v>1</v>
      </c>
      <c r="E176" s="3" t="b">
        <f t="shared" ref="E176:K176" si="36">IF(ISNUMBER(E172),E173&lt;-1.5,"")</f>
        <v>0</v>
      </c>
      <c r="F176" s="3" t="b">
        <f t="shared" si="36"/>
        <v>0</v>
      </c>
      <c r="G176" s="3" t="b">
        <f t="shared" si="36"/>
        <v>0</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1</v>
      </c>
    </row>
    <row r="178" spans="2:35" x14ac:dyDescent="0.4">
      <c r="B178" t="s">
        <v>306</v>
      </c>
      <c r="C178" s="15">
        <f>IF(Receives_reference_trajectory,IF(AdjustmentPeriod=4,0.4,0.25),"Not applicable")</f>
        <v>0.4</v>
      </c>
      <c r="E178" s="17"/>
    </row>
    <row r="179" spans="2:35" x14ac:dyDescent="0.4">
      <c r="B179" t="s">
        <v>959</v>
      </c>
      <c r="C179" s="121" t="b"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1</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and Greece's outturn and plans are compliant (diagnostic only—not assessed as a separate compliance criterion during implementation).</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-1.3435300000000003</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-0.44784333333333343</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-1.8435300000000001</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-1.010205</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0</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Greece's MTP must not exceed (or Greece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Greece's gross general government debt in 2023 was 164.3%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Greece's net borrowing (general government deficit) in 2023 was 1.4%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Hellenic Fiscal Council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Hellenic Fiscal Council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Greece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f>IFERROR(
  AVERAGEIFS(
    69:69,
    32:32, "&gt;" &amp; MTP_YearT,
    32:32, "&lt;=" &amp; AdjustmentPeriodEnd
  ),
  NA()
)</f>
        <v>3.0888988799101336</v>
      </c>
    </row>
    <row r="233" spans="2:35" customFormat="1" x14ac:dyDescent="0.4">
      <c r="B233" t="s">
        <v>492</v>
      </c>
      <c r="C233" s="126">
        <f>AVERAGEIFS(
  34:34,
  32:32, "&gt;" &amp; MTP_YearT,
  32:32, "&lt;=" &amp; AdjustmentPeriodEnd
)</f>
        <v>3.35</v>
      </c>
    </row>
    <row r="234" spans="2:35" customFormat="1" x14ac:dyDescent="0.4">
      <c r="B234" t="s">
        <v>493</v>
      </c>
      <c r="C234" s="126" t="b">
        <f>IFERROR(C232-C233&lt;0, NA())</f>
        <v>1</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The average net expenditure growth reported in Greece's plan over the adjustment period (2025–2028) is higher than the reference trajectory transmitted by the Commission on 21 June 2024, but the Hellenic Fiscal Council deems the explanation and alternative assumptions to be satisfactory.</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0</v>
      </c>
      <c r="E240" s="18"/>
      <c r="J240" s="16"/>
    </row>
    <row r="241" spans="2:35" x14ac:dyDescent="0.4">
      <c r="B241" s="14" t="s">
        <v>519</v>
      </c>
      <c r="C241" s="15" t="b">
        <f>IF(AND(Receives_reference_trajectory,NOT(C240)),'Step 4 (MTP) - IFI scrutiny'!D3="Yes",NA())</f>
        <v>1</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Greece's latest MTP exceeds the Commission's reference trajectory but the Hellenic Fiscal Council deems the explanation and alternative assumptions to be satisfactory.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0</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b"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1</v>
      </c>
      <c r="E260" s="18"/>
      <c r="J260" s="16"/>
    </row>
    <row r="261" spans="2:35" x14ac:dyDescent="0.4">
      <c r="B261" s="12" t="s">
        <v>357</v>
      </c>
      <c r="C261" s="15" t="b"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1</v>
      </c>
      <c r="E261" s="18"/>
      <c r="J261" s="16"/>
    </row>
    <row r="262" spans="2:35" x14ac:dyDescent="0.4">
      <c r="B262" s="12" t="s">
        <v>358</v>
      </c>
      <c r="C262" s="15" t="b"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1</v>
      </c>
      <c r="E262" s="18"/>
      <c r="J262" s="16"/>
    </row>
    <row r="263" spans="2:35" x14ac:dyDescent="0.4">
      <c r="B263" s="12" t="s">
        <v>359</v>
      </c>
      <c r="C263" s="15" t="b"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1</v>
      </c>
      <c r="E263" s="18"/>
      <c r="J263" s="16"/>
    </row>
    <row r="264" spans="2:35" x14ac:dyDescent="0.4">
      <c r="B264" s="12" t="s">
        <v>360</v>
      </c>
      <c r="C264" s="15" t="b" cm="1">
        <f t="array" ref="C264">IF(OR(NOT(Receives_reference_trajectory),C258),"Not applicable",
 IF(_xlfn.XMATCH(AdjustmentPeriodEnd+5,46:46,1)-_xlfn.XMATCH(AdjustmentPeriodEnd,46:46,0)&lt;=0,TRUE,
   INDEX(87:87,_xlfn.XMATCH(AdjustmentPeriodEnd+5,46:46,1)) &lt; INDEX(87:87,_xlfn.XMATCH(AdjustmentPeriodEnd,46:46,0))
 ))</f>
        <v>1</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Greece's planned net expenditure ensures gross government debt meets all risk-based debt requirements for a plausible downward path.</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Greece's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1.9</v>
      </c>
      <c r="E287" s="91">
        <v>1.9</v>
      </c>
      <c r="F287" s="91">
        <v>2</v>
      </c>
      <c r="G287" s="91">
        <v>2.1</v>
      </c>
      <c r="H287" s="91">
        <v>2.2000000000000002</v>
      </c>
      <c r="I287" s="91">
        <v>2.2999999999999998</v>
      </c>
    </row>
    <row r="288" spans="2:35" ht="13.5" customHeight="1" x14ac:dyDescent="0.4">
      <c r="B288" s="7" t="s">
        <v>346</v>
      </c>
      <c r="C288" s="93"/>
      <c r="E288" s="100">
        <f>IF(ISNUMBER(E287),E287-D287,"")</f>
        <v>0</v>
      </c>
      <c r="F288" s="100">
        <f t="shared" ref="F288:M288" si="37">IF(ISNUMBER(F287),F287-E287,"")</f>
        <v>0.10000000000000009</v>
      </c>
      <c r="G288" s="100">
        <f t="shared" si="37"/>
        <v>0.10000000000000009</v>
      </c>
      <c r="H288" s="100">
        <f t="shared" si="37"/>
        <v>0.10000000000000009</v>
      </c>
      <c r="I288" s="100">
        <f t="shared" si="37"/>
        <v>9.9999999999999645E-2</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9.9999999999999936E-2</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Greece.</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1</v>
      </c>
    </row>
    <row r="313" spans="2:35" x14ac:dyDescent="0.4">
      <c r="B313" t="s">
        <v>381</v>
      </c>
      <c r="C313" s="15" t="b">
        <f>MAX(INDEX(52:52,1,COLUMN($D$46)):INDEX(52:52,1,COLUMN($D$46)+COLUMNS(_xlfn.ANCHORARRAY($D$46))-1))&gt;90</f>
        <v>1</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b"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1</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b">
        <f>IF(
  NOT(Receives_reference_trajectory),
  NA(),
  IF(
    OR(C313=TRUE, C314=TRUE),
    IF(
      OR(
        IF(C313=TRUE, C315=FALSE, FALSE),
        IF(C314=TRUE, C316=FALSE, FALSE)
      ),
      FALSE,
      TRUE
    ),
    NA()
  )
)</f>
        <v>1</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Greece's fiscal path is compliant.</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-1.5</v>
      </c>
      <c r="E323" s="91">
        <v>-1.5</v>
      </c>
      <c r="F323" s="91">
        <v>-1.1000000000000001</v>
      </c>
      <c r="G323" s="91">
        <v>-1.1000000000000001</v>
      </c>
      <c r="H323" s="91">
        <v>-1.2</v>
      </c>
      <c r="I323" s="91">
        <v>-1.3</v>
      </c>
      <c r="J323" s="91"/>
      <c r="K323" s="91"/>
      <c r="L323" s="91"/>
      <c r="M323" s="91"/>
      <c r="N323" s="91"/>
    </row>
    <row r="324" spans="2:35" customFormat="1" x14ac:dyDescent="0.4">
      <c r="B324" t="s">
        <v>214</v>
      </c>
      <c r="C324" s="37"/>
      <c r="D324" s="91" cm="1">
        <f t="array" ref="D324:I324">INDEX(37:37, COLUMN($D$37) + _xlfn.SEQUENCE(1, COLUMNS(_xlfn.ANCHORARRAY(D322))) - 1)</f>
        <v>1.9</v>
      </c>
      <c r="E324" s="91">
        <v>1.9</v>
      </c>
      <c r="F324" s="91">
        <v>2</v>
      </c>
      <c r="G324" s="91">
        <v>2.1</v>
      </c>
      <c r="H324" s="91">
        <v>2.2000000000000002</v>
      </c>
      <c r="I324" s="91">
        <v>2.2999999999999998</v>
      </c>
      <c r="J324" s="91"/>
      <c r="K324" s="91"/>
      <c r="L324" s="91"/>
      <c r="M324" s="91"/>
    </row>
    <row r="325" spans="2:35" customFormat="1" x14ac:dyDescent="0.4">
      <c r="B325" s="7" t="s">
        <v>384</v>
      </c>
      <c r="C325" s="93"/>
      <c r="D325" s="91"/>
      <c r="E325" s="91"/>
      <c r="F325" s="91">
        <f>IF(COUNT(E324,F324)=2, F324-E324, "")</f>
        <v>0.10000000000000009</v>
      </c>
      <c r="G325" s="91">
        <f t="shared" ref="G325:L325" si="38">IF(COUNT(F324,G324)=2, G324-F324, "")</f>
        <v>0.10000000000000009</v>
      </c>
      <c r="H325" s="91">
        <f t="shared" si="38"/>
        <v>0.10000000000000009</v>
      </c>
      <c r="I325" s="91">
        <f t="shared" si="38"/>
        <v>9.9999999999999645E-2</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cm="1">
        <f t="array" ref="C338">IF(
  Receives_reference_trajectory,
  IFERROR(
    INDEX(71:71, _xlfn.XMATCH(AdjustmentPeriodEnd, 62:62, 0)) -
    INDEX(71:71, _xlfn.XMATCH(MTP_YearT,        62:62, 0)),
    NA()
  ),
  NA()
)</f>
        <v>0.88000000000000034</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cm="1">
        <f t="array" ref="C339">IF(
  Receives_reference_trajectory,
  IFERROR(
    (
      INDEX(71:71, _xlfn.XMATCH(AdjustmentPeriodEnd, 62:62, 0)) -
      INDEX(71:71, _xlfn.XMATCH(MTP_YearT,        62:62, 0))
    ) / (AdjustmentPeriodEnd - MTP_YearT),
    NA()
  ),
  NA()
)</f>
        <v>0.22000000000000008</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0.39999999999999991</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str">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Greece's latest MTP exceeds the Commission's reference trajectory but the Hellenic Fiscal Council deems the explanation and alternative assumptions to be satisfactory,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2.6</v>
      </c>
      <c r="G4" s="64">
        <f>IF(MTP_Council_Endorsed,IF(Assessment!F34="",NA(),Assessment!F34),NA())</f>
        <v>3.6999999999999997</v>
      </c>
      <c r="H4" s="64">
        <f>IF(MTP_Council_Endorsed,IF(Assessment!G34="",NA(),Assessment!G34),NA())</f>
        <v>3.6000000000000005</v>
      </c>
      <c r="I4" s="64">
        <f>IF(MTP_Council_Endorsed,IF(Assessment!H34="",NA(),Assessment!H34),NA())</f>
        <v>3.1</v>
      </c>
      <c r="J4" s="64">
        <f>IF(MTP_Council_Endorsed,IF(Assessment!I34="",NA(),Assessment!I34),NA())</f>
        <v>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7.5</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-0.12946679588512477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2.8340876161799811</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-0.12946679588512477</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7.5</v>
      </c>
    </row>
    <row r="13" spans="2:24" x14ac:dyDescent="0.4">
      <c r="C13" s="110"/>
    </row>
    <row r="14" spans="2:24" ht="16.5" x14ac:dyDescent="0.6">
      <c r="B14" s="110" t="s">
        <v>480</v>
      </c>
      <c r="C14" s="11" t="s">
        <v>944</v>
      </c>
    </row>
    <row r="15" spans="2:24" x14ac:dyDescent="0.4">
      <c r="C15" s="2" t="s">
        <v>484</v>
      </c>
      <c r="F15" s="64"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-1.1530287070829932</v>
      </c>
      <c r="G15" s="64"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-1.6215257433249399</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#N/A</v>
      </c>
      <c r="G16" s="64" t="e">
        <f>IF(COUNTIF('Step 1 - Set global parameters'!$B$21:$G$21,TRUE)&gt;0,
  IF(MTP_Council_Endorsed,IF(ISNUMBER(G15),NA(),IF(Assessment!F144="",NA(),Assessment!F144)),NA()),
  IF(MTP_Council_Endorsed,IF(ISNUMBER(G15),NA(),IF(Assessment!F126="",NA(),Assessment!F126)),NA())
)</f>
        <v>#N/A</v>
      </c>
      <c r="H16" s="64">
        <f>IF(COUNTIF('Step 1 - Set global parameters'!$B$21:$G$21,TRUE)&gt;0,
  IF(MTP_Council_Endorsed,IF(ISNUMBER(H15),NA(),IF(Assessment!G144="",NA(),Assessment!G144)),NA()),
  IF(MTP_Council_Endorsed,IF(ISNUMBER(H15),NA(),IF(Assessment!G126="",NA(),Assessment!G126)),NA())
)</f>
        <v>-0.14432286519806431</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f>IF(COUNTIF('Step 1 - Set global parameters'!$B$21:$G$21,TRUE)&gt;0,
  IF(MTP_Council_Endorsed,IF(NOT(Assessment!E145),IF(Assessment!E142&lt;=0,Assessment!E142,NA()),NA()),NA()),
  IF(MTP_Council_Endorsed,IF(NOT(Assessment!E127),IF(Assessment!E125&lt;=0,Assessment!E125,NA()),NA()),NA())
)</f>
        <v>-1.1142479555285194</v>
      </c>
      <c r="G18" s="64" t="e">
        <f>IF(COUNTIF('Step 1 - Set global parameters'!$B$21:$G$21,TRUE)&gt;0,
  IF(MTP_Council_Endorsed,IF(NOT(Assessment!F145),IF(Assessment!F142&lt;=0,Assessment!F142,NA()),NA()),NA()),
  IF(MTP_Council_Endorsed,IF(NOT(Assessment!F127),IF(Assessment!F125&lt;=0,Assessment!F125,NA()),NA()),NA())
)</f>
        <v>#N/A</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#N/A</v>
      </c>
      <c r="G19" s="64" t="e">
        <f>IF(COUNTIF('Step 1 - Set global parameters'!$B$21:$G$21,TRUE)&gt;0,
  IF(MTP_Council_Endorsed,IF(NOT(Assessment!F145),IF(Assessment!F142&gt;0,Assessment!F142,NA()),NA()),NA()),
  IF(MTP_Council_Endorsed,IF(NOT(Assessment!F127),IF(Assessment!F125&gt;0,Assessment!F125,NA()),NA()),NA())
)</f>
        <v>#N/A</v>
      </c>
      <c r="H19" s="64" t="e">
        <f>IF(COUNTIF('Step 1 - Set global parameters'!$B$21:$G$21,TRUE)&gt;0,
  IF(MTP_Council_Endorsed,IF(NOT(Assessment!G145),IF(Assessment!G142&gt;0,Assessment!G142,NA()),NA()),NA()),
  IF(MTP_Council_Endorsed,IF(NOT(Assessment!G127),IF(Assessment!G125&gt;0,Assessment!G125,NA()),NA()),NA())
)</f>
        <v>#N/A</v>
      </c>
      <c r="I19" s="64" t="e">
        <f>IF(COUNTIF('Step 1 - Set global parameters'!$B$21:$G$21,TRUE)&gt;0,
  IF(MTP_Council_Endorsed,IF(NOT(Assessment!H145),IF(Assessment!H142&gt;0,Assessment!H142,NA()),NA()),NA()),
  IF(MTP_Council_Endorsed,IF(NOT(Assessment!H127),IF(Assessment!H125&gt;0,Assessment!H125,NA()),NA()),NA())
)</f>
        <v>#N/A</v>
      </c>
      <c r="J19" s="64" t="e">
        <f>IF(COUNTIF('Step 1 - Set global parameters'!$B$21:$G$21,TRUE)&gt;0,
  IF(MTP_Council_Endorsed,IF(NOT(Assessment!I145),IF(Assessment!I142&gt;0,Assessment!I142,NA()),NA()),NA()),
  IF(MTP_Council_Endorsed,IF(NOT(Assessment!I127),IF(Assessment!I125&gt;0,Assessment!I125,NA()),NA()),NA())
)</f>
        <v>#N/A</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f>IF(MTP_Council_Endorsed,IF(Assessment!F145,Assessment!F142,NA()),NA())</f>
        <v>-0.34349177805685849</v>
      </c>
      <c r="H21" s="64">
        <f>IF(MTP_Council_Endorsed,IF(Assessment!G145,Assessment!G142,NA()),NA())</f>
        <v>1.1918144900881076</v>
      </c>
      <c r="I21" s="64" t="str">
        <f>IF(MTP_Council_Endorsed,IF(Assessment!H145,Assessment!H142,NA()),NA())</f>
        <v/>
      </c>
      <c r="J21" s="64" t="str">
        <f>IF(MTP_Council_Endorsed,IF(Assessment!I145,Assessment!I142,NA()),NA())</f>
        <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-1.6215257433249399</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1.1918144900881076</v>
      </c>
    </row>
    <row r="27" spans="2:23" x14ac:dyDescent="0.4">
      <c r="C27" s="110"/>
    </row>
    <row r="28" spans="2:23" ht="16.5" x14ac:dyDescent="0.6">
      <c r="B28" s="110" t="s">
        <v>481</v>
      </c>
      <c r="C28" s="11" t="s">
        <v>940</v>
      </c>
    </row>
    <row r="29" spans="2:23" x14ac:dyDescent="0.4">
      <c r="C29" s="2" t="s">
        <v>497</v>
      </c>
      <c r="E29" s="64">
        <f>IF(ISNUMBER(Assessment!D38),Assessment!D38,NA())</f>
        <v>161.9</v>
      </c>
      <c r="F29" s="64">
        <f>IF(ISNUMBER(Assessment!E38),Assessment!E38,NA())</f>
        <v>153.69999999999999</v>
      </c>
      <c r="G29" s="64">
        <f>IF(ISNUMBER(Assessment!F38),Assessment!F38,NA())</f>
        <v>149.1</v>
      </c>
      <c r="H29" s="64">
        <f>IF(ISNUMBER(Assessment!G38),Assessment!G38,NA())</f>
        <v>143.1</v>
      </c>
      <c r="I29" s="64">
        <f>IF(ISNUMBER(Assessment!H38),Assessment!H38,NA())</f>
        <v>138</v>
      </c>
      <c r="J29" s="64">
        <f>IF(ISNUMBER(Assessment!I38),Assessment!I38,NA())</f>
        <v>133.4</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164.27800194226435</v>
      </c>
      <c r="F31" s="64" t="e">
        <f>IF(OR(ISNUMBER(F91),ISNUMBER(F92)),NA(),IF(ISNUMBER(Assessment!E20),Assessment!E20,NA()))</f>
        <v>#N/A</v>
      </c>
      <c r="G31" s="64" t="e">
        <f>IF(OR(ISNUMBER(G91),ISNUMBER(G92)),NA(),IF(ISNUMBER(Assessment!F20),Assessment!F20,NA()))</f>
        <v>#N/A</v>
      </c>
      <c r="H31" s="64">
        <f>IF(OR(ISNUMBER(H91),ISNUMBER(H92)),NA(),IF(ISNUMBER(Assessment!G20),Assessment!G20,NA()))</f>
        <v>136.80000000000001</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146.13231049104562</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154.16497702081645</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154.16497702081645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-1</v>
      </c>
      <c r="G39" s="64">
        <f>Assessment!F50</f>
        <v>-0.6</v>
      </c>
      <c r="H39" s="64">
        <f>Assessment!G50</f>
        <v>-0.8</v>
      </c>
      <c r="I39" s="64">
        <f>Assessment!H50</f>
        <v>-1.1000000000000001</v>
      </c>
      <c r="J39" s="64">
        <f>Assessment!I50</f>
        <v>-1.2</v>
      </c>
      <c r="K39" s="64">
        <f>Assessment!J50</f>
        <v>-1.4</v>
      </c>
      <c r="L39" s="64">
        <f>Assessment!K50</f>
        <v>-1.5</v>
      </c>
      <c r="M39" s="64">
        <f>Assessment!L50</f>
        <v>-1.6</v>
      </c>
      <c r="N39" s="64">
        <f>Assessment!M50</f>
        <v>-1.7</v>
      </c>
      <c r="O39" s="64">
        <f>Assessment!N50</f>
        <v>-1.9</v>
      </c>
      <c r="P39" s="64">
        <f>Assessment!O50</f>
        <v>-2.2000000000000002</v>
      </c>
      <c r="Q39" s="64">
        <f>Assessment!P50</f>
        <v>-2.4</v>
      </c>
      <c r="R39" s="64">
        <f>Assessment!Q50</f>
        <v>-2.2000000000000002</v>
      </c>
      <c r="S39" s="64">
        <f>Assessment!R50</f>
        <v>-2.4</v>
      </c>
      <c r="T39" s="64">
        <f>Assessment!S50</f>
        <v>-2.5</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0.2</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1.3470701540957015</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1.7273751105781794</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1</v>
      </c>
      <c r="G44" s="64">
        <f t="shared" si="0"/>
        <v>0.6</v>
      </c>
      <c r="H44" s="64">
        <f t="shared" si="0"/>
        <v>0.8</v>
      </c>
      <c r="I44" s="64">
        <f t="shared" si="0"/>
        <v>1.1000000000000001</v>
      </c>
      <c r="J44" s="64">
        <f t="shared" si="0"/>
        <v>1.2</v>
      </c>
      <c r="K44" s="64">
        <f t="shared" si="0"/>
        <v>1.4</v>
      </c>
      <c r="L44" s="64">
        <f t="shared" si="0"/>
        <v>1.5</v>
      </c>
      <c r="M44" s="64">
        <f t="shared" si="0"/>
        <v>1.6</v>
      </c>
      <c r="N44" s="64">
        <f t="shared" si="0"/>
        <v>1.7</v>
      </c>
      <c r="O44" s="64">
        <f t="shared" si="0"/>
        <v>1.9</v>
      </c>
      <c r="P44" s="64">
        <f t="shared" si="0"/>
        <v>2.2000000000000002</v>
      </c>
      <c r="Q44" s="64">
        <f t="shared" si="0"/>
        <v>2.4</v>
      </c>
      <c r="R44" s="64">
        <f t="shared" si="0"/>
        <v>2.2000000000000002</v>
      </c>
      <c r="S44" s="64">
        <f t="shared" si="0"/>
        <v>2.4</v>
      </c>
      <c r="T44" s="64">
        <f t="shared" si="0"/>
        <v>2.5</v>
      </c>
      <c r="U44" s="64" t="e">
        <f t="shared" ref="U44:W44" si="1">IF(U79&lt;&gt;"",-U79,NA())</f>
        <v>#N/A</v>
      </c>
      <c r="V44" s="64" t="e">
        <f t="shared" si="1"/>
        <v>#N/A</v>
      </c>
      <c r="W44" s="64" t="e">
        <f t="shared" si="1"/>
        <v>#N/A</v>
      </c>
    </row>
    <row r="45" spans="2:23" x14ac:dyDescent="0.4">
      <c r="C45" s="2" t="s">
        <v>301</v>
      </c>
      <c r="F45" s="64">
        <f t="shared" ref="F45:T45" si="2">IF(F81&lt;&gt;"",-F81,NA())</f>
        <v>-1.3470701540957015</v>
      </c>
      <c r="G45" s="64">
        <f t="shared" si="2"/>
        <v>-1.7273751105781794</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1.9</v>
      </c>
      <c r="G49" s="64">
        <f>Assessment!F37</f>
        <v>2</v>
      </c>
      <c r="H49" s="64">
        <f>Assessment!G37</f>
        <v>2.1</v>
      </c>
      <c r="I49" s="64">
        <f>Assessment!H37</f>
        <v>2.2000000000000002</v>
      </c>
      <c r="J49" s="64">
        <f>Assessment!I37</f>
        <v>2.2999999999999998</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1.8</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3.8204099999999999</v>
      </c>
      <c r="G53" s="106" cm="1">
        <f t="array" ref="G53">IF(
  AND(
    INDEX($2:$2, COLUMN()) &gt;= MTP_BaseYear,
    INDEX($2:$2, COLUMN()) &lt;= OutturnThrough
  ),
  IFERROR(
    IF(
      G49 - INDEX(Assessment!$19:$19,
                   _xlfn.XMATCH(INDEX($2:$2, COLUMN()),
                          Assessment!$4:$4, 0)
            ) &lt; 0,
      INDEX(Assessment!$19:$19,
            _xlfn.XMATCH(INDEX($2:$2, COLUMN()),
                   Assessment!$4:$4, 0)
      ),
      NA()
    ),
    NA()
  ),
  NA()
)</f>
        <v>3.6435300000000002</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t="e"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#N/A</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3.8204099999999999</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-8.2000000000000171</v>
      </c>
      <c r="G59" s="64">
        <f>IF(
  AND(
    ISNUMBER(Assessment!E38),
    ISNUMBER(Assessment!F38)
  ),
  Assessment!F38-Assessment!E38,
  NA()
)</f>
        <v>-4.5999999999999943</v>
      </c>
      <c r="H59" s="64">
        <f>IF(
  AND(
    ISNUMBER(Assessment!F38),
    ISNUMBER(Assessment!G38)
  ),
  Assessment!G38-Assessment!F38,
  NA()
)</f>
        <v>-6</v>
      </c>
      <c r="I59" s="64">
        <f>IF(
  AND(
    ISNUMBER(Assessment!G38),
    ISNUMBER(Assessment!H38)
  ),
  Assessment!H38-Assessment!G38,
  NA()
)</f>
        <v>-5.0999999999999943</v>
      </c>
      <c r="J59" s="64">
        <f>IF(
  AND(
    ISNUMBER(Assessment!H38),
    ISNUMBER(Assessment!I38)
  ),
  Assessment!I38-Assessment!H38,
  NA()
)</f>
        <v>-4.5999999999999943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cm="1">
        <f t="array" ref="F62">IF(
  AND(
    INDEX(2:2, COLUMN()) &gt; MTP_BaseYear,
    INDEX(2:2, COLUMN()) &lt;= OutturnThrough
  ),
  IFERROR(
    IF(
      Assessment!E21 &lt;= INDEX($65:$65, COLUMN()),
      Assessment!E21,
      NA()
    ),
    NA()
  ),
  NA()
)</f>
        <v>-1.7513179237631793</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cm="1">
        <f t="array" ref="G63">IF(
  AND(
    INDEX(2:2, COLUMN()) &gt; MTP_BaseYear,
    INDEX(2:2, COLUMN()) &lt;= OutturnThrough
  ),
  IFERROR(
    IF(
      Assessment!F21 &gt; INDEX($65:$65, COLUMN()),
      Assessment!F21,
      NA()
    ),
    NA()
  ),
  NA()
)</f>
        <v>-0.82100649195079434</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0.4917970039993555</v>
      </c>
      <c r="F64" s="64" t="e">
        <f>IF(OR(ISNUMBER(F62),ISNUMBER(F63)),NA(),IF(ISNUMBER(Assessment!E21),Assessment!E21,NA()))</f>
        <v>#N/A</v>
      </c>
      <c r="G64" s="64" t="e">
        <f>IF(OR(ISNUMBER(G62),ISNUMBER(G63)),NA(),IF(ISNUMBER(Assessment!F21),Assessment!F21,NA()))</f>
        <v>#N/A</v>
      </c>
      <c r="H64" s="64">
        <f>IF(OR(ISNUMBER(H62),ISNUMBER(H63)),NA(),IF(ISNUMBER(Assessment!G21),Assessment!G21,NA()))</f>
        <v>-9.3000000000000007</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-1</v>
      </c>
      <c r="F65" s="64">
        <f>IF(
  ISNUMBER(Assessment!E20),
  IF(Assessment!E20&gt;90,-1,
     IF(Assessment!E20&gt;60,-0.5,0)
  ),
  NA()
)</f>
        <v>-1</v>
      </c>
      <c r="G65" s="64">
        <f>IF(
  ISNUMBER(Assessment!F20),
  IF(Assessment!F20&gt;90,-1,
     IF(Assessment!F20&gt;60,-0.5,0)
  ),
  NA()
)</f>
        <v>-1</v>
      </c>
      <c r="H65" s="64">
        <f>IF(
  ISNUMBER(Assessment!G20),
  IF(Assessment!G20&gt;90,-1,
     IF(Assessment!G20&gt;60,-0.5,0)
  ),
  NA()
)</f>
        <v>-1</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-9.3000000000000007</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-0.82100649195079434</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0.10000000000000009</v>
      </c>
      <c r="H70" s="64">
        <f>IF(
  AND(
    ISNUMBER(Assessment!G37),
    ISNUMBER(Assessment!F37)
  ),
  Assessment!G37 - Assessment!F37,
  NA()
)</f>
        <v>0.10000000000000009</v>
      </c>
      <c r="I70" s="64">
        <f>IF(
  AND(
    ISNUMBER(Assessment!H37),
    ISNUMBER(Assessment!G37)
  ),
  Assessment!H37 - Assessment!G37,
  NA()
)</f>
        <v>0.10000000000000009</v>
      </c>
      <c r="J70" s="64">
        <f>IF(
  AND(
    ISNUMBER(Assessment!I37),
    ISNUMBER(Assessment!H37)
  ),
  Assessment!I37 - Assessment!H37,
  NA()
)</f>
        <v>9.9999999999999645E-2</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-1.8435300000000001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2.2746199999999996</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-0.1768799999999997</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-1.8435300000000001</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2.2746199999999996</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-1</v>
      </c>
      <c r="G79" s="64">
        <f>Assessment!F50</f>
        <v>-0.6</v>
      </c>
      <c r="H79" s="64">
        <f>Assessment!G50</f>
        <v>-0.8</v>
      </c>
      <c r="I79" s="64">
        <f>Assessment!H50</f>
        <v>-1.1000000000000001</v>
      </c>
      <c r="J79" s="64">
        <f>Assessment!I50</f>
        <v>-1.2</v>
      </c>
      <c r="K79" s="64">
        <f>Assessment!J50</f>
        <v>-1.4</v>
      </c>
      <c r="L79" s="64">
        <f>Assessment!K50</f>
        <v>-1.5</v>
      </c>
      <c r="M79" s="64">
        <f>Assessment!L50</f>
        <v>-1.6</v>
      </c>
      <c r="N79" s="64">
        <f>Assessment!M50</f>
        <v>-1.7</v>
      </c>
      <c r="O79" s="64">
        <f>Assessment!N50</f>
        <v>-1.9</v>
      </c>
      <c r="P79" s="64">
        <f>Assessment!O50</f>
        <v>-2.2000000000000002</v>
      </c>
      <c r="Q79" s="64">
        <f>Assessment!P50</f>
        <v>-2.4</v>
      </c>
      <c r="R79" s="64">
        <f>Assessment!Q50</f>
        <v>-2.2000000000000002</v>
      </c>
      <c r="S79" s="64">
        <f>Assessment!R50</f>
        <v>-2.4</v>
      </c>
      <c r="T79" s="64">
        <f>Assessment!S50</f>
        <v>-2.5</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0.2</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1.3470701540957015</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1.7273751105781794</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1</v>
      </c>
      <c r="G84" s="64">
        <f t="shared" si="6"/>
        <v>0.6</v>
      </c>
      <c r="H84" s="64">
        <f t="shared" si="6"/>
        <v>0.8</v>
      </c>
      <c r="I84" s="64">
        <f t="shared" si="6"/>
        <v>1.1000000000000001</v>
      </c>
      <c r="J84" s="64">
        <f t="shared" si="6"/>
        <v>1.2</v>
      </c>
      <c r="K84" s="64">
        <f t="shared" si="6"/>
        <v>1.4</v>
      </c>
      <c r="L84" s="64">
        <f t="shared" si="6"/>
        <v>1.5</v>
      </c>
      <c r="M84" s="64">
        <f t="shared" si="6"/>
        <v>1.6</v>
      </c>
      <c r="N84" s="64">
        <f t="shared" si="6"/>
        <v>1.7</v>
      </c>
      <c r="O84" s="64">
        <f t="shared" si="6"/>
        <v>1.9</v>
      </c>
      <c r="P84" s="64">
        <f t="shared" si="6"/>
        <v>2.2000000000000002</v>
      </c>
      <c r="Q84" s="64">
        <f t="shared" si="6"/>
        <v>2.4</v>
      </c>
      <c r="R84" s="64">
        <f t="shared" si="6"/>
        <v>2.2000000000000002</v>
      </c>
      <c r="S84" s="64">
        <f t="shared" si="6"/>
        <v>2.4</v>
      </c>
      <c r="T84" s="64">
        <f t="shared" si="6"/>
        <v>2.5</v>
      </c>
      <c r="U84" s="64" t="e">
        <f t="shared" ref="U84:W84" si="7">IF(U79&lt;&gt;"",-U79,NA())</f>
        <v>#N/A</v>
      </c>
      <c r="V84" s="64" t="e">
        <f t="shared" si="7"/>
        <v>#N/A</v>
      </c>
      <c r="W84" s="64" t="e">
        <f t="shared" si="7"/>
        <v>#N/A</v>
      </c>
    </row>
    <row r="85" spans="2:23" x14ac:dyDescent="0.4">
      <c r="C85" s="2" t="s">
        <v>301</v>
      </c>
      <c r="F85" s="64">
        <f t="shared" ref="F85:T85" si="8">IF(F81&lt;&gt;"",-F81,NA())</f>
        <v>-1.3470701540957015</v>
      </c>
      <c r="G85" s="64">
        <f t="shared" si="8"/>
        <v>-1.7273751105781794</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161.91113695162562</v>
      </c>
      <c r="F89" s="64">
        <f>Assessment!E72</f>
        <v>153.85247852629993</v>
      </c>
      <c r="G89" s="64">
        <f>Assessment!F72</f>
        <v>149.71870642137412</v>
      </c>
      <c r="H89" s="64">
        <f>Assessment!G72</f>
        <v>145.14356408597757</v>
      </c>
      <c r="I89" s="64">
        <f>Assessment!H72</f>
        <v>140.84130510503616</v>
      </c>
      <c r="J89" s="64">
        <f>Assessment!I72</f>
        <v>136.59425954400712</v>
      </c>
      <c r="K89" s="64">
        <f>Assessment!J72</f>
        <v>132.39011631707174</v>
      </c>
      <c r="L89" s="64">
        <f>Assessment!K72</f>
        <v>128.4132738094454</v>
      </c>
      <c r="M89" s="64">
        <f>Assessment!L72</f>
        <v>124.69755840460566</v>
      </c>
      <c r="N89" s="64">
        <f>Assessment!M72</f>
        <v>121.16811216704178</v>
      </c>
      <c r="O89" s="64">
        <f>Assessment!N72</f>
        <v>119.13749499989976</v>
      </c>
      <c r="P89" s="64">
        <f>Assessment!O72</f>
        <v>117.38561044918471</v>
      </c>
      <c r="Q89" s="64">
        <f>Assessment!P72</f>
        <v>115.90446514538829</v>
      </c>
      <c r="R89" s="64">
        <f>Assessment!Q72</f>
        <v>114.34444706752751</v>
      </c>
      <c r="S89" s="64">
        <f>Assessment!R72</f>
        <v>112.85394408482392</v>
      </c>
      <c r="T89" s="64">
        <f>Assessment!S72</f>
        <v>111.49198072132114</v>
      </c>
      <c r="U89" s="64" t="str">
        <f>Assessment!T72</f>
        <v/>
      </c>
      <c r="V89" s="64" t="str">
        <f>Assessment!U72</f>
        <v/>
      </c>
      <c r="W89" s="64" t="str">
        <f>Assessment!V72</f>
        <v/>
      </c>
    </row>
    <row r="90" spans="2:23" x14ac:dyDescent="0.4">
      <c r="C90" s="2" t="s">
        <v>243</v>
      </c>
      <c r="E90" s="64">
        <f>IF(OR(ISNUMBER(E91),ISNUMBER(E92)),NA(),IF(ISNUMBER(Assessment!D20),Assessment!D20,NA()))</f>
        <v>164.27800194226435</v>
      </c>
      <c r="F90" s="64" t="e">
        <f>IF(OR(ISNUMBER(F91),ISNUMBER(F92)),NA(),IF(ISNUMBER(Assessment!E20),Assessment!E20,NA()))</f>
        <v>#N/A</v>
      </c>
      <c r="G90" s="64" t="e">
        <f>IF(OR(ISNUMBER(G91),ISNUMBER(G92)),NA(),IF(ISNUMBER(Assessment!F20),Assessment!F20,NA()))</f>
        <v>#N/A</v>
      </c>
      <c r="H90" s="64">
        <f>IF(OR(ISNUMBER(H91),ISNUMBER(H92)),NA(),IF(ISNUMBER(Assessment!G20),Assessment!G20,NA()))</f>
        <v>136.80000000000001</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154.16497702081645</v>
      </c>
      <c r="G92" s="106"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146.13231049104562</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161.9</v>
      </c>
      <c r="F96" s="6">
        <f>IF(ISNUMBER(Assessment!E52),Assessment!E52,NA())</f>
        <v>153.69999999999999</v>
      </c>
      <c r="G96" s="6">
        <f>IF(ISNUMBER(Assessment!F52),Assessment!F52,NA())</f>
        <v>149.1</v>
      </c>
      <c r="H96" s="6">
        <f>IF(ISNUMBER(Assessment!G52),Assessment!G52,NA())</f>
        <v>143.1</v>
      </c>
      <c r="I96" s="6">
        <f>IF(ISNUMBER(Assessment!H52),Assessment!H52,NA())</f>
        <v>138</v>
      </c>
      <c r="J96" s="6">
        <f>IF(ISNUMBER(Assessment!I52),Assessment!I52,NA())</f>
        <v>133.4</v>
      </c>
      <c r="K96" s="6">
        <f>IF(ISNUMBER(Assessment!J52),Assessment!J52,NA())</f>
        <v>130.1</v>
      </c>
      <c r="L96" s="6">
        <f>IF(ISNUMBER(Assessment!K52),Assessment!K52,NA())</f>
        <v>127.1</v>
      </c>
      <c r="M96" s="6">
        <f>IF(ISNUMBER(Assessment!L52),Assessment!L52,NA())</f>
        <v>124.3</v>
      </c>
      <c r="N96" s="6">
        <f>IF(ISNUMBER(Assessment!M52),Assessment!M52,NA())</f>
        <v>121.7</v>
      </c>
      <c r="O96" s="6">
        <f>IF(ISNUMBER(Assessment!N52),Assessment!N52,NA())</f>
        <v>120.6</v>
      </c>
      <c r="P96" s="6">
        <f>IF(ISNUMBER(Assessment!O52),Assessment!O52,NA())</f>
        <v>119.6</v>
      </c>
      <c r="Q96" s="6">
        <f>IF(ISNUMBER(Assessment!P52),Assessment!P52,NA())</f>
        <v>118.4</v>
      </c>
      <c r="R96" s="6">
        <f>IF(ISNUMBER(Assessment!Q52),Assessment!Q52,NA())</f>
        <v>117.1</v>
      </c>
      <c r="S96" s="6">
        <f>IF(ISNUMBER(Assessment!R52),Assessment!R52,NA())</f>
        <v>115.9</v>
      </c>
      <c r="T96" s="6">
        <f>IF(ISNUMBER(Assessment!S52),Assessment!S52,NA())</f>
        <v>114.9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f>IF(ISNUMBER(Assessment!H79),Assessment!H79,NA())</f>
        <v>141.245715508969</v>
      </c>
      <c r="J101" s="88">
        <f>IF(ISNUMBER(Assessment!I79),Assessment!I79,NA())</f>
        <v>137.25281579283103</v>
      </c>
      <c r="K101" s="88">
        <f>IF(ISNUMBER(Assessment!J79),Assessment!J79,NA())</f>
        <v>122.25815120291972</v>
      </c>
      <c r="L101" s="88">
        <f>IF(ISNUMBER(Assessment!K79),Assessment!K79,NA())</f>
        <v>114.25010057030696</v>
      </c>
      <c r="M101" s="88">
        <f>IF(ISNUMBER(Assessment!L79),Assessment!L79,NA())</f>
        <v>107.60513128906666</v>
      </c>
      <c r="N101" s="88">
        <f>IF(ISNUMBER(Assessment!M79),Assessment!M79,NA())</f>
        <v>101.59635785946392</v>
      </c>
      <c r="O101" s="88">
        <f>IF(ISNUMBER(Assessment!N79),Assessment!N79,NA())</f>
        <v>98.13518877979223</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f>IF(ISNUMBER(Assessment!H80),Assessment!H80,NA())</f>
        <v>0</v>
      </c>
      <c r="J102" s="88">
        <f>IF(ISNUMBER(Assessment!I80),Assessment!I80,NA())</f>
        <v>0</v>
      </c>
      <c r="K102" s="88">
        <f>IF(ISNUMBER(Assessment!J80),Assessment!J80,NA())</f>
        <v>6.4420318603515625</v>
      </c>
      <c r="L102" s="88">
        <f>IF(ISNUMBER(Assessment!K80),Assessment!K80,NA())</f>
        <v>8.8560104370117188</v>
      </c>
      <c r="M102" s="88">
        <f>IF(ISNUMBER(Assessment!L80),Assessment!L80,NA())</f>
        <v>10.978988647460938</v>
      </c>
      <c r="N102" s="88">
        <f>IF(ISNUMBER(Assessment!M80),Assessment!M80,NA())</f>
        <v>12.468063354492188</v>
      </c>
      <c r="O102" s="88">
        <f>IF(ISNUMBER(Assessment!N80),Assessment!N80,NA())</f>
        <v>13.204620361328125</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f>IF(ISNUMBER(Assessment!H81),Assessment!H81,NA())</f>
        <v>0</v>
      </c>
      <c r="J103" s="88">
        <f>IF(ISNUMBER(Assessment!I81),Assessment!I81,NA())</f>
        <v>0</v>
      </c>
      <c r="K103" s="88">
        <f>IF(ISNUMBER(Assessment!J81),Assessment!J81,NA())</f>
        <v>4.6009597778320313</v>
      </c>
      <c r="L103" s="88">
        <f>IF(ISNUMBER(Assessment!K81),Assessment!K81,NA())</f>
        <v>6.482452392578125</v>
      </c>
      <c r="M103" s="88">
        <f>IF(ISNUMBER(Assessment!L81),Assessment!L81,NA())</f>
        <v>7.56524658203125</v>
      </c>
      <c r="N103" s="88">
        <f>IF(ISNUMBER(Assessment!M81),Assessment!M81,NA())</f>
        <v>8.8123855590820313</v>
      </c>
      <c r="O103" s="88">
        <f>IF(ISNUMBER(Assessment!N81),Assessment!N81,NA())</f>
        <v>9.766448974609375</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f>IF(ISNUMBER(Assessment!H82),Assessment!H82,NA())</f>
        <v>0</v>
      </c>
      <c r="J104" s="88">
        <f>IF(ISNUMBER(Assessment!I82),Assessment!I82,NA())</f>
        <v>0</v>
      </c>
      <c r="K104" s="88">
        <f>IF(ISNUMBER(Assessment!J82),Assessment!J82,NA())</f>
        <v>4.7600479125976563</v>
      </c>
      <c r="L104" s="88">
        <f>IF(ISNUMBER(Assessment!K82),Assessment!K82,NA())</f>
        <v>6.3986282348632813</v>
      </c>
      <c r="M104" s="88">
        <f>IF(ISNUMBER(Assessment!L82),Assessment!L82,NA())</f>
        <v>8.135406494140625</v>
      </c>
      <c r="N104" s="88">
        <f>IF(ISNUMBER(Assessment!M82),Assessment!M82,NA())</f>
        <v>9.994384765625</v>
      </c>
      <c r="O104" s="88">
        <f>IF(ISNUMBER(Assessment!N82),Assessment!N82,NA())</f>
        <v>11.097587585449219</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f>IF(ISNUMBER(Assessment!H83),Assessment!H83,NA())</f>
        <v>0</v>
      </c>
      <c r="J105" s="88">
        <f>IF(ISNUMBER(Assessment!I83),Assessment!I83,NA())</f>
        <v>0</v>
      </c>
      <c r="K105" s="88">
        <f>IF(ISNUMBER(Assessment!J83),Assessment!J83,NA())</f>
        <v>7.0638427734375</v>
      </c>
      <c r="L105" s="88">
        <f>IF(ISNUMBER(Assessment!K83),Assessment!K83,NA())</f>
        <v>10.344230651855469</v>
      </c>
      <c r="M105" s="88">
        <f>IF(ISNUMBER(Assessment!L83),Assessment!L83,NA())</f>
        <v>12.353729248046875</v>
      </c>
      <c r="N105" s="88">
        <f>IF(ISNUMBER(Assessment!M83),Assessment!M83,NA())</f>
        <v>14.168663024902344</v>
      </c>
      <c r="O105" s="88">
        <f>IF(ISNUMBER(Assessment!N83),Assessment!N83,NA())</f>
        <v>15.993553161621094</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f>IF(ISNUMBER(Assessment!H84),Assessment!H84,NA())</f>
        <v>141.245715508969</v>
      </c>
      <c r="J106" s="88">
        <f>IF(ISNUMBER(Assessment!I84),Assessment!I84,NA())</f>
        <v>137.25281579283103</v>
      </c>
      <c r="K106" s="88">
        <f>IF(ISNUMBER(Assessment!J84),Assessment!J84,NA())</f>
        <v>122.25815120291972</v>
      </c>
      <c r="L106" s="88">
        <f>IF(ISNUMBER(Assessment!K84),Assessment!K84,NA())</f>
        <v>114.25010057030696</v>
      </c>
      <c r="M106" s="88">
        <f>IF(ISNUMBER(Assessment!L84),Assessment!L84,NA())</f>
        <v>107.60513128906666</v>
      </c>
      <c r="N106" s="88">
        <f>IF(ISNUMBER(Assessment!M84),Assessment!M84,NA())</f>
        <v>101.59635785946392</v>
      </c>
      <c r="O106" s="88">
        <f>IF(ISNUMBER(Assessment!N84),Assessment!N84,NA())</f>
        <v>98.13518877979223</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f>IF(ISNUMBER(Assessment!H85),Assessment!H85,NA())</f>
        <v>141.245715508969</v>
      </c>
      <c r="J107" s="88">
        <f>IF(ISNUMBER(Assessment!I85),Assessment!I85,NA())</f>
        <v>137.25281579283103</v>
      </c>
      <c r="K107" s="88">
        <f>IF(ISNUMBER(Assessment!J85),Assessment!J85,NA())</f>
        <v>128.70018306327128</v>
      </c>
      <c r="L107" s="88">
        <f>IF(ISNUMBER(Assessment!K85),Assessment!K85,NA())</f>
        <v>123.10611100731867</v>
      </c>
      <c r="M107" s="88">
        <f>IF(ISNUMBER(Assessment!L85),Assessment!L85,NA())</f>
        <v>118.5841199365276</v>
      </c>
      <c r="N107" s="88">
        <f>IF(ISNUMBER(Assessment!M85),Assessment!M85,NA())</f>
        <v>114.06442121395611</v>
      </c>
      <c r="O107" s="88">
        <f>IF(ISNUMBER(Assessment!N85),Assessment!N85,NA())</f>
        <v>111.33980914112036</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f>IF(ISNUMBER(Assessment!H86),Assessment!H86,NA())</f>
        <v>141.245715508969</v>
      </c>
      <c r="J108" s="88">
        <f>IF(ISNUMBER(Assessment!I86),Assessment!I86,NA())</f>
        <v>137.25281579283103</v>
      </c>
      <c r="K108" s="88">
        <f>IF(ISNUMBER(Assessment!J86),Assessment!J86,NA())</f>
        <v>133.30114284110331</v>
      </c>
      <c r="L108" s="88">
        <f>IF(ISNUMBER(Assessment!K86),Assessment!K86,NA())</f>
        <v>129.5885633998968</v>
      </c>
      <c r="M108" s="88">
        <f>IF(ISNUMBER(Assessment!L86),Assessment!L86,NA())</f>
        <v>126.14936651855885</v>
      </c>
      <c r="N108" s="88">
        <f>IF(ISNUMBER(Assessment!M86),Assessment!M86,NA())</f>
        <v>122.87680677303814</v>
      </c>
      <c r="O108" s="88">
        <f>IF(ISNUMBER(Assessment!N86),Assessment!N86,NA())</f>
        <v>121.10625811572973</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f>IF(ISNUMBER(Assessment!H87),Assessment!H87,NA())</f>
        <v>141.245715508969</v>
      </c>
      <c r="J109" s="88">
        <f>IF(ISNUMBER(Assessment!I87),Assessment!I87,NA())</f>
        <v>137.25281579283103</v>
      </c>
      <c r="K109" s="88">
        <f>IF(ISNUMBER(Assessment!J87),Assessment!J87,NA())</f>
        <v>138.06119075370097</v>
      </c>
      <c r="L109" s="88">
        <f>IF(ISNUMBER(Assessment!K87),Assessment!K87,NA())</f>
        <v>135.98719163476008</v>
      </c>
      <c r="M109" s="88">
        <f>IF(ISNUMBER(Assessment!L87),Assessment!L87,NA())</f>
        <v>134.28477301269947</v>
      </c>
      <c r="N109" s="88">
        <f>IF(ISNUMBER(Assessment!M87),Assessment!M87,NA())</f>
        <v>132.87119153866314</v>
      </c>
      <c r="O109" s="88">
        <f>IF(ISNUMBER(Assessment!N87),Assessment!N87,NA())</f>
        <v>132.20384570117895</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f>IF(ISNUMBER(Assessment!H88),Assessment!H88,NA())</f>
        <v>141.245715508969</v>
      </c>
      <c r="J110" s="88">
        <f>IF(ISNUMBER(Assessment!I88),Assessment!I88,NA())</f>
        <v>137.25281579283103</v>
      </c>
      <c r="K110" s="88">
        <f>IF(ISNUMBER(Assessment!J88),Assessment!J88,NA())</f>
        <v>145.12503352713847</v>
      </c>
      <c r="L110" s="88">
        <f>IF(ISNUMBER(Assessment!K88),Assessment!K88,NA())</f>
        <v>146.33142228661555</v>
      </c>
      <c r="M110" s="88">
        <f>IF(ISNUMBER(Assessment!L88),Assessment!L88,NA())</f>
        <v>146.63850226074635</v>
      </c>
      <c r="N110" s="88">
        <f>IF(ISNUMBER(Assessment!M88),Assessment!M88,NA())</f>
        <v>147.03985456356548</v>
      </c>
      <c r="O110" s="88">
        <f>IF(ISNUMBER(Assessment!N88),Assessment!N88,NA())</f>
        <v>148.19739886280004</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164.27800194226435</v>
      </c>
      <c r="F111" s="88">
        <f>IF(Assessment!E20="",NA(),Assessment!E20)</f>
        <v>154.16497702081645</v>
      </c>
      <c r="G111" s="88">
        <f>IF(Assessment!F20="",NA(),Assessment!F20)</f>
        <v>146.13231049104562</v>
      </c>
      <c r="H111" s="88">
        <f>IF(Assessment!G20="",NA(),Assessment!G20)</f>
        <v>136.80000000000001</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f>Assessment!E69</f>
        <v>1.7916717664570148</v>
      </c>
      <c r="G114" s="64">
        <f>Assessment!F69</f>
        <v>2.9696829634729704</v>
      </c>
      <c r="H114" s="64">
        <f>Assessment!G69</f>
        <v>3.2444096853891877</v>
      </c>
      <c r="I114" s="64">
        <f>Assessment!H69</f>
        <v>3.0965231853891879</v>
      </c>
      <c r="J114" s="64">
        <f>Assessment!I69</f>
        <v>3.0449796853891877</v>
      </c>
      <c r="K114" s="64">
        <f>Assessment!J69</f>
        <v>3.3389693999999999</v>
      </c>
      <c r="L114" s="64">
        <f>Assessment!K69</f>
        <v>3.2888442999999996</v>
      </c>
      <c r="M114" s="64">
        <f>Assessment!L69</f>
        <v>3.2535126999999999</v>
      </c>
      <c r="N114" s="64">
        <f>Assessment!M69</f>
        <v>3.2021711999999996</v>
      </c>
      <c r="O114" s="64">
        <f>Assessment!N69</f>
        <v>3.2474053999999999</v>
      </c>
      <c r="P114" s="64">
        <f>Assessment!O69</f>
        <v>3.2303970999999998</v>
      </c>
      <c r="Q114" s="64">
        <f>Assessment!P69</f>
        <v>3.2133888999999995</v>
      </c>
      <c r="R114" s="64">
        <f>Assessment!Q69</f>
        <v>3.1963805999999999</v>
      </c>
      <c r="S114" s="64">
        <f>Assessment!R69</f>
        <v>3.284144</v>
      </c>
      <c r="T114" s="64">
        <f>Assessment!S69</f>
        <v>3.3402711999999997</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7.5</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-0.12946679588512477</v>
      </c>
      <c r="G118" s="106"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2.8340876161799811</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-0.12946679588512477</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7.5</v>
      </c>
    </row>
    <row r="122" spans="2:23" ht="13.5" customHeight="1" x14ac:dyDescent="0.6">
      <c r="C122" s="11"/>
    </row>
    <row r="123" spans="2:23" ht="16.5" x14ac:dyDescent="0.6">
      <c r="B123" s="110" t="s">
        <v>590</v>
      </c>
      <c r="C123" s="11" t="s">
        <v>389</v>
      </c>
    </row>
    <row r="124" spans="2:23" x14ac:dyDescent="0.4">
      <c r="C124" s="2" t="s">
        <v>388</v>
      </c>
      <c r="F124" s="64">
        <f>Assessment!E71</f>
        <v>1.7293769999999999</v>
      </c>
      <c r="G124" s="64">
        <f>Assessment!F71</f>
        <v>2.1293769999999999</v>
      </c>
      <c r="H124" s="64">
        <f>Assessment!G71</f>
        <v>2.289377</v>
      </c>
      <c r="I124" s="64">
        <f>Assessment!H71</f>
        <v>2.4493770000000001</v>
      </c>
      <c r="J124" s="64">
        <f>Assessment!I71</f>
        <v>2.6093770000000003</v>
      </c>
      <c r="K124" s="64">
        <f>Assessment!J71</f>
        <v>2.6093770000000003</v>
      </c>
      <c r="L124" s="64">
        <f>Assessment!K71</f>
        <v>2.6093770000000003</v>
      </c>
      <c r="M124" s="64">
        <f>Assessment!L71</f>
        <v>2.6093770000000003</v>
      </c>
      <c r="N124" s="64">
        <f>Assessment!M71</f>
        <v>2.6093770000000003</v>
      </c>
      <c r="O124" s="64">
        <f>Assessment!N71</f>
        <v>2.6093770000000003</v>
      </c>
      <c r="P124" s="64">
        <f>Assessment!O71</f>
        <v>2.6093770000000003</v>
      </c>
      <c r="Q124" s="64">
        <f>Assessment!P71</f>
        <v>2.6093770000000003</v>
      </c>
      <c r="R124" s="64">
        <f>Assessment!Q71</f>
        <v>2.6093770000000003</v>
      </c>
      <c r="S124" s="64">
        <f>Assessment!R71</f>
        <v>2.6093770000000003</v>
      </c>
      <c r="T124" s="64">
        <f>Assessment!S71</f>
        <v>2.6093770000000003</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1.8</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3.8204099999999999</v>
      </c>
      <c r="G128" s="106" cm="1">
        <f t="array" ref="G128">IF(
  AND(
    INDEX($2:$2, COLUMN()) &gt;= MTP_BaseYear,
    INDEX($2:$2, COLUMN()) &lt;= OutturnThrough
  ),
  IFERROR(
    IF(
      G124 - INDEX(Assessment!$19:$19,
                   _xlfn.XMATCH(INDEX($2:$2, COLUMN()),
                          Assessment!$4:$4, 0)
            ) &lt; 0,
      INDEX(Assessment!$19:$19,
            _xlfn.XMATCH(INDEX($2:$2, COLUMN()),
                   Assessment!$4:$4, 0)
      ),
      NA()
    ),
    NA()
  ),
  NA()
)</f>
        <v>3.6435300000000002</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3.8204099999999999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-1.5</v>
      </c>
      <c r="G134" s="3">
        <f>IF(ISNUMBER(Assessment!F36),Assessment!F36,NA())</f>
        <v>-1.1000000000000001</v>
      </c>
      <c r="H134" s="3">
        <f>IF(ISNUMBER(Assessment!G36),Assessment!G36,NA())</f>
        <v>-1.1000000000000001</v>
      </c>
      <c r="I134" s="3">
        <f>IF(ISNUMBER(Assessment!H36),Assessment!H36,NA())</f>
        <v>-1.2</v>
      </c>
      <c r="J134" s="3">
        <f>IF(ISNUMBER(Assessment!I36),Assessment!I36,NA())</f>
        <v>-1.3</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-1.2</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0.34606999999999999</v>
      </c>
      <c r="G138" s="123" cm="1">
        <f t="array" ref="G138">_xlfn.LET(
  _xlpm.y, INDEX('Chart data'!$2:$2, COLUMN()),
  _xlpm.col, _xlfn.XMATCH(_xlpm.y, Assessment!$4:$4, 0),
  _xlpm.v, INDEX(Assessment!$18:$18, _xlpm.col),
  IF(
    _xlpm.y&lt;=OutturnThrough,
    IF(AND(ISNUMBER(_xlpm.v), _xlpm.v&gt;=0), _xlpm.v, NA()),
    NA()
  )
)</f>
        <v>0.48633999999999999</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-1.5</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0.48633999999999999</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f>IF(OR(ISNUMBER(H149),ISNUMBER(H150)),NA(),IF(ISNUMBER(Assessment!G17),Assessment!G17+(Assessment!G7/Assessment!G27*100),NA()))</f>
        <v>3.2</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4.8214044336307111</v>
      </c>
      <c r="G149" s="106"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4.8845658429892529</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4.8845658429892529</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EL</v>
      </c>
    </row>
    <row r="10" spans="1:22" x14ac:dyDescent="0.4">
      <c r="A10" s="125">
        <v>2029</v>
      </c>
      <c r="B10" s="18"/>
      <c r="C10" s="18"/>
      <c r="D10" s="18"/>
      <c r="E10" s="18"/>
      <c r="F10" s="18"/>
      <c r="G10" s="18"/>
      <c r="H10" s="18"/>
      <c r="I10" s="18"/>
      <c r="J10" s="18"/>
      <c r="K10" s="5" t="s">
        <v>222</v>
      </c>
      <c r="L10" s="14" t="s">
        <v>714</v>
      </c>
      <c r="M10" s="18" t="s">
        <v>436</v>
      </c>
      <c r="P10" t="s">
        <v>700</v>
      </c>
      <c r="Q10" s="166">
        <f>'Step 1 - Set global parameters'!B16</f>
        <v>45464</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961</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962</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2026-06-22T15:31:52Z</dcterms:modified>
</cp:coreProperties>
</file>